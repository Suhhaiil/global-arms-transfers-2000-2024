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bb6531f2b9c611b1/Desktop/Erasmus Mundus/08 Projects/04_global-arms-transfers/02_Excel/"/>
    </mc:Choice>
  </mc:AlternateContent>
  <xr:revisionPtr revIDLastSave="442" documentId="8_{2AB9AF46-0FC5-4B0A-B070-76A23D4A6DD3}" xr6:coauthVersionLast="47" xr6:coauthVersionMax="47" xr10:uidLastSave="{E653316C-AF45-468D-B65A-20617FDDDE15}"/>
  <bookViews>
    <workbookView xWindow="-108" yWindow="-108" windowWidth="23256" windowHeight="12456" firstSheet="1" activeTab="8" xr2:uid="{CE5BC76F-09DA-4F4F-B9D6-FDF9F69B4A4A}"/>
  </bookViews>
  <sheets>
    <sheet name="Index" sheetId="12" r:id="rId1"/>
    <sheet name="Imports_Raw" sheetId="1" r:id="rId2"/>
    <sheet name="Exports_Raw" sheetId="2" r:id="rId3"/>
    <sheet name="Imports_Clean" sheetId="6" state="hidden" r:id="rId4"/>
    <sheet name="Clean_Data" sheetId="5" r:id="rId5"/>
    <sheet name="Analysis" sheetId="7" r:id="rId6"/>
    <sheet name="Dashboard" sheetId="8" r:id="rId7"/>
    <sheet name="Pivot_Table" sheetId="10" r:id="rId8"/>
    <sheet name="Data_Dictionary" sheetId="11" r:id="rId9"/>
    <sheet name="Metadata_Country" sheetId="3" state="hidden" r:id="rId10"/>
    <sheet name="Metadata_Indicator" sheetId="4" state="hidden" r:id="rId11"/>
  </sheets>
  <definedNames>
    <definedName name="ExternalData_1" localSheetId="4" hidden="1">'Clean_Data'!$A$1:$E$3986</definedName>
    <definedName name="ExternalData_1" localSheetId="3" hidden="1">Imports_Clean!$A$1:$D$3833</definedName>
    <definedName name="Slicer_Income_Group">#N/A</definedName>
    <definedName name="Slicer_Region">#N/A</definedName>
  </definedNames>
  <calcPr calcId="191029"/>
  <pivotCaches>
    <pivotCache cacheId="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11" l="1"/>
  <c r="E8" i="11"/>
  <c r="E7" i="11"/>
  <c r="E6" i="11"/>
  <c r="H35" i="7" l="1" a="1"/>
  <c r="H35" i="7" s="1"/>
  <c r="G35" i="7" a="1"/>
  <c r="G35" i="7" s="1"/>
  <c r="F35" i="7" a="1"/>
  <c r="F35" i="7" s="1"/>
  <c r="E35" i="7" a="1"/>
  <c r="E35" i="7" s="1"/>
  <c r="D35" i="7" a="1"/>
  <c r="D35" i="7" s="1"/>
  <c r="C35" i="7" a="1"/>
  <c r="C35" i="7" s="1"/>
  <c r="B35" i="7" a="1"/>
  <c r="B35" i="7" s="1"/>
  <c r="F21" i="7" a="1"/>
  <c r="F21" i="7" s="1"/>
  <c r="E21" i="7" a="1"/>
  <c r="E21" i="7" s="1"/>
  <c r="D21" i="7" a="1"/>
  <c r="D21" i="7" s="1"/>
  <c r="C21" i="7" a="1"/>
  <c r="C21" i="7" s="1"/>
  <c r="B21" i="7" a="1"/>
  <c r="B21" i="7" s="1"/>
  <c r="O6" i="7" a="1"/>
  <c r="O6" i="7" s="1"/>
  <c r="L6" i="7" a="1"/>
  <c r="L6" i="7" s="1"/>
  <c r="K6" i="7" a="1"/>
  <c r="K6" i="7" s="1"/>
  <c r="I6" i="7" a="1"/>
  <c r="I6" i="7" s="1"/>
  <c r="F6" i="7" a="1"/>
  <c r="F6" i="7" s="1"/>
  <c r="E6" i="7" a="1"/>
  <c r="E6" i="7" s="1"/>
  <c r="C11" i="7"/>
  <c r="C10" i="7" a="1"/>
  <c r="C10" i="7" s="1"/>
  <c r="C9" i="7"/>
  <c r="C8" i="7"/>
  <c r="C7" i="7"/>
  <c r="C6" i="7"/>
  <c r="G3832" i="5"/>
  <c r="G3549" i="5"/>
  <c r="G3694" i="5"/>
  <c r="G3120" i="5"/>
  <c r="G173" i="5"/>
  <c r="G2965" i="5"/>
  <c r="G3398" i="5"/>
  <c r="G2811" i="5"/>
  <c r="G3255" i="5"/>
  <c r="G2658" i="5"/>
  <c r="G3108" i="5"/>
  <c r="G2497" i="5"/>
  <c r="G2953" i="5"/>
  <c r="G2166" i="5"/>
  <c r="G2646" i="5"/>
  <c r="G1998" i="5"/>
  <c r="G2485" i="5"/>
  <c r="G1831" i="5"/>
  <c r="G2322" i="5"/>
  <c r="G1665" i="5"/>
  <c r="G2156" i="5"/>
  <c r="G1499" i="5"/>
  <c r="G1988" i="5"/>
  <c r="G346" i="5"/>
  <c r="G1820" i="5"/>
  <c r="G167" i="5"/>
  <c r="G1653" i="5"/>
  <c r="G3545" i="5"/>
  <c r="G1487" i="5"/>
  <c r="G3119" i="5"/>
  <c r="G1316" i="5"/>
  <c r="G2964" i="5"/>
  <c r="G1157" i="5"/>
  <c r="G2810" i="5"/>
  <c r="G994" i="5"/>
  <c r="G2657" i="5"/>
  <c r="G818" i="5"/>
  <c r="G2496" i="5"/>
  <c r="G660" i="5"/>
  <c r="G2332" i="5"/>
  <c r="G494" i="5"/>
  <c r="G2165" i="5"/>
  <c r="G335" i="5"/>
  <c r="G1997" i="5"/>
  <c r="G158" i="5"/>
  <c r="G1830" i="5"/>
  <c r="G3837" i="5"/>
  <c r="G1664" i="5"/>
  <c r="G3551" i="5"/>
  <c r="G1498" i="5"/>
  <c r="G2970" i="5"/>
  <c r="G1325" i="5"/>
  <c r="G2171" i="5"/>
  <c r="G1167" i="5"/>
  <c r="G1003" i="5"/>
  <c r="G3700" i="5"/>
  <c r="G828" i="5"/>
  <c r="G3552" i="5"/>
  <c r="G670" i="5"/>
  <c r="G3414" i="5"/>
  <c r="G504" i="5"/>
  <c r="G3273" i="5"/>
  <c r="G3833" i="5"/>
  <c r="G3126" i="5"/>
  <c r="G3695" i="5"/>
  <c r="G2972" i="5"/>
  <c r="G3547" i="5"/>
  <c r="G2819" i="5"/>
  <c r="G3408" i="5"/>
  <c r="G2664" i="5"/>
  <c r="G3267" i="5"/>
  <c r="G2504" i="5"/>
  <c r="G2966" i="5"/>
  <c r="G2338" i="5"/>
  <c r="G2812" i="5"/>
  <c r="G2173" i="5"/>
  <c r="G2659" i="5"/>
  <c r="G2004" i="5"/>
  <c r="G2498" i="5"/>
  <c r="G1839" i="5"/>
  <c r="G2333" i="5"/>
  <c r="G1672" i="5"/>
  <c r="G2167" i="5"/>
  <c r="G1506" i="5"/>
  <c r="G1999" i="5"/>
  <c r="G1332" i="5"/>
  <c r="G1832" i="5"/>
  <c r="G1175" i="5"/>
  <c r="G1666" i="5"/>
  <c r="G1010" i="5"/>
  <c r="G1500" i="5"/>
  <c r="G836" i="5"/>
  <c r="G1326" i="5"/>
  <c r="G677" i="5"/>
  <c r="G1168" i="5"/>
  <c r="G511" i="5"/>
  <c r="G1004" i="5"/>
  <c r="G354" i="5"/>
  <c r="G829" i="5"/>
  <c r="G176" i="5"/>
  <c r="G671" i="5"/>
  <c r="G9" i="5"/>
  <c r="G505" i="5"/>
  <c r="G3839" i="5"/>
  <c r="G347" i="5"/>
  <c r="G3701" i="5"/>
  <c r="G168" i="5"/>
  <c r="G3553" i="5"/>
  <c r="G2" i="5"/>
  <c r="G3415" i="5"/>
  <c r="G3835" i="5"/>
  <c r="G3274" i="5"/>
  <c r="G3697" i="5"/>
  <c r="G3127" i="5"/>
  <c r="G2973" i="5"/>
  <c r="G3411" i="5"/>
  <c r="G2820" i="5"/>
  <c r="G3269" i="5"/>
  <c r="G2665" i="5"/>
  <c r="G3123" i="5"/>
  <c r="G2505" i="5"/>
  <c r="G2968" i="5"/>
  <c r="G2339" i="5"/>
  <c r="G2815" i="5"/>
  <c r="G2174" i="5"/>
  <c r="G2661" i="5"/>
  <c r="G2005" i="5"/>
  <c r="G2500" i="5"/>
  <c r="G1840" i="5"/>
  <c r="G1835" i="5"/>
  <c r="G1673" i="5"/>
  <c r="G1669" i="5"/>
  <c r="G1507" i="5"/>
  <c r="G1503" i="5"/>
  <c r="G1333" i="5"/>
  <c r="G1328" i="5"/>
  <c r="G1176" i="5"/>
  <c r="G1171" i="5"/>
  <c r="G1011" i="5"/>
  <c r="G1007" i="5"/>
  <c r="G837" i="5"/>
  <c r="G832" i="5"/>
  <c r="G678" i="5"/>
  <c r="G674" i="5"/>
  <c r="G512" i="5"/>
  <c r="G349" i="5"/>
  <c r="G355" i="5"/>
  <c r="G171" i="5"/>
  <c r="G177" i="5"/>
  <c r="G5" i="5"/>
  <c r="G10" i="5"/>
  <c r="G3409" i="5"/>
  <c r="G178" i="5"/>
  <c r="G3121" i="5"/>
  <c r="G3845" i="5"/>
  <c r="G2813" i="5"/>
  <c r="G3705" i="5"/>
  <c r="G2000" i="5"/>
  <c r="G3558" i="5"/>
  <c r="G1833" i="5"/>
  <c r="G3419" i="5"/>
  <c r="G1667" i="5"/>
  <c r="G3279" i="5"/>
  <c r="G1501" i="5"/>
  <c r="G3133" i="5"/>
  <c r="G1169" i="5"/>
  <c r="G2978" i="5"/>
  <c r="G1005" i="5"/>
  <c r="G2826" i="5"/>
  <c r="G830" i="5"/>
  <c r="G2671" i="5"/>
  <c r="G672" i="5"/>
  <c r="G2510" i="5"/>
  <c r="G506" i="5"/>
  <c r="G2344" i="5"/>
  <c r="G169" i="5"/>
  <c r="G2179" i="5"/>
  <c r="G3" i="5"/>
  <c r="G2010" i="5"/>
  <c r="G3836" i="5"/>
  <c r="G1845" i="5"/>
  <c r="G3698" i="5"/>
  <c r="G1679" i="5"/>
  <c r="G3550" i="5"/>
  <c r="G1513" i="5"/>
  <c r="G3412" i="5"/>
  <c r="G1339" i="5"/>
  <c r="G3270" i="5"/>
  <c r="G1182" i="5"/>
  <c r="G3124" i="5"/>
  <c r="G1016" i="5"/>
  <c r="G2969" i="5"/>
  <c r="G842" i="5"/>
  <c r="G2816" i="5"/>
  <c r="G683" i="5"/>
  <c r="G2662" i="5"/>
  <c r="G516" i="5"/>
  <c r="G2501" i="5"/>
  <c r="G360" i="5"/>
  <c r="G2335" i="5"/>
  <c r="G182" i="5"/>
  <c r="G2170" i="5"/>
  <c r="G15" i="5"/>
  <c r="G2002" i="5"/>
  <c r="G1836" i="5"/>
  <c r="G1670" i="5"/>
  <c r="G1504" i="5"/>
  <c r="G3424" i="5"/>
  <c r="G1329" i="5"/>
  <c r="G3285" i="5"/>
  <c r="G1172" i="5"/>
  <c r="G3137" i="5"/>
  <c r="G1008" i="5"/>
  <c r="G2982" i="5"/>
  <c r="G833" i="5"/>
  <c r="G2830" i="5"/>
  <c r="G675" i="5"/>
  <c r="G2674" i="5"/>
  <c r="G508" i="5"/>
  <c r="G2516" i="5"/>
  <c r="G351" i="5"/>
  <c r="G2351" i="5"/>
  <c r="G2185" i="5"/>
  <c r="G6" i="5"/>
  <c r="G2016" i="5"/>
  <c r="G3976" i="5"/>
  <c r="G3822" i="5"/>
  <c r="G3683" i="5"/>
  <c r="G1517" i="5"/>
  <c r="G3535" i="5"/>
  <c r="G847" i="5"/>
  <c r="G689" i="5"/>
  <c r="G2800" i="5"/>
  <c r="G521" i="5"/>
  <c r="G365" i="5"/>
  <c r="G3702" i="5"/>
  <c r="G1509" i="5"/>
  <c r="G3132" i="5"/>
  <c r="G3699" i="5"/>
  <c r="G2977" i="5"/>
  <c r="G3413" i="5"/>
  <c r="G3271" i="5"/>
  <c r="G2509" i="5"/>
  <c r="G3125" i="5"/>
  <c r="G2178" i="5"/>
  <c r="G2817" i="5"/>
  <c r="G2009" i="5"/>
  <c r="G2663" i="5"/>
  <c r="G1844" i="5"/>
  <c r="G2502" i="5"/>
  <c r="G1678" i="5"/>
  <c r="G2336" i="5"/>
  <c r="G1512" i="5"/>
  <c r="G1338" i="5"/>
  <c r="G2003" i="5"/>
  <c r="G1181" i="5"/>
  <c r="G1837" i="5"/>
  <c r="G1015" i="5"/>
  <c r="G1671" i="5"/>
  <c r="G841" i="5"/>
  <c r="G1505" i="5"/>
  <c r="G682" i="5"/>
  <c r="G1330" i="5"/>
  <c r="G515" i="5"/>
  <c r="G1173" i="5"/>
  <c r="G359" i="5"/>
  <c r="G1009" i="5"/>
  <c r="G181" i="5"/>
  <c r="G834" i="5"/>
  <c r="G14" i="5"/>
  <c r="G676" i="5"/>
  <c r="G3562" i="5"/>
  <c r="G509" i="5"/>
  <c r="G3283" i="5"/>
  <c r="G352" i="5"/>
  <c r="G3135" i="5"/>
  <c r="G174" i="5"/>
  <c r="G2980" i="5"/>
  <c r="G7" i="5"/>
  <c r="G2829" i="5"/>
  <c r="G3272" i="5"/>
  <c r="G2673" i="5"/>
  <c r="G2818" i="5"/>
  <c r="G2514" i="5"/>
  <c r="G2503" i="5"/>
  <c r="G2349" i="5"/>
  <c r="G2337" i="5"/>
  <c r="G2183" i="5"/>
  <c r="G2172" i="5"/>
  <c r="G2014" i="5"/>
  <c r="G1838" i="5"/>
  <c r="G1850" i="5"/>
  <c r="G1331" i="5"/>
  <c r="G1681" i="5"/>
  <c r="G1174" i="5"/>
  <c r="G1515" i="5"/>
  <c r="G835" i="5"/>
  <c r="G1345" i="5"/>
  <c r="G510" i="5"/>
  <c r="G1185" i="5"/>
  <c r="G353" i="5"/>
  <c r="G1019" i="5"/>
  <c r="G175" i="5"/>
  <c r="G846" i="5"/>
  <c r="G8" i="5"/>
  <c r="G688" i="5"/>
  <c r="G350" i="5"/>
  <c r="G520" i="5"/>
  <c r="G172" i="5"/>
  <c r="G364" i="5"/>
  <c r="G3838" i="5"/>
  <c r="G187" i="5"/>
  <c r="G19" i="5"/>
  <c r="G2184" i="5"/>
  <c r="G3853" i="5"/>
  <c r="G3712" i="5"/>
  <c r="G3567" i="5"/>
  <c r="G3425" i="5"/>
  <c r="G3286" i="5"/>
  <c r="G3140" i="5"/>
  <c r="G2986" i="5"/>
  <c r="G2833" i="5"/>
  <c r="G2676" i="5"/>
  <c r="G2521" i="5"/>
  <c r="G2356" i="5"/>
  <c r="G2187" i="5"/>
  <c r="G2022" i="5"/>
  <c r="G1855" i="5"/>
  <c r="G1685" i="5"/>
  <c r="G1521" i="5"/>
  <c r="G1351" i="5"/>
  <c r="G1189" i="5"/>
  <c r="G1024" i="5"/>
  <c r="G853" i="5"/>
  <c r="G692" i="5"/>
  <c r="G525" i="5"/>
  <c r="G369" i="5"/>
  <c r="G193" i="5"/>
  <c r="G23" i="5"/>
  <c r="G3854" i="5"/>
  <c r="G3568" i="5"/>
  <c r="G3141" i="5"/>
  <c r="G2988" i="5"/>
  <c r="G2834" i="5"/>
  <c r="G1856" i="5"/>
  <c r="G371" i="5"/>
  <c r="G195" i="5"/>
  <c r="G24" i="5"/>
  <c r="G3968" i="5"/>
  <c r="G3816" i="5"/>
  <c r="G3674" i="5"/>
  <c r="G3527" i="5"/>
  <c r="G3391" i="5"/>
  <c r="G3247" i="5"/>
  <c r="G3099" i="5"/>
  <c r="G2944" i="5"/>
  <c r="G2792" i="5"/>
  <c r="G2637" i="5"/>
  <c r="G2474" i="5"/>
  <c r="G2311" i="5"/>
  <c r="G3840" i="5"/>
  <c r="G2147" i="5"/>
  <c r="G3554" i="5"/>
  <c r="G3275" i="5"/>
  <c r="G1810" i="5"/>
  <c r="G3128" i="5"/>
  <c r="G1643" i="5"/>
  <c r="G2974" i="5"/>
  <c r="G1476" i="5"/>
  <c r="G2821" i="5"/>
  <c r="G2666" i="5"/>
  <c r="G2506" i="5"/>
  <c r="G2340" i="5"/>
  <c r="G2175" i="5"/>
  <c r="G2006" i="5"/>
  <c r="G486" i="5"/>
  <c r="G1841" i="5"/>
  <c r="G327" i="5"/>
  <c r="G1674" i="5"/>
  <c r="G1508" i="5"/>
  <c r="G3855" i="5"/>
  <c r="G1334" i="5"/>
  <c r="G3569" i="5"/>
  <c r="G1177" i="5"/>
  <c r="G2680" i="5"/>
  <c r="G1012" i="5"/>
  <c r="G1688" i="5"/>
  <c r="G838" i="5"/>
  <c r="G1028" i="5"/>
  <c r="G679" i="5"/>
  <c r="G373" i="5"/>
  <c r="G356" i="5"/>
  <c r="G3856" i="5"/>
  <c r="G3716" i="5"/>
  <c r="G11" i="5"/>
  <c r="G3570" i="5"/>
  <c r="G3710" i="5"/>
  <c r="G3428" i="5"/>
  <c r="G3565" i="5"/>
  <c r="G3289" i="5"/>
  <c r="G2518" i="5"/>
  <c r="G3143" i="5"/>
  <c r="G2353" i="5"/>
  <c r="G2991" i="5"/>
  <c r="G2018" i="5"/>
  <c r="G2837" i="5"/>
  <c r="G1519" i="5"/>
  <c r="G2681" i="5"/>
  <c r="G1349" i="5"/>
  <c r="G2525" i="5"/>
  <c r="G849" i="5"/>
  <c r="G2360" i="5"/>
  <c r="G2192" i="5"/>
  <c r="G2026" i="5"/>
  <c r="G1859" i="5"/>
  <c r="G1689" i="5"/>
  <c r="G1524" i="5"/>
  <c r="G1355" i="5"/>
  <c r="G1193" i="5"/>
  <c r="G1029" i="5"/>
  <c r="G857" i="5"/>
  <c r="G697" i="5"/>
  <c r="G530" i="5"/>
  <c r="G374" i="5"/>
  <c r="G198" i="5"/>
  <c r="G27" i="5"/>
  <c r="G3571" i="5"/>
  <c r="G2027" i="5"/>
  <c r="G1194" i="5"/>
  <c r="G858" i="5"/>
  <c r="G698" i="5"/>
  <c r="G203" i="5"/>
  <c r="G3863" i="5"/>
  <c r="G3721" i="5"/>
  <c r="G3576" i="5"/>
  <c r="G3559" i="5"/>
  <c r="G3434" i="5"/>
  <c r="G2827" i="5"/>
  <c r="G3296" i="5"/>
  <c r="G2511" i="5"/>
  <c r="G3148" i="5"/>
  <c r="G2345" i="5"/>
  <c r="G2996" i="5"/>
  <c r="G2180" i="5"/>
  <c r="G2842" i="5"/>
  <c r="G2011" i="5"/>
  <c r="G2687" i="5"/>
  <c r="G1846" i="5"/>
  <c r="G2531" i="5"/>
  <c r="G1341" i="5"/>
  <c r="G2366" i="5"/>
  <c r="G684" i="5"/>
  <c r="G2197" i="5"/>
  <c r="G361" i="5"/>
  <c r="G2033" i="5"/>
  <c r="G184" i="5"/>
  <c r="G1863" i="5"/>
  <c r="G16" i="5"/>
  <c r="G3138" i="5"/>
  <c r="G2983" i="5"/>
  <c r="G1360" i="5"/>
  <c r="G2831" i="5"/>
  <c r="G2517" i="5"/>
  <c r="G1036" i="5"/>
  <c r="G2352" i="5"/>
  <c r="G864" i="5"/>
  <c r="G2186" i="5"/>
  <c r="G702" i="5"/>
  <c r="G2017" i="5"/>
  <c r="G535" i="5"/>
  <c r="G1518" i="5"/>
  <c r="G378" i="5"/>
  <c r="G1348" i="5"/>
  <c r="G204" i="5"/>
  <c r="G1187" i="5"/>
  <c r="G34" i="5"/>
  <c r="G1021" i="5"/>
  <c r="G3886" i="5"/>
  <c r="G848" i="5"/>
  <c r="G3741" i="5"/>
  <c r="G690" i="5"/>
  <c r="G3598" i="5"/>
  <c r="G522" i="5"/>
  <c r="G3454" i="5"/>
  <c r="G366" i="5"/>
  <c r="G3319" i="5"/>
  <c r="G190" i="5"/>
  <c r="G3169" i="5"/>
  <c r="G22" i="5"/>
  <c r="G3016" i="5"/>
  <c r="G3843" i="5"/>
  <c r="G2862" i="5"/>
  <c r="G3703" i="5"/>
  <c r="G2706" i="5"/>
  <c r="G3556" i="5"/>
  <c r="G2553" i="5"/>
  <c r="G3417" i="5"/>
  <c r="G2388" i="5"/>
  <c r="G3277" i="5"/>
  <c r="G2219" i="5"/>
  <c r="G3131" i="5"/>
  <c r="G2056" i="5"/>
  <c r="G2976" i="5"/>
  <c r="G1886" i="5"/>
  <c r="G2823" i="5"/>
  <c r="G1716" i="5"/>
  <c r="G2668" i="5"/>
  <c r="G1551" i="5"/>
  <c r="G2342" i="5"/>
  <c r="G1382" i="5"/>
  <c r="G2177" i="5"/>
  <c r="G1220" i="5"/>
  <c r="G2008" i="5"/>
  <c r="G1057" i="5"/>
  <c r="G1843" i="5"/>
  <c r="G886" i="5"/>
  <c r="G1677" i="5"/>
  <c r="G725" i="5"/>
  <c r="G1511" i="5"/>
  <c r="G557" i="5"/>
  <c r="G1337" i="5"/>
  <c r="G401" i="5"/>
  <c r="G1180" i="5"/>
  <c r="G228" i="5"/>
  <c r="G1014" i="5"/>
  <c r="G58" i="5"/>
  <c r="G840" i="5"/>
  <c r="G3864" i="5"/>
  <c r="G681" i="5"/>
  <c r="G3577" i="5"/>
  <c r="G514" i="5"/>
  <c r="G3435" i="5"/>
  <c r="G358" i="5"/>
  <c r="G2997" i="5"/>
  <c r="G180" i="5"/>
  <c r="G2843" i="5"/>
  <c r="G13" i="5"/>
  <c r="G2688" i="5"/>
  <c r="G2532" i="5"/>
  <c r="G2367" i="5"/>
  <c r="G2198" i="5"/>
  <c r="G2034" i="5"/>
  <c r="G1864" i="5"/>
  <c r="G1695" i="5"/>
  <c r="G1531" i="5"/>
  <c r="G1361" i="5"/>
  <c r="G1199" i="5"/>
  <c r="G1037" i="5"/>
  <c r="G865" i="5"/>
  <c r="G536" i="5"/>
  <c r="G379" i="5"/>
  <c r="G205" i="5"/>
  <c r="G35" i="5"/>
  <c r="G3842" i="5"/>
  <c r="G381" i="5"/>
  <c r="G3555" i="5"/>
  <c r="G3439" i="5"/>
  <c r="G3416" i="5"/>
  <c r="G3302" i="5"/>
  <c r="G3276" i="5"/>
  <c r="G3154" i="5"/>
  <c r="G3130" i="5"/>
  <c r="G3000" i="5"/>
  <c r="G2975" i="5"/>
  <c r="G2846" i="5"/>
  <c r="G2822" i="5"/>
  <c r="G2691" i="5"/>
  <c r="G2667" i="5"/>
  <c r="G2536" i="5"/>
  <c r="G2341" i="5"/>
  <c r="G2371" i="5"/>
  <c r="G2176" i="5"/>
  <c r="G2202" i="5"/>
  <c r="G2007" i="5"/>
  <c r="G2038" i="5"/>
  <c r="G1842" i="5"/>
  <c r="G1868" i="5"/>
  <c r="G1676" i="5"/>
  <c r="G1699" i="5"/>
  <c r="G1510" i="5"/>
  <c r="G1536" i="5"/>
  <c r="G1336" i="5"/>
  <c r="G1366" i="5"/>
  <c r="G1179" i="5"/>
  <c r="G1203" i="5"/>
  <c r="G1013" i="5"/>
  <c r="G1040" i="5"/>
  <c r="G839" i="5"/>
  <c r="G869" i="5"/>
  <c r="G680" i="5"/>
  <c r="G708" i="5"/>
  <c r="G513" i="5"/>
  <c r="G540" i="5"/>
  <c r="G357" i="5"/>
  <c r="G384" i="5"/>
  <c r="G179" i="5"/>
  <c r="G210" i="5"/>
  <c r="G12" i="5"/>
  <c r="G39" i="5"/>
  <c r="G3841" i="5"/>
  <c r="G1365" i="5"/>
  <c r="G3129" i="5"/>
  <c r="G1202" i="5"/>
  <c r="G2507" i="5"/>
  <c r="G539" i="5"/>
  <c r="G1675" i="5"/>
  <c r="G209" i="5"/>
  <c r="G3879" i="5"/>
  <c r="G1335" i="5"/>
  <c r="G1178" i="5"/>
  <c r="G1184" i="5"/>
  <c r="G844" i="5"/>
  <c r="G3311" i="5"/>
  <c r="G686" i="5"/>
  <c r="G3163" i="5"/>
  <c r="G518" i="5"/>
  <c r="G3009" i="5"/>
  <c r="G2545" i="5"/>
  <c r="G2381" i="5"/>
  <c r="G2212" i="5"/>
  <c r="G2048" i="5"/>
  <c r="G1878" i="5"/>
  <c r="G1709" i="5"/>
  <c r="G1544" i="5"/>
  <c r="G1374" i="5"/>
  <c r="G1212" i="5"/>
  <c r="G1050" i="5"/>
  <c r="G878" i="5"/>
  <c r="G718" i="5"/>
  <c r="G550" i="5"/>
  <c r="G219" i="5"/>
  <c r="G3878" i="5"/>
  <c r="G3846" i="5"/>
  <c r="G3734" i="5"/>
  <c r="G1340" i="5"/>
  <c r="G3591" i="5"/>
  <c r="G183" i="5"/>
  <c r="G3447" i="5"/>
  <c r="G3847" i="5"/>
  <c r="G3310" i="5"/>
  <c r="G3420" i="5"/>
  <c r="G3162" i="5"/>
  <c r="G3281" i="5"/>
  <c r="G3008" i="5"/>
  <c r="G3134" i="5"/>
  <c r="G2854" i="5"/>
  <c r="G2979" i="5"/>
  <c r="G2699" i="5"/>
  <c r="G2828" i="5"/>
  <c r="G2544" i="5"/>
  <c r="G2672" i="5"/>
  <c r="G2380" i="5"/>
  <c r="G2512" i="5"/>
  <c r="G2211" i="5"/>
  <c r="G2346" i="5"/>
  <c r="G2047" i="5"/>
  <c r="G2181" i="5"/>
  <c r="G1877" i="5"/>
  <c r="G2012" i="5"/>
  <c r="G1708" i="5"/>
  <c r="G1847" i="5"/>
  <c r="G1543" i="5"/>
  <c r="G1680" i="5"/>
  <c r="G1373" i="5"/>
  <c r="G1343" i="5"/>
  <c r="G1211" i="5"/>
  <c r="G1183" i="5"/>
  <c r="G1049" i="5"/>
  <c r="G1017" i="5"/>
  <c r="G877" i="5"/>
  <c r="G843" i="5"/>
  <c r="G717" i="5"/>
  <c r="G685" i="5"/>
  <c r="G549" i="5"/>
  <c r="G17" i="5"/>
  <c r="G392" i="5"/>
  <c r="G3849" i="5"/>
  <c r="G218" i="5"/>
  <c r="G3707" i="5"/>
  <c r="G48" i="5"/>
  <c r="G1701" i="5"/>
  <c r="G3422" i="5"/>
  <c r="G1042" i="5"/>
  <c r="G1702" i="5"/>
  <c r="G1539" i="5"/>
  <c r="G872" i="5"/>
  <c r="G543" i="5"/>
  <c r="G387" i="5"/>
  <c r="G213" i="5"/>
  <c r="G42" i="5"/>
  <c r="G3877" i="5"/>
  <c r="G3733" i="5"/>
  <c r="G3590" i="5"/>
  <c r="G3446" i="5"/>
  <c r="G3309" i="5"/>
  <c r="G3161" i="5"/>
  <c r="G3007" i="5"/>
  <c r="G2853" i="5"/>
  <c r="G2698" i="5"/>
  <c r="G2543" i="5"/>
  <c r="G2379" i="5"/>
  <c r="G2210" i="5"/>
  <c r="G2046" i="5"/>
  <c r="G1876" i="5"/>
  <c r="G2824" i="5"/>
  <c r="G1707" i="5"/>
  <c r="G2669" i="5"/>
  <c r="G1542" i="5"/>
  <c r="G2508" i="5"/>
  <c r="G1372" i="5"/>
  <c r="G3708" i="5"/>
  <c r="G1210" i="5"/>
  <c r="G3563" i="5"/>
  <c r="G1048" i="5"/>
  <c r="G3423" i="5"/>
  <c r="G876" i="5"/>
  <c r="G3284" i="5"/>
  <c r="G716" i="5"/>
  <c r="G3136" i="5"/>
  <c r="G548" i="5"/>
  <c r="G2981" i="5"/>
  <c r="G391" i="5"/>
  <c r="G2515" i="5"/>
  <c r="G217" i="5"/>
  <c r="G2350" i="5"/>
  <c r="G47" i="5"/>
  <c r="G2015" i="5"/>
  <c r="G3961" i="5"/>
  <c r="G1851" i="5"/>
  <c r="G3809" i="5"/>
  <c r="G1682" i="5"/>
  <c r="G3670" i="5"/>
  <c r="G1516" i="5"/>
  <c r="G3523" i="5"/>
  <c r="G188" i="5"/>
  <c r="G3387" i="5"/>
  <c r="G20" i="5"/>
  <c r="G3243" i="5"/>
  <c r="G3280" i="5"/>
  <c r="G3092" i="5"/>
  <c r="G1514" i="5"/>
  <c r="G2937" i="5"/>
  <c r="G1342" i="5"/>
  <c r="G2785" i="5"/>
  <c r="G517" i="5"/>
  <c r="G2630" i="5"/>
  <c r="G3848" i="5"/>
  <c r="G2467" i="5"/>
  <c r="G3706" i="5"/>
  <c r="G2304" i="5"/>
  <c r="G3561" i="5"/>
  <c r="G2140" i="5"/>
  <c r="G3421" i="5"/>
  <c r="G1970" i="5"/>
  <c r="G3282" i="5"/>
  <c r="G1803" i="5"/>
  <c r="G2513" i="5"/>
  <c r="G1636" i="5"/>
  <c r="G2348" i="5"/>
  <c r="G1470" i="5"/>
  <c r="G2013" i="5"/>
  <c r="G1302" i="5"/>
  <c r="G1849" i="5"/>
  <c r="G1144" i="5"/>
  <c r="G1344" i="5"/>
  <c r="G979" i="5"/>
  <c r="G1018" i="5"/>
  <c r="G806" i="5"/>
  <c r="G845" i="5"/>
  <c r="G646" i="5"/>
  <c r="G687" i="5"/>
  <c r="G479" i="5"/>
  <c r="G519" i="5"/>
  <c r="G320" i="5"/>
  <c r="G363" i="5"/>
  <c r="G146" i="5"/>
  <c r="G186" i="5"/>
  <c r="G1540" i="5"/>
  <c r="G18" i="5"/>
  <c r="G389" i="5"/>
  <c r="G2987" i="5"/>
  <c r="G215" i="5"/>
  <c r="G2677" i="5"/>
  <c r="G45" i="5"/>
  <c r="G2188" i="5"/>
  <c r="G3881" i="5"/>
  <c r="G1025" i="5"/>
  <c r="G3737" i="5"/>
  <c r="G693" i="5"/>
  <c r="G3594" i="5"/>
  <c r="G526" i="5"/>
  <c r="G3450" i="5"/>
  <c r="G370" i="5"/>
  <c r="G3313" i="5"/>
  <c r="G194" i="5"/>
  <c r="G3165" i="5"/>
  <c r="G3011" i="5"/>
  <c r="G2857" i="5"/>
  <c r="G2702" i="5"/>
  <c r="G2547" i="5"/>
  <c r="G2383" i="5"/>
  <c r="G2214" i="5"/>
  <c r="G2050" i="5"/>
  <c r="G1880" i="5"/>
  <c r="G1711" i="5"/>
  <c r="G1546" i="5"/>
  <c r="G1376" i="5"/>
  <c r="G1214" i="5"/>
  <c r="G1052" i="5"/>
  <c r="G880" i="5"/>
  <c r="G720" i="5"/>
  <c r="G552" i="5"/>
  <c r="G395" i="5"/>
  <c r="G221" i="5"/>
  <c r="G51" i="5"/>
  <c r="G3882" i="5"/>
  <c r="G3738" i="5"/>
  <c r="G3595" i="5"/>
  <c r="G3451" i="5"/>
  <c r="G3314" i="5"/>
  <c r="G3166" i="5"/>
  <c r="G3713" i="5"/>
  <c r="G3012" i="5"/>
  <c r="G2858" i="5"/>
  <c r="G3426" i="5"/>
  <c r="G2703" i="5"/>
  <c r="G3287" i="5"/>
  <c r="G2548" i="5"/>
  <c r="G2384" i="5"/>
  <c r="G2215" i="5"/>
  <c r="G2051" i="5"/>
  <c r="G2678" i="5"/>
  <c r="G1881" i="5"/>
  <c r="G2522" i="5"/>
  <c r="G1712" i="5"/>
  <c r="G2357" i="5"/>
  <c r="G1547" i="5"/>
  <c r="G2189" i="5"/>
  <c r="G1377" i="5"/>
  <c r="G2023" i="5"/>
  <c r="G1216" i="5"/>
  <c r="G1053" i="5"/>
  <c r="G1686" i="5"/>
  <c r="G881" i="5"/>
  <c r="G1352" i="5"/>
  <c r="G722" i="5"/>
  <c r="G1190" i="5"/>
  <c r="G553" i="5"/>
  <c r="G1026" i="5"/>
  <c r="G396" i="5"/>
  <c r="G854" i="5"/>
  <c r="G222" i="5"/>
  <c r="G694" i="5"/>
  <c r="G53" i="5"/>
  <c r="G527" i="5"/>
  <c r="G3884" i="5"/>
  <c r="G3739" i="5"/>
  <c r="G3596" i="5"/>
  <c r="G3452" i="5"/>
  <c r="G3315" i="5"/>
  <c r="G3167" i="5"/>
  <c r="G3013" i="5"/>
  <c r="G2859" i="5"/>
  <c r="G2704" i="5"/>
  <c r="G2550" i="5"/>
  <c r="G2386" i="5"/>
  <c r="G2216" i="5"/>
  <c r="G2053" i="5"/>
  <c r="G1883" i="5"/>
  <c r="G1714" i="5"/>
  <c r="G1549" i="5"/>
  <c r="G1379" i="5"/>
  <c r="G1218" i="5"/>
  <c r="G1055" i="5"/>
  <c r="G883" i="5"/>
  <c r="G724" i="5"/>
  <c r="G555" i="5"/>
  <c r="G398" i="5"/>
  <c r="G3715" i="5"/>
  <c r="G224" i="5"/>
  <c r="G55" i="5"/>
  <c r="G3427" i="5"/>
  <c r="G3977" i="5"/>
  <c r="G3288" i="5"/>
  <c r="G3823" i="5"/>
  <c r="G3142" i="5"/>
  <c r="G3684" i="5"/>
  <c r="G2990" i="5"/>
  <c r="G3536" i="5"/>
  <c r="G2836" i="5"/>
  <c r="G3399" i="5"/>
  <c r="G3256" i="5"/>
  <c r="G2524" i="5"/>
  <c r="G3109" i="5"/>
  <c r="G2359" i="5"/>
  <c r="G2954" i="5"/>
  <c r="G2191" i="5"/>
  <c r="G2801" i="5"/>
  <c r="G2025" i="5"/>
  <c r="G2647" i="5"/>
  <c r="G1858" i="5"/>
  <c r="G2486" i="5"/>
  <c r="G2323" i="5"/>
  <c r="G1523" i="5"/>
  <c r="G2157" i="5"/>
  <c r="G1354" i="5"/>
  <c r="G1989" i="5"/>
  <c r="G1192" i="5"/>
  <c r="G1821" i="5"/>
  <c r="G1654" i="5"/>
  <c r="G856" i="5"/>
  <c r="G1488" i="5"/>
  <c r="G696" i="5"/>
  <c r="G1317" i="5"/>
  <c r="G529" i="5"/>
  <c r="G1158" i="5"/>
  <c r="G995" i="5"/>
  <c r="G197" i="5"/>
  <c r="G819" i="5"/>
  <c r="G26" i="5"/>
  <c r="G661" i="5"/>
  <c r="G495" i="5"/>
  <c r="G336" i="5"/>
  <c r="G159" i="5"/>
  <c r="G3885" i="5"/>
  <c r="G3318" i="5"/>
  <c r="G1219" i="5"/>
  <c r="G3170" i="5"/>
  <c r="G3888" i="5"/>
  <c r="G3743" i="5"/>
  <c r="G3456" i="5"/>
  <c r="G3321" i="5"/>
  <c r="G3171" i="5"/>
  <c r="G3017" i="5"/>
  <c r="G1221" i="5"/>
  <c r="G403" i="5"/>
  <c r="G230" i="5"/>
  <c r="G60" i="5"/>
  <c r="G3890" i="5"/>
  <c r="G3746" i="5"/>
  <c r="G3602" i="5"/>
  <c r="G3458" i="5"/>
  <c r="G3323" i="5"/>
  <c r="G3173" i="5"/>
  <c r="G3860" i="5"/>
  <c r="G3018" i="5"/>
  <c r="G3573" i="5"/>
  <c r="G2866" i="5"/>
  <c r="G3431" i="5"/>
  <c r="G2710" i="5"/>
  <c r="G3292" i="5"/>
  <c r="G2556" i="5"/>
  <c r="G1692" i="5"/>
  <c r="G2392" i="5"/>
  <c r="G1528" i="5"/>
  <c r="G2224" i="5"/>
  <c r="G1358" i="5"/>
  <c r="G2062" i="5"/>
  <c r="G1195" i="5"/>
  <c r="G1890" i="5"/>
  <c r="G1034" i="5"/>
  <c r="G1721" i="5"/>
  <c r="G861" i="5"/>
  <c r="G1556" i="5"/>
  <c r="G700" i="5"/>
  <c r="G1386" i="5"/>
  <c r="G533" i="5"/>
  <c r="G1223" i="5"/>
  <c r="G376" i="5"/>
  <c r="G1064" i="5"/>
  <c r="G201" i="5"/>
  <c r="G893" i="5"/>
  <c r="G31" i="5"/>
  <c r="G729" i="5"/>
  <c r="G3711" i="5"/>
  <c r="G561" i="5"/>
  <c r="G3566" i="5"/>
  <c r="G405" i="5"/>
  <c r="G3139" i="5"/>
  <c r="G235" i="5"/>
  <c r="G2985" i="5"/>
  <c r="G64" i="5"/>
  <c r="G2675" i="5"/>
  <c r="G2355" i="5"/>
  <c r="G2031" i="5"/>
  <c r="G2021" i="5"/>
  <c r="G1196" i="5"/>
  <c r="G1854" i="5"/>
  <c r="G377" i="5"/>
  <c r="G1684" i="5"/>
  <c r="G202" i="5"/>
  <c r="G1520" i="5"/>
  <c r="G32" i="5"/>
  <c r="G1350" i="5"/>
  <c r="G1188" i="5"/>
  <c r="G3174" i="5"/>
  <c r="G1023" i="5"/>
  <c r="G2867" i="5"/>
  <c r="G852" i="5"/>
  <c r="G1892" i="5"/>
  <c r="G691" i="5"/>
  <c r="G563" i="5"/>
  <c r="G524" i="5"/>
  <c r="G66" i="5"/>
  <c r="G368" i="5"/>
  <c r="G3325" i="5"/>
  <c r="G192" i="5"/>
  <c r="G3020" i="5"/>
  <c r="G3858" i="5"/>
  <c r="G2713" i="5"/>
  <c r="G3718" i="5"/>
  <c r="G2227" i="5"/>
  <c r="G3572" i="5"/>
  <c r="G1893" i="5"/>
  <c r="G3145" i="5"/>
  <c r="G1724" i="5"/>
  <c r="G2993" i="5"/>
  <c r="G1388" i="5"/>
  <c r="G2684" i="5"/>
  <c r="G1226" i="5"/>
  <c r="G2527" i="5"/>
  <c r="G1067" i="5"/>
  <c r="G2362" i="5"/>
  <c r="G896" i="5"/>
  <c r="G2029" i="5"/>
  <c r="G732" i="5"/>
  <c r="G1861" i="5"/>
  <c r="G564" i="5"/>
  <c r="G1526" i="5"/>
  <c r="G407" i="5"/>
  <c r="G1357" i="5"/>
  <c r="G237" i="5"/>
  <c r="G1031" i="5"/>
  <c r="G67" i="5"/>
  <c r="G699" i="5"/>
  <c r="G3021" i="5"/>
  <c r="G200" i="5"/>
  <c r="G1389" i="5"/>
  <c r="G29" i="5"/>
  <c r="G1227" i="5"/>
  <c r="G3859" i="5"/>
  <c r="G1068" i="5"/>
  <c r="G3430" i="5"/>
  <c r="G897" i="5"/>
  <c r="G3291" i="5"/>
  <c r="G565" i="5"/>
  <c r="G3146" i="5"/>
  <c r="G408" i="5"/>
  <c r="G2994" i="5"/>
  <c r="G68" i="5"/>
  <c r="G2839" i="5"/>
  <c r="G3894" i="5"/>
  <c r="G2528" i="5"/>
  <c r="G2363" i="5"/>
  <c r="G2194" i="5"/>
  <c r="G2030" i="5"/>
  <c r="G1862" i="5"/>
  <c r="G1691" i="5"/>
  <c r="G1527" i="5"/>
  <c r="G1032" i="5"/>
  <c r="G859" i="5"/>
  <c r="G532" i="5"/>
  <c r="G30" i="5"/>
  <c r="G3857" i="5"/>
  <c r="G3717" i="5"/>
  <c r="G3429" i="5"/>
  <c r="G3290" i="5"/>
  <c r="G3144" i="5"/>
  <c r="G2992" i="5"/>
  <c r="G2838" i="5"/>
  <c r="G2682" i="5"/>
  <c r="G2526" i="5"/>
  <c r="G2361" i="5"/>
  <c r="G2193" i="5"/>
  <c r="G1860" i="5"/>
  <c r="G1690" i="5"/>
  <c r="G1525" i="5"/>
  <c r="G1356" i="5"/>
  <c r="G1030" i="5"/>
  <c r="G531" i="5"/>
  <c r="G375" i="5"/>
  <c r="G199" i="5"/>
  <c r="G28" i="5"/>
  <c r="G2683" i="5"/>
  <c r="G2028" i="5"/>
  <c r="G3851" i="5"/>
  <c r="G2519" i="5"/>
  <c r="G2019" i="5"/>
  <c r="G850" i="5"/>
  <c r="G1033" i="5"/>
  <c r="G860" i="5"/>
  <c r="G3294" i="5"/>
  <c r="G3862" i="5"/>
  <c r="G3720" i="5"/>
  <c r="G3575" i="5"/>
  <c r="G3433" i="5"/>
  <c r="G3295" i="5"/>
  <c r="G3147" i="5"/>
  <c r="G2995" i="5"/>
  <c r="G2841" i="5"/>
  <c r="G2365" i="5"/>
  <c r="G2196" i="5"/>
  <c r="G2032" i="5"/>
  <c r="G1197" i="5"/>
  <c r="G863" i="5"/>
  <c r="G701" i="5"/>
  <c r="G534" i="5"/>
  <c r="G33" i="5"/>
  <c r="G3865" i="5"/>
  <c r="G3578" i="5"/>
  <c r="G3298" i="5"/>
  <c r="G3150" i="5"/>
  <c r="G2035" i="5"/>
  <c r="G1865" i="5"/>
  <c r="G1696" i="5"/>
  <c r="G1532" i="5"/>
  <c r="G1362" i="5"/>
  <c r="G866" i="5"/>
  <c r="G704" i="5"/>
  <c r="G537" i="5"/>
  <c r="G380" i="5"/>
  <c r="G206" i="5"/>
  <c r="G3722" i="5"/>
  <c r="G3297" i="5"/>
  <c r="G3149" i="5"/>
  <c r="G703" i="5"/>
  <c r="G3866" i="5"/>
  <c r="G3723" i="5"/>
  <c r="G3579" i="5"/>
  <c r="G3436" i="5"/>
  <c r="G3299" i="5"/>
  <c r="G3151" i="5"/>
  <c r="G2533" i="5"/>
  <c r="G2368" i="5"/>
  <c r="G2199" i="5"/>
  <c r="G1533" i="5"/>
  <c r="G1363" i="5"/>
  <c r="G705" i="5"/>
  <c r="G207" i="5"/>
  <c r="G36" i="5"/>
  <c r="G3834" i="5"/>
  <c r="G3696" i="5"/>
  <c r="G3548" i="5"/>
  <c r="G3410" i="5"/>
  <c r="G3268" i="5"/>
  <c r="G3122" i="5"/>
  <c r="G2967" i="5"/>
  <c r="G2814" i="5"/>
  <c r="G2660" i="5"/>
  <c r="G2499" i="5"/>
  <c r="G2334" i="5"/>
  <c r="G2169" i="5"/>
  <c r="G2001" i="5"/>
  <c r="G1834" i="5"/>
  <c r="G1668" i="5"/>
  <c r="G1502" i="5"/>
  <c r="G1327" i="5"/>
  <c r="G1170" i="5"/>
  <c r="G1006" i="5"/>
  <c r="G831" i="5"/>
  <c r="G673" i="5"/>
  <c r="G507" i="5"/>
  <c r="G348" i="5"/>
  <c r="G170" i="5"/>
  <c r="G4" i="5"/>
  <c r="G3869" i="5"/>
  <c r="G3726" i="5"/>
  <c r="G3582" i="5"/>
  <c r="G3867" i="5"/>
  <c r="G3724" i="5"/>
  <c r="G3580" i="5"/>
  <c r="G3437" i="5"/>
  <c r="G3300" i="5"/>
  <c r="G3152" i="5"/>
  <c r="G2998" i="5"/>
  <c r="G2844" i="5"/>
  <c r="G2689" i="5"/>
  <c r="G2534" i="5"/>
  <c r="G2369" i="5"/>
  <c r="G2200" i="5"/>
  <c r="G2036" i="5"/>
  <c r="G1866" i="5"/>
  <c r="G1697" i="5"/>
  <c r="G1534" i="5"/>
  <c r="G1364" i="5"/>
  <c r="G1201" i="5"/>
  <c r="G1038" i="5"/>
  <c r="G867" i="5"/>
  <c r="G706" i="5"/>
  <c r="G538" i="5"/>
  <c r="G382" i="5"/>
  <c r="G208" i="5"/>
  <c r="G37" i="5"/>
  <c r="G3868" i="5"/>
  <c r="G3725" i="5"/>
  <c r="G3581" i="5"/>
  <c r="G3438" i="5"/>
  <c r="G3301" i="5"/>
  <c r="G3153" i="5"/>
  <c r="G2999" i="5"/>
  <c r="G2845" i="5"/>
  <c r="G2690" i="5"/>
  <c r="G2535" i="5"/>
  <c r="G2370" i="5"/>
  <c r="G2201" i="5"/>
  <c r="G2037" i="5"/>
  <c r="G1867" i="5"/>
  <c r="G1698" i="5"/>
  <c r="G1535" i="5"/>
  <c r="G1039" i="5"/>
  <c r="G868" i="5"/>
  <c r="G707" i="5"/>
  <c r="G383" i="5"/>
  <c r="G38" i="5"/>
  <c r="G393" i="5"/>
  <c r="G49" i="5"/>
  <c r="G3871" i="5"/>
  <c r="G3728" i="5"/>
  <c r="G3584" i="5"/>
  <c r="G3156" i="5"/>
  <c r="G3002" i="5"/>
  <c r="G2848" i="5"/>
  <c r="G2693" i="5"/>
  <c r="G2538" i="5"/>
  <c r="G2373" i="5"/>
  <c r="G2204" i="5"/>
  <c r="G2040" i="5"/>
  <c r="G1870" i="5"/>
  <c r="G1538" i="5"/>
  <c r="G1368" i="5"/>
  <c r="G1205" i="5"/>
  <c r="G871" i="5"/>
  <c r="G710" i="5"/>
  <c r="G542" i="5"/>
  <c r="G386" i="5"/>
  <c r="G212" i="5"/>
  <c r="G41" i="5"/>
  <c r="G3872" i="5"/>
  <c r="G3729" i="5"/>
  <c r="G3585" i="5"/>
  <c r="G3441" i="5"/>
  <c r="G3304" i="5"/>
  <c r="G3157" i="5"/>
  <c r="G3003" i="5"/>
  <c r="G2849" i="5"/>
  <c r="G2694" i="5"/>
  <c r="G2539" i="5"/>
  <c r="G2374" i="5"/>
  <c r="G2205" i="5"/>
  <c r="G2041" i="5"/>
  <c r="G1871" i="5"/>
  <c r="G1369" i="5"/>
  <c r="G1206" i="5"/>
  <c r="G1043" i="5"/>
  <c r="G711" i="5"/>
  <c r="G3873" i="5"/>
  <c r="G3731" i="5"/>
  <c r="G3587" i="5"/>
  <c r="G3443" i="5"/>
  <c r="G3306" i="5"/>
  <c r="G3159" i="5"/>
  <c r="G2851" i="5"/>
  <c r="G3874" i="5"/>
  <c r="G3588" i="5"/>
  <c r="G3444" i="5"/>
  <c r="G3307" i="5"/>
  <c r="G3160" i="5"/>
  <c r="G3006" i="5"/>
  <c r="G2852" i="5"/>
  <c r="G2697" i="5"/>
  <c r="G2542" i="5"/>
  <c r="G2377" i="5"/>
  <c r="G2208" i="5"/>
  <c r="G2044" i="5"/>
  <c r="G1874" i="5"/>
  <c r="G1705" i="5"/>
  <c r="G1370" i="5"/>
  <c r="G1208" i="5"/>
  <c r="G1046" i="5"/>
  <c r="G874" i="5"/>
  <c r="G713" i="5"/>
  <c r="G546" i="5"/>
  <c r="G3876" i="5"/>
  <c r="G3589" i="5"/>
  <c r="G3445" i="5"/>
  <c r="G3308" i="5"/>
  <c r="G2378" i="5"/>
  <c r="G2209" i="5"/>
  <c r="G2045" i="5"/>
  <c r="G1875" i="5"/>
  <c r="G1706" i="5"/>
  <c r="G1541" i="5"/>
  <c r="G1371" i="5"/>
  <c r="G1209" i="5"/>
  <c r="G1047" i="5"/>
  <c r="G875" i="5"/>
  <c r="G715" i="5"/>
  <c r="G547" i="5"/>
  <c r="G390" i="5"/>
  <c r="G216" i="5"/>
  <c r="G46" i="5"/>
  <c r="G2549" i="5"/>
  <c r="G2385" i="5"/>
  <c r="G2052" i="5"/>
  <c r="G1882" i="5"/>
  <c r="G1713" i="5"/>
  <c r="G1548" i="5"/>
  <c r="G1378" i="5"/>
  <c r="G1217" i="5"/>
  <c r="G1054" i="5"/>
  <c r="G882" i="5"/>
  <c r="G723" i="5"/>
  <c r="G554" i="5"/>
  <c r="G397" i="5"/>
  <c r="G223" i="5"/>
  <c r="G54" i="5"/>
  <c r="G1215" i="5"/>
  <c r="G721" i="5"/>
  <c r="G52" i="5"/>
  <c r="G439" i="5"/>
  <c r="G278" i="5"/>
  <c r="G3316" i="5"/>
  <c r="G3014" i="5"/>
  <c r="G2860" i="5"/>
  <c r="G2387" i="5"/>
  <c r="G2217" i="5"/>
  <c r="G2054" i="5"/>
  <c r="G1884" i="5"/>
  <c r="G1550" i="5"/>
  <c r="G1380" i="5"/>
  <c r="G884" i="5"/>
  <c r="G556" i="5"/>
  <c r="G225" i="5"/>
  <c r="G56" i="5"/>
  <c r="G3740" i="5"/>
  <c r="G3453" i="5"/>
  <c r="G3168" i="5"/>
  <c r="G3015" i="5"/>
  <c r="G2861" i="5"/>
  <c r="G2705" i="5"/>
  <c r="G2552" i="5"/>
  <c r="G2218" i="5"/>
  <c r="G2055" i="5"/>
  <c r="G1885" i="5"/>
  <c r="G1715" i="5"/>
  <c r="G1056" i="5"/>
  <c r="G885" i="5"/>
  <c r="G400" i="5"/>
  <c r="G227" i="5"/>
  <c r="G57" i="5"/>
  <c r="G3887" i="5"/>
  <c r="G3742" i="5"/>
  <c r="G3599" i="5"/>
  <c r="G3455" i="5"/>
  <c r="G3320" i="5"/>
  <c r="G2863" i="5"/>
  <c r="G2554" i="5"/>
  <c r="G2389" i="5"/>
  <c r="G2220" i="5"/>
  <c r="G2057" i="5"/>
  <c r="G1887" i="5"/>
  <c r="G1717" i="5"/>
  <c r="G1552" i="5"/>
  <c r="G1383" i="5"/>
  <c r="G1058" i="5"/>
  <c r="G887" i="5"/>
  <c r="G726" i="5"/>
  <c r="G402" i="5"/>
  <c r="G229" i="5"/>
  <c r="G59" i="5"/>
  <c r="G3889" i="5"/>
  <c r="G3744" i="5"/>
  <c r="G3457" i="5"/>
  <c r="G3172" i="5"/>
  <c r="G2865" i="5"/>
  <c r="G2391" i="5"/>
  <c r="G2222" i="5"/>
  <c r="G2060" i="5"/>
  <c r="G1719" i="5"/>
  <c r="G1222" i="5"/>
  <c r="G1061" i="5"/>
  <c r="G890" i="5"/>
  <c r="G559" i="5"/>
  <c r="G232" i="5"/>
  <c r="G61" i="5"/>
  <c r="G3317" i="5"/>
  <c r="G2551" i="5"/>
  <c r="G399" i="5"/>
  <c r="G226" i="5"/>
  <c r="G3730" i="5"/>
  <c r="G3305" i="5"/>
  <c r="G3158" i="5"/>
  <c r="G3004" i="5"/>
  <c r="G2850" i="5"/>
  <c r="G2696" i="5"/>
  <c r="G2541" i="5"/>
  <c r="G2376" i="5"/>
  <c r="G2207" i="5"/>
  <c r="G2043" i="5"/>
  <c r="G1873" i="5"/>
  <c r="G1704" i="5"/>
  <c r="G1045" i="5"/>
  <c r="G545" i="5"/>
  <c r="G44" i="5"/>
  <c r="G3600" i="5"/>
  <c r="G2864" i="5"/>
  <c r="G2707" i="5"/>
  <c r="G2555" i="5"/>
  <c r="G2390" i="5"/>
  <c r="G2221" i="5"/>
  <c r="G2058" i="5"/>
  <c r="G1888" i="5"/>
  <c r="G1718" i="5"/>
  <c r="G1553" i="5"/>
  <c r="G1384" i="5"/>
  <c r="G1059" i="5"/>
  <c r="G888" i="5"/>
  <c r="G727" i="5"/>
  <c r="G558" i="5"/>
  <c r="G2708" i="5"/>
  <c r="G2059" i="5"/>
  <c r="G1554" i="5"/>
  <c r="G1060" i="5"/>
  <c r="G889" i="5"/>
  <c r="G404" i="5"/>
  <c r="G231" i="5"/>
  <c r="G3745" i="5"/>
  <c r="G3601" i="5"/>
  <c r="G3322" i="5"/>
  <c r="G2709" i="5"/>
  <c r="G1062" i="5"/>
  <c r="G891" i="5"/>
  <c r="G560" i="5"/>
  <c r="G233" i="5"/>
  <c r="G62" i="5"/>
  <c r="G2711" i="5"/>
  <c r="G2225" i="5"/>
  <c r="G2063" i="5"/>
  <c r="G1891" i="5"/>
  <c r="G1722" i="5"/>
  <c r="G1557" i="5"/>
  <c r="G1224" i="5"/>
  <c r="G1065" i="5"/>
  <c r="G894" i="5"/>
  <c r="G730" i="5"/>
  <c r="G562" i="5"/>
  <c r="G65" i="5"/>
  <c r="G2223" i="5"/>
  <c r="G2061" i="5"/>
  <c r="G1889" i="5"/>
  <c r="G1720" i="5"/>
  <c r="G1555" i="5"/>
  <c r="G1385" i="5"/>
  <c r="G1063" i="5"/>
  <c r="G892" i="5"/>
  <c r="G728" i="5"/>
  <c r="G234" i="5"/>
  <c r="G63" i="5"/>
  <c r="G3719" i="5"/>
  <c r="G3574" i="5"/>
  <c r="G3432" i="5"/>
  <c r="G3293" i="5"/>
  <c r="G2840" i="5"/>
  <c r="G2686" i="5"/>
  <c r="G2530" i="5"/>
  <c r="G2364" i="5"/>
  <c r="G2195" i="5"/>
  <c r="G1693" i="5"/>
  <c r="G1529" i="5"/>
  <c r="G1359" i="5"/>
  <c r="G1035" i="5"/>
  <c r="G862" i="5"/>
  <c r="G3891" i="5"/>
  <c r="G3747" i="5"/>
  <c r="G3324" i="5"/>
  <c r="G3019" i="5"/>
  <c r="G2712" i="5"/>
  <c r="G2557" i="5"/>
  <c r="G2393" i="5"/>
  <c r="G2226" i="5"/>
  <c r="G1723" i="5"/>
  <c r="G1387" i="5"/>
  <c r="G1225" i="5"/>
  <c r="G1066" i="5"/>
  <c r="G895" i="5"/>
  <c r="G731" i="5"/>
  <c r="G406" i="5"/>
  <c r="G236" i="5"/>
  <c r="G3892" i="5"/>
  <c r="G3748" i="5"/>
  <c r="G3604" i="5"/>
  <c r="G3459" i="5"/>
  <c r="G3175" i="5"/>
  <c r="G2868" i="5"/>
  <c r="G2558" i="5"/>
  <c r="G2394" i="5"/>
  <c r="G2064" i="5"/>
  <c r="G1558" i="5"/>
  <c r="G3893" i="5"/>
  <c r="G3749" i="5"/>
  <c r="G3605" i="5"/>
  <c r="G3460" i="5"/>
  <c r="G3326" i="5"/>
  <c r="G3176" i="5"/>
  <c r="G2869" i="5"/>
  <c r="G2714" i="5"/>
  <c r="G2559" i="5"/>
  <c r="G2395" i="5"/>
  <c r="G2229" i="5"/>
  <c r="G2065" i="5"/>
  <c r="G1894" i="5"/>
  <c r="G1725" i="5"/>
  <c r="G1559" i="5"/>
  <c r="G733" i="5"/>
  <c r="G238" i="5"/>
  <c r="G3895" i="5"/>
  <c r="G3608" i="5"/>
  <c r="G3462" i="5"/>
  <c r="G3023" i="5"/>
  <c r="G2872" i="5"/>
  <c r="G2716" i="5"/>
  <c r="G2398" i="5"/>
  <c r="G2232" i="5"/>
  <c r="G2068" i="5"/>
  <c r="G1897" i="5"/>
  <c r="G1728" i="5"/>
  <c r="G1562" i="5"/>
  <c r="G1392" i="5"/>
  <c r="G1230" i="5"/>
  <c r="G1071" i="5"/>
  <c r="G900" i="5"/>
  <c r="G735" i="5"/>
  <c r="G568" i="5"/>
  <c r="G411" i="5"/>
  <c r="G241" i="5"/>
  <c r="G71" i="5"/>
  <c r="G3750" i="5"/>
  <c r="G3606" i="5"/>
  <c r="G3461" i="5"/>
  <c r="G3327" i="5"/>
  <c r="G3022" i="5"/>
  <c r="G2870" i="5"/>
  <c r="G2715" i="5"/>
  <c r="G2560" i="5"/>
  <c r="G2396" i="5"/>
  <c r="G2230" i="5"/>
  <c r="G2066" i="5"/>
  <c r="G1895" i="5"/>
  <c r="G1726" i="5"/>
  <c r="G1560" i="5"/>
  <c r="G1390" i="5"/>
  <c r="G1228" i="5"/>
  <c r="G1069" i="5"/>
  <c r="G898" i="5"/>
  <c r="G734" i="5"/>
  <c r="G566" i="5"/>
  <c r="G409" i="5"/>
  <c r="G239" i="5"/>
  <c r="G69" i="5"/>
  <c r="G3897" i="5"/>
  <c r="G3752" i="5"/>
  <c r="G3610" i="5"/>
  <c r="G3464" i="5"/>
  <c r="G3329" i="5"/>
  <c r="G3179" i="5"/>
  <c r="G3025" i="5"/>
  <c r="G2874" i="5"/>
  <c r="G2718" i="5"/>
  <c r="G2562" i="5"/>
  <c r="G2400" i="5"/>
  <c r="G2234" i="5"/>
  <c r="G2070" i="5"/>
  <c r="G1899" i="5"/>
  <c r="G1730" i="5"/>
  <c r="G1564" i="5"/>
  <c r="G1394" i="5"/>
  <c r="G1232" i="5"/>
  <c r="G1073" i="5"/>
  <c r="G902" i="5"/>
  <c r="G737" i="5"/>
  <c r="G570" i="5"/>
  <c r="G413" i="5"/>
  <c r="G243" i="5"/>
  <c r="G73" i="5"/>
  <c r="G3607" i="5"/>
  <c r="G3177" i="5"/>
  <c r="G2871" i="5"/>
  <c r="G2397" i="5"/>
  <c r="G2231" i="5"/>
  <c r="G2067" i="5"/>
  <c r="G1896" i="5"/>
  <c r="G1727" i="5"/>
  <c r="G1561" i="5"/>
  <c r="G1391" i="5"/>
  <c r="G1229" i="5"/>
  <c r="G1070" i="5"/>
  <c r="G899" i="5"/>
  <c r="G567" i="5"/>
  <c r="G410" i="5"/>
  <c r="G240" i="5"/>
  <c r="G70" i="5"/>
  <c r="G3896" i="5"/>
  <c r="G3751" i="5"/>
  <c r="G3609" i="5"/>
  <c r="G3463" i="5"/>
  <c r="G3328" i="5"/>
  <c r="G3178" i="5"/>
  <c r="G3024" i="5"/>
  <c r="G2873" i="5"/>
  <c r="G2717" i="5"/>
  <c r="G2561" i="5"/>
  <c r="G2399" i="5"/>
  <c r="G2233" i="5"/>
  <c r="G2069" i="5"/>
  <c r="G1898" i="5"/>
  <c r="G1729" i="5"/>
  <c r="G1563" i="5"/>
  <c r="G1393" i="5"/>
  <c r="G1231" i="5"/>
  <c r="G1072" i="5"/>
  <c r="G901" i="5"/>
  <c r="G736" i="5"/>
  <c r="G569" i="5"/>
  <c r="G412" i="5"/>
  <c r="G242" i="5"/>
  <c r="G72" i="5"/>
  <c r="G3899" i="5"/>
  <c r="G3754" i="5"/>
  <c r="G3612" i="5"/>
  <c r="G3332" i="5"/>
  <c r="G3182" i="5"/>
  <c r="G3028" i="5"/>
  <c r="G2877" i="5"/>
  <c r="G2721" i="5"/>
  <c r="G2403" i="5"/>
  <c r="G1733" i="5"/>
  <c r="G1567" i="5"/>
  <c r="G1397" i="5"/>
  <c r="G1235" i="5"/>
  <c r="G1076" i="5"/>
  <c r="G905" i="5"/>
  <c r="G740" i="5"/>
  <c r="G416" i="5"/>
  <c r="G246" i="5"/>
  <c r="G3898" i="5"/>
  <c r="G3753" i="5"/>
  <c r="G3611" i="5"/>
  <c r="G3465" i="5"/>
  <c r="G3330" i="5"/>
  <c r="G3180" i="5"/>
  <c r="G3026" i="5"/>
  <c r="G2875" i="5"/>
  <c r="G2719" i="5"/>
  <c r="G2563" i="5"/>
  <c r="G2401" i="5"/>
  <c r="G2235" i="5"/>
  <c r="G2071" i="5"/>
  <c r="G1900" i="5"/>
  <c r="G1731" i="5"/>
  <c r="G1565" i="5"/>
  <c r="G1395" i="5"/>
  <c r="G1233" i="5"/>
  <c r="G1074" i="5"/>
  <c r="G903" i="5"/>
  <c r="G738" i="5"/>
  <c r="G244" i="5"/>
  <c r="G74" i="5"/>
  <c r="G3331" i="5"/>
  <c r="G3181" i="5"/>
  <c r="G3027" i="5"/>
  <c r="G2876" i="5"/>
  <c r="G2720" i="5"/>
  <c r="G2564" i="5"/>
  <c r="G2402" i="5"/>
  <c r="G2236" i="5"/>
  <c r="G2072" i="5"/>
  <c r="G1901" i="5"/>
  <c r="G1732" i="5"/>
  <c r="G1566" i="5"/>
  <c r="G1396" i="5"/>
  <c r="G1234" i="5"/>
  <c r="G1075" i="5"/>
  <c r="G904" i="5"/>
  <c r="G739" i="5"/>
  <c r="G415" i="5"/>
  <c r="G245" i="5"/>
  <c r="G75" i="5"/>
  <c r="G2228" i="5"/>
  <c r="G3900" i="5"/>
  <c r="G3755" i="5"/>
  <c r="G3613" i="5"/>
  <c r="G3466" i="5"/>
  <c r="G3333" i="5"/>
  <c r="G3183" i="5"/>
  <c r="G3029" i="5"/>
  <c r="G2878" i="5"/>
  <c r="G2722" i="5"/>
  <c r="G2566" i="5"/>
  <c r="G2404" i="5"/>
  <c r="G2238" i="5"/>
  <c r="G2074" i="5"/>
  <c r="G1903" i="5"/>
  <c r="G1734" i="5"/>
  <c r="G1568" i="5"/>
  <c r="G1398" i="5"/>
  <c r="G1236" i="5"/>
  <c r="G1077" i="5"/>
  <c r="G906" i="5"/>
  <c r="G741" i="5"/>
  <c r="G573" i="5"/>
  <c r="G417" i="5"/>
  <c r="G247" i="5"/>
  <c r="G77" i="5"/>
  <c r="G3901" i="5"/>
  <c r="G3756" i="5"/>
  <c r="G3614" i="5"/>
  <c r="G3467" i="5"/>
  <c r="G3334" i="5"/>
  <c r="G3184" i="5"/>
  <c r="G3030" i="5"/>
  <c r="G2879" i="5"/>
  <c r="G2723" i="5"/>
  <c r="G2567" i="5"/>
  <c r="G2405" i="5"/>
  <c r="G2239" i="5"/>
  <c r="G2075" i="5"/>
  <c r="G1904" i="5"/>
  <c r="G1735" i="5"/>
  <c r="G1569" i="5"/>
  <c r="G1399" i="5"/>
  <c r="G1237" i="5"/>
  <c r="G1078" i="5"/>
  <c r="G907" i="5"/>
  <c r="G742" i="5"/>
  <c r="G574" i="5"/>
  <c r="G418" i="5"/>
  <c r="G248" i="5"/>
  <c r="G78" i="5"/>
  <c r="G3185" i="5"/>
  <c r="G3031" i="5"/>
  <c r="G2880" i="5"/>
  <c r="G2724" i="5"/>
  <c r="G2406" i="5"/>
  <c r="G1905" i="5"/>
  <c r="G1570" i="5"/>
  <c r="G1400" i="5"/>
  <c r="G1079" i="5"/>
  <c r="G908" i="5"/>
  <c r="G743" i="5"/>
  <c r="G575" i="5"/>
  <c r="G249" i="5"/>
  <c r="G79" i="5"/>
  <c r="G3903" i="5"/>
  <c r="G3758" i="5"/>
  <c r="G3616" i="5"/>
  <c r="G3469" i="5"/>
  <c r="G3336" i="5"/>
  <c r="G3187" i="5"/>
  <c r="G3033" i="5"/>
  <c r="G2882" i="5"/>
  <c r="G2726" i="5"/>
  <c r="G2569" i="5"/>
  <c r="G2408" i="5"/>
  <c r="G2241" i="5"/>
  <c r="G2077" i="5"/>
  <c r="G1907" i="5"/>
  <c r="G1737" i="5"/>
  <c r="G1572" i="5"/>
  <c r="G1402" i="5"/>
  <c r="G1239" i="5"/>
  <c r="G1081" i="5"/>
  <c r="G910" i="5"/>
  <c r="G745" i="5"/>
  <c r="G577" i="5"/>
  <c r="G420" i="5"/>
  <c r="G251" i="5"/>
  <c r="G81" i="5"/>
  <c r="G3902" i="5"/>
  <c r="G3757" i="5"/>
  <c r="G3615" i="5"/>
  <c r="G3468" i="5"/>
  <c r="G3335" i="5"/>
  <c r="G3186" i="5"/>
  <c r="G3032" i="5"/>
  <c r="G2881" i="5"/>
  <c r="G2725" i="5"/>
  <c r="G2568" i="5"/>
  <c r="G2407" i="5"/>
  <c r="G2240" i="5"/>
  <c r="G2076" i="5"/>
  <c r="G1906" i="5"/>
  <c r="G1736" i="5"/>
  <c r="G1571" i="5"/>
  <c r="G1401" i="5"/>
  <c r="G1238" i="5"/>
  <c r="G1080" i="5"/>
  <c r="G909" i="5"/>
  <c r="G744" i="5"/>
  <c r="G576" i="5"/>
  <c r="G419" i="5"/>
  <c r="G250" i="5"/>
  <c r="G80" i="5"/>
  <c r="G3904" i="5"/>
  <c r="G3759" i="5"/>
  <c r="G3617" i="5"/>
  <c r="G3337" i="5"/>
  <c r="G3188" i="5"/>
  <c r="G3034" i="5"/>
  <c r="G2883" i="5"/>
  <c r="G2727" i="5"/>
  <c r="G2570" i="5"/>
  <c r="G2409" i="5"/>
  <c r="G2242" i="5"/>
  <c r="G2078" i="5"/>
  <c r="G1908" i="5"/>
  <c r="G1738" i="5"/>
  <c r="G1573" i="5"/>
  <c r="G1403" i="5"/>
  <c r="G1240" i="5"/>
  <c r="G1082" i="5"/>
  <c r="G911" i="5"/>
  <c r="G746" i="5"/>
  <c r="G578" i="5"/>
  <c r="G421" i="5"/>
  <c r="G252" i="5"/>
  <c r="G82" i="5"/>
  <c r="G3905" i="5"/>
  <c r="G2884" i="5"/>
  <c r="G2571" i="5"/>
  <c r="G2410" i="5"/>
  <c r="G2243" i="5"/>
  <c r="G2079" i="5"/>
  <c r="G1909" i="5"/>
  <c r="G1739" i="5"/>
  <c r="G1574" i="5"/>
  <c r="G1404" i="5"/>
  <c r="G1241" i="5"/>
  <c r="G1083" i="5"/>
  <c r="G912" i="5"/>
  <c r="G747" i="5"/>
  <c r="G579" i="5"/>
  <c r="G422" i="5"/>
  <c r="G83" i="5"/>
  <c r="G3473" i="5"/>
  <c r="G3341" i="5"/>
  <c r="G3192" i="5"/>
  <c r="G3038" i="5"/>
  <c r="G1577" i="5"/>
  <c r="G1407" i="5"/>
  <c r="G1244" i="5"/>
  <c r="G1087" i="5"/>
  <c r="G915" i="5"/>
  <c r="G584" i="5"/>
  <c r="G426" i="5"/>
  <c r="G257" i="5"/>
  <c r="G2984" i="5"/>
  <c r="G2832" i="5"/>
  <c r="G2520" i="5"/>
  <c r="G2354" i="5"/>
  <c r="G2020" i="5"/>
  <c r="G1853" i="5"/>
  <c r="G1022" i="5"/>
  <c r="G851" i="5"/>
  <c r="G523" i="5"/>
  <c r="G367" i="5"/>
  <c r="G191" i="5"/>
  <c r="G580" i="5"/>
  <c r="G3907" i="5"/>
  <c r="G3761" i="5"/>
  <c r="G3619" i="5"/>
  <c r="G3471" i="5"/>
  <c r="G3339" i="5"/>
  <c r="G3190" i="5"/>
  <c r="G3036" i="5"/>
  <c r="G2886" i="5"/>
  <c r="G2729" i="5"/>
  <c r="G2573" i="5"/>
  <c r="G2412" i="5"/>
  <c r="G2244" i="5"/>
  <c r="G2080" i="5"/>
  <c r="G1910" i="5"/>
  <c r="G1741" i="5"/>
  <c r="G1575" i="5"/>
  <c r="G1405" i="5"/>
  <c r="G1242" i="5"/>
  <c r="G1084" i="5"/>
  <c r="G913" i="5"/>
  <c r="G748" i="5"/>
  <c r="G581" i="5"/>
  <c r="G423" i="5"/>
  <c r="G254" i="5"/>
  <c r="G85" i="5"/>
  <c r="G3908" i="5"/>
  <c r="G3762" i="5"/>
  <c r="G3620" i="5"/>
  <c r="G3472" i="5"/>
  <c r="G3340" i="5"/>
  <c r="G3191" i="5"/>
  <c r="G3037" i="5"/>
  <c r="G2887" i="5"/>
  <c r="G2730" i="5"/>
  <c r="G2574" i="5"/>
  <c r="G2413" i="5"/>
  <c r="G2245" i="5"/>
  <c r="G2081" i="5"/>
  <c r="G1911" i="5"/>
  <c r="G1743" i="5"/>
  <c r="G1576" i="5"/>
  <c r="G1406" i="5"/>
  <c r="G1243" i="5"/>
  <c r="G1086" i="5"/>
  <c r="G914" i="5"/>
  <c r="G750" i="5"/>
  <c r="G583" i="5"/>
  <c r="G425" i="5"/>
  <c r="G256" i="5"/>
  <c r="G86" i="5"/>
  <c r="G3912" i="5"/>
  <c r="G3765" i="5"/>
  <c r="G3623" i="5"/>
  <c r="G3477" i="5"/>
  <c r="G3344" i="5"/>
  <c r="G3196" i="5"/>
  <c r="G3041" i="5"/>
  <c r="G2735" i="5"/>
  <c r="G2578" i="5"/>
  <c r="G2416" i="5"/>
  <c r="G2249" i="5"/>
  <c r="G2085" i="5"/>
  <c r="G1915" i="5"/>
  <c r="G1746" i="5"/>
  <c r="G1581" i="5"/>
  <c r="G1410" i="5"/>
  <c r="G1248" i="5"/>
  <c r="G1091" i="5"/>
  <c r="G754" i="5"/>
  <c r="G588" i="5"/>
  <c r="G261" i="5"/>
  <c r="G91" i="5"/>
  <c r="G3909" i="5"/>
  <c r="G3474" i="5"/>
  <c r="G3193" i="5"/>
  <c r="G2732" i="5"/>
  <c r="G2575" i="5"/>
  <c r="G2246" i="5"/>
  <c r="G2082" i="5"/>
  <c r="G1912" i="5"/>
  <c r="G1578" i="5"/>
  <c r="G1245" i="5"/>
  <c r="G1088" i="5"/>
  <c r="G916" i="5"/>
  <c r="G751" i="5"/>
  <c r="G585" i="5"/>
  <c r="G258" i="5"/>
  <c r="G88" i="5"/>
  <c r="G3915" i="5"/>
  <c r="G3200" i="5"/>
  <c r="G2892" i="5"/>
  <c r="G2739" i="5"/>
  <c r="G2581" i="5"/>
  <c r="G2419" i="5"/>
  <c r="G2252" i="5"/>
  <c r="G2089" i="5"/>
  <c r="G1919" i="5"/>
  <c r="G1750" i="5"/>
  <c r="G1585" i="5"/>
  <c r="G1414" i="5"/>
  <c r="G1252" i="5"/>
  <c r="G1095" i="5"/>
  <c r="G922" i="5"/>
  <c r="G758" i="5"/>
  <c r="G592" i="5"/>
  <c r="G430" i="5"/>
  <c r="G265" i="5"/>
  <c r="G95" i="5"/>
  <c r="G3916" i="5"/>
  <c r="G924" i="5"/>
  <c r="G266" i="5"/>
  <c r="G3201" i="5"/>
  <c r="G3046" i="5"/>
  <c r="G2893" i="5"/>
  <c r="G2740" i="5"/>
  <c r="G2582" i="5"/>
  <c r="G2420" i="5"/>
  <c r="G2253" i="5"/>
  <c r="G2090" i="5"/>
  <c r="G1920" i="5"/>
  <c r="G1415" i="5"/>
  <c r="G925" i="5"/>
  <c r="G759" i="5"/>
  <c r="G267" i="5"/>
  <c r="G96" i="5"/>
  <c r="G3911" i="5"/>
  <c r="G3764" i="5"/>
  <c r="G3622" i="5"/>
  <c r="G3476" i="5"/>
  <c r="G3343" i="5"/>
  <c r="G3195" i="5"/>
  <c r="G3040" i="5"/>
  <c r="G2734" i="5"/>
  <c r="G2577" i="5"/>
  <c r="G2415" i="5"/>
  <c r="G2248" i="5"/>
  <c r="G2084" i="5"/>
  <c r="G1914" i="5"/>
  <c r="G1745" i="5"/>
  <c r="G1580" i="5"/>
  <c r="G1409" i="5"/>
  <c r="G1247" i="5"/>
  <c r="G1090" i="5"/>
  <c r="G753" i="5"/>
  <c r="G587" i="5"/>
  <c r="G260" i="5"/>
  <c r="G90" i="5"/>
  <c r="G3626" i="5"/>
  <c r="G3480" i="5"/>
  <c r="G3199" i="5"/>
  <c r="G3044" i="5"/>
  <c r="G2891" i="5"/>
  <c r="G2738" i="5"/>
  <c r="G2088" i="5"/>
  <c r="G1918" i="5"/>
  <c r="G1749" i="5"/>
  <c r="G1584" i="5"/>
  <c r="G1413" i="5"/>
  <c r="G1251" i="5"/>
  <c r="G1094" i="5"/>
  <c r="G921" i="5"/>
  <c r="G757" i="5"/>
  <c r="G591" i="5"/>
  <c r="G429" i="5"/>
  <c r="G264" i="5"/>
  <c r="G94" i="5"/>
  <c r="G3919" i="5"/>
  <c r="G3631" i="5"/>
  <c r="G3484" i="5"/>
  <c r="G3351" i="5"/>
  <c r="G3204" i="5"/>
  <c r="G3049" i="5"/>
  <c r="G2743" i="5"/>
  <c r="G2585" i="5"/>
  <c r="G2423" i="5"/>
  <c r="G2255" i="5"/>
  <c r="G2092" i="5"/>
  <c r="G1923" i="5"/>
  <c r="G1753" i="5"/>
  <c r="G1588" i="5"/>
  <c r="G1418" i="5"/>
  <c r="G1099" i="5"/>
  <c r="G928" i="5"/>
  <c r="G762" i="5"/>
  <c r="G433" i="5"/>
  <c r="G270" i="5"/>
  <c r="G99" i="5"/>
  <c r="G3962" i="5"/>
  <c r="G3810" i="5"/>
  <c r="G3671" i="5"/>
  <c r="G3524" i="5"/>
  <c r="G3388" i="5"/>
  <c r="G3244" i="5"/>
  <c r="G3093" i="5"/>
  <c r="G2938" i="5"/>
  <c r="G2786" i="5"/>
  <c r="G2631" i="5"/>
  <c r="G2468" i="5"/>
  <c r="G2305" i="5"/>
  <c r="G1971" i="5"/>
  <c r="G1804" i="5"/>
  <c r="G1303" i="5"/>
  <c r="G1145" i="5"/>
  <c r="G980" i="5"/>
  <c r="G647" i="5"/>
  <c r="G480" i="5"/>
  <c r="G321" i="5"/>
  <c r="G147" i="5"/>
  <c r="G3920" i="5"/>
  <c r="G3771" i="5"/>
  <c r="G3632" i="5"/>
  <c r="G3485" i="5"/>
  <c r="G3352" i="5"/>
  <c r="G3205" i="5"/>
  <c r="G3050" i="5"/>
  <c r="G2896" i="5"/>
  <c r="G2744" i="5"/>
  <c r="G2586" i="5"/>
  <c r="G2424" i="5"/>
  <c r="G2256" i="5"/>
  <c r="G2093" i="5"/>
  <c r="G1924" i="5"/>
  <c r="G1754" i="5"/>
  <c r="G1589" i="5"/>
  <c r="G1419" i="5"/>
  <c r="G1256" i="5"/>
  <c r="G1100" i="5"/>
  <c r="G929" i="5"/>
  <c r="G763" i="5"/>
  <c r="G595" i="5"/>
  <c r="G434" i="5"/>
  <c r="G271" i="5"/>
  <c r="G100" i="5"/>
  <c r="G3918" i="5"/>
  <c r="G3770" i="5"/>
  <c r="G3630" i="5"/>
  <c r="G3483" i="5"/>
  <c r="G3350" i="5"/>
  <c r="G3203" i="5"/>
  <c r="G3048" i="5"/>
  <c r="G2895" i="5"/>
  <c r="G2742" i="5"/>
  <c r="G2584" i="5"/>
  <c r="G2422" i="5"/>
  <c r="G2254" i="5"/>
  <c r="G2091" i="5"/>
  <c r="G1922" i="5"/>
  <c r="G1752" i="5"/>
  <c r="G1587" i="5"/>
  <c r="G1417" i="5"/>
  <c r="G1255" i="5"/>
  <c r="G1098" i="5"/>
  <c r="G927" i="5"/>
  <c r="G761" i="5"/>
  <c r="G594" i="5"/>
  <c r="G432" i="5"/>
  <c r="G269" i="5"/>
  <c r="G98" i="5"/>
  <c r="G3768" i="5"/>
  <c r="G3347" i="5"/>
  <c r="G3045" i="5"/>
  <c r="G1253" i="5"/>
  <c r="G1096" i="5"/>
  <c r="G923" i="5"/>
  <c r="G3910" i="5"/>
  <c r="G3763" i="5"/>
  <c r="G3621" i="5"/>
  <c r="G3475" i="5"/>
  <c r="G3342" i="5"/>
  <c r="G3194" i="5"/>
  <c r="G3039" i="5"/>
  <c r="G2889" i="5"/>
  <c r="G2733" i="5"/>
  <c r="G2576" i="5"/>
  <c r="G2414" i="5"/>
  <c r="G2247" i="5"/>
  <c r="G2083" i="5"/>
  <c r="G1913" i="5"/>
  <c r="G1744" i="5"/>
  <c r="G1579" i="5"/>
  <c r="G1408" i="5"/>
  <c r="G1246" i="5"/>
  <c r="G1089" i="5"/>
  <c r="G917" i="5"/>
  <c r="G752" i="5"/>
  <c r="G586" i="5"/>
  <c r="G427" i="5"/>
  <c r="G259" i="5"/>
  <c r="G89" i="5"/>
  <c r="G3917" i="5"/>
  <c r="G3769" i="5"/>
  <c r="G3629" i="5"/>
  <c r="G3482" i="5"/>
  <c r="G3349" i="5"/>
  <c r="G3202" i="5"/>
  <c r="G3047" i="5"/>
  <c r="G2894" i="5"/>
  <c r="G2741" i="5"/>
  <c r="G2583" i="5"/>
  <c r="G2421" i="5"/>
  <c r="G1921" i="5"/>
  <c r="G1751" i="5"/>
  <c r="G1586" i="5"/>
  <c r="G1416" i="5"/>
  <c r="G1254" i="5"/>
  <c r="G1097" i="5"/>
  <c r="G926" i="5"/>
  <c r="G760" i="5"/>
  <c r="G593" i="5"/>
  <c r="G431" i="5"/>
  <c r="G268" i="5"/>
  <c r="G97" i="5"/>
  <c r="G3486" i="5"/>
  <c r="G2587" i="5"/>
  <c r="G2425" i="5"/>
  <c r="G930" i="5"/>
  <c r="G764" i="5"/>
  <c r="G272" i="5"/>
  <c r="G101" i="5"/>
  <c r="G3914" i="5"/>
  <c r="G3767" i="5"/>
  <c r="G3625" i="5"/>
  <c r="G3479" i="5"/>
  <c r="G3346" i="5"/>
  <c r="G3198" i="5"/>
  <c r="G3043" i="5"/>
  <c r="G2890" i="5"/>
  <c r="G2737" i="5"/>
  <c r="G2580" i="5"/>
  <c r="G2418" i="5"/>
  <c r="G2251" i="5"/>
  <c r="G2087" i="5"/>
  <c r="G1917" i="5"/>
  <c r="G1748" i="5"/>
  <c r="G1583" i="5"/>
  <c r="G1412" i="5"/>
  <c r="G1250" i="5"/>
  <c r="G1093" i="5"/>
  <c r="G920" i="5"/>
  <c r="G756" i="5"/>
  <c r="G590" i="5"/>
  <c r="G428" i="5"/>
  <c r="G263" i="5"/>
  <c r="G93" i="5"/>
  <c r="G3932" i="5"/>
  <c r="G3780" i="5"/>
  <c r="G3643" i="5"/>
  <c r="G3496" i="5"/>
  <c r="G3359" i="5"/>
  <c r="G3215" i="5"/>
  <c r="G3060" i="5"/>
  <c r="G2906" i="5"/>
  <c r="G2755" i="5"/>
  <c r="G2596" i="5"/>
  <c r="G2436" i="5"/>
  <c r="G2268" i="5"/>
  <c r="G2105" i="5"/>
  <c r="G1934" i="5"/>
  <c r="G1766" i="5"/>
  <c r="G1601" i="5"/>
  <c r="G1432" i="5"/>
  <c r="G1267" i="5"/>
  <c r="G1111" i="5"/>
  <c r="G942" i="5"/>
  <c r="G775" i="5"/>
  <c r="G608" i="5"/>
  <c r="G446" i="5"/>
  <c r="G284" i="5"/>
  <c r="G114" i="5"/>
  <c r="G283" i="5"/>
  <c r="G112" i="5"/>
  <c r="G1101" i="5"/>
  <c r="G931" i="5"/>
  <c r="G765" i="5"/>
  <c r="G3052" i="5"/>
  <c r="G2427" i="5"/>
  <c r="G1927" i="5"/>
  <c r="G933" i="5"/>
  <c r="G767" i="5"/>
  <c r="G597" i="5"/>
  <c r="G104" i="5"/>
  <c r="G3927" i="5"/>
  <c r="G3775" i="5"/>
  <c r="G3638" i="5"/>
  <c r="G3491" i="5"/>
  <c r="G3357" i="5"/>
  <c r="G3210" i="5"/>
  <c r="G3054" i="5"/>
  <c r="G2900" i="5"/>
  <c r="G2749" i="5"/>
  <c r="G2591" i="5"/>
  <c r="G2430" i="5"/>
  <c r="G2262" i="5"/>
  <c r="G2100" i="5"/>
  <c r="G1930" i="5"/>
  <c r="G1762" i="5"/>
  <c r="G1595" i="5"/>
  <c r="G1427" i="5"/>
  <c r="G1262" i="5"/>
  <c r="G1106" i="5"/>
  <c r="G937" i="5"/>
  <c r="G770" i="5"/>
  <c r="G602" i="5"/>
  <c r="G440" i="5"/>
  <c r="G279" i="5"/>
  <c r="G108" i="5"/>
  <c r="G3926" i="5"/>
  <c r="G3774" i="5"/>
  <c r="G3637" i="5"/>
  <c r="G3490" i="5"/>
  <c r="G3356" i="5"/>
  <c r="G3209" i="5"/>
  <c r="G3053" i="5"/>
  <c r="G2748" i="5"/>
  <c r="G2590" i="5"/>
  <c r="G2429" i="5"/>
  <c r="G2261" i="5"/>
  <c r="G2099" i="5"/>
  <c r="G1929" i="5"/>
  <c r="G1761" i="5"/>
  <c r="G1594" i="5"/>
  <c r="G1426" i="5"/>
  <c r="G1261" i="5"/>
  <c r="G1105" i="5"/>
  <c r="G769" i="5"/>
  <c r="G601" i="5"/>
  <c r="G277" i="5"/>
  <c r="G107" i="5"/>
  <c r="G3930" i="5"/>
  <c r="G3778" i="5"/>
  <c r="G3641" i="5"/>
  <c r="G3494" i="5"/>
  <c r="G3358" i="5"/>
  <c r="G3213" i="5"/>
  <c r="G3057" i="5"/>
  <c r="G2903" i="5"/>
  <c r="G2752" i="5"/>
  <c r="G2594" i="5"/>
  <c r="G2433" i="5"/>
  <c r="G2265" i="5"/>
  <c r="G2103" i="5"/>
  <c r="G1933" i="5"/>
  <c r="G1765" i="5"/>
  <c r="G1598" i="5"/>
  <c r="G1430" i="5"/>
  <c r="G1265" i="5"/>
  <c r="G1109" i="5"/>
  <c r="G940" i="5"/>
  <c r="G773" i="5"/>
  <c r="G605" i="5"/>
  <c r="G443" i="5"/>
  <c r="G282" i="5"/>
  <c r="G111" i="5"/>
  <c r="G3938" i="5"/>
  <c r="G3788" i="5"/>
  <c r="G3067" i="5"/>
  <c r="G2605" i="5"/>
  <c r="G2113" i="5"/>
  <c r="G1943" i="5"/>
  <c r="G1443" i="5"/>
  <c r="G454" i="5"/>
  <c r="G292" i="5"/>
  <c r="G123" i="5"/>
  <c r="G3923" i="5"/>
  <c r="G3634" i="5"/>
  <c r="G3488" i="5"/>
  <c r="G3207" i="5"/>
  <c r="G2899" i="5"/>
  <c r="G2747" i="5"/>
  <c r="G2589" i="5"/>
  <c r="G2258" i="5"/>
  <c r="G2096" i="5"/>
  <c r="G1928" i="5"/>
  <c r="G1757" i="5"/>
  <c r="G1422" i="5"/>
  <c r="G1258" i="5"/>
  <c r="G1103" i="5"/>
  <c r="G934" i="5"/>
  <c r="G768" i="5"/>
  <c r="G598" i="5"/>
  <c r="G437" i="5"/>
  <c r="G274" i="5"/>
  <c r="G105" i="5"/>
  <c r="G3924" i="5"/>
  <c r="G3773" i="5"/>
  <c r="G3635" i="5"/>
  <c r="G3354" i="5"/>
  <c r="G3208" i="5"/>
  <c r="G2259" i="5"/>
  <c r="G2097" i="5"/>
  <c r="G1758" i="5"/>
  <c r="G1592" i="5"/>
  <c r="G1423" i="5"/>
  <c r="G1259" i="5"/>
  <c r="G275" i="5"/>
  <c r="G3933" i="5"/>
  <c r="G3781" i="5"/>
  <c r="G3644" i="5"/>
  <c r="G3498" i="5"/>
  <c r="G3360" i="5"/>
  <c r="G3216" i="5"/>
  <c r="G3061" i="5"/>
  <c r="G2907" i="5"/>
  <c r="G2756" i="5"/>
  <c r="G2597" i="5"/>
  <c r="G2437" i="5"/>
  <c r="G2270" i="5"/>
  <c r="G2107" i="5"/>
  <c r="G1936" i="5"/>
  <c r="G1768" i="5"/>
  <c r="G1603" i="5"/>
  <c r="G1434" i="5"/>
  <c r="G1268" i="5"/>
  <c r="G1113" i="5"/>
  <c r="G944" i="5"/>
  <c r="G777" i="5"/>
  <c r="G610" i="5"/>
  <c r="G448" i="5"/>
  <c r="G286" i="5"/>
  <c r="G116" i="5"/>
  <c r="G3928" i="5"/>
  <c r="G3776" i="5"/>
  <c r="G3639" i="5"/>
  <c r="G3492" i="5"/>
  <c r="G3211" i="5"/>
  <c r="G3055" i="5"/>
  <c r="G2901" i="5"/>
  <c r="G2750" i="5"/>
  <c r="G2592" i="5"/>
  <c r="G2431" i="5"/>
  <c r="G2263" i="5"/>
  <c r="G2101" i="5"/>
  <c r="G1931" i="5"/>
  <c r="G1763" i="5"/>
  <c r="G1596" i="5"/>
  <c r="G1428" i="5"/>
  <c r="G1263" i="5"/>
  <c r="G1107" i="5"/>
  <c r="G938" i="5"/>
  <c r="G771" i="5"/>
  <c r="G603" i="5"/>
  <c r="G441" i="5"/>
  <c r="G280" i="5"/>
  <c r="G109" i="5"/>
  <c r="G1600" i="5"/>
  <c r="G1431" i="5"/>
  <c r="G1110" i="5"/>
  <c r="G774" i="5"/>
  <c r="G607" i="5"/>
  <c r="G445" i="5"/>
  <c r="G113" i="5"/>
  <c r="G2754" i="5"/>
  <c r="G2434" i="5"/>
  <c r="G2267" i="5"/>
  <c r="G2104" i="5"/>
  <c r="G1599" i="5"/>
  <c r="G941" i="5"/>
  <c r="G606" i="5"/>
  <c r="G444" i="5"/>
  <c r="G3497" i="5"/>
  <c r="G2269" i="5"/>
  <c r="G2106" i="5"/>
  <c r="G1935" i="5"/>
  <c r="G1767" i="5"/>
  <c r="G1602" i="5"/>
  <c r="G1433" i="5"/>
  <c r="G1112" i="5"/>
  <c r="G943" i="5"/>
  <c r="G776" i="5"/>
  <c r="G609" i="5"/>
  <c r="G447" i="5"/>
  <c r="G285" i="5"/>
  <c r="G115" i="5"/>
  <c r="G3925" i="5"/>
  <c r="G3636" i="5"/>
  <c r="G3489" i="5"/>
  <c r="G2428" i="5"/>
  <c r="G2260" i="5"/>
  <c r="G2098" i="5"/>
  <c r="G1759" i="5"/>
  <c r="G1593" i="5"/>
  <c r="G1424" i="5"/>
  <c r="G1104" i="5"/>
  <c r="G935" i="5"/>
  <c r="G599" i="5"/>
  <c r="G276" i="5"/>
  <c r="G106" i="5"/>
  <c r="G3355" i="5"/>
  <c r="G1760" i="5"/>
  <c r="G1425" i="5"/>
  <c r="G1260" i="5"/>
  <c r="G600" i="5"/>
  <c r="G438" i="5"/>
  <c r="G2745" i="5"/>
  <c r="G2094" i="5"/>
  <c r="G1925" i="5"/>
  <c r="G1755" i="5"/>
  <c r="G1590" i="5"/>
  <c r="G1420" i="5"/>
  <c r="G435" i="5"/>
  <c r="G102" i="5"/>
  <c r="G3922" i="5"/>
  <c r="G3772" i="5"/>
  <c r="G3633" i="5"/>
  <c r="G3487" i="5"/>
  <c r="G3353" i="5"/>
  <c r="G3206" i="5"/>
  <c r="G3051" i="5"/>
  <c r="G2898" i="5"/>
  <c r="G2746" i="5"/>
  <c r="G2588" i="5"/>
  <c r="G2426" i="5"/>
  <c r="G2257" i="5"/>
  <c r="G2095" i="5"/>
  <c r="G1926" i="5"/>
  <c r="G1756" i="5"/>
  <c r="G1591" i="5"/>
  <c r="G1421" i="5"/>
  <c r="G1257" i="5"/>
  <c r="G1102" i="5"/>
  <c r="G932" i="5"/>
  <c r="G766" i="5"/>
  <c r="G596" i="5"/>
  <c r="G436" i="5"/>
  <c r="G273" i="5"/>
  <c r="G103" i="5"/>
  <c r="G3937" i="5"/>
  <c r="G3787" i="5"/>
  <c r="G3650" i="5"/>
  <c r="G3504" i="5"/>
  <c r="G3366" i="5"/>
  <c r="G3220" i="5"/>
  <c r="G3066" i="5"/>
  <c r="G2912" i="5"/>
  <c r="G2763" i="5"/>
  <c r="G2604" i="5"/>
  <c r="G2442" i="5"/>
  <c r="G2276" i="5"/>
  <c r="G2112" i="5"/>
  <c r="G1942" i="5"/>
  <c r="G1776" i="5"/>
  <c r="G1610" i="5"/>
  <c r="G1442" i="5"/>
  <c r="G1275" i="5"/>
  <c r="G1119" i="5"/>
  <c r="G951" i="5"/>
  <c r="G782" i="5"/>
  <c r="G616" i="5"/>
  <c r="G453" i="5"/>
  <c r="G291" i="5"/>
  <c r="G122" i="5"/>
  <c r="G3782" i="5"/>
  <c r="G3645" i="5"/>
  <c r="G3361" i="5"/>
  <c r="G3062" i="5"/>
  <c r="G2757" i="5"/>
  <c r="G2598" i="5"/>
  <c r="G2438" i="5"/>
  <c r="G2271" i="5"/>
  <c r="G2108" i="5"/>
  <c r="G1937" i="5"/>
  <c r="G1769" i="5"/>
  <c r="G1435" i="5"/>
  <c r="G1269" i="5"/>
  <c r="G117" i="5"/>
  <c r="G3502" i="5"/>
  <c r="G2761" i="5"/>
  <c r="G2602" i="5"/>
  <c r="G1940" i="5"/>
  <c r="G1774" i="5"/>
  <c r="G1608" i="5"/>
  <c r="G1440" i="5"/>
  <c r="G1273" i="5"/>
  <c r="G1117" i="5"/>
  <c r="G949" i="5"/>
  <c r="G780" i="5"/>
  <c r="G614" i="5"/>
  <c r="G451" i="5"/>
  <c r="G289" i="5"/>
  <c r="G120" i="5"/>
  <c r="G3936" i="5"/>
  <c r="G3786" i="5"/>
  <c r="G3649" i="5"/>
  <c r="G3503" i="5"/>
  <c r="G3365" i="5"/>
  <c r="G3065" i="5"/>
  <c r="G2911" i="5"/>
  <c r="G2762" i="5"/>
  <c r="G2603" i="5"/>
  <c r="G2441" i="5"/>
  <c r="G2275" i="5"/>
  <c r="G2111" i="5"/>
  <c r="G1941" i="5"/>
  <c r="G1775" i="5"/>
  <c r="G1609" i="5"/>
  <c r="G1441" i="5"/>
  <c r="G1274" i="5"/>
  <c r="G1118" i="5"/>
  <c r="G950" i="5"/>
  <c r="G781" i="5"/>
  <c r="G615" i="5"/>
  <c r="G452" i="5"/>
  <c r="G290" i="5"/>
  <c r="G121" i="5"/>
  <c r="G2910" i="5"/>
  <c r="G2601" i="5"/>
  <c r="G1773" i="5"/>
  <c r="G1607" i="5"/>
  <c r="G1439" i="5"/>
  <c r="G1272" i="5"/>
  <c r="G948" i="5"/>
  <c r="G3934" i="5"/>
  <c r="G3784" i="5"/>
  <c r="G3647" i="5"/>
  <c r="G3500" i="5"/>
  <c r="G3363" i="5"/>
  <c r="G3218" i="5"/>
  <c r="G3063" i="5"/>
  <c r="G2908" i="5"/>
  <c r="G2759" i="5"/>
  <c r="G2599" i="5"/>
  <c r="G2439" i="5"/>
  <c r="G2273" i="5"/>
  <c r="G2109" i="5"/>
  <c r="G1938" i="5"/>
  <c r="G1771" i="5"/>
  <c r="G1605" i="5"/>
  <c r="G1437" i="5"/>
  <c r="G1271" i="5"/>
  <c r="G1115" i="5"/>
  <c r="G946" i="5"/>
  <c r="G778" i="5"/>
  <c r="G612" i="5"/>
  <c r="G449" i="5"/>
  <c r="G287" i="5"/>
  <c r="G118" i="5"/>
  <c r="G3939" i="5"/>
  <c r="G3789" i="5"/>
  <c r="G3651" i="5"/>
  <c r="G3505" i="5"/>
  <c r="G3367" i="5"/>
  <c r="G3221" i="5"/>
  <c r="G3068" i="5"/>
  <c r="G2913" i="5"/>
  <c r="G2764" i="5"/>
  <c r="G2606" i="5"/>
  <c r="G2443" i="5"/>
  <c r="G2277" i="5"/>
  <c r="G2114" i="5"/>
  <c r="G1944" i="5"/>
  <c r="G1777" i="5"/>
  <c r="G1611" i="5"/>
  <c r="G1444" i="5"/>
  <c r="G1276" i="5"/>
  <c r="G1120" i="5"/>
  <c r="G952" i="5"/>
  <c r="G783" i="5"/>
  <c r="G617" i="5"/>
  <c r="G455" i="5"/>
  <c r="G293" i="5"/>
  <c r="G124" i="5"/>
  <c r="G3783" i="5"/>
  <c r="G3646" i="5"/>
  <c r="G3499" i="5"/>
  <c r="G3362" i="5"/>
  <c r="G3217" i="5"/>
  <c r="G2758" i="5"/>
  <c r="G2272" i="5"/>
  <c r="G1770" i="5"/>
  <c r="G1604" i="5"/>
  <c r="G1436" i="5"/>
  <c r="G1270" i="5"/>
  <c r="G1114" i="5"/>
  <c r="G945" i="5"/>
  <c r="G611" i="5"/>
  <c r="G3785" i="5"/>
  <c r="G3648" i="5"/>
  <c r="G3501" i="5"/>
  <c r="G3364" i="5"/>
  <c r="G3064" i="5"/>
  <c r="G2909" i="5"/>
  <c r="G2760" i="5"/>
  <c r="G2600" i="5"/>
  <c r="G2440" i="5"/>
  <c r="G2274" i="5"/>
  <c r="G2110" i="5"/>
  <c r="G1939" i="5"/>
  <c r="G1772" i="5"/>
  <c r="G1606" i="5"/>
  <c r="G1116" i="5"/>
  <c r="G947" i="5"/>
  <c r="G779" i="5"/>
  <c r="G613" i="5"/>
  <c r="G450" i="5"/>
  <c r="G288" i="5"/>
  <c r="G119" i="5"/>
  <c r="G3940" i="5"/>
  <c r="G3790" i="5"/>
  <c r="G3652" i="5"/>
  <c r="G3506" i="5"/>
  <c r="G3368" i="5"/>
  <c r="G3222" i="5"/>
  <c r="G3069" i="5"/>
  <c r="G2914" i="5"/>
  <c r="G2765" i="5"/>
  <c r="G2607" i="5"/>
  <c r="G2444" i="5"/>
  <c r="G2278" i="5"/>
  <c r="G2115" i="5"/>
  <c r="G1945" i="5"/>
  <c r="G1778" i="5"/>
  <c r="G1612" i="5"/>
  <c r="G1445" i="5"/>
  <c r="G1277" i="5"/>
  <c r="G1121" i="5"/>
  <c r="G953" i="5"/>
  <c r="G784" i="5"/>
  <c r="G618" i="5"/>
  <c r="G456" i="5"/>
  <c r="G294" i="5"/>
  <c r="G125" i="5"/>
  <c r="G3941" i="5"/>
  <c r="G3791" i="5"/>
  <c r="G3653" i="5"/>
  <c r="G3507" i="5"/>
  <c r="G3369" i="5"/>
  <c r="G3223" i="5"/>
  <c r="G3070" i="5"/>
  <c r="G2915" i="5"/>
  <c r="G2766" i="5"/>
  <c r="G2608" i="5"/>
  <c r="G2445" i="5"/>
  <c r="G2279" i="5"/>
  <c r="G2116" i="5"/>
  <c r="G1946" i="5"/>
  <c r="G1779" i="5"/>
  <c r="G1613" i="5"/>
  <c r="G1446" i="5"/>
  <c r="G1278" i="5"/>
  <c r="G1122" i="5"/>
  <c r="G954" i="5"/>
  <c r="G785" i="5"/>
  <c r="G619" i="5"/>
  <c r="G457" i="5"/>
  <c r="G295" i="5"/>
  <c r="G3942" i="5"/>
  <c r="G3654" i="5"/>
  <c r="G3370" i="5"/>
  <c r="G3224" i="5"/>
  <c r="G2280" i="5"/>
  <c r="G2117" i="5"/>
  <c r="G1279" i="5"/>
  <c r="G620" i="5"/>
  <c r="G296" i="5"/>
  <c r="G3943" i="5"/>
  <c r="G3792" i="5"/>
  <c r="G3655" i="5"/>
  <c r="G3508" i="5"/>
  <c r="G3371" i="5"/>
  <c r="G3225" i="5"/>
  <c r="G3071" i="5"/>
  <c r="G2916" i="5"/>
  <c r="G2767" i="5"/>
  <c r="G2609" i="5"/>
  <c r="G2446" i="5"/>
  <c r="G2281" i="5"/>
  <c r="G2118" i="5"/>
  <c r="G1947" i="5"/>
  <c r="G1780" i="5"/>
  <c r="G1614" i="5"/>
  <c r="G1447" i="5"/>
  <c r="G1280" i="5"/>
  <c r="G1123" i="5"/>
  <c r="G955" i="5"/>
  <c r="G786" i="5"/>
  <c r="G621" i="5"/>
  <c r="G458" i="5"/>
  <c r="G297" i="5"/>
  <c r="G126" i="5"/>
  <c r="G3944" i="5"/>
  <c r="G3794" i="5"/>
  <c r="G3656" i="5"/>
  <c r="G3509" i="5"/>
  <c r="G3373" i="5"/>
  <c r="G3227" i="5"/>
  <c r="G3072" i="5"/>
  <c r="G2917" i="5"/>
  <c r="G2610" i="5"/>
  <c r="G2448" i="5"/>
  <c r="G2283" i="5"/>
  <c r="G2120" i="5"/>
  <c r="G1949" i="5"/>
  <c r="G1782" i="5"/>
  <c r="G1615" i="5"/>
  <c r="G1448" i="5"/>
  <c r="G1282" i="5"/>
  <c r="G1125" i="5"/>
  <c r="G958" i="5"/>
  <c r="G788" i="5"/>
  <c r="G624" i="5"/>
  <c r="G459" i="5"/>
  <c r="G299" i="5"/>
  <c r="G127" i="5"/>
  <c r="G3795" i="5"/>
  <c r="G3657" i="5"/>
  <c r="G3510" i="5"/>
  <c r="G3374" i="5"/>
  <c r="G3228" i="5"/>
  <c r="G3073" i="5"/>
  <c r="G2918" i="5"/>
  <c r="G2768" i="5"/>
  <c r="G2611" i="5"/>
  <c r="G2449" i="5"/>
  <c r="G2284" i="5"/>
  <c r="G2121" i="5"/>
  <c r="G1950" i="5"/>
  <c r="G1783" i="5"/>
  <c r="G1616" i="5"/>
  <c r="G1449" i="5"/>
  <c r="G1283" i="5"/>
  <c r="G1126" i="5"/>
  <c r="G959" i="5"/>
  <c r="G789" i="5"/>
  <c r="G625" i="5"/>
  <c r="G460" i="5"/>
  <c r="G300" i="5"/>
  <c r="G128" i="5"/>
  <c r="G787" i="5"/>
  <c r="G1781" i="5"/>
  <c r="G1281" i="5"/>
  <c r="G1124" i="5"/>
  <c r="G622" i="5"/>
  <c r="G298" i="5"/>
  <c r="G3945" i="5"/>
  <c r="G3796" i="5"/>
  <c r="G3658" i="5"/>
  <c r="G3511" i="5"/>
  <c r="G3375" i="5"/>
  <c r="G3229" i="5"/>
  <c r="G3074" i="5"/>
  <c r="G2919" i="5"/>
  <c r="G2769" i="5"/>
  <c r="G2612" i="5"/>
  <c r="G2450" i="5"/>
  <c r="G2285" i="5"/>
  <c r="G2122" i="5"/>
  <c r="G1951" i="5"/>
  <c r="G1784" i="5"/>
  <c r="G1617" i="5"/>
  <c r="G1450" i="5"/>
  <c r="G1284" i="5"/>
  <c r="G1127" i="5"/>
  <c r="G960" i="5"/>
  <c r="G790" i="5"/>
  <c r="G626" i="5"/>
  <c r="G461" i="5"/>
  <c r="G301" i="5"/>
  <c r="G129" i="5"/>
  <c r="G3948" i="5"/>
  <c r="G3660" i="5"/>
  <c r="G3514" i="5"/>
  <c r="G3077" i="5"/>
  <c r="G2922" i="5"/>
  <c r="G2772" i="5"/>
  <c r="G2615" i="5"/>
  <c r="G2453" i="5"/>
  <c r="G2288" i="5"/>
  <c r="G2125" i="5"/>
  <c r="G1954" i="5"/>
  <c r="G1787" i="5"/>
  <c r="G1620" i="5"/>
  <c r="G1453" i="5"/>
  <c r="G1287" i="5"/>
  <c r="G1130" i="5"/>
  <c r="G963" i="5"/>
  <c r="G793" i="5"/>
  <c r="G464" i="5"/>
  <c r="G304" i="5"/>
  <c r="G132" i="5"/>
  <c r="G3906" i="5"/>
  <c r="G3760" i="5"/>
  <c r="G3618" i="5"/>
  <c r="G3470" i="5"/>
  <c r="G3338" i="5"/>
  <c r="G3189" i="5"/>
  <c r="G3035" i="5"/>
  <c r="G2885" i="5"/>
  <c r="G2728" i="5"/>
  <c r="G2572" i="5"/>
  <c r="G2411" i="5"/>
  <c r="G3946" i="5"/>
  <c r="G3797" i="5"/>
  <c r="G3512" i="5"/>
  <c r="G3376" i="5"/>
  <c r="G3230" i="5"/>
  <c r="G3075" i="5"/>
  <c r="G2920" i="5"/>
  <c r="G2770" i="5"/>
  <c r="G2613" i="5"/>
  <c r="G2451" i="5"/>
  <c r="G2286" i="5"/>
  <c r="G2123" i="5"/>
  <c r="G1952" i="5"/>
  <c r="G1785" i="5"/>
  <c r="G1618" i="5"/>
  <c r="G1451" i="5"/>
  <c r="G1285" i="5"/>
  <c r="G1128" i="5"/>
  <c r="G961" i="5"/>
  <c r="G791" i="5"/>
  <c r="G627" i="5"/>
  <c r="G302" i="5"/>
  <c r="G130" i="5"/>
  <c r="G3793" i="5"/>
  <c r="G3372" i="5"/>
  <c r="G3226" i="5"/>
  <c r="G2447" i="5"/>
  <c r="G2282" i="5"/>
  <c r="G2119" i="5"/>
  <c r="G1948" i="5"/>
  <c r="G957" i="5"/>
  <c r="G623" i="5"/>
  <c r="G2960" i="5"/>
  <c r="G2654" i="5"/>
  <c r="G2493" i="5"/>
  <c r="G1494" i="5"/>
  <c r="G1000" i="5"/>
  <c r="G342" i="5"/>
  <c r="G3947" i="5"/>
  <c r="G3798" i="5"/>
  <c r="G3659" i="5"/>
  <c r="G3513" i="5"/>
  <c r="G3377" i="5"/>
  <c r="G3231" i="5"/>
  <c r="G3076" i="5"/>
  <c r="G2921" i="5"/>
  <c r="G2771" i="5"/>
  <c r="G2614" i="5"/>
  <c r="G2452" i="5"/>
  <c r="G2287" i="5"/>
  <c r="G2124" i="5"/>
  <c r="G1953" i="5"/>
  <c r="G1786" i="5"/>
  <c r="G1619" i="5"/>
  <c r="G1452" i="5"/>
  <c r="G1286" i="5"/>
  <c r="G1129" i="5"/>
  <c r="G962" i="5"/>
  <c r="G792" i="5"/>
  <c r="G628" i="5"/>
  <c r="G463" i="5"/>
  <c r="G303" i="5"/>
  <c r="G131" i="5"/>
  <c r="G3949" i="5"/>
  <c r="G2923" i="5"/>
  <c r="G2616" i="5"/>
  <c r="G2454" i="5"/>
  <c r="G2289" i="5"/>
  <c r="G2126" i="5"/>
  <c r="G1955" i="5"/>
  <c r="G1788" i="5"/>
  <c r="G1621" i="5"/>
  <c r="G1454" i="5"/>
  <c r="G1288" i="5"/>
  <c r="G1131" i="5"/>
  <c r="G964" i="5"/>
  <c r="G794" i="5"/>
  <c r="G629" i="5"/>
  <c r="G465" i="5"/>
  <c r="G305" i="5"/>
  <c r="G133" i="5"/>
  <c r="G3950" i="5"/>
  <c r="G3799" i="5"/>
  <c r="G3661" i="5"/>
  <c r="G3515" i="5"/>
  <c r="G3378" i="5"/>
  <c r="G3232" i="5"/>
  <c r="G3079" i="5"/>
  <c r="G2924" i="5"/>
  <c r="G2773" i="5"/>
  <c r="G2617" i="5"/>
  <c r="G2455" i="5"/>
  <c r="G2290" i="5"/>
  <c r="G2127" i="5"/>
  <c r="G1956" i="5"/>
  <c r="G1789" i="5"/>
  <c r="G1622" i="5"/>
  <c r="G1455" i="5"/>
  <c r="G1289" i="5"/>
  <c r="G1132" i="5"/>
  <c r="G965" i="5"/>
  <c r="G795" i="5"/>
  <c r="G630" i="5"/>
  <c r="G466" i="5"/>
  <c r="G306" i="5"/>
  <c r="G134" i="5"/>
  <c r="G3951" i="5"/>
  <c r="G3800" i="5"/>
  <c r="G2925" i="5"/>
  <c r="G2618" i="5"/>
  <c r="G2456" i="5"/>
  <c r="G2291" i="5"/>
  <c r="G2128" i="5"/>
  <c r="G1957" i="5"/>
  <c r="G1790" i="5"/>
  <c r="G1623" i="5"/>
  <c r="G1456" i="5"/>
  <c r="G1290" i="5"/>
  <c r="G1133" i="5"/>
  <c r="G966" i="5"/>
  <c r="G796" i="5"/>
  <c r="G631" i="5"/>
  <c r="G467" i="5"/>
  <c r="G307" i="5"/>
  <c r="G135" i="5"/>
  <c r="G3952" i="5"/>
  <c r="G3081" i="5"/>
  <c r="G2926" i="5"/>
  <c r="G2775" i="5"/>
  <c r="G2619" i="5"/>
  <c r="G2129" i="5"/>
  <c r="G1958" i="5"/>
  <c r="G1791" i="5"/>
  <c r="G1624" i="5"/>
  <c r="G1291" i="5"/>
  <c r="G1134" i="5"/>
  <c r="G967" i="5"/>
  <c r="G632" i="5"/>
  <c r="G468" i="5"/>
  <c r="G308" i="5"/>
  <c r="G3959" i="5"/>
  <c r="G3807" i="5"/>
  <c r="G3668" i="5"/>
  <c r="G3521" i="5"/>
  <c r="G3385" i="5"/>
  <c r="G3241" i="5"/>
  <c r="G3090" i="5"/>
  <c r="G2934" i="5"/>
  <c r="G2782" i="5"/>
  <c r="G2627" i="5"/>
  <c r="G2464" i="5"/>
  <c r="G2301" i="5"/>
  <c r="G2137" i="5"/>
  <c r="G1967" i="5"/>
  <c r="G1800" i="5"/>
  <c r="G1633" i="5"/>
  <c r="G1467" i="5"/>
  <c r="G1300" i="5"/>
  <c r="G1142" i="5"/>
  <c r="G977" i="5"/>
  <c r="G804" i="5"/>
  <c r="G643" i="5"/>
  <c r="G476" i="5"/>
  <c r="G318" i="5"/>
  <c r="G144" i="5"/>
  <c r="G3953" i="5"/>
  <c r="G3801" i="5"/>
  <c r="G3663" i="5"/>
  <c r="G3517" i="5"/>
  <c r="G3380" i="5"/>
  <c r="G3234" i="5"/>
  <c r="G3082" i="5"/>
  <c r="G2927" i="5"/>
  <c r="G2776" i="5"/>
  <c r="G2620" i="5"/>
  <c r="G2457" i="5"/>
  <c r="G2292" i="5"/>
  <c r="G2130" i="5"/>
  <c r="G1959" i="5"/>
  <c r="G1792" i="5"/>
  <c r="G1625" i="5"/>
  <c r="G1457" i="5"/>
  <c r="G1292" i="5"/>
  <c r="G1135" i="5"/>
  <c r="G969" i="5"/>
  <c r="G797" i="5"/>
  <c r="G633" i="5"/>
  <c r="G469" i="5"/>
  <c r="G309" i="5"/>
  <c r="G136" i="5"/>
  <c r="G3814" i="5"/>
  <c r="G3672" i="5"/>
  <c r="G3525" i="5"/>
  <c r="G3389" i="5"/>
  <c r="G3245" i="5"/>
  <c r="G3097" i="5"/>
  <c r="G2942" i="5"/>
  <c r="G2790" i="5"/>
  <c r="G2635" i="5"/>
  <c r="G2472" i="5"/>
  <c r="G2309" i="5"/>
  <c r="G2144" i="5"/>
  <c r="G1975" i="5"/>
  <c r="G1808" i="5"/>
  <c r="G1640" i="5"/>
  <c r="G1474" i="5"/>
  <c r="G1304" i="5"/>
  <c r="G1146" i="5"/>
  <c r="G981" i="5"/>
  <c r="G484" i="5"/>
  <c r="G325" i="5"/>
  <c r="G148" i="5"/>
  <c r="G3235" i="5"/>
  <c r="G3083" i="5"/>
  <c r="G2928" i="5"/>
  <c r="G2777" i="5"/>
  <c r="G2621" i="5"/>
  <c r="G2458" i="5"/>
  <c r="G2293" i="5"/>
  <c r="G1793" i="5"/>
  <c r="G1626" i="5"/>
  <c r="G1458" i="5"/>
  <c r="G1293" i="5"/>
  <c r="G1136" i="5"/>
  <c r="G970" i="5"/>
  <c r="G798" i="5"/>
  <c r="G634" i="5"/>
  <c r="G470" i="5"/>
  <c r="G310" i="5"/>
  <c r="G137" i="5"/>
  <c r="G3955" i="5"/>
  <c r="G3803" i="5"/>
  <c r="G3664" i="5"/>
  <c r="G3518" i="5"/>
  <c r="G3381" i="5"/>
  <c r="G3237" i="5"/>
  <c r="G3086" i="5"/>
  <c r="G2930" i="5"/>
  <c r="G2779" i="5"/>
  <c r="G2623" i="5"/>
  <c r="G2460" i="5"/>
  <c r="G2297" i="5"/>
  <c r="G2133" i="5"/>
  <c r="G1963" i="5"/>
  <c r="G1796" i="5"/>
  <c r="G1629" i="5"/>
  <c r="G1462" i="5"/>
  <c r="G1295" i="5"/>
  <c r="G1139" i="5"/>
  <c r="G972" i="5"/>
  <c r="G800" i="5"/>
  <c r="G637" i="5"/>
  <c r="G472" i="5"/>
  <c r="G312" i="5"/>
  <c r="G139" i="5"/>
  <c r="G974" i="5"/>
  <c r="G640" i="5"/>
  <c r="G3085" i="5"/>
  <c r="G2296" i="5"/>
  <c r="G2132" i="5"/>
  <c r="G1962" i="5"/>
  <c r="G1628" i="5"/>
  <c r="G1461" i="5"/>
  <c r="G3586" i="5"/>
  <c r="G3442" i="5"/>
  <c r="G2695" i="5"/>
  <c r="G2540" i="5"/>
  <c r="G2375" i="5"/>
  <c r="G2206" i="5"/>
  <c r="G2042" i="5"/>
  <c r="G1872" i="5"/>
  <c r="G1703" i="5"/>
  <c r="G1207" i="5"/>
  <c r="G1044" i="5"/>
  <c r="G873" i="5"/>
  <c r="G712" i="5"/>
  <c r="G544" i="5"/>
  <c r="G388" i="5"/>
  <c r="G214" i="5"/>
  <c r="G43" i="5"/>
  <c r="G1965" i="5"/>
  <c r="G1631" i="5"/>
  <c r="G1465" i="5"/>
  <c r="G1298" i="5"/>
  <c r="G975" i="5"/>
  <c r="G802" i="5"/>
  <c r="G641" i="5"/>
  <c r="G316" i="5"/>
  <c r="G142" i="5"/>
  <c r="G3954" i="5"/>
  <c r="G3802" i="5"/>
  <c r="G2459" i="5"/>
  <c r="G2131" i="5"/>
  <c r="G1459" i="5"/>
  <c r="G1294" i="5"/>
  <c r="G1137" i="5"/>
  <c r="G971" i="5"/>
  <c r="G799" i="5"/>
  <c r="G635" i="5"/>
  <c r="G471" i="5"/>
  <c r="G311" i="5"/>
  <c r="G138" i="5"/>
  <c r="G3964" i="5"/>
  <c r="G3812" i="5"/>
  <c r="G3095" i="5"/>
  <c r="G2940" i="5"/>
  <c r="G2788" i="5"/>
  <c r="G2633" i="5"/>
  <c r="G2470" i="5"/>
  <c r="G2307" i="5"/>
  <c r="G2142" i="5"/>
  <c r="G1973" i="5"/>
  <c r="G1806" i="5"/>
  <c r="G1638" i="5"/>
  <c r="G1472" i="5"/>
  <c r="G482" i="5"/>
  <c r="G323" i="5"/>
  <c r="G2936" i="5"/>
  <c r="G2784" i="5"/>
  <c r="G2629" i="5"/>
  <c r="G2466" i="5"/>
  <c r="G2303" i="5"/>
  <c r="G2139" i="5"/>
  <c r="G1969" i="5"/>
  <c r="G1802" i="5"/>
  <c r="G1635" i="5"/>
  <c r="G1469" i="5"/>
  <c r="G645" i="5"/>
  <c r="G478" i="5"/>
  <c r="G3963" i="5"/>
  <c r="G3811" i="5"/>
  <c r="G3094" i="5"/>
  <c r="G2939" i="5"/>
  <c r="G2787" i="5"/>
  <c r="G2632" i="5"/>
  <c r="G2469" i="5"/>
  <c r="G2306" i="5"/>
  <c r="G2141" i="5"/>
  <c r="G1972" i="5"/>
  <c r="G1805" i="5"/>
  <c r="G1637" i="5"/>
  <c r="G1471" i="5"/>
  <c r="G481" i="5"/>
  <c r="G322" i="5"/>
  <c r="G2299" i="5"/>
  <c r="G2135" i="5"/>
  <c r="G1297" i="5"/>
  <c r="G315" i="5"/>
  <c r="G3966" i="5"/>
  <c r="G2145" i="5"/>
  <c r="G1976" i="5"/>
  <c r="G1641" i="5"/>
  <c r="G149" i="5"/>
  <c r="G3956" i="5"/>
  <c r="G3665" i="5"/>
  <c r="G3382" i="5"/>
  <c r="G3238" i="5"/>
  <c r="G2931" i="5"/>
  <c r="G2780" i="5"/>
  <c r="G2624" i="5"/>
  <c r="G2461" i="5"/>
  <c r="G2134" i="5"/>
  <c r="G1964" i="5"/>
  <c r="G1296" i="5"/>
  <c r="G1140" i="5"/>
  <c r="G973" i="5"/>
  <c r="G801" i="5"/>
  <c r="G638" i="5"/>
  <c r="G473" i="5"/>
  <c r="G313" i="5"/>
  <c r="G140" i="5"/>
  <c r="G3957" i="5"/>
  <c r="G3805" i="5"/>
  <c r="G3666" i="5"/>
  <c r="G3519" i="5"/>
  <c r="G3383" i="5"/>
  <c r="G3239" i="5"/>
  <c r="G3088" i="5"/>
  <c r="G2932" i="5"/>
  <c r="G2625" i="5"/>
  <c r="G2462" i="5"/>
  <c r="G2298" i="5"/>
  <c r="G1798" i="5"/>
  <c r="G639" i="5"/>
  <c r="G314" i="5"/>
  <c r="G141" i="5"/>
  <c r="G3967" i="5"/>
  <c r="G3815" i="5"/>
  <c r="G3673" i="5"/>
  <c r="G3526" i="5"/>
  <c r="G3390" i="5"/>
  <c r="G3246" i="5"/>
  <c r="G3098" i="5"/>
  <c r="G2943" i="5"/>
  <c r="G2791" i="5"/>
  <c r="G2636" i="5"/>
  <c r="G2310" i="5"/>
  <c r="G2146" i="5"/>
  <c r="G1977" i="5"/>
  <c r="G1809" i="5"/>
  <c r="G1642" i="5"/>
  <c r="G1475" i="5"/>
  <c r="G1305" i="5"/>
  <c r="G1147" i="5"/>
  <c r="G982" i="5"/>
  <c r="G807" i="5"/>
  <c r="G648" i="5"/>
  <c r="G485" i="5"/>
  <c r="G326" i="5"/>
  <c r="G150" i="5"/>
  <c r="G3875" i="5"/>
  <c r="G3732" i="5"/>
  <c r="G714" i="5"/>
  <c r="G3236" i="5"/>
  <c r="G2295" i="5"/>
  <c r="G1961" i="5"/>
  <c r="G1795" i="5"/>
  <c r="G1460" i="5"/>
  <c r="G1138" i="5"/>
  <c r="G636" i="5"/>
  <c r="G3969" i="5"/>
  <c r="G3817" i="5"/>
  <c r="G3675" i="5"/>
  <c r="G3528" i="5"/>
  <c r="G3392" i="5"/>
  <c r="G3248" i="5"/>
  <c r="G3100" i="5"/>
  <c r="G2945" i="5"/>
  <c r="G2793" i="5"/>
  <c r="G2638" i="5"/>
  <c r="G2475" i="5"/>
  <c r="G2312" i="5"/>
  <c r="G2148" i="5"/>
  <c r="G1979" i="5"/>
  <c r="G1811" i="5"/>
  <c r="G1644" i="5"/>
  <c r="G1477" i="5"/>
  <c r="G1307" i="5"/>
  <c r="G1149" i="5"/>
  <c r="G984" i="5"/>
  <c r="G809" i="5"/>
  <c r="G650" i="5"/>
  <c r="G3714" i="5"/>
  <c r="G2989" i="5"/>
  <c r="G2835" i="5"/>
  <c r="G2679" i="5"/>
  <c r="G2523" i="5"/>
  <c r="G2358" i="5"/>
  <c r="G2190" i="5"/>
  <c r="G2024" i="5"/>
  <c r="G1857" i="5"/>
  <c r="G1687" i="5"/>
  <c r="G1522" i="5"/>
  <c r="G1353" i="5"/>
  <c r="G1191" i="5"/>
  <c r="G1027" i="5"/>
  <c r="G855" i="5"/>
  <c r="G695" i="5"/>
  <c r="G528" i="5"/>
  <c r="G372" i="5"/>
  <c r="G196" i="5"/>
  <c r="G25" i="5"/>
  <c r="G3870" i="5"/>
  <c r="G3727" i="5"/>
  <c r="G3583" i="5"/>
  <c r="G3440" i="5"/>
  <c r="G3303" i="5"/>
  <c r="G3155" i="5"/>
  <c r="G3001" i="5"/>
  <c r="G2847" i="5"/>
  <c r="G2692" i="5"/>
  <c r="G2537" i="5"/>
  <c r="G2372" i="5"/>
  <c r="G2203" i="5"/>
  <c r="G2039" i="5"/>
  <c r="G1869" i="5"/>
  <c r="G1700" i="5"/>
  <c r="G1537" i="5"/>
  <c r="G1367" i="5"/>
  <c r="G1204" i="5"/>
  <c r="G1041" i="5"/>
  <c r="G870" i="5"/>
  <c r="G709" i="5"/>
  <c r="G541" i="5"/>
  <c r="G385" i="5"/>
  <c r="G211" i="5"/>
  <c r="G40" i="5"/>
  <c r="G3880" i="5"/>
  <c r="G3736" i="5"/>
  <c r="G2856" i="5"/>
  <c r="G2546" i="5"/>
  <c r="G2382" i="5"/>
  <c r="G2213" i="5"/>
  <c r="G2049" i="5"/>
  <c r="G1879" i="5"/>
  <c r="G1710" i="5"/>
  <c r="G1545" i="5"/>
  <c r="G1375" i="5"/>
  <c r="G1213" i="5"/>
  <c r="G1051" i="5"/>
  <c r="G879" i="5"/>
  <c r="G719" i="5"/>
  <c r="G551" i="5"/>
  <c r="G394" i="5"/>
  <c r="G220" i="5"/>
  <c r="G50" i="5"/>
  <c r="G2478" i="5"/>
  <c r="G1814" i="5"/>
  <c r="G987" i="5"/>
  <c r="G812" i="5"/>
  <c r="G653" i="5"/>
  <c r="G489" i="5"/>
  <c r="G330" i="5"/>
  <c r="G154" i="5"/>
  <c r="G3971" i="5"/>
  <c r="G3818" i="5"/>
  <c r="G3677" i="5"/>
  <c r="G3530" i="5"/>
  <c r="G3393" i="5"/>
  <c r="G3250" i="5"/>
  <c r="G3103" i="5"/>
  <c r="G2948" i="5"/>
  <c r="G2794" i="5"/>
  <c r="G2641" i="5"/>
  <c r="G2476" i="5"/>
  <c r="G2314" i="5"/>
  <c r="G2150" i="5"/>
  <c r="G1982" i="5"/>
  <c r="G1813" i="5"/>
  <c r="G1646" i="5"/>
  <c r="G1480" i="5"/>
  <c r="G1310" i="5"/>
  <c r="G1152" i="5"/>
  <c r="G986" i="5"/>
  <c r="G811" i="5"/>
  <c r="G652" i="5"/>
  <c r="G488" i="5"/>
  <c r="G329" i="5"/>
  <c r="G153" i="5"/>
  <c r="G3101" i="5"/>
  <c r="G2946" i="5"/>
  <c r="G2639" i="5"/>
  <c r="G1980" i="5"/>
  <c r="G1478" i="5"/>
  <c r="G1308" i="5"/>
  <c r="G1150" i="5"/>
  <c r="G985" i="5"/>
  <c r="G487" i="5"/>
  <c r="G328" i="5"/>
  <c r="G152" i="5"/>
  <c r="G3533" i="5"/>
  <c r="G3395" i="5"/>
  <c r="G2797" i="5"/>
  <c r="G2643" i="5"/>
  <c r="G2482" i="5"/>
  <c r="G2319" i="5"/>
  <c r="G2153" i="5"/>
  <c r="G1985" i="5"/>
  <c r="G1817" i="5"/>
  <c r="G1650" i="5"/>
  <c r="G1484" i="5"/>
  <c r="G1313" i="5"/>
  <c r="G657" i="5"/>
  <c r="G3913" i="5"/>
  <c r="G3766" i="5"/>
  <c r="G3624" i="5"/>
  <c r="G3478" i="5"/>
  <c r="G3345" i="5"/>
  <c r="G3197" i="5"/>
  <c r="G3042" i="5"/>
  <c r="G2736" i="5"/>
  <c r="G2579" i="5"/>
  <c r="G2417" i="5"/>
  <c r="G2250" i="5"/>
  <c r="G2086" i="5"/>
  <c r="G1916" i="5"/>
  <c r="G1747" i="5"/>
  <c r="G1582" i="5"/>
  <c r="G1411" i="5"/>
  <c r="G1249" i="5"/>
  <c r="G1092" i="5"/>
  <c r="G755" i="5"/>
  <c r="G589" i="5"/>
  <c r="G262" i="5"/>
  <c r="G92" i="5"/>
  <c r="G2477" i="5"/>
  <c r="G2315" i="5"/>
  <c r="G3929" i="5"/>
  <c r="G3777" i="5"/>
  <c r="G3640" i="5"/>
  <c r="G3493" i="5"/>
  <c r="G3212" i="5"/>
  <c r="G3056" i="5"/>
  <c r="G2902" i="5"/>
  <c r="G2751" i="5"/>
  <c r="G2593" i="5"/>
  <c r="G2432" i="5"/>
  <c r="G2264" i="5"/>
  <c r="G2102" i="5"/>
  <c r="G1932" i="5"/>
  <c r="G1764" i="5"/>
  <c r="G1597" i="5"/>
  <c r="G1429" i="5"/>
  <c r="G1264" i="5"/>
  <c r="G1108" i="5"/>
  <c r="G939" i="5"/>
  <c r="G772" i="5"/>
  <c r="G604" i="5"/>
  <c r="G442" i="5"/>
  <c r="G281" i="5"/>
  <c r="G110" i="5"/>
  <c r="G988" i="5"/>
  <c r="G813" i="5"/>
  <c r="G3960" i="5"/>
  <c r="G3808" i="5"/>
  <c r="G3669" i="5"/>
  <c r="G3522" i="5"/>
  <c r="G3386" i="5"/>
  <c r="G3242" i="5"/>
  <c r="G3091" i="5"/>
  <c r="G2935" i="5"/>
  <c r="G2783" i="5"/>
  <c r="G2628" i="5"/>
  <c r="G2465" i="5"/>
  <c r="G2302" i="5"/>
  <c r="G2138" i="5"/>
  <c r="G1968" i="5"/>
  <c r="G1801" i="5"/>
  <c r="G1634" i="5"/>
  <c r="G1468" i="5"/>
  <c r="G1301" i="5"/>
  <c r="G1143" i="5"/>
  <c r="G978" i="5"/>
  <c r="G805" i="5"/>
  <c r="G644" i="5"/>
  <c r="G477" i="5"/>
  <c r="G319" i="5"/>
  <c r="G145" i="5"/>
  <c r="G3965" i="5"/>
  <c r="G3813" i="5"/>
  <c r="G3096" i="5"/>
  <c r="G2941" i="5"/>
  <c r="G2789" i="5"/>
  <c r="G2634" i="5"/>
  <c r="G2471" i="5"/>
  <c r="G2308" i="5"/>
  <c r="G2143" i="5"/>
  <c r="G1974" i="5"/>
  <c r="G1807" i="5"/>
  <c r="G1639" i="5"/>
  <c r="G1473" i="5"/>
  <c r="G483" i="5"/>
  <c r="G324" i="5"/>
  <c r="G3972" i="5"/>
  <c r="G3819" i="5"/>
  <c r="G3678" i="5"/>
  <c r="G2949" i="5"/>
  <c r="G2479" i="5"/>
  <c r="G2316" i="5"/>
  <c r="G2151" i="5"/>
  <c r="G1647" i="5"/>
  <c r="G1481" i="5"/>
  <c r="G654" i="5"/>
  <c r="G3679" i="5"/>
  <c r="G3531" i="5"/>
  <c r="G3251" i="5"/>
  <c r="G3104" i="5"/>
  <c r="G2795" i="5"/>
  <c r="G2480" i="5"/>
  <c r="G2317" i="5"/>
  <c r="G1983" i="5"/>
  <c r="G1815" i="5"/>
  <c r="G1648" i="5"/>
  <c r="G1482" i="5"/>
  <c r="G1311" i="5"/>
  <c r="G1153" i="5"/>
  <c r="G989" i="5"/>
  <c r="G814" i="5"/>
  <c r="G655" i="5"/>
  <c r="G490" i="5"/>
  <c r="G331" i="5"/>
  <c r="G155" i="5"/>
  <c r="G3973" i="5"/>
  <c r="G3820" i="5"/>
  <c r="G3680" i="5"/>
  <c r="G3532" i="5"/>
  <c r="G3394" i="5"/>
  <c r="G3252" i="5"/>
  <c r="G3105" i="5"/>
  <c r="G2950" i="5"/>
  <c r="G2796" i="5"/>
  <c r="G2642" i="5"/>
  <c r="G2481" i="5"/>
  <c r="G2318" i="5"/>
  <c r="G2152" i="5"/>
  <c r="G1984" i="5"/>
  <c r="G1816" i="5"/>
  <c r="G1649" i="5"/>
  <c r="G1483" i="5"/>
  <c r="G1312" i="5"/>
  <c r="G1154" i="5"/>
  <c r="G990" i="5"/>
  <c r="G815" i="5"/>
  <c r="G656" i="5"/>
  <c r="G491" i="5"/>
  <c r="G332" i="5"/>
  <c r="G156" i="5"/>
  <c r="G991" i="5"/>
  <c r="G3970" i="5"/>
  <c r="G3676" i="5"/>
  <c r="G3529" i="5"/>
  <c r="G3249" i="5"/>
  <c r="G3102" i="5"/>
  <c r="G2947" i="5"/>
  <c r="G2640" i="5"/>
  <c r="G2313" i="5"/>
  <c r="G2149" i="5"/>
  <c r="G1981" i="5"/>
  <c r="G1812" i="5"/>
  <c r="G1645" i="5"/>
  <c r="G1479" i="5"/>
  <c r="G1309" i="5"/>
  <c r="G1151" i="5"/>
  <c r="G810" i="5"/>
  <c r="G651" i="5"/>
  <c r="G3974" i="5"/>
  <c r="G3681" i="5"/>
  <c r="G3396" i="5"/>
  <c r="G3253" i="5"/>
  <c r="G3106" i="5"/>
  <c r="G2951" i="5"/>
  <c r="G2798" i="5"/>
  <c r="G2644" i="5"/>
  <c r="G2483" i="5"/>
  <c r="G2320" i="5"/>
  <c r="G2154" i="5"/>
  <c r="G1986" i="5"/>
  <c r="G1818" i="5"/>
  <c r="G1651" i="5"/>
  <c r="G1485" i="5"/>
  <c r="G1314" i="5"/>
  <c r="G1155" i="5"/>
  <c r="G992" i="5"/>
  <c r="G816" i="5"/>
  <c r="G658" i="5"/>
  <c r="G492" i="5"/>
  <c r="G333" i="5"/>
  <c r="G1819" i="5"/>
  <c r="G1652" i="5"/>
  <c r="G1486" i="5"/>
  <c r="G1315" i="5"/>
  <c r="G1156" i="5"/>
  <c r="G993" i="5"/>
  <c r="G817" i="5"/>
  <c r="G659" i="5"/>
  <c r="G493" i="5"/>
  <c r="G334" i="5"/>
  <c r="G157" i="5"/>
  <c r="G3979" i="5"/>
  <c r="G3825" i="5"/>
  <c r="G3686" i="5"/>
  <c r="G3538" i="5"/>
  <c r="G3401" i="5"/>
  <c r="G3258" i="5"/>
  <c r="G3111" i="5"/>
  <c r="G2956" i="5"/>
  <c r="G2803" i="5"/>
  <c r="G2649" i="5"/>
  <c r="G2488" i="5"/>
  <c r="G2325" i="5"/>
  <c r="G2159" i="5"/>
  <c r="G1991" i="5"/>
  <c r="G1823" i="5"/>
  <c r="G1656" i="5"/>
  <c r="G1490" i="5"/>
  <c r="G1319" i="5"/>
  <c r="G1160" i="5"/>
  <c r="G997" i="5"/>
  <c r="G821" i="5"/>
  <c r="G663" i="5"/>
  <c r="G497" i="5"/>
  <c r="G338" i="5"/>
  <c r="G161" i="5"/>
  <c r="G3980" i="5"/>
  <c r="G3687" i="5"/>
  <c r="G3259" i="5"/>
  <c r="G3112" i="5"/>
  <c r="G2957" i="5"/>
  <c r="G2804" i="5"/>
  <c r="G2650" i="5"/>
  <c r="G2489" i="5"/>
  <c r="G1992" i="5"/>
  <c r="G1824" i="5"/>
  <c r="G1657" i="5"/>
  <c r="G1161" i="5"/>
  <c r="G822" i="5"/>
  <c r="G664" i="5"/>
  <c r="G498" i="5"/>
  <c r="G162" i="5"/>
  <c r="G3978" i="5"/>
  <c r="G3824" i="5"/>
  <c r="G3685" i="5"/>
  <c r="G3537" i="5"/>
  <c r="G3400" i="5"/>
  <c r="G3257" i="5"/>
  <c r="G3110" i="5"/>
  <c r="G2955" i="5"/>
  <c r="G2802" i="5"/>
  <c r="G2648" i="5"/>
  <c r="G2487" i="5"/>
  <c r="G2324" i="5"/>
  <c r="G2158" i="5"/>
  <c r="G1990" i="5"/>
  <c r="G1822" i="5"/>
  <c r="G1655" i="5"/>
  <c r="G1489" i="5"/>
  <c r="G1318" i="5"/>
  <c r="G1159" i="5"/>
  <c r="G996" i="5"/>
  <c r="G820" i="5"/>
  <c r="G662" i="5"/>
  <c r="G496" i="5"/>
  <c r="G337" i="5"/>
  <c r="G160" i="5"/>
  <c r="G3826" i="5"/>
  <c r="G3688" i="5"/>
  <c r="G2490" i="5"/>
  <c r="G1825" i="5"/>
  <c r="G1658" i="5"/>
  <c r="G1491" i="5"/>
  <c r="G1320" i="5"/>
  <c r="G1162" i="5"/>
  <c r="G998" i="5"/>
  <c r="G823" i="5"/>
  <c r="G665" i="5"/>
  <c r="G499" i="5"/>
  <c r="G339" i="5"/>
  <c r="G163" i="5"/>
  <c r="G3981" i="5"/>
  <c r="G3827" i="5"/>
  <c r="G3689" i="5"/>
  <c r="G3540" i="5"/>
  <c r="G3403" i="5"/>
  <c r="G3261" i="5"/>
  <c r="G3113" i="5"/>
  <c r="G2958" i="5"/>
  <c r="G2805" i="5"/>
  <c r="G2652" i="5"/>
  <c r="G2491" i="5"/>
  <c r="G2327" i="5"/>
  <c r="G2160" i="5"/>
  <c r="G1993" i="5"/>
  <c r="G1826" i="5"/>
  <c r="G1659" i="5"/>
  <c r="G1492" i="5"/>
  <c r="G1163" i="5"/>
  <c r="G824" i="5"/>
  <c r="G340" i="5"/>
  <c r="G3982" i="5"/>
  <c r="G3828" i="5"/>
  <c r="G3690" i="5"/>
  <c r="G3541" i="5"/>
  <c r="G3404" i="5"/>
  <c r="G3262" i="5"/>
  <c r="G3114" i="5"/>
  <c r="G2959" i="5"/>
  <c r="G2806" i="5"/>
  <c r="G2653" i="5"/>
  <c r="G2492" i="5"/>
  <c r="G2328" i="5"/>
  <c r="G2161" i="5"/>
  <c r="G1994" i="5"/>
  <c r="G1827" i="5"/>
  <c r="G1660" i="5"/>
  <c r="G1493" i="5"/>
  <c r="G1321" i="5"/>
  <c r="G1164" i="5"/>
  <c r="G999" i="5"/>
  <c r="G825" i="5"/>
  <c r="G667" i="5"/>
  <c r="G500" i="5"/>
  <c r="G341" i="5"/>
  <c r="G164" i="5"/>
  <c r="G666" i="5"/>
  <c r="G3983" i="5"/>
  <c r="G3829" i="5"/>
  <c r="G3691" i="5"/>
  <c r="G3542" i="5"/>
  <c r="G3405" i="5"/>
  <c r="G3263" i="5"/>
  <c r="G3115" i="5"/>
  <c r="G2961" i="5"/>
  <c r="G2807" i="5"/>
  <c r="G2655" i="5"/>
  <c r="G2494" i="5"/>
  <c r="G2329" i="5"/>
  <c r="G2162" i="5"/>
  <c r="G1995" i="5"/>
  <c r="G1828" i="5"/>
  <c r="G1661" i="5"/>
  <c r="G1495" i="5"/>
  <c r="G1322" i="5"/>
  <c r="G1165" i="5"/>
  <c r="G1001" i="5"/>
  <c r="G826" i="5"/>
  <c r="G668" i="5"/>
  <c r="G501" i="5"/>
  <c r="G343" i="5"/>
  <c r="G165" i="5"/>
  <c r="G968" i="5"/>
  <c r="G1742" i="5"/>
  <c r="G1085" i="5"/>
  <c r="G749" i="5"/>
  <c r="G582" i="5"/>
  <c r="G424" i="5"/>
  <c r="G255" i="5"/>
  <c r="G3984" i="5"/>
  <c r="G3830" i="5"/>
  <c r="G3692" i="5"/>
  <c r="G3543" i="5"/>
  <c r="G3406" i="5"/>
  <c r="G3264" i="5"/>
  <c r="G3116" i="5"/>
  <c r="G2962" i="5"/>
  <c r="G2808" i="5"/>
  <c r="G2656" i="5"/>
  <c r="G2495" i="5"/>
  <c r="G2330" i="5"/>
  <c r="G2163" i="5"/>
  <c r="G1996" i="5"/>
  <c r="G1829" i="5"/>
  <c r="G1662" i="5"/>
  <c r="G1496" i="5"/>
  <c r="G1323" i="5"/>
  <c r="G1166" i="5"/>
  <c r="G502" i="5"/>
  <c r="G3958" i="5"/>
  <c r="G3806" i="5"/>
  <c r="G3240" i="5"/>
  <c r="G3089" i="5"/>
  <c r="G2933" i="5"/>
  <c r="G2781" i="5"/>
  <c r="G2626" i="5"/>
  <c r="G2463" i="5"/>
  <c r="G2300" i="5"/>
  <c r="G2136" i="5"/>
  <c r="G1966" i="5"/>
  <c r="G1799" i="5"/>
  <c r="G1632" i="5"/>
  <c r="G475" i="5"/>
  <c r="G317" i="5"/>
  <c r="G3985" i="5"/>
  <c r="G3693" i="5"/>
  <c r="G3265" i="5"/>
  <c r="G3117" i="5"/>
  <c r="G2963" i="5"/>
  <c r="G2809" i="5"/>
  <c r="G2331" i="5"/>
  <c r="G2164" i="5"/>
  <c r="G1663" i="5"/>
  <c r="G1497" i="5"/>
  <c r="G1324" i="5"/>
  <c r="G1002" i="5"/>
  <c r="G827" i="5"/>
  <c r="G669" i="5"/>
  <c r="G503" i="5"/>
  <c r="G344" i="5"/>
  <c r="G166" i="5"/>
  <c r="G3986" i="5"/>
  <c r="G3831" i="5"/>
  <c r="G3544" i="5"/>
  <c r="G3407" i="5"/>
  <c r="G3266" i="5"/>
  <c r="G3118" i="5"/>
  <c r="G345" i="5"/>
  <c r="G3546" i="5"/>
  <c r="G2168" i="5"/>
  <c r="G2971" i="5"/>
  <c r="G3850" i="5"/>
  <c r="G3709" i="5"/>
  <c r="G3564" i="5"/>
  <c r="G1852" i="5"/>
  <c r="G1683" i="5"/>
  <c r="G1347" i="5"/>
  <c r="G1186" i="5"/>
  <c r="G1020" i="5"/>
  <c r="G189" i="5"/>
  <c r="G21" i="5"/>
  <c r="G3560" i="5"/>
  <c r="G2347" i="5"/>
  <c r="G2182" i="5"/>
  <c r="G1848" i="5"/>
  <c r="G362" i="5"/>
  <c r="G185" i="5"/>
  <c r="G3844" i="5"/>
  <c r="G3704" i="5"/>
  <c r="G3557" i="5"/>
  <c r="G3418" i="5"/>
  <c r="G3278" i="5"/>
  <c r="G2825" i="5"/>
  <c r="G2670" i="5"/>
  <c r="G2343" i="5"/>
  <c r="G1346" i="5"/>
  <c r="G1978" i="5"/>
  <c r="G1306" i="5"/>
  <c r="G1148" i="5"/>
  <c r="G983" i="5"/>
  <c r="G808" i="5"/>
  <c r="G649" i="5"/>
  <c r="G151" i="5"/>
  <c r="G2685" i="5"/>
  <c r="G2529" i="5"/>
  <c r="G1694" i="5"/>
  <c r="G1530" i="5"/>
  <c r="G1198" i="5"/>
  <c r="G1200" i="5"/>
  <c r="G3735" i="5"/>
  <c r="G3592" i="5"/>
  <c r="G3448" i="5"/>
  <c r="G2855" i="5"/>
  <c r="G2700" i="5"/>
  <c r="G3005" i="5"/>
  <c r="G3883" i="5"/>
  <c r="G3597" i="5"/>
  <c r="G1381" i="5"/>
  <c r="G3861" i="5"/>
  <c r="G3603" i="5"/>
  <c r="G2565" i="5"/>
  <c r="G2237" i="5"/>
  <c r="G2073" i="5"/>
  <c r="G1902" i="5"/>
  <c r="G572" i="5"/>
  <c r="G76" i="5"/>
  <c r="G571" i="5"/>
  <c r="G414" i="5"/>
  <c r="G2888" i="5"/>
  <c r="G2731" i="5"/>
  <c r="G87" i="5"/>
  <c r="G3852" i="5"/>
  <c r="G918" i="5"/>
  <c r="G3627" i="5"/>
  <c r="G3628" i="5"/>
  <c r="G3481" i="5"/>
  <c r="G3348" i="5"/>
  <c r="G2897" i="5"/>
  <c r="G3931" i="5"/>
  <c r="G3779" i="5"/>
  <c r="G3642" i="5"/>
  <c r="G3495" i="5"/>
  <c r="G3214" i="5"/>
  <c r="G3058" i="5"/>
  <c r="G2904" i="5"/>
  <c r="G2753" i="5"/>
  <c r="G2595" i="5"/>
  <c r="G2266" i="5"/>
  <c r="G936" i="5"/>
  <c r="G3059" i="5"/>
  <c r="G2905" i="5"/>
  <c r="G2435" i="5"/>
  <c r="G1266" i="5"/>
  <c r="G3921" i="5"/>
  <c r="G3935" i="5"/>
  <c r="G3219" i="5"/>
  <c r="G1438" i="5"/>
  <c r="G956" i="5"/>
  <c r="G1740" i="5"/>
  <c r="G253" i="5"/>
  <c r="G84" i="5"/>
  <c r="G462" i="5"/>
  <c r="G3078" i="5"/>
  <c r="G3662" i="5"/>
  <c r="G3516" i="5"/>
  <c r="G3379" i="5"/>
  <c r="G3233" i="5"/>
  <c r="G3080" i="5"/>
  <c r="G2774" i="5"/>
  <c r="G3084" i="5"/>
  <c r="G2929" i="5"/>
  <c r="G2778" i="5"/>
  <c r="G2622" i="5"/>
  <c r="G2294" i="5"/>
  <c r="G1960" i="5"/>
  <c r="G1794" i="5"/>
  <c r="G1627" i="5"/>
  <c r="G3804" i="5"/>
  <c r="G3087" i="5"/>
  <c r="G1797" i="5"/>
  <c r="G1630" i="5"/>
  <c r="G1463" i="5"/>
  <c r="G1464" i="5"/>
  <c r="G474" i="5"/>
  <c r="G2473" i="5"/>
  <c r="G3593" i="5"/>
  <c r="G3449" i="5"/>
  <c r="G3312" i="5"/>
  <c r="G3164" i="5"/>
  <c r="G3010" i="5"/>
  <c r="G2701" i="5"/>
  <c r="G919" i="5"/>
  <c r="G3975" i="5"/>
  <c r="G3821" i="5"/>
  <c r="G3682" i="5"/>
  <c r="G3534" i="5"/>
  <c r="G3397" i="5"/>
  <c r="G3254" i="5"/>
  <c r="G3107" i="5"/>
  <c r="G2952" i="5"/>
  <c r="G2799" i="5"/>
  <c r="G2645" i="5"/>
  <c r="G2484" i="5"/>
  <c r="G2321" i="5"/>
  <c r="G2155" i="5"/>
  <c r="G1987" i="5"/>
  <c r="G3539" i="5"/>
  <c r="G3402" i="5"/>
  <c r="G3260" i="5"/>
  <c r="G2651" i="5"/>
  <c r="G2326" i="5"/>
  <c r="G3667" i="5"/>
  <c r="G3520" i="5"/>
  <c r="G3384" i="5"/>
  <c r="G1466" i="5"/>
  <c r="G1299" i="5"/>
  <c r="G1141" i="5"/>
  <c r="G976" i="5"/>
  <c r="G803" i="5"/>
  <c r="G642" i="5"/>
  <c r="G143" i="5"/>
  <c r="F3832" i="5"/>
  <c r="F3549" i="5"/>
  <c r="F3694" i="5"/>
  <c r="F3120" i="5"/>
  <c r="F173" i="5"/>
  <c r="F2965" i="5"/>
  <c r="F3398" i="5"/>
  <c r="F2811" i="5"/>
  <c r="F3255" i="5"/>
  <c r="F2658" i="5"/>
  <c r="F3108" i="5"/>
  <c r="F2497" i="5"/>
  <c r="F2953" i="5"/>
  <c r="F2166" i="5"/>
  <c r="F2646" i="5"/>
  <c r="F1998" i="5"/>
  <c r="F2485" i="5"/>
  <c r="F1831" i="5"/>
  <c r="F2322" i="5"/>
  <c r="F1665" i="5"/>
  <c r="F2156" i="5"/>
  <c r="F1499" i="5"/>
  <c r="F1988" i="5"/>
  <c r="F346" i="5"/>
  <c r="F1820" i="5"/>
  <c r="F167" i="5"/>
  <c r="F1653" i="5"/>
  <c r="F3545" i="5"/>
  <c r="F1487" i="5"/>
  <c r="F3119" i="5"/>
  <c r="F1316" i="5"/>
  <c r="F2964" i="5"/>
  <c r="F1157" i="5"/>
  <c r="F2810" i="5"/>
  <c r="F994" i="5"/>
  <c r="F2657" i="5"/>
  <c r="F818" i="5"/>
  <c r="F2496" i="5"/>
  <c r="F660" i="5"/>
  <c r="F2332" i="5"/>
  <c r="F494" i="5"/>
  <c r="F2165" i="5"/>
  <c r="F335" i="5"/>
  <c r="F1997" i="5"/>
  <c r="F158" i="5"/>
  <c r="F1830" i="5"/>
  <c r="F3837" i="5"/>
  <c r="F1664" i="5"/>
  <c r="F3551" i="5"/>
  <c r="F1498" i="5"/>
  <c r="F2970" i="5"/>
  <c r="F1325" i="5"/>
  <c r="F2171" i="5"/>
  <c r="F1167" i="5"/>
  <c r="F1003" i="5"/>
  <c r="F3700" i="5"/>
  <c r="F828" i="5"/>
  <c r="F3552" i="5"/>
  <c r="F670" i="5"/>
  <c r="F3414" i="5"/>
  <c r="F504" i="5"/>
  <c r="F3273" i="5"/>
  <c r="F3833" i="5"/>
  <c r="F3126" i="5"/>
  <c r="F3695" i="5"/>
  <c r="F2972" i="5"/>
  <c r="F3547" i="5"/>
  <c r="F2819" i="5"/>
  <c r="F3408" i="5"/>
  <c r="F2664" i="5"/>
  <c r="F3267" i="5"/>
  <c r="F2504" i="5"/>
  <c r="F2966" i="5"/>
  <c r="F2338" i="5"/>
  <c r="F2812" i="5"/>
  <c r="F2173" i="5"/>
  <c r="F2659" i="5"/>
  <c r="F2004" i="5"/>
  <c r="F2498" i="5"/>
  <c r="F1839" i="5"/>
  <c r="F2333" i="5"/>
  <c r="F1672" i="5"/>
  <c r="F2167" i="5"/>
  <c r="F1506" i="5"/>
  <c r="F1999" i="5"/>
  <c r="F1332" i="5"/>
  <c r="F1832" i="5"/>
  <c r="F1175" i="5"/>
  <c r="F1666" i="5"/>
  <c r="F1010" i="5"/>
  <c r="F1500" i="5"/>
  <c r="F836" i="5"/>
  <c r="F1326" i="5"/>
  <c r="F677" i="5"/>
  <c r="F1168" i="5"/>
  <c r="F511" i="5"/>
  <c r="F1004" i="5"/>
  <c r="F354" i="5"/>
  <c r="F829" i="5"/>
  <c r="F176" i="5"/>
  <c r="F671" i="5"/>
  <c r="F9" i="5"/>
  <c r="F505" i="5"/>
  <c r="F3839" i="5"/>
  <c r="F347" i="5"/>
  <c r="F3701" i="5"/>
  <c r="F168" i="5"/>
  <c r="F3553" i="5"/>
  <c r="F2" i="5"/>
  <c r="F3415" i="5"/>
  <c r="F3835" i="5"/>
  <c r="F3274" i="5"/>
  <c r="F3697" i="5"/>
  <c r="F3127" i="5"/>
  <c r="F2973" i="5"/>
  <c r="F3411" i="5"/>
  <c r="F2820" i="5"/>
  <c r="F3269" i="5"/>
  <c r="F2665" i="5"/>
  <c r="F3123" i="5"/>
  <c r="F2505" i="5"/>
  <c r="F2968" i="5"/>
  <c r="F2339" i="5"/>
  <c r="F2815" i="5"/>
  <c r="F2174" i="5"/>
  <c r="F2661" i="5"/>
  <c r="F2005" i="5"/>
  <c r="F2500" i="5"/>
  <c r="F1840" i="5"/>
  <c r="F1835" i="5"/>
  <c r="F1673" i="5"/>
  <c r="F1669" i="5"/>
  <c r="F1507" i="5"/>
  <c r="F1503" i="5"/>
  <c r="F1333" i="5"/>
  <c r="F1328" i="5"/>
  <c r="F1176" i="5"/>
  <c r="F1171" i="5"/>
  <c r="F1011" i="5"/>
  <c r="F1007" i="5"/>
  <c r="F837" i="5"/>
  <c r="F832" i="5"/>
  <c r="F678" i="5"/>
  <c r="F674" i="5"/>
  <c r="F512" i="5"/>
  <c r="F349" i="5"/>
  <c r="F355" i="5"/>
  <c r="F171" i="5"/>
  <c r="F177" i="5"/>
  <c r="F5" i="5"/>
  <c r="F10" i="5"/>
  <c r="F3409" i="5"/>
  <c r="F178" i="5"/>
  <c r="F3121" i="5"/>
  <c r="F3845" i="5"/>
  <c r="F2813" i="5"/>
  <c r="F3705" i="5"/>
  <c r="F2000" i="5"/>
  <c r="F3558" i="5"/>
  <c r="F1833" i="5"/>
  <c r="F3419" i="5"/>
  <c r="F1667" i="5"/>
  <c r="F3279" i="5"/>
  <c r="F1501" i="5"/>
  <c r="F3133" i="5"/>
  <c r="F1169" i="5"/>
  <c r="F2978" i="5"/>
  <c r="F1005" i="5"/>
  <c r="F2826" i="5"/>
  <c r="F830" i="5"/>
  <c r="F2671" i="5"/>
  <c r="F672" i="5"/>
  <c r="F2510" i="5"/>
  <c r="F506" i="5"/>
  <c r="F2344" i="5"/>
  <c r="F169" i="5"/>
  <c r="F2179" i="5"/>
  <c r="F3" i="5"/>
  <c r="F2010" i="5"/>
  <c r="F3836" i="5"/>
  <c r="F1845" i="5"/>
  <c r="F3698" i="5"/>
  <c r="F1679" i="5"/>
  <c r="F3550" i="5"/>
  <c r="F1513" i="5"/>
  <c r="F3412" i="5"/>
  <c r="F1339" i="5"/>
  <c r="F3270" i="5"/>
  <c r="F1182" i="5"/>
  <c r="F3124" i="5"/>
  <c r="F1016" i="5"/>
  <c r="F2969" i="5"/>
  <c r="F842" i="5"/>
  <c r="F2816" i="5"/>
  <c r="F683" i="5"/>
  <c r="F2662" i="5"/>
  <c r="F516" i="5"/>
  <c r="F2501" i="5"/>
  <c r="F360" i="5"/>
  <c r="F2335" i="5"/>
  <c r="F182" i="5"/>
  <c r="F2170" i="5"/>
  <c r="F15" i="5"/>
  <c r="F2002" i="5"/>
  <c r="F1836" i="5"/>
  <c r="F1670" i="5"/>
  <c r="F1504" i="5"/>
  <c r="F3424" i="5"/>
  <c r="F1329" i="5"/>
  <c r="F3285" i="5"/>
  <c r="F1172" i="5"/>
  <c r="F3137" i="5"/>
  <c r="F1008" i="5"/>
  <c r="F2982" i="5"/>
  <c r="F833" i="5"/>
  <c r="F2830" i="5"/>
  <c r="F675" i="5"/>
  <c r="F2674" i="5"/>
  <c r="F508" i="5"/>
  <c r="F2516" i="5"/>
  <c r="F351" i="5"/>
  <c r="F2351" i="5"/>
  <c r="F2185" i="5"/>
  <c r="F6" i="5"/>
  <c r="F2016" i="5"/>
  <c r="F3976" i="5"/>
  <c r="F3822" i="5"/>
  <c r="F3683" i="5"/>
  <c r="F1517" i="5"/>
  <c r="F3535" i="5"/>
  <c r="F847" i="5"/>
  <c r="F689" i="5"/>
  <c r="F2800" i="5"/>
  <c r="F521" i="5"/>
  <c r="F365" i="5"/>
  <c r="F3702" i="5"/>
  <c r="F1509" i="5"/>
  <c r="F3132" i="5"/>
  <c r="F3699" i="5"/>
  <c r="F2977" i="5"/>
  <c r="F3413" i="5"/>
  <c r="F3271" i="5"/>
  <c r="F2509" i="5"/>
  <c r="F3125" i="5"/>
  <c r="F2178" i="5"/>
  <c r="F2817" i="5"/>
  <c r="F2009" i="5"/>
  <c r="F2663" i="5"/>
  <c r="F1844" i="5"/>
  <c r="F2502" i="5"/>
  <c r="F1678" i="5"/>
  <c r="F2336" i="5"/>
  <c r="F1512" i="5"/>
  <c r="F1338" i="5"/>
  <c r="F2003" i="5"/>
  <c r="F1181" i="5"/>
  <c r="F1837" i="5"/>
  <c r="F1015" i="5"/>
  <c r="F1671" i="5"/>
  <c r="F841" i="5"/>
  <c r="F1505" i="5"/>
  <c r="F682" i="5"/>
  <c r="F1330" i="5"/>
  <c r="F515" i="5"/>
  <c r="F1173" i="5"/>
  <c r="F359" i="5"/>
  <c r="F1009" i="5"/>
  <c r="F181" i="5"/>
  <c r="F834" i="5"/>
  <c r="F14" i="5"/>
  <c r="F676" i="5"/>
  <c r="F3562" i="5"/>
  <c r="F509" i="5"/>
  <c r="F3283" i="5"/>
  <c r="F352" i="5"/>
  <c r="F3135" i="5"/>
  <c r="F174" i="5"/>
  <c r="F2980" i="5"/>
  <c r="F7" i="5"/>
  <c r="F2829" i="5"/>
  <c r="F3272" i="5"/>
  <c r="F2673" i="5"/>
  <c r="F2818" i="5"/>
  <c r="F2514" i="5"/>
  <c r="F2503" i="5"/>
  <c r="F2349" i="5"/>
  <c r="F2337" i="5"/>
  <c r="F2183" i="5"/>
  <c r="F2172" i="5"/>
  <c r="F2014" i="5"/>
  <c r="F1838" i="5"/>
  <c r="F1850" i="5"/>
  <c r="F1331" i="5"/>
  <c r="F1681" i="5"/>
  <c r="F1174" i="5"/>
  <c r="F1515" i="5"/>
  <c r="F835" i="5"/>
  <c r="F1345" i="5"/>
  <c r="F510" i="5"/>
  <c r="F1185" i="5"/>
  <c r="F353" i="5"/>
  <c r="F1019" i="5"/>
  <c r="F175" i="5"/>
  <c r="F846" i="5"/>
  <c r="F8" i="5"/>
  <c r="F688" i="5"/>
  <c r="F350" i="5"/>
  <c r="F520" i="5"/>
  <c r="F172" i="5"/>
  <c r="F364" i="5"/>
  <c r="F3838" i="5"/>
  <c r="F187" i="5"/>
  <c r="F19" i="5"/>
  <c r="F2184" i="5"/>
  <c r="F3853" i="5"/>
  <c r="F3712" i="5"/>
  <c r="F3567" i="5"/>
  <c r="F3425" i="5"/>
  <c r="F3286" i="5"/>
  <c r="F3140" i="5"/>
  <c r="F2986" i="5"/>
  <c r="F2833" i="5"/>
  <c r="F2676" i="5"/>
  <c r="F2521" i="5"/>
  <c r="F2356" i="5"/>
  <c r="F2187" i="5"/>
  <c r="F2022" i="5"/>
  <c r="F1855" i="5"/>
  <c r="F1685" i="5"/>
  <c r="F1521" i="5"/>
  <c r="F1351" i="5"/>
  <c r="F1189" i="5"/>
  <c r="F1024" i="5"/>
  <c r="F853" i="5"/>
  <c r="F692" i="5"/>
  <c r="F525" i="5"/>
  <c r="F369" i="5"/>
  <c r="F193" i="5"/>
  <c r="F23" i="5"/>
  <c r="F3854" i="5"/>
  <c r="F3568" i="5"/>
  <c r="F3141" i="5"/>
  <c r="F2988" i="5"/>
  <c r="F2834" i="5"/>
  <c r="F1856" i="5"/>
  <c r="F371" i="5"/>
  <c r="F195" i="5"/>
  <c r="F24" i="5"/>
  <c r="F3968" i="5"/>
  <c r="F3816" i="5"/>
  <c r="F3674" i="5"/>
  <c r="F3527" i="5"/>
  <c r="F3391" i="5"/>
  <c r="F3247" i="5"/>
  <c r="F3099" i="5"/>
  <c r="F2944" i="5"/>
  <c r="F2792" i="5"/>
  <c r="F2637" i="5"/>
  <c r="F2474" i="5"/>
  <c r="F2311" i="5"/>
  <c r="F3840" i="5"/>
  <c r="F2147" i="5"/>
  <c r="F3554" i="5"/>
  <c r="F3275" i="5"/>
  <c r="F1810" i="5"/>
  <c r="F3128" i="5"/>
  <c r="F1643" i="5"/>
  <c r="F2974" i="5"/>
  <c r="F1476" i="5"/>
  <c r="F2821" i="5"/>
  <c r="F2666" i="5"/>
  <c r="F2506" i="5"/>
  <c r="F2340" i="5"/>
  <c r="F2175" i="5"/>
  <c r="F2006" i="5"/>
  <c r="F486" i="5"/>
  <c r="F1841" i="5"/>
  <c r="F327" i="5"/>
  <c r="F1674" i="5"/>
  <c r="F1508" i="5"/>
  <c r="F3855" i="5"/>
  <c r="F1334" i="5"/>
  <c r="F3569" i="5"/>
  <c r="F1177" i="5"/>
  <c r="F2680" i="5"/>
  <c r="F1012" i="5"/>
  <c r="F1688" i="5"/>
  <c r="F838" i="5"/>
  <c r="F1028" i="5"/>
  <c r="F679" i="5"/>
  <c r="F373" i="5"/>
  <c r="F356" i="5"/>
  <c r="F3856" i="5"/>
  <c r="F3716" i="5"/>
  <c r="F11" i="5"/>
  <c r="F3570" i="5"/>
  <c r="F3710" i="5"/>
  <c r="F3428" i="5"/>
  <c r="F3565" i="5"/>
  <c r="F3289" i="5"/>
  <c r="F2518" i="5"/>
  <c r="F3143" i="5"/>
  <c r="F2353" i="5"/>
  <c r="F2991" i="5"/>
  <c r="F2018" i="5"/>
  <c r="F2837" i="5"/>
  <c r="F1519" i="5"/>
  <c r="F2681" i="5"/>
  <c r="F1349" i="5"/>
  <c r="F2525" i="5"/>
  <c r="F849" i="5"/>
  <c r="F2360" i="5"/>
  <c r="F2192" i="5"/>
  <c r="F2026" i="5"/>
  <c r="F1859" i="5"/>
  <c r="F1689" i="5"/>
  <c r="F1524" i="5"/>
  <c r="F1355" i="5"/>
  <c r="F1193" i="5"/>
  <c r="F1029" i="5"/>
  <c r="F857" i="5"/>
  <c r="F697" i="5"/>
  <c r="F530" i="5"/>
  <c r="F374" i="5"/>
  <c r="F198" i="5"/>
  <c r="F27" i="5"/>
  <c r="F3571" i="5"/>
  <c r="F2027" i="5"/>
  <c r="F1194" i="5"/>
  <c r="F858" i="5"/>
  <c r="F698" i="5"/>
  <c r="F203" i="5"/>
  <c r="F3863" i="5"/>
  <c r="F3721" i="5"/>
  <c r="F3576" i="5"/>
  <c r="F3559" i="5"/>
  <c r="F3434" i="5"/>
  <c r="F2827" i="5"/>
  <c r="F3296" i="5"/>
  <c r="F2511" i="5"/>
  <c r="F3148" i="5"/>
  <c r="F2345" i="5"/>
  <c r="F2996" i="5"/>
  <c r="F2180" i="5"/>
  <c r="F2842" i="5"/>
  <c r="F2011" i="5"/>
  <c r="F2687" i="5"/>
  <c r="F1846" i="5"/>
  <c r="F2531" i="5"/>
  <c r="F1341" i="5"/>
  <c r="F2366" i="5"/>
  <c r="F684" i="5"/>
  <c r="F2197" i="5"/>
  <c r="F361" i="5"/>
  <c r="F2033" i="5"/>
  <c r="F184" i="5"/>
  <c r="F1863" i="5"/>
  <c r="F16" i="5"/>
  <c r="F3138" i="5"/>
  <c r="F2983" i="5"/>
  <c r="F1360" i="5"/>
  <c r="F2831" i="5"/>
  <c r="F2517" i="5"/>
  <c r="F1036" i="5"/>
  <c r="F2352" i="5"/>
  <c r="F864" i="5"/>
  <c r="F2186" i="5"/>
  <c r="F702" i="5"/>
  <c r="F2017" i="5"/>
  <c r="F535" i="5"/>
  <c r="F1518" i="5"/>
  <c r="F378" i="5"/>
  <c r="F1348" i="5"/>
  <c r="F204" i="5"/>
  <c r="F1187" i="5"/>
  <c r="F34" i="5"/>
  <c r="F1021" i="5"/>
  <c r="F3886" i="5"/>
  <c r="F848" i="5"/>
  <c r="F3741" i="5"/>
  <c r="F690" i="5"/>
  <c r="F3598" i="5"/>
  <c r="F522" i="5"/>
  <c r="F3454" i="5"/>
  <c r="F366" i="5"/>
  <c r="F3319" i="5"/>
  <c r="F190" i="5"/>
  <c r="F3169" i="5"/>
  <c r="F22" i="5"/>
  <c r="F3016" i="5"/>
  <c r="F3843" i="5"/>
  <c r="F2862" i="5"/>
  <c r="F3703" i="5"/>
  <c r="F2706" i="5"/>
  <c r="F3556" i="5"/>
  <c r="F2553" i="5"/>
  <c r="F3417" i="5"/>
  <c r="F2388" i="5"/>
  <c r="F3277" i="5"/>
  <c r="F2219" i="5"/>
  <c r="F3131" i="5"/>
  <c r="F2056" i="5"/>
  <c r="F2976" i="5"/>
  <c r="F1886" i="5"/>
  <c r="F2823" i="5"/>
  <c r="F1716" i="5"/>
  <c r="F2668" i="5"/>
  <c r="F1551" i="5"/>
  <c r="F2342" i="5"/>
  <c r="F1382" i="5"/>
  <c r="F2177" i="5"/>
  <c r="F1220" i="5"/>
  <c r="F2008" i="5"/>
  <c r="F1057" i="5"/>
  <c r="F1843" i="5"/>
  <c r="F886" i="5"/>
  <c r="F1677" i="5"/>
  <c r="F725" i="5"/>
  <c r="F1511" i="5"/>
  <c r="F557" i="5"/>
  <c r="F1337" i="5"/>
  <c r="F401" i="5"/>
  <c r="F1180" i="5"/>
  <c r="F228" i="5"/>
  <c r="F1014" i="5"/>
  <c r="F58" i="5"/>
  <c r="F840" i="5"/>
  <c r="F3864" i="5"/>
  <c r="F681" i="5"/>
  <c r="F3577" i="5"/>
  <c r="F514" i="5"/>
  <c r="F3435" i="5"/>
  <c r="F358" i="5"/>
  <c r="F2997" i="5"/>
  <c r="F180" i="5"/>
  <c r="F2843" i="5"/>
  <c r="F13" i="5"/>
  <c r="F2688" i="5"/>
  <c r="F2532" i="5"/>
  <c r="F2367" i="5"/>
  <c r="F2198" i="5"/>
  <c r="F2034" i="5"/>
  <c r="F1864" i="5"/>
  <c r="F1695" i="5"/>
  <c r="F1531" i="5"/>
  <c r="F1361" i="5"/>
  <c r="F1199" i="5"/>
  <c r="F1037" i="5"/>
  <c r="F865" i="5"/>
  <c r="F536" i="5"/>
  <c r="F379" i="5"/>
  <c r="F205" i="5"/>
  <c r="F35" i="5"/>
  <c r="F3842" i="5"/>
  <c r="F381" i="5"/>
  <c r="F3555" i="5"/>
  <c r="F3439" i="5"/>
  <c r="F3416" i="5"/>
  <c r="F3302" i="5"/>
  <c r="F3276" i="5"/>
  <c r="F3154" i="5"/>
  <c r="F3130" i="5"/>
  <c r="F3000" i="5"/>
  <c r="F2975" i="5"/>
  <c r="F2846" i="5"/>
  <c r="F2822" i="5"/>
  <c r="F2691" i="5"/>
  <c r="F2667" i="5"/>
  <c r="F2536" i="5"/>
  <c r="F2341" i="5"/>
  <c r="F2371" i="5"/>
  <c r="F2176" i="5"/>
  <c r="F2202" i="5"/>
  <c r="F2007" i="5"/>
  <c r="F2038" i="5"/>
  <c r="F1842" i="5"/>
  <c r="F1868" i="5"/>
  <c r="F1676" i="5"/>
  <c r="F1699" i="5"/>
  <c r="F1510" i="5"/>
  <c r="F1536" i="5"/>
  <c r="F1336" i="5"/>
  <c r="F1366" i="5"/>
  <c r="F1179" i="5"/>
  <c r="F1203" i="5"/>
  <c r="F1013" i="5"/>
  <c r="F1040" i="5"/>
  <c r="F839" i="5"/>
  <c r="F869" i="5"/>
  <c r="F680" i="5"/>
  <c r="F708" i="5"/>
  <c r="F513" i="5"/>
  <c r="F540" i="5"/>
  <c r="F357" i="5"/>
  <c r="F384" i="5"/>
  <c r="F179" i="5"/>
  <c r="F210" i="5"/>
  <c r="F12" i="5"/>
  <c r="F39" i="5"/>
  <c r="F3841" i="5"/>
  <c r="F1365" i="5"/>
  <c r="F3129" i="5"/>
  <c r="F1202" i="5"/>
  <c r="F2507" i="5"/>
  <c r="F539" i="5"/>
  <c r="F1675" i="5"/>
  <c r="F209" i="5"/>
  <c r="F3879" i="5"/>
  <c r="F1335" i="5"/>
  <c r="F1178" i="5"/>
  <c r="F1184" i="5"/>
  <c r="F844" i="5"/>
  <c r="F3311" i="5"/>
  <c r="F686" i="5"/>
  <c r="F3163" i="5"/>
  <c r="F518" i="5"/>
  <c r="F3009" i="5"/>
  <c r="F2545" i="5"/>
  <c r="F2381" i="5"/>
  <c r="F2212" i="5"/>
  <c r="F2048" i="5"/>
  <c r="F1878" i="5"/>
  <c r="F1709" i="5"/>
  <c r="F1544" i="5"/>
  <c r="F1374" i="5"/>
  <c r="F1212" i="5"/>
  <c r="F1050" i="5"/>
  <c r="F878" i="5"/>
  <c r="F718" i="5"/>
  <c r="F550" i="5"/>
  <c r="F219" i="5"/>
  <c r="F3878" i="5"/>
  <c r="F3846" i="5"/>
  <c r="F3734" i="5"/>
  <c r="F1340" i="5"/>
  <c r="F3591" i="5"/>
  <c r="F183" i="5"/>
  <c r="F3447" i="5"/>
  <c r="F3847" i="5"/>
  <c r="F3310" i="5"/>
  <c r="F3420" i="5"/>
  <c r="F3162" i="5"/>
  <c r="F3281" i="5"/>
  <c r="F3008" i="5"/>
  <c r="F3134" i="5"/>
  <c r="F2854" i="5"/>
  <c r="F2979" i="5"/>
  <c r="F2699" i="5"/>
  <c r="F2828" i="5"/>
  <c r="F2544" i="5"/>
  <c r="F2672" i="5"/>
  <c r="F2380" i="5"/>
  <c r="F2512" i="5"/>
  <c r="F2211" i="5"/>
  <c r="F2346" i="5"/>
  <c r="F2047" i="5"/>
  <c r="F2181" i="5"/>
  <c r="F1877" i="5"/>
  <c r="F2012" i="5"/>
  <c r="F1708" i="5"/>
  <c r="F1847" i="5"/>
  <c r="F1543" i="5"/>
  <c r="F1680" i="5"/>
  <c r="F1373" i="5"/>
  <c r="F1343" i="5"/>
  <c r="F1211" i="5"/>
  <c r="F1183" i="5"/>
  <c r="F1049" i="5"/>
  <c r="F1017" i="5"/>
  <c r="F877" i="5"/>
  <c r="F843" i="5"/>
  <c r="F717" i="5"/>
  <c r="F685" i="5"/>
  <c r="F549" i="5"/>
  <c r="F17" i="5"/>
  <c r="F392" i="5"/>
  <c r="F3849" i="5"/>
  <c r="F218" i="5"/>
  <c r="F3707" i="5"/>
  <c r="F48" i="5"/>
  <c r="F1701" i="5"/>
  <c r="F3422" i="5"/>
  <c r="F1042" i="5"/>
  <c r="F1702" i="5"/>
  <c r="F1539" i="5"/>
  <c r="F872" i="5"/>
  <c r="F543" i="5"/>
  <c r="F387" i="5"/>
  <c r="F213" i="5"/>
  <c r="F42" i="5"/>
  <c r="F3877" i="5"/>
  <c r="F3733" i="5"/>
  <c r="F3590" i="5"/>
  <c r="F3446" i="5"/>
  <c r="F3309" i="5"/>
  <c r="F3161" i="5"/>
  <c r="F3007" i="5"/>
  <c r="F2853" i="5"/>
  <c r="F2698" i="5"/>
  <c r="F2543" i="5"/>
  <c r="F2379" i="5"/>
  <c r="F2210" i="5"/>
  <c r="F2046" i="5"/>
  <c r="F1876" i="5"/>
  <c r="F2824" i="5"/>
  <c r="F1707" i="5"/>
  <c r="F2669" i="5"/>
  <c r="F1542" i="5"/>
  <c r="F2508" i="5"/>
  <c r="F1372" i="5"/>
  <c r="F3708" i="5"/>
  <c r="F1210" i="5"/>
  <c r="F3563" i="5"/>
  <c r="F1048" i="5"/>
  <c r="F3423" i="5"/>
  <c r="F876" i="5"/>
  <c r="F3284" i="5"/>
  <c r="F716" i="5"/>
  <c r="F3136" i="5"/>
  <c r="F548" i="5"/>
  <c r="F2981" i="5"/>
  <c r="F391" i="5"/>
  <c r="F2515" i="5"/>
  <c r="F217" i="5"/>
  <c r="F2350" i="5"/>
  <c r="F47" i="5"/>
  <c r="F2015" i="5"/>
  <c r="F3961" i="5"/>
  <c r="F1851" i="5"/>
  <c r="F3809" i="5"/>
  <c r="F1682" i="5"/>
  <c r="F3670" i="5"/>
  <c r="F1516" i="5"/>
  <c r="F3523" i="5"/>
  <c r="F188" i="5"/>
  <c r="F3387" i="5"/>
  <c r="F20" i="5"/>
  <c r="F3243" i="5"/>
  <c r="F3280" i="5"/>
  <c r="F3092" i="5"/>
  <c r="F1514" i="5"/>
  <c r="F2937" i="5"/>
  <c r="F1342" i="5"/>
  <c r="F2785" i="5"/>
  <c r="F517" i="5"/>
  <c r="F2630" i="5"/>
  <c r="F3848" i="5"/>
  <c r="F2467" i="5"/>
  <c r="F3706" i="5"/>
  <c r="F2304" i="5"/>
  <c r="F3561" i="5"/>
  <c r="F2140" i="5"/>
  <c r="F3421" i="5"/>
  <c r="F1970" i="5"/>
  <c r="F3282" i="5"/>
  <c r="F1803" i="5"/>
  <c r="F2513" i="5"/>
  <c r="F1636" i="5"/>
  <c r="F2348" i="5"/>
  <c r="F1470" i="5"/>
  <c r="F2013" i="5"/>
  <c r="F1302" i="5"/>
  <c r="F1849" i="5"/>
  <c r="F1144" i="5"/>
  <c r="F1344" i="5"/>
  <c r="F979" i="5"/>
  <c r="F1018" i="5"/>
  <c r="F806" i="5"/>
  <c r="F845" i="5"/>
  <c r="F646" i="5"/>
  <c r="F687" i="5"/>
  <c r="F479" i="5"/>
  <c r="F519" i="5"/>
  <c r="F320" i="5"/>
  <c r="F363" i="5"/>
  <c r="F146" i="5"/>
  <c r="F186" i="5"/>
  <c r="F1540" i="5"/>
  <c r="F18" i="5"/>
  <c r="F389" i="5"/>
  <c r="F2987" i="5"/>
  <c r="F215" i="5"/>
  <c r="F2677" i="5"/>
  <c r="F45" i="5"/>
  <c r="F2188" i="5"/>
  <c r="F3881" i="5"/>
  <c r="F1025" i="5"/>
  <c r="F3737" i="5"/>
  <c r="F693" i="5"/>
  <c r="F3594" i="5"/>
  <c r="F526" i="5"/>
  <c r="F3450" i="5"/>
  <c r="F370" i="5"/>
  <c r="F3313" i="5"/>
  <c r="F194" i="5"/>
  <c r="F3165" i="5"/>
  <c r="F3011" i="5"/>
  <c r="F2857" i="5"/>
  <c r="F2702" i="5"/>
  <c r="F2547" i="5"/>
  <c r="F2383" i="5"/>
  <c r="F2214" i="5"/>
  <c r="F2050" i="5"/>
  <c r="F1880" i="5"/>
  <c r="F1711" i="5"/>
  <c r="F1546" i="5"/>
  <c r="F1376" i="5"/>
  <c r="F1214" i="5"/>
  <c r="F1052" i="5"/>
  <c r="F880" i="5"/>
  <c r="F720" i="5"/>
  <c r="F552" i="5"/>
  <c r="F395" i="5"/>
  <c r="F221" i="5"/>
  <c r="F51" i="5"/>
  <c r="F3882" i="5"/>
  <c r="F3738" i="5"/>
  <c r="F3595" i="5"/>
  <c r="F3451" i="5"/>
  <c r="F3314" i="5"/>
  <c r="F3166" i="5"/>
  <c r="F3713" i="5"/>
  <c r="F3012" i="5"/>
  <c r="F2858" i="5"/>
  <c r="F3426" i="5"/>
  <c r="F2703" i="5"/>
  <c r="F3287" i="5"/>
  <c r="F2548" i="5"/>
  <c r="F2384" i="5"/>
  <c r="F2215" i="5"/>
  <c r="F2051" i="5"/>
  <c r="F2678" i="5"/>
  <c r="F1881" i="5"/>
  <c r="F2522" i="5"/>
  <c r="F1712" i="5"/>
  <c r="F2357" i="5"/>
  <c r="F1547" i="5"/>
  <c r="F2189" i="5"/>
  <c r="F1377" i="5"/>
  <c r="F2023" i="5"/>
  <c r="F1216" i="5"/>
  <c r="F1053" i="5"/>
  <c r="F1686" i="5"/>
  <c r="F881" i="5"/>
  <c r="F1352" i="5"/>
  <c r="F722" i="5"/>
  <c r="F1190" i="5"/>
  <c r="F553" i="5"/>
  <c r="F1026" i="5"/>
  <c r="F396" i="5"/>
  <c r="F854" i="5"/>
  <c r="F222" i="5"/>
  <c r="F694" i="5"/>
  <c r="F53" i="5"/>
  <c r="F527" i="5"/>
  <c r="F3884" i="5"/>
  <c r="F3739" i="5"/>
  <c r="F3596" i="5"/>
  <c r="F3452" i="5"/>
  <c r="F3315" i="5"/>
  <c r="F3167" i="5"/>
  <c r="F3013" i="5"/>
  <c r="F2859" i="5"/>
  <c r="F2704" i="5"/>
  <c r="F2550" i="5"/>
  <c r="F2386" i="5"/>
  <c r="F2216" i="5"/>
  <c r="F2053" i="5"/>
  <c r="F1883" i="5"/>
  <c r="F1714" i="5"/>
  <c r="F1549" i="5"/>
  <c r="F1379" i="5"/>
  <c r="F1218" i="5"/>
  <c r="F1055" i="5"/>
  <c r="F883" i="5"/>
  <c r="F724" i="5"/>
  <c r="F555" i="5"/>
  <c r="F398" i="5"/>
  <c r="F3715" i="5"/>
  <c r="F224" i="5"/>
  <c r="F55" i="5"/>
  <c r="F3427" i="5"/>
  <c r="F3977" i="5"/>
  <c r="F3288" i="5"/>
  <c r="F3823" i="5"/>
  <c r="F3142" i="5"/>
  <c r="F3684" i="5"/>
  <c r="F2990" i="5"/>
  <c r="F3536" i="5"/>
  <c r="F2836" i="5"/>
  <c r="F3399" i="5"/>
  <c r="F3256" i="5"/>
  <c r="F2524" i="5"/>
  <c r="F3109" i="5"/>
  <c r="F2359" i="5"/>
  <c r="F2954" i="5"/>
  <c r="F2191" i="5"/>
  <c r="F2801" i="5"/>
  <c r="F2025" i="5"/>
  <c r="F2647" i="5"/>
  <c r="F1858" i="5"/>
  <c r="F2486" i="5"/>
  <c r="F2323" i="5"/>
  <c r="F1523" i="5"/>
  <c r="F2157" i="5"/>
  <c r="F1354" i="5"/>
  <c r="F1989" i="5"/>
  <c r="F1192" i="5"/>
  <c r="F1821" i="5"/>
  <c r="F1654" i="5"/>
  <c r="F856" i="5"/>
  <c r="F1488" i="5"/>
  <c r="F696" i="5"/>
  <c r="F1317" i="5"/>
  <c r="F529" i="5"/>
  <c r="F1158" i="5"/>
  <c r="F995" i="5"/>
  <c r="F197" i="5"/>
  <c r="F819" i="5"/>
  <c r="F26" i="5"/>
  <c r="F661" i="5"/>
  <c r="F495" i="5"/>
  <c r="F336" i="5"/>
  <c r="F159" i="5"/>
  <c r="F3885" i="5"/>
  <c r="F3318" i="5"/>
  <c r="F1219" i="5"/>
  <c r="F3170" i="5"/>
  <c r="F3888" i="5"/>
  <c r="F3743" i="5"/>
  <c r="F3456" i="5"/>
  <c r="F3321" i="5"/>
  <c r="F3171" i="5"/>
  <c r="F3017" i="5"/>
  <c r="F1221" i="5"/>
  <c r="F403" i="5"/>
  <c r="F230" i="5"/>
  <c r="F60" i="5"/>
  <c r="F3890" i="5"/>
  <c r="F3746" i="5"/>
  <c r="F3602" i="5"/>
  <c r="F3458" i="5"/>
  <c r="F3323" i="5"/>
  <c r="F3173" i="5"/>
  <c r="F3860" i="5"/>
  <c r="F3018" i="5"/>
  <c r="F3573" i="5"/>
  <c r="F2866" i="5"/>
  <c r="F3431" i="5"/>
  <c r="F2710" i="5"/>
  <c r="F3292" i="5"/>
  <c r="F2556" i="5"/>
  <c r="F1692" i="5"/>
  <c r="F2392" i="5"/>
  <c r="F1528" i="5"/>
  <c r="F2224" i="5"/>
  <c r="F1358" i="5"/>
  <c r="F2062" i="5"/>
  <c r="F1195" i="5"/>
  <c r="F1890" i="5"/>
  <c r="F1034" i="5"/>
  <c r="F1721" i="5"/>
  <c r="F861" i="5"/>
  <c r="F1556" i="5"/>
  <c r="F700" i="5"/>
  <c r="F1386" i="5"/>
  <c r="F533" i="5"/>
  <c r="F1223" i="5"/>
  <c r="F376" i="5"/>
  <c r="F1064" i="5"/>
  <c r="F201" i="5"/>
  <c r="F893" i="5"/>
  <c r="F31" i="5"/>
  <c r="F729" i="5"/>
  <c r="F3711" i="5"/>
  <c r="F561" i="5"/>
  <c r="F3566" i="5"/>
  <c r="F405" i="5"/>
  <c r="F3139" i="5"/>
  <c r="F235" i="5"/>
  <c r="F2985" i="5"/>
  <c r="F64" i="5"/>
  <c r="F2675" i="5"/>
  <c r="F2355" i="5"/>
  <c r="F2031" i="5"/>
  <c r="F2021" i="5"/>
  <c r="F1196" i="5"/>
  <c r="F1854" i="5"/>
  <c r="F377" i="5"/>
  <c r="F1684" i="5"/>
  <c r="F202" i="5"/>
  <c r="F1520" i="5"/>
  <c r="F32" i="5"/>
  <c r="F1350" i="5"/>
  <c r="F1188" i="5"/>
  <c r="F3174" i="5"/>
  <c r="F1023" i="5"/>
  <c r="F2867" i="5"/>
  <c r="F852" i="5"/>
  <c r="F1892" i="5"/>
  <c r="F691" i="5"/>
  <c r="F563" i="5"/>
  <c r="F524" i="5"/>
  <c r="F66" i="5"/>
  <c r="F368" i="5"/>
  <c r="F3325" i="5"/>
  <c r="F192" i="5"/>
  <c r="F3020" i="5"/>
  <c r="F3858" i="5"/>
  <c r="F2713" i="5"/>
  <c r="F3718" i="5"/>
  <c r="F2227" i="5"/>
  <c r="F3572" i="5"/>
  <c r="F1893" i="5"/>
  <c r="F3145" i="5"/>
  <c r="F1724" i="5"/>
  <c r="F2993" i="5"/>
  <c r="F1388" i="5"/>
  <c r="F2684" i="5"/>
  <c r="F1226" i="5"/>
  <c r="F2527" i="5"/>
  <c r="F1067" i="5"/>
  <c r="F2362" i="5"/>
  <c r="F896" i="5"/>
  <c r="F2029" i="5"/>
  <c r="F732" i="5"/>
  <c r="F1861" i="5"/>
  <c r="F564" i="5"/>
  <c r="F1526" i="5"/>
  <c r="F407" i="5"/>
  <c r="F1357" i="5"/>
  <c r="F237" i="5"/>
  <c r="F1031" i="5"/>
  <c r="F67" i="5"/>
  <c r="F699" i="5"/>
  <c r="F3021" i="5"/>
  <c r="F200" i="5"/>
  <c r="F1389" i="5"/>
  <c r="F29" i="5"/>
  <c r="F1227" i="5"/>
  <c r="F3859" i="5"/>
  <c r="F1068" i="5"/>
  <c r="F3430" i="5"/>
  <c r="F897" i="5"/>
  <c r="F3291" i="5"/>
  <c r="F565" i="5"/>
  <c r="F3146" i="5"/>
  <c r="F408" i="5"/>
  <c r="F2994" i="5"/>
  <c r="F68" i="5"/>
  <c r="F2839" i="5"/>
  <c r="F3894" i="5"/>
  <c r="F2528" i="5"/>
  <c r="F2363" i="5"/>
  <c r="F2194" i="5"/>
  <c r="F2030" i="5"/>
  <c r="F1862" i="5"/>
  <c r="F1691" i="5"/>
  <c r="F1527" i="5"/>
  <c r="F1032" i="5"/>
  <c r="F859" i="5"/>
  <c r="F532" i="5"/>
  <c r="F30" i="5"/>
  <c r="F3857" i="5"/>
  <c r="F3717" i="5"/>
  <c r="F3429" i="5"/>
  <c r="F3290" i="5"/>
  <c r="F3144" i="5"/>
  <c r="F2992" i="5"/>
  <c r="F2838" i="5"/>
  <c r="F2682" i="5"/>
  <c r="F2526" i="5"/>
  <c r="F2361" i="5"/>
  <c r="F2193" i="5"/>
  <c r="F1860" i="5"/>
  <c r="F1690" i="5"/>
  <c r="F1525" i="5"/>
  <c r="F1356" i="5"/>
  <c r="F1030" i="5"/>
  <c r="F531" i="5"/>
  <c r="F375" i="5"/>
  <c r="F199" i="5"/>
  <c r="F28" i="5"/>
  <c r="F2683" i="5"/>
  <c r="F2028" i="5"/>
  <c r="F3851" i="5"/>
  <c r="F2519" i="5"/>
  <c r="F2019" i="5"/>
  <c r="F850" i="5"/>
  <c r="F1033" i="5"/>
  <c r="F860" i="5"/>
  <c r="F3294" i="5"/>
  <c r="F3862" i="5"/>
  <c r="F3720" i="5"/>
  <c r="F3575" i="5"/>
  <c r="F3433" i="5"/>
  <c r="F3295" i="5"/>
  <c r="F3147" i="5"/>
  <c r="F2995" i="5"/>
  <c r="F2841" i="5"/>
  <c r="F2365" i="5"/>
  <c r="F2196" i="5"/>
  <c r="F2032" i="5"/>
  <c r="F1197" i="5"/>
  <c r="F863" i="5"/>
  <c r="F701" i="5"/>
  <c r="F534" i="5"/>
  <c r="F33" i="5"/>
  <c r="F3865" i="5"/>
  <c r="F3578" i="5"/>
  <c r="F3298" i="5"/>
  <c r="F3150" i="5"/>
  <c r="F2035" i="5"/>
  <c r="F1865" i="5"/>
  <c r="F1696" i="5"/>
  <c r="F1532" i="5"/>
  <c r="F1362" i="5"/>
  <c r="F866" i="5"/>
  <c r="F704" i="5"/>
  <c r="F537" i="5"/>
  <c r="F380" i="5"/>
  <c r="F206" i="5"/>
  <c r="F3722" i="5"/>
  <c r="F3297" i="5"/>
  <c r="F3149" i="5"/>
  <c r="F703" i="5"/>
  <c r="F3866" i="5"/>
  <c r="F3723" i="5"/>
  <c r="F3579" i="5"/>
  <c r="F3436" i="5"/>
  <c r="F3299" i="5"/>
  <c r="F3151" i="5"/>
  <c r="F2533" i="5"/>
  <c r="F2368" i="5"/>
  <c r="F2199" i="5"/>
  <c r="F1533" i="5"/>
  <c r="F1363" i="5"/>
  <c r="F705" i="5"/>
  <c r="F207" i="5"/>
  <c r="F36" i="5"/>
  <c r="F3834" i="5"/>
  <c r="F3696" i="5"/>
  <c r="F3548" i="5"/>
  <c r="F3410" i="5"/>
  <c r="F3268" i="5"/>
  <c r="F3122" i="5"/>
  <c r="F2967" i="5"/>
  <c r="F2814" i="5"/>
  <c r="F2660" i="5"/>
  <c r="F2499" i="5"/>
  <c r="F2334" i="5"/>
  <c r="F2169" i="5"/>
  <c r="F2001" i="5"/>
  <c r="F1834" i="5"/>
  <c r="F1668" i="5"/>
  <c r="F1502" i="5"/>
  <c r="F1327" i="5"/>
  <c r="F1170" i="5"/>
  <c r="F1006" i="5"/>
  <c r="F831" i="5"/>
  <c r="F673" i="5"/>
  <c r="F507" i="5"/>
  <c r="F348" i="5"/>
  <c r="F170" i="5"/>
  <c r="F4" i="5"/>
  <c r="F3869" i="5"/>
  <c r="F3726" i="5"/>
  <c r="F3582" i="5"/>
  <c r="F3867" i="5"/>
  <c r="F3724" i="5"/>
  <c r="F3580" i="5"/>
  <c r="F3437" i="5"/>
  <c r="F3300" i="5"/>
  <c r="F3152" i="5"/>
  <c r="F2998" i="5"/>
  <c r="F2844" i="5"/>
  <c r="F2689" i="5"/>
  <c r="F2534" i="5"/>
  <c r="F2369" i="5"/>
  <c r="F2200" i="5"/>
  <c r="F2036" i="5"/>
  <c r="F1866" i="5"/>
  <c r="F1697" i="5"/>
  <c r="F1534" i="5"/>
  <c r="F1364" i="5"/>
  <c r="F1201" i="5"/>
  <c r="F1038" i="5"/>
  <c r="F867" i="5"/>
  <c r="F706" i="5"/>
  <c r="F538" i="5"/>
  <c r="F382" i="5"/>
  <c r="F208" i="5"/>
  <c r="F37" i="5"/>
  <c r="F3868" i="5"/>
  <c r="F3725" i="5"/>
  <c r="F3581" i="5"/>
  <c r="F3438" i="5"/>
  <c r="F3301" i="5"/>
  <c r="F3153" i="5"/>
  <c r="F2999" i="5"/>
  <c r="F2845" i="5"/>
  <c r="F2690" i="5"/>
  <c r="F2535" i="5"/>
  <c r="F2370" i="5"/>
  <c r="F2201" i="5"/>
  <c r="F2037" i="5"/>
  <c r="F1867" i="5"/>
  <c r="F1698" i="5"/>
  <c r="F1535" i="5"/>
  <c r="F1039" i="5"/>
  <c r="F868" i="5"/>
  <c r="F707" i="5"/>
  <c r="F383" i="5"/>
  <c r="F38" i="5"/>
  <c r="F393" i="5"/>
  <c r="F49" i="5"/>
  <c r="F3871" i="5"/>
  <c r="F3728" i="5"/>
  <c r="F3584" i="5"/>
  <c r="F3156" i="5"/>
  <c r="F3002" i="5"/>
  <c r="F2848" i="5"/>
  <c r="F2693" i="5"/>
  <c r="F2538" i="5"/>
  <c r="F2373" i="5"/>
  <c r="F2204" i="5"/>
  <c r="F2040" i="5"/>
  <c r="F1870" i="5"/>
  <c r="F1538" i="5"/>
  <c r="F1368" i="5"/>
  <c r="F1205" i="5"/>
  <c r="F871" i="5"/>
  <c r="F710" i="5"/>
  <c r="F542" i="5"/>
  <c r="F386" i="5"/>
  <c r="F212" i="5"/>
  <c r="F41" i="5"/>
  <c r="F3872" i="5"/>
  <c r="F3729" i="5"/>
  <c r="F3585" i="5"/>
  <c r="F3441" i="5"/>
  <c r="F3304" i="5"/>
  <c r="F3157" i="5"/>
  <c r="F3003" i="5"/>
  <c r="F2849" i="5"/>
  <c r="F2694" i="5"/>
  <c r="F2539" i="5"/>
  <c r="F2374" i="5"/>
  <c r="F2205" i="5"/>
  <c r="F2041" i="5"/>
  <c r="F1871" i="5"/>
  <c r="F1369" i="5"/>
  <c r="F1206" i="5"/>
  <c r="F1043" i="5"/>
  <c r="F711" i="5"/>
  <c r="F3873" i="5"/>
  <c r="F3731" i="5"/>
  <c r="F3587" i="5"/>
  <c r="F3443" i="5"/>
  <c r="F3306" i="5"/>
  <c r="F3159" i="5"/>
  <c r="F2851" i="5"/>
  <c r="F3874" i="5"/>
  <c r="F3588" i="5"/>
  <c r="F3444" i="5"/>
  <c r="F3307" i="5"/>
  <c r="F3160" i="5"/>
  <c r="F3006" i="5"/>
  <c r="F2852" i="5"/>
  <c r="F2697" i="5"/>
  <c r="F2542" i="5"/>
  <c r="F2377" i="5"/>
  <c r="F2208" i="5"/>
  <c r="F2044" i="5"/>
  <c r="F1874" i="5"/>
  <c r="F1705" i="5"/>
  <c r="F1370" i="5"/>
  <c r="F1208" i="5"/>
  <c r="F1046" i="5"/>
  <c r="F874" i="5"/>
  <c r="F713" i="5"/>
  <c r="F546" i="5"/>
  <c r="F3876" i="5"/>
  <c r="F3589" i="5"/>
  <c r="F3445" i="5"/>
  <c r="F3308" i="5"/>
  <c r="F2378" i="5"/>
  <c r="F2209" i="5"/>
  <c r="F2045" i="5"/>
  <c r="F1875" i="5"/>
  <c r="F1706" i="5"/>
  <c r="F1541" i="5"/>
  <c r="F1371" i="5"/>
  <c r="F1209" i="5"/>
  <c r="F1047" i="5"/>
  <c r="F875" i="5"/>
  <c r="F715" i="5"/>
  <c r="F547" i="5"/>
  <c r="F390" i="5"/>
  <c r="F216" i="5"/>
  <c r="F46" i="5"/>
  <c r="F2549" i="5"/>
  <c r="F2385" i="5"/>
  <c r="F2052" i="5"/>
  <c r="F1882" i="5"/>
  <c r="F1713" i="5"/>
  <c r="F1548" i="5"/>
  <c r="F1378" i="5"/>
  <c r="F1217" i="5"/>
  <c r="F1054" i="5"/>
  <c r="F882" i="5"/>
  <c r="F723" i="5"/>
  <c r="F554" i="5"/>
  <c r="F397" i="5"/>
  <c r="F223" i="5"/>
  <c r="F54" i="5"/>
  <c r="F1215" i="5"/>
  <c r="F721" i="5"/>
  <c r="F52" i="5"/>
  <c r="F439" i="5"/>
  <c r="F278" i="5"/>
  <c r="F3316" i="5"/>
  <c r="F3014" i="5"/>
  <c r="F2860" i="5"/>
  <c r="F2387" i="5"/>
  <c r="F2217" i="5"/>
  <c r="F2054" i="5"/>
  <c r="F1884" i="5"/>
  <c r="F1550" i="5"/>
  <c r="F1380" i="5"/>
  <c r="F884" i="5"/>
  <c r="F556" i="5"/>
  <c r="F225" i="5"/>
  <c r="F56" i="5"/>
  <c r="F3740" i="5"/>
  <c r="F3453" i="5"/>
  <c r="F3168" i="5"/>
  <c r="F3015" i="5"/>
  <c r="F2861" i="5"/>
  <c r="F2705" i="5"/>
  <c r="F2552" i="5"/>
  <c r="F2218" i="5"/>
  <c r="F2055" i="5"/>
  <c r="F1885" i="5"/>
  <c r="F1715" i="5"/>
  <c r="F1056" i="5"/>
  <c r="F885" i="5"/>
  <c r="F400" i="5"/>
  <c r="F227" i="5"/>
  <c r="F57" i="5"/>
  <c r="F3887" i="5"/>
  <c r="F3742" i="5"/>
  <c r="F3599" i="5"/>
  <c r="F3455" i="5"/>
  <c r="F3320" i="5"/>
  <c r="F2863" i="5"/>
  <c r="F2554" i="5"/>
  <c r="F2389" i="5"/>
  <c r="F2220" i="5"/>
  <c r="F2057" i="5"/>
  <c r="F1887" i="5"/>
  <c r="F1717" i="5"/>
  <c r="F1552" i="5"/>
  <c r="F1383" i="5"/>
  <c r="F1058" i="5"/>
  <c r="F887" i="5"/>
  <c r="F726" i="5"/>
  <c r="F402" i="5"/>
  <c r="F229" i="5"/>
  <c r="F59" i="5"/>
  <c r="F3889" i="5"/>
  <c r="F3744" i="5"/>
  <c r="F3457" i="5"/>
  <c r="F3172" i="5"/>
  <c r="F2865" i="5"/>
  <c r="F2391" i="5"/>
  <c r="F2222" i="5"/>
  <c r="F2060" i="5"/>
  <c r="F1719" i="5"/>
  <c r="F1222" i="5"/>
  <c r="F1061" i="5"/>
  <c r="F890" i="5"/>
  <c r="F559" i="5"/>
  <c r="F232" i="5"/>
  <c r="F61" i="5"/>
  <c r="F3317" i="5"/>
  <c r="F2551" i="5"/>
  <c r="F399" i="5"/>
  <c r="F226" i="5"/>
  <c r="F3730" i="5"/>
  <c r="F3305" i="5"/>
  <c r="F3158" i="5"/>
  <c r="F3004" i="5"/>
  <c r="F2850" i="5"/>
  <c r="F2696" i="5"/>
  <c r="F2541" i="5"/>
  <c r="F2376" i="5"/>
  <c r="F2207" i="5"/>
  <c r="F2043" i="5"/>
  <c r="F1873" i="5"/>
  <c r="F1704" i="5"/>
  <c r="F1045" i="5"/>
  <c r="F545" i="5"/>
  <c r="F44" i="5"/>
  <c r="F3600" i="5"/>
  <c r="F2864" i="5"/>
  <c r="F2707" i="5"/>
  <c r="F2555" i="5"/>
  <c r="F2390" i="5"/>
  <c r="F2221" i="5"/>
  <c r="F2058" i="5"/>
  <c r="F1888" i="5"/>
  <c r="F1718" i="5"/>
  <c r="F1553" i="5"/>
  <c r="F1384" i="5"/>
  <c r="F1059" i="5"/>
  <c r="F888" i="5"/>
  <c r="F727" i="5"/>
  <c r="F558" i="5"/>
  <c r="F2708" i="5"/>
  <c r="F2059" i="5"/>
  <c r="F1554" i="5"/>
  <c r="F1060" i="5"/>
  <c r="F889" i="5"/>
  <c r="F404" i="5"/>
  <c r="F231" i="5"/>
  <c r="F3745" i="5"/>
  <c r="F3601" i="5"/>
  <c r="F3322" i="5"/>
  <c r="F2709" i="5"/>
  <c r="F1062" i="5"/>
  <c r="F891" i="5"/>
  <c r="F560" i="5"/>
  <c r="F233" i="5"/>
  <c r="F62" i="5"/>
  <c r="F2711" i="5"/>
  <c r="F2225" i="5"/>
  <c r="F2063" i="5"/>
  <c r="F1891" i="5"/>
  <c r="F1722" i="5"/>
  <c r="F1557" i="5"/>
  <c r="F1224" i="5"/>
  <c r="F1065" i="5"/>
  <c r="F894" i="5"/>
  <c r="F730" i="5"/>
  <c r="F562" i="5"/>
  <c r="F65" i="5"/>
  <c r="F2223" i="5"/>
  <c r="F2061" i="5"/>
  <c r="F1889" i="5"/>
  <c r="F1720" i="5"/>
  <c r="F1555" i="5"/>
  <c r="F1385" i="5"/>
  <c r="F1063" i="5"/>
  <c r="F892" i="5"/>
  <c r="F728" i="5"/>
  <c r="F234" i="5"/>
  <c r="F63" i="5"/>
  <c r="F3719" i="5"/>
  <c r="F3574" i="5"/>
  <c r="F3432" i="5"/>
  <c r="F3293" i="5"/>
  <c r="F2840" i="5"/>
  <c r="F2686" i="5"/>
  <c r="F2530" i="5"/>
  <c r="F2364" i="5"/>
  <c r="F2195" i="5"/>
  <c r="F1693" i="5"/>
  <c r="F1529" i="5"/>
  <c r="F1359" i="5"/>
  <c r="F1035" i="5"/>
  <c r="F862" i="5"/>
  <c r="F3891" i="5"/>
  <c r="F3747" i="5"/>
  <c r="F3324" i="5"/>
  <c r="F3019" i="5"/>
  <c r="F2712" i="5"/>
  <c r="F2557" i="5"/>
  <c r="F2393" i="5"/>
  <c r="F2226" i="5"/>
  <c r="F1723" i="5"/>
  <c r="F1387" i="5"/>
  <c r="F1225" i="5"/>
  <c r="F1066" i="5"/>
  <c r="F895" i="5"/>
  <c r="F731" i="5"/>
  <c r="F406" i="5"/>
  <c r="F236" i="5"/>
  <c r="F3892" i="5"/>
  <c r="F3748" i="5"/>
  <c r="F3604" i="5"/>
  <c r="F3459" i="5"/>
  <c r="F3175" i="5"/>
  <c r="F2868" i="5"/>
  <c r="F2558" i="5"/>
  <c r="F2394" i="5"/>
  <c r="F2064" i="5"/>
  <c r="F1558" i="5"/>
  <c r="F3893" i="5"/>
  <c r="F3749" i="5"/>
  <c r="F3605" i="5"/>
  <c r="F3460" i="5"/>
  <c r="F3326" i="5"/>
  <c r="F3176" i="5"/>
  <c r="F2869" i="5"/>
  <c r="F2714" i="5"/>
  <c r="F2559" i="5"/>
  <c r="F2395" i="5"/>
  <c r="F2229" i="5"/>
  <c r="F2065" i="5"/>
  <c r="F1894" i="5"/>
  <c r="F1725" i="5"/>
  <c r="F1559" i="5"/>
  <c r="F733" i="5"/>
  <c r="F238" i="5"/>
  <c r="F3895" i="5"/>
  <c r="F3608" i="5"/>
  <c r="F3462" i="5"/>
  <c r="F3023" i="5"/>
  <c r="F2872" i="5"/>
  <c r="F2716" i="5"/>
  <c r="F2398" i="5"/>
  <c r="F2232" i="5"/>
  <c r="F2068" i="5"/>
  <c r="F1897" i="5"/>
  <c r="F1728" i="5"/>
  <c r="F1562" i="5"/>
  <c r="F1392" i="5"/>
  <c r="F1230" i="5"/>
  <c r="F1071" i="5"/>
  <c r="F900" i="5"/>
  <c r="F735" i="5"/>
  <c r="F568" i="5"/>
  <c r="F411" i="5"/>
  <c r="F241" i="5"/>
  <c r="F71" i="5"/>
  <c r="F3750" i="5"/>
  <c r="F3606" i="5"/>
  <c r="F3461" i="5"/>
  <c r="F3327" i="5"/>
  <c r="F3022" i="5"/>
  <c r="F2870" i="5"/>
  <c r="F2715" i="5"/>
  <c r="F2560" i="5"/>
  <c r="F2396" i="5"/>
  <c r="F2230" i="5"/>
  <c r="F2066" i="5"/>
  <c r="F1895" i="5"/>
  <c r="F1726" i="5"/>
  <c r="F1560" i="5"/>
  <c r="F1390" i="5"/>
  <c r="F1228" i="5"/>
  <c r="F1069" i="5"/>
  <c r="F898" i="5"/>
  <c r="F734" i="5"/>
  <c r="F566" i="5"/>
  <c r="F409" i="5"/>
  <c r="F239" i="5"/>
  <c r="F69" i="5"/>
  <c r="F3897" i="5"/>
  <c r="F3752" i="5"/>
  <c r="F3610" i="5"/>
  <c r="F3464" i="5"/>
  <c r="F3329" i="5"/>
  <c r="F3179" i="5"/>
  <c r="F3025" i="5"/>
  <c r="F2874" i="5"/>
  <c r="F2718" i="5"/>
  <c r="F2562" i="5"/>
  <c r="F2400" i="5"/>
  <c r="F2234" i="5"/>
  <c r="F2070" i="5"/>
  <c r="F1899" i="5"/>
  <c r="F1730" i="5"/>
  <c r="F1564" i="5"/>
  <c r="F1394" i="5"/>
  <c r="F1232" i="5"/>
  <c r="F1073" i="5"/>
  <c r="F902" i="5"/>
  <c r="F737" i="5"/>
  <c r="F570" i="5"/>
  <c r="F413" i="5"/>
  <c r="F243" i="5"/>
  <c r="F73" i="5"/>
  <c r="F3607" i="5"/>
  <c r="F3177" i="5"/>
  <c r="F2871" i="5"/>
  <c r="F2397" i="5"/>
  <c r="F2231" i="5"/>
  <c r="F2067" i="5"/>
  <c r="F1896" i="5"/>
  <c r="F1727" i="5"/>
  <c r="F1561" i="5"/>
  <c r="F1391" i="5"/>
  <c r="F1229" i="5"/>
  <c r="F1070" i="5"/>
  <c r="F899" i="5"/>
  <c r="F567" i="5"/>
  <c r="F410" i="5"/>
  <c r="F240" i="5"/>
  <c r="F70" i="5"/>
  <c r="F3896" i="5"/>
  <c r="F3751" i="5"/>
  <c r="F3609" i="5"/>
  <c r="F3463" i="5"/>
  <c r="F3328" i="5"/>
  <c r="F3178" i="5"/>
  <c r="F3024" i="5"/>
  <c r="F2873" i="5"/>
  <c r="F2717" i="5"/>
  <c r="F2561" i="5"/>
  <c r="F2399" i="5"/>
  <c r="F2233" i="5"/>
  <c r="F2069" i="5"/>
  <c r="F1898" i="5"/>
  <c r="F1729" i="5"/>
  <c r="F1563" i="5"/>
  <c r="F1393" i="5"/>
  <c r="F1231" i="5"/>
  <c r="F1072" i="5"/>
  <c r="F901" i="5"/>
  <c r="F736" i="5"/>
  <c r="F569" i="5"/>
  <c r="F412" i="5"/>
  <c r="F242" i="5"/>
  <c r="F72" i="5"/>
  <c r="F3899" i="5"/>
  <c r="F3754" i="5"/>
  <c r="F3612" i="5"/>
  <c r="F3332" i="5"/>
  <c r="F3182" i="5"/>
  <c r="F3028" i="5"/>
  <c r="F2877" i="5"/>
  <c r="F2721" i="5"/>
  <c r="F2403" i="5"/>
  <c r="F1733" i="5"/>
  <c r="F1567" i="5"/>
  <c r="F1397" i="5"/>
  <c r="F1235" i="5"/>
  <c r="F1076" i="5"/>
  <c r="F905" i="5"/>
  <c r="F740" i="5"/>
  <c r="F416" i="5"/>
  <c r="F246" i="5"/>
  <c r="F3898" i="5"/>
  <c r="F3753" i="5"/>
  <c r="F3611" i="5"/>
  <c r="F3465" i="5"/>
  <c r="F3330" i="5"/>
  <c r="F3180" i="5"/>
  <c r="F3026" i="5"/>
  <c r="F2875" i="5"/>
  <c r="F2719" i="5"/>
  <c r="F2563" i="5"/>
  <c r="F2401" i="5"/>
  <c r="F2235" i="5"/>
  <c r="F2071" i="5"/>
  <c r="F1900" i="5"/>
  <c r="F1731" i="5"/>
  <c r="F1565" i="5"/>
  <c r="F1395" i="5"/>
  <c r="F1233" i="5"/>
  <c r="F1074" i="5"/>
  <c r="F903" i="5"/>
  <c r="F738" i="5"/>
  <c r="F244" i="5"/>
  <c r="F74" i="5"/>
  <c r="F3331" i="5"/>
  <c r="F3181" i="5"/>
  <c r="F3027" i="5"/>
  <c r="F2876" i="5"/>
  <c r="F2720" i="5"/>
  <c r="F2564" i="5"/>
  <c r="F2402" i="5"/>
  <c r="F2236" i="5"/>
  <c r="F2072" i="5"/>
  <c r="F1901" i="5"/>
  <c r="F1732" i="5"/>
  <c r="F1566" i="5"/>
  <c r="F1396" i="5"/>
  <c r="F1234" i="5"/>
  <c r="F1075" i="5"/>
  <c r="F904" i="5"/>
  <c r="F739" i="5"/>
  <c r="F415" i="5"/>
  <c r="F245" i="5"/>
  <c r="F75" i="5"/>
  <c r="F2228" i="5"/>
  <c r="F3900" i="5"/>
  <c r="F3755" i="5"/>
  <c r="F3613" i="5"/>
  <c r="F3466" i="5"/>
  <c r="F3333" i="5"/>
  <c r="F3183" i="5"/>
  <c r="F3029" i="5"/>
  <c r="F2878" i="5"/>
  <c r="F2722" i="5"/>
  <c r="F2566" i="5"/>
  <c r="F2404" i="5"/>
  <c r="F2238" i="5"/>
  <c r="F2074" i="5"/>
  <c r="F1903" i="5"/>
  <c r="F1734" i="5"/>
  <c r="F1568" i="5"/>
  <c r="F1398" i="5"/>
  <c r="F1236" i="5"/>
  <c r="F1077" i="5"/>
  <c r="F906" i="5"/>
  <c r="F741" i="5"/>
  <c r="F573" i="5"/>
  <c r="F417" i="5"/>
  <c r="F247" i="5"/>
  <c r="F77" i="5"/>
  <c r="F3901" i="5"/>
  <c r="F3756" i="5"/>
  <c r="F3614" i="5"/>
  <c r="F3467" i="5"/>
  <c r="F3334" i="5"/>
  <c r="F3184" i="5"/>
  <c r="F3030" i="5"/>
  <c r="F2879" i="5"/>
  <c r="F2723" i="5"/>
  <c r="F2567" i="5"/>
  <c r="F2405" i="5"/>
  <c r="F2239" i="5"/>
  <c r="F2075" i="5"/>
  <c r="F1904" i="5"/>
  <c r="F1735" i="5"/>
  <c r="F1569" i="5"/>
  <c r="F1399" i="5"/>
  <c r="F1237" i="5"/>
  <c r="F1078" i="5"/>
  <c r="F907" i="5"/>
  <c r="F742" i="5"/>
  <c r="F574" i="5"/>
  <c r="F418" i="5"/>
  <c r="F248" i="5"/>
  <c r="F78" i="5"/>
  <c r="F3185" i="5"/>
  <c r="F3031" i="5"/>
  <c r="F2880" i="5"/>
  <c r="F2724" i="5"/>
  <c r="F2406" i="5"/>
  <c r="F1905" i="5"/>
  <c r="F1570" i="5"/>
  <c r="F1400" i="5"/>
  <c r="F1079" i="5"/>
  <c r="F908" i="5"/>
  <c r="F743" i="5"/>
  <c r="F575" i="5"/>
  <c r="F249" i="5"/>
  <c r="F79" i="5"/>
  <c r="F3903" i="5"/>
  <c r="F3758" i="5"/>
  <c r="F3616" i="5"/>
  <c r="F3469" i="5"/>
  <c r="F3336" i="5"/>
  <c r="F3187" i="5"/>
  <c r="F3033" i="5"/>
  <c r="F2882" i="5"/>
  <c r="F2726" i="5"/>
  <c r="F2569" i="5"/>
  <c r="F2408" i="5"/>
  <c r="F2241" i="5"/>
  <c r="F2077" i="5"/>
  <c r="F1907" i="5"/>
  <c r="F1737" i="5"/>
  <c r="F1572" i="5"/>
  <c r="F1402" i="5"/>
  <c r="F1239" i="5"/>
  <c r="F1081" i="5"/>
  <c r="F910" i="5"/>
  <c r="F745" i="5"/>
  <c r="F577" i="5"/>
  <c r="F420" i="5"/>
  <c r="F251" i="5"/>
  <c r="F81" i="5"/>
  <c r="F3902" i="5"/>
  <c r="F3757" i="5"/>
  <c r="F3615" i="5"/>
  <c r="F3468" i="5"/>
  <c r="F3335" i="5"/>
  <c r="F3186" i="5"/>
  <c r="F3032" i="5"/>
  <c r="F2881" i="5"/>
  <c r="F2725" i="5"/>
  <c r="F2568" i="5"/>
  <c r="F2407" i="5"/>
  <c r="F2240" i="5"/>
  <c r="F2076" i="5"/>
  <c r="F1906" i="5"/>
  <c r="F1736" i="5"/>
  <c r="F1571" i="5"/>
  <c r="F1401" i="5"/>
  <c r="F1238" i="5"/>
  <c r="F1080" i="5"/>
  <c r="F909" i="5"/>
  <c r="F744" i="5"/>
  <c r="F576" i="5"/>
  <c r="F419" i="5"/>
  <c r="F250" i="5"/>
  <c r="F80" i="5"/>
  <c r="F3904" i="5"/>
  <c r="F3759" i="5"/>
  <c r="F3617" i="5"/>
  <c r="F3337" i="5"/>
  <c r="F3188" i="5"/>
  <c r="F3034" i="5"/>
  <c r="F2883" i="5"/>
  <c r="F2727" i="5"/>
  <c r="F2570" i="5"/>
  <c r="F2409" i="5"/>
  <c r="F2242" i="5"/>
  <c r="F2078" i="5"/>
  <c r="F1908" i="5"/>
  <c r="F1738" i="5"/>
  <c r="F1573" i="5"/>
  <c r="F1403" i="5"/>
  <c r="F1240" i="5"/>
  <c r="F1082" i="5"/>
  <c r="F911" i="5"/>
  <c r="F746" i="5"/>
  <c r="F578" i="5"/>
  <c r="F421" i="5"/>
  <c r="F252" i="5"/>
  <c r="F82" i="5"/>
  <c r="F3905" i="5"/>
  <c r="F2884" i="5"/>
  <c r="F2571" i="5"/>
  <c r="F2410" i="5"/>
  <c r="F2243" i="5"/>
  <c r="F2079" i="5"/>
  <c r="F1909" i="5"/>
  <c r="F1739" i="5"/>
  <c r="F1574" i="5"/>
  <c r="F1404" i="5"/>
  <c r="F1241" i="5"/>
  <c r="F1083" i="5"/>
  <c r="F912" i="5"/>
  <c r="F747" i="5"/>
  <c r="F579" i="5"/>
  <c r="F422" i="5"/>
  <c r="F83" i="5"/>
  <c r="F3473" i="5"/>
  <c r="F3341" i="5"/>
  <c r="F3192" i="5"/>
  <c r="F3038" i="5"/>
  <c r="F1577" i="5"/>
  <c r="F1407" i="5"/>
  <c r="F1244" i="5"/>
  <c r="F1087" i="5"/>
  <c r="F915" i="5"/>
  <c r="F584" i="5"/>
  <c r="F426" i="5"/>
  <c r="F257" i="5"/>
  <c r="F2984" i="5"/>
  <c r="F2832" i="5"/>
  <c r="F2520" i="5"/>
  <c r="F2354" i="5"/>
  <c r="F2020" i="5"/>
  <c r="F1853" i="5"/>
  <c r="F1022" i="5"/>
  <c r="F851" i="5"/>
  <c r="F523" i="5"/>
  <c r="F367" i="5"/>
  <c r="F191" i="5"/>
  <c r="F580" i="5"/>
  <c r="F3907" i="5"/>
  <c r="F3761" i="5"/>
  <c r="F3619" i="5"/>
  <c r="F3471" i="5"/>
  <c r="F3339" i="5"/>
  <c r="F3190" i="5"/>
  <c r="F3036" i="5"/>
  <c r="F2886" i="5"/>
  <c r="F2729" i="5"/>
  <c r="F2573" i="5"/>
  <c r="F2412" i="5"/>
  <c r="F2244" i="5"/>
  <c r="F2080" i="5"/>
  <c r="F1910" i="5"/>
  <c r="F1741" i="5"/>
  <c r="F1575" i="5"/>
  <c r="F1405" i="5"/>
  <c r="F1242" i="5"/>
  <c r="F1084" i="5"/>
  <c r="F913" i="5"/>
  <c r="F748" i="5"/>
  <c r="F581" i="5"/>
  <c r="F423" i="5"/>
  <c r="F254" i="5"/>
  <c r="F85" i="5"/>
  <c r="F3908" i="5"/>
  <c r="F3762" i="5"/>
  <c r="F3620" i="5"/>
  <c r="F3472" i="5"/>
  <c r="F3340" i="5"/>
  <c r="F3191" i="5"/>
  <c r="F3037" i="5"/>
  <c r="F2887" i="5"/>
  <c r="F2730" i="5"/>
  <c r="F2574" i="5"/>
  <c r="F2413" i="5"/>
  <c r="F2245" i="5"/>
  <c r="F2081" i="5"/>
  <c r="F1911" i="5"/>
  <c r="F1743" i="5"/>
  <c r="F1576" i="5"/>
  <c r="F1406" i="5"/>
  <c r="F1243" i="5"/>
  <c r="F1086" i="5"/>
  <c r="F914" i="5"/>
  <c r="F750" i="5"/>
  <c r="F583" i="5"/>
  <c r="F425" i="5"/>
  <c r="F256" i="5"/>
  <c r="F86" i="5"/>
  <c r="F3912" i="5"/>
  <c r="F3765" i="5"/>
  <c r="F3623" i="5"/>
  <c r="F3477" i="5"/>
  <c r="F3344" i="5"/>
  <c r="F3196" i="5"/>
  <c r="F3041" i="5"/>
  <c r="F2735" i="5"/>
  <c r="F2578" i="5"/>
  <c r="F2416" i="5"/>
  <c r="F2249" i="5"/>
  <c r="F2085" i="5"/>
  <c r="F1915" i="5"/>
  <c r="F1746" i="5"/>
  <c r="F1581" i="5"/>
  <c r="F1410" i="5"/>
  <c r="F1248" i="5"/>
  <c r="F1091" i="5"/>
  <c r="F754" i="5"/>
  <c r="F588" i="5"/>
  <c r="F261" i="5"/>
  <c r="F91" i="5"/>
  <c r="F3909" i="5"/>
  <c r="F3474" i="5"/>
  <c r="F3193" i="5"/>
  <c r="F2732" i="5"/>
  <c r="F2575" i="5"/>
  <c r="F2246" i="5"/>
  <c r="F2082" i="5"/>
  <c r="F1912" i="5"/>
  <c r="F1578" i="5"/>
  <c r="F1245" i="5"/>
  <c r="F1088" i="5"/>
  <c r="F916" i="5"/>
  <c r="F751" i="5"/>
  <c r="F585" i="5"/>
  <c r="F258" i="5"/>
  <c r="F88" i="5"/>
  <c r="F3915" i="5"/>
  <c r="F3200" i="5"/>
  <c r="F2892" i="5"/>
  <c r="F2739" i="5"/>
  <c r="F2581" i="5"/>
  <c r="F2419" i="5"/>
  <c r="F2252" i="5"/>
  <c r="F2089" i="5"/>
  <c r="F1919" i="5"/>
  <c r="F1750" i="5"/>
  <c r="F1585" i="5"/>
  <c r="F1414" i="5"/>
  <c r="F1252" i="5"/>
  <c r="F1095" i="5"/>
  <c r="F922" i="5"/>
  <c r="F758" i="5"/>
  <c r="F592" i="5"/>
  <c r="F430" i="5"/>
  <c r="F265" i="5"/>
  <c r="F95" i="5"/>
  <c r="F3916" i="5"/>
  <c r="F924" i="5"/>
  <c r="F266" i="5"/>
  <c r="F3201" i="5"/>
  <c r="F3046" i="5"/>
  <c r="F2893" i="5"/>
  <c r="F2740" i="5"/>
  <c r="F2582" i="5"/>
  <c r="F2420" i="5"/>
  <c r="F2253" i="5"/>
  <c r="F2090" i="5"/>
  <c r="F1920" i="5"/>
  <c r="F1415" i="5"/>
  <c r="F925" i="5"/>
  <c r="F759" i="5"/>
  <c r="F267" i="5"/>
  <c r="F96" i="5"/>
  <c r="F3911" i="5"/>
  <c r="F3764" i="5"/>
  <c r="F3622" i="5"/>
  <c r="F3476" i="5"/>
  <c r="F3343" i="5"/>
  <c r="F3195" i="5"/>
  <c r="F3040" i="5"/>
  <c r="F2734" i="5"/>
  <c r="F2577" i="5"/>
  <c r="F2415" i="5"/>
  <c r="F2248" i="5"/>
  <c r="F2084" i="5"/>
  <c r="F1914" i="5"/>
  <c r="F1745" i="5"/>
  <c r="F1580" i="5"/>
  <c r="F1409" i="5"/>
  <c r="F1247" i="5"/>
  <c r="F1090" i="5"/>
  <c r="F753" i="5"/>
  <c r="F587" i="5"/>
  <c r="F260" i="5"/>
  <c r="F90" i="5"/>
  <c r="F3626" i="5"/>
  <c r="F3480" i="5"/>
  <c r="F3199" i="5"/>
  <c r="F3044" i="5"/>
  <c r="F2891" i="5"/>
  <c r="F2738" i="5"/>
  <c r="F2088" i="5"/>
  <c r="F1918" i="5"/>
  <c r="F1749" i="5"/>
  <c r="F1584" i="5"/>
  <c r="F1413" i="5"/>
  <c r="F1251" i="5"/>
  <c r="F1094" i="5"/>
  <c r="F921" i="5"/>
  <c r="F757" i="5"/>
  <c r="F591" i="5"/>
  <c r="F429" i="5"/>
  <c r="F264" i="5"/>
  <c r="F94" i="5"/>
  <c r="F3919" i="5"/>
  <c r="F3631" i="5"/>
  <c r="F3484" i="5"/>
  <c r="F3351" i="5"/>
  <c r="F3204" i="5"/>
  <c r="F3049" i="5"/>
  <c r="F2743" i="5"/>
  <c r="F2585" i="5"/>
  <c r="F2423" i="5"/>
  <c r="F2255" i="5"/>
  <c r="F2092" i="5"/>
  <c r="F1923" i="5"/>
  <c r="F1753" i="5"/>
  <c r="F1588" i="5"/>
  <c r="F1418" i="5"/>
  <c r="F1099" i="5"/>
  <c r="F928" i="5"/>
  <c r="F762" i="5"/>
  <c r="F433" i="5"/>
  <c r="F270" i="5"/>
  <c r="F99" i="5"/>
  <c r="F3962" i="5"/>
  <c r="F3810" i="5"/>
  <c r="F3671" i="5"/>
  <c r="F3524" i="5"/>
  <c r="F3388" i="5"/>
  <c r="F3244" i="5"/>
  <c r="F3093" i="5"/>
  <c r="F2938" i="5"/>
  <c r="F2786" i="5"/>
  <c r="F2631" i="5"/>
  <c r="F2468" i="5"/>
  <c r="F2305" i="5"/>
  <c r="F1971" i="5"/>
  <c r="F1804" i="5"/>
  <c r="F1303" i="5"/>
  <c r="F1145" i="5"/>
  <c r="F980" i="5"/>
  <c r="F647" i="5"/>
  <c r="F480" i="5"/>
  <c r="F321" i="5"/>
  <c r="F147" i="5"/>
  <c r="F3920" i="5"/>
  <c r="F3771" i="5"/>
  <c r="F3632" i="5"/>
  <c r="F3485" i="5"/>
  <c r="F3352" i="5"/>
  <c r="F3205" i="5"/>
  <c r="F3050" i="5"/>
  <c r="F2896" i="5"/>
  <c r="F2744" i="5"/>
  <c r="F2586" i="5"/>
  <c r="F2424" i="5"/>
  <c r="F2256" i="5"/>
  <c r="F2093" i="5"/>
  <c r="F1924" i="5"/>
  <c r="F1754" i="5"/>
  <c r="F1589" i="5"/>
  <c r="F1419" i="5"/>
  <c r="F1256" i="5"/>
  <c r="F1100" i="5"/>
  <c r="F929" i="5"/>
  <c r="F763" i="5"/>
  <c r="F595" i="5"/>
  <c r="F434" i="5"/>
  <c r="F271" i="5"/>
  <c r="F100" i="5"/>
  <c r="F3918" i="5"/>
  <c r="F3770" i="5"/>
  <c r="F3630" i="5"/>
  <c r="F3483" i="5"/>
  <c r="F3350" i="5"/>
  <c r="F3203" i="5"/>
  <c r="F3048" i="5"/>
  <c r="F2895" i="5"/>
  <c r="F2742" i="5"/>
  <c r="F2584" i="5"/>
  <c r="F2422" i="5"/>
  <c r="F2254" i="5"/>
  <c r="F2091" i="5"/>
  <c r="F1922" i="5"/>
  <c r="F1752" i="5"/>
  <c r="F1587" i="5"/>
  <c r="F1417" i="5"/>
  <c r="F1255" i="5"/>
  <c r="F1098" i="5"/>
  <c r="F927" i="5"/>
  <c r="F761" i="5"/>
  <c r="F594" i="5"/>
  <c r="F432" i="5"/>
  <c r="F269" i="5"/>
  <c r="F98" i="5"/>
  <c r="F3768" i="5"/>
  <c r="F3347" i="5"/>
  <c r="F3045" i="5"/>
  <c r="F1253" i="5"/>
  <c r="F1096" i="5"/>
  <c r="F923" i="5"/>
  <c r="F3910" i="5"/>
  <c r="F3763" i="5"/>
  <c r="F3621" i="5"/>
  <c r="F3475" i="5"/>
  <c r="F3342" i="5"/>
  <c r="F3194" i="5"/>
  <c r="F3039" i="5"/>
  <c r="F2889" i="5"/>
  <c r="F2733" i="5"/>
  <c r="F2576" i="5"/>
  <c r="F2414" i="5"/>
  <c r="F2247" i="5"/>
  <c r="F2083" i="5"/>
  <c r="F1913" i="5"/>
  <c r="F1744" i="5"/>
  <c r="F1579" i="5"/>
  <c r="F1408" i="5"/>
  <c r="F1246" i="5"/>
  <c r="F1089" i="5"/>
  <c r="F917" i="5"/>
  <c r="F752" i="5"/>
  <c r="F586" i="5"/>
  <c r="F427" i="5"/>
  <c r="F259" i="5"/>
  <c r="F89" i="5"/>
  <c r="F3917" i="5"/>
  <c r="F3769" i="5"/>
  <c r="F3629" i="5"/>
  <c r="F3482" i="5"/>
  <c r="F3349" i="5"/>
  <c r="F3202" i="5"/>
  <c r="F3047" i="5"/>
  <c r="F2894" i="5"/>
  <c r="F2741" i="5"/>
  <c r="F2583" i="5"/>
  <c r="F2421" i="5"/>
  <c r="F1921" i="5"/>
  <c r="F1751" i="5"/>
  <c r="F1586" i="5"/>
  <c r="F1416" i="5"/>
  <c r="F1254" i="5"/>
  <c r="F1097" i="5"/>
  <c r="F926" i="5"/>
  <c r="F760" i="5"/>
  <c r="F593" i="5"/>
  <c r="F431" i="5"/>
  <c r="F268" i="5"/>
  <c r="F97" i="5"/>
  <c r="F3486" i="5"/>
  <c r="F2587" i="5"/>
  <c r="F2425" i="5"/>
  <c r="F930" i="5"/>
  <c r="F764" i="5"/>
  <c r="F272" i="5"/>
  <c r="F101" i="5"/>
  <c r="F3914" i="5"/>
  <c r="F3767" i="5"/>
  <c r="F3625" i="5"/>
  <c r="F3479" i="5"/>
  <c r="F3346" i="5"/>
  <c r="F3198" i="5"/>
  <c r="F3043" i="5"/>
  <c r="F2890" i="5"/>
  <c r="F2737" i="5"/>
  <c r="F2580" i="5"/>
  <c r="F2418" i="5"/>
  <c r="F2251" i="5"/>
  <c r="F2087" i="5"/>
  <c r="F1917" i="5"/>
  <c r="F1748" i="5"/>
  <c r="F1583" i="5"/>
  <c r="F1412" i="5"/>
  <c r="F1250" i="5"/>
  <c r="F1093" i="5"/>
  <c r="F920" i="5"/>
  <c r="F756" i="5"/>
  <c r="F590" i="5"/>
  <c r="F428" i="5"/>
  <c r="F263" i="5"/>
  <c r="F93" i="5"/>
  <c r="F3932" i="5"/>
  <c r="F3780" i="5"/>
  <c r="F3643" i="5"/>
  <c r="F3496" i="5"/>
  <c r="F3359" i="5"/>
  <c r="F3215" i="5"/>
  <c r="F3060" i="5"/>
  <c r="F2906" i="5"/>
  <c r="F2755" i="5"/>
  <c r="F2596" i="5"/>
  <c r="F2436" i="5"/>
  <c r="F2268" i="5"/>
  <c r="F2105" i="5"/>
  <c r="F1934" i="5"/>
  <c r="F1766" i="5"/>
  <c r="F1601" i="5"/>
  <c r="F1432" i="5"/>
  <c r="F1267" i="5"/>
  <c r="F1111" i="5"/>
  <c r="F942" i="5"/>
  <c r="F775" i="5"/>
  <c r="F608" i="5"/>
  <c r="F446" i="5"/>
  <c r="F284" i="5"/>
  <c r="F114" i="5"/>
  <c r="F283" i="5"/>
  <c r="F112" i="5"/>
  <c r="F1101" i="5"/>
  <c r="F931" i="5"/>
  <c r="F765" i="5"/>
  <c r="F3052" i="5"/>
  <c r="F2427" i="5"/>
  <c r="F1927" i="5"/>
  <c r="F933" i="5"/>
  <c r="F767" i="5"/>
  <c r="F597" i="5"/>
  <c r="F104" i="5"/>
  <c r="F3927" i="5"/>
  <c r="F3775" i="5"/>
  <c r="F3638" i="5"/>
  <c r="F3491" i="5"/>
  <c r="F3357" i="5"/>
  <c r="F3210" i="5"/>
  <c r="F3054" i="5"/>
  <c r="F2900" i="5"/>
  <c r="F2749" i="5"/>
  <c r="F2591" i="5"/>
  <c r="F2430" i="5"/>
  <c r="F2262" i="5"/>
  <c r="F2100" i="5"/>
  <c r="F1930" i="5"/>
  <c r="F1762" i="5"/>
  <c r="F1595" i="5"/>
  <c r="F1427" i="5"/>
  <c r="F1262" i="5"/>
  <c r="F1106" i="5"/>
  <c r="F937" i="5"/>
  <c r="F770" i="5"/>
  <c r="F602" i="5"/>
  <c r="F440" i="5"/>
  <c r="F279" i="5"/>
  <c r="F108" i="5"/>
  <c r="F3926" i="5"/>
  <c r="F3774" i="5"/>
  <c r="F3637" i="5"/>
  <c r="F3490" i="5"/>
  <c r="F3356" i="5"/>
  <c r="F3209" i="5"/>
  <c r="F3053" i="5"/>
  <c r="F2748" i="5"/>
  <c r="F2590" i="5"/>
  <c r="F2429" i="5"/>
  <c r="F2261" i="5"/>
  <c r="F2099" i="5"/>
  <c r="F1929" i="5"/>
  <c r="F1761" i="5"/>
  <c r="F1594" i="5"/>
  <c r="F1426" i="5"/>
  <c r="F1261" i="5"/>
  <c r="F1105" i="5"/>
  <c r="F769" i="5"/>
  <c r="F601" i="5"/>
  <c r="F277" i="5"/>
  <c r="F107" i="5"/>
  <c r="F3930" i="5"/>
  <c r="F3778" i="5"/>
  <c r="F3641" i="5"/>
  <c r="F3494" i="5"/>
  <c r="F3358" i="5"/>
  <c r="F3213" i="5"/>
  <c r="F3057" i="5"/>
  <c r="F2903" i="5"/>
  <c r="F2752" i="5"/>
  <c r="F2594" i="5"/>
  <c r="F2433" i="5"/>
  <c r="F2265" i="5"/>
  <c r="F2103" i="5"/>
  <c r="F1933" i="5"/>
  <c r="F1765" i="5"/>
  <c r="F1598" i="5"/>
  <c r="F1430" i="5"/>
  <c r="F1265" i="5"/>
  <c r="F1109" i="5"/>
  <c r="F940" i="5"/>
  <c r="F773" i="5"/>
  <c r="F605" i="5"/>
  <c r="F443" i="5"/>
  <c r="F282" i="5"/>
  <c r="F111" i="5"/>
  <c r="F3938" i="5"/>
  <c r="F3788" i="5"/>
  <c r="F3067" i="5"/>
  <c r="F2605" i="5"/>
  <c r="F2113" i="5"/>
  <c r="F1943" i="5"/>
  <c r="F1443" i="5"/>
  <c r="F454" i="5"/>
  <c r="F292" i="5"/>
  <c r="F123" i="5"/>
  <c r="F3923" i="5"/>
  <c r="F3634" i="5"/>
  <c r="F3488" i="5"/>
  <c r="F3207" i="5"/>
  <c r="F2899" i="5"/>
  <c r="F2747" i="5"/>
  <c r="F2589" i="5"/>
  <c r="F2258" i="5"/>
  <c r="F2096" i="5"/>
  <c r="F1928" i="5"/>
  <c r="F1757" i="5"/>
  <c r="F1422" i="5"/>
  <c r="F1258" i="5"/>
  <c r="F1103" i="5"/>
  <c r="F934" i="5"/>
  <c r="F768" i="5"/>
  <c r="F598" i="5"/>
  <c r="F437" i="5"/>
  <c r="F274" i="5"/>
  <c r="F105" i="5"/>
  <c r="F3924" i="5"/>
  <c r="F3773" i="5"/>
  <c r="F3635" i="5"/>
  <c r="F3354" i="5"/>
  <c r="F3208" i="5"/>
  <c r="F2259" i="5"/>
  <c r="F2097" i="5"/>
  <c r="F1758" i="5"/>
  <c r="F1592" i="5"/>
  <c r="F1423" i="5"/>
  <c r="F1259" i="5"/>
  <c r="F275" i="5"/>
  <c r="F3933" i="5"/>
  <c r="F3781" i="5"/>
  <c r="F3644" i="5"/>
  <c r="F3498" i="5"/>
  <c r="F3360" i="5"/>
  <c r="F3216" i="5"/>
  <c r="F3061" i="5"/>
  <c r="F2907" i="5"/>
  <c r="F2756" i="5"/>
  <c r="F2597" i="5"/>
  <c r="F2437" i="5"/>
  <c r="F2270" i="5"/>
  <c r="F2107" i="5"/>
  <c r="F1936" i="5"/>
  <c r="F1768" i="5"/>
  <c r="F1603" i="5"/>
  <c r="F1434" i="5"/>
  <c r="F1268" i="5"/>
  <c r="F1113" i="5"/>
  <c r="F944" i="5"/>
  <c r="F777" i="5"/>
  <c r="F610" i="5"/>
  <c r="F448" i="5"/>
  <c r="F286" i="5"/>
  <c r="F116" i="5"/>
  <c r="F3928" i="5"/>
  <c r="F3776" i="5"/>
  <c r="F3639" i="5"/>
  <c r="F3492" i="5"/>
  <c r="F3211" i="5"/>
  <c r="F3055" i="5"/>
  <c r="F2901" i="5"/>
  <c r="F2750" i="5"/>
  <c r="F2592" i="5"/>
  <c r="F2431" i="5"/>
  <c r="F2263" i="5"/>
  <c r="F2101" i="5"/>
  <c r="F1931" i="5"/>
  <c r="F1763" i="5"/>
  <c r="F1596" i="5"/>
  <c r="F1428" i="5"/>
  <c r="F1263" i="5"/>
  <c r="F1107" i="5"/>
  <c r="F938" i="5"/>
  <c r="F771" i="5"/>
  <c r="F603" i="5"/>
  <c r="F441" i="5"/>
  <c r="F280" i="5"/>
  <c r="F109" i="5"/>
  <c r="F1600" i="5"/>
  <c r="F1431" i="5"/>
  <c r="F1110" i="5"/>
  <c r="F774" i="5"/>
  <c r="F607" i="5"/>
  <c r="F445" i="5"/>
  <c r="F113" i="5"/>
  <c r="F2754" i="5"/>
  <c r="F2434" i="5"/>
  <c r="F2267" i="5"/>
  <c r="F2104" i="5"/>
  <c r="F1599" i="5"/>
  <c r="F941" i="5"/>
  <c r="F606" i="5"/>
  <c r="F444" i="5"/>
  <c r="F3497" i="5"/>
  <c r="F2269" i="5"/>
  <c r="F2106" i="5"/>
  <c r="F1935" i="5"/>
  <c r="F1767" i="5"/>
  <c r="F1602" i="5"/>
  <c r="F1433" i="5"/>
  <c r="F1112" i="5"/>
  <c r="F943" i="5"/>
  <c r="F776" i="5"/>
  <c r="F609" i="5"/>
  <c r="F447" i="5"/>
  <c r="F285" i="5"/>
  <c r="F115" i="5"/>
  <c r="F3925" i="5"/>
  <c r="F3636" i="5"/>
  <c r="F3489" i="5"/>
  <c r="F2428" i="5"/>
  <c r="F2260" i="5"/>
  <c r="F2098" i="5"/>
  <c r="F1759" i="5"/>
  <c r="F1593" i="5"/>
  <c r="F1424" i="5"/>
  <c r="F1104" i="5"/>
  <c r="F935" i="5"/>
  <c r="F599" i="5"/>
  <c r="F276" i="5"/>
  <c r="F106" i="5"/>
  <c r="F3355" i="5"/>
  <c r="F1760" i="5"/>
  <c r="F1425" i="5"/>
  <c r="F1260" i="5"/>
  <c r="F600" i="5"/>
  <c r="F438" i="5"/>
  <c r="F2745" i="5"/>
  <c r="F2094" i="5"/>
  <c r="F1925" i="5"/>
  <c r="F1755" i="5"/>
  <c r="F1590" i="5"/>
  <c r="F1420" i="5"/>
  <c r="F435" i="5"/>
  <c r="F102" i="5"/>
  <c r="F3922" i="5"/>
  <c r="F3772" i="5"/>
  <c r="F3633" i="5"/>
  <c r="F3487" i="5"/>
  <c r="F3353" i="5"/>
  <c r="F3206" i="5"/>
  <c r="F3051" i="5"/>
  <c r="F2898" i="5"/>
  <c r="F2746" i="5"/>
  <c r="F2588" i="5"/>
  <c r="F2426" i="5"/>
  <c r="F2257" i="5"/>
  <c r="F2095" i="5"/>
  <c r="F1926" i="5"/>
  <c r="F1756" i="5"/>
  <c r="F1591" i="5"/>
  <c r="F1421" i="5"/>
  <c r="F1257" i="5"/>
  <c r="F1102" i="5"/>
  <c r="F932" i="5"/>
  <c r="F766" i="5"/>
  <c r="F596" i="5"/>
  <c r="F436" i="5"/>
  <c r="F273" i="5"/>
  <c r="F103" i="5"/>
  <c r="F3937" i="5"/>
  <c r="F3787" i="5"/>
  <c r="F3650" i="5"/>
  <c r="F3504" i="5"/>
  <c r="F3366" i="5"/>
  <c r="F3220" i="5"/>
  <c r="F3066" i="5"/>
  <c r="F2912" i="5"/>
  <c r="F2763" i="5"/>
  <c r="F2604" i="5"/>
  <c r="F2442" i="5"/>
  <c r="F2276" i="5"/>
  <c r="F2112" i="5"/>
  <c r="F1942" i="5"/>
  <c r="F1776" i="5"/>
  <c r="F1610" i="5"/>
  <c r="F1442" i="5"/>
  <c r="F1275" i="5"/>
  <c r="F1119" i="5"/>
  <c r="F951" i="5"/>
  <c r="F782" i="5"/>
  <c r="F616" i="5"/>
  <c r="F453" i="5"/>
  <c r="F291" i="5"/>
  <c r="F122" i="5"/>
  <c r="F3782" i="5"/>
  <c r="F3645" i="5"/>
  <c r="F3361" i="5"/>
  <c r="F3062" i="5"/>
  <c r="F2757" i="5"/>
  <c r="F2598" i="5"/>
  <c r="F2438" i="5"/>
  <c r="F2271" i="5"/>
  <c r="F2108" i="5"/>
  <c r="F1937" i="5"/>
  <c r="F1769" i="5"/>
  <c r="F1435" i="5"/>
  <c r="F1269" i="5"/>
  <c r="F117" i="5"/>
  <c r="F3502" i="5"/>
  <c r="F2761" i="5"/>
  <c r="F2602" i="5"/>
  <c r="F1940" i="5"/>
  <c r="F1774" i="5"/>
  <c r="F1608" i="5"/>
  <c r="F1440" i="5"/>
  <c r="F1273" i="5"/>
  <c r="F1117" i="5"/>
  <c r="F949" i="5"/>
  <c r="F780" i="5"/>
  <c r="F614" i="5"/>
  <c r="F451" i="5"/>
  <c r="F289" i="5"/>
  <c r="F120" i="5"/>
  <c r="F3936" i="5"/>
  <c r="F3786" i="5"/>
  <c r="F3649" i="5"/>
  <c r="F3503" i="5"/>
  <c r="F3365" i="5"/>
  <c r="F3065" i="5"/>
  <c r="F2911" i="5"/>
  <c r="F2762" i="5"/>
  <c r="F2603" i="5"/>
  <c r="F2441" i="5"/>
  <c r="F2275" i="5"/>
  <c r="F2111" i="5"/>
  <c r="F1941" i="5"/>
  <c r="F1775" i="5"/>
  <c r="F1609" i="5"/>
  <c r="F1441" i="5"/>
  <c r="F1274" i="5"/>
  <c r="F1118" i="5"/>
  <c r="F950" i="5"/>
  <c r="F781" i="5"/>
  <c r="F615" i="5"/>
  <c r="F452" i="5"/>
  <c r="F290" i="5"/>
  <c r="F121" i="5"/>
  <c r="F2910" i="5"/>
  <c r="F2601" i="5"/>
  <c r="F1773" i="5"/>
  <c r="F1607" i="5"/>
  <c r="F1439" i="5"/>
  <c r="F1272" i="5"/>
  <c r="F948" i="5"/>
  <c r="F3934" i="5"/>
  <c r="F3784" i="5"/>
  <c r="F3647" i="5"/>
  <c r="F3500" i="5"/>
  <c r="F3363" i="5"/>
  <c r="F3218" i="5"/>
  <c r="F3063" i="5"/>
  <c r="F2908" i="5"/>
  <c r="F2759" i="5"/>
  <c r="F2599" i="5"/>
  <c r="F2439" i="5"/>
  <c r="F2273" i="5"/>
  <c r="F2109" i="5"/>
  <c r="F1938" i="5"/>
  <c r="F1771" i="5"/>
  <c r="F1605" i="5"/>
  <c r="F1437" i="5"/>
  <c r="F1271" i="5"/>
  <c r="F1115" i="5"/>
  <c r="F946" i="5"/>
  <c r="F778" i="5"/>
  <c r="F612" i="5"/>
  <c r="F449" i="5"/>
  <c r="F287" i="5"/>
  <c r="F118" i="5"/>
  <c r="F3939" i="5"/>
  <c r="F3789" i="5"/>
  <c r="F3651" i="5"/>
  <c r="F3505" i="5"/>
  <c r="F3367" i="5"/>
  <c r="F3221" i="5"/>
  <c r="F3068" i="5"/>
  <c r="F2913" i="5"/>
  <c r="F2764" i="5"/>
  <c r="F2606" i="5"/>
  <c r="F2443" i="5"/>
  <c r="F2277" i="5"/>
  <c r="F2114" i="5"/>
  <c r="F1944" i="5"/>
  <c r="F1777" i="5"/>
  <c r="F1611" i="5"/>
  <c r="F1444" i="5"/>
  <c r="F1276" i="5"/>
  <c r="F1120" i="5"/>
  <c r="F952" i="5"/>
  <c r="F783" i="5"/>
  <c r="F617" i="5"/>
  <c r="F455" i="5"/>
  <c r="F293" i="5"/>
  <c r="F124" i="5"/>
  <c r="F3783" i="5"/>
  <c r="F3646" i="5"/>
  <c r="F3499" i="5"/>
  <c r="F3362" i="5"/>
  <c r="F3217" i="5"/>
  <c r="F2758" i="5"/>
  <c r="F2272" i="5"/>
  <c r="F1770" i="5"/>
  <c r="F1604" i="5"/>
  <c r="F1436" i="5"/>
  <c r="F1270" i="5"/>
  <c r="F1114" i="5"/>
  <c r="F945" i="5"/>
  <c r="F611" i="5"/>
  <c r="F3785" i="5"/>
  <c r="F3648" i="5"/>
  <c r="F3501" i="5"/>
  <c r="F3364" i="5"/>
  <c r="F3064" i="5"/>
  <c r="F2909" i="5"/>
  <c r="F2760" i="5"/>
  <c r="F2600" i="5"/>
  <c r="F2440" i="5"/>
  <c r="F2274" i="5"/>
  <c r="F2110" i="5"/>
  <c r="F1939" i="5"/>
  <c r="F1772" i="5"/>
  <c r="F1606" i="5"/>
  <c r="F1116" i="5"/>
  <c r="F947" i="5"/>
  <c r="F779" i="5"/>
  <c r="F613" i="5"/>
  <c r="F450" i="5"/>
  <c r="F288" i="5"/>
  <c r="F119" i="5"/>
  <c r="F3940" i="5"/>
  <c r="F3790" i="5"/>
  <c r="F3652" i="5"/>
  <c r="F3506" i="5"/>
  <c r="F3368" i="5"/>
  <c r="F3222" i="5"/>
  <c r="F3069" i="5"/>
  <c r="F2914" i="5"/>
  <c r="F2765" i="5"/>
  <c r="F2607" i="5"/>
  <c r="F2444" i="5"/>
  <c r="F2278" i="5"/>
  <c r="F2115" i="5"/>
  <c r="F1945" i="5"/>
  <c r="F1778" i="5"/>
  <c r="F1612" i="5"/>
  <c r="F1445" i="5"/>
  <c r="F1277" i="5"/>
  <c r="F1121" i="5"/>
  <c r="F953" i="5"/>
  <c r="F784" i="5"/>
  <c r="F618" i="5"/>
  <c r="F456" i="5"/>
  <c r="F294" i="5"/>
  <c r="F125" i="5"/>
  <c r="F3941" i="5"/>
  <c r="F3791" i="5"/>
  <c r="F3653" i="5"/>
  <c r="F3507" i="5"/>
  <c r="F3369" i="5"/>
  <c r="F3223" i="5"/>
  <c r="F3070" i="5"/>
  <c r="F2915" i="5"/>
  <c r="F2766" i="5"/>
  <c r="F2608" i="5"/>
  <c r="F2445" i="5"/>
  <c r="F2279" i="5"/>
  <c r="F2116" i="5"/>
  <c r="F1946" i="5"/>
  <c r="F1779" i="5"/>
  <c r="F1613" i="5"/>
  <c r="F1446" i="5"/>
  <c r="F1278" i="5"/>
  <c r="F1122" i="5"/>
  <c r="F954" i="5"/>
  <c r="F785" i="5"/>
  <c r="F619" i="5"/>
  <c r="F457" i="5"/>
  <c r="F295" i="5"/>
  <c r="F3942" i="5"/>
  <c r="F3654" i="5"/>
  <c r="F3370" i="5"/>
  <c r="F3224" i="5"/>
  <c r="F2280" i="5"/>
  <c r="F2117" i="5"/>
  <c r="F1279" i="5"/>
  <c r="F620" i="5"/>
  <c r="F296" i="5"/>
  <c r="F3943" i="5"/>
  <c r="F3792" i="5"/>
  <c r="F3655" i="5"/>
  <c r="F3508" i="5"/>
  <c r="F3371" i="5"/>
  <c r="F3225" i="5"/>
  <c r="F3071" i="5"/>
  <c r="F2916" i="5"/>
  <c r="F2767" i="5"/>
  <c r="F2609" i="5"/>
  <c r="F2446" i="5"/>
  <c r="F2281" i="5"/>
  <c r="F2118" i="5"/>
  <c r="F1947" i="5"/>
  <c r="F1780" i="5"/>
  <c r="F1614" i="5"/>
  <c r="F1447" i="5"/>
  <c r="F1280" i="5"/>
  <c r="F1123" i="5"/>
  <c r="F955" i="5"/>
  <c r="F786" i="5"/>
  <c r="F621" i="5"/>
  <c r="F458" i="5"/>
  <c r="F297" i="5"/>
  <c r="F126" i="5"/>
  <c r="F3944" i="5"/>
  <c r="F3794" i="5"/>
  <c r="F3656" i="5"/>
  <c r="F3509" i="5"/>
  <c r="F3373" i="5"/>
  <c r="F3227" i="5"/>
  <c r="F3072" i="5"/>
  <c r="F2917" i="5"/>
  <c r="F2610" i="5"/>
  <c r="F2448" i="5"/>
  <c r="F2283" i="5"/>
  <c r="F2120" i="5"/>
  <c r="F1949" i="5"/>
  <c r="F1782" i="5"/>
  <c r="F1615" i="5"/>
  <c r="F1448" i="5"/>
  <c r="F1282" i="5"/>
  <c r="F1125" i="5"/>
  <c r="F958" i="5"/>
  <c r="F788" i="5"/>
  <c r="F624" i="5"/>
  <c r="F459" i="5"/>
  <c r="F299" i="5"/>
  <c r="F127" i="5"/>
  <c r="F3795" i="5"/>
  <c r="F3657" i="5"/>
  <c r="F3510" i="5"/>
  <c r="F3374" i="5"/>
  <c r="F3228" i="5"/>
  <c r="F3073" i="5"/>
  <c r="F2918" i="5"/>
  <c r="F2768" i="5"/>
  <c r="F2611" i="5"/>
  <c r="F2449" i="5"/>
  <c r="F2284" i="5"/>
  <c r="F2121" i="5"/>
  <c r="F1950" i="5"/>
  <c r="F1783" i="5"/>
  <c r="F1616" i="5"/>
  <c r="F1449" i="5"/>
  <c r="F1283" i="5"/>
  <c r="F1126" i="5"/>
  <c r="F959" i="5"/>
  <c r="F789" i="5"/>
  <c r="F625" i="5"/>
  <c r="F460" i="5"/>
  <c r="F300" i="5"/>
  <c r="F128" i="5"/>
  <c r="F787" i="5"/>
  <c r="F1781" i="5"/>
  <c r="F1281" i="5"/>
  <c r="F1124" i="5"/>
  <c r="F622" i="5"/>
  <c r="F298" i="5"/>
  <c r="F3945" i="5"/>
  <c r="F3796" i="5"/>
  <c r="F3658" i="5"/>
  <c r="F3511" i="5"/>
  <c r="F3375" i="5"/>
  <c r="F3229" i="5"/>
  <c r="F3074" i="5"/>
  <c r="F2919" i="5"/>
  <c r="F2769" i="5"/>
  <c r="F2612" i="5"/>
  <c r="F2450" i="5"/>
  <c r="F2285" i="5"/>
  <c r="F2122" i="5"/>
  <c r="F1951" i="5"/>
  <c r="F1784" i="5"/>
  <c r="F1617" i="5"/>
  <c r="F1450" i="5"/>
  <c r="F1284" i="5"/>
  <c r="F1127" i="5"/>
  <c r="F960" i="5"/>
  <c r="F790" i="5"/>
  <c r="F626" i="5"/>
  <c r="F461" i="5"/>
  <c r="F301" i="5"/>
  <c r="F129" i="5"/>
  <c r="F3948" i="5"/>
  <c r="F3660" i="5"/>
  <c r="F3514" i="5"/>
  <c r="F3077" i="5"/>
  <c r="F2922" i="5"/>
  <c r="F2772" i="5"/>
  <c r="F2615" i="5"/>
  <c r="F2453" i="5"/>
  <c r="F2288" i="5"/>
  <c r="F2125" i="5"/>
  <c r="F1954" i="5"/>
  <c r="F1787" i="5"/>
  <c r="F1620" i="5"/>
  <c r="F1453" i="5"/>
  <c r="F1287" i="5"/>
  <c r="F1130" i="5"/>
  <c r="F963" i="5"/>
  <c r="F793" i="5"/>
  <c r="F464" i="5"/>
  <c r="F304" i="5"/>
  <c r="F132" i="5"/>
  <c r="F3906" i="5"/>
  <c r="F3760" i="5"/>
  <c r="F3618" i="5"/>
  <c r="F3470" i="5"/>
  <c r="F3338" i="5"/>
  <c r="F3189" i="5"/>
  <c r="F3035" i="5"/>
  <c r="F2885" i="5"/>
  <c r="F2728" i="5"/>
  <c r="F2572" i="5"/>
  <c r="F2411" i="5"/>
  <c r="F3946" i="5"/>
  <c r="F3797" i="5"/>
  <c r="F3512" i="5"/>
  <c r="F3376" i="5"/>
  <c r="F3230" i="5"/>
  <c r="F3075" i="5"/>
  <c r="F2920" i="5"/>
  <c r="F2770" i="5"/>
  <c r="F2613" i="5"/>
  <c r="F2451" i="5"/>
  <c r="F2286" i="5"/>
  <c r="F2123" i="5"/>
  <c r="F1952" i="5"/>
  <c r="F1785" i="5"/>
  <c r="F1618" i="5"/>
  <c r="F1451" i="5"/>
  <c r="F1285" i="5"/>
  <c r="F1128" i="5"/>
  <c r="F961" i="5"/>
  <c r="F791" i="5"/>
  <c r="F627" i="5"/>
  <c r="F302" i="5"/>
  <c r="F130" i="5"/>
  <c r="F3793" i="5"/>
  <c r="F3372" i="5"/>
  <c r="F3226" i="5"/>
  <c r="F2447" i="5"/>
  <c r="F2282" i="5"/>
  <c r="F2119" i="5"/>
  <c r="F1948" i="5"/>
  <c r="F957" i="5"/>
  <c r="F623" i="5"/>
  <c r="F2960" i="5"/>
  <c r="F2654" i="5"/>
  <c r="F2493" i="5"/>
  <c r="F1494" i="5"/>
  <c r="F1000" i="5"/>
  <c r="F342" i="5"/>
  <c r="F3947" i="5"/>
  <c r="F3798" i="5"/>
  <c r="F3659" i="5"/>
  <c r="F3513" i="5"/>
  <c r="F3377" i="5"/>
  <c r="F3231" i="5"/>
  <c r="F3076" i="5"/>
  <c r="F2921" i="5"/>
  <c r="F2771" i="5"/>
  <c r="F2614" i="5"/>
  <c r="F2452" i="5"/>
  <c r="F2287" i="5"/>
  <c r="F2124" i="5"/>
  <c r="F1953" i="5"/>
  <c r="F1786" i="5"/>
  <c r="F1619" i="5"/>
  <c r="F1452" i="5"/>
  <c r="F1286" i="5"/>
  <c r="F1129" i="5"/>
  <c r="F962" i="5"/>
  <c r="F792" i="5"/>
  <c r="F628" i="5"/>
  <c r="F463" i="5"/>
  <c r="F303" i="5"/>
  <c r="F131" i="5"/>
  <c r="F3949" i="5"/>
  <c r="F2923" i="5"/>
  <c r="F2616" i="5"/>
  <c r="F2454" i="5"/>
  <c r="F2289" i="5"/>
  <c r="F2126" i="5"/>
  <c r="F1955" i="5"/>
  <c r="F1788" i="5"/>
  <c r="F1621" i="5"/>
  <c r="F1454" i="5"/>
  <c r="F1288" i="5"/>
  <c r="F1131" i="5"/>
  <c r="F964" i="5"/>
  <c r="F794" i="5"/>
  <c r="F629" i="5"/>
  <c r="F465" i="5"/>
  <c r="F305" i="5"/>
  <c r="F133" i="5"/>
  <c r="F3950" i="5"/>
  <c r="F3799" i="5"/>
  <c r="F3661" i="5"/>
  <c r="F3515" i="5"/>
  <c r="F3378" i="5"/>
  <c r="F3232" i="5"/>
  <c r="F3079" i="5"/>
  <c r="F2924" i="5"/>
  <c r="F2773" i="5"/>
  <c r="F2617" i="5"/>
  <c r="F2455" i="5"/>
  <c r="F2290" i="5"/>
  <c r="F2127" i="5"/>
  <c r="F1956" i="5"/>
  <c r="F1789" i="5"/>
  <c r="F1622" i="5"/>
  <c r="F1455" i="5"/>
  <c r="F1289" i="5"/>
  <c r="F1132" i="5"/>
  <c r="F965" i="5"/>
  <c r="F795" i="5"/>
  <c r="F630" i="5"/>
  <c r="F466" i="5"/>
  <c r="F306" i="5"/>
  <c r="F134" i="5"/>
  <c r="F3951" i="5"/>
  <c r="F3800" i="5"/>
  <c r="F2925" i="5"/>
  <c r="F2618" i="5"/>
  <c r="F2456" i="5"/>
  <c r="F2291" i="5"/>
  <c r="F2128" i="5"/>
  <c r="F1957" i="5"/>
  <c r="F1790" i="5"/>
  <c r="F1623" i="5"/>
  <c r="F1456" i="5"/>
  <c r="F1290" i="5"/>
  <c r="F1133" i="5"/>
  <c r="F966" i="5"/>
  <c r="F796" i="5"/>
  <c r="F631" i="5"/>
  <c r="F467" i="5"/>
  <c r="F307" i="5"/>
  <c r="F135" i="5"/>
  <c r="F3952" i="5"/>
  <c r="F3081" i="5"/>
  <c r="F2926" i="5"/>
  <c r="F2775" i="5"/>
  <c r="F2619" i="5"/>
  <c r="F2129" i="5"/>
  <c r="F1958" i="5"/>
  <c r="F1791" i="5"/>
  <c r="F1624" i="5"/>
  <c r="F1291" i="5"/>
  <c r="F1134" i="5"/>
  <c r="F967" i="5"/>
  <c r="F632" i="5"/>
  <c r="F468" i="5"/>
  <c r="F308" i="5"/>
  <c r="F3959" i="5"/>
  <c r="F3807" i="5"/>
  <c r="F3668" i="5"/>
  <c r="F3521" i="5"/>
  <c r="F3385" i="5"/>
  <c r="F3241" i="5"/>
  <c r="F3090" i="5"/>
  <c r="F2934" i="5"/>
  <c r="F2782" i="5"/>
  <c r="F2627" i="5"/>
  <c r="F2464" i="5"/>
  <c r="F2301" i="5"/>
  <c r="F2137" i="5"/>
  <c r="F1967" i="5"/>
  <c r="F1800" i="5"/>
  <c r="F1633" i="5"/>
  <c r="F1467" i="5"/>
  <c r="F1300" i="5"/>
  <c r="F1142" i="5"/>
  <c r="F977" i="5"/>
  <c r="F804" i="5"/>
  <c r="F643" i="5"/>
  <c r="F476" i="5"/>
  <c r="F318" i="5"/>
  <c r="F144" i="5"/>
  <c r="F3953" i="5"/>
  <c r="F3801" i="5"/>
  <c r="F3663" i="5"/>
  <c r="F3517" i="5"/>
  <c r="F3380" i="5"/>
  <c r="F3234" i="5"/>
  <c r="F3082" i="5"/>
  <c r="F2927" i="5"/>
  <c r="F2776" i="5"/>
  <c r="F2620" i="5"/>
  <c r="F2457" i="5"/>
  <c r="F2292" i="5"/>
  <c r="F2130" i="5"/>
  <c r="F1959" i="5"/>
  <c r="F1792" i="5"/>
  <c r="F1625" i="5"/>
  <c r="F1457" i="5"/>
  <c r="F1292" i="5"/>
  <c r="F1135" i="5"/>
  <c r="F969" i="5"/>
  <c r="F797" i="5"/>
  <c r="F633" i="5"/>
  <c r="F469" i="5"/>
  <c r="F309" i="5"/>
  <c r="F136" i="5"/>
  <c r="F3814" i="5"/>
  <c r="F3672" i="5"/>
  <c r="F3525" i="5"/>
  <c r="F3389" i="5"/>
  <c r="F3245" i="5"/>
  <c r="F3097" i="5"/>
  <c r="F2942" i="5"/>
  <c r="F2790" i="5"/>
  <c r="F2635" i="5"/>
  <c r="F2472" i="5"/>
  <c r="F2309" i="5"/>
  <c r="F2144" i="5"/>
  <c r="F1975" i="5"/>
  <c r="F1808" i="5"/>
  <c r="F1640" i="5"/>
  <c r="F1474" i="5"/>
  <c r="F1304" i="5"/>
  <c r="F1146" i="5"/>
  <c r="F981" i="5"/>
  <c r="F484" i="5"/>
  <c r="F325" i="5"/>
  <c r="F148" i="5"/>
  <c r="F3235" i="5"/>
  <c r="F3083" i="5"/>
  <c r="F2928" i="5"/>
  <c r="F2777" i="5"/>
  <c r="F2621" i="5"/>
  <c r="F2458" i="5"/>
  <c r="F2293" i="5"/>
  <c r="F1793" i="5"/>
  <c r="F1626" i="5"/>
  <c r="F1458" i="5"/>
  <c r="F1293" i="5"/>
  <c r="F1136" i="5"/>
  <c r="F970" i="5"/>
  <c r="F798" i="5"/>
  <c r="F634" i="5"/>
  <c r="F470" i="5"/>
  <c r="F310" i="5"/>
  <c r="F137" i="5"/>
  <c r="F3955" i="5"/>
  <c r="F3803" i="5"/>
  <c r="F3664" i="5"/>
  <c r="F3518" i="5"/>
  <c r="F3381" i="5"/>
  <c r="F3237" i="5"/>
  <c r="F3086" i="5"/>
  <c r="F2930" i="5"/>
  <c r="F2779" i="5"/>
  <c r="F2623" i="5"/>
  <c r="F2460" i="5"/>
  <c r="F2297" i="5"/>
  <c r="F2133" i="5"/>
  <c r="F1963" i="5"/>
  <c r="F1796" i="5"/>
  <c r="F1629" i="5"/>
  <c r="F1462" i="5"/>
  <c r="F1295" i="5"/>
  <c r="F1139" i="5"/>
  <c r="F972" i="5"/>
  <c r="F800" i="5"/>
  <c r="F637" i="5"/>
  <c r="F472" i="5"/>
  <c r="F312" i="5"/>
  <c r="F139" i="5"/>
  <c r="F974" i="5"/>
  <c r="F640" i="5"/>
  <c r="F3085" i="5"/>
  <c r="F2296" i="5"/>
  <c r="F2132" i="5"/>
  <c r="F1962" i="5"/>
  <c r="F1628" i="5"/>
  <c r="F1461" i="5"/>
  <c r="F3586" i="5"/>
  <c r="F3442" i="5"/>
  <c r="F2695" i="5"/>
  <c r="F2540" i="5"/>
  <c r="F2375" i="5"/>
  <c r="F2206" i="5"/>
  <c r="F2042" i="5"/>
  <c r="F1872" i="5"/>
  <c r="F1703" i="5"/>
  <c r="F1207" i="5"/>
  <c r="F1044" i="5"/>
  <c r="F873" i="5"/>
  <c r="F712" i="5"/>
  <c r="F544" i="5"/>
  <c r="F388" i="5"/>
  <c r="F214" i="5"/>
  <c r="F43" i="5"/>
  <c r="F1965" i="5"/>
  <c r="F1631" i="5"/>
  <c r="F1465" i="5"/>
  <c r="F1298" i="5"/>
  <c r="F975" i="5"/>
  <c r="F802" i="5"/>
  <c r="F641" i="5"/>
  <c r="F316" i="5"/>
  <c r="F142" i="5"/>
  <c r="F3954" i="5"/>
  <c r="F3802" i="5"/>
  <c r="F2459" i="5"/>
  <c r="F2131" i="5"/>
  <c r="F1459" i="5"/>
  <c r="F1294" i="5"/>
  <c r="F1137" i="5"/>
  <c r="F971" i="5"/>
  <c r="F799" i="5"/>
  <c r="F635" i="5"/>
  <c r="F471" i="5"/>
  <c r="F311" i="5"/>
  <c r="F138" i="5"/>
  <c r="F3964" i="5"/>
  <c r="F3812" i="5"/>
  <c r="F3095" i="5"/>
  <c r="F2940" i="5"/>
  <c r="F2788" i="5"/>
  <c r="F2633" i="5"/>
  <c r="F2470" i="5"/>
  <c r="F2307" i="5"/>
  <c r="F2142" i="5"/>
  <c r="F1973" i="5"/>
  <c r="F1806" i="5"/>
  <c r="F1638" i="5"/>
  <c r="F1472" i="5"/>
  <c r="F482" i="5"/>
  <c r="F323" i="5"/>
  <c r="F2936" i="5"/>
  <c r="F2784" i="5"/>
  <c r="F2629" i="5"/>
  <c r="F2466" i="5"/>
  <c r="F2303" i="5"/>
  <c r="F2139" i="5"/>
  <c r="F1969" i="5"/>
  <c r="F1802" i="5"/>
  <c r="F1635" i="5"/>
  <c r="F1469" i="5"/>
  <c r="F645" i="5"/>
  <c r="F478" i="5"/>
  <c r="F3963" i="5"/>
  <c r="F3811" i="5"/>
  <c r="F3094" i="5"/>
  <c r="F2939" i="5"/>
  <c r="F2787" i="5"/>
  <c r="F2632" i="5"/>
  <c r="F2469" i="5"/>
  <c r="F2306" i="5"/>
  <c r="F2141" i="5"/>
  <c r="F1972" i="5"/>
  <c r="F1805" i="5"/>
  <c r="F1637" i="5"/>
  <c r="F1471" i="5"/>
  <c r="F481" i="5"/>
  <c r="F322" i="5"/>
  <c r="F2299" i="5"/>
  <c r="F2135" i="5"/>
  <c r="F1297" i="5"/>
  <c r="F315" i="5"/>
  <c r="F3966" i="5"/>
  <c r="F2145" i="5"/>
  <c r="F1976" i="5"/>
  <c r="F1641" i="5"/>
  <c r="F149" i="5"/>
  <c r="F3956" i="5"/>
  <c r="F3665" i="5"/>
  <c r="F3382" i="5"/>
  <c r="F3238" i="5"/>
  <c r="F2931" i="5"/>
  <c r="F2780" i="5"/>
  <c r="F2624" i="5"/>
  <c r="F2461" i="5"/>
  <c r="F2134" i="5"/>
  <c r="F1964" i="5"/>
  <c r="F1296" i="5"/>
  <c r="F1140" i="5"/>
  <c r="F973" i="5"/>
  <c r="F801" i="5"/>
  <c r="F638" i="5"/>
  <c r="F473" i="5"/>
  <c r="F313" i="5"/>
  <c r="F140" i="5"/>
  <c r="F3957" i="5"/>
  <c r="F3805" i="5"/>
  <c r="F3666" i="5"/>
  <c r="F3519" i="5"/>
  <c r="F3383" i="5"/>
  <c r="F3239" i="5"/>
  <c r="F3088" i="5"/>
  <c r="F2932" i="5"/>
  <c r="F2625" i="5"/>
  <c r="F2462" i="5"/>
  <c r="F2298" i="5"/>
  <c r="F1798" i="5"/>
  <c r="F639" i="5"/>
  <c r="F314" i="5"/>
  <c r="F141" i="5"/>
  <c r="F3967" i="5"/>
  <c r="F3815" i="5"/>
  <c r="F3673" i="5"/>
  <c r="F3526" i="5"/>
  <c r="F3390" i="5"/>
  <c r="F3246" i="5"/>
  <c r="F3098" i="5"/>
  <c r="F2943" i="5"/>
  <c r="F2791" i="5"/>
  <c r="F2636" i="5"/>
  <c r="F2310" i="5"/>
  <c r="F2146" i="5"/>
  <c r="F1977" i="5"/>
  <c r="F1809" i="5"/>
  <c r="F1642" i="5"/>
  <c r="F1475" i="5"/>
  <c r="F1305" i="5"/>
  <c r="F1147" i="5"/>
  <c r="F982" i="5"/>
  <c r="F807" i="5"/>
  <c r="F648" i="5"/>
  <c r="F485" i="5"/>
  <c r="F326" i="5"/>
  <c r="F150" i="5"/>
  <c r="F3875" i="5"/>
  <c r="F3732" i="5"/>
  <c r="F714" i="5"/>
  <c r="F3236" i="5"/>
  <c r="F2295" i="5"/>
  <c r="F1961" i="5"/>
  <c r="F1795" i="5"/>
  <c r="F1460" i="5"/>
  <c r="F1138" i="5"/>
  <c r="F636" i="5"/>
  <c r="F3969" i="5"/>
  <c r="F3817" i="5"/>
  <c r="F3675" i="5"/>
  <c r="F3528" i="5"/>
  <c r="F3392" i="5"/>
  <c r="F3248" i="5"/>
  <c r="F3100" i="5"/>
  <c r="F2945" i="5"/>
  <c r="F2793" i="5"/>
  <c r="F2638" i="5"/>
  <c r="F2475" i="5"/>
  <c r="F2312" i="5"/>
  <c r="F2148" i="5"/>
  <c r="F1979" i="5"/>
  <c r="F1811" i="5"/>
  <c r="F1644" i="5"/>
  <c r="F1477" i="5"/>
  <c r="F1307" i="5"/>
  <c r="F1149" i="5"/>
  <c r="F984" i="5"/>
  <c r="F809" i="5"/>
  <c r="F650" i="5"/>
  <c r="F3714" i="5"/>
  <c r="F2989" i="5"/>
  <c r="F2835" i="5"/>
  <c r="F2679" i="5"/>
  <c r="F2523" i="5"/>
  <c r="F2358" i="5"/>
  <c r="F2190" i="5"/>
  <c r="F2024" i="5"/>
  <c r="F1857" i="5"/>
  <c r="F1687" i="5"/>
  <c r="F1522" i="5"/>
  <c r="F1353" i="5"/>
  <c r="F1191" i="5"/>
  <c r="F1027" i="5"/>
  <c r="F855" i="5"/>
  <c r="F695" i="5"/>
  <c r="F528" i="5"/>
  <c r="F372" i="5"/>
  <c r="F196" i="5"/>
  <c r="F25" i="5"/>
  <c r="F3870" i="5"/>
  <c r="F3727" i="5"/>
  <c r="F3583" i="5"/>
  <c r="F3440" i="5"/>
  <c r="F3303" i="5"/>
  <c r="F3155" i="5"/>
  <c r="F3001" i="5"/>
  <c r="F2847" i="5"/>
  <c r="F2692" i="5"/>
  <c r="F2537" i="5"/>
  <c r="F2372" i="5"/>
  <c r="F2203" i="5"/>
  <c r="F2039" i="5"/>
  <c r="F1869" i="5"/>
  <c r="F1700" i="5"/>
  <c r="F1537" i="5"/>
  <c r="F1367" i="5"/>
  <c r="F1204" i="5"/>
  <c r="F1041" i="5"/>
  <c r="F870" i="5"/>
  <c r="F709" i="5"/>
  <c r="F541" i="5"/>
  <c r="F385" i="5"/>
  <c r="F211" i="5"/>
  <c r="F40" i="5"/>
  <c r="F3880" i="5"/>
  <c r="F3736" i="5"/>
  <c r="F2856" i="5"/>
  <c r="F2546" i="5"/>
  <c r="F2382" i="5"/>
  <c r="F2213" i="5"/>
  <c r="F2049" i="5"/>
  <c r="F1879" i="5"/>
  <c r="F1710" i="5"/>
  <c r="F1545" i="5"/>
  <c r="F1375" i="5"/>
  <c r="F1213" i="5"/>
  <c r="F1051" i="5"/>
  <c r="F879" i="5"/>
  <c r="F719" i="5"/>
  <c r="F551" i="5"/>
  <c r="F394" i="5"/>
  <c r="F220" i="5"/>
  <c r="F50" i="5"/>
  <c r="F2478" i="5"/>
  <c r="F1814" i="5"/>
  <c r="F987" i="5"/>
  <c r="F812" i="5"/>
  <c r="F653" i="5"/>
  <c r="F489" i="5"/>
  <c r="F330" i="5"/>
  <c r="F154" i="5"/>
  <c r="F3971" i="5"/>
  <c r="F3818" i="5"/>
  <c r="F3677" i="5"/>
  <c r="F3530" i="5"/>
  <c r="F3393" i="5"/>
  <c r="F3250" i="5"/>
  <c r="F3103" i="5"/>
  <c r="F2948" i="5"/>
  <c r="F2794" i="5"/>
  <c r="F2641" i="5"/>
  <c r="F2476" i="5"/>
  <c r="F2314" i="5"/>
  <c r="F2150" i="5"/>
  <c r="F1982" i="5"/>
  <c r="F1813" i="5"/>
  <c r="F1646" i="5"/>
  <c r="F1480" i="5"/>
  <c r="F1310" i="5"/>
  <c r="F1152" i="5"/>
  <c r="F986" i="5"/>
  <c r="F811" i="5"/>
  <c r="F652" i="5"/>
  <c r="F488" i="5"/>
  <c r="F329" i="5"/>
  <c r="F153" i="5"/>
  <c r="F3101" i="5"/>
  <c r="F2946" i="5"/>
  <c r="F2639" i="5"/>
  <c r="F1980" i="5"/>
  <c r="F1478" i="5"/>
  <c r="F1308" i="5"/>
  <c r="F1150" i="5"/>
  <c r="F985" i="5"/>
  <c r="F487" i="5"/>
  <c r="F328" i="5"/>
  <c r="F152" i="5"/>
  <c r="F3533" i="5"/>
  <c r="F3395" i="5"/>
  <c r="F2797" i="5"/>
  <c r="F2643" i="5"/>
  <c r="F2482" i="5"/>
  <c r="F2319" i="5"/>
  <c r="F2153" i="5"/>
  <c r="F1985" i="5"/>
  <c r="F1817" i="5"/>
  <c r="F1650" i="5"/>
  <c r="F1484" i="5"/>
  <c r="F1313" i="5"/>
  <c r="F657" i="5"/>
  <c r="F3913" i="5"/>
  <c r="F3766" i="5"/>
  <c r="F3624" i="5"/>
  <c r="F3478" i="5"/>
  <c r="F3345" i="5"/>
  <c r="F3197" i="5"/>
  <c r="F3042" i="5"/>
  <c r="F2736" i="5"/>
  <c r="F2579" i="5"/>
  <c r="F2417" i="5"/>
  <c r="F2250" i="5"/>
  <c r="F2086" i="5"/>
  <c r="F1916" i="5"/>
  <c r="F1747" i="5"/>
  <c r="F1582" i="5"/>
  <c r="F1411" i="5"/>
  <c r="F1249" i="5"/>
  <c r="F1092" i="5"/>
  <c r="F755" i="5"/>
  <c r="F589" i="5"/>
  <c r="F262" i="5"/>
  <c r="F92" i="5"/>
  <c r="F2477" i="5"/>
  <c r="F2315" i="5"/>
  <c r="F3929" i="5"/>
  <c r="F3777" i="5"/>
  <c r="F3640" i="5"/>
  <c r="F3493" i="5"/>
  <c r="F3212" i="5"/>
  <c r="F3056" i="5"/>
  <c r="F2902" i="5"/>
  <c r="F2751" i="5"/>
  <c r="F2593" i="5"/>
  <c r="F2432" i="5"/>
  <c r="F2264" i="5"/>
  <c r="F2102" i="5"/>
  <c r="F1932" i="5"/>
  <c r="F1764" i="5"/>
  <c r="F1597" i="5"/>
  <c r="F1429" i="5"/>
  <c r="F1264" i="5"/>
  <c r="F1108" i="5"/>
  <c r="F939" i="5"/>
  <c r="F772" i="5"/>
  <c r="F604" i="5"/>
  <c r="F442" i="5"/>
  <c r="F281" i="5"/>
  <c r="F110" i="5"/>
  <c r="F988" i="5"/>
  <c r="F813" i="5"/>
  <c r="F3960" i="5"/>
  <c r="F3808" i="5"/>
  <c r="F3669" i="5"/>
  <c r="F3522" i="5"/>
  <c r="F3386" i="5"/>
  <c r="F3242" i="5"/>
  <c r="F3091" i="5"/>
  <c r="F2935" i="5"/>
  <c r="F2783" i="5"/>
  <c r="F2628" i="5"/>
  <c r="F2465" i="5"/>
  <c r="F2302" i="5"/>
  <c r="F2138" i="5"/>
  <c r="F1968" i="5"/>
  <c r="F1801" i="5"/>
  <c r="F1634" i="5"/>
  <c r="F1468" i="5"/>
  <c r="F1301" i="5"/>
  <c r="F1143" i="5"/>
  <c r="F978" i="5"/>
  <c r="F805" i="5"/>
  <c r="F644" i="5"/>
  <c r="F477" i="5"/>
  <c r="F319" i="5"/>
  <c r="F145" i="5"/>
  <c r="F3965" i="5"/>
  <c r="F3813" i="5"/>
  <c r="F3096" i="5"/>
  <c r="F2941" i="5"/>
  <c r="F2789" i="5"/>
  <c r="F2634" i="5"/>
  <c r="F2471" i="5"/>
  <c r="F2308" i="5"/>
  <c r="F2143" i="5"/>
  <c r="F1974" i="5"/>
  <c r="F1807" i="5"/>
  <c r="F1639" i="5"/>
  <c r="F1473" i="5"/>
  <c r="F483" i="5"/>
  <c r="F324" i="5"/>
  <c r="F3972" i="5"/>
  <c r="F3819" i="5"/>
  <c r="F3678" i="5"/>
  <c r="F2949" i="5"/>
  <c r="F2479" i="5"/>
  <c r="F2316" i="5"/>
  <c r="F2151" i="5"/>
  <c r="F1647" i="5"/>
  <c r="F1481" i="5"/>
  <c r="F654" i="5"/>
  <c r="F3679" i="5"/>
  <c r="F3531" i="5"/>
  <c r="F3251" i="5"/>
  <c r="F3104" i="5"/>
  <c r="F2795" i="5"/>
  <c r="F2480" i="5"/>
  <c r="F2317" i="5"/>
  <c r="F1983" i="5"/>
  <c r="F1815" i="5"/>
  <c r="F1648" i="5"/>
  <c r="F1482" i="5"/>
  <c r="F1311" i="5"/>
  <c r="F1153" i="5"/>
  <c r="F989" i="5"/>
  <c r="F814" i="5"/>
  <c r="F655" i="5"/>
  <c r="F490" i="5"/>
  <c r="F331" i="5"/>
  <c r="F155" i="5"/>
  <c r="F3973" i="5"/>
  <c r="F3820" i="5"/>
  <c r="F3680" i="5"/>
  <c r="F3532" i="5"/>
  <c r="F3394" i="5"/>
  <c r="F3252" i="5"/>
  <c r="F3105" i="5"/>
  <c r="F2950" i="5"/>
  <c r="F2796" i="5"/>
  <c r="F2642" i="5"/>
  <c r="F2481" i="5"/>
  <c r="F2318" i="5"/>
  <c r="F2152" i="5"/>
  <c r="F1984" i="5"/>
  <c r="F1816" i="5"/>
  <c r="F1649" i="5"/>
  <c r="F1483" i="5"/>
  <c r="F1312" i="5"/>
  <c r="F1154" i="5"/>
  <c r="F990" i="5"/>
  <c r="F815" i="5"/>
  <c r="F656" i="5"/>
  <c r="F491" i="5"/>
  <c r="F332" i="5"/>
  <c r="F156" i="5"/>
  <c r="F991" i="5"/>
  <c r="F3970" i="5"/>
  <c r="F3676" i="5"/>
  <c r="F3529" i="5"/>
  <c r="F3249" i="5"/>
  <c r="F3102" i="5"/>
  <c r="F2947" i="5"/>
  <c r="F2640" i="5"/>
  <c r="F2313" i="5"/>
  <c r="F2149" i="5"/>
  <c r="F1981" i="5"/>
  <c r="F1812" i="5"/>
  <c r="F1645" i="5"/>
  <c r="F1479" i="5"/>
  <c r="F1309" i="5"/>
  <c r="F1151" i="5"/>
  <c r="F810" i="5"/>
  <c r="F651" i="5"/>
  <c r="F3974" i="5"/>
  <c r="F3681" i="5"/>
  <c r="F3396" i="5"/>
  <c r="F3253" i="5"/>
  <c r="F3106" i="5"/>
  <c r="F2951" i="5"/>
  <c r="F2798" i="5"/>
  <c r="F2644" i="5"/>
  <c r="F2483" i="5"/>
  <c r="F2320" i="5"/>
  <c r="F2154" i="5"/>
  <c r="F1986" i="5"/>
  <c r="F1818" i="5"/>
  <c r="F1651" i="5"/>
  <c r="F1485" i="5"/>
  <c r="F1314" i="5"/>
  <c r="F1155" i="5"/>
  <c r="F992" i="5"/>
  <c r="F816" i="5"/>
  <c r="F658" i="5"/>
  <c r="F492" i="5"/>
  <c r="F333" i="5"/>
  <c r="F1819" i="5"/>
  <c r="F1652" i="5"/>
  <c r="F1486" i="5"/>
  <c r="F1315" i="5"/>
  <c r="F1156" i="5"/>
  <c r="F993" i="5"/>
  <c r="F817" i="5"/>
  <c r="F659" i="5"/>
  <c r="F493" i="5"/>
  <c r="F334" i="5"/>
  <c r="F157" i="5"/>
  <c r="F3979" i="5"/>
  <c r="F3825" i="5"/>
  <c r="F3686" i="5"/>
  <c r="F3538" i="5"/>
  <c r="F3401" i="5"/>
  <c r="F3258" i="5"/>
  <c r="F3111" i="5"/>
  <c r="F2956" i="5"/>
  <c r="F2803" i="5"/>
  <c r="F2649" i="5"/>
  <c r="F2488" i="5"/>
  <c r="F2325" i="5"/>
  <c r="F2159" i="5"/>
  <c r="F1991" i="5"/>
  <c r="F1823" i="5"/>
  <c r="F1656" i="5"/>
  <c r="F1490" i="5"/>
  <c r="F1319" i="5"/>
  <c r="F1160" i="5"/>
  <c r="F997" i="5"/>
  <c r="F821" i="5"/>
  <c r="F663" i="5"/>
  <c r="F497" i="5"/>
  <c r="F338" i="5"/>
  <c r="F161" i="5"/>
  <c r="F3980" i="5"/>
  <c r="F3687" i="5"/>
  <c r="F3259" i="5"/>
  <c r="F3112" i="5"/>
  <c r="F2957" i="5"/>
  <c r="F2804" i="5"/>
  <c r="F2650" i="5"/>
  <c r="F2489" i="5"/>
  <c r="F1992" i="5"/>
  <c r="F1824" i="5"/>
  <c r="F1657" i="5"/>
  <c r="F1161" i="5"/>
  <c r="F822" i="5"/>
  <c r="F664" i="5"/>
  <c r="F498" i="5"/>
  <c r="F162" i="5"/>
  <c r="F3978" i="5"/>
  <c r="F3824" i="5"/>
  <c r="F3685" i="5"/>
  <c r="F3537" i="5"/>
  <c r="F3400" i="5"/>
  <c r="F3257" i="5"/>
  <c r="F3110" i="5"/>
  <c r="F2955" i="5"/>
  <c r="F2802" i="5"/>
  <c r="F2648" i="5"/>
  <c r="F2487" i="5"/>
  <c r="F2324" i="5"/>
  <c r="F2158" i="5"/>
  <c r="F1990" i="5"/>
  <c r="F1822" i="5"/>
  <c r="F1655" i="5"/>
  <c r="F1489" i="5"/>
  <c r="F1318" i="5"/>
  <c r="F1159" i="5"/>
  <c r="F996" i="5"/>
  <c r="F820" i="5"/>
  <c r="F662" i="5"/>
  <c r="F496" i="5"/>
  <c r="F337" i="5"/>
  <c r="F160" i="5"/>
  <c r="F3826" i="5"/>
  <c r="F3688" i="5"/>
  <c r="F2490" i="5"/>
  <c r="F1825" i="5"/>
  <c r="F1658" i="5"/>
  <c r="F1491" i="5"/>
  <c r="F1320" i="5"/>
  <c r="F1162" i="5"/>
  <c r="F998" i="5"/>
  <c r="F823" i="5"/>
  <c r="F665" i="5"/>
  <c r="F499" i="5"/>
  <c r="F339" i="5"/>
  <c r="F163" i="5"/>
  <c r="F3981" i="5"/>
  <c r="F3827" i="5"/>
  <c r="F3689" i="5"/>
  <c r="F3540" i="5"/>
  <c r="F3403" i="5"/>
  <c r="F3261" i="5"/>
  <c r="F3113" i="5"/>
  <c r="F2958" i="5"/>
  <c r="F2805" i="5"/>
  <c r="F2652" i="5"/>
  <c r="F2491" i="5"/>
  <c r="F2327" i="5"/>
  <c r="F2160" i="5"/>
  <c r="F1993" i="5"/>
  <c r="F1826" i="5"/>
  <c r="F1659" i="5"/>
  <c r="F1492" i="5"/>
  <c r="F1163" i="5"/>
  <c r="F824" i="5"/>
  <c r="F340" i="5"/>
  <c r="F3982" i="5"/>
  <c r="F3828" i="5"/>
  <c r="F3690" i="5"/>
  <c r="F3541" i="5"/>
  <c r="F3404" i="5"/>
  <c r="F3262" i="5"/>
  <c r="F3114" i="5"/>
  <c r="F2959" i="5"/>
  <c r="F2806" i="5"/>
  <c r="F2653" i="5"/>
  <c r="F2492" i="5"/>
  <c r="F2328" i="5"/>
  <c r="F2161" i="5"/>
  <c r="F1994" i="5"/>
  <c r="F1827" i="5"/>
  <c r="F1660" i="5"/>
  <c r="F1493" i="5"/>
  <c r="F1321" i="5"/>
  <c r="F1164" i="5"/>
  <c r="F999" i="5"/>
  <c r="F825" i="5"/>
  <c r="F667" i="5"/>
  <c r="F500" i="5"/>
  <c r="F341" i="5"/>
  <c r="F164" i="5"/>
  <c r="F666" i="5"/>
  <c r="F3983" i="5"/>
  <c r="F3829" i="5"/>
  <c r="F3691" i="5"/>
  <c r="F3542" i="5"/>
  <c r="F3405" i="5"/>
  <c r="F3263" i="5"/>
  <c r="F3115" i="5"/>
  <c r="F2961" i="5"/>
  <c r="F2807" i="5"/>
  <c r="F2655" i="5"/>
  <c r="F2494" i="5"/>
  <c r="F2329" i="5"/>
  <c r="F2162" i="5"/>
  <c r="F1995" i="5"/>
  <c r="F1828" i="5"/>
  <c r="F1661" i="5"/>
  <c r="F1495" i="5"/>
  <c r="F1322" i="5"/>
  <c r="F1165" i="5"/>
  <c r="F1001" i="5"/>
  <c r="F826" i="5"/>
  <c r="F668" i="5"/>
  <c r="F501" i="5"/>
  <c r="F343" i="5"/>
  <c r="F165" i="5"/>
  <c r="F968" i="5"/>
  <c r="F1742" i="5"/>
  <c r="F1085" i="5"/>
  <c r="F749" i="5"/>
  <c r="F582" i="5"/>
  <c r="F424" i="5"/>
  <c r="F255" i="5"/>
  <c r="F3984" i="5"/>
  <c r="F3830" i="5"/>
  <c r="F3692" i="5"/>
  <c r="F3543" i="5"/>
  <c r="F3406" i="5"/>
  <c r="F3264" i="5"/>
  <c r="F3116" i="5"/>
  <c r="F2962" i="5"/>
  <c r="F2808" i="5"/>
  <c r="F2656" i="5"/>
  <c r="F2495" i="5"/>
  <c r="F2330" i="5"/>
  <c r="F2163" i="5"/>
  <c r="F1996" i="5"/>
  <c r="F1829" i="5"/>
  <c r="F1662" i="5"/>
  <c r="F1496" i="5"/>
  <c r="F1323" i="5"/>
  <c r="F1166" i="5"/>
  <c r="F502" i="5"/>
  <c r="F3958" i="5"/>
  <c r="F3806" i="5"/>
  <c r="F3240" i="5"/>
  <c r="F3089" i="5"/>
  <c r="F2933" i="5"/>
  <c r="F2781" i="5"/>
  <c r="F2626" i="5"/>
  <c r="F2463" i="5"/>
  <c r="F2300" i="5"/>
  <c r="F2136" i="5"/>
  <c r="F1966" i="5"/>
  <c r="F1799" i="5"/>
  <c r="F1632" i="5"/>
  <c r="F475" i="5"/>
  <c r="F317" i="5"/>
  <c r="F3985" i="5"/>
  <c r="F3693" i="5"/>
  <c r="F3265" i="5"/>
  <c r="F3117" i="5"/>
  <c r="F2963" i="5"/>
  <c r="F2809" i="5"/>
  <c r="F2331" i="5"/>
  <c r="F2164" i="5"/>
  <c r="F1663" i="5"/>
  <c r="F1497" i="5"/>
  <c r="F1324" i="5"/>
  <c r="F1002" i="5"/>
  <c r="F827" i="5"/>
  <c r="F669" i="5"/>
  <c r="F503" i="5"/>
  <c r="F344" i="5"/>
  <c r="F166" i="5"/>
  <c r="F3986" i="5"/>
  <c r="F3831" i="5"/>
  <c r="F3544" i="5"/>
  <c r="F3407" i="5"/>
  <c r="F3266" i="5"/>
  <c r="F3118" i="5"/>
  <c r="F345" i="5"/>
  <c r="F3546" i="5"/>
  <c r="F2168" i="5"/>
  <c r="F2971" i="5"/>
  <c r="F3850" i="5"/>
  <c r="F3709" i="5"/>
  <c r="F3564" i="5"/>
  <c r="F1852" i="5"/>
  <c r="F1683" i="5"/>
  <c r="F1347" i="5"/>
  <c r="F1186" i="5"/>
  <c r="F1020" i="5"/>
  <c r="F189" i="5"/>
  <c r="F21" i="5"/>
  <c r="F3560" i="5"/>
  <c r="F2347" i="5"/>
  <c r="F2182" i="5"/>
  <c r="F1848" i="5"/>
  <c r="F362" i="5"/>
  <c r="F185" i="5"/>
  <c r="F3844" i="5"/>
  <c r="F3704" i="5"/>
  <c r="F3557" i="5"/>
  <c r="F3418" i="5"/>
  <c r="F3278" i="5"/>
  <c r="F2825" i="5"/>
  <c r="F2670" i="5"/>
  <c r="F2343" i="5"/>
  <c r="F1346" i="5"/>
  <c r="F1978" i="5"/>
  <c r="F1306" i="5"/>
  <c r="F1148" i="5"/>
  <c r="F983" i="5"/>
  <c r="F808" i="5"/>
  <c r="F649" i="5"/>
  <c r="F151" i="5"/>
  <c r="F2685" i="5"/>
  <c r="F2529" i="5"/>
  <c r="F1694" i="5"/>
  <c r="F1530" i="5"/>
  <c r="F1198" i="5"/>
  <c r="F1200" i="5"/>
  <c r="F3735" i="5"/>
  <c r="F3592" i="5"/>
  <c r="F3448" i="5"/>
  <c r="F2855" i="5"/>
  <c r="F2700" i="5"/>
  <c r="F3005" i="5"/>
  <c r="F3883" i="5"/>
  <c r="F3597" i="5"/>
  <c r="F1381" i="5"/>
  <c r="F3861" i="5"/>
  <c r="F3603" i="5"/>
  <c r="F2565" i="5"/>
  <c r="F2237" i="5"/>
  <c r="F2073" i="5"/>
  <c r="F1902" i="5"/>
  <c r="F572" i="5"/>
  <c r="F76" i="5"/>
  <c r="F571" i="5"/>
  <c r="F414" i="5"/>
  <c r="F2888" i="5"/>
  <c r="F2731" i="5"/>
  <c r="F87" i="5"/>
  <c r="F3852" i="5"/>
  <c r="F918" i="5"/>
  <c r="F3627" i="5"/>
  <c r="F3628" i="5"/>
  <c r="F3481" i="5"/>
  <c r="F3348" i="5"/>
  <c r="F2897" i="5"/>
  <c r="F3931" i="5"/>
  <c r="F3779" i="5"/>
  <c r="F3642" i="5"/>
  <c r="F3495" i="5"/>
  <c r="F3214" i="5"/>
  <c r="F3058" i="5"/>
  <c r="F2904" i="5"/>
  <c r="F2753" i="5"/>
  <c r="F2595" i="5"/>
  <c r="F2266" i="5"/>
  <c r="F936" i="5"/>
  <c r="F3059" i="5"/>
  <c r="F2905" i="5"/>
  <c r="F2435" i="5"/>
  <c r="F1266" i="5"/>
  <c r="F3921" i="5"/>
  <c r="F3935" i="5"/>
  <c r="F3219" i="5"/>
  <c r="F1438" i="5"/>
  <c r="F956" i="5"/>
  <c r="F1740" i="5"/>
  <c r="F253" i="5"/>
  <c r="F84" i="5"/>
  <c r="F462" i="5"/>
  <c r="F3078" i="5"/>
  <c r="F3662" i="5"/>
  <c r="F3516" i="5"/>
  <c r="F3379" i="5"/>
  <c r="F3233" i="5"/>
  <c r="F3080" i="5"/>
  <c r="F2774" i="5"/>
  <c r="F3084" i="5"/>
  <c r="F2929" i="5"/>
  <c r="F2778" i="5"/>
  <c r="F2622" i="5"/>
  <c r="F2294" i="5"/>
  <c r="F1960" i="5"/>
  <c r="F1794" i="5"/>
  <c r="F1627" i="5"/>
  <c r="F3804" i="5"/>
  <c r="F3087" i="5"/>
  <c r="F1797" i="5"/>
  <c r="F1630" i="5"/>
  <c r="F1463" i="5"/>
  <c r="F1464" i="5"/>
  <c r="F474" i="5"/>
  <c r="F2473" i="5"/>
  <c r="F3593" i="5"/>
  <c r="F3449" i="5"/>
  <c r="F3312" i="5"/>
  <c r="F3164" i="5"/>
  <c r="F3010" i="5"/>
  <c r="F2701" i="5"/>
  <c r="F919" i="5"/>
  <c r="F3975" i="5"/>
  <c r="F3821" i="5"/>
  <c r="F3682" i="5"/>
  <c r="F3534" i="5"/>
  <c r="F3397" i="5"/>
  <c r="F3254" i="5"/>
  <c r="F3107" i="5"/>
  <c r="F2952" i="5"/>
  <c r="F2799" i="5"/>
  <c r="F2645" i="5"/>
  <c r="F2484" i="5"/>
  <c r="F2321" i="5"/>
  <c r="F2155" i="5"/>
  <c r="F1987" i="5"/>
  <c r="F3539" i="5"/>
  <c r="F3402" i="5"/>
  <c r="F3260" i="5"/>
  <c r="F2651" i="5"/>
  <c r="F2326" i="5"/>
  <c r="F3667" i="5"/>
  <c r="F3520" i="5"/>
  <c r="F3384" i="5"/>
  <c r="F1466" i="5"/>
  <c r="F1299" i="5"/>
  <c r="F1141" i="5"/>
  <c r="F976" i="5"/>
  <c r="F803" i="5"/>
  <c r="F642" i="5"/>
  <c r="F143" i="5"/>
  <c r="I3832" i="5"/>
  <c r="I3549" i="5"/>
  <c r="I3694" i="5"/>
  <c r="I3120" i="5"/>
  <c r="I173" i="5"/>
  <c r="I2965" i="5"/>
  <c r="I3398" i="5"/>
  <c r="I2811" i="5"/>
  <c r="I3255" i="5"/>
  <c r="I2658" i="5"/>
  <c r="I3108" i="5"/>
  <c r="I2497" i="5"/>
  <c r="I2953" i="5"/>
  <c r="I2166" i="5"/>
  <c r="I2646" i="5"/>
  <c r="I1998" i="5"/>
  <c r="I2485" i="5"/>
  <c r="I1831" i="5"/>
  <c r="I2322" i="5"/>
  <c r="I1665" i="5"/>
  <c r="I2156" i="5"/>
  <c r="I1499" i="5"/>
  <c r="I1988" i="5"/>
  <c r="I346" i="5"/>
  <c r="I1820" i="5"/>
  <c r="I167" i="5"/>
  <c r="I1653" i="5"/>
  <c r="I3545" i="5"/>
  <c r="I1487" i="5"/>
  <c r="I3119" i="5"/>
  <c r="I1316" i="5"/>
  <c r="I2964" i="5"/>
  <c r="I1157" i="5"/>
  <c r="I2810" i="5"/>
  <c r="I994" i="5"/>
  <c r="I2657" i="5"/>
  <c r="I818" i="5"/>
  <c r="I2496" i="5"/>
  <c r="I660" i="5"/>
  <c r="I2332" i="5"/>
  <c r="I494" i="5"/>
  <c r="I2165" i="5"/>
  <c r="I335" i="5"/>
  <c r="I1997" i="5"/>
  <c r="I158" i="5"/>
  <c r="I1830" i="5"/>
  <c r="I3837" i="5"/>
  <c r="I1664" i="5"/>
  <c r="I3551" i="5"/>
  <c r="I1498" i="5"/>
  <c r="I2970" i="5"/>
  <c r="I1325" i="5"/>
  <c r="I2171" i="5"/>
  <c r="I1167" i="5"/>
  <c r="I1003" i="5"/>
  <c r="I3700" i="5"/>
  <c r="I828" i="5"/>
  <c r="I3552" i="5"/>
  <c r="I670" i="5"/>
  <c r="I3414" i="5"/>
  <c r="I504" i="5"/>
  <c r="I3273" i="5"/>
  <c r="I3833" i="5"/>
  <c r="I3126" i="5"/>
  <c r="I3695" i="5"/>
  <c r="I2972" i="5"/>
  <c r="I3547" i="5"/>
  <c r="I2819" i="5"/>
  <c r="I3408" i="5"/>
  <c r="I2664" i="5"/>
  <c r="I3267" i="5"/>
  <c r="I2504" i="5"/>
  <c r="I2966" i="5"/>
  <c r="I2338" i="5"/>
  <c r="I2812" i="5"/>
  <c r="I2173" i="5"/>
  <c r="I2659" i="5"/>
  <c r="I2004" i="5"/>
  <c r="I2498" i="5"/>
  <c r="I1839" i="5"/>
  <c r="I2333" i="5"/>
  <c r="I1672" i="5"/>
  <c r="I2167" i="5"/>
  <c r="I1506" i="5"/>
  <c r="I1999" i="5"/>
  <c r="I1332" i="5"/>
  <c r="I1832" i="5"/>
  <c r="I1175" i="5"/>
  <c r="I1666" i="5"/>
  <c r="I1010" i="5"/>
  <c r="I1500" i="5"/>
  <c r="I836" i="5"/>
  <c r="I1326" i="5"/>
  <c r="I677" i="5"/>
  <c r="I1168" i="5"/>
  <c r="I511" i="5"/>
  <c r="I1004" i="5"/>
  <c r="I354" i="5"/>
  <c r="I829" i="5"/>
  <c r="I176" i="5"/>
  <c r="I671" i="5"/>
  <c r="I9" i="5"/>
  <c r="I505" i="5"/>
  <c r="I3839" i="5"/>
  <c r="I347" i="5"/>
  <c r="I3701" i="5"/>
  <c r="I168" i="5"/>
  <c r="I3553" i="5"/>
  <c r="I2" i="5"/>
  <c r="I3415" i="5"/>
  <c r="I3835" i="5"/>
  <c r="I3274" i="5"/>
  <c r="I3697" i="5"/>
  <c r="I3127" i="5"/>
  <c r="I2973" i="5"/>
  <c r="I3411" i="5"/>
  <c r="I2820" i="5"/>
  <c r="I3269" i="5"/>
  <c r="I2665" i="5"/>
  <c r="I3123" i="5"/>
  <c r="I2505" i="5"/>
  <c r="I2968" i="5"/>
  <c r="I2339" i="5"/>
  <c r="I2815" i="5"/>
  <c r="I2174" i="5"/>
  <c r="I2661" i="5"/>
  <c r="I2005" i="5"/>
  <c r="I2500" i="5"/>
  <c r="I1840" i="5"/>
  <c r="I1835" i="5"/>
  <c r="I1673" i="5"/>
  <c r="I1669" i="5"/>
  <c r="I1507" i="5"/>
  <c r="I1503" i="5"/>
  <c r="I1333" i="5"/>
  <c r="I1328" i="5"/>
  <c r="I1176" i="5"/>
  <c r="I1171" i="5"/>
  <c r="I1011" i="5"/>
  <c r="I1007" i="5"/>
  <c r="I837" i="5"/>
  <c r="I832" i="5"/>
  <c r="I678" i="5"/>
  <c r="I674" i="5"/>
  <c r="I512" i="5"/>
  <c r="I349" i="5"/>
  <c r="I355" i="5"/>
  <c r="I171" i="5"/>
  <c r="I177" i="5"/>
  <c r="I5" i="5"/>
  <c r="I10" i="5"/>
  <c r="I3409" i="5"/>
  <c r="I178" i="5"/>
  <c r="I3121" i="5"/>
  <c r="I3845" i="5"/>
  <c r="I2813" i="5"/>
  <c r="I3705" i="5"/>
  <c r="I2000" i="5"/>
  <c r="I3558" i="5"/>
  <c r="I1833" i="5"/>
  <c r="I3419" i="5"/>
  <c r="I1667" i="5"/>
  <c r="I3279" i="5"/>
  <c r="I1501" i="5"/>
  <c r="I3133" i="5"/>
  <c r="I1169" i="5"/>
  <c r="I2978" i="5"/>
  <c r="I1005" i="5"/>
  <c r="I2826" i="5"/>
  <c r="I830" i="5"/>
  <c r="I2671" i="5"/>
  <c r="I672" i="5"/>
  <c r="I2510" i="5"/>
  <c r="I506" i="5"/>
  <c r="I2344" i="5"/>
  <c r="I169" i="5"/>
  <c r="I2179" i="5"/>
  <c r="I3" i="5"/>
  <c r="I2010" i="5"/>
  <c r="I3836" i="5"/>
  <c r="I1845" i="5"/>
  <c r="I3698" i="5"/>
  <c r="I1679" i="5"/>
  <c r="I3550" i="5"/>
  <c r="I1513" i="5"/>
  <c r="I3412" i="5"/>
  <c r="I1339" i="5"/>
  <c r="I3270" i="5"/>
  <c r="I1182" i="5"/>
  <c r="I3124" i="5"/>
  <c r="I1016" i="5"/>
  <c r="I2969" i="5"/>
  <c r="I842" i="5"/>
  <c r="I2816" i="5"/>
  <c r="I683" i="5"/>
  <c r="I2662" i="5"/>
  <c r="I516" i="5"/>
  <c r="I2501" i="5"/>
  <c r="I360" i="5"/>
  <c r="I2335" i="5"/>
  <c r="I182" i="5"/>
  <c r="I2170" i="5"/>
  <c r="I15" i="5"/>
  <c r="I2002" i="5"/>
  <c r="I1836" i="5"/>
  <c r="I1670" i="5"/>
  <c r="I1504" i="5"/>
  <c r="I3424" i="5"/>
  <c r="I1329" i="5"/>
  <c r="I3285" i="5"/>
  <c r="I1172" i="5"/>
  <c r="I3137" i="5"/>
  <c r="I1008" i="5"/>
  <c r="I2982" i="5"/>
  <c r="I833" i="5"/>
  <c r="I2830" i="5"/>
  <c r="I675" i="5"/>
  <c r="I2674" i="5"/>
  <c r="I508" i="5"/>
  <c r="I2516" i="5"/>
  <c r="I351" i="5"/>
  <c r="I2351" i="5"/>
  <c r="I2185" i="5"/>
  <c r="I6" i="5"/>
  <c r="I2016" i="5"/>
  <c r="I3976" i="5"/>
  <c r="I3822" i="5"/>
  <c r="I3683" i="5"/>
  <c r="I1517" i="5"/>
  <c r="I3535" i="5"/>
  <c r="I847" i="5"/>
  <c r="I689" i="5"/>
  <c r="I2800" i="5"/>
  <c r="I521" i="5"/>
  <c r="I365" i="5"/>
  <c r="I3702" i="5"/>
  <c r="I1509" i="5"/>
  <c r="I3132" i="5"/>
  <c r="I3699" i="5"/>
  <c r="I2977" i="5"/>
  <c r="I3413" i="5"/>
  <c r="I3271" i="5"/>
  <c r="I2509" i="5"/>
  <c r="I3125" i="5"/>
  <c r="I2178" i="5"/>
  <c r="I2817" i="5"/>
  <c r="I2009" i="5"/>
  <c r="I2663" i="5"/>
  <c r="I1844" i="5"/>
  <c r="I2502" i="5"/>
  <c r="I1678" i="5"/>
  <c r="I2336" i="5"/>
  <c r="I1512" i="5"/>
  <c r="I1338" i="5"/>
  <c r="I2003" i="5"/>
  <c r="I1181" i="5"/>
  <c r="I1837" i="5"/>
  <c r="I1015" i="5"/>
  <c r="I1671" i="5"/>
  <c r="I841" i="5"/>
  <c r="I1505" i="5"/>
  <c r="I682" i="5"/>
  <c r="I1330" i="5"/>
  <c r="I515" i="5"/>
  <c r="I1173" i="5"/>
  <c r="I359" i="5"/>
  <c r="I1009" i="5"/>
  <c r="I181" i="5"/>
  <c r="I834" i="5"/>
  <c r="I14" i="5"/>
  <c r="I676" i="5"/>
  <c r="I3562" i="5"/>
  <c r="I509" i="5"/>
  <c r="I3283" i="5"/>
  <c r="I352" i="5"/>
  <c r="I3135" i="5"/>
  <c r="I174" i="5"/>
  <c r="I2980" i="5"/>
  <c r="I7" i="5"/>
  <c r="I2829" i="5"/>
  <c r="I3272" i="5"/>
  <c r="I2673" i="5"/>
  <c r="I2818" i="5"/>
  <c r="I2514" i="5"/>
  <c r="I2503" i="5"/>
  <c r="I2349" i="5"/>
  <c r="I2337" i="5"/>
  <c r="I2183" i="5"/>
  <c r="I2172" i="5"/>
  <c r="I2014" i="5"/>
  <c r="I1838" i="5"/>
  <c r="I1850" i="5"/>
  <c r="I1331" i="5"/>
  <c r="I1681" i="5"/>
  <c r="I1174" i="5"/>
  <c r="I1515" i="5"/>
  <c r="I835" i="5"/>
  <c r="I1345" i="5"/>
  <c r="I510" i="5"/>
  <c r="I1185" i="5"/>
  <c r="I353" i="5"/>
  <c r="I1019" i="5"/>
  <c r="I175" i="5"/>
  <c r="I846" i="5"/>
  <c r="I8" i="5"/>
  <c r="I688" i="5"/>
  <c r="I350" i="5"/>
  <c r="I520" i="5"/>
  <c r="I172" i="5"/>
  <c r="I364" i="5"/>
  <c r="I3838" i="5"/>
  <c r="I187" i="5"/>
  <c r="I19" i="5"/>
  <c r="I2184" i="5"/>
  <c r="I3853" i="5"/>
  <c r="I3712" i="5"/>
  <c r="I3567" i="5"/>
  <c r="I3425" i="5"/>
  <c r="I3286" i="5"/>
  <c r="I3140" i="5"/>
  <c r="I2986" i="5"/>
  <c r="I2833" i="5"/>
  <c r="I2676" i="5"/>
  <c r="I2521" i="5"/>
  <c r="I2356" i="5"/>
  <c r="I2187" i="5"/>
  <c r="I2022" i="5"/>
  <c r="I1855" i="5"/>
  <c r="I1685" i="5"/>
  <c r="I1521" i="5"/>
  <c r="I1351" i="5"/>
  <c r="I1189" i="5"/>
  <c r="I1024" i="5"/>
  <c r="I853" i="5"/>
  <c r="I692" i="5"/>
  <c r="I525" i="5"/>
  <c r="I369" i="5"/>
  <c r="I193" i="5"/>
  <c r="I23" i="5"/>
  <c r="I3854" i="5"/>
  <c r="I3568" i="5"/>
  <c r="I3141" i="5"/>
  <c r="I2988" i="5"/>
  <c r="I2834" i="5"/>
  <c r="I1856" i="5"/>
  <c r="I371" i="5"/>
  <c r="I195" i="5"/>
  <c r="I24" i="5"/>
  <c r="I3968" i="5"/>
  <c r="I3816" i="5"/>
  <c r="I3674" i="5"/>
  <c r="I3527" i="5"/>
  <c r="I3391" i="5"/>
  <c r="I3247" i="5"/>
  <c r="I3099" i="5"/>
  <c r="I2944" i="5"/>
  <c r="I2792" i="5"/>
  <c r="I2637" i="5"/>
  <c r="I2474" i="5"/>
  <c r="I2311" i="5"/>
  <c r="I3840" i="5"/>
  <c r="I2147" i="5"/>
  <c r="I3554" i="5"/>
  <c r="I3275" i="5"/>
  <c r="I1810" i="5"/>
  <c r="I3128" i="5"/>
  <c r="I1643" i="5"/>
  <c r="I2974" i="5"/>
  <c r="I1476" i="5"/>
  <c r="I2821" i="5"/>
  <c r="I2666" i="5"/>
  <c r="I2506" i="5"/>
  <c r="I2340" i="5"/>
  <c r="I2175" i="5"/>
  <c r="I2006" i="5"/>
  <c r="I486" i="5"/>
  <c r="I1841" i="5"/>
  <c r="I327" i="5"/>
  <c r="I1674" i="5"/>
  <c r="I1508" i="5"/>
  <c r="I3855" i="5"/>
  <c r="I1334" i="5"/>
  <c r="I3569" i="5"/>
  <c r="I1177" i="5"/>
  <c r="I2680" i="5"/>
  <c r="I1012" i="5"/>
  <c r="I1688" i="5"/>
  <c r="I838" i="5"/>
  <c r="I1028" i="5"/>
  <c r="I679" i="5"/>
  <c r="I373" i="5"/>
  <c r="I356" i="5"/>
  <c r="I3856" i="5"/>
  <c r="I3716" i="5"/>
  <c r="I11" i="5"/>
  <c r="I3570" i="5"/>
  <c r="I3710" i="5"/>
  <c r="I3428" i="5"/>
  <c r="I3565" i="5"/>
  <c r="I3289" i="5"/>
  <c r="I2518" i="5"/>
  <c r="I3143" i="5"/>
  <c r="I2353" i="5"/>
  <c r="I2991" i="5"/>
  <c r="I2018" i="5"/>
  <c r="I2837" i="5"/>
  <c r="I1519" i="5"/>
  <c r="I2681" i="5"/>
  <c r="I1349" i="5"/>
  <c r="I2525" i="5"/>
  <c r="I849" i="5"/>
  <c r="I2360" i="5"/>
  <c r="I2192" i="5"/>
  <c r="I2026" i="5"/>
  <c r="I1859" i="5"/>
  <c r="I1689" i="5"/>
  <c r="I1524" i="5"/>
  <c r="I1355" i="5"/>
  <c r="I1193" i="5"/>
  <c r="I1029" i="5"/>
  <c r="I857" i="5"/>
  <c r="I697" i="5"/>
  <c r="I530" i="5"/>
  <c r="I374" i="5"/>
  <c r="I198" i="5"/>
  <c r="I27" i="5"/>
  <c r="I3571" i="5"/>
  <c r="I2027" i="5"/>
  <c r="I1194" i="5"/>
  <c r="I858" i="5"/>
  <c r="I698" i="5"/>
  <c r="I203" i="5"/>
  <c r="I3863" i="5"/>
  <c r="I3721" i="5"/>
  <c r="I3576" i="5"/>
  <c r="I3559" i="5"/>
  <c r="I3434" i="5"/>
  <c r="I2827" i="5"/>
  <c r="I3296" i="5"/>
  <c r="I2511" i="5"/>
  <c r="I3148" i="5"/>
  <c r="I2345" i="5"/>
  <c r="I2996" i="5"/>
  <c r="I2180" i="5"/>
  <c r="I2842" i="5"/>
  <c r="I2011" i="5"/>
  <c r="I2687" i="5"/>
  <c r="I1846" i="5"/>
  <c r="I2531" i="5"/>
  <c r="I1341" i="5"/>
  <c r="I2366" i="5"/>
  <c r="I684" i="5"/>
  <c r="I2197" i="5"/>
  <c r="I361" i="5"/>
  <c r="I2033" i="5"/>
  <c r="I184" i="5"/>
  <c r="I1863" i="5"/>
  <c r="I16" i="5"/>
  <c r="I3138" i="5"/>
  <c r="I2983" i="5"/>
  <c r="I1360" i="5"/>
  <c r="I2831" i="5"/>
  <c r="I2517" i="5"/>
  <c r="I1036" i="5"/>
  <c r="I2352" i="5"/>
  <c r="I864" i="5"/>
  <c r="I2186" i="5"/>
  <c r="I702" i="5"/>
  <c r="I2017" i="5"/>
  <c r="I535" i="5"/>
  <c r="I1518" i="5"/>
  <c r="I378" i="5"/>
  <c r="I1348" i="5"/>
  <c r="I204" i="5"/>
  <c r="I1187" i="5"/>
  <c r="I34" i="5"/>
  <c r="I1021" i="5"/>
  <c r="I3886" i="5"/>
  <c r="I848" i="5"/>
  <c r="I3741" i="5"/>
  <c r="I690" i="5"/>
  <c r="I3598" i="5"/>
  <c r="I522" i="5"/>
  <c r="I3454" i="5"/>
  <c r="I366" i="5"/>
  <c r="I3319" i="5"/>
  <c r="I190" i="5"/>
  <c r="I3169" i="5"/>
  <c r="I22" i="5"/>
  <c r="I3016" i="5"/>
  <c r="I3843" i="5"/>
  <c r="I2862" i="5"/>
  <c r="I3703" i="5"/>
  <c r="I2706" i="5"/>
  <c r="I3556" i="5"/>
  <c r="I2553" i="5"/>
  <c r="I3417" i="5"/>
  <c r="I2388" i="5"/>
  <c r="I3277" i="5"/>
  <c r="I2219" i="5"/>
  <c r="I3131" i="5"/>
  <c r="I2056" i="5"/>
  <c r="I2976" i="5"/>
  <c r="I1886" i="5"/>
  <c r="I2823" i="5"/>
  <c r="I1716" i="5"/>
  <c r="I2668" i="5"/>
  <c r="I1551" i="5"/>
  <c r="I2342" i="5"/>
  <c r="I1382" i="5"/>
  <c r="I2177" i="5"/>
  <c r="I1220" i="5"/>
  <c r="I2008" i="5"/>
  <c r="I1057" i="5"/>
  <c r="I1843" i="5"/>
  <c r="I886" i="5"/>
  <c r="I1677" i="5"/>
  <c r="I725" i="5"/>
  <c r="I1511" i="5"/>
  <c r="I557" i="5"/>
  <c r="I1337" i="5"/>
  <c r="I401" i="5"/>
  <c r="I1180" i="5"/>
  <c r="I228" i="5"/>
  <c r="I1014" i="5"/>
  <c r="I58" i="5"/>
  <c r="I840" i="5"/>
  <c r="I3864" i="5"/>
  <c r="I681" i="5"/>
  <c r="I3577" i="5"/>
  <c r="I514" i="5"/>
  <c r="I3435" i="5"/>
  <c r="I358" i="5"/>
  <c r="I2997" i="5"/>
  <c r="I180" i="5"/>
  <c r="I2843" i="5"/>
  <c r="I13" i="5"/>
  <c r="I2688" i="5"/>
  <c r="I2532" i="5"/>
  <c r="I2367" i="5"/>
  <c r="I2198" i="5"/>
  <c r="I2034" i="5"/>
  <c r="I1864" i="5"/>
  <c r="I1695" i="5"/>
  <c r="I1531" i="5"/>
  <c r="I1361" i="5"/>
  <c r="I1199" i="5"/>
  <c r="I1037" i="5"/>
  <c r="I865" i="5"/>
  <c r="I536" i="5"/>
  <c r="I379" i="5"/>
  <c r="I205" i="5"/>
  <c r="I35" i="5"/>
  <c r="I3842" i="5"/>
  <c r="I381" i="5"/>
  <c r="I3555" i="5"/>
  <c r="I3439" i="5"/>
  <c r="I3416" i="5"/>
  <c r="I3302" i="5"/>
  <c r="I3276" i="5"/>
  <c r="I3154" i="5"/>
  <c r="I3130" i="5"/>
  <c r="I3000" i="5"/>
  <c r="I2975" i="5"/>
  <c r="I2846" i="5"/>
  <c r="I2822" i="5"/>
  <c r="I2691" i="5"/>
  <c r="I2667" i="5"/>
  <c r="I2536" i="5"/>
  <c r="I2341" i="5"/>
  <c r="I2371" i="5"/>
  <c r="I2176" i="5"/>
  <c r="I2202" i="5"/>
  <c r="I2007" i="5"/>
  <c r="I2038" i="5"/>
  <c r="I1842" i="5"/>
  <c r="I1868" i="5"/>
  <c r="I1676" i="5"/>
  <c r="I1699" i="5"/>
  <c r="I1510" i="5"/>
  <c r="I1536" i="5"/>
  <c r="I1336" i="5"/>
  <c r="I1366" i="5"/>
  <c r="I1179" i="5"/>
  <c r="I1203" i="5"/>
  <c r="I1013" i="5"/>
  <c r="I1040" i="5"/>
  <c r="I839" i="5"/>
  <c r="I869" i="5"/>
  <c r="I680" i="5"/>
  <c r="I708" i="5"/>
  <c r="I513" i="5"/>
  <c r="I540" i="5"/>
  <c r="I357" i="5"/>
  <c r="I384" i="5"/>
  <c r="I179" i="5"/>
  <c r="I210" i="5"/>
  <c r="I12" i="5"/>
  <c r="I39" i="5"/>
  <c r="I3841" i="5"/>
  <c r="I1365" i="5"/>
  <c r="I3129" i="5"/>
  <c r="I1202" i="5"/>
  <c r="I2507" i="5"/>
  <c r="I539" i="5"/>
  <c r="I1675" i="5"/>
  <c r="I209" i="5"/>
  <c r="I3879" i="5"/>
  <c r="I1335" i="5"/>
  <c r="I1178" i="5"/>
  <c r="I1184" i="5"/>
  <c r="I844" i="5"/>
  <c r="I3311" i="5"/>
  <c r="I686" i="5"/>
  <c r="I3163" i="5"/>
  <c r="I518" i="5"/>
  <c r="I3009" i="5"/>
  <c r="I2545" i="5"/>
  <c r="I2381" i="5"/>
  <c r="I2212" i="5"/>
  <c r="I2048" i="5"/>
  <c r="I1878" i="5"/>
  <c r="I1709" i="5"/>
  <c r="I1544" i="5"/>
  <c r="I1374" i="5"/>
  <c r="I1212" i="5"/>
  <c r="I1050" i="5"/>
  <c r="I878" i="5"/>
  <c r="I718" i="5"/>
  <c r="I550" i="5"/>
  <c r="I219" i="5"/>
  <c r="I3878" i="5"/>
  <c r="I3846" i="5"/>
  <c r="I3734" i="5"/>
  <c r="I1340" i="5"/>
  <c r="I3591" i="5"/>
  <c r="I183" i="5"/>
  <c r="I3447" i="5"/>
  <c r="I3847" i="5"/>
  <c r="I3310" i="5"/>
  <c r="I3420" i="5"/>
  <c r="I3162" i="5"/>
  <c r="I3281" i="5"/>
  <c r="I3008" i="5"/>
  <c r="I3134" i="5"/>
  <c r="I2854" i="5"/>
  <c r="I2979" i="5"/>
  <c r="I2699" i="5"/>
  <c r="I2828" i="5"/>
  <c r="I2544" i="5"/>
  <c r="I2672" i="5"/>
  <c r="I2380" i="5"/>
  <c r="I2512" i="5"/>
  <c r="I2211" i="5"/>
  <c r="I2346" i="5"/>
  <c r="I2047" i="5"/>
  <c r="I2181" i="5"/>
  <c r="I1877" i="5"/>
  <c r="I2012" i="5"/>
  <c r="I1708" i="5"/>
  <c r="I1847" i="5"/>
  <c r="I1543" i="5"/>
  <c r="I1680" i="5"/>
  <c r="I1373" i="5"/>
  <c r="I1343" i="5"/>
  <c r="I1211" i="5"/>
  <c r="I1183" i="5"/>
  <c r="I1049" i="5"/>
  <c r="I1017" i="5"/>
  <c r="I877" i="5"/>
  <c r="I843" i="5"/>
  <c r="I717" i="5"/>
  <c r="I685" i="5"/>
  <c r="I549" i="5"/>
  <c r="I17" i="5"/>
  <c r="I392" i="5"/>
  <c r="I3849" i="5"/>
  <c r="I218" i="5"/>
  <c r="I3707" i="5"/>
  <c r="I48" i="5"/>
  <c r="I1701" i="5"/>
  <c r="I3422" i="5"/>
  <c r="I1042" i="5"/>
  <c r="I1702" i="5"/>
  <c r="I1539" i="5"/>
  <c r="I872" i="5"/>
  <c r="I543" i="5"/>
  <c r="I387" i="5"/>
  <c r="I213" i="5"/>
  <c r="I42" i="5"/>
  <c r="I3877" i="5"/>
  <c r="I3733" i="5"/>
  <c r="I3590" i="5"/>
  <c r="I3446" i="5"/>
  <c r="I3309" i="5"/>
  <c r="I3161" i="5"/>
  <c r="I3007" i="5"/>
  <c r="I2853" i="5"/>
  <c r="I2698" i="5"/>
  <c r="I2543" i="5"/>
  <c r="I2379" i="5"/>
  <c r="I2210" i="5"/>
  <c r="I2046" i="5"/>
  <c r="I1876" i="5"/>
  <c r="I2824" i="5"/>
  <c r="I1707" i="5"/>
  <c r="I2669" i="5"/>
  <c r="I1542" i="5"/>
  <c r="I2508" i="5"/>
  <c r="I1372" i="5"/>
  <c r="I3708" i="5"/>
  <c r="I1210" i="5"/>
  <c r="I3563" i="5"/>
  <c r="I1048" i="5"/>
  <c r="I3423" i="5"/>
  <c r="I876" i="5"/>
  <c r="I3284" i="5"/>
  <c r="I716" i="5"/>
  <c r="I3136" i="5"/>
  <c r="I548" i="5"/>
  <c r="I2981" i="5"/>
  <c r="I391" i="5"/>
  <c r="I2515" i="5"/>
  <c r="I217" i="5"/>
  <c r="I2350" i="5"/>
  <c r="I47" i="5"/>
  <c r="I2015" i="5"/>
  <c r="I3961" i="5"/>
  <c r="I1851" i="5"/>
  <c r="I3809" i="5"/>
  <c r="I1682" i="5"/>
  <c r="I3670" i="5"/>
  <c r="I1516" i="5"/>
  <c r="I3523" i="5"/>
  <c r="I188" i="5"/>
  <c r="I3387" i="5"/>
  <c r="I20" i="5"/>
  <c r="I3243" i="5"/>
  <c r="I3280" i="5"/>
  <c r="I3092" i="5"/>
  <c r="I1514" i="5"/>
  <c r="I2937" i="5"/>
  <c r="I1342" i="5"/>
  <c r="I2785" i="5"/>
  <c r="I517" i="5"/>
  <c r="I2630" i="5"/>
  <c r="I3848" i="5"/>
  <c r="I2467" i="5"/>
  <c r="I3706" i="5"/>
  <c r="I2304" i="5"/>
  <c r="I3561" i="5"/>
  <c r="I2140" i="5"/>
  <c r="I3421" i="5"/>
  <c r="I1970" i="5"/>
  <c r="I3282" i="5"/>
  <c r="I1803" i="5"/>
  <c r="I2513" i="5"/>
  <c r="I1636" i="5"/>
  <c r="I2348" i="5"/>
  <c r="I1470" i="5"/>
  <c r="I2013" i="5"/>
  <c r="I1302" i="5"/>
  <c r="I1849" i="5"/>
  <c r="I1144" i="5"/>
  <c r="I1344" i="5"/>
  <c r="I979" i="5"/>
  <c r="I1018" i="5"/>
  <c r="I806" i="5"/>
  <c r="I845" i="5"/>
  <c r="I646" i="5"/>
  <c r="I687" i="5"/>
  <c r="I479" i="5"/>
  <c r="I519" i="5"/>
  <c r="I320" i="5"/>
  <c r="I363" i="5"/>
  <c r="I146" i="5"/>
  <c r="I186" i="5"/>
  <c r="I1540" i="5"/>
  <c r="I18" i="5"/>
  <c r="I389" i="5"/>
  <c r="I2987" i="5"/>
  <c r="I215" i="5"/>
  <c r="I2677" i="5"/>
  <c r="I45" i="5"/>
  <c r="I2188" i="5"/>
  <c r="I3881" i="5"/>
  <c r="I1025" i="5"/>
  <c r="I3737" i="5"/>
  <c r="I693" i="5"/>
  <c r="I3594" i="5"/>
  <c r="I526" i="5"/>
  <c r="I3450" i="5"/>
  <c r="I370" i="5"/>
  <c r="I3313" i="5"/>
  <c r="I194" i="5"/>
  <c r="I3165" i="5"/>
  <c r="I3011" i="5"/>
  <c r="I2857" i="5"/>
  <c r="I2702" i="5"/>
  <c r="I2547" i="5"/>
  <c r="I2383" i="5"/>
  <c r="I2214" i="5"/>
  <c r="I2050" i="5"/>
  <c r="I1880" i="5"/>
  <c r="I1711" i="5"/>
  <c r="I1546" i="5"/>
  <c r="I1376" i="5"/>
  <c r="I1214" i="5"/>
  <c r="I1052" i="5"/>
  <c r="I880" i="5"/>
  <c r="I720" i="5"/>
  <c r="I552" i="5"/>
  <c r="I395" i="5"/>
  <c r="I221" i="5"/>
  <c r="I51" i="5"/>
  <c r="I3882" i="5"/>
  <c r="I3738" i="5"/>
  <c r="I3595" i="5"/>
  <c r="I3451" i="5"/>
  <c r="I3314" i="5"/>
  <c r="I3166" i="5"/>
  <c r="I3713" i="5"/>
  <c r="I3012" i="5"/>
  <c r="I2858" i="5"/>
  <c r="I3426" i="5"/>
  <c r="I2703" i="5"/>
  <c r="I3287" i="5"/>
  <c r="I2548" i="5"/>
  <c r="I2384" i="5"/>
  <c r="I2215" i="5"/>
  <c r="I2051" i="5"/>
  <c r="I2678" i="5"/>
  <c r="I1881" i="5"/>
  <c r="I2522" i="5"/>
  <c r="I1712" i="5"/>
  <c r="I2357" i="5"/>
  <c r="I1547" i="5"/>
  <c r="I2189" i="5"/>
  <c r="I1377" i="5"/>
  <c r="I2023" i="5"/>
  <c r="I1216" i="5"/>
  <c r="I1053" i="5"/>
  <c r="I1686" i="5"/>
  <c r="I881" i="5"/>
  <c r="I1352" i="5"/>
  <c r="I722" i="5"/>
  <c r="I1190" i="5"/>
  <c r="I553" i="5"/>
  <c r="I1026" i="5"/>
  <c r="I396" i="5"/>
  <c r="I854" i="5"/>
  <c r="I222" i="5"/>
  <c r="I694" i="5"/>
  <c r="I53" i="5"/>
  <c r="I527" i="5"/>
  <c r="I3884" i="5"/>
  <c r="I3739" i="5"/>
  <c r="I3596" i="5"/>
  <c r="I3452" i="5"/>
  <c r="I3315" i="5"/>
  <c r="I3167" i="5"/>
  <c r="I3013" i="5"/>
  <c r="I2859" i="5"/>
  <c r="I2704" i="5"/>
  <c r="I2550" i="5"/>
  <c r="I2386" i="5"/>
  <c r="I2216" i="5"/>
  <c r="I2053" i="5"/>
  <c r="I1883" i="5"/>
  <c r="I1714" i="5"/>
  <c r="I1549" i="5"/>
  <c r="I1379" i="5"/>
  <c r="I1218" i="5"/>
  <c r="I1055" i="5"/>
  <c r="I883" i="5"/>
  <c r="I724" i="5"/>
  <c r="I555" i="5"/>
  <c r="I398" i="5"/>
  <c r="I3715" i="5"/>
  <c r="I224" i="5"/>
  <c r="I55" i="5"/>
  <c r="I3427" i="5"/>
  <c r="I3977" i="5"/>
  <c r="I3288" i="5"/>
  <c r="I3823" i="5"/>
  <c r="I3142" i="5"/>
  <c r="I3684" i="5"/>
  <c r="I2990" i="5"/>
  <c r="I3536" i="5"/>
  <c r="I2836" i="5"/>
  <c r="I3399" i="5"/>
  <c r="I3256" i="5"/>
  <c r="I2524" i="5"/>
  <c r="I3109" i="5"/>
  <c r="I2359" i="5"/>
  <c r="I2954" i="5"/>
  <c r="I2191" i="5"/>
  <c r="I2801" i="5"/>
  <c r="I2025" i="5"/>
  <c r="I2647" i="5"/>
  <c r="I1858" i="5"/>
  <c r="I2486" i="5"/>
  <c r="I2323" i="5"/>
  <c r="I1523" i="5"/>
  <c r="I2157" i="5"/>
  <c r="I1354" i="5"/>
  <c r="I1989" i="5"/>
  <c r="I1192" i="5"/>
  <c r="I1821" i="5"/>
  <c r="I1654" i="5"/>
  <c r="I856" i="5"/>
  <c r="I1488" i="5"/>
  <c r="I696" i="5"/>
  <c r="I1317" i="5"/>
  <c r="I529" i="5"/>
  <c r="I1158" i="5"/>
  <c r="I995" i="5"/>
  <c r="I197" i="5"/>
  <c r="I819" i="5"/>
  <c r="I26" i="5"/>
  <c r="I661" i="5"/>
  <c r="I495" i="5"/>
  <c r="I336" i="5"/>
  <c r="I159" i="5"/>
  <c r="I3885" i="5"/>
  <c r="I3318" i="5"/>
  <c r="I1219" i="5"/>
  <c r="I3170" i="5"/>
  <c r="I3888" i="5"/>
  <c r="I3743" i="5"/>
  <c r="I3456" i="5"/>
  <c r="I3321" i="5"/>
  <c r="I3171" i="5"/>
  <c r="I3017" i="5"/>
  <c r="I1221" i="5"/>
  <c r="I403" i="5"/>
  <c r="I230" i="5"/>
  <c r="I60" i="5"/>
  <c r="I3890" i="5"/>
  <c r="I3746" i="5"/>
  <c r="I3602" i="5"/>
  <c r="I3458" i="5"/>
  <c r="I3323" i="5"/>
  <c r="I3173" i="5"/>
  <c r="I3860" i="5"/>
  <c r="I3018" i="5"/>
  <c r="I3573" i="5"/>
  <c r="I2866" i="5"/>
  <c r="I3431" i="5"/>
  <c r="I2710" i="5"/>
  <c r="I3292" i="5"/>
  <c r="I2556" i="5"/>
  <c r="I1692" i="5"/>
  <c r="I2392" i="5"/>
  <c r="I1528" i="5"/>
  <c r="I2224" i="5"/>
  <c r="I1358" i="5"/>
  <c r="I2062" i="5"/>
  <c r="I1195" i="5"/>
  <c r="I1890" i="5"/>
  <c r="I1034" i="5"/>
  <c r="I1721" i="5"/>
  <c r="I861" i="5"/>
  <c r="I1556" i="5"/>
  <c r="I700" i="5"/>
  <c r="I1386" i="5"/>
  <c r="I533" i="5"/>
  <c r="I1223" i="5"/>
  <c r="I376" i="5"/>
  <c r="I1064" i="5"/>
  <c r="I201" i="5"/>
  <c r="I893" i="5"/>
  <c r="I31" i="5"/>
  <c r="I729" i="5"/>
  <c r="I3711" i="5"/>
  <c r="I561" i="5"/>
  <c r="I3566" i="5"/>
  <c r="I405" i="5"/>
  <c r="I3139" i="5"/>
  <c r="I235" i="5"/>
  <c r="I2985" i="5"/>
  <c r="I64" i="5"/>
  <c r="I2675" i="5"/>
  <c r="I2355" i="5"/>
  <c r="I2031" i="5"/>
  <c r="I2021" i="5"/>
  <c r="I1196" i="5"/>
  <c r="I1854" i="5"/>
  <c r="I377" i="5"/>
  <c r="I1684" i="5"/>
  <c r="I202" i="5"/>
  <c r="I1520" i="5"/>
  <c r="I32" i="5"/>
  <c r="I1350" i="5"/>
  <c r="I1188" i="5"/>
  <c r="I3174" i="5"/>
  <c r="I1023" i="5"/>
  <c r="I2867" i="5"/>
  <c r="I852" i="5"/>
  <c r="I1892" i="5"/>
  <c r="I691" i="5"/>
  <c r="I563" i="5"/>
  <c r="I524" i="5"/>
  <c r="I66" i="5"/>
  <c r="I368" i="5"/>
  <c r="I3325" i="5"/>
  <c r="I192" i="5"/>
  <c r="I3020" i="5"/>
  <c r="I3858" i="5"/>
  <c r="I2713" i="5"/>
  <c r="I3718" i="5"/>
  <c r="I2227" i="5"/>
  <c r="I3572" i="5"/>
  <c r="I1893" i="5"/>
  <c r="I3145" i="5"/>
  <c r="I1724" i="5"/>
  <c r="I2993" i="5"/>
  <c r="I1388" i="5"/>
  <c r="I2684" i="5"/>
  <c r="I1226" i="5"/>
  <c r="I2527" i="5"/>
  <c r="I1067" i="5"/>
  <c r="I2362" i="5"/>
  <c r="I896" i="5"/>
  <c r="I2029" i="5"/>
  <c r="I732" i="5"/>
  <c r="I1861" i="5"/>
  <c r="I564" i="5"/>
  <c r="I1526" i="5"/>
  <c r="I407" i="5"/>
  <c r="I1357" i="5"/>
  <c r="I237" i="5"/>
  <c r="I1031" i="5"/>
  <c r="I67" i="5"/>
  <c r="I699" i="5"/>
  <c r="I3021" i="5"/>
  <c r="I200" i="5"/>
  <c r="I1389" i="5"/>
  <c r="I29" i="5"/>
  <c r="I1227" i="5"/>
  <c r="I3859" i="5"/>
  <c r="I1068" i="5"/>
  <c r="I3430" i="5"/>
  <c r="I897" i="5"/>
  <c r="I3291" i="5"/>
  <c r="I565" i="5"/>
  <c r="I3146" i="5"/>
  <c r="I408" i="5"/>
  <c r="I2994" i="5"/>
  <c r="I68" i="5"/>
  <c r="I2839" i="5"/>
  <c r="I3894" i="5"/>
  <c r="I2528" i="5"/>
  <c r="I2363" i="5"/>
  <c r="I2194" i="5"/>
  <c r="I2030" i="5"/>
  <c r="I1862" i="5"/>
  <c r="I1691" i="5"/>
  <c r="I1527" i="5"/>
  <c r="I1032" i="5"/>
  <c r="I859" i="5"/>
  <c r="I532" i="5"/>
  <c r="I30" i="5"/>
  <c r="I3857" i="5"/>
  <c r="I3717" i="5"/>
  <c r="I3429" i="5"/>
  <c r="I3290" i="5"/>
  <c r="I3144" i="5"/>
  <c r="I2992" i="5"/>
  <c r="I2838" i="5"/>
  <c r="I2682" i="5"/>
  <c r="I2526" i="5"/>
  <c r="I2361" i="5"/>
  <c r="I2193" i="5"/>
  <c r="I1860" i="5"/>
  <c r="I1690" i="5"/>
  <c r="I1525" i="5"/>
  <c r="I1356" i="5"/>
  <c r="I1030" i="5"/>
  <c r="I531" i="5"/>
  <c r="I375" i="5"/>
  <c r="I199" i="5"/>
  <c r="I28" i="5"/>
  <c r="I2683" i="5"/>
  <c r="I2028" i="5"/>
  <c r="I3851" i="5"/>
  <c r="I2519" i="5"/>
  <c r="I2019" i="5"/>
  <c r="I850" i="5"/>
  <c r="I1033" i="5"/>
  <c r="I860" i="5"/>
  <c r="I3294" i="5"/>
  <c r="I3862" i="5"/>
  <c r="I3720" i="5"/>
  <c r="I3575" i="5"/>
  <c r="I3433" i="5"/>
  <c r="I3295" i="5"/>
  <c r="I3147" i="5"/>
  <c r="I2995" i="5"/>
  <c r="I2841" i="5"/>
  <c r="I2365" i="5"/>
  <c r="I2196" i="5"/>
  <c r="I2032" i="5"/>
  <c r="I1197" i="5"/>
  <c r="I863" i="5"/>
  <c r="I701" i="5"/>
  <c r="I534" i="5"/>
  <c r="I33" i="5"/>
  <c r="I3865" i="5"/>
  <c r="I3578" i="5"/>
  <c r="I3298" i="5"/>
  <c r="I3150" i="5"/>
  <c r="I2035" i="5"/>
  <c r="I1865" i="5"/>
  <c r="I1696" i="5"/>
  <c r="I1532" i="5"/>
  <c r="I1362" i="5"/>
  <c r="I866" i="5"/>
  <c r="I704" i="5"/>
  <c r="I537" i="5"/>
  <c r="I380" i="5"/>
  <c r="I206" i="5"/>
  <c r="I3722" i="5"/>
  <c r="I3297" i="5"/>
  <c r="I3149" i="5"/>
  <c r="I703" i="5"/>
  <c r="I3866" i="5"/>
  <c r="I3723" i="5"/>
  <c r="I3579" i="5"/>
  <c r="I3436" i="5"/>
  <c r="I3299" i="5"/>
  <c r="I3151" i="5"/>
  <c r="I2533" i="5"/>
  <c r="I2368" i="5"/>
  <c r="I2199" i="5"/>
  <c r="I1533" i="5"/>
  <c r="I1363" i="5"/>
  <c r="I705" i="5"/>
  <c r="I207" i="5"/>
  <c r="I36" i="5"/>
  <c r="I3834" i="5"/>
  <c r="I3696" i="5"/>
  <c r="I3548" i="5"/>
  <c r="I3410" i="5"/>
  <c r="I3268" i="5"/>
  <c r="I3122" i="5"/>
  <c r="I2967" i="5"/>
  <c r="I2814" i="5"/>
  <c r="I2660" i="5"/>
  <c r="I2499" i="5"/>
  <c r="I2334" i="5"/>
  <c r="I2169" i="5"/>
  <c r="I2001" i="5"/>
  <c r="I1834" i="5"/>
  <c r="I1668" i="5"/>
  <c r="I1502" i="5"/>
  <c r="I1327" i="5"/>
  <c r="I1170" i="5"/>
  <c r="I1006" i="5"/>
  <c r="I831" i="5"/>
  <c r="I673" i="5"/>
  <c r="I507" i="5"/>
  <c r="I348" i="5"/>
  <c r="I170" i="5"/>
  <c r="I4" i="5"/>
  <c r="I3869" i="5"/>
  <c r="I3726" i="5"/>
  <c r="I3582" i="5"/>
  <c r="I3867" i="5"/>
  <c r="I3724" i="5"/>
  <c r="I3580" i="5"/>
  <c r="I3437" i="5"/>
  <c r="I3300" i="5"/>
  <c r="I3152" i="5"/>
  <c r="I2998" i="5"/>
  <c r="I2844" i="5"/>
  <c r="I2689" i="5"/>
  <c r="I2534" i="5"/>
  <c r="I2369" i="5"/>
  <c r="I2200" i="5"/>
  <c r="I2036" i="5"/>
  <c r="I1866" i="5"/>
  <c r="I1697" i="5"/>
  <c r="I1534" i="5"/>
  <c r="I1364" i="5"/>
  <c r="I1201" i="5"/>
  <c r="I1038" i="5"/>
  <c r="I867" i="5"/>
  <c r="I706" i="5"/>
  <c r="I538" i="5"/>
  <c r="I382" i="5"/>
  <c r="I208" i="5"/>
  <c r="I37" i="5"/>
  <c r="I3868" i="5"/>
  <c r="I3725" i="5"/>
  <c r="I3581" i="5"/>
  <c r="I3438" i="5"/>
  <c r="I3301" i="5"/>
  <c r="I3153" i="5"/>
  <c r="I2999" i="5"/>
  <c r="I2845" i="5"/>
  <c r="I2690" i="5"/>
  <c r="I2535" i="5"/>
  <c r="I2370" i="5"/>
  <c r="I2201" i="5"/>
  <c r="I2037" i="5"/>
  <c r="I1867" i="5"/>
  <c r="I1698" i="5"/>
  <c r="I1535" i="5"/>
  <c r="I1039" i="5"/>
  <c r="I868" i="5"/>
  <c r="I707" i="5"/>
  <c r="I383" i="5"/>
  <c r="I38" i="5"/>
  <c r="I393" i="5"/>
  <c r="I49" i="5"/>
  <c r="I3871" i="5"/>
  <c r="I3728" i="5"/>
  <c r="I3584" i="5"/>
  <c r="I3156" i="5"/>
  <c r="I3002" i="5"/>
  <c r="I2848" i="5"/>
  <c r="I2693" i="5"/>
  <c r="I2538" i="5"/>
  <c r="I2373" i="5"/>
  <c r="I2204" i="5"/>
  <c r="I2040" i="5"/>
  <c r="I1870" i="5"/>
  <c r="I1538" i="5"/>
  <c r="I1368" i="5"/>
  <c r="I1205" i="5"/>
  <c r="I871" i="5"/>
  <c r="I710" i="5"/>
  <c r="I542" i="5"/>
  <c r="I386" i="5"/>
  <c r="I212" i="5"/>
  <c r="I41" i="5"/>
  <c r="I3872" i="5"/>
  <c r="I3729" i="5"/>
  <c r="I3585" i="5"/>
  <c r="I3441" i="5"/>
  <c r="I3304" i="5"/>
  <c r="I3157" i="5"/>
  <c r="I3003" i="5"/>
  <c r="I2849" i="5"/>
  <c r="I2694" i="5"/>
  <c r="I2539" i="5"/>
  <c r="I2374" i="5"/>
  <c r="I2205" i="5"/>
  <c r="I2041" i="5"/>
  <c r="I1871" i="5"/>
  <c r="I1369" i="5"/>
  <c r="I1206" i="5"/>
  <c r="I1043" i="5"/>
  <c r="I711" i="5"/>
  <c r="I3873" i="5"/>
  <c r="I3731" i="5"/>
  <c r="I3587" i="5"/>
  <c r="I3443" i="5"/>
  <c r="I3306" i="5"/>
  <c r="I3159" i="5"/>
  <c r="I2851" i="5"/>
  <c r="I3874" i="5"/>
  <c r="I3588" i="5"/>
  <c r="I3444" i="5"/>
  <c r="I3307" i="5"/>
  <c r="I3160" i="5"/>
  <c r="I3006" i="5"/>
  <c r="I2852" i="5"/>
  <c r="I2697" i="5"/>
  <c r="I2542" i="5"/>
  <c r="I2377" i="5"/>
  <c r="I2208" i="5"/>
  <c r="I2044" i="5"/>
  <c r="I1874" i="5"/>
  <c r="I1705" i="5"/>
  <c r="I1370" i="5"/>
  <c r="I1208" i="5"/>
  <c r="I1046" i="5"/>
  <c r="I874" i="5"/>
  <c r="I713" i="5"/>
  <c r="I546" i="5"/>
  <c r="I3876" i="5"/>
  <c r="I3589" i="5"/>
  <c r="I3445" i="5"/>
  <c r="I3308" i="5"/>
  <c r="I2378" i="5"/>
  <c r="I2209" i="5"/>
  <c r="I2045" i="5"/>
  <c r="I1875" i="5"/>
  <c r="I1706" i="5"/>
  <c r="I1541" i="5"/>
  <c r="I1371" i="5"/>
  <c r="I1209" i="5"/>
  <c r="I1047" i="5"/>
  <c r="I875" i="5"/>
  <c r="I715" i="5"/>
  <c r="I547" i="5"/>
  <c r="I390" i="5"/>
  <c r="I216" i="5"/>
  <c r="I46" i="5"/>
  <c r="I2549" i="5"/>
  <c r="I2385" i="5"/>
  <c r="I2052" i="5"/>
  <c r="I1882" i="5"/>
  <c r="I1713" i="5"/>
  <c r="I1548" i="5"/>
  <c r="I1378" i="5"/>
  <c r="I1217" i="5"/>
  <c r="I1054" i="5"/>
  <c r="I882" i="5"/>
  <c r="I723" i="5"/>
  <c r="I554" i="5"/>
  <c r="I397" i="5"/>
  <c r="I223" i="5"/>
  <c r="I54" i="5"/>
  <c r="I1215" i="5"/>
  <c r="I721" i="5"/>
  <c r="I52" i="5"/>
  <c r="I439" i="5"/>
  <c r="I278" i="5"/>
  <c r="I3316" i="5"/>
  <c r="I3014" i="5"/>
  <c r="I2860" i="5"/>
  <c r="I2387" i="5"/>
  <c r="I2217" i="5"/>
  <c r="I2054" i="5"/>
  <c r="I1884" i="5"/>
  <c r="I1550" i="5"/>
  <c r="I1380" i="5"/>
  <c r="I884" i="5"/>
  <c r="I556" i="5"/>
  <c r="I225" i="5"/>
  <c r="I56" i="5"/>
  <c r="I3740" i="5"/>
  <c r="I3453" i="5"/>
  <c r="I3168" i="5"/>
  <c r="I3015" i="5"/>
  <c r="I2861" i="5"/>
  <c r="I2705" i="5"/>
  <c r="I2552" i="5"/>
  <c r="I2218" i="5"/>
  <c r="I2055" i="5"/>
  <c r="I1885" i="5"/>
  <c r="I1715" i="5"/>
  <c r="I1056" i="5"/>
  <c r="I885" i="5"/>
  <c r="I400" i="5"/>
  <c r="I227" i="5"/>
  <c r="I57" i="5"/>
  <c r="I3887" i="5"/>
  <c r="I3742" i="5"/>
  <c r="I3599" i="5"/>
  <c r="I3455" i="5"/>
  <c r="I3320" i="5"/>
  <c r="I2863" i="5"/>
  <c r="I2554" i="5"/>
  <c r="I2389" i="5"/>
  <c r="I2220" i="5"/>
  <c r="I2057" i="5"/>
  <c r="I1887" i="5"/>
  <c r="I1717" i="5"/>
  <c r="I1552" i="5"/>
  <c r="I1383" i="5"/>
  <c r="I1058" i="5"/>
  <c r="I887" i="5"/>
  <c r="I726" i="5"/>
  <c r="I402" i="5"/>
  <c r="I229" i="5"/>
  <c r="I59" i="5"/>
  <c r="I3889" i="5"/>
  <c r="I3744" i="5"/>
  <c r="I3457" i="5"/>
  <c r="I3172" i="5"/>
  <c r="I2865" i="5"/>
  <c r="I2391" i="5"/>
  <c r="I2222" i="5"/>
  <c r="I2060" i="5"/>
  <c r="I1719" i="5"/>
  <c r="I1222" i="5"/>
  <c r="I1061" i="5"/>
  <c r="I890" i="5"/>
  <c r="I559" i="5"/>
  <c r="I232" i="5"/>
  <c r="I61" i="5"/>
  <c r="I3317" i="5"/>
  <c r="I2551" i="5"/>
  <c r="I399" i="5"/>
  <c r="I226" i="5"/>
  <c r="I3730" i="5"/>
  <c r="I3305" i="5"/>
  <c r="I3158" i="5"/>
  <c r="I3004" i="5"/>
  <c r="I2850" i="5"/>
  <c r="I2696" i="5"/>
  <c r="I2541" i="5"/>
  <c r="I2376" i="5"/>
  <c r="I2207" i="5"/>
  <c r="I2043" i="5"/>
  <c r="I1873" i="5"/>
  <c r="I1704" i="5"/>
  <c r="I1045" i="5"/>
  <c r="I545" i="5"/>
  <c r="I44" i="5"/>
  <c r="I3600" i="5"/>
  <c r="I2864" i="5"/>
  <c r="I2707" i="5"/>
  <c r="I2555" i="5"/>
  <c r="I2390" i="5"/>
  <c r="I2221" i="5"/>
  <c r="I2058" i="5"/>
  <c r="I1888" i="5"/>
  <c r="I1718" i="5"/>
  <c r="I1553" i="5"/>
  <c r="I1384" i="5"/>
  <c r="I1059" i="5"/>
  <c r="I888" i="5"/>
  <c r="I727" i="5"/>
  <c r="I558" i="5"/>
  <c r="I2708" i="5"/>
  <c r="I2059" i="5"/>
  <c r="I1554" i="5"/>
  <c r="I1060" i="5"/>
  <c r="I889" i="5"/>
  <c r="I404" i="5"/>
  <c r="I231" i="5"/>
  <c r="I3745" i="5"/>
  <c r="I3601" i="5"/>
  <c r="I3322" i="5"/>
  <c r="I2709" i="5"/>
  <c r="I1062" i="5"/>
  <c r="I891" i="5"/>
  <c r="I560" i="5"/>
  <c r="I233" i="5"/>
  <c r="I62" i="5"/>
  <c r="I2711" i="5"/>
  <c r="I2225" i="5"/>
  <c r="I2063" i="5"/>
  <c r="I1891" i="5"/>
  <c r="I1722" i="5"/>
  <c r="I1557" i="5"/>
  <c r="I1224" i="5"/>
  <c r="I1065" i="5"/>
  <c r="I894" i="5"/>
  <c r="I730" i="5"/>
  <c r="I562" i="5"/>
  <c r="I65" i="5"/>
  <c r="I2223" i="5"/>
  <c r="I2061" i="5"/>
  <c r="I1889" i="5"/>
  <c r="I1720" i="5"/>
  <c r="I1555" i="5"/>
  <c r="I1385" i="5"/>
  <c r="I1063" i="5"/>
  <c r="I892" i="5"/>
  <c r="I728" i="5"/>
  <c r="I234" i="5"/>
  <c r="I63" i="5"/>
  <c r="I3719" i="5"/>
  <c r="I3574" i="5"/>
  <c r="I3432" i="5"/>
  <c r="I3293" i="5"/>
  <c r="I2840" i="5"/>
  <c r="I2686" i="5"/>
  <c r="I2530" i="5"/>
  <c r="I2364" i="5"/>
  <c r="I2195" i="5"/>
  <c r="I1693" i="5"/>
  <c r="I1529" i="5"/>
  <c r="I1359" i="5"/>
  <c r="I1035" i="5"/>
  <c r="I862" i="5"/>
  <c r="I3891" i="5"/>
  <c r="I3747" i="5"/>
  <c r="I3324" i="5"/>
  <c r="I3019" i="5"/>
  <c r="I2712" i="5"/>
  <c r="I2557" i="5"/>
  <c r="I2393" i="5"/>
  <c r="I2226" i="5"/>
  <c r="I1723" i="5"/>
  <c r="I1387" i="5"/>
  <c r="I1225" i="5"/>
  <c r="I1066" i="5"/>
  <c r="I895" i="5"/>
  <c r="I731" i="5"/>
  <c r="I406" i="5"/>
  <c r="I236" i="5"/>
  <c r="I3892" i="5"/>
  <c r="I3748" i="5"/>
  <c r="I3604" i="5"/>
  <c r="I3459" i="5"/>
  <c r="I3175" i="5"/>
  <c r="I2868" i="5"/>
  <c r="I2558" i="5"/>
  <c r="I2394" i="5"/>
  <c r="I2064" i="5"/>
  <c r="I1558" i="5"/>
  <c r="I3893" i="5"/>
  <c r="I3749" i="5"/>
  <c r="I3605" i="5"/>
  <c r="I3460" i="5"/>
  <c r="I3326" i="5"/>
  <c r="I3176" i="5"/>
  <c r="I2869" i="5"/>
  <c r="I2714" i="5"/>
  <c r="I2559" i="5"/>
  <c r="I2395" i="5"/>
  <c r="I2229" i="5"/>
  <c r="I2065" i="5"/>
  <c r="I1894" i="5"/>
  <c r="I1725" i="5"/>
  <c r="I1559" i="5"/>
  <c r="I733" i="5"/>
  <c r="I238" i="5"/>
  <c r="I3895" i="5"/>
  <c r="I3608" i="5"/>
  <c r="I3462" i="5"/>
  <c r="I3023" i="5"/>
  <c r="I2872" i="5"/>
  <c r="I2716" i="5"/>
  <c r="I2398" i="5"/>
  <c r="I2232" i="5"/>
  <c r="I2068" i="5"/>
  <c r="I1897" i="5"/>
  <c r="I1728" i="5"/>
  <c r="I1562" i="5"/>
  <c r="I1392" i="5"/>
  <c r="I1230" i="5"/>
  <c r="I1071" i="5"/>
  <c r="I900" i="5"/>
  <c r="I735" i="5"/>
  <c r="I568" i="5"/>
  <c r="I411" i="5"/>
  <c r="I241" i="5"/>
  <c r="I71" i="5"/>
  <c r="I3750" i="5"/>
  <c r="I3606" i="5"/>
  <c r="I3461" i="5"/>
  <c r="I3327" i="5"/>
  <c r="I3022" i="5"/>
  <c r="I2870" i="5"/>
  <c r="I2715" i="5"/>
  <c r="I2560" i="5"/>
  <c r="I2396" i="5"/>
  <c r="I2230" i="5"/>
  <c r="I2066" i="5"/>
  <c r="I1895" i="5"/>
  <c r="I1726" i="5"/>
  <c r="I1560" i="5"/>
  <c r="I1390" i="5"/>
  <c r="I1228" i="5"/>
  <c r="I1069" i="5"/>
  <c r="I898" i="5"/>
  <c r="I734" i="5"/>
  <c r="I566" i="5"/>
  <c r="I409" i="5"/>
  <c r="I239" i="5"/>
  <c r="I69" i="5"/>
  <c r="I3897" i="5"/>
  <c r="I3752" i="5"/>
  <c r="I3610" i="5"/>
  <c r="I3464" i="5"/>
  <c r="I3329" i="5"/>
  <c r="I3179" i="5"/>
  <c r="I3025" i="5"/>
  <c r="I2874" i="5"/>
  <c r="I2718" i="5"/>
  <c r="I2562" i="5"/>
  <c r="I2400" i="5"/>
  <c r="I2234" i="5"/>
  <c r="I2070" i="5"/>
  <c r="I1899" i="5"/>
  <c r="I1730" i="5"/>
  <c r="I1564" i="5"/>
  <c r="I1394" i="5"/>
  <c r="I1232" i="5"/>
  <c r="I1073" i="5"/>
  <c r="I902" i="5"/>
  <c r="I737" i="5"/>
  <c r="I570" i="5"/>
  <c r="I413" i="5"/>
  <c r="I243" i="5"/>
  <c r="I73" i="5"/>
  <c r="I3607" i="5"/>
  <c r="I3177" i="5"/>
  <c r="I2871" i="5"/>
  <c r="I2397" i="5"/>
  <c r="I2231" i="5"/>
  <c r="I2067" i="5"/>
  <c r="I1896" i="5"/>
  <c r="I1727" i="5"/>
  <c r="I1561" i="5"/>
  <c r="I1391" i="5"/>
  <c r="I1229" i="5"/>
  <c r="I1070" i="5"/>
  <c r="I899" i="5"/>
  <c r="I567" i="5"/>
  <c r="I410" i="5"/>
  <c r="I240" i="5"/>
  <c r="I70" i="5"/>
  <c r="I3896" i="5"/>
  <c r="I3751" i="5"/>
  <c r="I3609" i="5"/>
  <c r="I3463" i="5"/>
  <c r="I3328" i="5"/>
  <c r="I3178" i="5"/>
  <c r="I3024" i="5"/>
  <c r="I2873" i="5"/>
  <c r="I2717" i="5"/>
  <c r="I2561" i="5"/>
  <c r="I2399" i="5"/>
  <c r="I2233" i="5"/>
  <c r="I2069" i="5"/>
  <c r="I1898" i="5"/>
  <c r="I1729" i="5"/>
  <c r="I1563" i="5"/>
  <c r="I1393" i="5"/>
  <c r="I1231" i="5"/>
  <c r="I1072" i="5"/>
  <c r="I901" i="5"/>
  <c r="I736" i="5"/>
  <c r="I569" i="5"/>
  <c r="I412" i="5"/>
  <c r="I242" i="5"/>
  <c r="I72" i="5"/>
  <c r="I3899" i="5"/>
  <c r="I3754" i="5"/>
  <c r="I3612" i="5"/>
  <c r="I3332" i="5"/>
  <c r="I3182" i="5"/>
  <c r="I3028" i="5"/>
  <c r="I2877" i="5"/>
  <c r="I2721" i="5"/>
  <c r="I2403" i="5"/>
  <c r="I1733" i="5"/>
  <c r="I1567" i="5"/>
  <c r="I1397" i="5"/>
  <c r="I1235" i="5"/>
  <c r="I1076" i="5"/>
  <c r="I905" i="5"/>
  <c r="I740" i="5"/>
  <c r="I416" i="5"/>
  <c r="I246" i="5"/>
  <c r="I3898" i="5"/>
  <c r="I3753" i="5"/>
  <c r="I3611" i="5"/>
  <c r="I3465" i="5"/>
  <c r="I3330" i="5"/>
  <c r="I3180" i="5"/>
  <c r="I3026" i="5"/>
  <c r="I2875" i="5"/>
  <c r="I2719" i="5"/>
  <c r="I2563" i="5"/>
  <c r="I2401" i="5"/>
  <c r="I2235" i="5"/>
  <c r="I2071" i="5"/>
  <c r="I1900" i="5"/>
  <c r="I1731" i="5"/>
  <c r="I1565" i="5"/>
  <c r="I1395" i="5"/>
  <c r="I1233" i="5"/>
  <c r="I1074" i="5"/>
  <c r="I903" i="5"/>
  <c r="I738" i="5"/>
  <c r="I244" i="5"/>
  <c r="I74" i="5"/>
  <c r="I3331" i="5"/>
  <c r="I3181" i="5"/>
  <c r="I3027" i="5"/>
  <c r="I2876" i="5"/>
  <c r="I2720" i="5"/>
  <c r="I2564" i="5"/>
  <c r="I2402" i="5"/>
  <c r="I2236" i="5"/>
  <c r="I2072" i="5"/>
  <c r="I1901" i="5"/>
  <c r="I1732" i="5"/>
  <c r="I1566" i="5"/>
  <c r="I1396" i="5"/>
  <c r="I1234" i="5"/>
  <c r="I1075" i="5"/>
  <c r="I904" i="5"/>
  <c r="I739" i="5"/>
  <c r="I415" i="5"/>
  <c r="I245" i="5"/>
  <c r="I75" i="5"/>
  <c r="I2228" i="5"/>
  <c r="I3900" i="5"/>
  <c r="I3755" i="5"/>
  <c r="I3613" i="5"/>
  <c r="I3466" i="5"/>
  <c r="I3333" i="5"/>
  <c r="I3183" i="5"/>
  <c r="I3029" i="5"/>
  <c r="I2878" i="5"/>
  <c r="I2722" i="5"/>
  <c r="I2566" i="5"/>
  <c r="I2404" i="5"/>
  <c r="I2238" i="5"/>
  <c r="I2074" i="5"/>
  <c r="I1903" i="5"/>
  <c r="I1734" i="5"/>
  <c r="I1568" i="5"/>
  <c r="I1398" i="5"/>
  <c r="I1236" i="5"/>
  <c r="I1077" i="5"/>
  <c r="I906" i="5"/>
  <c r="I741" i="5"/>
  <c r="I573" i="5"/>
  <c r="I417" i="5"/>
  <c r="I247" i="5"/>
  <c r="I77" i="5"/>
  <c r="I3901" i="5"/>
  <c r="I3756" i="5"/>
  <c r="I3614" i="5"/>
  <c r="I3467" i="5"/>
  <c r="I3334" i="5"/>
  <c r="I3184" i="5"/>
  <c r="I3030" i="5"/>
  <c r="I2879" i="5"/>
  <c r="I2723" i="5"/>
  <c r="I2567" i="5"/>
  <c r="I2405" i="5"/>
  <c r="I2239" i="5"/>
  <c r="I2075" i="5"/>
  <c r="I1904" i="5"/>
  <c r="I1735" i="5"/>
  <c r="I1569" i="5"/>
  <c r="I1399" i="5"/>
  <c r="I1237" i="5"/>
  <c r="I1078" i="5"/>
  <c r="I907" i="5"/>
  <c r="I742" i="5"/>
  <c r="I574" i="5"/>
  <c r="I418" i="5"/>
  <c r="I248" i="5"/>
  <c r="I78" i="5"/>
  <c r="I3185" i="5"/>
  <c r="I3031" i="5"/>
  <c r="I2880" i="5"/>
  <c r="I2724" i="5"/>
  <c r="I2406" i="5"/>
  <c r="I1905" i="5"/>
  <c r="I1570" i="5"/>
  <c r="I1400" i="5"/>
  <c r="I1079" i="5"/>
  <c r="I908" i="5"/>
  <c r="I743" i="5"/>
  <c r="I575" i="5"/>
  <c r="I249" i="5"/>
  <c r="I79" i="5"/>
  <c r="I3903" i="5"/>
  <c r="I3758" i="5"/>
  <c r="I3616" i="5"/>
  <c r="I3469" i="5"/>
  <c r="I3336" i="5"/>
  <c r="I3187" i="5"/>
  <c r="I3033" i="5"/>
  <c r="I2882" i="5"/>
  <c r="I2726" i="5"/>
  <c r="I2569" i="5"/>
  <c r="I2408" i="5"/>
  <c r="I2241" i="5"/>
  <c r="I2077" i="5"/>
  <c r="I1907" i="5"/>
  <c r="I1737" i="5"/>
  <c r="I1572" i="5"/>
  <c r="I1402" i="5"/>
  <c r="I1239" i="5"/>
  <c r="I1081" i="5"/>
  <c r="I910" i="5"/>
  <c r="I745" i="5"/>
  <c r="I577" i="5"/>
  <c r="I420" i="5"/>
  <c r="I251" i="5"/>
  <c r="I81" i="5"/>
  <c r="I3902" i="5"/>
  <c r="I3757" i="5"/>
  <c r="I3615" i="5"/>
  <c r="I3468" i="5"/>
  <c r="I3335" i="5"/>
  <c r="I3186" i="5"/>
  <c r="I3032" i="5"/>
  <c r="I2881" i="5"/>
  <c r="I2725" i="5"/>
  <c r="I2568" i="5"/>
  <c r="I2407" i="5"/>
  <c r="I2240" i="5"/>
  <c r="I2076" i="5"/>
  <c r="I1906" i="5"/>
  <c r="I1736" i="5"/>
  <c r="I1571" i="5"/>
  <c r="I1401" i="5"/>
  <c r="I1238" i="5"/>
  <c r="I1080" i="5"/>
  <c r="I909" i="5"/>
  <c r="I744" i="5"/>
  <c r="I576" i="5"/>
  <c r="I419" i="5"/>
  <c r="I250" i="5"/>
  <c r="I80" i="5"/>
  <c r="I3904" i="5"/>
  <c r="I3759" i="5"/>
  <c r="I3617" i="5"/>
  <c r="I3337" i="5"/>
  <c r="I3188" i="5"/>
  <c r="I3034" i="5"/>
  <c r="I2883" i="5"/>
  <c r="I2727" i="5"/>
  <c r="I2570" i="5"/>
  <c r="I2409" i="5"/>
  <c r="I2242" i="5"/>
  <c r="I2078" i="5"/>
  <c r="I1908" i="5"/>
  <c r="I1738" i="5"/>
  <c r="I1573" i="5"/>
  <c r="I1403" i="5"/>
  <c r="I1240" i="5"/>
  <c r="I1082" i="5"/>
  <c r="I911" i="5"/>
  <c r="I746" i="5"/>
  <c r="I578" i="5"/>
  <c r="I421" i="5"/>
  <c r="I252" i="5"/>
  <c r="I82" i="5"/>
  <c r="I3905" i="5"/>
  <c r="I2884" i="5"/>
  <c r="I2571" i="5"/>
  <c r="I2410" i="5"/>
  <c r="I2243" i="5"/>
  <c r="I2079" i="5"/>
  <c r="I1909" i="5"/>
  <c r="I1739" i="5"/>
  <c r="I1574" i="5"/>
  <c r="I1404" i="5"/>
  <c r="I1241" i="5"/>
  <c r="I1083" i="5"/>
  <c r="I912" i="5"/>
  <c r="I747" i="5"/>
  <c r="I579" i="5"/>
  <c r="I422" i="5"/>
  <c r="I83" i="5"/>
  <c r="I3473" i="5"/>
  <c r="I3341" i="5"/>
  <c r="I3192" i="5"/>
  <c r="I3038" i="5"/>
  <c r="I1577" i="5"/>
  <c r="I1407" i="5"/>
  <c r="I1244" i="5"/>
  <c r="I1087" i="5"/>
  <c r="I915" i="5"/>
  <c r="I584" i="5"/>
  <c r="I426" i="5"/>
  <c r="I257" i="5"/>
  <c r="I2984" i="5"/>
  <c r="I2832" i="5"/>
  <c r="I2520" i="5"/>
  <c r="I2354" i="5"/>
  <c r="I2020" i="5"/>
  <c r="I1853" i="5"/>
  <c r="I1022" i="5"/>
  <c r="I851" i="5"/>
  <c r="I523" i="5"/>
  <c r="I367" i="5"/>
  <c r="I191" i="5"/>
  <c r="I580" i="5"/>
  <c r="I3907" i="5"/>
  <c r="I3761" i="5"/>
  <c r="I3619" i="5"/>
  <c r="I3471" i="5"/>
  <c r="I3339" i="5"/>
  <c r="I3190" i="5"/>
  <c r="I3036" i="5"/>
  <c r="I2886" i="5"/>
  <c r="I2729" i="5"/>
  <c r="I2573" i="5"/>
  <c r="I2412" i="5"/>
  <c r="I2244" i="5"/>
  <c r="I2080" i="5"/>
  <c r="I1910" i="5"/>
  <c r="I1741" i="5"/>
  <c r="I1575" i="5"/>
  <c r="I1405" i="5"/>
  <c r="I1242" i="5"/>
  <c r="I1084" i="5"/>
  <c r="I913" i="5"/>
  <c r="I748" i="5"/>
  <c r="I581" i="5"/>
  <c r="I423" i="5"/>
  <c r="I254" i="5"/>
  <c r="I85" i="5"/>
  <c r="I3908" i="5"/>
  <c r="I3762" i="5"/>
  <c r="I3620" i="5"/>
  <c r="I3472" i="5"/>
  <c r="I3340" i="5"/>
  <c r="I3191" i="5"/>
  <c r="I3037" i="5"/>
  <c r="I2887" i="5"/>
  <c r="I2730" i="5"/>
  <c r="I2574" i="5"/>
  <c r="I2413" i="5"/>
  <c r="I2245" i="5"/>
  <c r="I2081" i="5"/>
  <c r="I1911" i="5"/>
  <c r="I1743" i="5"/>
  <c r="I1576" i="5"/>
  <c r="I1406" i="5"/>
  <c r="I1243" i="5"/>
  <c r="I1086" i="5"/>
  <c r="I914" i="5"/>
  <c r="I750" i="5"/>
  <c r="I583" i="5"/>
  <c r="I425" i="5"/>
  <c r="I256" i="5"/>
  <c r="I86" i="5"/>
  <c r="I3912" i="5"/>
  <c r="I3765" i="5"/>
  <c r="I3623" i="5"/>
  <c r="I3477" i="5"/>
  <c r="I3344" i="5"/>
  <c r="I3196" i="5"/>
  <c r="I3041" i="5"/>
  <c r="I2735" i="5"/>
  <c r="I2578" i="5"/>
  <c r="I2416" i="5"/>
  <c r="I2249" i="5"/>
  <c r="I2085" i="5"/>
  <c r="I1915" i="5"/>
  <c r="I1746" i="5"/>
  <c r="I1581" i="5"/>
  <c r="I1410" i="5"/>
  <c r="I1248" i="5"/>
  <c r="I1091" i="5"/>
  <c r="I754" i="5"/>
  <c r="I588" i="5"/>
  <c r="I261" i="5"/>
  <c r="I91" i="5"/>
  <c r="I3909" i="5"/>
  <c r="I3474" i="5"/>
  <c r="I3193" i="5"/>
  <c r="I2732" i="5"/>
  <c r="I2575" i="5"/>
  <c r="I2246" i="5"/>
  <c r="I2082" i="5"/>
  <c r="I1912" i="5"/>
  <c r="I1578" i="5"/>
  <c r="I1245" i="5"/>
  <c r="I1088" i="5"/>
  <c r="I916" i="5"/>
  <c r="I751" i="5"/>
  <c r="I585" i="5"/>
  <c r="I258" i="5"/>
  <c r="I88" i="5"/>
  <c r="I3915" i="5"/>
  <c r="I3200" i="5"/>
  <c r="I2892" i="5"/>
  <c r="I2739" i="5"/>
  <c r="I2581" i="5"/>
  <c r="I2419" i="5"/>
  <c r="I2252" i="5"/>
  <c r="I2089" i="5"/>
  <c r="I1919" i="5"/>
  <c r="I1750" i="5"/>
  <c r="I1585" i="5"/>
  <c r="I1414" i="5"/>
  <c r="I1252" i="5"/>
  <c r="I1095" i="5"/>
  <c r="I922" i="5"/>
  <c r="I758" i="5"/>
  <c r="I592" i="5"/>
  <c r="I430" i="5"/>
  <c r="I265" i="5"/>
  <c r="I95" i="5"/>
  <c r="I3916" i="5"/>
  <c r="I924" i="5"/>
  <c r="I266" i="5"/>
  <c r="I3201" i="5"/>
  <c r="I3046" i="5"/>
  <c r="I2893" i="5"/>
  <c r="I2740" i="5"/>
  <c r="I2582" i="5"/>
  <c r="I2420" i="5"/>
  <c r="I2253" i="5"/>
  <c r="I2090" i="5"/>
  <c r="I1920" i="5"/>
  <c r="I1415" i="5"/>
  <c r="I925" i="5"/>
  <c r="I759" i="5"/>
  <c r="I267" i="5"/>
  <c r="I96" i="5"/>
  <c r="I3911" i="5"/>
  <c r="I3764" i="5"/>
  <c r="I3622" i="5"/>
  <c r="I3476" i="5"/>
  <c r="I3343" i="5"/>
  <c r="I3195" i="5"/>
  <c r="I3040" i="5"/>
  <c r="I2734" i="5"/>
  <c r="I2577" i="5"/>
  <c r="I2415" i="5"/>
  <c r="I2248" i="5"/>
  <c r="I2084" i="5"/>
  <c r="I1914" i="5"/>
  <c r="I1745" i="5"/>
  <c r="I1580" i="5"/>
  <c r="I1409" i="5"/>
  <c r="I1247" i="5"/>
  <c r="I1090" i="5"/>
  <c r="I753" i="5"/>
  <c r="I587" i="5"/>
  <c r="I260" i="5"/>
  <c r="I90" i="5"/>
  <c r="I3626" i="5"/>
  <c r="I3480" i="5"/>
  <c r="I3199" i="5"/>
  <c r="I3044" i="5"/>
  <c r="I2891" i="5"/>
  <c r="I2738" i="5"/>
  <c r="I2088" i="5"/>
  <c r="I1918" i="5"/>
  <c r="I1749" i="5"/>
  <c r="I1584" i="5"/>
  <c r="I1413" i="5"/>
  <c r="I1251" i="5"/>
  <c r="I1094" i="5"/>
  <c r="I921" i="5"/>
  <c r="I757" i="5"/>
  <c r="I591" i="5"/>
  <c r="I429" i="5"/>
  <c r="I264" i="5"/>
  <c r="I94" i="5"/>
  <c r="I3919" i="5"/>
  <c r="I3631" i="5"/>
  <c r="I3484" i="5"/>
  <c r="I3351" i="5"/>
  <c r="I3204" i="5"/>
  <c r="I3049" i="5"/>
  <c r="I2743" i="5"/>
  <c r="I2585" i="5"/>
  <c r="I2423" i="5"/>
  <c r="I2255" i="5"/>
  <c r="I2092" i="5"/>
  <c r="I1923" i="5"/>
  <c r="I1753" i="5"/>
  <c r="I1588" i="5"/>
  <c r="I1418" i="5"/>
  <c r="I1099" i="5"/>
  <c r="I928" i="5"/>
  <c r="I762" i="5"/>
  <c r="I433" i="5"/>
  <c r="I270" i="5"/>
  <c r="I99" i="5"/>
  <c r="I3962" i="5"/>
  <c r="I3810" i="5"/>
  <c r="I3671" i="5"/>
  <c r="I3524" i="5"/>
  <c r="I3388" i="5"/>
  <c r="I3244" i="5"/>
  <c r="I3093" i="5"/>
  <c r="I2938" i="5"/>
  <c r="I2786" i="5"/>
  <c r="I2631" i="5"/>
  <c r="I2468" i="5"/>
  <c r="I2305" i="5"/>
  <c r="I1971" i="5"/>
  <c r="I1804" i="5"/>
  <c r="I1303" i="5"/>
  <c r="I1145" i="5"/>
  <c r="I980" i="5"/>
  <c r="I647" i="5"/>
  <c r="I480" i="5"/>
  <c r="I321" i="5"/>
  <c r="I147" i="5"/>
  <c r="I3920" i="5"/>
  <c r="I3771" i="5"/>
  <c r="I3632" i="5"/>
  <c r="I3485" i="5"/>
  <c r="I3352" i="5"/>
  <c r="I3205" i="5"/>
  <c r="I3050" i="5"/>
  <c r="I2896" i="5"/>
  <c r="I2744" i="5"/>
  <c r="I2586" i="5"/>
  <c r="I2424" i="5"/>
  <c r="I2256" i="5"/>
  <c r="I2093" i="5"/>
  <c r="I1924" i="5"/>
  <c r="I1754" i="5"/>
  <c r="I1589" i="5"/>
  <c r="I1419" i="5"/>
  <c r="I1256" i="5"/>
  <c r="I1100" i="5"/>
  <c r="I929" i="5"/>
  <c r="I763" i="5"/>
  <c r="I595" i="5"/>
  <c r="I434" i="5"/>
  <c r="I271" i="5"/>
  <c r="I100" i="5"/>
  <c r="I3918" i="5"/>
  <c r="I3770" i="5"/>
  <c r="I3630" i="5"/>
  <c r="I3483" i="5"/>
  <c r="I3350" i="5"/>
  <c r="I3203" i="5"/>
  <c r="I3048" i="5"/>
  <c r="I2895" i="5"/>
  <c r="I2742" i="5"/>
  <c r="I2584" i="5"/>
  <c r="I2422" i="5"/>
  <c r="I2254" i="5"/>
  <c r="I2091" i="5"/>
  <c r="I1922" i="5"/>
  <c r="I1752" i="5"/>
  <c r="I1587" i="5"/>
  <c r="I1417" i="5"/>
  <c r="I1255" i="5"/>
  <c r="I1098" i="5"/>
  <c r="I927" i="5"/>
  <c r="I761" i="5"/>
  <c r="I594" i="5"/>
  <c r="I432" i="5"/>
  <c r="I269" i="5"/>
  <c r="I98" i="5"/>
  <c r="I3768" i="5"/>
  <c r="I3347" i="5"/>
  <c r="I3045" i="5"/>
  <c r="I1253" i="5"/>
  <c r="I1096" i="5"/>
  <c r="I923" i="5"/>
  <c r="I3910" i="5"/>
  <c r="I3763" i="5"/>
  <c r="I3621" i="5"/>
  <c r="I3475" i="5"/>
  <c r="I3342" i="5"/>
  <c r="I3194" i="5"/>
  <c r="I3039" i="5"/>
  <c r="I2889" i="5"/>
  <c r="I2733" i="5"/>
  <c r="I2576" i="5"/>
  <c r="I2414" i="5"/>
  <c r="I2247" i="5"/>
  <c r="I2083" i="5"/>
  <c r="I1913" i="5"/>
  <c r="I1744" i="5"/>
  <c r="I1579" i="5"/>
  <c r="I1408" i="5"/>
  <c r="I1246" i="5"/>
  <c r="I1089" i="5"/>
  <c r="I917" i="5"/>
  <c r="I752" i="5"/>
  <c r="I586" i="5"/>
  <c r="I427" i="5"/>
  <c r="I259" i="5"/>
  <c r="I89" i="5"/>
  <c r="I3917" i="5"/>
  <c r="I3769" i="5"/>
  <c r="I3629" i="5"/>
  <c r="I3482" i="5"/>
  <c r="I3349" i="5"/>
  <c r="I3202" i="5"/>
  <c r="I3047" i="5"/>
  <c r="I2894" i="5"/>
  <c r="I2741" i="5"/>
  <c r="I2583" i="5"/>
  <c r="I2421" i="5"/>
  <c r="I1921" i="5"/>
  <c r="I1751" i="5"/>
  <c r="I1586" i="5"/>
  <c r="I1416" i="5"/>
  <c r="I1254" i="5"/>
  <c r="I1097" i="5"/>
  <c r="I926" i="5"/>
  <c r="I760" i="5"/>
  <c r="I593" i="5"/>
  <c r="I431" i="5"/>
  <c r="I268" i="5"/>
  <c r="I97" i="5"/>
  <c r="I3486" i="5"/>
  <c r="I2587" i="5"/>
  <c r="I2425" i="5"/>
  <c r="I930" i="5"/>
  <c r="I764" i="5"/>
  <c r="I272" i="5"/>
  <c r="I101" i="5"/>
  <c r="I3914" i="5"/>
  <c r="I3767" i="5"/>
  <c r="I3625" i="5"/>
  <c r="I3479" i="5"/>
  <c r="I3346" i="5"/>
  <c r="I3198" i="5"/>
  <c r="I3043" i="5"/>
  <c r="I2890" i="5"/>
  <c r="I2737" i="5"/>
  <c r="I2580" i="5"/>
  <c r="I2418" i="5"/>
  <c r="I2251" i="5"/>
  <c r="I2087" i="5"/>
  <c r="I1917" i="5"/>
  <c r="I1748" i="5"/>
  <c r="I1583" i="5"/>
  <c r="I1412" i="5"/>
  <c r="I1250" i="5"/>
  <c r="I1093" i="5"/>
  <c r="I920" i="5"/>
  <c r="I756" i="5"/>
  <c r="I590" i="5"/>
  <c r="I428" i="5"/>
  <c r="I263" i="5"/>
  <c r="I93" i="5"/>
  <c r="I3932" i="5"/>
  <c r="I3780" i="5"/>
  <c r="I3643" i="5"/>
  <c r="I3496" i="5"/>
  <c r="I3359" i="5"/>
  <c r="I3215" i="5"/>
  <c r="I3060" i="5"/>
  <c r="I2906" i="5"/>
  <c r="I2755" i="5"/>
  <c r="I2596" i="5"/>
  <c r="I2436" i="5"/>
  <c r="I2268" i="5"/>
  <c r="I2105" i="5"/>
  <c r="I1934" i="5"/>
  <c r="I1766" i="5"/>
  <c r="I1601" i="5"/>
  <c r="I1432" i="5"/>
  <c r="I1267" i="5"/>
  <c r="I1111" i="5"/>
  <c r="I942" i="5"/>
  <c r="I775" i="5"/>
  <c r="I608" i="5"/>
  <c r="I446" i="5"/>
  <c r="I284" i="5"/>
  <c r="I114" i="5"/>
  <c r="I283" i="5"/>
  <c r="I112" i="5"/>
  <c r="I1101" i="5"/>
  <c r="I931" i="5"/>
  <c r="I765" i="5"/>
  <c r="I3052" i="5"/>
  <c r="I2427" i="5"/>
  <c r="I1927" i="5"/>
  <c r="I933" i="5"/>
  <c r="I767" i="5"/>
  <c r="I597" i="5"/>
  <c r="I104" i="5"/>
  <c r="I3927" i="5"/>
  <c r="I3775" i="5"/>
  <c r="I3638" i="5"/>
  <c r="I3491" i="5"/>
  <c r="I3357" i="5"/>
  <c r="I3210" i="5"/>
  <c r="I3054" i="5"/>
  <c r="I2900" i="5"/>
  <c r="I2749" i="5"/>
  <c r="I2591" i="5"/>
  <c r="I2430" i="5"/>
  <c r="I2262" i="5"/>
  <c r="I2100" i="5"/>
  <c r="I1930" i="5"/>
  <c r="I1762" i="5"/>
  <c r="I1595" i="5"/>
  <c r="I1427" i="5"/>
  <c r="I1262" i="5"/>
  <c r="I1106" i="5"/>
  <c r="I937" i="5"/>
  <c r="I770" i="5"/>
  <c r="I602" i="5"/>
  <c r="I440" i="5"/>
  <c r="I279" i="5"/>
  <c r="I108" i="5"/>
  <c r="I3926" i="5"/>
  <c r="I3774" i="5"/>
  <c r="I3637" i="5"/>
  <c r="I3490" i="5"/>
  <c r="I3356" i="5"/>
  <c r="I3209" i="5"/>
  <c r="I3053" i="5"/>
  <c r="I2748" i="5"/>
  <c r="I2590" i="5"/>
  <c r="I2429" i="5"/>
  <c r="I2261" i="5"/>
  <c r="I2099" i="5"/>
  <c r="I1929" i="5"/>
  <c r="I1761" i="5"/>
  <c r="I1594" i="5"/>
  <c r="I1426" i="5"/>
  <c r="I1261" i="5"/>
  <c r="I1105" i="5"/>
  <c r="I769" i="5"/>
  <c r="I601" i="5"/>
  <c r="I277" i="5"/>
  <c r="I107" i="5"/>
  <c r="I3930" i="5"/>
  <c r="I3778" i="5"/>
  <c r="I3641" i="5"/>
  <c r="I3494" i="5"/>
  <c r="I3358" i="5"/>
  <c r="I3213" i="5"/>
  <c r="I3057" i="5"/>
  <c r="I2903" i="5"/>
  <c r="I2752" i="5"/>
  <c r="I2594" i="5"/>
  <c r="I2433" i="5"/>
  <c r="I2265" i="5"/>
  <c r="I2103" i="5"/>
  <c r="I1933" i="5"/>
  <c r="I1765" i="5"/>
  <c r="I1598" i="5"/>
  <c r="I1430" i="5"/>
  <c r="I1265" i="5"/>
  <c r="I1109" i="5"/>
  <c r="I940" i="5"/>
  <c r="I773" i="5"/>
  <c r="I605" i="5"/>
  <c r="I443" i="5"/>
  <c r="I282" i="5"/>
  <c r="I111" i="5"/>
  <c r="I3938" i="5"/>
  <c r="I3788" i="5"/>
  <c r="I3067" i="5"/>
  <c r="I2605" i="5"/>
  <c r="I2113" i="5"/>
  <c r="I1943" i="5"/>
  <c r="I1443" i="5"/>
  <c r="I454" i="5"/>
  <c r="I292" i="5"/>
  <c r="I123" i="5"/>
  <c r="I3923" i="5"/>
  <c r="I3634" i="5"/>
  <c r="I3488" i="5"/>
  <c r="I3207" i="5"/>
  <c r="I2899" i="5"/>
  <c r="I2747" i="5"/>
  <c r="I2589" i="5"/>
  <c r="I2258" i="5"/>
  <c r="I2096" i="5"/>
  <c r="I1928" i="5"/>
  <c r="I1757" i="5"/>
  <c r="I1422" i="5"/>
  <c r="I1258" i="5"/>
  <c r="I1103" i="5"/>
  <c r="I934" i="5"/>
  <c r="I768" i="5"/>
  <c r="I598" i="5"/>
  <c r="I437" i="5"/>
  <c r="I274" i="5"/>
  <c r="I105" i="5"/>
  <c r="I3924" i="5"/>
  <c r="I3773" i="5"/>
  <c r="I3635" i="5"/>
  <c r="I3354" i="5"/>
  <c r="I3208" i="5"/>
  <c r="I2259" i="5"/>
  <c r="I2097" i="5"/>
  <c r="I1758" i="5"/>
  <c r="I1592" i="5"/>
  <c r="I1423" i="5"/>
  <c r="I1259" i="5"/>
  <c r="I275" i="5"/>
  <c r="I3933" i="5"/>
  <c r="I3781" i="5"/>
  <c r="I3644" i="5"/>
  <c r="I3498" i="5"/>
  <c r="I3360" i="5"/>
  <c r="I3216" i="5"/>
  <c r="I3061" i="5"/>
  <c r="I2907" i="5"/>
  <c r="I2756" i="5"/>
  <c r="I2597" i="5"/>
  <c r="I2437" i="5"/>
  <c r="I2270" i="5"/>
  <c r="I2107" i="5"/>
  <c r="I1936" i="5"/>
  <c r="I1768" i="5"/>
  <c r="I1603" i="5"/>
  <c r="I1434" i="5"/>
  <c r="I1268" i="5"/>
  <c r="I1113" i="5"/>
  <c r="I944" i="5"/>
  <c r="I777" i="5"/>
  <c r="I610" i="5"/>
  <c r="I448" i="5"/>
  <c r="I286" i="5"/>
  <c r="I116" i="5"/>
  <c r="I3928" i="5"/>
  <c r="I3776" i="5"/>
  <c r="I3639" i="5"/>
  <c r="I3492" i="5"/>
  <c r="I3211" i="5"/>
  <c r="I3055" i="5"/>
  <c r="I2901" i="5"/>
  <c r="I2750" i="5"/>
  <c r="I2592" i="5"/>
  <c r="I2431" i="5"/>
  <c r="I2263" i="5"/>
  <c r="I2101" i="5"/>
  <c r="I1931" i="5"/>
  <c r="I1763" i="5"/>
  <c r="I1596" i="5"/>
  <c r="I1428" i="5"/>
  <c r="I1263" i="5"/>
  <c r="I1107" i="5"/>
  <c r="I938" i="5"/>
  <c r="I771" i="5"/>
  <c r="I603" i="5"/>
  <c r="I441" i="5"/>
  <c r="I280" i="5"/>
  <c r="I109" i="5"/>
  <c r="I1600" i="5"/>
  <c r="I1431" i="5"/>
  <c r="I1110" i="5"/>
  <c r="I774" i="5"/>
  <c r="I607" i="5"/>
  <c r="I445" i="5"/>
  <c r="I113" i="5"/>
  <c r="I2754" i="5"/>
  <c r="I2434" i="5"/>
  <c r="I2267" i="5"/>
  <c r="I2104" i="5"/>
  <c r="I1599" i="5"/>
  <c r="I941" i="5"/>
  <c r="I606" i="5"/>
  <c r="I444" i="5"/>
  <c r="I3497" i="5"/>
  <c r="I2269" i="5"/>
  <c r="I2106" i="5"/>
  <c r="I1935" i="5"/>
  <c r="I1767" i="5"/>
  <c r="I1602" i="5"/>
  <c r="I1433" i="5"/>
  <c r="I1112" i="5"/>
  <c r="I943" i="5"/>
  <c r="I776" i="5"/>
  <c r="I609" i="5"/>
  <c r="I447" i="5"/>
  <c r="I285" i="5"/>
  <c r="I115" i="5"/>
  <c r="I3925" i="5"/>
  <c r="I3636" i="5"/>
  <c r="I3489" i="5"/>
  <c r="I2428" i="5"/>
  <c r="I2260" i="5"/>
  <c r="I2098" i="5"/>
  <c r="I1759" i="5"/>
  <c r="I1593" i="5"/>
  <c r="I1424" i="5"/>
  <c r="I1104" i="5"/>
  <c r="I935" i="5"/>
  <c r="I599" i="5"/>
  <c r="I276" i="5"/>
  <c r="I106" i="5"/>
  <c r="I3355" i="5"/>
  <c r="I1760" i="5"/>
  <c r="I1425" i="5"/>
  <c r="I1260" i="5"/>
  <c r="I600" i="5"/>
  <c r="I438" i="5"/>
  <c r="I2745" i="5"/>
  <c r="I2094" i="5"/>
  <c r="I1925" i="5"/>
  <c r="I1755" i="5"/>
  <c r="I1590" i="5"/>
  <c r="I1420" i="5"/>
  <c r="I435" i="5"/>
  <c r="I102" i="5"/>
  <c r="I3922" i="5"/>
  <c r="I3772" i="5"/>
  <c r="I3633" i="5"/>
  <c r="I3487" i="5"/>
  <c r="I3353" i="5"/>
  <c r="I3206" i="5"/>
  <c r="I3051" i="5"/>
  <c r="I2898" i="5"/>
  <c r="I2746" i="5"/>
  <c r="I2588" i="5"/>
  <c r="I2426" i="5"/>
  <c r="I2257" i="5"/>
  <c r="I2095" i="5"/>
  <c r="I1926" i="5"/>
  <c r="I1756" i="5"/>
  <c r="I1591" i="5"/>
  <c r="I1421" i="5"/>
  <c r="I1257" i="5"/>
  <c r="I1102" i="5"/>
  <c r="I932" i="5"/>
  <c r="I766" i="5"/>
  <c r="I596" i="5"/>
  <c r="I436" i="5"/>
  <c r="I273" i="5"/>
  <c r="I103" i="5"/>
  <c r="I3937" i="5"/>
  <c r="I3787" i="5"/>
  <c r="I3650" i="5"/>
  <c r="I3504" i="5"/>
  <c r="I3366" i="5"/>
  <c r="I3220" i="5"/>
  <c r="I3066" i="5"/>
  <c r="I2912" i="5"/>
  <c r="I2763" i="5"/>
  <c r="I2604" i="5"/>
  <c r="I2442" i="5"/>
  <c r="I2276" i="5"/>
  <c r="I2112" i="5"/>
  <c r="I1942" i="5"/>
  <c r="I1776" i="5"/>
  <c r="I1610" i="5"/>
  <c r="I1442" i="5"/>
  <c r="I1275" i="5"/>
  <c r="I1119" i="5"/>
  <c r="I951" i="5"/>
  <c r="I782" i="5"/>
  <c r="I616" i="5"/>
  <c r="I453" i="5"/>
  <c r="I291" i="5"/>
  <c r="I122" i="5"/>
  <c r="I3782" i="5"/>
  <c r="I3645" i="5"/>
  <c r="I3361" i="5"/>
  <c r="I3062" i="5"/>
  <c r="I2757" i="5"/>
  <c r="I2598" i="5"/>
  <c r="I2438" i="5"/>
  <c r="I2271" i="5"/>
  <c r="I2108" i="5"/>
  <c r="I1937" i="5"/>
  <c r="I1769" i="5"/>
  <c r="I1435" i="5"/>
  <c r="I1269" i="5"/>
  <c r="I117" i="5"/>
  <c r="I3502" i="5"/>
  <c r="I2761" i="5"/>
  <c r="I2602" i="5"/>
  <c r="I1940" i="5"/>
  <c r="I1774" i="5"/>
  <c r="I1608" i="5"/>
  <c r="I1440" i="5"/>
  <c r="I1273" i="5"/>
  <c r="I1117" i="5"/>
  <c r="I949" i="5"/>
  <c r="I780" i="5"/>
  <c r="I614" i="5"/>
  <c r="I451" i="5"/>
  <c r="I289" i="5"/>
  <c r="I120" i="5"/>
  <c r="I3936" i="5"/>
  <c r="I3786" i="5"/>
  <c r="I3649" i="5"/>
  <c r="I3503" i="5"/>
  <c r="I3365" i="5"/>
  <c r="I3065" i="5"/>
  <c r="I2911" i="5"/>
  <c r="I2762" i="5"/>
  <c r="I2603" i="5"/>
  <c r="I2441" i="5"/>
  <c r="I2275" i="5"/>
  <c r="I2111" i="5"/>
  <c r="I1941" i="5"/>
  <c r="I1775" i="5"/>
  <c r="I1609" i="5"/>
  <c r="I1441" i="5"/>
  <c r="I1274" i="5"/>
  <c r="I1118" i="5"/>
  <c r="I950" i="5"/>
  <c r="I781" i="5"/>
  <c r="I615" i="5"/>
  <c r="I452" i="5"/>
  <c r="I290" i="5"/>
  <c r="I121" i="5"/>
  <c r="I2910" i="5"/>
  <c r="I2601" i="5"/>
  <c r="I1773" i="5"/>
  <c r="I1607" i="5"/>
  <c r="I1439" i="5"/>
  <c r="I1272" i="5"/>
  <c r="I948" i="5"/>
  <c r="I3934" i="5"/>
  <c r="I3784" i="5"/>
  <c r="I3647" i="5"/>
  <c r="I3500" i="5"/>
  <c r="I3363" i="5"/>
  <c r="I3218" i="5"/>
  <c r="I3063" i="5"/>
  <c r="I2908" i="5"/>
  <c r="I2759" i="5"/>
  <c r="I2599" i="5"/>
  <c r="I2439" i="5"/>
  <c r="I2273" i="5"/>
  <c r="I2109" i="5"/>
  <c r="I1938" i="5"/>
  <c r="I1771" i="5"/>
  <c r="I1605" i="5"/>
  <c r="I1437" i="5"/>
  <c r="I1271" i="5"/>
  <c r="I1115" i="5"/>
  <c r="I946" i="5"/>
  <c r="I778" i="5"/>
  <c r="I612" i="5"/>
  <c r="I449" i="5"/>
  <c r="I287" i="5"/>
  <c r="I118" i="5"/>
  <c r="I3939" i="5"/>
  <c r="I3789" i="5"/>
  <c r="I3651" i="5"/>
  <c r="I3505" i="5"/>
  <c r="I3367" i="5"/>
  <c r="I3221" i="5"/>
  <c r="I3068" i="5"/>
  <c r="I2913" i="5"/>
  <c r="I2764" i="5"/>
  <c r="I2606" i="5"/>
  <c r="I2443" i="5"/>
  <c r="I2277" i="5"/>
  <c r="I2114" i="5"/>
  <c r="I1944" i="5"/>
  <c r="I1777" i="5"/>
  <c r="I1611" i="5"/>
  <c r="I1444" i="5"/>
  <c r="I1276" i="5"/>
  <c r="I1120" i="5"/>
  <c r="I952" i="5"/>
  <c r="I783" i="5"/>
  <c r="I617" i="5"/>
  <c r="I455" i="5"/>
  <c r="I293" i="5"/>
  <c r="I124" i="5"/>
  <c r="I3783" i="5"/>
  <c r="I3646" i="5"/>
  <c r="I3499" i="5"/>
  <c r="I3362" i="5"/>
  <c r="I3217" i="5"/>
  <c r="I2758" i="5"/>
  <c r="I2272" i="5"/>
  <c r="I1770" i="5"/>
  <c r="I1604" i="5"/>
  <c r="I1436" i="5"/>
  <c r="I1270" i="5"/>
  <c r="I1114" i="5"/>
  <c r="I945" i="5"/>
  <c r="I611" i="5"/>
  <c r="I3785" i="5"/>
  <c r="I3648" i="5"/>
  <c r="I3501" i="5"/>
  <c r="I3364" i="5"/>
  <c r="I3064" i="5"/>
  <c r="I2909" i="5"/>
  <c r="I2760" i="5"/>
  <c r="I2600" i="5"/>
  <c r="I2440" i="5"/>
  <c r="I2274" i="5"/>
  <c r="I2110" i="5"/>
  <c r="I1939" i="5"/>
  <c r="I1772" i="5"/>
  <c r="I1606" i="5"/>
  <c r="I1116" i="5"/>
  <c r="I947" i="5"/>
  <c r="I779" i="5"/>
  <c r="I613" i="5"/>
  <c r="I450" i="5"/>
  <c r="I288" i="5"/>
  <c r="I119" i="5"/>
  <c r="I3940" i="5"/>
  <c r="I3790" i="5"/>
  <c r="I3652" i="5"/>
  <c r="I3506" i="5"/>
  <c r="I3368" i="5"/>
  <c r="I3222" i="5"/>
  <c r="I3069" i="5"/>
  <c r="I2914" i="5"/>
  <c r="I2765" i="5"/>
  <c r="I2607" i="5"/>
  <c r="I2444" i="5"/>
  <c r="I2278" i="5"/>
  <c r="I2115" i="5"/>
  <c r="I1945" i="5"/>
  <c r="I1778" i="5"/>
  <c r="I1612" i="5"/>
  <c r="I1445" i="5"/>
  <c r="I1277" i="5"/>
  <c r="I1121" i="5"/>
  <c r="I953" i="5"/>
  <c r="I784" i="5"/>
  <c r="I618" i="5"/>
  <c r="I456" i="5"/>
  <c r="I294" i="5"/>
  <c r="I125" i="5"/>
  <c r="I3941" i="5"/>
  <c r="I3791" i="5"/>
  <c r="I3653" i="5"/>
  <c r="I3507" i="5"/>
  <c r="I3369" i="5"/>
  <c r="I3223" i="5"/>
  <c r="I3070" i="5"/>
  <c r="I2915" i="5"/>
  <c r="I2766" i="5"/>
  <c r="I2608" i="5"/>
  <c r="I2445" i="5"/>
  <c r="I2279" i="5"/>
  <c r="I2116" i="5"/>
  <c r="I1946" i="5"/>
  <c r="I1779" i="5"/>
  <c r="I1613" i="5"/>
  <c r="I1446" i="5"/>
  <c r="I1278" i="5"/>
  <c r="I1122" i="5"/>
  <c r="I954" i="5"/>
  <c r="I785" i="5"/>
  <c r="I619" i="5"/>
  <c r="I457" i="5"/>
  <c r="I295" i="5"/>
  <c r="I3942" i="5"/>
  <c r="I3654" i="5"/>
  <c r="I3370" i="5"/>
  <c r="I3224" i="5"/>
  <c r="I2280" i="5"/>
  <c r="I2117" i="5"/>
  <c r="I1279" i="5"/>
  <c r="I620" i="5"/>
  <c r="I296" i="5"/>
  <c r="I3943" i="5"/>
  <c r="I3792" i="5"/>
  <c r="I3655" i="5"/>
  <c r="I3508" i="5"/>
  <c r="I3371" i="5"/>
  <c r="I3225" i="5"/>
  <c r="I3071" i="5"/>
  <c r="I2916" i="5"/>
  <c r="I2767" i="5"/>
  <c r="I2609" i="5"/>
  <c r="I2446" i="5"/>
  <c r="I2281" i="5"/>
  <c r="I2118" i="5"/>
  <c r="I1947" i="5"/>
  <c r="I1780" i="5"/>
  <c r="I1614" i="5"/>
  <c r="I1447" i="5"/>
  <c r="I1280" i="5"/>
  <c r="I1123" i="5"/>
  <c r="I955" i="5"/>
  <c r="I786" i="5"/>
  <c r="I621" i="5"/>
  <c r="I458" i="5"/>
  <c r="I297" i="5"/>
  <c r="I126" i="5"/>
  <c r="I3944" i="5"/>
  <c r="I3794" i="5"/>
  <c r="I3656" i="5"/>
  <c r="I3509" i="5"/>
  <c r="I3373" i="5"/>
  <c r="I3227" i="5"/>
  <c r="I3072" i="5"/>
  <c r="I2917" i="5"/>
  <c r="I2610" i="5"/>
  <c r="I2448" i="5"/>
  <c r="I2283" i="5"/>
  <c r="I2120" i="5"/>
  <c r="I1949" i="5"/>
  <c r="I1782" i="5"/>
  <c r="I1615" i="5"/>
  <c r="I1448" i="5"/>
  <c r="I1282" i="5"/>
  <c r="I1125" i="5"/>
  <c r="I958" i="5"/>
  <c r="I788" i="5"/>
  <c r="I624" i="5"/>
  <c r="I459" i="5"/>
  <c r="I299" i="5"/>
  <c r="I127" i="5"/>
  <c r="I3795" i="5"/>
  <c r="I3657" i="5"/>
  <c r="I3510" i="5"/>
  <c r="I3374" i="5"/>
  <c r="I3228" i="5"/>
  <c r="I3073" i="5"/>
  <c r="I2918" i="5"/>
  <c r="I2768" i="5"/>
  <c r="I2611" i="5"/>
  <c r="I2449" i="5"/>
  <c r="I2284" i="5"/>
  <c r="I2121" i="5"/>
  <c r="I1950" i="5"/>
  <c r="I1783" i="5"/>
  <c r="I1616" i="5"/>
  <c r="I1449" i="5"/>
  <c r="I1283" i="5"/>
  <c r="I1126" i="5"/>
  <c r="I959" i="5"/>
  <c r="I789" i="5"/>
  <c r="I625" i="5"/>
  <c r="I460" i="5"/>
  <c r="I300" i="5"/>
  <c r="I128" i="5"/>
  <c r="I787" i="5"/>
  <c r="I1781" i="5"/>
  <c r="I1281" i="5"/>
  <c r="I1124" i="5"/>
  <c r="I622" i="5"/>
  <c r="I298" i="5"/>
  <c r="I3945" i="5"/>
  <c r="I3796" i="5"/>
  <c r="I3658" i="5"/>
  <c r="I3511" i="5"/>
  <c r="I3375" i="5"/>
  <c r="I3229" i="5"/>
  <c r="I3074" i="5"/>
  <c r="I2919" i="5"/>
  <c r="I2769" i="5"/>
  <c r="I2612" i="5"/>
  <c r="I2450" i="5"/>
  <c r="I2285" i="5"/>
  <c r="I2122" i="5"/>
  <c r="I1951" i="5"/>
  <c r="I1784" i="5"/>
  <c r="I1617" i="5"/>
  <c r="I1450" i="5"/>
  <c r="I1284" i="5"/>
  <c r="I1127" i="5"/>
  <c r="I960" i="5"/>
  <c r="I790" i="5"/>
  <c r="I626" i="5"/>
  <c r="I461" i="5"/>
  <c r="I301" i="5"/>
  <c r="I129" i="5"/>
  <c r="I3948" i="5"/>
  <c r="I3660" i="5"/>
  <c r="I3514" i="5"/>
  <c r="I3077" i="5"/>
  <c r="I2922" i="5"/>
  <c r="I2772" i="5"/>
  <c r="I2615" i="5"/>
  <c r="I2453" i="5"/>
  <c r="I2288" i="5"/>
  <c r="I2125" i="5"/>
  <c r="I1954" i="5"/>
  <c r="I1787" i="5"/>
  <c r="I1620" i="5"/>
  <c r="I1453" i="5"/>
  <c r="I1287" i="5"/>
  <c r="I1130" i="5"/>
  <c r="I963" i="5"/>
  <c r="I793" i="5"/>
  <c r="I464" i="5"/>
  <c r="I304" i="5"/>
  <c r="I132" i="5"/>
  <c r="I3906" i="5"/>
  <c r="I3760" i="5"/>
  <c r="I3618" i="5"/>
  <c r="I3470" i="5"/>
  <c r="I3338" i="5"/>
  <c r="I3189" i="5"/>
  <c r="I3035" i="5"/>
  <c r="I2885" i="5"/>
  <c r="I2728" i="5"/>
  <c r="I2572" i="5"/>
  <c r="I2411" i="5"/>
  <c r="I3946" i="5"/>
  <c r="I3797" i="5"/>
  <c r="I3512" i="5"/>
  <c r="I3376" i="5"/>
  <c r="I3230" i="5"/>
  <c r="I3075" i="5"/>
  <c r="I2920" i="5"/>
  <c r="I2770" i="5"/>
  <c r="I2613" i="5"/>
  <c r="I2451" i="5"/>
  <c r="I2286" i="5"/>
  <c r="I2123" i="5"/>
  <c r="I1952" i="5"/>
  <c r="I1785" i="5"/>
  <c r="I1618" i="5"/>
  <c r="I1451" i="5"/>
  <c r="I1285" i="5"/>
  <c r="I1128" i="5"/>
  <c r="I961" i="5"/>
  <c r="I791" i="5"/>
  <c r="I627" i="5"/>
  <c r="I302" i="5"/>
  <c r="I130" i="5"/>
  <c r="I3793" i="5"/>
  <c r="I3372" i="5"/>
  <c r="I3226" i="5"/>
  <c r="I2447" i="5"/>
  <c r="I2282" i="5"/>
  <c r="I2119" i="5"/>
  <c r="I1948" i="5"/>
  <c r="I957" i="5"/>
  <c r="I623" i="5"/>
  <c r="I2960" i="5"/>
  <c r="I2654" i="5"/>
  <c r="I2493" i="5"/>
  <c r="I1494" i="5"/>
  <c r="I1000" i="5"/>
  <c r="I342" i="5"/>
  <c r="I3947" i="5"/>
  <c r="I3798" i="5"/>
  <c r="I3659" i="5"/>
  <c r="I3513" i="5"/>
  <c r="I3377" i="5"/>
  <c r="I3231" i="5"/>
  <c r="I3076" i="5"/>
  <c r="I2921" i="5"/>
  <c r="I2771" i="5"/>
  <c r="I2614" i="5"/>
  <c r="I2452" i="5"/>
  <c r="I2287" i="5"/>
  <c r="I2124" i="5"/>
  <c r="I1953" i="5"/>
  <c r="I1786" i="5"/>
  <c r="I1619" i="5"/>
  <c r="I1452" i="5"/>
  <c r="I1286" i="5"/>
  <c r="I1129" i="5"/>
  <c r="I962" i="5"/>
  <c r="I792" i="5"/>
  <c r="I628" i="5"/>
  <c r="I463" i="5"/>
  <c r="I303" i="5"/>
  <c r="I131" i="5"/>
  <c r="I3949" i="5"/>
  <c r="I2923" i="5"/>
  <c r="I2616" i="5"/>
  <c r="I2454" i="5"/>
  <c r="I2289" i="5"/>
  <c r="I2126" i="5"/>
  <c r="I1955" i="5"/>
  <c r="I1788" i="5"/>
  <c r="I1621" i="5"/>
  <c r="I1454" i="5"/>
  <c r="I1288" i="5"/>
  <c r="I1131" i="5"/>
  <c r="I964" i="5"/>
  <c r="I794" i="5"/>
  <c r="I629" i="5"/>
  <c r="I465" i="5"/>
  <c r="I305" i="5"/>
  <c r="I133" i="5"/>
  <c r="I3950" i="5"/>
  <c r="I3799" i="5"/>
  <c r="I3661" i="5"/>
  <c r="I3515" i="5"/>
  <c r="I3378" i="5"/>
  <c r="I3232" i="5"/>
  <c r="I3079" i="5"/>
  <c r="I2924" i="5"/>
  <c r="I2773" i="5"/>
  <c r="I2617" i="5"/>
  <c r="I2455" i="5"/>
  <c r="I2290" i="5"/>
  <c r="I2127" i="5"/>
  <c r="I1956" i="5"/>
  <c r="I1789" i="5"/>
  <c r="I1622" i="5"/>
  <c r="I1455" i="5"/>
  <c r="I1289" i="5"/>
  <c r="I1132" i="5"/>
  <c r="I965" i="5"/>
  <c r="I795" i="5"/>
  <c r="I630" i="5"/>
  <c r="I466" i="5"/>
  <c r="I306" i="5"/>
  <c r="I134" i="5"/>
  <c r="I3951" i="5"/>
  <c r="I3800" i="5"/>
  <c r="I2925" i="5"/>
  <c r="I2618" i="5"/>
  <c r="I2456" i="5"/>
  <c r="I2291" i="5"/>
  <c r="I2128" i="5"/>
  <c r="I1957" i="5"/>
  <c r="I1790" i="5"/>
  <c r="I1623" i="5"/>
  <c r="I1456" i="5"/>
  <c r="I1290" i="5"/>
  <c r="I1133" i="5"/>
  <c r="I966" i="5"/>
  <c r="I796" i="5"/>
  <c r="I631" i="5"/>
  <c r="I467" i="5"/>
  <c r="I307" i="5"/>
  <c r="I135" i="5"/>
  <c r="I3952" i="5"/>
  <c r="I3081" i="5"/>
  <c r="I2926" i="5"/>
  <c r="I2775" i="5"/>
  <c r="I2619" i="5"/>
  <c r="I2129" i="5"/>
  <c r="I1958" i="5"/>
  <c r="I1791" i="5"/>
  <c r="I1624" i="5"/>
  <c r="I1291" i="5"/>
  <c r="I1134" i="5"/>
  <c r="I967" i="5"/>
  <c r="I632" i="5"/>
  <c r="I468" i="5"/>
  <c r="I308" i="5"/>
  <c r="I3959" i="5"/>
  <c r="I3807" i="5"/>
  <c r="I3668" i="5"/>
  <c r="I3521" i="5"/>
  <c r="I3385" i="5"/>
  <c r="I3241" i="5"/>
  <c r="I3090" i="5"/>
  <c r="I2934" i="5"/>
  <c r="I2782" i="5"/>
  <c r="I2627" i="5"/>
  <c r="I2464" i="5"/>
  <c r="I2301" i="5"/>
  <c r="I2137" i="5"/>
  <c r="I1967" i="5"/>
  <c r="I1800" i="5"/>
  <c r="I1633" i="5"/>
  <c r="I1467" i="5"/>
  <c r="I1300" i="5"/>
  <c r="I1142" i="5"/>
  <c r="I977" i="5"/>
  <c r="I804" i="5"/>
  <c r="I643" i="5"/>
  <c r="I476" i="5"/>
  <c r="I318" i="5"/>
  <c r="I144" i="5"/>
  <c r="I3953" i="5"/>
  <c r="I3801" i="5"/>
  <c r="I3663" i="5"/>
  <c r="I3517" i="5"/>
  <c r="I3380" i="5"/>
  <c r="I3234" i="5"/>
  <c r="I3082" i="5"/>
  <c r="I2927" i="5"/>
  <c r="I2776" i="5"/>
  <c r="I2620" i="5"/>
  <c r="I2457" i="5"/>
  <c r="I2292" i="5"/>
  <c r="I2130" i="5"/>
  <c r="I1959" i="5"/>
  <c r="I1792" i="5"/>
  <c r="I1625" i="5"/>
  <c r="I1457" i="5"/>
  <c r="I1292" i="5"/>
  <c r="I1135" i="5"/>
  <c r="I969" i="5"/>
  <c r="I797" i="5"/>
  <c r="I633" i="5"/>
  <c r="I469" i="5"/>
  <c r="I309" i="5"/>
  <c r="I136" i="5"/>
  <c r="I3814" i="5"/>
  <c r="I3672" i="5"/>
  <c r="I3525" i="5"/>
  <c r="I3389" i="5"/>
  <c r="I3245" i="5"/>
  <c r="I3097" i="5"/>
  <c r="I2942" i="5"/>
  <c r="I2790" i="5"/>
  <c r="I2635" i="5"/>
  <c r="I2472" i="5"/>
  <c r="I2309" i="5"/>
  <c r="I2144" i="5"/>
  <c r="I1975" i="5"/>
  <c r="I1808" i="5"/>
  <c r="I1640" i="5"/>
  <c r="I1474" i="5"/>
  <c r="I1304" i="5"/>
  <c r="I1146" i="5"/>
  <c r="I981" i="5"/>
  <c r="I484" i="5"/>
  <c r="I325" i="5"/>
  <c r="I148" i="5"/>
  <c r="I3235" i="5"/>
  <c r="I3083" i="5"/>
  <c r="I2928" i="5"/>
  <c r="I2777" i="5"/>
  <c r="I2621" i="5"/>
  <c r="I2458" i="5"/>
  <c r="I2293" i="5"/>
  <c r="I1793" i="5"/>
  <c r="I1626" i="5"/>
  <c r="I1458" i="5"/>
  <c r="I1293" i="5"/>
  <c r="I1136" i="5"/>
  <c r="I970" i="5"/>
  <c r="I798" i="5"/>
  <c r="I634" i="5"/>
  <c r="I470" i="5"/>
  <c r="I310" i="5"/>
  <c r="I137" i="5"/>
  <c r="I3955" i="5"/>
  <c r="I3803" i="5"/>
  <c r="I3664" i="5"/>
  <c r="I3518" i="5"/>
  <c r="I3381" i="5"/>
  <c r="I3237" i="5"/>
  <c r="I3086" i="5"/>
  <c r="I2930" i="5"/>
  <c r="I2779" i="5"/>
  <c r="I2623" i="5"/>
  <c r="I2460" i="5"/>
  <c r="I2297" i="5"/>
  <c r="I2133" i="5"/>
  <c r="I1963" i="5"/>
  <c r="I1796" i="5"/>
  <c r="I1629" i="5"/>
  <c r="I1462" i="5"/>
  <c r="I1295" i="5"/>
  <c r="I1139" i="5"/>
  <c r="I972" i="5"/>
  <c r="I800" i="5"/>
  <c r="I637" i="5"/>
  <c r="I472" i="5"/>
  <c r="I312" i="5"/>
  <c r="I139" i="5"/>
  <c r="I974" i="5"/>
  <c r="I640" i="5"/>
  <c r="I3085" i="5"/>
  <c r="I2296" i="5"/>
  <c r="I2132" i="5"/>
  <c r="I1962" i="5"/>
  <c r="I1628" i="5"/>
  <c r="I1461" i="5"/>
  <c r="I3586" i="5"/>
  <c r="I3442" i="5"/>
  <c r="I2695" i="5"/>
  <c r="I2540" i="5"/>
  <c r="I2375" i="5"/>
  <c r="I2206" i="5"/>
  <c r="I2042" i="5"/>
  <c r="I1872" i="5"/>
  <c r="I1703" i="5"/>
  <c r="I1207" i="5"/>
  <c r="I1044" i="5"/>
  <c r="I873" i="5"/>
  <c r="I712" i="5"/>
  <c r="I544" i="5"/>
  <c r="I388" i="5"/>
  <c r="I214" i="5"/>
  <c r="I43" i="5"/>
  <c r="I1965" i="5"/>
  <c r="I1631" i="5"/>
  <c r="I1465" i="5"/>
  <c r="I1298" i="5"/>
  <c r="I975" i="5"/>
  <c r="I802" i="5"/>
  <c r="I641" i="5"/>
  <c r="I316" i="5"/>
  <c r="I142" i="5"/>
  <c r="I3954" i="5"/>
  <c r="I3802" i="5"/>
  <c r="I2459" i="5"/>
  <c r="I2131" i="5"/>
  <c r="I1459" i="5"/>
  <c r="I1294" i="5"/>
  <c r="I1137" i="5"/>
  <c r="I971" i="5"/>
  <c r="I799" i="5"/>
  <c r="I635" i="5"/>
  <c r="I471" i="5"/>
  <c r="I311" i="5"/>
  <c r="I138" i="5"/>
  <c r="I3964" i="5"/>
  <c r="I3812" i="5"/>
  <c r="I3095" i="5"/>
  <c r="I2940" i="5"/>
  <c r="I2788" i="5"/>
  <c r="I2633" i="5"/>
  <c r="I2470" i="5"/>
  <c r="I2307" i="5"/>
  <c r="I2142" i="5"/>
  <c r="I1973" i="5"/>
  <c r="I1806" i="5"/>
  <c r="I1638" i="5"/>
  <c r="I1472" i="5"/>
  <c r="I482" i="5"/>
  <c r="I323" i="5"/>
  <c r="I2936" i="5"/>
  <c r="I2784" i="5"/>
  <c r="I2629" i="5"/>
  <c r="I2466" i="5"/>
  <c r="I2303" i="5"/>
  <c r="I2139" i="5"/>
  <c r="I1969" i="5"/>
  <c r="I1802" i="5"/>
  <c r="I1635" i="5"/>
  <c r="I1469" i="5"/>
  <c r="I645" i="5"/>
  <c r="I478" i="5"/>
  <c r="I3963" i="5"/>
  <c r="I3811" i="5"/>
  <c r="I3094" i="5"/>
  <c r="I2939" i="5"/>
  <c r="I2787" i="5"/>
  <c r="I2632" i="5"/>
  <c r="I2469" i="5"/>
  <c r="I2306" i="5"/>
  <c r="I2141" i="5"/>
  <c r="I1972" i="5"/>
  <c r="I1805" i="5"/>
  <c r="I1637" i="5"/>
  <c r="I1471" i="5"/>
  <c r="I481" i="5"/>
  <c r="I322" i="5"/>
  <c r="I2299" i="5"/>
  <c r="I2135" i="5"/>
  <c r="I1297" i="5"/>
  <c r="I315" i="5"/>
  <c r="I3966" i="5"/>
  <c r="I2145" i="5"/>
  <c r="I1976" i="5"/>
  <c r="I1641" i="5"/>
  <c r="I149" i="5"/>
  <c r="I3956" i="5"/>
  <c r="I3665" i="5"/>
  <c r="I3382" i="5"/>
  <c r="I3238" i="5"/>
  <c r="I2931" i="5"/>
  <c r="I2780" i="5"/>
  <c r="I2624" i="5"/>
  <c r="I2461" i="5"/>
  <c r="I2134" i="5"/>
  <c r="I1964" i="5"/>
  <c r="I1296" i="5"/>
  <c r="I1140" i="5"/>
  <c r="I973" i="5"/>
  <c r="I801" i="5"/>
  <c r="I638" i="5"/>
  <c r="I473" i="5"/>
  <c r="I313" i="5"/>
  <c r="I140" i="5"/>
  <c r="I3957" i="5"/>
  <c r="I3805" i="5"/>
  <c r="I3666" i="5"/>
  <c r="I3519" i="5"/>
  <c r="I3383" i="5"/>
  <c r="I3239" i="5"/>
  <c r="I3088" i="5"/>
  <c r="I2932" i="5"/>
  <c r="I2625" i="5"/>
  <c r="I2462" i="5"/>
  <c r="I2298" i="5"/>
  <c r="I1798" i="5"/>
  <c r="I639" i="5"/>
  <c r="I314" i="5"/>
  <c r="I141" i="5"/>
  <c r="I3967" i="5"/>
  <c r="I3815" i="5"/>
  <c r="I3673" i="5"/>
  <c r="I3526" i="5"/>
  <c r="I3390" i="5"/>
  <c r="I3246" i="5"/>
  <c r="I3098" i="5"/>
  <c r="I2943" i="5"/>
  <c r="I2791" i="5"/>
  <c r="I2636" i="5"/>
  <c r="I2310" i="5"/>
  <c r="I2146" i="5"/>
  <c r="I1977" i="5"/>
  <c r="I1809" i="5"/>
  <c r="I1642" i="5"/>
  <c r="I1475" i="5"/>
  <c r="I1305" i="5"/>
  <c r="I1147" i="5"/>
  <c r="I982" i="5"/>
  <c r="I807" i="5"/>
  <c r="I648" i="5"/>
  <c r="I485" i="5"/>
  <c r="I326" i="5"/>
  <c r="I150" i="5"/>
  <c r="I3875" i="5"/>
  <c r="I3732" i="5"/>
  <c r="I714" i="5"/>
  <c r="I3236" i="5"/>
  <c r="I2295" i="5"/>
  <c r="I1961" i="5"/>
  <c r="I1795" i="5"/>
  <c r="I1460" i="5"/>
  <c r="I1138" i="5"/>
  <c r="I636" i="5"/>
  <c r="I3969" i="5"/>
  <c r="I3817" i="5"/>
  <c r="I3675" i="5"/>
  <c r="I3528" i="5"/>
  <c r="I3392" i="5"/>
  <c r="I3248" i="5"/>
  <c r="I3100" i="5"/>
  <c r="I2945" i="5"/>
  <c r="I2793" i="5"/>
  <c r="I2638" i="5"/>
  <c r="I2475" i="5"/>
  <c r="I2312" i="5"/>
  <c r="I2148" i="5"/>
  <c r="I1979" i="5"/>
  <c r="I1811" i="5"/>
  <c r="I1644" i="5"/>
  <c r="I1477" i="5"/>
  <c r="I1307" i="5"/>
  <c r="I1149" i="5"/>
  <c r="I984" i="5"/>
  <c r="I809" i="5"/>
  <c r="I650" i="5"/>
  <c r="I3714" i="5"/>
  <c r="I2989" i="5"/>
  <c r="I2835" i="5"/>
  <c r="I2679" i="5"/>
  <c r="I2523" i="5"/>
  <c r="I2358" i="5"/>
  <c r="I2190" i="5"/>
  <c r="I2024" i="5"/>
  <c r="I1857" i="5"/>
  <c r="I1687" i="5"/>
  <c r="I1522" i="5"/>
  <c r="I1353" i="5"/>
  <c r="I1191" i="5"/>
  <c r="I1027" i="5"/>
  <c r="I855" i="5"/>
  <c r="I695" i="5"/>
  <c r="I528" i="5"/>
  <c r="I372" i="5"/>
  <c r="I196" i="5"/>
  <c r="I25" i="5"/>
  <c r="I3870" i="5"/>
  <c r="I3727" i="5"/>
  <c r="I3583" i="5"/>
  <c r="I3440" i="5"/>
  <c r="I3303" i="5"/>
  <c r="I3155" i="5"/>
  <c r="I3001" i="5"/>
  <c r="I2847" i="5"/>
  <c r="I2692" i="5"/>
  <c r="I2537" i="5"/>
  <c r="I2372" i="5"/>
  <c r="I2203" i="5"/>
  <c r="I2039" i="5"/>
  <c r="I1869" i="5"/>
  <c r="I1700" i="5"/>
  <c r="I1537" i="5"/>
  <c r="I1367" i="5"/>
  <c r="I1204" i="5"/>
  <c r="I1041" i="5"/>
  <c r="I870" i="5"/>
  <c r="I709" i="5"/>
  <c r="I541" i="5"/>
  <c r="I385" i="5"/>
  <c r="I211" i="5"/>
  <c r="I40" i="5"/>
  <c r="I3880" i="5"/>
  <c r="I3736" i="5"/>
  <c r="I2856" i="5"/>
  <c r="I2546" i="5"/>
  <c r="I2382" i="5"/>
  <c r="I2213" i="5"/>
  <c r="I2049" i="5"/>
  <c r="I1879" i="5"/>
  <c r="I1710" i="5"/>
  <c r="I1545" i="5"/>
  <c r="I1375" i="5"/>
  <c r="I1213" i="5"/>
  <c r="I1051" i="5"/>
  <c r="I879" i="5"/>
  <c r="I719" i="5"/>
  <c r="I551" i="5"/>
  <c r="I394" i="5"/>
  <c r="I220" i="5"/>
  <c r="I50" i="5"/>
  <c r="I2478" i="5"/>
  <c r="I1814" i="5"/>
  <c r="I987" i="5"/>
  <c r="I812" i="5"/>
  <c r="I653" i="5"/>
  <c r="I489" i="5"/>
  <c r="I330" i="5"/>
  <c r="I154" i="5"/>
  <c r="I3971" i="5"/>
  <c r="I3818" i="5"/>
  <c r="I3677" i="5"/>
  <c r="I3530" i="5"/>
  <c r="I3393" i="5"/>
  <c r="I3250" i="5"/>
  <c r="I3103" i="5"/>
  <c r="I2948" i="5"/>
  <c r="I2794" i="5"/>
  <c r="I2641" i="5"/>
  <c r="I2476" i="5"/>
  <c r="I2314" i="5"/>
  <c r="I2150" i="5"/>
  <c r="I1982" i="5"/>
  <c r="I1813" i="5"/>
  <c r="I1646" i="5"/>
  <c r="I1480" i="5"/>
  <c r="I1310" i="5"/>
  <c r="I1152" i="5"/>
  <c r="I986" i="5"/>
  <c r="I811" i="5"/>
  <c r="I652" i="5"/>
  <c r="I488" i="5"/>
  <c r="I329" i="5"/>
  <c r="I153" i="5"/>
  <c r="I3101" i="5"/>
  <c r="I2946" i="5"/>
  <c r="I2639" i="5"/>
  <c r="I1980" i="5"/>
  <c r="I1478" i="5"/>
  <c r="I1308" i="5"/>
  <c r="I1150" i="5"/>
  <c r="I985" i="5"/>
  <c r="I487" i="5"/>
  <c r="I328" i="5"/>
  <c r="I152" i="5"/>
  <c r="I3533" i="5"/>
  <c r="I3395" i="5"/>
  <c r="I2797" i="5"/>
  <c r="I2643" i="5"/>
  <c r="I2482" i="5"/>
  <c r="I2319" i="5"/>
  <c r="I2153" i="5"/>
  <c r="I1985" i="5"/>
  <c r="I1817" i="5"/>
  <c r="I1650" i="5"/>
  <c r="I1484" i="5"/>
  <c r="I1313" i="5"/>
  <c r="I657" i="5"/>
  <c r="I3913" i="5"/>
  <c r="I3766" i="5"/>
  <c r="I3624" i="5"/>
  <c r="I3478" i="5"/>
  <c r="I3345" i="5"/>
  <c r="I3197" i="5"/>
  <c r="I3042" i="5"/>
  <c r="I2736" i="5"/>
  <c r="I2579" i="5"/>
  <c r="I2417" i="5"/>
  <c r="I2250" i="5"/>
  <c r="I2086" i="5"/>
  <c r="I1916" i="5"/>
  <c r="I1747" i="5"/>
  <c r="I1582" i="5"/>
  <c r="I1411" i="5"/>
  <c r="I1249" i="5"/>
  <c r="I1092" i="5"/>
  <c r="I755" i="5"/>
  <c r="I589" i="5"/>
  <c r="I262" i="5"/>
  <c r="I92" i="5"/>
  <c r="I2477" i="5"/>
  <c r="I2315" i="5"/>
  <c r="I3929" i="5"/>
  <c r="I3777" i="5"/>
  <c r="I3640" i="5"/>
  <c r="I3493" i="5"/>
  <c r="I3212" i="5"/>
  <c r="I3056" i="5"/>
  <c r="I2902" i="5"/>
  <c r="I2751" i="5"/>
  <c r="I2593" i="5"/>
  <c r="I2432" i="5"/>
  <c r="I2264" i="5"/>
  <c r="I2102" i="5"/>
  <c r="I1932" i="5"/>
  <c r="I1764" i="5"/>
  <c r="I1597" i="5"/>
  <c r="I1429" i="5"/>
  <c r="I1264" i="5"/>
  <c r="I1108" i="5"/>
  <c r="I939" i="5"/>
  <c r="I772" i="5"/>
  <c r="I604" i="5"/>
  <c r="I442" i="5"/>
  <c r="I281" i="5"/>
  <c r="I110" i="5"/>
  <c r="I988" i="5"/>
  <c r="I813" i="5"/>
  <c r="I3960" i="5"/>
  <c r="I3808" i="5"/>
  <c r="I3669" i="5"/>
  <c r="I3522" i="5"/>
  <c r="I3386" i="5"/>
  <c r="I3242" i="5"/>
  <c r="I3091" i="5"/>
  <c r="I2935" i="5"/>
  <c r="I2783" i="5"/>
  <c r="I2628" i="5"/>
  <c r="I2465" i="5"/>
  <c r="I2302" i="5"/>
  <c r="I2138" i="5"/>
  <c r="I1968" i="5"/>
  <c r="I1801" i="5"/>
  <c r="I1634" i="5"/>
  <c r="I1468" i="5"/>
  <c r="I1301" i="5"/>
  <c r="I1143" i="5"/>
  <c r="I978" i="5"/>
  <c r="I805" i="5"/>
  <c r="I644" i="5"/>
  <c r="I477" i="5"/>
  <c r="I319" i="5"/>
  <c r="I145" i="5"/>
  <c r="I3965" i="5"/>
  <c r="I3813" i="5"/>
  <c r="I3096" i="5"/>
  <c r="I2941" i="5"/>
  <c r="I2789" i="5"/>
  <c r="I2634" i="5"/>
  <c r="I2471" i="5"/>
  <c r="I2308" i="5"/>
  <c r="I2143" i="5"/>
  <c r="I1974" i="5"/>
  <c r="I1807" i="5"/>
  <c r="I1639" i="5"/>
  <c r="I1473" i="5"/>
  <c r="I483" i="5"/>
  <c r="I324" i="5"/>
  <c r="I3972" i="5"/>
  <c r="I3819" i="5"/>
  <c r="I3678" i="5"/>
  <c r="I2949" i="5"/>
  <c r="I2479" i="5"/>
  <c r="I2316" i="5"/>
  <c r="I2151" i="5"/>
  <c r="I1647" i="5"/>
  <c r="I1481" i="5"/>
  <c r="I654" i="5"/>
  <c r="I3679" i="5"/>
  <c r="I3531" i="5"/>
  <c r="I3251" i="5"/>
  <c r="I3104" i="5"/>
  <c r="I2795" i="5"/>
  <c r="I2480" i="5"/>
  <c r="I2317" i="5"/>
  <c r="I1983" i="5"/>
  <c r="I1815" i="5"/>
  <c r="I1648" i="5"/>
  <c r="I1482" i="5"/>
  <c r="I1311" i="5"/>
  <c r="I1153" i="5"/>
  <c r="I989" i="5"/>
  <c r="I814" i="5"/>
  <c r="I655" i="5"/>
  <c r="I490" i="5"/>
  <c r="I331" i="5"/>
  <c r="I155" i="5"/>
  <c r="I3973" i="5"/>
  <c r="I3820" i="5"/>
  <c r="I3680" i="5"/>
  <c r="I3532" i="5"/>
  <c r="I3394" i="5"/>
  <c r="I3252" i="5"/>
  <c r="I3105" i="5"/>
  <c r="I2950" i="5"/>
  <c r="I2796" i="5"/>
  <c r="I2642" i="5"/>
  <c r="I2481" i="5"/>
  <c r="I2318" i="5"/>
  <c r="I2152" i="5"/>
  <c r="I1984" i="5"/>
  <c r="I1816" i="5"/>
  <c r="I1649" i="5"/>
  <c r="I1483" i="5"/>
  <c r="I1312" i="5"/>
  <c r="I1154" i="5"/>
  <c r="I990" i="5"/>
  <c r="I815" i="5"/>
  <c r="I656" i="5"/>
  <c r="I491" i="5"/>
  <c r="I332" i="5"/>
  <c r="I156" i="5"/>
  <c r="I991" i="5"/>
  <c r="I3970" i="5"/>
  <c r="I3676" i="5"/>
  <c r="I3529" i="5"/>
  <c r="I3249" i="5"/>
  <c r="I3102" i="5"/>
  <c r="I2947" i="5"/>
  <c r="I2640" i="5"/>
  <c r="I2313" i="5"/>
  <c r="I2149" i="5"/>
  <c r="I1981" i="5"/>
  <c r="I1812" i="5"/>
  <c r="I1645" i="5"/>
  <c r="I1479" i="5"/>
  <c r="I1309" i="5"/>
  <c r="I1151" i="5"/>
  <c r="I810" i="5"/>
  <c r="I651" i="5"/>
  <c r="I3974" i="5"/>
  <c r="I3681" i="5"/>
  <c r="I3396" i="5"/>
  <c r="I3253" i="5"/>
  <c r="I3106" i="5"/>
  <c r="I2951" i="5"/>
  <c r="I2798" i="5"/>
  <c r="I2644" i="5"/>
  <c r="I2483" i="5"/>
  <c r="I2320" i="5"/>
  <c r="I2154" i="5"/>
  <c r="I1986" i="5"/>
  <c r="I1818" i="5"/>
  <c r="I1651" i="5"/>
  <c r="I1485" i="5"/>
  <c r="I1314" i="5"/>
  <c r="I1155" i="5"/>
  <c r="I992" i="5"/>
  <c r="I816" i="5"/>
  <c r="I658" i="5"/>
  <c r="I492" i="5"/>
  <c r="I333" i="5"/>
  <c r="I1819" i="5"/>
  <c r="I1652" i="5"/>
  <c r="I1486" i="5"/>
  <c r="I1315" i="5"/>
  <c r="I1156" i="5"/>
  <c r="I993" i="5"/>
  <c r="I817" i="5"/>
  <c r="I659" i="5"/>
  <c r="I493" i="5"/>
  <c r="I334" i="5"/>
  <c r="I157" i="5"/>
  <c r="I3979" i="5"/>
  <c r="I3825" i="5"/>
  <c r="I3686" i="5"/>
  <c r="I3538" i="5"/>
  <c r="I3401" i="5"/>
  <c r="I3258" i="5"/>
  <c r="I3111" i="5"/>
  <c r="I2956" i="5"/>
  <c r="I2803" i="5"/>
  <c r="I2649" i="5"/>
  <c r="I2488" i="5"/>
  <c r="I2325" i="5"/>
  <c r="I2159" i="5"/>
  <c r="I1991" i="5"/>
  <c r="I1823" i="5"/>
  <c r="I1656" i="5"/>
  <c r="I1490" i="5"/>
  <c r="I1319" i="5"/>
  <c r="I1160" i="5"/>
  <c r="I997" i="5"/>
  <c r="I821" i="5"/>
  <c r="I663" i="5"/>
  <c r="I497" i="5"/>
  <c r="I338" i="5"/>
  <c r="I161" i="5"/>
  <c r="I3980" i="5"/>
  <c r="I3687" i="5"/>
  <c r="I3259" i="5"/>
  <c r="I3112" i="5"/>
  <c r="I2957" i="5"/>
  <c r="I2804" i="5"/>
  <c r="I2650" i="5"/>
  <c r="I2489" i="5"/>
  <c r="I1992" i="5"/>
  <c r="I1824" i="5"/>
  <c r="I1657" i="5"/>
  <c r="I1161" i="5"/>
  <c r="I822" i="5"/>
  <c r="I664" i="5"/>
  <c r="I498" i="5"/>
  <c r="I162" i="5"/>
  <c r="I3978" i="5"/>
  <c r="I3824" i="5"/>
  <c r="I3685" i="5"/>
  <c r="I3537" i="5"/>
  <c r="I3400" i="5"/>
  <c r="I3257" i="5"/>
  <c r="I3110" i="5"/>
  <c r="I2955" i="5"/>
  <c r="I2802" i="5"/>
  <c r="I2648" i="5"/>
  <c r="I2487" i="5"/>
  <c r="I2324" i="5"/>
  <c r="I2158" i="5"/>
  <c r="I1990" i="5"/>
  <c r="I1822" i="5"/>
  <c r="I1655" i="5"/>
  <c r="I1489" i="5"/>
  <c r="I1318" i="5"/>
  <c r="I1159" i="5"/>
  <c r="I996" i="5"/>
  <c r="I820" i="5"/>
  <c r="I662" i="5"/>
  <c r="I496" i="5"/>
  <c r="I337" i="5"/>
  <c r="I160" i="5"/>
  <c r="I3826" i="5"/>
  <c r="I3688" i="5"/>
  <c r="I2490" i="5"/>
  <c r="I1825" i="5"/>
  <c r="I1658" i="5"/>
  <c r="I1491" i="5"/>
  <c r="I1320" i="5"/>
  <c r="I1162" i="5"/>
  <c r="I998" i="5"/>
  <c r="I823" i="5"/>
  <c r="I665" i="5"/>
  <c r="I499" i="5"/>
  <c r="I339" i="5"/>
  <c r="I163" i="5"/>
  <c r="I3981" i="5"/>
  <c r="I3827" i="5"/>
  <c r="I3689" i="5"/>
  <c r="I3540" i="5"/>
  <c r="I3403" i="5"/>
  <c r="I3261" i="5"/>
  <c r="I3113" i="5"/>
  <c r="I2958" i="5"/>
  <c r="I2805" i="5"/>
  <c r="I2652" i="5"/>
  <c r="I2491" i="5"/>
  <c r="I2327" i="5"/>
  <c r="I2160" i="5"/>
  <c r="I1993" i="5"/>
  <c r="I1826" i="5"/>
  <c r="I1659" i="5"/>
  <c r="I1492" i="5"/>
  <c r="I1163" i="5"/>
  <c r="I824" i="5"/>
  <c r="I340" i="5"/>
  <c r="I3982" i="5"/>
  <c r="I3828" i="5"/>
  <c r="I3690" i="5"/>
  <c r="I3541" i="5"/>
  <c r="I3404" i="5"/>
  <c r="I3262" i="5"/>
  <c r="I3114" i="5"/>
  <c r="I2959" i="5"/>
  <c r="I2806" i="5"/>
  <c r="I2653" i="5"/>
  <c r="I2492" i="5"/>
  <c r="I2328" i="5"/>
  <c r="I2161" i="5"/>
  <c r="I1994" i="5"/>
  <c r="I1827" i="5"/>
  <c r="I1660" i="5"/>
  <c r="I1493" i="5"/>
  <c r="I1321" i="5"/>
  <c r="I1164" i="5"/>
  <c r="I999" i="5"/>
  <c r="I825" i="5"/>
  <c r="I667" i="5"/>
  <c r="I500" i="5"/>
  <c r="I341" i="5"/>
  <c r="I164" i="5"/>
  <c r="I666" i="5"/>
  <c r="I3983" i="5"/>
  <c r="I3829" i="5"/>
  <c r="I3691" i="5"/>
  <c r="I3542" i="5"/>
  <c r="I3405" i="5"/>
  <c r="I3263" i="5"/>
  <c r="I3115" i="5"/>
  <c r="I2961" i="5"/>
  <c r="I2807" i="5"/>
  <c r="I2655" i="5"/>
  <c r="I2494" i="5"/>
  <c r="I2329" i="5"/>
  <c r="I2162" i="5"/>
  <c r="I1995" i="5"/>
  <c r="I1828" i="5"/>
  <c r="I1661" i="5"/>
  <c r="I1495" i="5"/>
  <c r="I1322" i="5"/>
  <c r="I1165" i="5"/>
  <c r="I1001" i="5"/>
  <c r="I826" i="5"/>
  <c r="I668" i="5"/>
  <c r="I501" i="5"/>
  <c r="I343" i="5"/>
  <c r="I165" i="5"/>
  <c r="I968" i="5"/>
  <c r="I1742" i="5"/>
  <c r="I1085" i="5"/>
  <c r="I749" i="5"/>
  <c r="I582" i="5"/>
  <c r="I424" i="5"/>
  <c r="I255" i="5"/>
  <c r="I3984" i="5"/>
  <c r="I3830" i="5"/>
  <c r="I3692" i="5"/>
  <c r="I3543" i="5"/>
  <c r="I3406" i="5"/>
  <c r="I3264" i="5"/>
  <c r="I3116" i="5"/>
  <c r="I2962" i="5"/>
  <c r="I2808" i="5"/>
  <c r="I2656" i="5"/>
  <c r="I2495" i="5"/>
  <c r="I2330" i="5"/>
  <c r="I2163" i="5"/>
  <c r="I1996" i="5"/>
  <c r="I1829" i="5"/>
  <c r="I1662" i="5"/>
  <c r="I1496" i="5"/>
  <c r="I1323" i="5"/>
  <c r="I1166" i="5"/>
  <c r="I502" i="5"/>
  <c r="I3958" i="5"/>
  <c r="I3806" i="5"/>
  <c r="I3240" i="5"/>
  <c r="I3089" i="5"/>
  <c r="I2933" i="5"/>
  <c r="I2781" i="5"/>
  <c r="I2626" i="5"/>
  <c r="I2463" i="5"/>
  <c r="I2300" i="5"/>
  <c r="I2136" i="5"/>
  <c r="I1966" i="5"/>
  <c r="I1799" i="5"/>
  <c r="I1632" i="5"/>
  <c r="I475" i="5"/>
  <c r="I317" i="5"/>
  <c r="I3985" i="5"/>
  <c r="I3693" i="5"/>
  <c r="I3265" i="5"/>
  <c r="I3117" i="5"/>
  <c r="I2963" i="5"/>
  <c r="I2809" i="5"/>
  <c r="I2331" i="5"/>
  <c r="I2164" i="5"/>
  <c r="I1663" i="5"/>
  <c r="I1497" i="5"/>
  <c r="I1324" i="5"/>
  <c r="I1002" i="5"/>
  <c r="I827" i="5"/>
  <c r="I669" i="5"/>
  <c r="I503" i="5"/>
  <c r="I344" i="5"/>
  <c r="I166" i="5"/>
  <c r="I3986" i="5"/>
  <c r="I3831" i="5"/>
  <c r="I3544" i="5"/>
  <c r="I3407" i="5"/>
  <c r="I3266" i="5"/>
  <c r="I3118" i="5"/>
  <c r="I345" i="5"/>
  <c r="I3546" i="5"/>
  <c r="I2168" i="5"/>
  <c r="I2971" i="5"/>
  <c r="I3850" i="5"/>
  <c r="I3709" i="5"/>
  <c r="I3564" i="5"/>
  <c r="I1852" i="5"/>
  <c r="I1683" i="5"/>
  <c r="I1347" i="5"/>
  <c r="I1186" i="5"/>
  <c r="I1020" i="5"/>
  <c r="I189" i="5"/>
  <c r="I21" i="5"/>
  <c r="I3560" i="5"/>
  <c r="I2347" i="5"/>
  <c r="I2182" i="5"/>
  <c r="I1848" i="5"/>
  <c r="I362" i="5"/>
  <c r="I185" i="5"/>
  <c r="I3844" i="5"/>
  <c r="I3704" i="5"/>
  <c r="I3557" i="5"/>
  <c r="I3418" i="5"/>
  <c r="I3278" i="5"/>
  <c r="I2825" i="5"/>
  <c r="I2670" i="5"/>
  <c r="I2343" i="5"/>
  <c r="I1346" i="5"/>
  <c r="I1978" i="5"/>
  <c r="I1306" i="5"/>
  <c r="I1148" i="5"/>
  <c r="I983" i="5"/>
  <c r="I808" i="5"/>
  <c r="I649" i="5"/>
  <c r="I151" i="5"/>
  <c r="I2685" i="5"/>
  <c r="I2529" i="5"/>
  <c r="I1694" i="5"/>
  <c r="I1530" i="5"/>
  <c r="I1198" i="5"/>
  <c r="I1200" i="5"/>
  <c r="I3735" i="5"/>
  <c r="I3592" i="5"/>
  <c r="I3448" i="5"/>
  <c r="I2855" i="5"/>
  <c r="I2700" i="5"/>
  <c r="I3005" i="5"/>
  <c r="I3883" i="5"/>
  <c r="I3597" i="5"/>
  <c r="I1381" i="5"/>
  <c r="I3861" i="5"/>
  <c r="I3603" i="5"/>
  <c r="I2565" i="5"/>
  <c r="I2237" i="5"/>
  <c r="I2073" i="5"/>
  <c r="I1902" i="5"/>
  <c r="I572" i="5"/>
  <c r="I76" i="5"/>
  <c r="I571" i="5"/>
  <c r="I414" i="5"/>
  <c r="I2888" i="5"/>
  <c r="I2731" i="5"/>
  <c r="I87" i="5"/>
  <c r="I3852" i="5"/>
  <c r="I918" i="5"/>
  <c r="I3627" i="5"/>
  <c r="I3628" i="5"/>
  <c r="I3481" i="5"/>
  <c r="I3348" i="5"/>
  <c r="I2897" i="5"/>
  <c r="I3931" i="5"/>
  <c r="I3779" i="5"/>
  <c r="I3642" i="5"/>
  <c r="I3495" i="5"/>
  <c r="I3214" i="5"/>
  <c r="I3058" i="5"/>
  <c r="I2904" i="5"/>
  <c r="I2753" i="5"/>
  <c r="I2595" i="5"/>
  <c r="I2266" i="5"/>
  <c r="I936" i="5"/>
  <c r="I3059" i="5"/>
  <c r="I2905" i="5"/>
  <c r="I2435" i="5"/>
  <c r="I1266" i="5"/>
  <c r="I3921" i="5"/>
  <c r="I3935" i="5"/>
  <c r="I3219" i="5"/>
  <c r="I1438" i="5"/>
  <c r="I956" i="5"/>
  <c r="I1740" i="5"/>
  <c r="I253" i="5"/>
  <c r="I84" i="5"/>
  <c r="I462" i="5"/>
  <c r="I3078" i="5"/>
  <c r="I3662" i="5"/>
  <c r="I3516" i="5"/>
  <c r="I3379" i="5"/>
  <c r="I3233" i="5"/>
  <c r="I3080" i="5"/>
  <c r="I2774" i="5"/>
  <c r="I3084" i="5"/>
  <c r="I2929" i="5"/>
  <c r="I2778" i="5"/>
  <c r="I2622" i="5"/>
  <c r="I2294" i="5"/>
  <c r="I1960" i="5"/>
  <c r="I1794" i="5"/>
  <c r="I1627" i="5"/>
  <c r="I3804" i="5"/>
  <c r="I3087" i="5"/>
  <c r="I1797" i="5"/>
  <c r="I1630" i="5"/>
  <c r="I1463" i="5"/>
  <c r="I1464" i="5"/>
  <c r="I474" i="5"/>
  <c r="I2473" i="5"/>
  <c r="I3593" i="5"/>
  <c r="I3449" i="5"/>
  <c r="I3312" i="5"/>
  <c r="I3164" i="5"/>
  <c r="I3010" i="5"/>
  <c r="I2701" i="5"/>
  <c r="I919" i="5"/>
  <c r="I3975" i="5"/>
  <c r="I3821" i="5"/>
  <c r="I3682" i="5"/>
  <c r="I3534" i="5"/>
  <c r="I3397" i="5"/>
  <c r="I3254" i="5"/>
  <c r="I3107" i="5"/>
  <c r="I2952" i="5"/>
  <c r="I2799" i="5"/>
  <c r="I2645" i="5"/>
  <c r="I2484" i="5"/>
  <c r="I2321" i="5"/>
  <c r="I2155" i="5"/>
  <c r="I1987" i="5"/>
  <c r="I3539" i="5"/>
  <c r="I3402" i="5"/>
  <c r="I3260" i="5"/>
  <c r="I2651" i="5"/>
  <c r="I2326" i="5"/>
  <c r="I3667" i="5"/>
  <c r="I3520" i="5"/>
  <c r="I3384" i="5"/>
  <c r="I1466" i="5"/>
  <c r="I1299" i="5"/>
  <c r="I1141" i="5"/>
  <c r="I976" i="5"/>
  <c r="I803" i="5"/>
  <c r="I642" i="5"/>
  <c r="I143" i="5"/>
  <c r="H3832" i="5"/>
  <c r="H3549" i="5"/>
  <c r="H3694" i="5"/>
  <c r="H3120" i="5"/>
  <c r="H173" i="5"/>
  <c r="H2965" i="5"/>
  <c r="H3398" i="5"/>
  <c r="H2811" i="5"/>
  <c r="H3255" i="5"/>
  <c r="H2658" i="5"/>
  <c r="H3108" i="5"/>
  <c r="H2497" i="5"/>
  <c r="H2953" i="5"/>
  <c r="H2166" i="5"/>
  <c r="H2646" i="5"/>
  <c r="H1998" i="5"/>
  <c r="H2485" i="5"/>
  <c r="H1831" i="5"/>
  <c r="H2322" i="5"/>
  <c r="H1665" i="5"/>
  <c r="H2156" i="5"/>
  <c r="H1499" i="5"/>
  <c r="H1988" i="5"/>
  <c r="H346" i="5"/>
  <c r="H1820" i="5"/>
  <c r="H167" i="5"/>
  <c r="H1653" i="5"/>
  <c r="H3545" i="5"/>
  <c r="H1487" i="5"/>
  <c r="H3119" i="5"/>
  <c r="H1316" i="5"/>
  <c r="H2964" i="5"/>
  <c r="H1157" i="5"/>
  <c r="H2810" i="5"/>
  <c r="H994" i="5"/>
  <c r="H2657" i="5"/>
  <c r="H818" i="5"/>
  <c r="H2496" i="5"/>
  <c r="H660" i="5"/>
  <c r="H2332" i="5"/>
  <c r="H494" i="5"/>
  <c r="H2165" i="5"/>
  <c r="H335" i="5"/>
  <c r="H1997" i="5"/>
  <c r="H158" i="5"/>
  <c r="H1830" i="5"/>
  <c r="H3837" i="5"/>
  <c r="H1664" i="5"/>
  <c r="H3551" i="5"/>
  <c r="H1498" i="5"/>
  <c r="H2970" i="5"/>
  <c r="H1325" i="5"/>
  <c r="H2171" i="5"/>
  <c r="H1167" i="5"/>
  <c r="H1003" i="5"/>
  <c r="H3700" i="5"/>
  <c r="H828" i="5"/>
  <c r="H3552" i="5"/>
  <c r="H670" i="5"/>
  <c r="H3414" i="5"/>
  <c r="H504" i="5"/>
  <c r="H3273" i="5"/>
  <c r="H3833" i="5"/>
  <c r="H3126" i="5"/>
  <c r="H3695" i="5"/>
  <c r="H2972" i="5"/>
  <c r="H3547" i="5"/>
  <c r="H2819" i="5"/>
  <c r="H3408" i="5"/>
  <c r="H2664" i="5"/>
  <c r="H3267" i="5"/>
  <c r="H2504" i="5"/>
  <c r="H2966" i="5"/>
  <c r="H2338" i="5"/>
  <c r="H2812" i="5"/>
  <c r="H2173" i="5"/>
  <c r="H2659" i="5"/>
  <c r="H2004" i="5"/>
  <c r="H2498" i="5"/>
  <c r="H1839" i="5"/>
  <c r="H2333" i="5"/>
  <c r="H1672" i="5"/>
  <c r="H2167" i="5"/>
  <c r="H1506" i="5"/>
  <c r="H1999" i="5"/>
  <c r="H1332" i="5"/>
  <c r="H1832" i="5"/>
  <c r="H1175" i="5"/>
  <c r="H1666" i="5"/>
  <c r="H1010" i="5"/>
  <c r="H1500" i="5"/>
  <c r="H836" i="5"/>
  <c r="H1326" i="5"/>
  <c r="H677" i="5"/>
  <c r="H1168" i="5"/>
  <c r="H511" i="5"/>
  <c r="H1004" i="5"/>
  <c r="H354" i="5"/>
  <c r="H829" i="5"/>
  <c r="H176" i="5"/>
  <c r="H671" i="5"/>
  <c r="H9" i="5"/>
  <c r="H505" i="5"/>
  <c r="H3839" i="5"/>
  <c r="H347" i="5"/>
  <c r="H3701" i="5"/>
  <c r="H168" i="5"/>
  <c r="H3553" i="5"/>
  <c r="H2" i="5"/>
  <c r="H3415" i="5"/>
  <c r="H3835" i="5"/>
  <c r="H3274" i="5"/>
  <c r="H3697" i="5"/>
  <c r="H3127" i="5"/>
  <c r="H2973" i="5"/>
  <c r="H3411" i="5"/>
  <c r="H2820" i="5"/>
  <c r="H3269" i="5"/>
  <c r="H2665" i="5"/>
  <c r="H3123" i="5"/>
  <c r="H2505" i="5"/>
  <c r="H2968" i="5"/>
  <c r="H2339" i="5"/>
  <c r="H2815" i="5"/>
  <c r="H2174" i="5"/>
  <c r="H2661" i="5"/>
  <c r="H2005" i="5"/>
  <c r="H2500" i="5"/>
  <c r="H1840" i="5"/>
  <c r="H1835" i="5"/>
  <c r="H1673" i="5"/>
  <c r="H1669" i="5"/>
  <c r="H1507" i="5"/>
  <c r="H1503" i="5"/>
  <c r="H1333" i="5"/>
  <c r="H1328" i="5"/>
  <c r="H1176" i="5"/>
  <c r="H1171" i="5"/>
  <c r="H1011" i="5"/>
  <c r="H1007" i="5"/>
  <c r="H837" i="5"/>
  <c r="H832" i="5"/>
  <c r="H678" i="5"/>
  <c r="H674" i="5"/>
  <c r="H512" i="5"/>
  <c r="H349" i="5"/>
  <c r="H355" i="5"/>
  <c r="H171" i="5"/>
  <c r="H177" i="5"/>
  <c r="H5" i="5"/>
  <c r="H10" i="5"/>
  <c r="H3409" i="5"/>
  <c r="H178" i="5"/>
  <c r="H3121" i="5"/>
  <c r="H3845" i="5"/>
  <c r="H2813" i="5"/>
  <c r="H3705" i="5"/>
  <c r="H2000" i="5"/>
  <c r="H3558" i="5"/>
  <c r="H1833" i="5"/>
  <c r="H3419" i="5"/>
  <c r="H1667" i="5"/>
  <c r="H3279" i="5"/>
  <c r="H1501" i="5"/>
  <c r="H3133" i="5"/>
  <c r="H1169" i="5"/>
  <c r="H2978" i="5"/>
  <c r="H1005" i="5"/>
  <c r="H2826" i="5"/>
  <c r="H830" i="5"/>
  <c r="H2671" i="5"/>
  <c r="H672" i="5"/>
  <c r="H2510" i="5"/>
  <c r="H506" i="5"/>
  <c r="H2344" i="5"/>
  <c r="H169" i="5"/>
  <c r="H2179" i="5"/>
  <c r="H3" i="5"/>
  <c r="H2010" i="5"/>
  <c r="H3836" i="5"/>
  <c r="H1845" i="5"/>
  <c r="H3698" i="5"/>
  <c r="H1679" i="5"/>
  <c r="H3550" i="5"/>
  <c r="H1513" i="5"/>
  <c r="H3412" i="5"/>
  <c r="H1339" i="5"/>
  <c r="H3270" i="5"/>
  <c r="H1182" i="5"/>
  <c r="H3124" i="5"/>
  <c r="H1016" i="5"/>
  <c r="H2969" i="5"/>
  <c r="H842" i="5"/>
  <c r="H2816" i="5"/>
  <c r="H683" i="5"/>
  <c r="H2662" i="5"/>
  <c r="H516" i="5"/>
  <c r="H2501" i="5"/>
  <c r="H360" i="5"/>
  <c r="H2335" i="5"/>
  <c r="H182" i="5"/>
  <c r="H2170" i="5"/>
  <c r="H15" i="5"/>
  <c r="H2002" i="5"/>
  <c r="H1836" i="5"/>
  <c r="H1670" i="5"/>
  <c r="H1504" i="5"/>
  <c r="H3424" i="5"/>
  <c r="H1329" i="5"/>
  <c r="H3285" i="5"/>
  <c r="H1172" i="5"/>
  <c r="H3137" i="5"/>
  <c r="H1008" i="5"/>
  <c r="H2982" i="5"/>
  <c r="H833" i="5"/>
  <c r="H2830" i="5"/>
  <c r="H675" i="5"/>
  <c r="H2674" i="5"/>
  <c r="H508" i="5"/>
  <c r="H2516" i="5"/>
  <c r="H351" i="5"/>
  <c r="H2351" i="5"/>
  <c r="H2185" i="5"/>
  <c r="H6" i="5"/>
  <c r="H2016" i="5"/>
  <c r="H3976" i="5"/>
  <c r="H3822" i="5"/>
  <c r="H3683" i="5"/>
  <c r="H1517" i="5"/>
  <c r="H3535" i="5"/>
  <c r="H847" i="5"/>
  <c r="H689" i="5"/>
  <c r="H2800" i="5"/>
  <c r="H521" i="5"/>
  <c r="H365" i="5"/>
  <c r="H3702" i="5"/>
  <c r="H1509" i="5"/>
  <c r="H3132" i="5"/>
  <c r="H3699" i="5"/>
  <c r="H2977" i="5"/>
  <c r="H3413" i="5"/>
  <c r="H3271" i="5"/>
  <c r="H2509" i="5"/>
  <c r="H3125" i="5"/>
  <c r="H2178" i="5"/>
  <c r="H2817" i="5"/>
  <c r="H2009" i="5"/>
  <c r="H2663" i="5"/>
  <c r="H1844" i="5"/>
  <c r="H2502" i="5"/>
  <c r="H1678" i="5"/>
  <c r="H2336" i="5"/>
  <c r="H1512" i="5"/>
  <c r="H1338" i="5"/>
  <c r="H2003" i="5"/>
  <c r="H1181" i="5"/>
  <c r="H1837" i="5"/>
  <c r="H1015" i="5"/>
  <c r="H1671" i="5"/>
  <c r="H841" i="5"/>
  <c r="H1505" i="5"/>
  <c r="H682" i="5"/>
  <c r="H1330" i="5"/>
  <c r="H515" i="5"/>
  <c r="H1173" i="5"/>
  <c r="H359" i="5"/>
  <c r="H1009" i="5"/>
  <c r="H181" i="5"/>
  <c r="H834" i="5"/>
  <c r="H14" i="5"/>
  <c r="H676" i="5"/>
  <c r="H3562" i="5"/>
  <c r="H509" i="5"/>
  <c r="H3283" i="5"/>
  <c r="H352" i="5"/>
  <c r="H3135" i="5"/>
  <c r="H174" i="5"/>
  <c r="H2980" i="5"/>
  <c r="H7" i="5"/>
  <c r="H2829" i="5"/>
  <c r="H3272" i="5"/>
  <c r="H2673" i="5"/>
  <c r="H2818" i="5"/>
  <c r="H2514" i="5"/>
  <c r="H2503" i="5"/>
  <c r="H2349" i="5"/>
  <c r="H2337" i="5"/>
  <c r="H2183" i="5"/>
  <c r="H2172" i="5"/>
  <c r="H2014" i="5"/>
  <c r="H1838" i="5"/>
  <c r="H1850" i="5"/>
  <c r="H1331" i="5"/>
  <c r="H1681" i="5"/>
  <c r="H1174" i="5"/>
  <c r="H1515" i="5"/>
  <c r="H835" i="5"/>
  <c r="H1345" i="5"/>
  <c r="H510" i="5"/>
  <c r="H1185" i="5"/>
  <c r="H353" i="5"/>
  <c r="H1019" i="5"/>
  <c r="H175" i="5"/>
  <c r="H846" i="5"/>
  <c r="H8" i="5"/>
  <c r="H688" i="5"/>
  <c r="H350" i="5"/>
  <c r="H520" i="5"/>
  <c r="H172" i="5"/>
  <c r="H364" i="5"/>
  <c r="H3838" i="5"/>
  <c r="H187" i="5"/>
  <c r="H19" i="5"/>
  <c r="H2184" i="5"/>
  <c r="H3853" i="5"/>
  <c r="H3712" i="5"/>
  <c r="H3567" i="5"/>
  <c r="H3425" i="5"/>
  <c r="H3286" i="5"/>
  <c r="H3140" i="5"/>
  <c r="H2986" i="5"/>
  <c r="H2833" i="5"/>
  <c r="H2676" i="5"/>
  <c r="H2521" i="5"/>
  <c r="H2356" i="5"/>
  <c r="H2187" i="5"/>
  <c r="H2022" i="5"/>
  <c r="H1855" i="5"/>
  <c r="H1685" i="5"/>
  <c r="H1521" i="5"/>
  <c r="H1351" i="5"/>
  <c r="H1189" i="5"/>
  <c r="H1024" i="5"/>
  <c r="H853" i="5"/>
  <c r="H692" i="5"/>
  <c r="H525" i="5"/>
  <c r="H369" i="5"/>
  <c r="H193" i="5"/>
  <c r="H23" i="5"/>
  <c r="H3854" i="5"/>
  <c r="H3568" i="5"/>
  <c r="H3141" i="5"/>
  <c r="H2988" i="5"/>
  <c r="H2834" i="5"/>
  <c r="H1856" i="5"/>
  <c r="H371" i="5"/>
  <c r="H195" i="5"/>
  <c r="H24" i="5"/>
  <c r="H3968" i="5"/>
  <c r="H3816" i="5"/>
  <c r="H3674" i="5"/>
  <c r="H3527" i="5"/>
  <c r="H3391" i="5"/>
  <c r="H3247" i="5"/>
  <c r="H3099" i="5"/>
  <c r="H2944" i="5"/>
  <c r="H2792" i="5"/>
  <c r="H2637" i="5"/>
  <c r="H2474" i="5"/>
  <c r="H2311" i="5"/>
  <c r="H3840" i="5"/>
  <c r="H2147" i="5"/>
  <c r="H3554" i="5"/>
  <c r="H3275" i="5"/>
  <c r="H1810" i="5"/>
  <c r="H3128" i="5"/>
  <c r="H1643" i="5"/>
  <c r="H2974" i="5"/>
  <c r="H1476" i="5"/>
  <c r="H2821" i="5"/>
  <c r="H2666" i="5"/>
  <c r="H2506" i="5"/>
  <c r="H2340" i="5"/>
  <c r="H2175" i="5"/>
  <c r="H2006" i="5"/>
  <c r="H486" i="5"/>
  <c r="H1841" i="5"/>
  <c r="H327" i="5"/>
  <c r="H1674" i="5"/>
  <c r="H1508" i="5"/>
  <c r="H3855" i="5"/>
  <c r="H1334" i="5"/>
  <c r="H3569" i="5"/>
  <c r="H1177" i="5"/>
  <c r="H2680" i="5"/>
  <c r="H1012" i="5"/>
  <c r="H1688" i="5"/>
  <c r="H838" i="5"/>
  <c r="H1028" i="5"/>
  <c r="H679" i="5"/>
  <c r="H373" i="5"/>
  <c r="H356" i="5"/>
  <c r="H3856" i="5"/>
  <c r="H3716" i="5"/>
  <c r="H11" i="5"/>
  <c r="H3570" i="5"/>
  <c r="H3710" i="5"/>
  <c r="H3428" i="5"/>
  <c r="H3565" i="5"/>
  <c r="H3289" i="5"/>
  <c r="H2518" i="5"/>
  <c r="H3143" i="5"/>
  <c r="H2353" i="5"/>
  <c r="H2991" i="5"/>
  <c r="H2018" i="5"/>
  <c r="H2837" i="5"/>
  <c r="H1519" i="5"/>
  <c r="H2681" i="5"/>
  <c r="H1349" i="5"/>
  <c r="H2525" i="5"/>
  <c r="H849" i="5"/>
  <c r="H2360" i="5"/>
  <c r="H2192" i="5"/>
  <c r="H2026" i="5"/>
  <c r="H1859" i="5"/>
  <c r="H1689" i="5"/>
  <c r="H1524" i="5"/>
  <c r="H1355" i="5"/>
  <c r="H1193" i="5"/>
  <c r="H1029" i="5"/>
  <c r="H857" i="5"/>
  <c r="H697" i="5"/>
  <c r="H530" i="5"/>
  <c r="H374" i="5"/>
  <c r="H198" i="5"/>
  <c r="H27" i="5"/>
  <c r="H3571" i="5"/>
  <c r="H2027" i="5"/>
  <c r="H1194" i="5"/>
  <c r="H858" i="5"/>
  <c r="H698" i="5"/>
  <c r="H203" i="5"/>
  <c r="H3863" i="5"/>
  <c r="H3721" i="5"/>
  <c r="H3576" i="5"/>
  <c r="H3559" i="5"/>
  <c r="H3434" i="5"/>
  <c r="H2827" i="5"/>
  <c r="H3296" i="5"/>
  <c r="H2511" i="5"/>
  <c r="H3148" i="5"/>
  <c r="H2345" i="5"/>
  <c r="H2996" i="5"/>
  <c r="H2180" i="5"/>
  <c r="H2842" i="5"/>
  <c r="H2011" i="5"/>
  <c r="H2687" i="5"/>
  <c r="H1846" i="5"/>
  <c r="H2531" i="5"/>
  <c r="H1341" i="5"/>
  <c r="H2366" i="5"/>
  <c r="H684" i="5"/>
  <c r="H2197" i="5"/>
  <c r="H361" i="5"/>
  <c r="H2033" i="5"/>
  <c r="H184" i="5"/>
  <c r="H1863" i="5"/>
  <c r="H16" i="5"/>
  <c r="H3138" i="5"/>
  <c r="H2983" i="5"/>
  <c r="H1360" i="5"/>
  <c r="H2831" i="5"/>
  <c r="H2517" i="5"/>
  <c r="H1036" i="5"/>
  <c r="H2352" i="5"/>
  <c r="H864" i="5"/>
  <c r="H2186" i="5"/>
  <c r="H702" i="5"/>
  <c r="H2017" i="5"/>
  <c r="H535" i="5"/>
  <c r="H1518" i="5"/>
  <c r="H378" i="5"/>
  <c r="H1348" i="5"/>
  <c r="H204" i="5"/>
  <c r="H1187" i="5"/>
  <c r="H34" i="5"/>
  <c r="H1021" i="5"/>
  <c r="H3886" i="5"/>
  <c r="H848" i="5"/>
  <c r="H3741" i="5"/>
  <c r="H690" i="5"/>
  <c r="H3598" i="5"/>
  <c r="H522" i="5"/>
  <c r="H3454" i="5"/>
  <c r="H366" i="5"/>
  <c r="H3319" i="5"/>
  <c r="H190" i="5"/>
  <c r="H3169" i="5"/>
  <c r="H22" i="5"/>
  <c r="H3016" i="5"/>
  <c r="H3843" i="5"/>
  <c r="H2862" i="5"/>
  <c r="H3703" i="5"/>
  <c r="H2706" i="5"/>
  <c r="H3556" i="5"/>
  <c r="H2553" i="5"/>
  <c r="H3417" i="5"/>
  <c r="H2388" i="5"/>
  <c r="H3277" i="5"/>
  <c r="H2219" i="5"/>
  <c r="H3131" i="5"/>
  <c r="H2056" i="5"/>
  <c r="H2976" i="5"/>
  <c r="H1886" i="5"/>
  <c r="H2823" i="5"/>
  <c r="H1716" i="5"/>
  <c r="H2668" i="5"/>
  <c r="H1551" i="5"/>
  <c r="H2342" i="5"/>
  <c r="H1382" i="5"/>
  <c r="H2177" i="5"/>
  <c r="H1220" i="5"/>
  <c r="H2008" i="5"/>
  <c r="H1057" i="5"/>
  <c r="H1843" i="5"/>
  <c r="H886" i="5"/>
  <c r="H1677" i="5"/>
  <c r="H725" i="5"/>
  <c r="H1511" i="5"/>
  <c r="H557" i="5"/>
  <c r="H1337" i="5"/>
  <c r="H401" i="5"/>
  <c r="H1180" i="5"/>
  <c r="H228" i="5"/>
  <c r="H1014" i="5"/>
  <c r="H58" i="5"/>
  <c r="H840" i="5"/>
  <c r="H3864" i="5"/>
  <c r="H681" i="5"/>
  <c r="H3577" i="5"/>
  <c r="H514" i="5"/>
  <c r="H3435" i="5"/>
  <c r="H358" i="5"/>
  <c r="H2997" i="5"/>
  <c r="H180" i="5"/>
  <c r="H2843" i="5"/>
  <c r="H13" i="5"/>
  <c r="H2688" i="5"/>
  <c r="H2532" i="5"/>
  <c r="H2367" i="5"/>
  <c r="H2198" i="5"/>
  <c r="H2034" i="5"/>
  <c r="H1864" i="5"/>
  <c r="H1695" i="5"/>
  <c r="H1531" i="5"/>
  <c r="H1361" i="5"/>
  <c r="H1199" i="5"/>
  <c r="H1037" i="5"/>
  <c r="H865" i="5"/>
  <c r="H536" i="5"/>
  <c r="H379" i="5"/>
  <c r="H205" i="5"/>
  <c r="H35" i="5"/>
  <c r="H3842" i="5"/>
  <c r="H381" i="5"/>
  <c r="H3555" i="5"/>
  <c r="H3439" i="5"/>
  <c r="H3416" i="5"/>
  <c r="H3302" i="5"/>
  <c r="H3276" i="5"/>
  <c r="H3154" i="5"/>
  <c r="H3130" i="5"/>
  <c r="H3000" i="5"/>
  <c r="H2975" i="5"/>
  <c r="H2846" i="5"/>
  <c r="H2822" i="5"/>
  <c r="H2691" i="5"/>
  <c r="H2667" i="5"/>
  <c r="H2536" i="5"/>
  <c r="H2341" i="5"/>
  <c r="H2371" i="5"/>
  <c r="H2176" i="5"/>
  <c r="H2202" i="5"/>
  <c r="H2007" i="5"/>
  <c r="H2038" i="5"/>
  <c r="H1842" i="5"/>
  <c r="H1868" i="5"/>
  <c r="H1676" i="5"/>
  <c r="H1699" i="5"/>
  <c r="H1510" i="5"/>
  <c r="H1536" i="5"/>
  <c r="H1336" i="5"/>
  <c r="H1366" i="5"/>
  <c r="H1179" i="5"/>
  <c r="H1203" i="5"/>
  <c r="H1013" i="5"/>
  <c r="H1040" i="5"/>
  <c r="H839" i="5"/>
  <c r="H869" i="5"/>
  <c r="H680" i="5"/>
  <c r="H708" i="5"/>
  <c r="H513" i="5"/>
  <c r="H540" i="5"/>
  <c r="H357" i="5"/>
  <c r="H384" i="5"/>
  <c r="H179" i="5"/>
  <c r="H210" i="5"/>
  <c r="H12" i="5"/>
  <c r="H39" i="5"/>
  <c r="H3841" i="5"/>
  <c r="H1365" i="5"/>
  <c r="H3129" i="5"/>
  <c r="H1202" i="5"/>
  <c r="H2507" i="5"/>
  <c r="H539" i="5"/>
  <c r="H1675" i="5"/>
  <c r="H209" i="5"/>
  <c r="H3879" i="5"/>
  <c r="H1335" i="5"/>
  <c r="H1178" i="5"/>
  <c r="H1184" i="5"/>
  <c r="H844" i="5"/>
  <c r="H3311" i="5"/>
  <c r="H686" i="5"/>
  <c r="H3163" i="5"/>
  <c r="H518" i="5"/>
  <c r="H3009" i="5"/>
  <c r="H2545" i="5"/>
  <c r="H2381" i="5"/>
  <c r="H2212" i="5"/>
  <c r="H2048" i="5"/>
  <c r="H1878" i="5"/>
  <c r="H1709" i="5"/>
  <c r="H1544" i="5"/>
  <c r="H1374" i="5"/>
  <c r="H1212" i="5"/>
  <c r="H1050" i="5"/>
  <c r="H878" i="5"/>
  <c r="H718" i="5"/>
  <c r="H550" i="5"/>
  <c r="H219" i="5"/>
  <c r="H3878" i="5"/>
  <c r="H3846" i="5"/>
  <c r="H3734" i="5"/>
  <c r="H1340" i="5"/>
  <c r="H3591" i="5"/>
  <c r="H183" i="5"/>
  <c r="H3447" i="5"/>
  <c r="H3847" i="5"/>
  <c r="H3310" i="5"/>
  <c r="H3420" i="5"/>
  <c r="H3162" i="5"/>
  <c r="H3281" i="5"/>
  <c r="H3008" i="5"/>
  <c r="H3134" i="5"/>
  <c r="H2854" i="5"/>
  <c r="H2979" i="5"/>
  <c r="H2699" i="5"/>
  <c r="H2828" i="5"/>
  <c r="H2544" i="5"/>
  <c r="H2672" i="5"/>
  <c r="H2380" i="5"/>
  <c r="H2512" i="5"/>
  <c r="H2211" i="5"/>
  <c r="H2346" i="5"/>
  <c r="H2047" i="5"/>
  <c r="H2181" i="5"/>
  <c r="H1877" i="5"/>
  <c r="H2012" i="5"/>
  <c r="H1708" i="5"/>
  <c r="H1847" i="5"/>
  <c r="H1543" i="5"/>
  <c r="H1680" i="5"/>
  <c r="H1373" i="5"/>
  <c r="H1343" i="5"/>
  <c r="H1211" i="5"/>
  <c r="H1183" i="5"/>
  <c r="H1049" i="5"/>
  <c r="H1017" i="5"/>
  <c r="H877" i="5"/>
  <c r="H843" i="5"/>
  <c r="H717" i="5"/>
  <c r="H685" i="5"/>
  <c r="H549" i="5"/>
  <c r="H17" i="5"/>
  <c r="H392" i="5"/>
  <c r="H3849" i="5"/>
  <c r="H218" i="5"/>
  <c r="H3707" i="5"/>
  <c r="H48" i="5"/>
  <c r="H1701" i="5"/>
  <c r="H3422" i="5"/>
  <c r="H1042" i="5"/>
  <c r="H1702" i="5"/>
  <c r="H1539" i="5"/>
  <c r="H872" i="5"/>
  <c r="H543" i="5"/>
  <c r="H387" i="5"/>
  <c r="H213" i="5"/>
  <c r="H42" i="5"/>
  <c r="H3877" i="5"/>
  <c r="H3733" i="5"/>
  <c r="H3590" i="5"/>
  <c r="H3446" i="5"/>
  <c r="H3309" i="5"/>
  <c r="H3161" i="5"/>
  <c r="H3007" i="5"/>
  <c r="H2853" i="5"/>
  <c r="H2698" i="5"/>
  <c r="H2543" i="5"/>
  <c r="H2379" i="5"/>
  <c r="H2210" i="5"/>
  <c r="H2046" i="5"/>
  <c r="H1876" i="5"/>
  <c r="H2824" i="5"/>
  <c r="H1707" i="5"/>
  <c r="H2669" i="5"/>
  <c r="H1542" i="5"/>
  <c r="H2508" i="5"/>
  <c r="H1372" i="5"/>
  <c r="H3708" i="5"/>
  <c r="H1210" i="5"/>
  <c r="H3563" i="5"/>
  <c r="H1048" i="5"/>
  <c r="H3423" i="5"/>
  <c r="H876" i="5"/>
  <c r="H3284" i="5"/>
  <c r="H716" i="5"/>
  <c r="H3136" i="5"/>
  <c r="H548" i="5"/>
  <c r="H2981" i="5"/>
  <c r="H391" i="5"/>
  <c r="H2515" i="5"/>
  <c r="H217" i="5"/>
  <c r="H2350" i="5"/>
  <c r="H47" i="5"/>
  <c r="H2015" i="5"/>
  <c r="H3961" i="5"/>
  <c r="H1851" i="5"/>
  <c r="H3809" i="5"/>
  <c r="H1682" i="5"/>
  <c r="H3670" i="5"/>
  <c r="H1516" i="5"/>
  <c r="H3523" i="5"/>
  <c r="H188" i="5"/>
  <c r="H3387" i="5"/>
  <c r="H20" i="5"/>
  <c r="H3243" i="5"/>
  <c r="H3280" i="5"/>
  <c r="H3092" i="5"/>
  <c r="H1514" i="5"/>
  <c r="H2937" i="5"/>
  <c r="H1342" i="5"/>
  <c r="H2785" i="5"/>
  <c r="H517" i="5"/>
  <c r="H2630" i="5"/>
  <c r="H3848" i="5"/>
  <c r="H2467" i="5"/>
  <c r="H3706" i="5"/>
  <c r="H2304" i="5"/>
  <c r="H3561" i="5"/>
  <c r="H2140" i="5"/>
  <c r="H3421" i="5"/>
  <c r="H1970" i="5"/>
  <c r="H3282" i="5"/>
  <c r="H1803" i="5"/>
  <c r="H2513" i="5"/>
  <c r="H1636" i="5"/>
  <c r="H2348" i="5"/>
  <c r="H1470" i="5"/>
  <c r="H2013" i="5"/>
  <c r="H1302" i="5"/>
  <c r="H1849" i="5"/>
  <c r="H1144" i="5"/>
  <c r="H1344" i="5"/>
  <c r="H979" i="5"/>
  <c r="H1018" i="5"/>
  <c r="H806" i="5"/>
  <c r="H845" i="5"/>
  <c r="H646" i="5"/>
  <c r="H687" i="5"/>
  <c r="H479" i="5"/>
  <c r="H519" i="5"/>
  <c r="H320" i="5"/>
  <c r="H363" i="5"/>
  <c r="H146" i="5"/>
  <c r="H186" i="5"/>
  <c r="H1540" i="5"/>
  <c r="H18" i="5"/>
  <c r="H389" i="5"/>
  <c r="H2987" i="5"/>
  <c r="H215" i="5"/>
  <c r="H2677" i="5"/>
  <c r="H45" i="5"/>
  <c r="H2188" i="5"/>
  <c r="H3881" i="5"/>
  <c r="H1025" i="5"/>
  <c r="H3737" i="5"/>
  <c r="H693" i="5"/>
  <c r="H3594" i="5"/>
  <c r="H526" i="5"/>
  <c r="H3450" i="5"/>
  <c r="H370" i="5"/>
  <c r="H3313" i="5"/>
  <c r="H194" i="5"/>
  <c r="H3165" i="5"/>
  <c r="H3011" i="5"/>
  <c r="H2857" i="5"/>
  <c r="H2702" i="5"/>
  <c r="H2547" i="5"/>
  <c r="H2383" i="5"/>
  <c r="H2214" i="5"/>
  <c r="H2050" i="5"/>
  <c r="H1880" i="5"/>
  <c r="H1711" i="5"/>
  <c r="H1546" i="5"/>
  <c r="H1376" i="5"/>
  <c r="H1214" i="5"/>
  <c r="H1052" i="5"/>
  <c r="H880" i="5"/>
  <c r="H720" i="5"/>
  <c r="H552" i="5"/>
  <c r="H395" i="5"/>
  <c r="H221" i="5"/>
  <c r="H51" i="5"/>
  <c r="H3882" i="5"/>
  <c r="H3738" i="5"/>
  <c r="H3595" i="5"/>
  <c r="H3451" i="5"/>
  <c r="H3314" i="5"/>
  <c r="H3166" i="5"/>
  <c r="H3713" i="5"/>
  <c r="H3012" i="5"/>
  <c r="H2858" i="5"/>
  <c r="H3426" i="5"/>
  <c r="H2703" i="5"/>
  <c r="H3287" i="5"/>
  <c r="H2548" i="5"/>
  <c r="H2384" i="5"/>
  <c r="H2215" i="5"/>
  <c r="H2051" i="5"/>
  <c r="H2678" i="5"/>
  <c r="H1881" i="5"/>
  <c r="H2522" i="5"/>
  <c r="H1712" i="5"/>
  <c r="H2357" i="5"/>
  <c r="H1547" i="5"/>
  <c r="H2189" i="5"/>
  <c r="H1377" i="5"/>
  <c r="H2023" i="5"/>
  <c r="H1216" i="5"/>
  <c r="H1053" i="5"/>
  <c r="H1686" i="5"/>
  <c r="H881" i="5"/>
  <c r="H1352" i="5"/>
  <c r="H722" i="5"/>
  <c r="H1190" i="5"/>
  <c r="H553" i="5"/>
  <c r="H1026" i="5"/>
  <c r="H396" i="5"/>
  <c r="H854" i="5"/>
  <c r="H222" i="5"/>
  <c r="H694" i="5"/>
  <c r="H53" i="5"/>
  <c r="H527" i="5"/>
  <c r="H3884" i="5"/>
  <c r="H3739" i="5"/>
  <c r="H3596" i="5"/>
  <c r="H3452" i="5"/>
  <c r="H3315" i="5"/>
  <c r="H3167" i="5"/>
  <c r="H3013" i="5"/>
  <c r="H2859" i="5"/>
  <c r="H2704" i="5"/>
  <c r="H2550" i="5"/>
  <c r="H2386" i="5"/>
  <c r="H2216" i="5"/>
  <c r="H2053" i="5"/>
  <c r="H1883" i="5"/>
  <c r="H1714" i="5"/>
  <c r="H1549" i="5"/>
  <c r="H1379" i="5"/>
  <c r="H1218" i="5"/>
  <c r="H1055" i="5"/>
  <c r="H883" i="5"/>
  <c r="H724" i="5"/>
  <c r="H555" i="5"/>
  <c r="H398" i="5"/>
  <c r="H3715" i="5"/>
  <c r="H224" i="5"/>
  <c r="H55" i="5"/>
  <c r="H3427" i="5"/>
  <c r="H3977" i="5"/>
  <c r="H3288" i="5"/>
  <c r="H3823" i="5"/>
  <c r="H3142" i="5"/>
  <c r="H3684" i="5"/>
  <c r="H2990" i="5"/>
  <c r="H3536" i="5"/>
  <c r="H2836" i="5"/>
  <c r="H3399" i="5"/>
  <c r="H3256" i="5"/>
  <c r="H2524" i="5"/>
  <c r="H3109" i="5"/>
  <c r="H2359" i="5"/>
  <c r="H2954" i="5"/>
  <c r="H2191" i="5"/>
  <c r="H2801" i="5"/>
  <c r="H2025" i="5"/>
  <c r="H2647" i="5"/>
  <c r="H1858" i="5"/>
  <c r="H2486" i="5"/>
  <c r="H2323" i="5"/>
  <c r="H1523" i="5"/>
  <c r="H2157" i="5"/>
  <c r="H1354" i="5"/>
  <c r="H1989" i="5"/>
  <c r="H1192" i="5"/>
  <c r="H1821" i="5"/>
  <c r="H1654" i="5"/>
  <c r="H856" i="5"/>
  <c r="H1488" i="5"/>
  <c r="H696" i="5"/>
  <c r="H1317" i="5"/>
  <c r="H529" i="5"/>
  <c r="H1158" i="5"/>
  <c r="H995" i="5"/>
  <c r="H197" i="5"/>
  <c r="H819" i="5"/>
  <c r="H26" i="5"/>
  <c r="H661" i="5"/>
  <c r="H495" i="5"/>
  <c r="H336" i="5"/>
  <c r="H159" i="5"/>
  <c r="H3885" i="5"/>
  <c r="H3318" i="5"/>
  <c r="H1219" i="5"/>
  <c r="H3170" i="5"/>
  <c r="H3888" i="5"/>
  <c r="H3743" i="5"/>
  <c r="H3456" i="5"/>
  <c r="H3321" i="5"/>
  <c r="H3171" i="5"/>
  <c r="H3017" i="5"/>
  <c r="H1221" i="5"/>
  <c r="H403" i="5"/>
  <c r="H230" i="5"/>
  <c r="H60" i="5"/>
  <c r="H3890" i="5"/>
  <c r="H3746" i="5"/>
  <c r="H3602" i="5"/>
  <c r="H3458" i="5"/>
  <c r="H3323" i="5"/>
  <c r="H3173" i="5"/>
  <c r="H3860" i="5"/>
  <c r="H3018" i="5"/>
  <c r="H3573" i="5"/>
  <c r="H2866" i="5"/>
  <c r="H3431" i="5"/>
  <c r="H2710" i="5"/>
  <c r="H3292" i="5"/>
  <c r="H2556" i="5"/>
  <c r="H1692" i="5"/>
  <c r="H2392" i="5"/>
  <c r="H1528" i="5"/>
  <c r="H2224" i="5"/>
  <c r="H1358" i="5"/>
  <c r="H2062" i="5"/>
  <c r="H1195" i="5"/>
  <c r="H1890" i="5"/>
  <c r="H1034" i="5"/>
  <c r="H1721" i="5"/>
  <c r="H861" i="5"/>
  <c r="H1556" i="5"/>
  <c r="H700" i="5"/>
  <c r="H1386" i="5"/>
  <c r="H533" i="5"/>
  <c r="H1223" i="5"/>
  <c r="H376" i="5"/>
  <c r="H1064" i="5"/>
  <c r="H201" i="5"/>
  <c r="H893" i="5"/>
  <c r="H31" i="5"/>
  <c r="H729" i="5"/>
  <c r="H3711" i="5"/>
  <c r="H561" i="5"/>
  <c r="H3566" i="5"/>
  <c r="H405" i="5"/>
  <c r="H3139" i="5"/>
  <c r="H235" i="5"/>
  <c r="H2985" i="5"/>
  <c r="H64" i="5"/>
  <c r="H2675" i="5"/>
  <c r="H2355" i="5"/>
  <c r="H2031" i="5"/>
  <c r="H2021" i="5"/>
  <c r="H1196" i="5"/>
  <c r="H1854" i="5"/>
  <c r="H377" i="5"/>
  <c r="H1684" i="5"/>
  <c r="H202" i="5"/>
  <c r="H1520" i="5"/>
  <c r="H32" i="5"/>
  <c r="H1350" i="5"/>
  <c r="H1188" i="5"/>
  <c r="H3174" i="5"/>
  <c r="H1023" i="5"/>
  <c r="H2867" i="5"/>
  <c r="H852" i="5"/>
  <c r="H1892" i="5"/>
  <c r="H691" i="5"/>
  <c r="H563" i="5"/>
  <c r="H524" i="5"/>
  <c r="H66" i="5"/>
  <c r="H368" i="5"/>
  <c r="H3325" i="5"/>
  <c r="H192" i="5"/>
  <c r="H3020" i="5"/>
  <c r="H3858" i="5"/>
  <c r="H2713" i="5"/>
  <c r="H3718" i="5"/>
  <c r="H2227" i="5"/>
  <c r="H3572" i="5"/>
  <c r="H1893" i="5"/>
  <c r="H3145" i="5"/>
  <c r="H1724" i="5"/>
  <c r="H2993" i="5"/>
  <c r="H1388" i="5"/>
  <c r="H2684" i="5"/>
  <c r="H1226" i="5"/>
  <c r="H2527" i="5"/>
  <c r="H1067" i="5"/>
  <c r="H2362" i="5"/>
  <c r="H896" i="5"/>
  <c r="H2029" i="5"/>
  <c r="H732" i="5"/>
  <c r="H1861" i="5"/>
  <c r="H564" i="5"/>
  <c r="H1526" i="5"/>
  <c r="H407" i="5"/>
  <c r="H1357" i="5"/>
  <c r="H237" i="5"/>
  <c r="H1031" i="5"/>
  <c r="H67" i="5"/>
  <c r="H699" i="5"/>
  <c r="H3021" i="5"/>
  <c r="H200" i="5"/>
  <c r="H1389" i="5"/>
  <c r="H29" i="5"/>
  <c r="H1227" i="5"/>
  <c r="H3859" i="5"/>
  <c r="H1068" i="5"/>
  <c r="H3430" i="5"/>
  <c r="H897" i="5"/>
  <c r="H3291" i="5"/>
  <c r="H565" i="5"/>
  <c r="H3146" i="5"/>
  <c r="H408" i="5"/>
  <c r="H2994" i="5"/>
  <c r="H68" i="5"/>
  <c r="H2839" i="5"/>
  <c r="H3894" i="5"/>
  <c r="H2528" i="5"/>
  <c r="H2363" i="5"/>
  <c r="H2194" i="5"/>
  <c r="H2030" i="5"/>
  <c r="H1862" i="5"/>
  <c r="H1691" i="5"/>
  <c r="H1527" i="5"/>
  <c r="H1032" i="5"/>
  <c r="H859" i="5"/>
  <c r="H532" i="5"/>
  <c r="H30" i="5"/>
  <c r="H3857" i="5"/>
  <c r="H3717" i="5"/>
  <c r="H3429" i="5"/>
  <c r="H3290" i="5"/>
  <c r="H3144" i="5"/>
  <c r="H2992" i="5"/>
  <c r="H2838" i="5"/>
  <c r="H2682" i="5"/>
  <c r="H2526" i="5"/>
  <c r="H2361" i="5"/>
  <c r="H2193" i="5"/>
  <c r="H1860" i="5"/>
  <c r="H1690" i="5"/>
  <c r="H1525" i="5"/>
  <c r="H1356" i="5"/>
  <c r="H1030" i="5"/>
  <c r="H531" i="5"/>
  <c r="H375" i="5"/>
  <c r="H199" i="5"/>
  <c r="H28" i="5"/>
  <c r="H2683" i="5"/>
  <c r="H2028" i="5"/>
  <c r="H3851" i="5"/>
  <c r="H2519" i="5"/>
  <c r="H2019" i="5"/>
  <c r="H850" i="5"/>
  <c r="H1033" i="5"/>
  <c r="H860" i="5"/>
  <c r="H3294" i="5"/>
  <c r="H3862" i="5"/>
  <c r="H3720" i="5"/>
  <c r="H3575" i="5"/>
  <c r="H3433" i="5"/>
  <c r="H3295" i="5"/>
  <c r="H3147" i="5"/>
  <c r="H2995" i="5"/>
  <c r="H2841" i="5"/>
  <c r="H2365" i="5"/>
  <c r="H2196" i="5"/>
  <c r="H2032" i="5"/>
  <c r="H1197" i="5"/>
  <c r="H863" i="5"/>
  <c r="H701" i="5"/>
  <c r="H534" i="5"/>
  <c r="H33" i="5"/>
  <c r="H3865" i="5"/>
  <c r="H3578" i="5"/>
  <c r="H3298" i="5"/>
  <c r="H3150" i="5"/>
  <c r="H2035" i="5"/>
  <c r="H1865" i="5"/>
  <c r="H1696" i="5"/>
  <c r="H1532" i="5"/>
  <c r="H1362" i="5"/>
  <c r="H866" i="5"/>
  <c r="H704" i="5"/>
  <c r="H537" i="5"/>
  <c r="H380" i="5"/>
  <c r="H206" i="5"/>
  <c r="H3722" i="5"/>
  <c r="H3297" i="5"/>
  <c r="H3149" i="5"/>
  <c r="H703" i="5"/>
  <c r="H3866" i="5"/>
  <c r="H3723" i="5"/>
  <c r="H3579" i="5"/>
  <c r="H3436" i="5"/>
  <c r="H3299" i="5"/>
  <c r="H3151" i="5"/>
  <c r="H2533" i="5"/>
  <c r="H2368" i="5"/>
  <c r="H2199" i="5"/>
  <c r="H1533" i="5"/>
  <c r="H1363" i="5"/>
  <c r="H705" i="5"/>
  <c r="H207" i="5"/>
  <c r="H36" i="5"/>
  <c r="H3834" i="5"/>
  <c r="H3696" i="5"/>
  <c r="H3548" i="5"/>
  <c r="H3410" i="5"/>
  <c r="H3268" i="5"/>
  <c r="H3122" i="5"/>
  <c r="H2967" i="5"/>
  <c r="H2814" i="5"/>
  <c r="H2660" i="5"/>
  <c r="H2499" i="5"/>
  <c r="H2334" i="5"/>
  <c r="H2169" i="5"/>
  <c r="H2001" i="5"/>
  <c r="H1834" i="5"/>
  <c r="H1668" i="5"/>
  <c r="H1502" i="5"/>
  <c r="H1327" i="5"/>
  <c r="H1170" i="5"/>
  <c r="H1006" i="5"/>
  <c r="H831" i="5"/>
  <c r="H673" i="5"/>
  <c r="H507" i="5"/>
  <c r="H348" i="5"/>
  <c r="H170" i="5"/>
  <c r="H4" i="5"/>
  <c r="H3869" i="5"/>
  <c r="H3726" i="5"/>
  <c r="H3582" i="5"/>
  <c r="H3867" i="5"/>
  <c r="H3724" i="5"/>
  <c r="H3580" i="5"/>
  <c r="H3437" i="5"/>
  <c r="H3300" i="5"/>
  <c r="H3152" i="5"/>
  <c r="H2998" i="5"/>
  <c r="H2844" i="5"/>
  <c r="H2689" i="5"/>
  <c r="H2534" i="5"/>
  <c r="H2369" i="5"/>
  <c r="H2200" i="5"/>
  <c r="H2036" i="5"/>
  <c r="H1866" i="5"/>
  <c r="H1697" i="5"/>
  <c r="H1534" i="5"/>
  <c r="H1364" i="5"/>
  <c r="H1201" i="5"/>
  <c r="H1038" i="5"/>
  <c r="H867" i="5"/>
  <c r="H706" i="5"/>
  <c r="H538" i="5"/>
  <c r="H382" i="5"/>
  <c r="H208" i="5"/>
  <c r="H37" i="5"/>
  <c r="H3868" i="5"/>
  <c r="H3725" i="5"/>
  <c r="H3581" i="5"/>
  <c r="H3438" i="5"/>
  <c r="H3301" i="5"/>
  <c r="H3153" i="5"/>
  <c r="H2999" i="5"/>
  <c r="H2845" i="5"/>
  <c r="H2690" i="5"/>
  <c r="H2535" i="5"/>
  <c r="H2370" i="5"/>
  <c r="H2201" i="5"/>
  <c r="H2037" i="5"/>
  <c r="H1867" i="5"/>
  <c r="H1698" i="5"/>
  <c r="H1535" i="5"/>
  <c r="H1039" i="5"/>
  <c r="H868" i="5"/>
  <c r="H707" i="5"/>
  <c r="H383" i="5"/>
  <c r="H38" i="5"/>
  <c r="H393" i="5"/>
  <c r="H49" i="5"/>
  <c r="H3871" i="5"/>
  <c r="H3728" i="5"/>
  <c r="H3584" i="5"/>
  <c r="H3156" i="5"/>
  <c r="H3002" i="5"/>
  <c r="H2848" i="5"/>
  <c r="H2693" i="5"/>
  <c r="H2538" i="5"/>
  <c r="H2373" i="5"/>
  <c r="H2204" i="5"/>
  <c r="H2040" i="5"/>
  <c r="H1870" i="5"/>
  <c r="H1538" i="5"/>
  <c r="H1368" i="5"/>
  <c r="H1205" i="5"/>
  <c r="H871" i="5"/>
  <c r="H710" i="5"/>
  <c r="H542" i="5"/>
  <c r="H386" i="5"/>
  <c r="H212" i="5"/>
  <c r="H41" i="5"/>
  <c r="H3872" i="5"/>
  <c r="H3729" i="5"/>
  <c r="H3585" i="5"/>
  <c r="H3441" i="5"/>
  <c r="H3304" i="5"/>
  <c r="H3157" i="5"/>
  <c r="H3003" i="5"/>
  <c r="H2849" i="5"/>
  <c r="H2694" i="5"/>
  <c r="H2539" i="5"/>
  <c r="H2374" i="5"/>
  <c r="H2205" i="5"/>
  <c r="H2041" i="5"/>
  <c r="H1871" i="5"/>
  <c r="H1369" i="5"/>
  <c r="H1206" i="5"/>
  <c r="H1043" i="5"/>
  <c r="H711" i="5"/>
  <c r="H3873" i="5"/>
  <c r="H3731" i="5"/>
  <c r="H3587" i="5"/>
  <c r="H3443" i="5"/>
  <c r="H3306" i="5"/>
  <c r="H3159" i="5"/>
  <c r="H2851" i="5"/>
  <c r="H3874" i="5"/>
  <c r="H3588" i="5"/>
  <c r="H3444" i="5"/>
  <c r="H3307" i="5"/>
  <c r="H3160" i="5"/>
  <c r="H3006" i="5"/>
  <c r="H2852" i="5"/>
  <c r="H2697" i="5"/>
  <c r="H2542" i="5"/>
  <c r="H2377" i="5"/>
  <c r="H2208" i="5"/>
  <c r="H2044" i="5"/>
  <c r="H1874" i="5"/>
  <c r="H1705" i="5"/>
  <c r="H1370" i="5"/>
  <c r="H1208" i="5"/>
  <c r="H1046" i="5"/>
  <c r="H874" i="5"/>
  <c r="H713" i="5"/>
  <c r="H546" i="5"/>
  <c r="H3876" i="5"/>
  <c r="H3589" i="5"/>
  <c r="H3445" i="5"/>
  <c r="H3308" i="5"/>
  <c r="H2378" i="5"/>
  <c r="H2209" i="5"/>
  <c r="H2045" i="5"/>
  <c r="H1875" i="5"/>
  <c r="H1706" i="5"/>
  <c r="H1541" i="5"/>
  <c r="H1371" i="5"/>
  <c r="H1209" i="5"/>
  <c r="H1047" i="5"/>
  <c r="H875" i="5"/>
  <c r="H715" i="5"/>
  <c r="H547" i="5"/>
  <c r="H390" i="5"/>
  <c r="H216" i="5"/>
  <c r="H46" i="5"/>
  <c r="H2549" i="5"/>
  <c r="H2385" i="5"/>
  <c r="H2052" i="5"/>
  <c r="H1882" i="5"/>
  <c r="H1713" i="5"/>
  <c r="H1548" i="5"/>
  <c r="H1378" i="5"/>
  <c r="H1217" i="5"/>
  <c r="H1054" i="5"/>
  <c r="H882" i="5"/>
  <c r="H723" i="5"/>
  <c r="H554" i="5"/>
  <c r="H397" i="5"/>
  <c r="H223" i="5"/>
  <c r="H54" i="5"/>
  <c r="H1215" i="5"/>
  <c r="H721" i="5"/>
  <c r="H52" i="5"/>
  <c r="H439" i="5"/>
  <c r="H278" i="5"/>
  <c r="H3316" i="5"/>
  <c r="H3014" i="5"/>
  <c r="H2860" i="5"/>
  <c r="H2387" i="5"/>
  <c r="H2217" i="5"/>
  <c r="H2054" i="5"/>
  <c r="H1884" i="5"/>
  <c r="H1550" i="5"/>
  <c r="H1380" i="5"/>
  <c r="H884" i="5"/>
  <c r="H556" i="5"/>
  <c r="H225" i="5"/>
  <c r="H56" i="5"/>
  <c r="H3740" i="5"/>
  <c r="H3453" i="5"/>
  <c r="H3168" i="5"/>
  <c r="H3015" i="5"/>
  <c r="H2861" i="5"/>
  <c r="H2705" i="5"/>
  <c r="H2552" i="5"/>
  <c r="H2218" i="5"/>
  <c r="H2055" i="5"/>
  <c r="H1885" i="5"/>
  <c r="H1715" i="5"/>
  <c r="H1056" i="5"/>
  <c r="H885" i="5"/>
  <c r="H400" i="5"/>
  <c r="H227" i="5"/>
  <c r="H57" i="5"/>
  <c r="H3887" i="5"/>
  <c r="H3742" i="5"/>
  <c r="H3599" i="5"/>
  <c r="H3455" i="5"/>
  <c r="H3320" i="5"/>
  <c r="H2863" i="5"/>
  <c r="H2554" i="5"/>
  <c r="H2389" i="5"/>
  <c r="H2220" i="5"/>
  <c r="H2057" i="5"/>
  <c r="H1887" i="5"/>
  <c r="H1717" i="5"/>
  <c r="H1552" i="5"/>
  <c r="H1383" i="5"/>
  <c r="H1058" i="5"/>
  <c r="H887" i="5"/>
  <c r="H726" i="5"/>
  <c r="H402" i="5"/>
  <c r="H229" i="5"/>
  <c r="H59" i="5"/>
  <c r="H3889" i="5"/>
  <c r="H3744" i="5"/>
  <c r="H3457" i="5"/>
  <c r="H3172" i="5"/>
  <c r="H2865" i="5"/>
  <c r="H2391" i="5"/>
  <c r="H2222" i="5"/>
  <c r="H2060" i="5"/>
  <c r="H1719" i="5"/>
  <c r="H1222" i="5"/>
  <c r="H1061" i="5"/>
  <c r="H890" i="5"/>
  <c r="H559" i="5"/>
  <c r="H232" i="5"/>
  <c r="H61" i="5"/>
  <c r="H3317" i="5"/>
  <c r="H2551" i="5"/>
  <c r="H399" i="5"/>
  <c r="H226" i="5"/>
  <c r="H3730" i="5"/>
  <c r="H3305" i="5"/>
  <c r="H3158" i="5"/>
  <c r="H3004" i="5"/>
  <c r="H2850" i="5"/>
  <c r="H2696" i="5"/>
  <c r="H2541" i="5"/>
  <c r="H2376" i="5"/>
  <c r="H2207" i="5"/>
  <c r="H2043" i="5"/>
  <c r="H1873" i="5"/>
  <c r="H1704" i="5"/>
  <c r="H1045" i="5"/>
  <c r="H545" i="5"/>
  <c r="H44" i="5"/>
  <c r="H3600" i="5"/>
  <c r="H2864" i="5"/>
  <c r="H2707" i="5"/>
  <c r="H2555" i="5"/>
  <c r="H2390" i="5"/>
  <c r="H2221" i="5"/>
  <c r="H2058" i="5"/>
  <c r="H1888" i="5"/>
  <c r="H1718" i="5"/>
  <c r="H1553" i="5"/>
  <c r="H1384" i="5"/>
  <c r="H1059" i="5"/>
  <c r="H888" i="5"/>
  <c r="H727" i="5"/>
  <c r="H558" i="5"/>
  <c r="H2708" i="5"/>
  <c r="H2059" i="5"/>
  <c r="H1554" i="5"/>
  <c r="H1060" i="5"/>
  <c r="H889" i="5"/>
  <c r="H404" i="5"/>
  <c r="H231" i="5"/>
  <c r="H3745" i="5"/>
  <c r="H3601" i="5"/>
  <c r="H3322" i="5"/>
  <c r="H2709" i="5"/>
  <c r="H1062" i="5"/>
  <c r="H891" i="5"/>
  <c r="H560" i="5"/>
  <c r="H233" i="5"/>
  <c r="H62" i="5"/>
  <c r="H2711" i="5"/>
  <c r="H2225" i="5"/>
  <c r="H2063" i="5"/>
  <c r="H1891" i="5"/>
  <c r="H1722" i="5"/>
  <c r="H1557" i="5"/>
  <c r="H1224" i="5"/>
  <c r="H1065" i="5"/>
  <c r="H894" i="5"/>
  <c r="H730" i="5"/>
  <c r="H562" i="5"/>
  <c r="H65" i="5"/>
  <c r="H2223" i="5"/>
  <c r="H2061" i="5"/>
  <c r="H1889" i="5"/>
  <c r="H1720" i="5"/>
  <c r="H1555" i="5"/>
  <c r="H1385" i="5"/>
  <c r="H1063" i="5"/>
  <c r="H892" i="5"/>
  <c r="H728" i="5"/>
  <c r="H234" i="5"/>
  <c r="H63" i="5"/>
  <c r="H3719" i="5"/>
  <c r="H3574" i="5"/>
  <c r="H3432" i="5"/>
  <c r="H3293" i="5"/>
  <c r="H2840" i="5"/>
  <c r="H2686" i="5"/>
  <c r="H2530" i="5"/>
  <c r="H2364" i="5"/>
  <c r="H2195" i="5"/>
  <c r="H1693" i="5"/>
  <c r="H1529" i="5"/>
  <c r="H1359" i="5"/>
  <c r="H1035" i="5"/>
  <c r="H862" i="5"/>
  <c r="H3891" i="5"/>
  <c r="H3747" i="5"/>
  <c r="H3324" i="5"/>
  <c r="H3019" i="5"/>
  <c r="H2712" i="5"/>
  <c r="H2557" i="5"/>
  <c r="H2393" i="5"/>
  <c r="H2226" i="5"/>
  <c r="H1723" i="5"/>
  <c r="H1387" i="5"/>
  <c r="H1225" i="5"/>
  <c r="H1066" i="5"/>
  <c r="H895" i="5"/>
  <c r="H731" i="5"/>
  <c r="H406" i="5"/>
  <c r="H236" i="5"/>
  <c r="H3892" i="5"/>
  <c r="H3748" i="5"/>
  <c r="H3604" i="5"/>
  <c r="H3459" i="5"/>
  <c r="H3175" i="5"/>
  <c r="H2868" i="5"/>
  <c r="H2558" i="5"/>
  <c r="H2394" i="5"/>
  <c r="H2064" i="5"/>
  <c r="H1558" i="5"/>
  <c r="H3893" i="5"/>
  <c r="H3749" i="5"/>
  <c r="H3605" i="5"/>
  <c r="H3460" i="5"/>
  <c r="H3326" i="5"/>
  <c r="H3176" i="5"/>
  <c r="H2869" i="5"/>
  <c r="H2714" i="5"/>
  <c r="H2559" i="5"/>
  <c r="H2395" i="5"/>
  <c r="H2229" i="5"/>
  <c r="H2065" i="5"/>
  <c r="H1894" i="5"/>
  <c r="H1725" i="5"/>
  <c r="H1559" i="5"/>
  <c r="H733" i="5"/>
  <c r="H238" i="5"/>
  <c r="H3895" i="5"/>
  <c r="H3608" i="5"/>
  <c r="H3462" i="5"/>
  <c r="H3023" i="5"/>
  <c r="H2872" i="5"/>
  <c r="H2716" i="5"/>
  <c r="H2398" i="5"/>
  <c r="H2232" i="5"/>
  <c r="H2068" i="5"/>
  <c r="H1897" i="5"/>
  <c r="H1728" i="5"/>
  <c r="H1562" i="5"/>
  <c r="H1392" i="5"/>
  <c r="H1230" i="5"/>
  <c r="H1071" i="5"/>
  <c r="H900" i="5"/>
  <c r="H735" i="5"/>
  <c r="H568" i="5"/>
  <c r="H411" i="5"/>
  <c r="H241" i="5"/>
  <c r="H71" i="5"/>
  <c r="H3750" i="5"/>
  <c r="H3606" i="5"/>
  <c r="H3461" i="5"/>
  <c r="H3327" i="5"/>
  <c r="H3022" i="5"/>
  <c r="H2870" i="5"/>
  <c r="H2715" i="5"/>
  <c r="H2560" i="5"/>
  <c r="H2396" i="5"/>
  <c r="H2230" i="5"/>
  <c r="H2066" i="5"/>
  <c r="H1895" i="5"/>
  <c r="H1726" i="5"/>
  <c r="H1560" i="5"/>
  <c r="H1390" i="5"/>
  <c r="H1228" i="5"/>
  <c r="H1069" i="5"/>
  <c r="H898" i="5"/>
  <c r="H734" i="5"/>
  <c r="H566" i="5"/>
  <c r="H409" i="5"/>
  <c r="H239" i="5"/>
  <c r="H69" i="5"/>
  <c r="H3897" i="5"/>
  <c r="H3752" i="5"/>
  <c r="H3610" i="5"/>
  <c r="H3464" i="5"/>
  <c r="H3329" i="5"/>
  <c r="H3179" i="5"/>
  <c r="H3025" i="5"/>
  <c r="H2874" i="5"/>
  <c r="H2718" i="5"/>
  <c r="H2562" i="5"/>
  <c r="H2400" i="5"/>
  <c r="H2234" i="5"/>
  <c r="H2070" i="5"/>
  <c r="H1899" i="5"/>
  <c r="H1730" i="5"/>
  <c r="H1564" i="5"/>
  <c r="H1394" i="5"/>
  <c r="H1232" i="5"/>
  <c r="H1073" i="5"/>
  <c r="H902" i="5"/>
  <c r="H737" i="5"/>
  <c r="H570" i="5"/>
  <c r="H413" i="5"/>
  <c r="H243" i="5"/>
  <c r="H73" i="5"/>
  <c r="H3607" i="5"/>
  <c r="H3177" i="5"/>
  <c r="H2871" i="5"/>
  <c r="H2397" i="5"/>
  <c r="H2231" i="5"/>
  <c r="H2067" i="5"/>
  <c r="H1896" i="5"/>
  <c r="H1727" i="5"/>
  <c r="H1561" i="5"/>
  <c r="H1391" i="5"/>
  <c r="H1229" i="5"/>
  <c r="H1070" i="5"/>
  <c r="H899" i="5"/>
  <c r="H567" i="5"/>
  <c r="H410" i="5"/>
  <c r="H240" i="5"/>
  <c r="H70" i="5"/>
  <c r="H3896" i="5"/>
  <c r="H3751" i="5"/>
  <c r="H3609" i="5"/>
  <c r="H3463" i="5"/>
  <c r="H3328" i="5"/>
  <c r="H3178" i="5"/>
  <c r="H3024" i="5"/>
  <c r="H2873" i="5"/>
  <c r="H2717" i="5"/>
  <c r="H2561" i="5"/>
  <c r="H2399" i="5"/>
  <c r="H2233" i="5"/>
  <c r="H2069" i="5"/>
  <c r="H1898" i="5"/>
  <c r="H1729" i="5"/>
  <c r="H1563" i="5"/>
  <c r="H1393" i="5"/>
  <c r="H1231" i="5"/>
  <c r="H1072" i="5"/>
  <c r="H901" i="5"/>
  <c r="H736" i="5"/>
  <c r="H569" i="5"/>
  <c r="H412" i="5"/>
  <c r="H242" i="5"/>
  <c r="H72" i="5"/>
  <c r="H3899" i="5"/>
  <c r="H3754" i="5"/>
  <c r="H3612" i="5"/>
  <c r="H3332" i="5"/>
  <c r="H3182" i="5"/>
  <c r="H3028" i="5"/>
  <c r="H2877" i="5"/>
  <c r="H2721" i="5"/>
  <c r="H2403" i="5"/>
  <c r="H1733" i="5"/>
  <c r="H1567" i="5"/>
  <c r="H1397" i="5"/>
  <c r="H1235" i="5"/>
  <c r="H1076" i="5"/>
  <c r="H905" i="5"/>
  <c r="H740" i="5"/>
  <c r="H416" i="5"/>
  <c r="H246" i="5"/>
  <c r="H3898" i="5"/>
  <c r="H3753" i="5"/>
  <c r="H3611" i="5"/>
  <c r="H3465" i="5"/>
  <c r="H3330" i="5"/>
  <c r="H3180" i="5"/>
  <c r="H3026" i="5"/>
  <c r="H2875" i="5"/>
  <c r="H2719" i="5"/>
  <c r="H2563" i="5"/>
  <c r="H2401" i="5"/>
  <c r="H2235" i="5"/>
  <c r="H2071" i="5"/>
  <c r="H1900" i="5"/>
  <c r="H1731" i="5"/>
  <c r="H1565" i="5"/>
  <c r="H1395" i="5"/>
  <c r="H1233" i="5"/>
  <c r="H1074" i="5"/>
  <c r="H903" i="5"/>
  <c r="H738" i="5"/>
  <c r="H244" i="5"/>
  <c r="H74" i="5"/>
  <c r="H3331" i="5"/>
  <c r="H3181" i="5"/>
  <c r="H3027" i="5"/>
  <c r="H2876" i="5"/>
  <c r="H2720" i="5"/>
  <c r="H2564" i="5"/>
  <c r="H2402" i="5"/>
  <c r="H2236" i="5"/>
  <c r="H2072" i="5"/>
  <c r="H1901" i="5"/>
  <c r="H1732" i="5"/>
  <c r="H1566" i="5"/>
  <c r="H1396" i="5"/>
  <c r="H1234" i="5"/>
  <c r="H1075" i="5"/>
  <c r="H904" i="5"/>
  <c r="H739" i="5"/>
  <c r="H415" i="5"/>
  <c r="H245" i="5"/>
  <c r="H75" i="5"/>
  <c r="H2228" i="5"/>
  <c r="H3900" i="5"/>
  <c r="H3755" i="5"/>
  <c r="H3613" i="5"/>
  <c r="H3466" i="5"/>
  <c r="H3333" i="5"/>
  <c r="H3183" i="5"/>
  <c r="H3029" i="5"/>
  <c r="H2878" i="5"/>
  <c r="H2722" i="5"/>
  <c r="H2566" i="5"/>
  <c r="H2404" i="5"/>
  <c r="H2238" i="5"/>
  <c r="H2074" i="5"/>
  <c r="H1903" i="5"/>
  <c r="H1734" i="5"/>
  <c r="H1568" i="5"/>
  <c r="H1398" i="5"/>
  <c r="H1236" i="5"/>
  <c r="H1077" i="5"/>
  <c r="H906" i="5"/>
  <c r="H741" i="5"/>
  <c r="H573" i="5"/>
  <c r="H417" i="5"/>
  <c r="H247" i="5"/>
  <c r="H77" i="5"/>
  <c r="H3901" i="5"/>
  <c r="H3756" i="5"/>
  <c r="H3614" i="5"/>
  <c r="H3467" i="5"/>
  <c r="H3334" i="5"/>
  <c r="H3184" i="5"/>
  <c r="H3030" i="5"/>
  <c r="H2879" i="5"/>
  <c r="H2723" i="5"/>
  <c r="H2567" i="5"/>
  <c r="H2405" i="5"/>
  <c r="H2239" i="5"/>
  <c r="H2075" i="5"/>
  <c r="H1904" i="5"/>
  <c r="H1735" i="5"/>
  <c r="H1569" i="5"/>
  <c r="H1399" i="5"/>
  <c r="H1237" i="5"/>
  <c r="H1078" i="5"/>
  <c r="H907" i="5"/>
  <c r="H742" i="5"/>
  <c r="H574" i="5"/>
  <c r="H418" i="5"/>
  <c r="H248" i="5"/>
  <c r="H78" i="5"/>
  <c r="H3185" i="5"/>
  <c r="H3031" i="5"/>
  <c r="H2880" i="5"/>
  <c r="H2724" i="5"/>
  <c r="H2406" i="5"/>
  <c r="H1905" i="5"/>
  <c r="H1570" i="5"/>
  <c r="H1400" i="5"/>
  <c r="H1079" i="5"/>
  <c r="H908" i="5"/>
  <c r="H743" i="5"/>
  <c r="H575" i="5"/>
  <c r="H249" i="5"/>
  <c r="H79" i="5"/>
  <c r="H3903" i="5"/>
  <c r="H3758" i="5"/>
  <c r="H3616" i="5"/>
  <c r="H3469" i="5"/>
  <c r="H3336" i="5"/>
  <c r="H3187" i="5"/>
  <c r="H3033" i="5"/>
  <c r="H2882" i="5"/>
  <c r="H2726" i="5"/>
  <c r="H2569" i="5"/>
  <c r="H2408" i="5"/>
  <c r="H2241" i="5"/>
  <c r="H2077" i="5"/>
  <c r="H1907" i="5"/>
  <c r="H1737" i="5"/>
  <c r="H1572" i="5"/>
  <c r="H1402" i="5"/>
  <c r="H1239" i="5"/>
  <c r="H1081" i="5"/>
  <c r="H910" i="5"/>
  <c r="H745" i="5"/>
  <c r="H577" i="5"/>
  <c r="H420" i="5"/>
  <c r="H251" i="5"/>
  <c r="H81" i="5"/>
  <c r="H3902" i="5"/>
  <c r="H3757" i="5"/>
  <c r="H3615" i="5"/>
  <c r="H3468" i="5"/>
  <c r="H3335" i="5"/>
  <c r="H3186" i="5"/>
  <c r="H3032" i="5"/>
  <c r="H2881" i="5"/>
  <c r="H2725" i="5"/>
  <c r="H2568" i="5"/>
  <c r="H2407" i="5"/>
  <c r="H2240" i="5"/>
  <c r="H2076" i="5"/>
  <c r="H1906" i="5"/>
  <c r="H1736" i="5"/>
  <c r="H1571" i="5"/>
  <c r="H1401" i="5"/>
  <c r="H1238" i="5"/>
  <c r="H1080" i="5"/>
  <c r="H909" i="5"/>
  <c r="H744" i="5"/>
  <c r="H576" i="5"/>
  <c r="H419" i="5"/>
  <c r="H250" i="5"/>
  <c r="H80" i="5"/>
  <c r="H3904" i="5"/>
  <c r="H3759" i="5"/>
  <c r="H3617" i="5"/>
  <c r="H3337" i="5"/>
  <c r="H3188" i="5"/>
  <c r="H3034" i="5"/>
  <c r="H2883" i="5"/>
  <c r="H2727" i="5"/>
  <c r="H2570" i="5"/>
  <c r="H2409" i="5"/>
  <c r="H2242" i="5"/>
  <c r="H2078" i="5"/>
  <c r="H1908" i="5"/>
  <c r="H1738" i="5"/>
  <c r="H1573" i="5"/>
  <c r="H1403" i="5"/>
  <c r="H1240" i="5"/>
  <c r="H1082" i="5"/>
  <c r="H911" i="5"/>
  <c r="H746" i="5"/>
  <c r="H578" i="5"/>
  <c r="H421" i="5"/>
  <c r="H252" i="5"/>
  <c r="H82" i="5"/>
  <c r="H3905" i="5"/>
  <c r="H2884" i="5"/>
  <c r="H2571" i="5"/>
  <c r="H2410" i="5"/>
  <c r="H2243" i="5"/>
  <c r="H2079" i="5"/>
  <c r="H1909" i="5"/>
  <c r="H1739" i="5"/>
  <c r="H1574" i="5"/>
  <c r="H1404" i="5"/>
  <c r="H1241" i="5"/>
  <c r="H1083" i="5"/>
  <c r="H912" i="5"/>
  <c r="H747" i="5"/>
  <c r="H579" i="5"/>
  <c r="H422" i="5"/>
  <c r="H83" i="5"/>
  <c r="H3473" i="5"/>
  <c r="H3341" i="5"/>
  <c r="H3192" i="5"/>
  <c r="H3038" i="5"/>
  <c r="H1577" i="5"/>
  <c r="H1407" i="5"/>
  <c r="H1244" i="5"/>
  <c r="H1087" i="5"/>
  <c r="H915" i="5"/>
  <c r="H584" i="5"/>
  <c r="H426" i="5"/>
  <c r="H257" i="5"/>
  <c r="H2984" i="5"/>
  <c r="H2832" i="5"/>
  <c r="H2520" i="5"/>
  <c r="H2354" i="5"/>
  <c r="H2020" i="5"/>
  <c r="H1853" i="5"/>
  <c r="H1022" i="5"/>
  <c r="H851" i="5"/>
  <c r="H523" i="5"/>
  <c r="H367" i="5"/>
  <c r="H191" i="5"/>
  <c r="H580" i="5"/>
  <c r="H3907" i="5"/>
  <c r="H3761" i="5"/>
  <c r="H3619" i="5"/>
  <c r="H3471" i="5"/>
  <c r="H3339" i="5"/>
  <c r="H3190" i="5"/>
  <c r="H3036" i="5"/>
  <c r="H2886" i="5"/>
  <c r="H2729" i="5"/>
  <c r="H2573" i="5"/>
  <c r="H2412" i="5"/>
  <c r="H2244" i="5"/>
  <c r="H2080" i="5"/>
  <c r="H1910" i="5"/>
  <c r="H1741" i="5"/>
  <c r="H1575" i="5"/>
  <c r="H1405" i="5"/>
  <c r="H1242" i="5"/>
  <c r="H1084" i="5"/>
  <c r="H913" i="5"/>
  <c r="H748" i="5"/>
  <c r="H581" i="5"/>
  <c r="H423" i="5"/>
  <c r="H254" i="5"/>
  <c r="H85" i="5"/>
  <c r="H3908" i="5"/>
  <c r="H3762" i="5"/>
  <c r="H3620" i="5"/>
  <c r="H3472" i="5"/>
  <c r="H3340" i="5"/>
  <c r="H3191" i="5"/>
  <c r="H3037" i="5"/>
  <c r="H2887" i="5"/>
  <c r="H2730" i="5"/>
  <c r="H2574" i="5"/>
  <c r="H2413" i="5"/>
  <c r="H2245" i="5"/>
  <c r="H2081" i="5"/>
  <c r="H1911" i="5"/>
  <c r="H1743" i="5"/>
  <c r="H1576" i="5"/>
  <c r="H1406" i="5"/>
  <c r="H1243" i="5"/>
  <c r="H1086" i="5"/>
  <c r="H914" i="5"/>
  <c r="H750" i="5"/>
  <c r="H583" i="5"/>
  <c r="H425" i="5"/>
  <c r="H256" i="5"/>
  <c r="H86" i="5"/>
  <c r="H3912" i="5"/>
  <c r="H3765" i="5"/>
  <c r="H3623" i="5"/>
  <c r="H3477" i="5"/>
  <c r="H3344" i="5"/>
  <c r="H3196" i="5"/>
  <c r="H3041" i="5"/>
  <c r="H2735" i="5"/>
  <c r="H2578" i="5"/>
  <c r="H2416" i="5"/>
  <c r="H2249" i="5"/>
  <c r="H2085" i="5"/>
  <c r="H1915" i="5"/>
  <c r="H1746" i="5"/>
  <c r="H1581" i="5"/>
  <c r="H1410" i="5"/>
  <c r="H1248" i="5"/>
  <c r="H1091" i="5"/>
  <c r="H754" i="5"/>
  <c r="H588" i="5"/>
  <c r="H261" i="5"/>
  <c r="H91" i="5"/>
  <c r="H3909" i="5"/>
  <c r="H3474" i="5"/>
  <c r="H3193" i="5"/>
  <c r="H2732" i="5"/>
  <c r="H2575" i="5"/>
  <c r="H2246" i="5"/>
  <c r="H2082" i="5"/>
  <c r="H1912" i="5"/>
  <c r="H1578" i="5"/>
  <c r="H1245" i="5"/>
  <c r="H1088" i="5"/>
  <c r="H916" i="5"/>
  <c r="H751" i="5"/>
  <c r="H585" i="5"/>
  <c r="H258" i="5"/>
  <c r="H88" i="5"/>
  <c r="H3915" i="5"/>
  <c r="H3200" i="5"/>
  <c r="H2892" i="5"/>
  <c r="H2739" i="5"/>
  <c r="H2581" i="5"/>
  <c r="H2419" i="5"/>
  <c r="H2252" i="5"/>
  <c r="H2089" i="5"/>
  <c r="H1919" i="5"/>
  <c r="H1750" i="5"/>
  <c r="H1585" i="5"/>
  <c r="H1414" i="5"/>
  <c r="H1252" i="5"/>
  <c r="H1095" i="5"/>
  <c r="H922" i="5"/>
  <c r="H758" i="5"/>
  <c r="H592" i="5"/>
  <c r="H430" i="5"/>
  <c r="H265" i="5"/>
  <c r="H95" i="5"/>
  <c r="H3916" i="5"/>
  <c r="H924" i="5"/>
  <c r="H266" i="5"/>
  <c r="H3201" i="5"/>
  <c r="H3046" i="5"/>
  <c r="H2893" i="5"/>
  <c r="H2740" i="5"/>
  <c r="H2582" i="5"/>
  <c r="H2420" i="5"/>
  <c r="H2253" i="5"/>
  <c r="H2090" i="5"/>
  <c r="H1920" i="5"/>
  <c r="H1415" i="5"/>
  <c r="H925" i="5"/>
  <c r="H759" i="5"/>
  <c r="H267" i="5"/>
  <c r="H96" i="5"/>
  <c r="H3911" i="5"/>
  <c r="H3764" i="5"/>
  <c r="H3622" i="5"/>
  <c r="H3476" i="5"/>
  <c r="H3343" i="5"/>
  <c r="H3195" i="5"/>
  <c r="H3040" i="5"/>
  <c r="H2734" i="5"/>
  <c r="H2577" i="5"/>
  <c r="H2415" i="5"/>
  <c r="H2248" i="5"/>
  <c r="H2084" i="5"/>
  <c r="H1914" i="5"/>
  <c r="H1745" i="5"/>
  <c r="H1580" i="5"/>
  <c r="H1409" i="5"/>
  <c r="H1247" i="5"/>
  <c r="H1090" i="5"/>
  <c r="H753" i="5"/>
  <c r="H587" i="5"/>
  <c r="H260" i="5"/>
  <c r="H90" i="5"/>
  <c r="H3626" i="5"/>
  <c r="H3480" i="5"/>
  <c r="H3199" i="5"/>
  <c r="H3044" i="5"/>
  <c r="H2891" i="5"/>
  <c r="H2738" i="5"/>
  <c r="H2088" i="5"/>
  <c r="H1918" i="5"/>
  <c r="H1749" i="5"/>
  <c r="H1584" i="5"/>
  <c r="H1413" i="5"/>
  <c r="H1251" i="5"/>
  <c r="H1094" i="5"/>
  <c r="H921" i="5"/>
  <c r="H757" i="5"/>
  <c r="H591" i="5"/>
  <c r="H429" i="5"/>
  <c r="H264" i="5"/>
  <c r="H94" i="5"/>
  <c r="H3919" i="5"/>
  <c r="H3631" i="5"/>
  <c r="H3484" i="5"/>
  <c r="H3351" i="5"/>
  <c r="H3204" i="5"/>
  <c r="H3049" i="5"/>
  <c r="H2743" i="5"/>
  <c r="H2585" i="5"/>
  <c r="H2423" i="5"/>
  <c r="H2255" i="5"/>
  <c r="H2092" i="5"/>
  <c r="H1923" i="5"/>
  <c r="H1753" i="5"/>
  <c r="H1588" i="5"/>
  <c r="H1418" i="5"/>
  <c r="H1099" i="5"/>
  <c r="H928" i="5"/>
  <c r="H762" i="5"/>
  <c r="H433" i="5"/>
  <c r="H270" i="5"/>
  <c r="H99" i="5"/>
  <c r="H3962" i="5"/>
  <c r="H3810" i="5"/>
  <c r="H3671" i="5"/>
  <c r="H3524" i="5"/>
  <c r="H3388" i="5"/>
  <c r="H3244" i="5"/>
  <c r="H3093" i="5"/>
  <c r="H2938" i="5"/>
  <c r="H2786" i="5"/>
  <c r="H2631" i="5"/>
  <c r="H2468" i="5"/>
  <c r="H2305" i="5"/>
  <c r="H1971" i="5"/>
  <c r="H1804" i="5"/>
  <c r="H1303" i="5"/>
  <c r="H1145" i="5"/>
  <c r="H980" i="5"/>
  <c r="H647" i="5"/>
  <c r="H480" i="5"/>
  <c r="H321" i="5"/>
  <c r="H147" i="5"/>
  <c r="H3920" i="5"/>
  <c r="H3771" i="5"/>
  <c r="H3632" i="5"/>
  <c r="H3485" i="5"/>
  <c r="H3352" i="5"/>
  <c r="H3205" i="5"/>
  <c r="H3050" i="5"/>
  <c r="H2896" i="5"/>
  <c r="H2744" i="5"/>
  <c r="H2586" i="5"/>
  <c r="H2424" i="5"/>
  <c r="H2256" i="5"/>
  <c r="H2093" i="5"/>
  <c r="H1924" i="5"/>
  <c r="H1754" i="5"/>
  <c r="H1589" i="5"/>
  <c r="H1419" i="5"/>
  <c r="H1256" i="5"/>
  <c r="H1100" i="5"/>
  <c r="H929" i="5"/>
  <c r="H763" i="5"/>
  <c r="H595" i="5"/>
  <c r="H434" i="5"/>
  <c r="H271" i="5"/>
  <c r="H100" i="5"/>
  <c r="H3918" i="5"/>
  <c r="H3770" i="5"/>
  <c r="H3630" i="5"/>
  <c r="H3483" i="5"/>
  <c r="H3350" i="5"/>
  <c r="H3203" i="5"/>
  <c r="H3048" i="5"/>
  <c r="H2895" i="5"/>
  <c r="H2742" i="5"/>
  <c r="H2584" i="5"/>
  <c r="H2422" i="5"/>
  <c r="H2254" i="5"/>
  <c r="H2091" i="5"/>
  <c r="H1922" i="5"/>
  <c r="H1752" i="5"/>
  <c r="H1587" i="5"/>
  <c r="H1417" i="5"/>
  <c r="H1255" i="5"/>
  <c r="H1098" i="5"/>
  <c r="H927" i="5"/>
  <c r="H761" i="5"/>
  <c r="H594" i="5"/>
  <c r="H432" i="5"/>
  <c r="H269" i="5"/>
  <c r="H98" i="5"/>
  <c r="H3768" i="5"/>
  <c r="H3347" i="5"/>
  <c r="H3045" i="5"/>
  <c r="H1253" i="5"/>
  <c r="H1096" i="5"/>
  <c r="H923" i="5"/>
  <c r="H3910" i="5"/>
  <c r="H3763" i="5"/>
  <c r="H3621" i="5"/>
  <c r="H3475" i="5"/>
  <c r="H3342" i="5"/>
  <c r="H3194" i="5"/>
  <c r="H3039" i="5"/>
  <c r="H2889" i="5"/>
  <c r="H2733" i="5"/>
  <c r="H2576" i="5"/>
  <c r="H2414" i="5"/>
  <c r="H2247" i="5"/>
  <c r="H2083" i="5"/>
  <c r="H1913" i="5"/>
  <c r="H1744" i="5"/>
  <c r="H1579" i="5"/>
  <c r="H1408" i="5"/>
  <c r="H1246" i="5"/>
  <c r="H1089" i="5"/>
  <c r="H917" i="5"/>
  <c r="H752" i="5"/>
  <c r="H586" i="5"/>
  <c r="H427" i="5"/>
  <c r="H259" i="5"/>
  <c r="H89" i="5"/>
  <c r="H3917" i="5"/>
  <c r="H3769" i="5"/>
  <c r="H3629" i="5"/>
  <c r="H3482" i="5"/>
  <c r="H3349" i="5"/>
  <c r="H3202" i="5"/>
  <c r="H3047" i="5"/>
  <c r="H2894" i="5"/>
  <c r="H2741" i="5"/>
  <c r="H2583" i="5"/>
  <c r="H2421" i="5"/>
  <c r="H1921" i="5"/>
  <c r="H1751" i="5"/>
  <c r="H1586" i="5"/>
  <c r="H1416" i="5"/>
  <c r="H1254" i="5"/>
  <c r="H1097" i="5"/>
  <c r="H926" i="5"/>
  <c r="H760" i="5"/>
  <c r="H593" i="5"/>
  <c r="H431" i="5"/>
  <c r="H268" i="5"/>
  <c r="H97" i="5"/>
  <c r="H3486" i="5"/>
  <c r="H2587" i="5"/>
  <c r="H2425" i="5"/>
  <c r="H930" i="5"/>
  <c r="H764" i="5"/>
  <c r="H272" i="5"/>
  <c r="H101" i="5"/>
  <c r="H3914" i="5"/>
  <c r="H3767" i="5"/>
  <c r="H3625" i="5"/>
  <c r="H3479" i="5"/>
  <c r="H3346" i="5"/>
  <c r="H3198" i="5"/>
  <c r="H3043" i="5"/>
  <c r="H2890" i="5"/>
  <c r="H2737" i="5"/>
  <c r="H2580" i="5"/>
  <c r="H2418" i="5"/>
  <c r="H2251" i="5"/>
  <c r="H2087" i="5"/>
  <c r="H1917" i="5"/>
  <c r="H1748" i="5"/>
  <c r="H1583" i="5"/>
  <c r="H1412" i="5"/>
  <c r="H1250" i="5"/>
  <c r="H1093" i="5"/>
  <c r="H920" i="5"/>
  <c r="H756" i="5"/>
  <c r="H590" i="5"/>
  <c r="H428" i="5"/>
  <c r="H263" i="5"/>
  <c r="H93" i="5"/>
  <c r="H3932" i="5"/>
  <c r="H3780" i="5"/>
  <c r="H3643" i="5"/>
  <c r="H3496" i="5"/>
  <c r="H3359" i="5"/>
  <c r="H3215" i="5"/>
  <c r="H3060" i="5"/>
  <c r="H2906" i="5"/>
  <c r="H2755" i="5"/>
  <c r="H2596" i="5"/>
  <c r="H2436" i="5"/>
  <c r="H2268" i="5"/>
  <c r="H2105" i="5"/>
  <c r="H1934" i="5"/>
  <c r="H1766" i="5"/>
  <c r="H1601" i="5"/>
  <c r="H1432" i="5"/>
  <c r="H1267" i="5"/>
  <c r="H1111" i="5"/>
  <c r="H942" i="5"/>
  <c r="H775" i="5"/>
  <c r="H608" i="5"/>
  <c r="H446" i="5"/>
  <c r="H284" i="5"/>
  <c r="H114" i="5"/>
  <c r="H283" i="5"/>
  <c r="H112" i="5"/>
  <c r="H1101" i="5"/>
  <c r="H931" i="5"/>
  <c r="H765" i="5"/>
  <c r="H3052" i="5"/>
  <c r="H2427" i="5"/>
  <c r="H1927" i="5"/>
  <c r="H933" i="5"/>
  <c r="H767" i="5"/>
  <c r="H597" i="5"/>
  <c r="H104" i="5"/>
  <c r="H3927" i="5"/>
  <c r="H3775" i="5"/>
  <c r="H3638" i="5"/>
  <c r="H3491" i="5"/>
  <c r="H3357" i="5"/>
  <c r="H3210" i="5"/>
  <c r="H3054" i="5"/>
  <c r="H2900" i="5"/>
  <c r="H2749" i="5"/>
  <c r="H2591" i="5"/>
  <c r="H2430" i="5"/>
  <c r="H2262" i="5"/>
  <c r="H2100" i="5"/>
  <c r="H1930" i="5"/>
  <c r="H1762" i="5"/>
  <c r="H1595" i="5"/>
  <c r="H1427" i="5"/>
  <c r="H1262" i="5"/>
  <c r="H1106" i="5"/>
  <c r="H937" i="5"/>
  <c r="H770" i="5"/>
  <c r="H602" i="5"/>
  <c r="H440" i="5"/>
  <c r="H279" i="5"/>
  <c r="H108" i="5"/>
  <c r="H3926" i="5"/>
  <c r="H3774" i="5"/>
  <c r="H3637" i="5"/>
  <c r="H3490" i="5"/>
  <c r="H3356" i="5"/>
  <c r="H3209" i="5"/>
  <c r="H3053" i="5"/>
  <c r="H2748" i="5"/>
  <c r="H2590" i="5"/>
  <c r="H2429" i="5"/>
  <c r="H2261" i="5"/>
  <c r="H2099" i="5"/>
  <c r="H1929" i="5"/>
  <c r="H1761" i="5"/>
  <c r="H1594" i="5"/>
  <c r="H1426" i="5"/>
  <c r="H1261" i="5"/>
  <c r="H1105" i="5"/>
  <c r="H769" i="5"/>
  <c r="H601" i="5"/>
  <c r="H277" i="5"/>
  <c r="H107" i="5"/>
  <c r="H3930" i="5"/>
  <c r="H3778" i="5"/>
  <c r="H3641" i="5"/>
  <c r="H3494" i="5"/>
  <c r="H3358" i="5"/>
  <c r="H3213" i="5"/>
  <c r="H3057" i="5"/>
  <c r="H2903" i="5"/>
  <c r="H2752" i="5"/>
  <c r="H2594" i="5"/>
  <c r="H2433" i="5"/>
  <c r="H2265" i="5"/>
  <c r="H2103" i="5"/>
  <c r="H1933" i="5"/>
  <c r="H1765" i="5"/>
  <c r="H1598" i="5"/>
  <c r="H1430" i="5"/>
  <c r="H1265" i="5"/>
  <c r="H1109" i="5"/>
  <c r="H940" i="5"/>
  <c r="H773" i="5"/>
  <c r="H605" i="5"/>
  <c r="H443" i="5"/>
  <c r="H282" i="5"/>
  <c r="H111" i="5"/>
  <c r="H3938" i="5"/>
  <c r="H3788" i="5"/>
  <c r="H3067" i="5"/>
  <c r="H2605" i="5"/>
  <c r="H2113" i="5"/>
  <c r="H1943" i="5"/>
  <c r="H1443" i="5"/>
  <c r="H454" i="5"/>
  <c r="H292" i="5"/>
  <c r="H123" i="5"/>
  <c r="H3923" i="5"/>
  <c r="H3634" i="5"/>
  <c r="H3488" i="5"/>
  <c r="H3207" i="5"/>
  <c r="H2899" i="5"/>
  <c r="H2747" i="5"/>
  <c r="H2589" i="5"/>
  <c r="H2258" i="5"/>
  <c r="H2096" i="5"/>
  <c r="H1928" i="5"/>
  <c r="H1757" i="5"/>
  <c r="H1422" i="5"/>
  <c r="H1258" i="5"/>
  <c r="H1103" i="5"/>
  <c r="H934" i="5"/>
  <c r="H768" i="5"/>
  <c r="H598" i="5"/>
  <c r="H437" i="5"/>
  <c r="H274" i="5"/>
  <c r="H105" i="5"/>
  <c r="H3924" i="5"/>
  <c r="H3773" i="5"/>
  <c r="H3635" i="5"/>
  <c r="H3354" i="5"/>
  <c r="H3208" i="5"/>
  <c r="H2259" i="5"/>
  <c r="H2097" i="5"/>
  <c r="H1758" i="5"/>
  <c r="H1592" i="5"/>
  <c r="H1423" i="5"/>
  <c r="H1259" i="5"/>
  <c r="H275" i="5"/>
  <c r="H3933" i="5"/>
  <c r="H3781" i="5"/>
  <c r="H3644" i="5"/>
  <c r="H3498" i="5"/>
  <c r="H3360" i="5"/>
  <c r="H3216" i="5"/>
  <c r="H3061" i="5"/>
  <c r="H2907" i="5"/>
  <c r="H2756" i="5"/>
  <c r="H2597" i="5"/>
  <c r="H2437" i="5"/>
  <c r="H2270" i="5"/>
  <c r="H2107" i="5"/>
  <c r="H1936" i="5"/>
  <c r="H1768" i="5"/>
  <c r="H1603" i="5"/>
  <c r="H1434" i="5"/>
  <c r="H1268" i="5"/>
  <c r="H1113" i="5"/>
  <c r="H944" i="5"/>
  <c r="H777" i="5"/>
  <c r="H610" i="5"/>
  <c r="H448" i="5"/>
  <c r="H286" i="5"/>
  <c r="H116" i="5"/>
  <c r="H3928" i="5"/>
  <c r="H3776" i="5"/>
  <c r="H3639" i="5"/>
  <c r="H3492" i="5"/>
  <c r="H3211" i="5"/>
  <c r="H3055" i="5"/>
  <c r="H2901" i="5"/>
  <c r="H2750" i="5"/>
  <c r="H2592" i="5"/>
  <c r="H2431" i="5"/>
  <c r="H2263" i="5"/>
  <c r="H2101" i="5"/>
  <c r="H1931" i="5"/>
  <c r="H1763" i="5"/>
  <c r="H1596" i="5"/>
  <c r="H1428" i="5"/>
  <c r="H1263" i="5"/>
  <c r="H1107" i="5"/>
  <c r="H938" i="5"/>
  <c r="H771" i="5"/>
  <c r="H603" i="5"/>
  <c r="H441" i="5"/>
  <c r="H280" i="5"/>
  <c r="H109" i="5"/>
  <c r="H1600" i="5"/>
  <c r="H1431" i="5"/>
  <c r="H1110" i="5"/>
  <c r="H774" i="5"/>
  <c r="H607" i="5"/>
  <c r="H445" i="5"/>
  <c r="H113" i="5"/>
  <c r="H2754" i="5"/>
  <c r="H2434" i="5"/>
  <c r="H2267" i="5"/>
  <c r="H2104" i="5"/>
  <c r="H1599" i="5"/>
  <c r="H941" i="5"/>
  <c r="H606" i="5"/>
  <c r="H444" i="5"/>
  <c r="H3497" i="5"/>
  <c r="H2269" i="5"/>
  <c r="H2106" i="5"/>
  <c r="H1935" i="5"/>
  <c r="H1767" i="5"/>
  <c r="H1602" i="5"/>
  <c r="H1433" i="5"/>
  <c r="H1112" i="5"/>
  <c r="H943" i="5"/>
  <c r="H776" i="5"/>
  <c r="H609" i="5"/>
  <c r="H447" i="5"/>
  <c r="H285" i="5"/>
  <c r="H115" i="5"/>
  <c r="H3925" i="5"/>
  <c r="H3636" i="5"/>
  <c r="H3489" i="5"/>
  <c r="H2428" i="5"/>
  <c r="H2260" i="5"/>
  <c r="H2098" i="5"/>
  <c r="H1759" i="5"/>
  <c r="H1593" i="5"/>
  <c r="H1424" i="5"/>
  <c r="H1104" i="5"/>
  <c r="H935" i="5"/>
  <c r="H599" i="5"/>
  <c r="H276" i="5"/>
  <c r="H106" i="5"/>
  <c r="H3355" i="5"/>
  <c r="H1760" i="5"/>
  <c r="H1425" i="5"/>
  <c r="H1260" i="5"/>
  <c r="H600" i="5"/>
  <c r="H438" i="5"/>
  <c r="H2745" i="5"/>
  <c r="H2094" i="5"/>
  <c r="H1925" i="5"/>
  <c r="H1755" i="5"/>
  <c r="H1590" i="5"/>
  <c r="H1420" i="5"/>
  <c r="H435" i="5"/>
  <c r="H102" i="5"/>
  <c r="H3922" i="5"/>
  <c r="H3772" i="5"/>
  <c r="H3633" i="5"/>
  <c r="H3487" i="5"/>
  <c r="H3353" i="5"/>
  <c r="H3206" i="5"/>
  <c r="H3051" i="5"/>
  <c r="H2898" i="5"/>
  <c r="H2746" i="5"/>
  <c r="H2588" i="5"/>
  <c r="H2426" i="5"/>
  <c r="H2257" i="5"/>
  <c r="H2095" i="5"/>
  <c r="H1926" i="5"/>
  <c r="H1756" i="5"/>
  <c r="H1591" i="5"/>
  <c r="H1421" i="5"/>
  <c r="H1257" i="5"/>
  <c r="H1102" i="5"/>
  <c r="H932" i="5"/>
  <c r="H766" i="5"/>
  <c r="H596" i="5"/>
  <c r="H436" i="5"/>
  <c r="H273" i="5"/>
  <c r="H103" i="5"/>
  <c r="H3937" i="5"/>
  <c r="H3787" i="5"/>
  <c r="H3650" i="5"/>
  <c r="H3504" i="5"/>
  <c r="H3366" i="5"/>
  <c r="H3220" i="5"/>
  <c r="H3066" i="5"/>
  <c r="H2912" i="5"/>
  <c r="H2763" i="5"/>
  <c r="H2604" i="5"/>
  <c r="H2442" i="5"/>
  <c r="H2276" i="5"/>
  <c r="H2112" i="5"/>
  <c r="H1942" i="5"/>
  <c r="H1776" i="5"/>
  <c r="H1610" i="5"/>
  <c r="H1442" i="5"/>
  <c r="H1275" i="5"/>
  <c r="H1119" i="5"/>
  <c r="H951" i="5"/>
  <c r="H782" i="5"/>
  <c r="H616" i="5"/>
  <c r="H453" i="5"/>
  <c r="H291" i="5"/>
  <c r="H122" i="5"/>
  <c r="H3782" i="5"/>
  <c r="H3645" i="5"/>
  <c r="H3361" i="5"/>
  <c r="H3062" i="5"/>
  <c r="H2757" i="5"/>
  <c r="H2598" i="5"/>
  <c r="H2438" i="5"/>
  <c r="H2271" i="5"/>
  <c r="H2108" i="5"/>
  <c r="H1937" i="5"/>
  <c r="H1769" i="5"/>
  <c r="H1435" i="5"/>
  <c r="H1269" i="5"/>
  <c r="H117" i="5"/>
  <c r="H3502" i="5"/>
  <c r="H2761" i="5"/>
  <c r="H2602" i="5"/>
  <c r="H1940" i="5"/>
  <c r="H1774" i="5"/>
  <c r="H1608" i="5"/>
  <c r="H1440" i="5"/>
  <c r="H1273" i="5"/>
  <c r="H1117" i="5"/>
  <c r="H949" i="5"/>
  <c r="H780" i="5"/>
  <c r="H614" i="5"/>
  <c r="H451" i="5"/>
  <c r="H289" i="5"/>
  <c r="H120" i="5"/>
  <c r="H3936" i="5"/>
  <c r="H3786" i="5"/>
  <c r="H3649" i="5"/>
  <c r="H3503" i="5"/>
  <c r="H3365" i="5"/>
  <c r="H3065" i="5"/>
  <c r="H2911" i="5"/>
  <c r="H2762" i="5"/>
  <c r="H2603" i="5"/>
  <c r="H2441" i="5"/>
  <c r="H2275" i="5"/>
  <c r="H2111" i="5"/>
  <c r="H1941" i="5"/>
  <c r="H1775" i="5"/>
  <c r="H1609" i="5"/>
  <c r="H1441" i="5"/>
  <c r="H1274" i="5"/>
  <c r="H1118" i="5"/>
  <c r="H950" i="5"/>
  <c r="H781" i="5"/>
  <c r="H615" i="5"/>
  <c r="H452" i="5"/>
  <c r="H290" i="5"/>
  <c r="H121" i="5"/>
  <c r="H2910" i="5"/>
  <c r="H2601" i="5"/>
  <c r="H1773" i="5"/>
  <c r="H1607" i="5"/>
  <c r="H1439" i="5"/>
  <c r="H1272" i="5"/>
  <c r="H948" i="5"/>
  <c r="H3934" i="5"/>
  <c r="H3784" i="5"/>
  <c r="H3647" i="5"/>
  <c r="H3500" i="5"/>
  <c r="H3363" i="5"/>
  <c r="H3218" i="5"/>
  <c r="H3063" i="5"/>
  <c r="H2908" i="5"/>
  <c r="H2759" i="5"/>
  <c r="H2599" i="5"/>
  <c r="H2439" i="5"/>
  <c r="H2273" i="5"/>
  <c r="H2109" i="5"/>
  <c r="H1938" i="5"/>
  <c r="H1771" i="5"/>
  <c r="H1605" i="5"/>
  <c r="H1437" i="5"/>
  <c r="H1271" i="5"/>
  <c r="H1115" i="5"/>
  <c r="H946" i="5"/>
  <c r="H778" i="5"/>
  <c r="H612" i="5"/>
  <c r="H449" i="5"/>
  <c r="H287" i="5"/>
  <c r="H118" i="5"/>
  <c r="H3939" i="5"/>
  <c r="H3789" i="5"/>
  <c r="H3651" i="5"/>
  <c r="H3505" i="5"/>
  <c r="H3367" i="5"/>
  <c r="H3221" i="5"/>
  <c r="H3068" i="5"/>
  <c r="H2913" i="5"/>
  <c r="H2764" i="5"/>
  <c r="H2606" i="5"/>
  <c r="H2443" i="5"/>
  <c r="H2277" i="5"/>
  <c r="H2114" i="5"/>
  <c r="H1944" i="5"/>
  <c r="H1777" i="5"/>
  <c r="H1611" i="5"/>
  <c r="H1444" i="5"/>
  <c r="H1276" i="5"/>
  <c r="H1120" i="5"/>
  <c r="H952" i="5"/>
  <c r="H783" i="5"/>
  <c r="H617" i="5"/>
  <c r="H455" i="5"/>
  <c r="H293" i="5"/>
  <c r="H124" i="5"/>
  <c r="H3783" i="5"/>
  <c r="H3646" i="5"/>
  <c r="H3499" i="5"/>
  <c r="H3362" i="5"/>
  <c r="H3217" i="5"/>
  <c r="H2758" i="5"/>
  <c r="H2272" i="5"/>
  <c r="H1770" i="5"/>
  <c r="H1604" i="5"/>
  <c r="H1436" i="5"/>
  <c r="H1270" i="5"/>
  <c r="H1114" i="5"/>
  <c r="H945" i="5"/>
  <c r="H611" i="5"/>
  <c r="H3785" i="5"/>
  <c r="H3648" i="5"/>
  <c r="H3501" i="5"/>
  <c r="H3364" i="5"/>
  <c r="H3064" i="5"/>
  <c r="H2909" i="5"/>
  <c r="H2760" i="5"/>
  <c r="H2600" i="5"/>
  <c r="H2440" i="5"/>
  <c r="H2274" i="5"/>
  <c r="H2110" i="5"/>
  <c r="H1939" i="5"/>
  <c r="H1772" i="5"/>
  <c r="H1606" i="5"/>
  <c r="H1116" i="5"/>
  <c r="H947" i="5"/>
  <c r="H779" i="5"/>
  <c r="H613" i="5"/>
  <c r="H450" i="5"/>
  <c r="H288" i="5"/>
  <c r="H119" i="5"/>
  <c r="H3940" i="5"/>
  <c r="H3790" i="5"/>
  <c r="H3652" i="5"/>
  <c r="H3506" i="5"/>
  <c r="H3368" i="5"/>
  <c r="H3222" i="5"/>
  <c r="H3069" i="5"/>
  <c r="H2914" i="5"/>
  <c r="H2765" i="5"/>
  <c r="H2607" i="5"/>
  <c r="H2444" i="5"/>
  <c r="H2278" i="5"/>
  <c r="H2115" i="5"/>
  <c r="H1945" i="5"/>
  <c r="H1778" i="5"/>
  <c r="H1612" i="5"/>
  <c r="H1445" i="5"/>
  <c r="H1277" i="5"/>
  <c r="H1121" i="5"/>
  <c r="H953" i="5"/>
  <c r="H784" i="5"/>
  <c r="H618" i="5"/>
  <c r="H456" i="5"/>
  <c r="H294" i="5"/>
  <c r="H125" i="5"/>
  <c r="H3941" i="5"/>
  <c r="H3791" i="5"/>
  <c r="H3653" i="5"/>
  <c r="H3507" i="5"/>
  <c r="H3369" i="5"/>
  <c r="H3223" i="5"/>
  <c r="H3070" i="5"/>
  <c r="H2915" i="5"/>
  <c r="H2766" i="5"/>
  <c r="H2608" i="5"/>
  <c r="H2445" i="5"/>
  <c r="H2279" i="5"/>
  <c r="H2116" i="5"/>
  <c r="H1946" i="5"/>
  <c r="H1779" i="5"/>
  <c r="H1613" i="5"/>
  <c r="H1446" i="5"/>
  <c r="H1278" i="5"/>
  <c r="H1122" i="5"/>
  <c r="H954" i="5"/>
  <c r="H785" i="5"/>
  <c r="H619" i="5"/>
  <c r="H457" i="5"/>
  <c r="H295" i="5"/>
  <c r="H3942" i="5"/>
  <c r="H3654" i="5"/>
  <c r="H3370" i="5"/>
  <c r="H3224" i="5"/>
  <c r="H2280" i="5"/>
  <c r="H2117" i="5"/>
  <c r="H1279" i="5"/>
  <c r="H620" i="5"/>
  <c r="H296" i="5"/>
  <c r="H3943" i="5"/>
  <c r="H3792" i="5"/>
  <c r="H3655" i="5"/>
  <c r="H3508" i="5"/>
  <c r="H3371" i="5"/>
  <c r="H3225" i="5"/>
  <c r="H3071" i="5"/>
  <c r="H2916" i="5"/>
  <c r="H2767" i="5"/>
  <c r="H2609" i="5"/>
  <c r="H2446" i="5"/>
  <c r="H2281" i="5"/>
  <c r="H2118" i="5"/>
  <c r="H1947" i="5"/>
  <c r="H1780" i="5"/>
  <c r="H1614" i="5"/>
  <c r="H1447" i="5"/>
  <c r="H1280" i="5"/>
  <c r="H1123" i="5"/>
  <c r="H955" i="5"/>
  <c r="H786" i="5"/>
  <c r="H621" i="5"/>
  <c r="H458" i="5"/>
  <c r="H297" i="5"/>
  <c r="H126" i="5"/>
  <c r="H3944" i="5"/>
  <c r="H3794" i="5"/>
  <c r="H3656" i="5"/>
  <c r="H3509" i="5"/>
  <c r="H3373" i="5"/>
  <c r="H3227" i="5"/>
  <c r="H3072" i="5"/>
  <c r="H2917" i="5"/>
  <c r="H2610" i="5"/>
  <c r="H2448" i="5"/>
  <c r="H2283" i="5"/>
  <c r="H2120" i="5"/>
  <c r="H1949" i="5"/>
  <c r="H1782" i="5"/>
  <c r="H1615" i="5"/>
  <c r="H1448" i="5"/>
  <c r="H1282" i="5"/>
  <c r="H1125" i="5"/>
  <c r="H958" i="5"/>
  <c r="H788" i="5"/>
  <c r="H624" i="5"/>
  <c r="H459" i="5"/>
  <c r="H299" i="5"/>
  <c r="H127" i="5"/>
  <c r="H3795" i="5"/>
  <c r="H3657" i="5"/>
  <c r="H3510" i="5"/>
  <c r="H3374" i="5"/>
  <c r="H3228" i="5"/>
  <c r="H3073" i="5"/>
  <c r="H2918" i="5"/>
  <c r="H2768" i="5"/>
  <c r="H2611" i="5"/>
  <c r="H2449" i="5"/>
  <c r="H2284" i="5"/>
  <c r="H2121" i="5"/>
  <c r="H1950" i="5"/>
  <c r="H1783" i="5"/>
  <c r="H1616" i="5"/>
  <c r="H1449" i="5"/>
  <c r="H1283" i="5"/>
  <c r="H1126" i="5"/>
  <c r="H959" i="5"/>
  <c r="H789" i="5"/>
  <c r="H625" i="5"/>
  <c r="H460" i="5"/>
  <c r="H300" i="5"/>
  <c r="H128" i="5"/>
  <c r="H787" i="5"/>
  <c r="H1781" i="5"/>
  <c r="H1281" i="5"/>
  <c r="H1124" i="5"/>
  <c r="H622" i="5"/>
  <c r="H298" i="5"/>
  <c r="H3945" i="5"/>
  <c r="H3796" i="5"/>
  <c r="H3658" i="5"/>
  <c r="H3511" i="5"/>
  <c r="H3375" i="5"/>
  <c r="H3229" i="5"/>
  <c r="H3074" i="5"/>
  <c r="H2919" i="5"/>
  <c r="H2769" i="5"/>
  <c r="H2612" i="5"/>
  <c r="H2450" i="5"/>
  <c r="H2285" i="5"/>
  <c r="H2122" i="5"/>
  <c r="H1951" i="5"/>
  <c r="H1784" i="5"/>
  <c r="H1617" i="5"/>
  <c r="H1450" i="5"/>
  <c r="H1284" i="5"/>
  <c r="H1127" i="5"/>
  <c r="H960" i="5"/>
  <c r="H790" i="5"/>
  <c r="H626" i="5"/>
  <c r="H461" i="5"/>
  <c r="H301" i="5"/>
  <c r="H129" i="5"/>
  <c r="H3948" i="5"/>
  <c r="H3660" i="5"/>
  <c r="H3514" i="5"/>
  <c r="H3077" i="5"/>
  <c r="H2922" i="5"/>
  <c r="H2772" i="5"/>
  <c r="H2615" i="5"/>
  <c r="H2453" i="5"/>
  <c r="H2288" i="5"/>
  <c r="H2125" i="5"/>
  <c r="H1954" i="5"/>
  <c r="H1787" i="5"/>
  <c r="H1620" i="5"/>
  <c r="H1453" i="5"/>
  <c r="H1287" i="5"/>
  <c r="H1130" i="5"/>
  <c r="H963" i="5"/>
  <c r="H793" i="5"/>
  <c r="H464" i="5"/>
  <c r="H304" i="5"/>
  <c r="H132" i="5"/>
  <c r="H3906" i="5"/>
  <c r="H3760" i="5"/>
  <c r="H3618" i="5"/>
  <c r="H3470" i="5"/>
  <c r="H3338" i="5"/>
  <c r="H3189" i="5"/>
  <c r="H3035" i="5"/>
  <c r="H2885" i="5"/>
  <c r="H2728" i="5"/>
  <c r="H2572" i="5"/>
  <c r="H2411" i="5"/>
  <c r="H3946" i="5"/>
  <c r="H3797" i="5"/>
  <c r="H3512" i="5"/>
  <c r="H3376" i="5"/>
  <c r="H3230" i="5"/>
  <c r="H3075" i="5"/>
  <c r="H2920" i="5"/>
  <c r="H2770" i="5"/>
  <c r="H2613" i="5"/>
  <c r="H2451" i="5"/>
  <c r="H2286" i="5"/>
  <c r="H2123" i="5"/>
  <c r="H1952" i="5"/>
  <c r="H1785" i="5"/>
  <c r="H1618" i="5"/>
  <c r="H1451" i="5"/>
  <c r="H1285" i="5"/>
  <c r="H1128" i="5"/>
  <c r="H961" i="5"/>
  <c r="H791" i="5"/>
  <c r="H627" i="5"/>
  <c r="H302" i="5"/>
  <c r="H130" i="5"/>
  <c r="H3793" i="5"/>
  <c r="H3372" i="5"/>
  <c r="H3226" i="5"/>
  <c r="H2447" i="5"/>
  <c r="H2282" i="5"/>
  <c r="H2119" i="5"/>
  <c r="H1948" i="5"/>
  <c r="H957" i="5"/>
  <c r="H623" i="5"/>
  <c r="H2960" i="5"/>
  <c r="H2654" i="5"/>
  <c r="H2493" i="5"/>
  <c r="H1494" i="5"/>
  <c r="H1000" i="5"/>
  <c r="H342" i="5"/>
  <c r="H3947" i="5"/>
  <c r="H3798" i="5"/>
  <c r="H3659" i="5"/>
  <c r="H3513" i="5"/>
  <c r="H3377" i="5"/>
  <c r="H3231" i="5"/>
  <c r="H3076" i="5"/>
  <c r="H2921" i="5"/>
  <c r="H2771" i="5"/>
  <c r="H2614" i="5"/>
  <c r="H2452" i="5"/>
  <c r="H2287" i="5"/>
  <c r="H2124" i="5"/>
  <c r="H1953" i="5"/>
  <c r="H1786" i="5"/>
  <c r="H1619" i="5"/>
  <c r="H1452" i="5"/>
  <c r="H1286" i="5"/>
  <c r="H1129" i="5"/>
  <c r="H962" i="5"/>
  <c r="H792" i="5"/>
  <c r="H628" i="5"/>
  <c r="H463" i="5"/>
  <c r="H303" i="5"/>
  <c r="H131" i="5"/>
  <c r="H3949" i="5"/>
  <c r="H2923" i="5"/>
  <c r="H2616" i="5"/>
  <c r="H2454" i="5"/>
  <c r="H2289" i="5"/>
  <c r="H2126" i="5"/>
  <c r="H1955" i="5"/>
  <c r="H1788" i="5"/>
  <c r="H1621" i="5"/>
  <c r="H1454" i="5"/>
  <c r="H1288" i="5"/>
  <c r="H1131" i="5"/>
  <c r="H964" i="5"/>
  <c r="H794" i="5"/>
  <c r="H629" i="5"/>
  <c r="H465" i="5"/>
  <c r="H305" i="5"/>
  <c r="H133" i="5"/>
  <c r="H3950" i="5"/>
  <c r="H3799" i="5"/>
  <c r="H3661" i="5"/>
  <c r="H3515" i="5"/>
  <c r="H3378" i="5"/>
  <c r="H3232" i="5"/>
  <c r="H3079" i="5"/>
  <c r="H2924" i="5"/>
  <c r="H2773" i="5"/>
  <c r="H2617" i="5"/>
  <c r="H2455" i="5"/>
  <c r="H2290" i="5"/>
  <c r="H2127" i="5"/>
  <c r="H1956" i="5"/>
  <c r="H1789" i="5"/>
  <c r="H1622" i="5"/>
  <c r="H1455" i="5"/>
  <c r="H1289" i="5"/>
  <c r="H1132" i="5"/>
  <c r="H965" i="5"/>
  <c r="H795" i="5"/>
  <c r="H630" i="5"/>
  <c r="H466" i="5"/>
  <c r="H306" i="5"/>
  <c r="H134" i="5"/>
  <c r="H3951" i="5"/>
  <c r="H3800" i="5"/>
  <c r="H2925" i="5"/>
  <c r="H2618" i="5"/>
  <c r="H2456" i="5"/>
  <c r="H2291" i="5"/>
  <c r="H2128" i="5"/>
  <c r="H1957" i="5"/>
  <c r="H1790" i="5"/>
  <c r="H1623" i="5"/>
  <c r="H1456" i="5"/>
  <c r="H1290" i="5"/>
  <c r="H1133" i="5"/>
  <c r="H966" i="5"/>
  <c r="H796" i="5"/>
  <c r="H631" i="5"/>
  <c r="H467" i="5"/>
  <c r="H307" i="5"/>
  <c r="H135" i="5"/>
  <c r="H3952" i="5"/>
  <c r="H3081" i="5"/>
  <c r="H2926" i="5"/>
  <c r="H2775" i="5"/>
  <c r="H2619" i="5"/>
  <c r="H2129" i="5"/>
  <c r="H1958" i="5"/>
  <c r="H1791" i="5"/>
  <c r="H1624" i="5"/>
  <c r="H1291" i="5"/>
  <c r="H1134" i="5"/>
  <c r="H967" i="5"/>
  <c r="H632" i="5"/>
  <c r="H468" i="5"/>
  <c r="H308" i="5"/>
  <c r="H3959" i="5"/>
  <c r="H3807" i="5"/>
  <c r="H3668" i="5"/>
  <c r="H3521" i="5"/>
  <c r="H3385" i="5"/>
  <c r="H3241" i="5"/>
  <c r="H3090" i="5"/>
  <c r="H2934" i="5"/>
  <c r="H2782" i="5"/>
  <c r="H2627" i="5"/>
  <c r="H2464" i="5"/>
  <c r="H2301" i="5"/>
  <c r="H2137" i="5"/>
  <c r="H1967" i="5"/>
  <c r="H1800" i="5"/>
  <c r="H1633" i="5"/>
  <c r="H1467" i="5"/>
  <c r="H1300" i="5"/>
  <c r="H1142" i="5"/>
  <c r="H977" i="5"/>
  <c r="H804" i="5"/>
  <c r="H643" i="5"/>
  <c r="H476" i="5"/>
  <c r="H318" i="5"/>
  <c r="H144" i="5"/>
  <c r="H3953" i="5"/>
  <c r="H3801" i="5"/>
  <c r="H3663" i="5"/>
  <c r="H3517" i="5"/>
  <c r="H3380" i="5"/>
  <c r="H3234" i="5"/>
  <c r="H3082" i="5"/>
  <c r="H2927" i="5"/>
  <c r="H2776" i="5"/>
  <c r="H2620" i="5"/>
  <c r="H2457" i="5"/>
  <c r="H2292" i="5"/>
  <c r="H2130" i="5"/>
  <c r="H1959" i="5"/>
  <c r="H1792" i="5"/>
  <c r="H1625" i="5"/>
  <c r="H1457" i="5"/>
  <c r="H1292" i="5"/>
  <c r="H1135" i="5"/>
  <c r="H969" i="5"/>
  <c r="H797" i="5"/>
  <c r="H633" i="5"/>
  <c r="H469" i="5"/>
  <c r="H309" i="5"/>
  <c r="H136" i="5"/>
  <c r="H3814" i="5"/>
  <c r="H3672" i="5"/>
  <c r="H3525" i="5"/>
  <c r="H3389" i="5"/>
  <c r="H3245" i="5"/>
  <c r="H3097" i="5"/>
  <c r="H2942" i="5"/>
  <c r="H2790" i="5"/>
  <c r="H2635" i="5"/>
  <c r="H2472" i="5"/>
  <c r="H2309" i="5"/>
  <c r="H2144" i="5"/>
  <c r="H1975" i="5"/>
  <c r="H1808" i="5"/>
  <c r="H1640" i="5"/>
  <c r="H1474" i="5"/>
  <c r="H1304" i="5"/>
  <c r="H1146" i="5"/>
  <c r="H981" i="5"/>
  <c r="H484" i="5"/>
  <c r="H325" i="5"/>
  <c r="H148" i="5"/>
  <c r="H3235" i="5"/>
  <c r="H3083" i="5"/>
  <c r="H2928" i="5"/>
  <c r="H2777" i="5"/>
  <c r="H2621" i="5"/>
  <c r="H2458" i="5"/>
  <c r="H2293" i="5"/>
  <c r="H1793" i="5"/>
  <c r="H1626" i="5"/>
  <c r="H1458" i="5"/>
  <c r="H1293" i="5"/>
  <c r="H1136" i="5"/>
  <c r="H970" i="5"/>
  <c r="H798" i="5"/>
  <c r="H634" i="5"/>
  <c r="H470" i="5"/>
  <c r="H310" i="5"/>
  <c r="H137" i="5"/>
  <c r="H3955" i="5"/>
  <c r="H3803" i="5"/>
  <c r="H3664" i="5"/>
  <c r="H3518" i="5"/>
  <c r="H3381" i="5"/>
  <c r="H3237" i="5"/>
  <c r="H3086" i="5"/>
  <c r="H2930" i="5"/>
  <c r="H2779" i="5"/>
  <c r="H2623" i="5"/>
  <c r="H2460" i="5"/>
  <c r="H2297" i="5"/>
  <c r="H2133" i="5"/>
  <c r="H1963" i="5"/>
  <c r="H1796" i="5"/>
  <c r="H1629" i="5"/>
  <c r="H1462" i="5"/>
  <c r="H1295" i="5"/>
  <c r="H1139" i="5"/>
  <c r="H972" i="5"/>
  <c r="H800" i="5"/>
  <c r="H637" i="5"/>
  <c r="H472" i="5"/>
  <c r="H312" i="5"/>
  <c r="H139" i="5"/>
  <c r="H974" i="5"/>
  <c r="H640" i="5"/>
  <c r="H3085" i="5"/>
  <c r="H2296" i="5"/>
  <c r="H2132" i="5"/>
  <c r="H1962" i="5"/>
  <c r="H1628" i="5"/>
  <c r="H1461" i="5"/>
  <c r="H3586" i="5"/>
  <c r="H3442" i="5"/>
  <c r="H2695" i="5"/>
  <c r="H2540" i="5"/>
  <c r="H2375" i="5"/>
  <c r="H2206" i="5"/>
  <c r="H2042" i="5"/>
  <c r="H1872" i="5"/>
  <c r="H1703" i="5"/>
  <c r="H1207" i="5"/>
  <c r="H1044" i="5"/>
  <c r="H873" i="5"/>
  <c r="H712" i="5"/>
  <c r="H544" i="5"/>
  <c r="H388" i="5"/>
  <c r="H214" i="5"/>
  <c r="H43" i="5"/>
  <c r="H1965" i="5"/>
  <c r="H1631" i="5"/>
  <c r="H1465" i="5"/>
  <c r="H1298" i="5"/>
  <c r="H975" i="5"/>
  <c r="H802" i="5"/>
  <c r="H641" i="5"/>
  <c r="H316" i="5"/>
  <c r="H142" i="5"/>
  <c r="H3954" i="5"/>
  <c r="H3802" i="5"/>
  <c r="H2459" i="5"/>
  <c r="H2131" i="5"/>
  <c r="H1459" i="5"/>
  <c r="H1294" i="5"/>
  <c r="H1137" i="5"/>
  <c r="H971" i="5"/>
  <c r="H799" i="5"/>
  <c r="H635" i="5"/>
  <c r="H471" i="5"/>
  <c r="H311" i="5"/>
  <c r="H138" i="5"/>
  <c r="H3964" i="5"/>
  <c r="H3812" i="5"/>
  <c r="H3095" i="5"/>
  <c r="H2940" i="5"/>
  <c r="H2788" i="5"/>
  <c r="H2633" i="5"/>
  <c r="H2470" i="5"/>
  <c r="H2307" i="5"/>
  <c r="H2142" i="5"/>
  <c r="H1973" i="5"/>
  <c r="H1806" i="5"/>
  <c r="H1638" i="5"/>
  <c r="H1472" i="5"/>
  <c r="H482" i="5"/>
  <c r="H323" i="5"/>
  <c r="H2936" i="5"/>
  <c r="H2784" i="5"/>
  <c r="H2629" i="5"/>
  <c r="H2466" i="5"/>
  <c r="H2303" i="5"/>
  <c r="H2139" i="5"/>
  <c r="H1969" i="5"/>
  <c r="H1802" i="5"/>
  <c r="H1635" i="5"/>
  <c r="H1469" i="5"/>
  <c r="H645" i="5"/>
  <c r="H478" i="5"/>
  <c r="H3963" i="5"/>
  <c r="H3811" i="5"/>
  <c r="H3094" i="5"/>
  <c r="H2939" i="5"/>
  <c r="H2787" i="5"/>
  <c r="H2632" i="5"/>
  <c r="H2469" i="5"/>
  <c r="H2306" i="5"/>
  <c r="H2141" i="5"/>
  <c r="H1972" i="5"/>
  <c r="H1805" i="5"/>
  <c r="H1637" i="5"/>
  <c r="H1471" i="5"/>
  <c r="H481" i="5"/>
  <c r="H322" i="5"/>
  <c r="H2299" i="5"/>
  <c r="H2135" i="5"/>
  <c r="H1297" i="5"/>
  <c r="H315" i="5"/>
  <c r="H3966" i="5"/>
  <c r="H2145" i="5"/>
  <c r="H1976" i="5"/>
  <c r="H1641" i="5"/>
  <c r="H149" i="5"/>
  <c r="H3956" i="5"/>
  <c r="H3665" i="5"/>
  <c r="H3382" i="5"/>
  <c r="H3238" i="5"/>
  <c r="H2931" i="5"/>
  <c r="H2780" i="5"/>
  <c r="H2624" i="5"/>
  <c r="H2461" i="5"/>
  <c r="H2134" i="5"/>
  <c r="H1964" i="5"/>
  <c r="H1296" i="5"/>
  <c r="H1140" i="5"/>
  <c r="H973" i="5"/>
  <c r="H801" i="5"/>
  <c r="H638" i="5"/>
  <c r="H473" i="5"/>
  <c r="H313" i="5"/>
  <c r="H140" i="5"/>
  <c r="H3957" i="5"/>
  <c r="H3805" i="5"/>
  <c r="H3666" i="5"/>
  <c r="H3519" i="5"/>
  <c r="H3383" i="5"/>
  <c r="H3239" i="5"/>
  <c r="H3088" i="5"/>
  <c r="H2932" i="5"/>
  <c r="H2625" i="5"/>
  <c r="H2462" i="5"/>
  <c r="H2298" i="5"/>
  <c r="H1798" i="5"/>
  <c r="H639" i="5"/>
  <c r="H314" i="5"/>
  <c r="H141" i="5"/>
  <c r="H3967" i="5"/>
  <c r="H3815" i="5"/>
  <c r="H3673" i="5"/>
  <c r="H3526" i="5"/>
  <c r="H3390" i="5"/>
  <c r="H3246" i="5"/>
  <c r="H3098" i="5"/>
  <c r="H2943" i="5"/>
  <c r="H2791" i="5"/>
  <c r="H2636" i="5"/>
  <c r="H2310" i="5"/>
  <c r="H2146" i="5"/>
  <c r="H1977" i="5"/>
  <c r="H1809" i="5"/>
  <c r="H1642" i="5"/>
  <c r="H1475" i="5"/>
  <c r="H1305" i="5"/>
  <c r="H1147" i="5"/>
  <c r="H982" i="5"/>
  <c r="H807" i="5"/>
  <c r="H648" i="5"/>
  <c r="H485" i="5"/>
  <c r="H326" i="5"/>
  <c r="H150" i="5"/>
  <c r="H3875" i="5"/>
  <c r="H3732" i="5"/>
  <c r="H714" i="5"/>
  <c r="H3236" i="5"/>
  <c r="H2295" i="5"/>
  <c r="H1961" i="5"/>
  <c r="H1795" i="5"/>
  <c r="H1460" i="5"/>
  <c r="H1138" i="5"/>
  <c r="H636" i="5"/>
  <c r="H3969" i="5"/>
  <c r="H3817" i="5"/>
  <c r="H3675" i="5"/>
  <c r="H3528" i="5"/>
  <c r="H3392" i="5"/>
  <c r="H3248" i="5"/>
  <c r="H3100" i="5"/>
  <c r="H2945" i="5"/>
  <c r="H2793" i="5"/>
  <c r="H2638" i="5"/>
  <c r="H2475" i="5"/>
  <c r="H2312" i="5"/>
  <c r="H2148" i="5"/>
  <c r="H1979" i="5"/>
  <c r="H1811" i="5"/>
  <c r="H1644" i="5"/>
  <c r="H1477" i="5"/>
  <c r="H1307" i="5"/>
  <c r="H1149" i="5"/>
  <c r="H984" i="5"/>
  <c r="H809" i="5"/>
  <c r="H650" i="5"/>
  <c r="H3714" i="5"/>
  <c r="H2989" i="5"/>
  <c r="H2835" i="5"/>
  <c r="H2679" i="5"/>
  <c r="H2523" i="5"/>
  <c r="H2358" i="5"/>
  <c r="H2190" i="5"/>
  <c r="H2024" i="5"/>
  <c r="H1857" i="5"/>
  <c r="H1687" i="5"/>
  <c r="H1522" i="5"/>
  <c r="H1353" i="5"/>
  <c r="H1191" i="5"/>
  <c r="H1027" i="5"/>
  <c r="H855" i="5"/>
  <c r="H695" i="5"/>
  <c r="H528" i="5"/>
  <c r="H372" i="5"/>
  <c r="H196" i="5"/>
  <c r="H25" i="5"/>
  <c r="H3870" i="5"/>
  <c r="H3727" i="5"/>
  <c r="H3583" i="5"/>
  <c r="H3440" i="5"/>
  <c r="H3303" i="5"/>
  <c r="H3155" i="5"/>
  <c r="H3001" i="5"/>
  <c r="H2847" i="5"/>
  <c r="H2692" i="5"/>
  <c r="H2537" i="5"/>
  <c r="H2372" i="5"/>
  <c r="H2203" i="5"/>
  <c r="H2039" i="5"/>
  <c r="H1869" i="5"/>
  <c r="H1700" i="5"/>
  <c r="H1537" i="5"/>
  <c r="H1367" i="5"/>
  <c r="H1204" i="5"/>
  <c r="H1041" i="5"/>
  <c r="H870" i="5"/>
  <c r="H709" i="5"/>
  <c r="H541" i="5"/>
  <c r="H385" i="5"/>
  <c r="H211" i="5"/>
  <c r="H40" i="5"/>
  <c r="H3880" i="5"/>
  <c r="H3736" i="5"/>
  <c r="H2856" i="5"/>
  <c r="H2546" i="5"/>
  <c r="H2382" i="5"/>
  <c r="H2213" i="5"/>
  <c r="H2049" i="5"/>
  <c r="H1879" i="5"/>
  <c r="H1710" i="5"/>
  <c r="H1545" i="5"/>
  <c r="H1375" i="5"/>
  <c r="H1213" i="5"/>
  <c r="H1051" i="5"/>
  <c r="H879" i="5"/>
  <c r="H719" i="5"/>
  <c r="H551" i="5"/>
  <c r="H394" i="5"/>
  <c r="H220" i="5"/>
  <c r="H50" i="5"/>
  <c r="H2478" i="5"/>
  <c r="H1814" i="5"/>
  <c r="H987" i="5"/>
  <c r="H812" i="5"/>
  <c r="H653" i="5"/>
  <c r="H489" i="5"/>
  <c r="H330" i="5"/>
  <c r="H154" i="5"/>
  <c r="H3971" i="5"/>
  <c r="H3818" i="5"/>
  <c r="H3677" i="5"/>
  <c r="H3530" i="5"/>
  <c r="H3393" i="5"/>
  <c r="H3250" i="5"/>
  <c r="H3103" i="5"/>
  <c r="H2948" i="5"/>
  <c r="H2794" i="5"/>
  <c r="H2641" i="5"/>
  <c r="H2476" i="5"/>
  <c r="H2314" i="5"/>
  <c r="H2150" i="5"/>
  <c r="H1982" i="5"/>
  <c r="H1813" i="5"/>
  <c r="H1646" i="5"/>
  <c r="H1480" i="5"/>
  <c r="H1310" i="5"/>
  <c r="H1152" i="5"/>
  <c r="H986" i="5"/>
  <c r="H811" i="5"/>
  <c r="H652" i="5"/>
  <c r="H488" i="5"/>
  <c r="H329" i="5"/>
  <c r="H153" i="5"/>
  <c r="H3101" i="5"/>
  <c r="H2946" i="5"/>
  <c r="H2639" i="5"/>
  <c r="H1980" i="5"/>
  <c r="H1478" i="5"/>
  <c r="H1308" i="5"/>
  <c r="H1150" i="5"/>
  <c r="H985" i="5"/>
  <c r="H487" i="5"/>
  <c r="H328" i="5"/>
  <c r="H152" i="5"/>
  <c r="H3533" i="5"/>
  <c r="H3395" i="5"/>
  <c r="H2797" i="5"/>
  <c r="H2643" i="5"/>
  <c r="H2482" i="5"/>
  <c r="H2319" i="5"/>
  <c r="H2153" i="5"/>
  <c r="H1985" i="5"/>
  <c r="H1817" i="5"/>
  <c r="H1650" i="5"/>
  <c r="H1484" i="5"/>
  <c r="H1313" i="5"/>
  <c r="H657" i="5"/>
  <c r="H3913" i="5"/>
  <c r="H3766" i="5"/>
  <c r="H3624" i="5"/>
  <c r="H3478" i="5"/>
  <c r="H3345" i="5"/>
  <c r="H3197" i="5"/>
  <c r="H3042" i="5"/>
  <c r="H2736" i="5"/>
  <c r="H2579" i="5"/>
  <c r="H2417" i="5"/>
  <c r="H2250" i="5"/>
  <c r="H2086" i="5"/>
  <c r="H1916" i="5"/>
  <c r="H1747" i="5"/>
  <c r="H1582" i="5"/>
  <c r="H1411" i="5"/>
  <c r="H1249" i="5"/>
  <c r="H1092" i="5"/>
  <c r="H755" i="5"/>
  <c r="H589" i="5"/>
  <c r="H262" i="5"/>
  <c r="H92" i="5"/>
  <c r="H2477" i="5"/>
  <c r="H2315" i="5"/>
  <c r="H3929" i="5"/>
  <c r="H3777" i="5"/>
  <c r="H3640" i="5"/>
  <c r="H3493" i="5"/>
  <c r="H3212" i="5"/>
  <c r="H3056" i="5"/>
  <c r="H2902" i="5"/>
  <c r="H2751" i="5"/>
  <c r="H2593" i="5"/>
  <c r="H2432" i="5"/>
  <c r="H2264" i="5"/>
  <c r="H2102" i="5"/>
  <c r="H1932" i="5"/>
  <c r="H1764" i="5"/>
  <c r="H1597" i="5"/>
  <c r="H1429" i="5"/>
  <c r="H1264" i="5"/>
  <c r="H1108" i="5"/>
  <c r="H939" i="5"/>
  <c r="H772" i="5"/>
  <c r="H604" i="5"/>
  <c r="H442" i="5"/>
  <c r="H281" i="5"/>
  <c r="H110" i="5"/>
  <c r="H988" i="5"/>
  <c r="H813" i="5"/>
  <c r="H3960" i="5"/>
  <c r="H3808" i="5"/>
  <c r="H3669" i="5"/>
  <c r="H3522" i="5"/>
  <c r="H3386" i="5"/>
  <c r="H3242" i="5"/>
  <c r="H3091" i="5"/>
  <c r="H2935" i="5"/>
  <c r="H2783" i="5"/>
  <c r="H2628" i="5"/>
  <c r="H2465" i="5"/>
  <c r="H2302" i="5"/>
  <c r="H2138" i="5"/>
  <c r="H1968" i="5"/>
  <c r="H1801" i="5"/>
  <c r="H1634" i="5"/>
  <c r="H1468" i="5"/>
  <c r="H1301" i="5"/>
  <c r="H1143" i="5"/>
  <c r="H978" i="5"/>
  <c r="H805" i="5"/>
  <c r="H644" i="5"/>
  <c r="H477" i="5"/>
  <c r="H319" i="5"/>
  <c r="H145" i="5"/>
  <c r="H3965" i="5"/>
  <c r="H3813" i="5"/>
  <c r="H3096" i="5"/>
  <c r="H2941" i="5"/>
  <c r="H2789" i="5"/>
  <c r="H2634" i="5"/>
  <c r="H2471" i="5"/>
  <c r="H2308" i="5"/>
  <c r="H2143" i="5"/>
  <c r="H1974" i="5"/>
  <c r="H1807" i="5"/>
  <c r="H1639" i="5"/>
  <c r="H1473" i="5"/>
  <c r="H483" i="5"/>
  <c r="H324" i="5"/>
  <c r="H3972" i="5"/>
  <c r="H3819" i="5"/>
  <c r="H3678" i="5"/>
  <c r="H2949" i="5"/>
  <c r="H2479" i="5"/>
  <c r="H2316" i="5"/>
  <c r="H2151" i="5"/>
  <c r="H1647" i="5"/>
  <c r="H1481" i="5"/>
  <c r="H654" i="5"/>
  <c r="H3679" i="5"/>
  <c r="H3531" i="5"/>
  <c r="H3251" i="5"/>
  <c r="H3104" i="5"/>
  <c r="H2795" i="5"/>
  <c r="H2480" i="5"/>
  <c r="H2317" i="5"/>
  <c r="H1983" i="5"/>
  <c r="H1815" i="5"/>
  <c r="H1648" i="5"/>
  <c r="H1482" i="5"/>
  <c r="H1311" i="5"/>
  <c r="H1153" i="5"/>
  <c r="H989" i="5"/>
  <c r="H814" i="5"/>
  <c r="H655" i="5"/>
  <c r="H490" i="5"/>
  <c r="H331" i="5"/>
  <c r="H155" i="5"/>
  <c r="H3973" i="5"/>
  <c r="H3820" i="5"/>
  <c r="H3680" i="5"/>
  <c r="H3532" i="5"/>
  <c r="H3394" i="5"/>
  <c r="H3252" i="5"/>
  <c r="H3105" i="5"/>
  <c r="H2950" i="5"/>
  <c r="H2796" i="5"/>
  <c r="H2642" i="5"/>
  <c r="H2481" i="5"/>
  <c r="H2318" i="5"/>
  <c r="H2152" i="5"/>
  <c r="H1984" i="5"/>
  <c r="H1816" i="5"/>
  <c r="H1649" i="5"/>
  <c r="H1483" i="5"/>
  <c r="H1312" i="5"/>
  <c r="H1154" i="5"/>
  <c r="H990" i="5"/>
  <c r="H815" i="5"/>
  <c r="H656" i="5"/>
  <c r="H491" i="5"/>
  <c r="H332" i="5"/>
  <c r="H156" i="5"/>
  <c r="H991" i="5"/>
  <c r="H3970" i="5"/>
  <c r="H3676" i="5"/>
  <c r="H3529" i="5"/>
  <c r="H3249" i="5"/>
  <c r="H3102" i="5"/>
  <c r="H2947" i="5"/>
  <c r="H2640" i="5"/>
  <c r="H2313" i="5"/>
  <c r="H2149" i="5"/>
  <c r="H1981" i="5"/>
  <c r="H1812" i="5"/>
  <c r="H1645" i="5"/>
  <c r="H1479" i="5"/>
  <c r="H1309" i="5"/>
  <c r="H1151" i="5"/>
  <c r="H810" i="5"/>
  <c r="H651" i="5"/>
  <c r="H3974" i="5"/>
  <c r="H3681" i="5"/>
  <c r="H3396" i="5"/>
  <c r="H3253" i="5"/>
  <c r="H3106" i="5"/>
  <c r="H2951" i="5"/>
  <c r="H2798" i="5"/>
  <c r="H2644" i="5"/>
  <c r="H2483" i="5"/>
  <c r="H2320" i="5"/>
  <c r="H2154" i="5"/>
  <c r="H1986" i="5"/>
  <c r="H1818" i="5"/>
  <c r="H1651" i="5"/>
  <c r="H1485" i="5"/>
  <c r="H1314" i="5"/>
  <c r="H1155" i="5"/>
  <c r="H992" i="5"/>
  <c r="H816" i="5"/>
  <c r="H658" i="5"/>
  <c r="H492" i="5"/>
  <c r="H333" i="5"/>
  <c r="H1819" i="5"/>
  <c r="H1652" i="5"/>
  <c r="H1486" i="5"/>
  <c r="H1315" i="5"/>
  <c r="H1156" i="5"/>
  <c r="H993" i="5"/>
  <c r="H817" i="5"/>
  <c r="H659" i="5"/>
  <c r="H493" i="5"/>
  <c r="H334" i="5"/>
  <c r="H157" i="5"/>
  <c r="H3979" i="5"/>
  <c r="H3825" i="5"/>
  <c r="H3686" i="5"/>
  <c r="H3538" i="5"/>
  <c r="H3401" i="5"/>
  <c r="H3258" i="5"/>
  <c r="H3111" i="5"/>
  <c r="H2956" i="5"/>
  <c r="H2803" i="5"/>
  <c r="H2649" i="5"/>
  <c r="H2488" i="5"/>
  <c r="H2325" i="5"/>
  <c r="H2159" i="5"/>
  <c r="H1991" i="5"/>
  <c r="H1823" i="5"/>
  <c r="H1656" i="5"/>
  <c r="H1490" i="5"/>
  <c r="H1319" i="5"/>
  <c r="H1160" i="5"/>
  <c r="H997" i="5"/>
  <c r="H821" i="5"/>
  <c r="H663" i="5"/>
  <c r="H497" i="5"/>
  <c r="H338" i="5"/>
  <c r="H161" i="5"/>
  <c r="H3980" i="5"/>
  <c r="H3687" i="5"/>
  <c r="H3259" i="5"/>
  <c r="H3112" i="5"/>
  <c r="H2957" i="5"/>
  <c r="H2804" i="5"/>
  <c r="H2650" i="5"/>
  <c r="H2489" i="5"/>
  <c r="H1992" i="5"/>
  <c r="H1824" i="5"/>
  <c r="H1657" i="5"/>
  <c r="H1161" i="5"/>
  <c r="H822" i="5"/>
  <c r="H664" i="5"/>
  <c r="H498" i="5"/>
  <c r="H162" i="5"/>
  <c r="H3978" i="5"/>
  <c r="H3824" i="5"/>
  <c r="H3685" i="5"/>
  <c r="H3537" i="5"/>
  <c r="H3400" i="5"/>
  <c r="H3257" i="5"/>
  <c r="H3110" i="5"/>
  <c r="H2955" i="5"/>
  <c r="H2802" i="5"/>
  <c r="H2648" i="5"/>
  <c r="H2487" i="5"/>
  <c r="H2324" i="5"/>
  <c r="H2158" i="5"/>
  <c r="H1990" i="5"/>
  <c r="H1822" i="5"/>
  <c r="H1655" i="5"/>
  <c r="H1489" i="5"/>
  <c r="H1318" i="5"/>
  <c r="H1159" i="5"/>
  <c r="H996" i="5"/>
  <c r="H820" i="5"/>
  <c r="H662" i="5"/>
  <c r="H496" i="5"/>
  <c r="H337" i="5"/>
  <c r="H160" i="5"/>
  <c r="H3826" i="5"/>
  <c r="H3688" i="5"/>
  <c r="H2490" i="5"/>
  <c r="H1825" i="5"/>
  <c r="H1658" i="5"/>
  <c r="H1491" i="5"/>
  <c r="H1320" i="5"/>
  <c r="H1162" i="5"/>
  <c r="H998" i="5"/>
  <c r="H823" i="5"/>
  <c r="H665" i="5"/>
  <c r="H499" i="5"/>
  <c r="H339" i="5"/>
  <c r="H163" i="5"/>
  <c r="H3981" i="5"/>
  <c r="H3827" i="5"/>
  <c r="H3689" i="5"/>
  <c r="H3540" i="5"/>
  <c r="H3403" i="5"/>
  <c r="H3261" i="5"/>
  <c r="H3113" i="5"/>
  <c r="H2958" i="5"/>
  <c r="H2805" i="5"/>
  <c r="H2652" i="5"/>
  <c r="H2491" i="5"/>
  <c r="H2327" i="5"/>
  <c r="H2160" i="5"/>
  <c r="H1993" i="5"/>
  <c r="H1826" i="5"/>
  <c r="H1659" i="5"/>
  <c r="H1492" i="5"/>
  <c r="H1163" i="5"/>
  <c r="H824" i="5"/>
  <c r="H340" i="5"/>
  <c r="H3982" i="5"/>
  <c r="H3828" i="5"/>
  <c r="H3690" i="5"/>
  <c r="H3541" i="5"/>
  <c r="H3404" i="5"/>
  <c r="H3262" i="5"/>
  <c r="H3114" i="5"/>
  <c r="H2959" i="5"/>
  <c r="H2806" i="5"/>
  <c r="H2653" i="5"/>
  <c r="H2492" i="5"/>
  <c r="H2328" i="5"/>
  <c r="H2161" i="5"/>
  <c r="H1994" i="5"/>
  <c r="H1827" i="5"/>
  <c r="H1660" i="5"/>
  <c r="H1493" i="5"/>
  <c r="H1321" i="5"/>
  <c r="H1164" i="5"/>
  <c r="H999" i="5"/>
  <c r="H825" i="5"/>
  <c r="H667" i="5"/>
  <c r="H500" i="5"/>
  <c r="H341" i="5"/>
  <c r="H164" i="5"/>
  <c r="H666" i="5"/>
  <c r="H3983" i="5"/>
  <c r="H3829" i="5"/>
  <c r="H3691" i="5"/>
  <c r="H3542" i="5"/>
  <c r="H3405" i="5"/>
  <c r="H3263" i="5"/>
  <c r="H3115" i="5"/>
  <c r="H2961" i="5"/>
  <c r="H2807" i="5"/>
  <c r="H2655" i="5"/>
  <c r="H2494" i="5"/>
  <c r="H2329" i="5"/>
  <c r="H2162" i="5"/>
  <c r="H1995" i="5"/>
  <c r="H1828" i="5"/>
  <c r="H1661" i="5"/>
  <c r="H1495" i="5"/>
  <c r="H1322" i="5"/>
  <c r="H1165" i="5"/>
  <c r="H1001" i="5"/>
  <c r="H826" i="5"/>
  <c r="H668" i="5"/>
  <c r="H501" i="5"/>
  <c r="H343" i="5"/>
  <c r="H165" i="5"/>
  <c r="H968" i="5"/>
  <c r="H1742" i="5"/>
  <c r="H1085" i="5"/>
  <c r="H749" i="5"/>
  <c r="H582" i="5"/>
  <c r="H424" i="5"/>
  <c r="H255" i="5"/>
  <c r="H3984" i="5"/>
  <c r="H3830" i="5"/>
  <c r="H3692" i="5"/>
  <c r="H3543" i="5"/>
  <c r="H3406" i="5"/>
  <c r="H3264" i="5"/>
  <c r="H3116" i="5"/>
  <c r="H2962" i="5"/>
  <c r="H2808" i="5"/>
  <c r="H2656" i="5"/>
  <c r="H2495" i="5"/>
  <c r="H2330" i="5"/>
  <c r="H2163" i="5"/>
  <c r="H1996" i="5"/>
  <c r="H1829" i="5"/>
  <c r="H1662" i="5"/>
  <c r="H1496" i="5"/>
  <c r="H1323" i="5"/>
  <c r="H1166" i="5"/>
  <c r="H502" i="5"/>
  <c r="H3958" i="5"/>
  <c r="H3806" i="5"/>
  <c r="H3240" i="5"/>
  <c r="H3089" i="5"/>
  <c r="H2933" i="5"/>
  <c r="H2781" i="5"/>
  <c r="H2626" i="5"/>
  <c r="H2463" i="5"/>
  <c r="H2300" i="5"/>
  <c r="H2136" i="5"/>
  <c r="H1966" i="5"/>
  <c r="H1799" i="5"/>
  <c r="H1632" i="5"/>
  <c r="H475" i="5"/>
  <c r="H317" i="5"/>
  <c r="H3985" i="5"/>
  <c r="H3693" i="5"/>
  <c r="H3265" i="5"/>
  <c r="H3117" i="5"/>
  <c r="H2963" i="5"/>
  <c r="H2809" i="5"/>
  <c r="H2331" i="5"/>
  <c r="H2164" i="5"/>
  <c r="H1663" i="5"/>
  <c r="H1497" i="5"/>
  <c r="H1324" i="5"/>
  <c r="H1002" i="5"/>
  <c r="H827" i="5"/>
  <c r="H669" i="5"/>
  <c r="H503" i="5"/>
  <c r="H344" i="5"/>
  <c r="H166" i="5"/>
  <c r="H3986" i="5"/>
  <c r="H3831" i="5"/>
  <c r="H3544" i="5"/>
  <c r="H3407" i="5"/>
  <c r="H3266" i="5"/>
  <c r="H3118" i="5"/>
  <c r="H345" i="5"/>
  <c r="H3546" i="5"/>
  <c r="H2168" i="5"/>
  <c r="H2971" i="5"/>
  <c r="H3850" i="5"/>
  <c r="H3709" i="5"/>
  <c r="H3564" i="5"/>
  <c r="H1852" i="5"/>
  <c r="H1683" i="5"/>
  <c r="H1347" i="5"/>
  <c r="H1186" i="5"/>
  <c r="H1020" i="5"/>
  <c r="H189" i="5"/>
  <c r="H21" i="5"/>
  <c r="H3560" i="5"/>
  <c r="H2347" i="5"/>
  <c r="H2182" i="5"/>
  <c r="H1848" i="5"/>
  <c r="H362" i="5"/>
  <c r="H185" i="5"/>
  <c r="H3844" i="5"/>
  <c r="H3704" i="5"/>
  <c r="H3557" i="5"/>
  <c r="H3418" i="5"/>
  <c r="H3278" i="5"/>
  <c r="H2825" i="5"/>
  <c r="H2670" i="5"/>
  <c r="H2343" i="5"/>
  <c r="H1346" i="5"/>
  <c r="H1978" i="5"/>
  <c r="H1306" i="5"/>
  <c r="H1148" i="5"/>
  <c r="H983" i="5"/>
  <c r="H808" i="5"/>
  <c r="H649" i="5"/>
  <c r="H151" i="5"/>
  <c r="H2685" i="5"/>
  <c r="H2529" i="5"/>
  <c r="H1694" i="5"/>
  <c r="H1530" i="5"/>
  <c r="H1198" i="5"/>
  <c r="H1200" i="5"/>
  <c r="H3735" i="5"/>
  <c r="H3592" i="5"/>
  <c r="H3448" i="5"/>
  <c r="H2855" i="5"/>
  <c r="H2700" i="5"/>
  <c r="H3005" i="5"/>
  <c r="H3883" i="5"/>
  <c r="H3597" i="5"/>
  <c r="H1381" i="5"/>
  <c r="H3861" i="5"/>
  <c r="H3603" i="5"/>
  <c r="H2565" i="5"/>
  <c r="H2237" i="5"/>
  <c r="H2073" i="5"/>
  <c r="H1902" i="5"/>
  <c r="H572" i="5"/>
  <c r="H76" i="5"/>
  <c r="H571" i="5"/>
  <c r="H414" i="5"/>
  <c r="H2888" i="5"/>
  <c r="H2731" i="5"/>
  <c r="H87" i="5"/>
  <c r="H3852" i="5"/>
  <c r="H918" i="5"/>
  <c r="H3627" i="5"/>
  <c r="H3628" i="5"/>
  <c r="H3481" i="5"/>
  <c r="H3348" i="5"/>
  <c r="H2897" i="5"/>
  <c r="H3931" i="5"/>
  <c r="H3779" i="5"/>
  <c r="H3642" i="5"/>
  <c r="H3495" i="5"/>
  <c r="H3214" i="5"/>
  <c r="H3058" i="5"/>
  <c r="H2904" i="5"/>
  <c r="H2753" i="5"/>
  <c r="H2595" i="5"/>
  <c r="H2266" i="5"/>
  <c r="H936" i="5"/>
  <c r="H3059" i="5"/>
  <c r="H2905" i="5"/>
  <c r="H2435" i="5"/>
  <c r="H1266" i="5"/>
  <c r="H3921" i="5"/>
  <c r="H3935" i="5"/>
  <c r="H3219" i="5"/>
  <c r="H1438" i="5"/>
  <c r="H956" i="5"/>
  <c r="H1740" i="5"/>
  <c r="H253" i="5"/>
  <c r="H84" i="5"/>
  <c r="H462" i="5"/>
  <c r="H3078" i="5"/>
  <c r="H3662" i="5"/>
  <c r="H3516" i="5"/>
  <c r="H3379" i="5"/>
  <c r="H3233" i="5"/>
  <c r="H3080" i="5"/>
  <c r="H2774" i="5"/>
  <c r="H3084" i="5"/>
  <c r="H2929" i="5"/>
  <c r="H2778" i="5"/>
  <c r="H2622" i="5"/>
  <c r="H2294" i="5"/>
  <c r="H1960" i="5"/>
  <c r="H1794" i="5"/>
  <c r="H1627" i="5"/>
  <c r="H3804" i="5"/>
  <c r="H3087" i="5"/>
  <c r="H1797" i="5"/>
  <c r="H1630" i="5"/>
  <c r="H1463" i="5"/>
  <c r="H1464" i="5"/>
  <c r="H474" i="5"/>
  <c r="H2473" i="5"/>
  <c r="H3593" i="5"/>
  <c r="H3449" i="5"/>
  <c r="H3312" i="5"/>
  <c r="H3164" i="5"/>
  <c r="H3010" i="5"/>
  <c r="H2701" i="5"/>
  <c r="H919" i="5"/>
  <c r="H3975" i="5"/>
  <c r="H3821" i="5"/>
  <c r="H3682" i="5"/>
  <c r="H3534" i="5"/>
  <c r="H3397" i="5"/>
  <c r="H3254" i="5"/>
  <c r="H3107" i="5"/>
  <c r="H2952" i="5"/>
  <c r="H2799" i="5"/>
  <c r="H2645" i="5"/>
  <c r="H2484" i="5"/>
  <c r="H2321" i="5"/>
  <c r="H2155" i="5"/>
  <c r="H1987" i="5"/>
  <c r="H3539" i="5"/>
  <c r="H3402" i="5"/>
  <c r="H3260" i="5"/>
  <c r="H2651" i="5"/>
  <c r="H2326" i="5"/>
  <c r="H3667" i="5"/>
  <c r="H3520" i="5"/>
  <c r="H3384" i="5"/>
  <c r="H1466" i="5"/>
  <c r="H1299" i="5"/>
  <c r="H1141" i="5"/>
  <c r="H976" i="5"/>
  <c r="H803" i="5"/>
  <c r="H642" i="5"/>
  <c r="H14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2C63CD-57C7-4CBA-BA0E-427314991AC5}"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620956C7-460A-4A9D-AA67-280B57EB68B4}" keepAlive="1" name="Query - Imports_Clean" description="Connection to the 'Imports_Clean' query in the workbook." type="5" refreshedVersion="8" background="1" saveData="1">
    <dbPr connection="Provider=Microsoft.Mashup.OleDb.1;Data Source=$Workbook$;Location=Imports_Clean;Extended Properties=&quot;&quot;" command="SELECT * FROM [Imports_Clean]"/>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<sst xmlns="http://schemas.openxmlformats.org/spreadsheetml/2006/main" count="19164" uniqueCount="815">
  <si>
    <t>Data Source</t>
  </si>
  <si>
    <t>World Development Indicators</t>
  </si>
  <si>
    <t>Last Updated Date</t>
  </si>
  <si>
    <t>Country Name</t>
  </si>
  <si>
    <t>Country Code</t>
  </si>
  <si>
    <t>Indicator Name</t>
  </si>
  <si>
    <t>Indicator Code</t>
  </si>
  <si>
    <t>Aruba</t>
  </si>
  <si>
    <t>ABW</t>
  </si>
  <si>
    <t>Arms imports (SIPRI trend indicator values)</t>
  </si>
  <si>
    <t>MS.MIL.MPRT.KD</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</si>
  <si>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</si>
  <si>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</si>
  <si>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</si>
  <si>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</si>
  <si>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</si>
  <si>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</si>
  <si>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</si>
  <si>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</si>
  <si>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</si>
  <si>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</si>
  <si>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</si>
  <si>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</si>
  <si>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</si>
  <si>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</si>
  <si>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</si>
  <si>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</si>
  <si>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</si>
  <si>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</si>
  <si>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</si>
  <si>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</si>
  <si>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</si>
  <si>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</si>
  <si>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</si>
  <si>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</si>
  <si>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</si>
  <si>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</si>
  <si>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</si>
  <si>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</si>
  <si>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</si>
  <si>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</si>
  <si>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</si>
  <si>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</si>
  <si>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</si>
  <si>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</si>
  <si>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</si>
  <si>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</si>
  <si>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</si>
  <si>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</si>
  <si>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</si>
  <si>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</si>
  <si>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</si>
  <si>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</si>
  <si>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</si>
  <si>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</si>
  <si>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</si>
  <si>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</si>
  <si>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</si>
  <si>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</si>
  <si>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</si>
  <si>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</si>
  <si>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</si>
  <si>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</si>
  <si>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</si>
  <si>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</si>
  <si>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</si>
  <si>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</si>
  <si>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</si>
  <si>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</si>
  <si>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</si>
  <si>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</si>
  <si>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</si>
  <si>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</si>
  <si>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</si>
  <si>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</si>
  <si>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</si>
  <si>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</si>
  <si>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</si>
  <si>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</si>
  <si>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</si>
  <si>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</si>
  <si>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</si>
  <si>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</si>
  <si>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</si>
  <si>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</si>
  <si>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</si>
  <si>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</si>
  <si>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</si>
  <si>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</si>
  <si>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</si>
  <si>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</si>
  <si>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</si>
  <si>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</si>
  <si>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</si>
  <si>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</si>
  <si>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</si>
  <si>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</si>
  <si>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</si>
  <si>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</si>
  <si>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</si>
  <si>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</si>
  <si>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</si>
  <si>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</si>
  <si>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</si>
  <si>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</si>
  <si>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</si>
  <si>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</si>
  <si>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</si>
  <si>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</si>
  <si>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</si>
  <si>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</si>
  <si>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</si>
  <si>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</si>
  <si>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</si>
  <si>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</si>
  <si>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</si>
  <si>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</si>
  <si>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</si>
  <si>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</si>
  <si>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</si>
  <si>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</si>
  <si>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</si>
  <si>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</si>
  <si>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</si>
  <si>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</si>
  <si>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</si>
  <si>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</si>
  <si>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</si>
  <si>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</si>
  <si>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</si>
  <si>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</si>
  <si>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</si>
  <si>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</si>
  <si>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</si>
  <si>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</si>
  <si>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</si>
  <si>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</si>
  <si>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</si>
  <si>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</si>
  <si>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</si>
  <si>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</si>
  <si>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</si>
  <si>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</si>
  <si>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</si>
  <si>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</si>
  <si>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</si>
  <si>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</si>
  <si>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</si>
  <si>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</si>
  <si>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</si>
  <si>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</si>
  <si>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</si>
  <si>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</si>
  <si>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</si>
  <si>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</si>
  <si>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</si>
  <si>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</si>
  <si>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Fragility, Conflict, and Violence (FCV) situations</t>
  </si>
  <si>
    <t>FCV</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</si>
  <si>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</si>
  <si>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</si>
  <si>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</si>
  <si>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</si>
  <si>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</si>
  <si>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</si>
  <si>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</si>
  <si>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</si>
  <si>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</si>
  <si>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</si>
  <si>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</si>
  <si>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</si>
  <si>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</si>
  <si>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</si>
  <si>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</si>
  <si>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</si>
  <si>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</si>
  <si>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</si>
  <si>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</si>
  <si>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</si>
  <si>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</si>
  <si>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</si>
  <si>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</si>
  <si>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</si>
  <si>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</si>
  <si>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</si>
  <si>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</si>
  <si>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</si>
  <si>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</si>
  <si>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</si>
  <si>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</si>
  <si>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</si>
  <si>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</si>
  <si>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</si>
  <si>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</si>
  <si>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</si>
  <si>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</si>
  <si>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</si>
  <si>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</si>
  <si>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</si>
  <si>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</si>
  <si>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</si>
  <si>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</si>
  <si>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</si>
  <si>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</si>
  <si>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</si>
  <si>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</si>
  <si>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</si>
  <si>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</si>
  <si>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</si>
  <si>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</si>
  <si>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</si>
  <si>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</si>
  <si>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</si>
  <si>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</si>
  <si>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</si>
  <si>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</si>
  <si>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</si>
  <si>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</si>
  <si>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</si>
  <si>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</si>
  <si>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</si>
  <si>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</si>
  <si>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</si>
  <si>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</si>
  <si>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</si>
  <si>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</si>
  <si>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</si>
  <si>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</si>
  <si>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</si>
  <si>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</si>
  <si>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</si>
  <si>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</si>
  <si>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</si>
  <si>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</si>
  <si>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</si>
  <si>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</si>
  <si>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</si>
  <si>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</si>
  <si>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</si>
  <si>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</si>
  <si>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</si>
  <si>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</si>
  <si>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</si>
  <si>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</si>
  <si>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</si>
  <si>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</si>
  <si>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</si>
  <si>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</si>
  <si>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</si>
  <si>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</si>
  <si>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</si>
  <si>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</si>
  <si>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</si>
  <si>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</si>
  <si>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</si>
  <si>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</si>
  <si>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</si>
  <si>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</si>
  <si>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</si>
  <si>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</si>
  <si>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</si>
  <si>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</si>
  <si>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</si>
  <si>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</si>
  <si>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</si>
  <si>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</si>
  <si>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</si>
  <si>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</si>
  <si>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</si>
  <si>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</si>
  <si>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</si>
  <si>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</si>
  <si>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</si>
  <si>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</si>
  <si>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</si>
  <si>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</si>
  <si>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</si>
  <si>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</si>
  <si>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</si>
  <si>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</si>
  <si>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</si>
  <si>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</si>
  <si>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</si>
  <si>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</si>
  <si>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</si>
  <si>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</si>
  <si>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</si>
  <si>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</si>
  <si>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</si>
  <si>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</si>
  <si>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</si>
  <si>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</si>
  <si>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</si>
  <si>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</si>
  <si>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</si>
  <si>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</si>
  <si>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</si>
  <si>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</si>
  <si>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</si>
  <si>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</si>
  <si>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</si>
  <si>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</si>
  <si>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</si>
  <si>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</si>
  <si>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</si>
  <si>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</si>
  <si>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</si>
  <si>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</si>
  <si>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</si>
  <si>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</si>
  <si>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</si>
  <si>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</si>
  <si>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</si>
  <si>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</si>
  <si>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</si>
  <si>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</si>
  <si>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</si>
  <si>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</si>
  <si>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</si>
  <si>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</si>
  <si>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</si>
  <si>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</si>
  <si>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</si>
  <si>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</si>
  <si>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</si>
  <si>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</si>
  <si>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</si>
  <si>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</si>
  <si>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</si>
  <si>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</si>
  <si>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</si>
  <si>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</si>
  <si>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</si>
  <si>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</si>
  <si>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</si>
  <si>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</si>
  <si>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</si>
  <si>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</si>
  <si>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</si>
  <si>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</si>
  <si>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</si>
  <si>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</si>
  <si>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</si>
  <si>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</si>
  <si>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</si>
  <si>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</si>
  <si>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</si>
  <si>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</si>
  <si>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</si>
  <si>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</si>
  <si>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</si>
  <si>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</si>
  <si>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</si>
  <si>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</si>
  <si>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</si>
  <si>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</si>
  <si>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</si>
  <si>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</si>
  <si>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</si>
  <si>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</si>
  <si>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</si>
  <si>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</si>
  <si>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</si>
  <si>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</si>
  <si>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</si>
  <si>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</si>
  <si>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</si>
  <si>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Naoero</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</si>
  <si>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</si>
  <si>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</si>
  <si>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</si>
  <si>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</si>
  <si>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</si>
  <si>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</si>
  <si>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</si>
  <si>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</si>
  <si>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</si>
  <si>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</si>
  <si>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</si>
  <si>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</si>
  <si>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</si>
  <si>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</si>
  <si>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</si>
  <si>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</si>
  <si>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</si>
  <si>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</si>
  <si>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</si>
  <si>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</si>
  <si>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</si>
  <si>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</si>
  <si>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</si>
  <si>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</si>
  <si>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</si>
  <si>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</si>
  <si>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</si>
  <si>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</si>
  <si>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</si>
  <si>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</si>
  <si>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</si>
  <si>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</si>
  <si>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</si>
  <si>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</si>
  <si>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</si>
  <si>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</si>
  <si>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</si>
  <si>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</si>
  <si>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</si>
  <si>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</si>
  <si>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</si>
  <si>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</si>
  <si>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</si>
  <si>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</si>
  <si>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</si>
  <si>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</si>
  <si>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</si>
  <si>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</si>
  <si>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</si>
  <si>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</si>
  <si>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</si>
  <si>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</si>
  <si>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</si>
  <si>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</si>
  <si>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</si>
  <si>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</si>
  <si>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</si>
  <si>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</si>
  <si>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</si>
  <si>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</si>
  <si>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</si>
  <si>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</si>
  <si>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</si>
  <si>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</si>
  <si>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</si>
  <si>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</si>
  <si>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</si>
  <si>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</si>
  <si>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</si>
  <si>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</si>
  <si>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</si>
  <si>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</si>
  <si>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</si>
  <si>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</si>
  <si>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</si>
  <si>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</si>
  <si>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</si>
  <si>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</si>
  <si>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</si>
  <si>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</si>
  <si>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</si>
  <si>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</si>
  <si>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</si>
  <si>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</si>
  <si>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</si>
  <si>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</si>
  <si>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</si>
  <si>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</si>
  <si>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</si>
  <si>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</si>
  <si>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</si>
  <si>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</si>
  <si>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</si>
  <si>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</si>
  <si>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</si>
  <si>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</si>
  <si>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</si>
  <si>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</si>
  <si>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</si>
  <si>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</si>
  <si>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</si>
  <si>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</si>
  <si>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</si>
  <si>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</si>
  <si>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</si>
  <si>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</si>
  <si>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</si>
  <si>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</si>
  <si>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</si>
  <si>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</si>
  <si>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</si>
  <si>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</si>
  <si>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</si>
  <si>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</si>
  <si>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</si>
  <si>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</si>
  <si>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</si>
  <si>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</si>
  <si>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</si>
  <si>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</si>
  <si>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</si>
  <si>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</si>
  <si>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</si>
  <si>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</si>
  <si>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</si>
  <si>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</si>
  <si>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</si>
  <si>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</si>
  <si>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</si>
  <si>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</si>
  <si>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</si>
  <si>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</si>
  <si>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</si>
  <si>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</si>
  <si>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</si>
  <si>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</si>
  <si>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</si>
  <si>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</si>
  <si>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</si>
  <si>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</si>
  <si>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</si>
  <si>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</si>
  <si>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</si>
  <si>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</si>
  <si>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</si>
  <si>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</si>
  <si>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</si>
  <si>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</si>
  <si>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</si>
  <si>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</si>
  <si>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</si>
  <si>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</si>
  <si>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</si>
  <si>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</si>
  <si>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</si>
  <si>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</si>
  <si>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</si>
  <si>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</si>
  <si>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</si>
  <si>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</si>
  <si>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</si>
  <si>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</si>
  <si>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</si>
  <si>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</si>
  <si>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</si>
  <si>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</si>
  <si>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</si>
  <si>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</si>
  <si>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</si>
  <si>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</si>
  <si>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</si>
  <si>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</si>
  <si>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</si>
  <si>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Arms exports (SIPRI trend indicator values)</t>
  </si>
  <si>
    <t>MS.MIL.XPRT.KD</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</si>
  <si>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</si>
  <si>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</si>
  <si>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</si>
  <si>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</si>
  <si>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</si>
  <si>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</si>
  <si>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</si>
  <si>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</si>
  <si>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1994-2025. Alternative conversion factors are used in the Atlas methodology and elsewhere in World Development Indicators as single-year conversion factors.</t>
  </si>
  <si>
    <t>Arab World aggregate. Arab World is composed of members of the League of Arab States.</t>
  </si>
  <si>
    <t>Due to the limitations of the Atlas method in classifying countries experiencing persistent high inflation, this economy remains classified as upper-middle-income.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</si>
  <si>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</si>
  <si>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</si>
  <si>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1983-2025.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</si>
  <si>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</si>
  <si>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2026: 1 euro = 1.95583 Bulgarian Lev. Please note that historical data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</si>
  <si>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</si>
  <si>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</si>
  <si>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</si>
  <si>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</si>
  <si>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</si>
  <si>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</si>
  <si>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</si>
  <si>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</si>
  <si>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</si>
  <si>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</si>
  <si>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</si>
  <si>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</si>
  <si>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</si>
  <si>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</si>
  <si>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</si>
  <si>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</si>
  <si>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</si>
  <si>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</si>
  <si>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</si>
  <si>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</si>
  <si>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Fragility, Conflict, and Violence (FCV) situations has replaced the previous FCS (Fragile and Conflict-Affected Situations) terminology. Until FY2027, a single Harmonized List of Fragile Situations combined "conflict" and "institutional" fragility. As of July 2026, the public FCV list includes countries where at least 20% of the population lives in areas with high conflict-related fatalities during a reference period. Along with a separted institutional fragility list, more information is available at: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</si>
  <si>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</si>
  <si>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</si>
  <si>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</si>
  <si>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</si>
  <si>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</si>
  <si>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</si>
  <si>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</si>
  <si>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</si>
  <si>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For FY27 (July 1, 2026–June 30, 2027), income groups are defined using 2025 GNI per capita (Atlas method): low income (LIC) ($1,175 or less); lower middle income (LMC) ($1,176–$4,635); upper middle income (UMC) ($4,636–$14,375); and high income (HIC) (above $14,375).
“Low- and middle-income (LMY)” economies include low-, lower middle-, and upper middle-income groups, while “middle-income (MIC)” economies include lower middle- and upper middle-income groups.</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</si>
  <si>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</si>
  <si>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</si>
  <si>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</si>
  <si>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</si>
  <si>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</si>
  <si>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</si>
  <si>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</si>
  <si>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</si>
  <si>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</si>
  <si>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</si>
  <si>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</si>
  <si>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</si>
  <si>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</si>
  <si>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</si>
  <si>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1972-2025.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</si>
  <si>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</si>
  <si>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</si>
  <si>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</si>
  <si>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</si>
  <si>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1984-2025. Alternative conversion factors are used in the Atlas methodology and elsewhere in World Development Indicators as single-year conversion factors.</t>
  </si>
  <si>
    <t>National accounts data are provided in the US dollar.</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</si>
  <si>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</si>
  <si>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</si>
  <si>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</si>
  <si>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</si>
  <si>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</si>
  <si>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</si>
  <si>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</si>
  <si>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</si>
  <si>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</si>
  <si>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</si>
  <si>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</si>
  <si>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</si>
  <si>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</si>
  <si>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</si>
  <si>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</si>
  <si>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</si>
  <si>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</si>
  <si>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</si>
  <si>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</si>
  <si>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</si>
  <si>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</si>
  <si>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</si>
  <si>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</si>
  <si>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</si>
  <si>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</si>
  <si>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</si>
  <si>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</si>
  <si>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</si>
  <si>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</si>
  <si>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</si>
  <si>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</si>
  <si>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</si>
  <si>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</si>
  <si>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</si>
  <si>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</si>
  <si>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</si>
  <si>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</si>
  <si>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</si>
  <si>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</si>
  <si>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</si>
  <si>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2011-2025.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</si>
  <si>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</si>
  <si>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</si>
  <si>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</si>
  <si>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</si>
  <si>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</si>
  <si>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2019-2025.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</si>
  <si>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</si>
  <si>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</si>
  <si>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</si>
  <si>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</si>
  <si>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</si>
  <si>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</si>
  <si>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Due to the limitations of the Atlas method in classifying countries experiencing persistent high inflation, this economy remains classified as upper-middle-income.</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</si>
  <si>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</si>
  <si>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</si>
  <si>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</si>
  <si>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</si>
  <si>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</si>
  <si>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</si>
  <si>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</si>
  <si>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</si>
  <si>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</si>
  <si>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</si>
  <si>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</si>
  <si>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</si>
  <si>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</si>
  <si>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Arms Transfers Programme, Stockholm International Peace Research Institute (SIPRI), uri: https://armstransfers.sipri.org/ArmsTransfer/</t>
  </si>
  <si>
    <t>Clean_Data</t>
  </si>
  <si>
    <t>Country_Code</t>
  </si>
  <si>
    <t>Country_Name</t>
  </si>
  <si>
    <t>Year</t>
  </si>
  <si>
    <t>Imports_TIV</t>
  </si>
  <si>
    <t>Exports_TIV</t>
  </si>
  <si>
    <t>Net_Trade_TIV</t>
  </si>
  <si>
    <t>Total_Volume_TIV</t>
  </si>
  <si>
    <t>Income_Group</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</si>
  <si>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</si>
  <si>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</si>
  <si>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</si>
  <si>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</si>
  <si>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</si>
  <si>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</si>
  <si>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</si>
  <si>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</si>
  <si>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</si>
  <si>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</si>
  <si>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</si>
  <si>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</si>
  <si>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</si>
  <si>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</si>
  <si>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</si>
  <si>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</si>
  <si>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</si>
  <si>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</si>
  <si>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</si>
  <si>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</si>
  <si>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</si>
  <si>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</si>
  <si>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</si>
  <si>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</si>
  <si>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</si>
  <si>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</si>
  <si>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</si>
  <si>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</si>
  <si>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</si>
  <si>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</si>
  <si>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</si>
  <si>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</si>
  <si>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</si>
  <si>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</si>
  <si>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</si>
  <si>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</si>
  <si>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</si>
  <si>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</si>
  <si>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</si>
  <si>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</si>
  <si>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</si>
  <si>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</si>
  <si>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</si>
  <si>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</si>
  <si>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</si>
  <si>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</si>
  <si>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</si>
  <si>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</si>
  <si>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</si>
  <si>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</si>
  <si>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</si>
  <si>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</si>
  <si>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</si>
  <si>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</si>
  <si>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</si>
  <si>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</si>
  <si>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</si>
  <si>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</si>
  <si>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</si>
  <si>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</si>
  <si>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</si>
  <si>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</si>
  <si>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</si>
  <si>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</si>
  <si>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</si>
  <si>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</si>
  <si>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Global Arms Transfers &amp; Defense Alignment (2000–2024)</t>
  </si>
  <si>
    <t>Source: World Bank WDI / SIPRI TIV Database | Master Dataset Analysis</t>
  </si>
  <si>
    <t>METRIC</t>
  </si>
  <si>
    <t>Total Global Trade Volume (National)</t>
  </si>
  <si>
    <t>Total Global Exports (National)</t>
  </si>
  <si>
    <t>Total Global Imports (National)</t>
  </si>
  <si>
    <t>Net Arms Exporter Surplus / Deficit</t>
  </si>
  <si>
    <t>Distinct Sovereign Entities Tracked</t>
  </si>
  <si>
    <t>Timeline Period</t>
  </si>
  <si>
    <t>VALUE (TIV)</t>
  </si>
  <si>
    <t>Rank</t>
  </si>
  <si>
    <t>Exporter Country</t>
  </si>
  <si>
    <t>ISO-3</t>
  </si>
  <si>
    <t>Cumulative Exports (TIV)</t>
  </si>
  <si>
    <t>Global Share (%)</t>
  </si>
  <si>
    <t>Importer Country</t>
  </si>
  <si>
    <t>Cumulative Imports (TIV)</t>
  </si>
  <si>
    <t>Exports (TIV)</t>
  </si>
  <si>
    <t>Imports (TIV)</t>
  </si>
  <si>
    <t>Net Trade (TIV)</t>
  </si>
  <si>
    <t>Trade Orientation</t>
  </si>
  <si>
    <t>ANNUAL EXPORT TRENDS: TOP 5 GLOBAL SUPPLIERS (2000–2024)</t>
  </si>
  <si>
    <t>Top 5 Combined (TIV)</t>
  </si>
  <si>
    <t>Global Defense Trade: Trajectories &amp; Strategic Alignment (2000–2024)</t>
  </si>
  <si>
    <t>World Bank / SIPRI TIV Trend Visualizations</t>
  </si>
  <si>
    <t>Row Labels</t>
  </si>
  <si>
    <t>Grand Total</t>
  </si>
  <si>
    <t>Column Labels</t>
  </si>
  <si>
    <t>(Multiple Items)</t>
  </si>
  <si>
    <t>Total Net Trade (TIV)</t>
  </si>
  <si>
    <t>Total Total Volume (TIV)</t>
  </si>
  <si>
    <t>Total Volume (TIV)</t>
  </si>
  <si>
    <t>Sheet Name</t>
  </si>
  <si>
    <t>Description</t>
  </si>
  <si>
    <t>Imports_Raw</t>
  </si>
  <si>
    <t>World Bank / SIPRI</t>
  </si>
  <si>
    <t>Exports_Raw</t>
  </si>
  <si>
    <t>Analysis</t>
  </si>
  <si>
    <t>Dashboard</t>
  </si>
  <si>
    <t>GLOBAL ARMS TRANSFERS &amp; DEFENSE POLICY (2000–2024)</t>
  </si>
  <si>
    <t>Workbook Navigation Index &amp; Analytical Directory | Master Dataset Architecture</t>
  </si>
  <si>
    <t>Raw World Bank / SIPRI arms imports records</t>
  </si>
  <si>
    <t>Raw World Bank / SIPRI arms exports records</t>
  </si>
  <si>
    <t>3,985 dyadic observations, enriched metadata, net trade calculations</t>
  </si>
  <si>
    <t>Macro KPIs, Top 10 rankings, regional balances, 25-yr supplier trajectory</t>
  </si>
  <si>
    <t>Three-panel visual dashboard (trends, volumes, regional diverging balances)</t>
  </si>
  <si>
    <t>Pivot_Table</t>
  </si>
  <si>
    <t>Income tier cross-tabulation with dynamic region slicers</t>
  </si>
  <si>
    <t>Data_Dictionary</t>
  </si>
  <si>
    <t>Complete variable schemas, indicators, and methodology notes</t>
  </si>
  <si>
    <t xml:space="preserve">Project: Global Arms Transfers &amp; Defense Alignment (2000–2024) </t>
  </si>
  <si>
    <t>Dataset / Series Name</t>
  </si>
  <si>
    <t>Organization</t>
  </si>
  <si>
    <t>Direct Source URL / Portal</t>
  </si>
  <si>
    <t>Arms Exports (SIPRI Trend Indicator Values)</t>
  </si>
  <si>
    <t>Arms Imports (SIPRI Trend Indicator Values)</t>
  </si>
  <si>
    <t>SIPRI Arms Transfers Database Methodology</t>
  </si>
  <si>
    <t>Stockholm International Peace Research Institute (SIPRI)</t>
  </si>
  <si>
    <t>TIV Methodology</t>
  </si>
  <si>
    <t>World Development Indicators (WDI) Metadata</t>
  </si>
  <si>
    <t>World Bank</t>
  </si>
  <si>
    <t>Country &amp; Lending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</si>
</sst>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0" formatCode="_(* #,##0_);_(* \(#,##0\);_(* &quot;-&quot;??_);_(@_)"/>
    <numFmt numFmtId="171" formatCode="0.0%"/>
  </numFmts>
  <fonts count="9">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rial Unicode MS"/>
    </font>
    <font>
      <sz val="10"/>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
      <i/>
      <sz val="10"/>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25">
    <xf numFmtId="0" fontId="0" fillId="0" borderId="0" xfId="0"/>
    <xf numFmtId="14" fontId="0" fillId="0" borderId="0" xfId="0" applyNumberFormat="1"/>
    <xf numFmtId="0" fontId="0" fillId="0" borderId="0" xfId="0" applyAlignment="1">
      <alignment wrapText="1"/>
    </xf>
    <xf numFmtId="0" fontId="0" fillId="0" borderId="0" xfId="0" applyNumberFormat="1"/>
    <xf numFmtId="3" fontId="0" fillId="0" borderId="0" xfId="0" applyNumberFormat="1"/>
    <xf numFmtId="0" fontId="0" fillId="0" borderId="0" xfId="1" applyNumberFormat="1" applyFont="1"/>
    <xf numFmtId="0" fontId="2" fillId="2" borderId="0" xfId="0" applyFont="1" applyFill="1"/>
    <xf numFmtId="0" fontId="3" fillId="2" borderId="0" xfId="0" applyFont="1" applyFill="1"/>
    <xf numFmtId="0" fontId="4" fillId="2" borderId="0" xfId="0" applyFont="1" applyFill="1"/>
    <xf numFmtId="170" fontId="0" fillId="0" borderId="0" xfId="1" applyNumberFormat="1" applyFont="1"/>
    <xf numFmtId="9" fontId="0" fillId="0" borderId="0" xfId="2" applyFont="1"/>
    <xf numFmtId="170" fontId="2" fillId="2" borderId="0" xfId="1" applyNumberFormat="1" applyFont="1" applyFill="1"/>
    <xf numFmtId="9" fontId="2" fillId="2" borderId="0" xfId="2" applyFont="1" applyFill="1"/>
    <xf numFmtId="171" fontId="0" fillId="0" borderId="0" xfId="2" applyNumberFormat="1" applyFont="1"/>
    <xf numFmtId="0" fontId="6" fillId="0" borderId="0" xfId="0" applyFont="1"/>
    <xf numFmtId="0" fontId="0" fillId="2" borderId="0" xfId="0" applyFill="1"/>
    <xf numFmtId="0" fontId="0" fillId="0" borderId="0" xfId="0" pivotButton="1"/>
    <xf numFmtId="0" fontId="0" fillId="0" borderId="0" xfId="0" applyAlignment="1">
      <alignment horizontal="left"/>
    </xf>
    <xf numFmtId="0" fontId="7" fillId="2" borderId="0" xfId="0" applyFont="1" applyFill="1"/>
    <xf numFmtId="0" fontId="8" fillId="2" borderId="0" xfId="0" applyFont="1" applyFill="1"/>
    <xf numFmtId="0" fontId="0" fillId="0" borderId="0" xfId="0" applyFill="1"/>
    <xf numFmtId="0" fontId="7" fillId="2" borderId="0" xfId="0" applyFont="1" applyFill="1" applyAlignment="1">
      <alignment horizontal="center"/>
    </xf>
    <xf numFmtId="0" fontId="2" fillId="2" borderId="0" xfId="0" applyFont="1" applyFill="1" applyAlignment="1"/>
    <xf numFmtId="0" fontId="5" fillId="0" borderId="0" xfId="3"/>
    <xf numFmtId="0" fontId="2" fillId="0" borderId="0" xfId="0" applyFont="1" applyFill="1"/>
  </cellXfs>
  <cellStyles count="4">
    <cellStyle name="Comma" xfId="1" builtinId="3"/>
    <cellStyle name="Hyperlink" xfId="3" builtinId="8"/>
    <cellStyle name="Normal" xfId="0" builtinId="0"/>
    <cellStyle name="Per cent" xfId="2" builtinId="5"/>
  </cellStyles>
  <dxfs count="13">
    <dxf>
      <numFmt numFmtId="0" formatCode="Genera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Major Arms Exporters: 25-Year Trajectories (2000–2024)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Analysis!$C$34</c:f>
              <c:strCache>
                <c:ptCount val="1"/>
                <c:pt idx="0">
                  <c:v>United States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Analysis!$B$35:$B$59</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Analysis!$C$35:$C$59</c:f>
              <c:numCache>
                <c:formatCode>_(* #,##0_);_(* \(#,##0\);_(* "-"??_);_(@_)</c:formatCode>
                <c:ptCount val="25"/>
                <c:pt idx="0">
                  <c:v>7678000000</c:v>
                </c:pt>
                <c:pt idx="1">
                  <c:v>5591000000</c:v>
                </c:pt>
                <c:pt idx="2">
                  <c:v>4872000000</c:v>
                </c:pt>
                <c:pt idx="3">
                  <c:v>5684000000</c:v>
                </c:pt>
                <c:pt idx="4">
                  <c:v>6869000000</c:v>
                </c:pt>
                <c:pt idx="5">
                  <c:v>6724000000</c:v>
                </c:pt>
                <c:pt idx="6">
                  <c:v>7497000000</c:v>
                </c:pt>
                <c:pt idx="7">
                  <c:v>7870000000</c:v>
                </c:pt>
                <c:pt idx="8">
                  <c:v>7089000000</c:v>
                </c:pt>
                <c:pt idx="9">
                  <c:v>7151000000</c:v>
                </c:pt>
                <c:pt idx="10">
                  <c:v>8354000000</c:v>
                </c:pt>
                <c:pt idx="11">
                  <c:v>9041000000</c:v>
                </c:pt>
                <c:pt idx="12">
                  <c:v>8965000000</c:v>
                </c:pt>
                <c:pt idx="13">
                  <c:v>7770000000</c:v>
                </c:pt>
                <c:pt idx="14">
                  <c:v>9455000000</c:v>
                </c:pt>
                <c:pt idx="15">
                  <c:v>10314000000</c:v>
                </c:pt>
                <c:pt idx="16">
                  <c:v>9890000000</c:v>
                </c:pt>
                <c:pt idx="17">
                  <c:v>11381000000</c:v>
                </c:pt>
                <c:pt idx="18">
                  <c:v>9264000000</c:v>
                </c:pt>
                <c:pt idx="19">
                  <c:v>10498000000</c:v>
                </c:pt>
                <c:pt idx="20">
                  <c:v>9730000000</c:v>
                </c:pt>
                <c:pt idx="21">
                  <c:v>11601000000</c:v>
                </c:pt>
                <c:pt idx="22">
                  <c:v>14505000000</c:v>
                </c:pt>
                <c:pt idx="23">
                  <c:v>10920000000</c:v>
                </c:pt>
                <c:pt idx="24">
                  <c:v>13651000000</c:v>
                </c:pt>
              </c:numCache>
            </c:numRef>
          </c:val>
          <c:smooth val="0"/>
          <c:extLst>
            <c:ext xmlns:c16="http://schemas.microsoft.com/office/drawing/2014/chart" uri="{C3380CC4-5D6E-409C-BE32-E72D297353CC}">
              <c16:uniqueId val="{00000001-F96D-4C3F-B434-408F5C8528F9}"/>
            </c:ext>
          </c:extLst>
        </c:ser>
        <c:ser>
          <c:idx val="2"/>
          <c:order val="1"/>
          <c:tx>
            <c:strRef>
              <c:f>Analysis!$D$34</c:f>
              <c:strCache>
                <c:ptCount val="1"/>
                <c:pt idx="0">
                  <c:v>Russian Federation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Analysis!$B$35:$B$59</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Analysis!$D$35:$D$59</c:f>
              <c:numCache>
                <c:formatCode>_(* #,##0_);_(* \(#,##0\);_(* "-"??_);_(@_)</c:formatCode>
                <c:ptCount val="25"/>
                <c:pt idx="0">
                  <c:v>4496000000</c:v>
                </c:pt>
                <c:pt idx="1">
                  <c:v>5250000000</c:v>
                </c:pt>
                <c:pt idx="2">
                  <c:v>5735000000</c:v>
                </c:pt>
                <c:pt idx="3">
                  <c:v>5266000000</c:v>
                </c:pt>
                <c:pt idx="4">
                  <c:v>6353000000</c:v>
                </c:pt>
                <c:pt idx="5">
                  <c:v>5199000000</c:v>
                </c:pt>
                <c:pt idx="6">
                  <c:v>5182000000</c:v>
                </c:pt>
                <c:pt idx="7">
                  <c:v>5596000000</c:v>
                </c:pt>
                <c:pt idx="8">
                  <c:v>5998000000</c:v>
                </c:pt>
                <c:pt idx="9">
                  <c:v>5126000000</c:v>
                </c:pt>
                <c:pt idx="10">
                  <c:v>6227000000</c:v>
                </c:pt>
                <c:pt idx="11">
                  <c:v>8793000000</c:v>
                </c:pt>
                <c:pt idx="12">
                  <c:v>8335000000</c:v>
                </c:pt>
                <c:pt idx="13">
                  <c:v>7887000000</c:v>
                </c:pt>
                <c:pt idx="14">
                  <c:v>5404000000</c:v>
                </c:pt>
                <c:pt idx="15">
                  <c:v>5799000000</c:v>
                </c:pt>
                <c:pt idx="16">
                  <c:v>6751000000</c:v>
                </c:pt>
                <c:pt idx="17">
                  <c:v>6395000000</c:v>
                </c:pt>
                <c:pt idx="18">
                  <c:v>7145000000</c:v>
                </c:pt>
                <c:pt idx="19">
                  <c:v>5374000000</c:v>
                </c:pt>
                <c:pt idx="20">
                  <c:v>3660000000</c:v>
                </c:pt>
                <c:pt idx="21">
                  <c:v>2397000000</c:v>
                </c:pt>
                <c:pt idx="22">
                  <c:v>2566000000</c:v>
                </c:pt>
                <c:pt idx="23">
                  <c:v>1513000000</c:v>
                </c:pt>
                <c:pt idx="24">
                  <c:v>1994000000</c:v>
                </c:pt>
              </c:numCache>
            </c:numRef>
          </c:val>
          <c:smooth val="0"/>
          <c:extLst>
            <c:ext xmlns:c16="http://schemas.microsoft.com/office/drawing/2014/chart" uri="{C3380CC4-5D6E-409C-BE32-E72D297353CC}">
              <c16:uniqueId val="{00000002-F96D-4C3F-B434-408F5C8528F9}"/>
            </c:ext>
          </c:extLst>
        </c:ser>
        <c:ser>
          <c:idx val="3"/>
          <c:order val="2"/>
          <c:tx>
            <c:strRef>
              <c:f>Analysis!$E$34</c:f>
              <c:strCache>
                <c:ptCount val="1"/>
                <c:pt idx="0">
                  <c:v>France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Analysis!$B$35:$B$59</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Analysis!$E$35:$E$59</c:f>
              <c:numCache>
                <c:formatCode>_(* #,##0_);_(* \(#,##0\);_(* "-"??_);_(@_)</c:formatCode>
                <c:ptCount val="25"/>
                <c:pt idx="0">
                  <c:v>966000000</c:v>
                </c:pt>
                <c:pt idx="1">
                  <c:v>1311000000</c:v>
                </c:pt>
                <c:pt idx="2">
                  <c:v>1375000000</c:v>
                </c:pt>
                <c:pt idx="3">
                  <c:v>1348000000</c:v>
                </c:pt>
                <c:pt idx="4">
                  <c:v>2117000000</c:v>
                </c:pt>
                <c:pt idx="5">
                  <c:v>1645000000</c:v>
                </c:pt>
                <c:pt idx="6">
                  <c:v>1484000000</c:v>
                </c:pt>
                <c:pt idx="7">
                  <c:v>2145000000</c:v>
                </c:pt>
                <c:pt idx="8">
                  <c:v>1872000000</c:v>
                </c:pt>
                <c:pt idx="9">
                  <c:v>1845000000</c:v>
                </c:pt>
                <c:pt idx="10">
                  <c:v>888000000</c:v>
                </c:pt>
                <c:pt idx="11">
                  <c:v>2079000000</c:v>
                </c:pt>
                <c:pt idx="12">
                  <c:v>1338000000</c:v>
                </c:pt>
                <c:pt idx="13">
                  <c:v>1870000000</c:v>
                </c:pt>
                <c:pt idx="14">
                  <c:v>1763000000</c:v>
                </c:pt>
                <c:pt idx="15">
                  <c:v>2229000000</c:v>
                </c:pt>
                <c:pt idx="16">
                  <c:v>2193000000</c:v>
                </c:pt>
                <c:pt idx="17">
                  <c:v>2336000000</c:v>
                </c:pt>
                <c:pt idx="18">
                  <c:v>1867000000</c:v>
                </c:pt>
                <c:pt idx="19">
                  <c:v>3753000000</c:v>
                </c:pt>
                <c:pt idx="20">
                  <c:v>2290000000</c:v>
                </c:pt>
                <c:pt idx="21">
                  <c:v>3904000000</c:v>
                </c:pt>
                <c:pt idx="22">
                  <c:v>3156000000</c:v>
                </c:pt>
                <c:pt idx="23">
                  <c:v>2175000000</c:v>
                </c:pt>
                <c:pt idx="24">
                  <c:v>2472000000</c:v>
                </c:pt>
              </c:numCache>
            </c:numRef>
          </c:val>
          <c:smooth val="0"/>
          <c:extLst>
            <c:ext xmlns:c16="http://schemas.microsoft.com/office/drawing/2014/chart" uri="{C3380CC4-5D6E-409C-BE32-E72D297353CC}">
              <c16:uniqueId val="{00000003-F96D-4C3F-B434-408F5C8528F9}"/>
            </c:ext>
          </c:extLst>
        </c:ser>
        <c:ser>
          <c:idx val="4"/>
          <c:order val="3"/>
          <c:tx>
            <c:strRef>
              <c:f>Analysis!$F$34</c:f>
              <c:strCache>
                <c:ptCount val="1"/>
                <c:pt idx="0">
                  <c:v>Germany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Analysis!$B$35:$B$59</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Analysis!$F$35:$F$59</c:f>
              <c:numCache>
                <c:formatCode>_(* #,##0_);_(* \(#,##0\);_(* "-"??_);_(@_)</c:formatCode>
                <c:ptCount val="25"/>
                <c:pt idx="0">
                  <c:v>1672000000</c:v>
                </c:pt>
                <c:pt idx="1">
                  <c:v>851000000</c:v>
                </c:pt>
                <c:pt idx="2">
                  <c:v>889000000</c:v>
                </c:pt>
                <c:pt idx="3">
                  <c:v>1632000000</c:v>
                </c:pt>
                <c:pt idx="4">
                  <c:v>1090000000</c:v>
                </c:pt>
                <c:pt idx="5">
                  <c:v>2083000000</c:v>
                </c:pt>
                <c:pt idx="6">
                  <c:v>2482000000</c:v>
                </c:pt>
                <c:pt idx="7">
                  <c:v>3291000000</c:v>
                </c:pt>
                <c:pt idx="8">
                  <c:v>2378000000</c:v>
                </c:pt>
                <c:pt idx="9">
                  <c:v>2207000000</c:v>
                </c:pt>
                <c:pt idx="10">
                  <c:v>2364000000</c:v>
                </c:pt>
                <c:pt idx="11">
                  <c:v>1203000000</c:v>
                </c:pt>
                <c:pt idx="12">
                  <c:v>715000000</c:v>
                </c:pt>
                <c:pt idx="13">
                  <c:v>721000000</c:v>
                </c:pt>
                <c:pt idx="14">
                  <c:v>1830000000</c:v>
                </c:pt>
                <c:pt idx="15">
                  <c:v>1823000000</c:v>
                </c:pt>
                <c:pt idx="16">
                  <c:v>2512000000</c:v>
                </c:pt>
                <c:pt idx="17">
                  <c:v>1826000000</c:v>
                </c:pt>
                <c:pt idx="18">
                  <c:v>1098000000</c:v>
                </c:pt>
                <c:pt idx="19">
                  <c:v>978000000</c:v>
                </c:pt>
                <c:pt idx="20">
                  <c:v>1153000000</c:v>
                </c:pt>
                <c:pt idx="21">
                  <c:v>852000000</c:v>
                </c:pt>
                <c:pt idx="22">
                  <c:v>1508000000</c:v>
                </c:pt>
                <c:pt idx="23">
                  <c:v>2547000000</c:v>
                </c:pt>
                <c:pt idx="24">
                  <c:v>2108000000</c:v>
                </c:pt>
              </c:numCache>
            </c:numRef>
          </c:val>
          <c:smooth val="0"/>
          <c:extLst>
            <c:ext xmlns:c16="http://schemas.microsoft.com/office/drawing/2014/chart" uri="{C3380CC4-5D6E-409C-BE32-E72D297353CC}">
              <c16:uniqueId val="{00000004-F96D-4C3F-B434-408F5C8528F9}"/>
            </c:ext>
          </c:extLst>
        </c:ser>
        <c:ser>
          <c:idx val="5"/>
          <c:order val="4"/>
          <c:tx>
            <c:strRef>
              <c:f>Analysis!$G$34</c:f>
              <c:strCache>
                <c:ptCount val="1"/>
                <c:pt idx="0">
                  <c:v>China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Analysis!$B$35:$B$59</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Analysis!$G$35:$G$59</c:f>
              <c:numCache>
                <c:formatCode>_(* #,##0_);_(* \(#,##0\);_(* "-"??_);_(@_)</c:formatCode>
                <c:ptCount val="25"/>
                <c:pt idx="0">
                  <c:v>309000000</c:v>
                </c:pt>
                <c:pt idx="1">
                  <c:v>510000000</c:v>
                </c:pt>
                <c:pt idx="2">
                  <c:v>524000000</c:v>
                </c:pt>
                <c:pt idx="3">
                  <c:v>701000000</c:v>
                </c:pt>
                <c:pt idx="4">
                  <c:v>408000000</c:v>
                </c:pt>
                <c:pt idx="5">
                  <c:v>341000000</c:v>
                </c:pt>
                <c:pt idx="6">
                  <c:v>769000000</c:v>
                </c:pt>
                <c:pt idx="7">
                  <c:v>520000000</c:v>
                </c:pt>
                <c:pt idx="8">
                  <c:v>598000000</c:v>
                </c:pt>
                <c:pt idx="9">
                  <c:v>1138000000</c:v>
                </c:pt>
                <c:pt idx="10">
                  <c:v>1531000000</c:v>
                </c:pt>
                <c:pt idx="11">
                  <c:v>1308000000</c:v>
                </c:pt>
                <c:pt idx="12">
                  <c:v>1499000000</c:v>
                </c:pt>
                <c:pt idx="13">
                  <c:v>2100000000</c:v>
                </c:pt>
                <c:pt idx="14">
                  <c:v>1353000000</c:v>
                </c:pt>
                <c:pt idx="15">
                  <c:v>1841000000</c:v>
                </c:pt>
                <c:pt idx="16">
                  <c:v>2480000000</c:v>
                </c:pt>
                <c:pt idx="17">
                  <c:v>1643000000</c:v>
                </c:pt>
                <c:pt idx="18">
                  <c:v>1391000000</c:v>
                </c:pt>
                <c:pt idx="19">
                  <c:v>1601000000</c:v>
                </c:pt>
                <c:pt idx="20">
                  <c:v>645000000</c:v>
                </c:pt>
                <c:pt idx="21">
                  <c:v>1342000000</c:v>
                </c:pt>
                <c:pt idx="22">
                  <c:v>2323000000</c:v>
                </c:pt>
                <c:pt idx="23">
                  <c:v>2745000000</c:v>
                </c:pt>
                <c:pt idx="24">
                  <c:v>1294000000</c:v>
                </c:pt>
              </c:numCache>
            </c:numRef>
          </c:val>
          <c:smooth val="0"/>
          <c:extLst>
            <c:ext xmlns:c16="http://schemas.microsoft.com/office/drawing/2014/chart" uri="{C3380CC4-5D6E-409C-BE32-E72D297353CC}">
              <c16:uniqueId val="{00000005-F96D-4C3F-B434-408F5C8528F9}"/>
            </c:ext>
          </c:extLst>
        </c:ser>
        <c:dLbls>
          <c:showLegendKey val="0"/>
          <c:showVal val="0"/>
          <c:showCatName val="0"/>
          <c:showSerName val="0"/>
          <c:showPercent val="0"/>
          <c:showBubbleSize val="0"/>
        </c:dLbls>
        <c:marker val="1"/>
        <c:smooth val="0"/>
        <c:axId val="1133499839"/>
        <c:axId val="1461772783"/>
      </c:lineChart>
      <c:catAx>
        <c:axId val="113349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772783"/>
        <c:crosses val="autoZero"/>
        <c:auto val="1"/>
        <c:lblAlgn val="ctr"/>
        <c:lblOffset val="100"/>
        <c:noMultiLvlLbl val="0"/>
      </c:catAx>
      <c:valAx>
        <c:axId val="146177278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99839"/>
        <c:crosses val="autoZero"/>
        <c:crossBetween val="between"/>
        <c:dispUnits>
          <c:builtInUnit val="b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Arms Importers: Cumulative Volume (2000–2024) [SIPRI TIV]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Analysis!$N$5</c:f>
              <c:strCache>
                <c:ptCount val="1"/>
                <c:pt idx="0">
                  <c:v> Cumulative Imports (TIV) </c:v>
                </c:pt>
              </c:strCache>
            </c:strRef>
          </c:tx>
          <c:spPr>
            <a:solidFill>
              <a:schemeClr val="accent1"/>
            </a:solidFill>
            <a:ln>
              <a:noFill/>
            </a:ln>
            <a:effectLst/>
          </c:spPr>
          <c:invertIfNegative val="0"/>
          <c:cat>
            <c:strRef>
              <c:f>Analysis!$L$6:$L$15</c:f>
              <c:strCache>
                <c:ptCount val="10"/>
                <c:pt idx="0">
                  <c:v>India</c:v>
                </c:pt>
                <c:pt idx="1">
                  <c:v>China</c:v>
                </c:pt>
                <c:pt idx="2">
                  <c:v>Saudi Arabia</c:v>
                </c:pt>
                <c:pt idx="3">
                  <c:v>Korea, Rep.</c:v>
                </c:pt>
                <c:pt idx="4">
                  <c:v>United Arab Emirates</c:v>
                </c:pt>
                <c:pt idx="5">
                  <c:v>Australia</c:v>
                </c:pt>
                <c:pt idx="6">
                  <c:v>Pakistan</c:v>
                </c:pt>
                <c:pt idx="7">
                  <c:v>Egypt, Arab Rep.</c:v>
                </c:pt>
                <c:pt idx="8">
                  <c:v>United States</c:v>
                </c:pt>
                <c:pt idx="9">
                  <c:v>Algeria</c:v>
                </c:pt>
              </c:strCache>
            </c:strRef>
          </c:cat>
          <c:val>
            <c:numRef>
              <c:f>Analysis!$N$6:$N$15</c:f>
              <c:numCache>
                <c:formatCode>_(* #,##0_);_(* \(#,##0\);_(* "-"??_);_(@_)</c:formatCode>
                <c:ptCount val="10"/>
                <c:pt idx="0">
                  <c:v>62908000000</c:v>
                </c:pt>
                <c:pt idx="1">
                  <c:v>40927000000</c:v>
                </c:pt>
                <c:pt idx="2">
                  <c:v>37196000000</c:v>
                </c:pt>
                <c:pt idx="3">
                  <c:v>24721000000</c:v>
                </c:pt>
                <c:pt idx="4">
                  <c:v>24693000000</c:v>
                </c:pt>
                <c:pt idx="5">
                  <c:v>23363000000</c:v>
                </c:pt>
                <c:pt idx="6">
                  <c:v>22867000000</c:v>
                </c:pt>
                <c:pt idx="7">
                  <c:v>22095000000</c:v>
                </c:pt>
                <c:pt idx="8">
                  <c:v>18178000000</c:v>
                </c:pt>
                <c:pt idx="9">
                  <c:v>17187000000</c:v>
                </c:pt>
              </c:numCache>
            </c:numRef>
          </c:val>
          <c:extLst>
            <c:ext xmlns:c16="http://schemas.microsoft.com/office/drawing/2014/chart" uri="{C3380CC4-5D6E-409C-BE32-E72D297353CC}">
              <c16:uniqueId val="{00000000-863A-459D-A9EB-F8B0D8FCB515}"/>
            </c:ext>
          </c:extLst>
        </c:ser>
        <c:dLbls>
          <c:showLegendKey val="0"/>
          <c:showVal val="0"/>
          <c:showCatName val="0"/>
          <c:showSerName val="0"/>
          <c:showPercent val="0"/>
          <c:showBubbleSize val="0"/>
        </c:dLbls>
        <c:gapWidth val="182"/>
        <c:axId val="2108842287"/>
        <c:axId val="1461827023"/>
      </c:barChart>
      <c:catAx>
        <c:axId val="21088422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827023"/>
        <c:crosses val="autoZero"/>
        <c:auto val="1"/>
        <c:lblAlgn val="ctr"/>
        <c:lblOffset val="100"/>
        <c:noMultiLvlLbl val="0"/>
      </c:catAx>
      <c:valAx>
        <c:axId val="1461827023"/>
        <c:scaling>
          <c:orientation val="minMax"/>
        </c:scaling>
        <c:delete val="0"/>
        <c:axPos val="t"/>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42287"/>
        <c:crosses val="autoZero"/>
        <c:crossBetween val="between"/>
        <c:dispUnits>
          <c:builtInUnit val="b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Regional Net Strategic Balance: Net Exporters vs. Import-Dependent Blocs (2000–2024) [SIPRI TIV]</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Analysis!$E$20</c:f>
              <c:strCache>
                <c:ptCount val="1"/>
                <c:pt idx="0">
                  <c:v>Net Trade (TIV)</c:v>
                </c:pt>
              </c:strCache>
            </c:strRef>
          </c:tx>
          <c:spPr>
            <a:solidFill>
              <a:srgbClr val="156082"/>
            </a:solidFill>
            <a:ln>
              <a:noFill/>
            </a:ln>
            <a:effectLst/>
          </c:spPr>
          <c:invertIfNegative val="1"/>
          <c:cat>
            <c:strRef>
              <c:f>Analysis!$B$21:$B$27</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Analysis!$E$21:$E$27</c:f>
              <c:numCache>
                <c:formatCode>_(* #,##0_);_(* \(#,##0\);_(* "-"??_);_(@_)</c:formatCode>
                <c:ptCount val="7"/>
                <c:pt idx="0">
                  <c:v>-110390000000</c:v>
                </c:pt>
                <c:pt idx="1">
                  <c:v>207454000000</c:v>
                </c:pt>
                <c:pt idx="2">
                  <c:v>-26009000000</c:v>
                </c:pt>
                <c:pt idx="3">
                  <c:v>-178267000000</c:v>
                </c:pt>
                <c:pt idx="4">
                  <c:v>202275000000</c:v>
                </c:pt>
                <c:pt idx="5">
                  <c:v>-68537000000</c:v>
                </c:pt>
                <c:pt idx="6">
                  <c:v>-16670000000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0-DDFE-4929-81C0-575319AE74AE}"/>
            </c:ext>
          </c:extLst>
        </c:ser>
        <c:dLbls>
          <c:showLegendKey val="0"/>
          <c:showVal val="0"/>
          <c:showCatName val="0"/>
          <c:showSerName val="0"/>
          <c:showPercent val="0"/>
          <c:showBubbleSize val="0"/>
        </c:dLbls>
        <c:gapWidth val="182"/>
        <c:axId val="2108871055"/>
        <c:axId val="1134677551"/>
      </c:barChart>
      <c:catAx>
        <c:axId val="210887105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677551"/>
        <c:crosses val="autoZero"/>
        <c:auto val="1"/>
        <c:lblAlgn val="ctr"/>
        <c:lblOffset val="100"/>
        <c:noMultiLvlLbl val="0"/>
      </c:catAx>
      <c:valAx>
        <c:axId val="113467755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71055"/>
        <c:crosses val="autoZero"/>
        <c:crossBetween val="between"/>
        <c:dispUnits>
          <c:builtInUnit val="b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60959</xdr:colOff>
      <xdr:row>4</xdr:row>
      <xdr:rowOff>76200</xdr:rowOff>
    </xdr:from>
    <xdr:to>
      <xdr:col>15</xdr:col>
      <xdr:colOff>546846</xdr:colOff>
      <xdr:row>27</xdr:row>
      <xdr:rowOff>91440</xdr:rowOff>
    </xdr:to>
    <xdr:graphicFrame macro="">
      <xdr:nvGraphicFramePr>
        <xdr:cNvPr id="2" name="Chart 1">
          <a:extLst>
            <a:ext uri="{FF2B5EF4-FFF2-40B4-BE49-F238E27FC236}">
              <a16:creationId xmlns:a16="http://schemas.microsoft.com/office/drawing/2014/main" id="{A5AA6488-9897-483B-89FF-889D47303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4</xdr:row>
      <xdr:rowOff>55418</xdr:rowOff>
    </xdr:from>
    <xdr:to>
      <xdr:col>30</xdr:col>
      <xdr:colOff>239486</xdr:colOff>
      <xdr:row>27</xdr:row>
      <xdr:rowOff>96982</xdr:rowOff>
    </xdr:to>
    <xdr:graphicFrame macro="">
      <xdr:nvGraphicFramePr>
        <xdr:cNvPr id="3" name="Chart 2">
          <a:extLst>
            <a:ext uri="{FF2B5EF4-FFF2-40B4-BE49-F238E27FC236}">
              <a16:creationId xmlns:a16="http://schemas.microsoft.com/office/drawing/2014/main" id="{C55C7189-16ED-4E26-875A-9CD2A4CEE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83127</xdr:colOff>
      <xdr:row>28</xdr:row>
      <xdr:rowOff>152399</xdr:rowOff>
    </xdr:from>
    <xdr:to>
      <xdr:col>30</xdr:col>
      <xdr:colOff>277091</xdr:colOff>
      <xdr:row>51</xdr:row>
      <xdr:rowOff>152399</xdr:rowOff>
    </xdr:to>
    <xdr:graphicFrame macro="">
      <xdr:nvGraphicFramePr>
        <xdr:cNvPr id="4" name="Chart 3">
          <a:extLst>
            <a:ext uri="{FF2B5EF4-FFF2-40B4-BE49-F238E27FC236}">
              <a16:creationId xmlns:a16="http://schemas.microsoft.com/office/drawing/2014/main" id="{0F4B05DF-531F-4169-B282-1D5AA16C6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956983</xdr:colOff>
      <xdr:row>12</xdr:row>
      <xdr:rowOff>59616</xdr:rowOff>
    </xdr:from>
    <xdr:to>
      <xdr:col>3</xdr:col>
      <xdr:colOff>481853</xdr:colOff>
      <xdr:row>26</xdr:row>
      <xdr:rowOff>130773</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5D3D50ED-224B-B4F3-7734-EB8713021F2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3759" y="221114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38548</xdr:colOff>
      <xdr:row>12</xdr:row>
      <xdr:rowOff>37653</xdr:rowOff>
    </xdr:from>
    <xdr:to>
      <xdr:col>1</xdr:col>
      <xdr:colOff>540572</xdr:colOff>
      <xdr:row>26</xdr:row>
      <xdr:rowOff>108810</xdr:rowOff>
    </xdr:to>
    <mc:AlternateContent xmlns:mc="http://schemas.openxmlformats.org/markup-compatibility/2006">
      <mc:Choice xmlns:a14="http://schemas.microsoft.com/office/drawing/2010/main" Requires="a14">
        <xdr:graphicFrame macro="">
          <xdr:nvGraphicFramePr>
            <xdr:cNvPr id="3" name="Income_Group">
              <a:extLst>
                <a:ext uri="{FF2B5EF4-FFF2-40B4-BE49-F238E27FC236}">
                  <a16:creationId xmlns:a16="http://schemas.microsoft.com/office/drawing/2014/main" id="{C8BE4A8E-77D9-FF41-9D54-50A46009C177}"/>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dr:sp macro="" textlink="">
          <xdr:nvSpPr>
            <xdr:cNvPr id="0" name=""/>
            <xdr:cNvSpPr>
              <a:spLocks noTextEdit="1"/>
            </xdr:cNvSpPr>
          </xdr:nvSpPr>
          <xdr:spPr>
            <a:xfrm>
              <a:off x="38548" y="218918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il Alam" refreshedDate="46313.673458217592" createdVersion="8" refreshedVersion="8" minRefreshableVersion="3" recordCount="3985" xr:uid="{83EE7E73-AEE1-4F92-A517-CEC8CDD0A35E}">
  <cacheSource type="worksheet">
    <worksheetSource name="Clean_Data"/>
  </cacheSource>
  <cacheFields count="9">
    <cacheField name="Country_Name" numFmtId="3">
      <sharedItems/>
    </cacheField>
    <cacheField name="Country_Code" numFmtId="3">
      <sharedItems/>
    </cacheField>
    <cacheField name="Year" numFmtId="0">
      <sharedItems containsSemiMixedTypes="0" containsString="0" containsNumber="1" containsInteger="1" minValue="2000" maxValue="2024" count="25">
        <n v="2024"/>
        <n v="2023"/>
        <n v="2022"/>
        <n v="2021"/>
        <n v="2020"/>
        <n v="2019"/>
        <n v="2018"/>
        <n v="2017"/>
        <n v="2016"/>
        <n v="2015"/>
        <n v="2014"/>
        <n v="2013"/>
        <n v="2012"/>
        <n v="2011"/>
        <n v="2010"/>
        <n v="2009"/>
        <n v="2008"/>
        <n v="2007"/>
        <n v="2006"/>
        <n v="2005"/>
        <n v="2004"/>
        <n v="2003"/>
        <n v="2002"/>
        <n v="2001"/>
        <n v="2000"/>
      </sharedItems>
    </cacheField>
    <cacheField name="Exports_TIV" numFmtId="3">
      <sharedItems containsSemiMixedTypes="0" containsString="0" containsNumber="1" containsInteger="1" minValue="0" maxValue="33297000000"/>
    </cacheField>
    <cacheField name="Imports_TIV" numFmtId="3">
      <sharedItems containsSemiMixedTypes="0" containsString="0" containsNumber="1" containsInteger="1" minValue="0" maxValue="33033000000"/>
    </cacheField>
    <cacheField name="Region" numFmtId="3">
      <sharedItems count="8">
        <s v="Regional Aggregate"/>
        <s v="Europe &amp; Central Asia"/>
        <s v="Middle East &amp; North Africa"/>
        <s v="Sub-Saharan Africa"/>
        <s v="Latin America &amp; Caribbean"/>
        <s v="East Asia &amp; Pacific"/>
        <s v="South Asia"/>
        <s v="North America"/>
      </sharedItems>
    </cacheField>
    <cacheField name="Income_Group" numFmtId="3">
      <sharedItems count="5">
        <s v="Regional Aggregate"/>
        <s v="Upper middle income"/>
        <s v="Lower middle income"/>
        <s v="High income"/>
        <s v="Low income"/>
      </sharedItems>
    </cacheField>
    <cacheField name="Net_Trade_TIV" numFmtId="3">
      <sharedItems containsSemiMixedTypes="0" containsString="0" containsNumber="1" containsInteger="1" minValue="-18600000000" maxValue="17630000000"/>
    </cacheField>
    <cacheField name="Total_Volume_TIV" numFmtId="3">
      <sharedItems containsSemiMixedTypes="0" containsString="0" containsNumber="1" containsInteger="1" minValue="0" maxValue="66330000000"/>
    </cacheField>
  </cacheFields>
  <extLst>
    <ext xmlns:x14="http://schemas.microsoft.com/office/spreadsheetml/2009/9/main" uri="{725AE2AE-9491-48be-B2B4-4EB974FC3084}">
      <x14:pivotCacheDefinition pivotCacheId="704635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85">
  <r>
    <s v="Africa Western and Central"/>
    <s v="AFW"/>
    <x v="0"/>
    <n v="0"/>
    <n v="433000000"/>
    <x v="0"/>
    <x v="0"/>
    <n v="-433000000"/>
    <n v="433000000"/>
  </r>
  <r>
    <s v="Albania"/>
    <s v="ALB"/>
    <x v="0"/>
    <n v="0"/>
    <n v="38000000"/>
    <x v="1"/>
    <x v="1"/>
    <n v="-38000000"/>
    <n v="38000000"/>
  </r>
  <r>
    <s v="Algeria"/>
    <s v="DZA"/>
    <x v="0"/>
    <n v="0"/>
    <n v="205000000"/>
    <x v="2"/>
    <x v="1"/>
    <n v="-205000000"/>
    <n v="205000000"/>
  </r>
  <r>
    <s v="Angola"/>
    <s v="AGO"/>
    <x v="0"/>
    <n v="0"/>
    <n v="16000000"/>
    <x v="3"/>
    <x v="2"/>
    <n v="-16000000"/>
    <n v="16000000"/>
  </r>
  <r>
    <s v="Arab World"/>
    <s v="ARB"/>
    <x v="0"/>
    <n v="0"/>
    <n v="5605000000"/>
    <x v="0"/>
    <x v="0"/>
    <n v="-5605000000"/>
    <n v="5605000000"/>
  </r>
  <r>
    <s v="Argentina"/>
    <s v="ARG"/>
    <x v="0"/>
    <n v="0"/>
    <n v="45000000"/>
    <x v="4"/>
    <x v="1"/>
    <n v="-45000000"/>
    <n v="45000000"/>
  </r>
  <r>
    <s v="Armenia"/>
    <s v="ARM"/>
    <x v="0"/>
    <n v="0"/>
    <n v="32000000"/>
    <x v="1"/>
    <x v="1"/>
    <n v="-32000000"/>
    <n v="32000000"/>
  </r>
  <r>
    <s v="Australia"/>
    <s v="AUS"/>
    <x v="0"/>
    <n v="73000000"/>
    <n v="1077000000"/>
    <x v="5"/>
    <x v="3"/>
    <n v="-1004000000"/>
    <n v="1150000000"/>
  </r>
  <r>
    <s v="Austria"/>
    <s v="AUT"/>
    <x v="0"/>
    <n v="23000000"/>
    <n v="13000000"/>
    <x v="1"/>
    <x v="3"/>
    <n v="10000000"/>
    <n v="36000000"/>
  </r>
  <r>
    <s v="Azerbaijan"/>
    <s v="AZE"/>
    <x v="0"/>
    <n v="0"/>
    <n v="75000000"/>
    <x v="1"/>
    <x v="1"/>
    <n v="-75000000"/>
    <n v="75000000"/>
  </r>
  <r>
    <s v="Bahrain"/>
    <s v="BHR"/>
    <x v="0"/>
    <n v="0"/>
    <n v="850000000"/>
    <x v="2"/>
    <x v="3"/>
    <n v="-850000000"/>
    <n v="850000000"/>
  </r>
  <r>
    <s v="Bangladesh"/>
    <s v="BGD"/>
    <x v="0"/>
    <n v="0"/>
    <n v="70000000"/>
    <x v="6"/>
    <x v="2"/>
    <n v="-70000000"/>
    <n v="70000000"/>
  </r>
  <r>
    <s v="Belarus"/>
    <s v="BLR"/>
    <x v="0"/>
    <n v="65000000"/>
    <n v="399000000"/>
    <x v="1"/>
    <x v="1"/>
    <n v="-334000000"/>
    <n v="464000000"/>
  </r>
  <r>
    <s v="Belgium"/>
    <s v="BEL"/>
    <x v="0"/>
    <n v="69000000"/>
    <n v="508000000"/>
    <x v="1"/>
    <x v="3"/>
    <n v="-439000000"/>
    <n v="577000000"/>
  </r>
  <r>
    <s v="Benin"/>
    <s v="BEN"/>
    <x v="0"/>
    <n v="0"/>
    <n v="7000000"/>
    <x v="3"/>
    <x v="2"/>
    <n v="-7000000"/>
    <n v="7000000"/>
  </r>
  <r>
    <s v="Bolivia"/>
    <s v="BOL"/>
    <x v="0"/>
    <n v="0"/>
    <n v="0"/>
    <x v="4"/>
    <x v="2"/>
    <n v="0"/>
    <n v="0"/>
  </r>
  <r>
    <s v="Botswana"/>
    <s v="BWA"/>
    <x v="0"/>
    <n v="0"/>
    <n v="11000000"/>
    <x v="3"/>
    <x v="1"/>
    <n v="-11000000"/>
    <n v="11000000"/>
  </r>
  <r>
    <s v="Brazil"/>
    <s v="BRA"/>
    <x v="0"/>
    <n v="112000000"/>
    <n v="450000000"/>
    <x v="4"/>
    <x v="1"/>
    <n v="-338000000"/>
    <n v="562000000"/>
  </r>
  <r>
    <s v="Brunei Darussalam"/>
    <s v="BRN"/>
    <x v="0"/>
    <n v="0"/>
    <n v="28000000"/>
    <x v="5"/>
    <x v="3"/>
    <n v="-28000000"/>
    <n v="28000000"/>
  </r>
  <r>
    <s v="Bulgaria"/>
    <s v="BGR"/>
    <x v="0"/>
    <n v="33000000"/>
    <n v="0"/>
    <x v="1"/>
    <x v="3"/>
    <n v="33000000"/>
    <n v="33000000"/>
  </r>
  <r>
    <s v="Burkina Faso"/>
    <s v="BFA"/>
    <x v="0"/>
    <n v="0"/>
    <n v="37000000"/>
    <x v="3"/>
    <x v="4"/>
    <n v="-37000000"/>
    <n v="37000000"/>
  </r>
  <r>
    <s v="Canada"/>
    <s v="CAN"/>
    <x v="0"/>
    <n v="237000000"/>
    <n v="198000000"/>
    <x v="7"/>
    <x v="3"/>
    <n v="39000000"/>
    <n v="435000000"/>
  </r>
  <r>
    <s v="Central Europe and the Baltics"/>
    <s v="CEB"/>
    <x v="0"/>
    <n v="562000000"/>
    <n v="3002000000"/>
    <x v="0"/>
    <x v="0"/>
    <n v="-2440000000"/>
    <n v="3564000000"/>
  </r>
  <r>
    <s v="Chad"/>
    <s v="TCD"/>
    <x v="0"/>
    <n v="0"/>
    <n v="10000000"/>
    <x v="3"/>
    <x v="4"/>
    <n v="-10000000"/>
    <n v="10000000"/>
  </r>
  <r>
    <s v="Chile"/>
    <s v="CHL"/>
    <x v="0"/>
    <n v="0"/>
    <n v="14000000"/>
    <x v="4"/>
    <x v="3"/>
    <n v="-14000000"/>
    <n v="14000000"/>
  </r>
  <r>
    <s v="China"/>
    <s v="CHN"/>
    <x v="0"/>
    <n v="1294000000"/>
    <n v="71000000"/>
    <x v="5"/>
    <x v="1"/>
    <n v="1223000000"/>
    <n v="1365000000"/>
  </r>
  <r>
    <s v="Colombia"/>
    <s v="COL"/>
    <x v="0"/>
    <n v="0"/>
    <n v="12000000"/>
    <x v="4"/>
    <x v="1"/>
    <n v="-12000000"/>
    <n v="12000000"/>
  </r>
  <r>
    <s v="Congo, Dem. Rep."/>
    <s v="COD"/>
    <x v="0"/>
    <n v="0"/>
    <n v="40000000"/>
    <x v="3"/>
    <x v="4"/>
    <n v="-40000000"/>
    <n v="40000000"/>
  </r>
  <r>
    <s v="Congo, Rep."/>
    <s v="COG"/>
    <x v="0"/>
    <n v="0"/>
    <n v="9000000"/>
    <x v="3"/>
    <x v="2"/>
    <n v="-9000000"/>
    <n v="9000000"/>
  </r>
  <r>
    <s v="Cote d'Ivoire"/>
    <s v="CIV"/>
    <x v="0"/>
    <n v="0"/>
    <n v="7000000"/>
    <x v="3"/>
    <x v="2"/>
    <n v="-7000000"/>
    <n v="7000000"/>
  </r>
  <r>
    <s v="Croatia"/>
    <s v="HRV"/>
    <x v="0"/>
    <n v="53000000"/>
    <n v="90000000"/>
    <x v="1"/>
    <x v="3"/>
    <n v="-37000000"/>
    <n v="143000000"/>
  </r>
  <r>
    <s v="Cyprus"/>
    <s v="CYP"/>
    <x v="0"/>
    <n v="0"/>
    <n v="120000000"/>
    <x v="1"/>
    <x v="3"/>
    <n v="-120000000"/>
    <n v="120000000"/>
  </r>
  <r>
    <s v="Czechia"/>
    <s v="CZE"/>
    <x v="0"/>
    <n v="189000000"/>
    <n v="58000000"/>
    <x v="1"/>
    <x v="3"/>
    <n v="131000000"/>
    <n v="247000000"/>
  </r>
  <r>
    <s v="Denmark"/>
    <s v="DNK"/>
    <x v="0"/>
    <n v="189000000"/>
    <n v="440000000"/>
    <x v="1"/>
    <x v="3"/>
    <n v="-251000000"/>
    <n v="629000000"/>
  </r>
  <r>
    <s v="Dominican Republic"/>
    <s v="DOM"/>
    <x v="0"/>
    <n v="0"/>
    <n v="10000000"/>
    <x v="4"/>
    <x v="1"/>
    <n v="-10000000"/>
    <n v="10000000"/>
  </r>
  <r>
    <s v="Early-demographic dividend"/>
    <s v="EAR"/>
    <x v="0"/>
    <n v="0"/>
    <n v="6906000000"/>
    <x v="0"/>
    <x v="0"/>
    <n v="-6906000000"/>
    <n v="6906000000"/>
  </r>
  <r>
    <s v="East Asia &amp; Pacific"/>
    <s v="EAS"/>
    <x v="0"/>
    <n v="0"/>
    <n v="5068000000"/>
    <x v="0"/>
    <x v="0"/>
    <n v="-5068000000"/>
    <n v="5068000000"/>
  </r>
  <r>
    <s v="East Asia &amp; Pacific (excluding high income)"/>
    <s v="EAP"/>
    <x v="0"/>
    <n v="1540000000"/>
    <n v="944000000"/>
    <x v="0"/>
    <x v="0"/>
    <n v="596000000"/>
    <n v="2484000000"/>
  </r>
  <r>
    <s v="East Asia &amp; Pacific (IDA &amp; IBRD countries)"/>
    <s v="TEA"/>
    <x v="0"/>
    <n v="1329000000"/>
    <n v="944000000"/>
    <x v="0"/>
    <x v="0"/>
    <n v="385000000"/>
    <n v="2273000000"/>
  </r>
  <r>
    <s v="Ecuador"/>
    <s v="ECU"/>
    <x v="0"/>
    <n v="0"/>
    <n v="19000000"/>
    <x v="4"/>
    <x v="1"/>
    <n v="-19000000"/>
    <n v="19000000"/>
  </r>
  <r>
    <s v="Egypt, Arab Rep."/>
    <s v="EGY"/>
    <x v="0"/>
    <n v="2000000"/>
    <n v="128000000"/>
    <x v="2"/>
    <x v="2"/>
    <n v="-126000000"/>
    <n v="130000000"/>
  </r>
  <r>
    <s v="El Salvador"/>
    <s v="SLV"/>
    <x v="0"/>
    <n v="0"/>
    <n v="0"/>
    <x v="4"/>
    <x v="1"/>
    <n v="0"/>
    <n v="0"/>
  </r>
  <r>
    <s v="Equatorial Guinea"/>
    <s v="GNQ"/>
    <x v="0"/>
    <n v="0"/>
    <n v="12000000"/>
    <x v="3"/>
    <x v="1"/>
    <n v="-12000000"/>
    <n v="12000000"/>
  </r>
  <r>
    <s v="Estonia"/>
    <s v="EST"/>
    <x v="0"/>
    <n v="2000000"/>
    <n v="115000000"/>
    <x v="1"/>
    <x v="3"/>
    <n v="-113000000"/>
    <n v="117000000"/>
  </r>
  <r>
    <s v="Ethiopia"/>
    <s v="ETH"/>
    <x v="0"/>
    <n v="0"/>
    <n v="48000000"/>
    <x v="3"/>
    <x v="4"/>
    <n v="-48000000"/>
    <n v="48000000"/>
  </r>
  <r>
    <s v="Euro area"/>
    <s v="EMU"/>
    <x v="0"/>
    <n v="7045000000"/>
    <n v="3351000000"/>
    <x v="0"/>
    <x v="0"/>
    <n v="3694000000"/>
    <n v="10396000000"/>
  </r>
  <r>
    <s v="Europe &amp; Central Asia"/>
    <s v="ECS"/>
    <x v="0"/>
    <n v="12104000000"/>
    <n v="14482000000"/>
    <x v="0"/>
    <x v="0"/>
    <n v="-2378000000"/>
    <n v="26586000000"/>
  </r>
  <r>
    <s v="Europe &amp; Central Asia (excluding high income)"/>
    <s v="ECA"/>
    <x v="0"/>
    <n v="0"/>
    <n v="6954000000"/>
    <x v="0"/>
    <x v="0"/>
    <n v="-6954000000"/>
    <n v="6954000000"/>
  </r>
  <r>
    <s v="Europe &amp; Central Asia (IDA &amp; IBRD countries)"/>
    <s v="TEC"/>
    <x v="0"/>
    <n v="2887000000"/>
    <n v="9221000000"/>
    <x v="0"/>
    <x v="0"/>
    <n v="-6334000000"/>
    <n v="12108000000"/>
  </r>
  <r>
    <s v="European Union"/>
    <s v="EUU"/>
    <x v="0"/>
    <n v="8107000000"/>
    <n v="6348000000"/>
    <x v="0"/>
    <x v="0"/>
    <n v="1759000000"/>
    <n v="14455000000"/>
  </r>
  <r>
    <s v="Fiji"/>
    <s v="FJI"/>
    <x v="0"/>
    <n v="0"/>
    <n v="16000000"/>
    <x v="5"/>
    <x v="1"/>
    <n v="-16000000"/>
    <n v="16000000"/>
  </r>
  <r>
    <s v="Finland"/>
    <s v="FIN"/>
    <x v="0"/>
    <n v="20000000"/>
    <n v="105000000"/>
    <x v="1"/>
    <x v="3"/>
    <n v="-85000000"/>
    <n v="125000000"/>
  </r>
  <r>
    <s v="Fragility, Conflict, and Violence (FCV) situations"/>
    <s v="FCV"/>
    <x v="0"/>
    <n v="0"/>
    <n v="6001000000"/>
    <x v="0"/>
    <x v="0"/>
    <n v="-6001000000"/>
    <n v="6001000000"/>
  </r>
  <r>
    <s v="France"/>
    <s v="FRA"/>
    <x v="0"/>
    <n v="2472000000"/>
    <n v="183000000"/>
    <x v="1"/>
    <x v="3"/>
    <n v="2289000000"/>
    <n v="2655000000"/>
  </r>
  <r>
    <s v="Gabon"/>
    <s v="GAB"/>
    <x v="0"/>
    <n v="0"/>
    <n v="6000000"/>
    <x v="3"/>
    <x v="1"/>
    <n v="-6000000"/>
    <n v="6000000"/>
  </r>
  <r>
    <s v="Georgia"/>
    <s v="GEO"/>
    <x v="0"/>
    <n v="0"/>
    <n v="15000000"/>
    <x v="1"/>
    <x v="1"/>
    <n v="-15000000"/>
    <n v="15000000"/>
  </r>
  <r>
    <s v="Germany"/>
    <s v="DEU"/>
    <x v="0"/>
    <n v="2108000000"/>
    <n v="240000000"/>
    <x v="1"/>
    <x v="3"/>
    <n v="1868000000"/>
    <n v="2348000000"/>
  </r>
  <r>
    <s v="Ghana"/>
    <s v="GHA"/>
    <x v="0"/>
    <n v="0"/>
    <n v="11000000"/>
    <x v="3"/>
    <x v="2"/>
    <n v="-11000000"/>
    <n v="11000000"/>
  </r>
  <r>
    <s v="Greece"/>
    <s v="GRC"/>
    <x v="0"/>
    <n v="20000000"/>
    <n v="631000000"/>
    <x v="1"/>
    <x v="3"/>
    <n v="-611000000"/>
    <n v="651000000"/>
  </r>
  <r>
    <s v="Guinea"/>
    <s v="GIN"/>
    <x v="0"/>
    <n v="0"/>
    <n v="6000000"/>
    <x v="3"/>
    <x v="2"/>
    <n v="-6000000"/>
    <n v="6000000"/>
  </r>
  <r>
    <s v="Guyana"/>
    <s v="GUY"/>
    <x v="0"/>
    <n v="0"/>
    <n v="9000000"/>
    <x v="4"/>
    <x v="3"/>
    <n v="-9000000"/>
    <n v="9000000"/>
  </r>
  <r>
    <s v="Heavily indebted poor countries (HIPC)"/>
    <s v="HPC"/>
    <x v="0"/>
    <n v="0"/>
    <n v="484000000"/>
    <x v="0"/>
    <x v="0"/>
    <n v="-484000000"/>
    <n v="484000000"/>
  </r>
  <r>
    <s v="High income"/>
    <s v="HIC"/>
    <x v="0"/>
    <n v="27951000000"/>
    <n v="17932000000"/>
    <x v="0"/>
    <x v="0"/>
    <n v="10019000000"/>
    <n v="45883000000"/>
  </r>
  <r>
    <s v="Honduras"/>
    <s v="HND"/>
    <x v="0"/>
    <n v="0"/>
    <n v="7000000"/>
    <x v="4"/>
    <x v="2"/>
    <n v="-7000000"/>
    <n v="7000000"/>
  </r>
  <r>
    <s v="Hungary"/>
    <s v="HUN"/>
    <x v="0"/>
    <n v="11000000"/>
    <n v="581000000"/>
    <x v="1"/>
    <x v="3"/>
    <n v="-570000000"/>
    <n v="592000000"/>
  </r>
  <r>
    <s v="IBRD only"/>
    <s v="IBD"/>
    <x v="0"/>
    <n v="4844000000"/>
    <n v="12908000000"/>
    <x v="0"/>
    <x v="0"/>
    <n v="-8064000000"/>
    <n v="17752000000"/>
  </r>
  <r>
    <s v="IDA &amp; IBRD total"/>
    <s v="IBT"/>
    <x v="0"/>
    <n v="4884000000"/>
    <n v="14962000000"/>
    <x v="0"/>
    <x v="0"/>
    <n v="-10078000000"/>
    <n v="19846000000"/>
  </r>
  <r>
    <s v="IDA blend"/>
    <s v="IDB"/>
    <x v="0"/>
    <n v="0"/>
    <n v="1271000000"/>
    <x v="0"/>
    <x v="0"/>
    <n v="-1271000000"/>
    <n v="1271000000"/>
  </r>
  <r>
    <s v="IDA only"/>
    <s v="IDX"/>
    <x v="0"/>
    <n v="0"/>
    <n v="783000000"/>
    <x v="0"/>
    <x v="0"/>
    <n v="-783000000"/>
    <n v="783000000"/>
  </r>
  <r>
    <s v="IDA total"/>
    <s v="IDA"/>
    <x v="0"/>
    <n v="0"/>
    <n v="2054000000"/>
    <x v="0"/>
    <x v="0"/>
    <n v="-2054000000"/>
    <n v="2054000000"/>
  </r>
  <r>
    <s v="India"/>
    <s v="IND"/>
    <x v="0"/>
    <n v="94000000"/>
    <n v="1603000000"/>
    <x v="6"/>
    <x v="2"/>
    <n v="-1509000000"/>
    <n v="1697000000"/>
  </r>
  <r>
    <s v="Indonesia"/>
    <s v="IDN"/>
    <x v="0"/>
    <n v="0"/>
    <n v="185000000"/>
    <x v="5"/>
    <x v="1"/>
    <n v="-185000000"/>
    <n v="185000000"/>
  </r>
  <r>
    <s v="Iran, Islamic Rep."/>
    <s v="IRN"/>
    <x v="0"/>
    <n v="106000000"/>
    <n v="42000000"/>
    <x v="2"/>
    <x v="1"/>
    <n v="64000000"/>
    <n v="148000000"/>
  </r>
  <r>
    <s v="Iraq"/>
    <s v="IRQ"/>
    <x v="0"/>
    <n v="0"/>
    <n v="80000000"/>
    <x v="2"/>
    <x v="1"/>
    <n v="-80000000"/>
    <n v="80000000"/>
  </r>
  <r>
    <s v="Ireland"/>
    <s v="IRL"/>
    <x v="0"/>
    <n v="18000000"/>
    <n v="0"/>
    <x v="1"/>
    <x v="3"/>
    <n v="18000000"/>
    <n v="18000000"/>
  </r>
  <r>
    <s v="Israel"/>
    <s v="ISR"/>
    <x v="0"/>
    <n v="1163000000"/>
    <n v="237000000"/>
    <x v="2"/>
    <x v="3"/>
    <n v="926000000"/>
    <n v="1400000000"/>
  </r>
  <r>
    <s v="Italy"/>
    <s v="ITA"/>
    <x v="0"/>
    <n v="1208000000"/>
    <n v="494000000"/>
    <x v="1"/>
    <x v="3"/>
    <n v="714000000"/>
    <n v="1702000000"/>
  </r>
  <r>
    <s v="Jamaica"/>
    <s v="JAM"/>
    <x v="0"/>
    <n v="0"/>
    <n v="10000000"/>
    <x v="4"/>
    <x v="1"/>
    <n v="-10000000"/>
    <n v="10000000"/>
  </r>
  <r>
    <s v="Japan"/>
    <s v="JPN"/>
    <x v="0"/>
    <n v="21000000"/>
    <n v="1043000000"/>
    <x v="5"/>
    <x v="3"/>
    <n v="-1022000000"/>
    <n v="1064000000"/>
  </r>
  <r>
    <s v="Jordan"/>
    <s v="JOR"/>
    <x v="0"/>
    <n v="226000000"/>
    <n v="34000000"/>
    <x v="2"/>
    <x v="1"/>
    <n v="192000000"/>
    <n v="260000000"/>
  </r>
  <r>
    <s v="Kazakhstan"/>
    <s v="KAZ"/>
    <x v="0"/>
    <n v="0"/>
    <n v="460000000"/>
    <x v="1"/>
    <x v="1"/>
    <n v="-460000000"/>
    <n v="460000000"/>
  </r>
  <r>
    <s v="Kenya"/>
    <s v="KEN"/>
    <x v="0"/>
    <n v="0"/>
    <n v="19000000"/>
    <x v="3"/>
    <x v="2"/>
    <n v="-19000000"/>
    <n v="19000000"/>
  </r>
  <r>
    <s v="Korea, Dem. People's Rep."/>
    <s v="PRK"/>
    <x v="0"/>
    <n v="211000000"/>
    <n v="0"/>
    <x v="5"/>
    <x v="4"/>
    <n v="211000000"/>
    <n v="211000000"/>
  </r>
  <r>
    <s v="Korea, Rep."/>
    <s v="KOR"/>
    <x v="0"/>
    <n v="1102000000"/>
    <n v="1031000000"/>
    <x v="5"/>
    <x v="3"/>
    <n v="71000000"/>
    <n v="2133000000"/>
  </r>
  <r>
    <s v="Kuwait"/>
    <s v="KWT"/>
    <x v="0"/>
    <n v="0"/>
    <n v="388000000"/>
    <x v="2"/>
    <x v="3"/>
    <n v="-388000000"/>
    <n v="388000000"/>
  </r>
  <r>
    <s v="Kyrgyz Republic"/>
    <s v="KGZ"/>
    <x v="0"/>
    <n v="34000000"/>
    <n v="0"/>
    <x v="1"/>
    <x v="2"/>
    <n v="34000000"/>
    <n v="34000000"/>
  </r>
  <r>
    <s v="Lao PDR"/>
    <s v="LAO"/>
    <x v="0"/>
    <n v="0"/>
    <n v="7000000"/>
    <x v="5"/>
    <x v="2"/>
    <n v="-7000000"/>
    <n v="7000000"/>
  </r>
  <r>
    <s v="Late-demographic dividend"/>
    <s v="LTE"/>
    <x v="0"/>
    <n v="4133000000"/>
    <n v="7053000000"/>
    <x v="0"/>
    <x v="0"/>
    <n v="-2920000000"/>
    <n v="11186000000"/>
  </r>
  <r>
    <s v="Latin America &amp; Caribbean"/>
    <s v="LCN"/>
    <x v="0"/>
    <n v="0"/>
    <n v="648000000"/>
    <x v="0"/>
    <x v="0"/>
    <n v="-648000000"/>
    <n v="648000000"/>
  </r>
  <r>
    <s v="Latin America &amp; Caribbean (excluding high income)"/>
    <s v="LAC"/>
    <x v="0"/>
    <n v="0"/>
    <n v="612000000"/>
    <x v="0"/>
    <x v="0"/>
    <n v="-612000000"/>
    <n v="612000000"/>
  </r>
  <r>
    <s v="Latin America &amp; the Caribbean (IDA &amp; IBRD countries)"/>
    <s v="TLA"/>
    <x v="0"/>
    <n v="0"/>
    <n v="648000000"/>
    <x v="0"/>
    <x v="0"/>
    <n v="-648000000"/>
    <n v="648000000"/>
  </r>
  <r>
    <s v="Latvia"/>
    <s v="LVA"/>
    <x v="0"/>
    <n v="0"/>
    <n v="19000000"/>
    <x v="1"/>
    <x v="3"/>
    <n v="-19000000"/>
    <n v="19000000"/>
  </r>
  <r>
    <s v="Least developed countries: UN classification"/>
    <s v="LDC"/>
    <x v="0"/>
    <n v="0"/>
    <n v="756000000"/>
    <x v="0"/>
    <x v="0"/>
    <n v="-756000000"/>
    <n v="756000000"/>
  </r>
  <r>
    <s v="Lebanon"/>
    <s v="LBN"/>
    <x v="0"/>
    <n v="0"/>
    <n v="9000000"/>
    <x v="2"/>
    <x v="2"/>
    <n v="-9000000"/>
    <n v="9000000"/>
  </r>
  <r>
    <s v="Libya"/>
    <s v="LBY"/>
    <x v="0"/>
    <n v="0"/>
    <n v="5000000"/>
    <x v="2"/>
    <x v="1"/>
    <n v="-5000000"/>
    <n v="5000000"/>
  </r>
  <r>
    <s v="Lithuania"/>
    <s v="LTU"/>
    <x v="0"/>
    <n v="3000000"/>
    <n v="77000000"/>
    <x v="1"/>
    <x v="3"/>
    <n v="-74000000"/>
    <n v="80000000"/>
  </r>
  <r>
    <s v="Low &amp; middle income"/>
    <s v="LMY"/>
    <x v="0"/>
    <n v="2747000000"/>
    <n v="12659000000"/>
    <x v="0"/>
    <x v="0"/>
    <n v="-9912000000"/>
    <n v="15406000000"/>
  </r>
  <r>
    <s v="Low income"/>
    <s v="LIC"/>
    <x v="0"/>
    <n v="0"/>
    <n v="221000000"/>
    <x v="0"/>
    <x v="0"/>
    <n v="-221000000"/>
    <n v="221000000"/>
  </r>
  <r>
    <s v="Lower middle income"/>
    <s v="LMC"/>
    <x v="0"/>
    <n v="162000000"/>
    <n v="3800000000"/>
    <x v="0"/>
    <x v="0"/>
    <n v="-3638000000"/>
    <n v="3962000000"/>
  </r>
  <r>
    <s v="Luxembourg"/>
    <s v="LUX"/>
    <x v="0"/>
    <n v="0"/>
    <n v="3000000"/>
    <x v="1"/>
    <x v="3"/>
    <n v="-3000000"/>
    <n v="3000000"/>
  </r>
  <r>
    <s v="Malawi"/>
    <s v="MWI"/>
    <x v="0"/>
    <n v="0"/>
    <n v="2000000"/>
    <x v="3"/>
    <x v="4"/>
    <n v="-2000000"/>
    <n v="2000000"/>
  </r>
  <r>
    <s v="Malaysia"/>
    <s v="MYS"/>
    <x v="0"/>
    <n v="20000000"/>
    <n v="7000000"/>
    <x v="5"/>
    <x v="1"/>
    <n v="13000000"/>
    <n v="27000000"/>
  </r>
  <r>
    <s v="Maldives"/>
    <s v="MDV"/>
    <x v="0"/>
    <n v="0"/>
    <n v="7000000"/>
    <x v="6"/>
    <x v="1"/>
    <n v="-7000000"/>
    <n v="7000000"/>
  </r>
  <r>
    <s v="Mali"/>
    <s v="MLI"/>
    <x v="0"/>
    <n v="0"/>
    <n v="25000000"/>
    <x v="3"/>
    <x v="4"/>
    <n v="-25000000"/>
    <n v="25000000"/>
  </r>
  <r>
    <s v="Mauritania"/>
    <s v="MRT"/>
    <x v="0"/>
    <n v="0"/>
    <n v="126000000"/>
    <x v="3"/>
    <x v="2"/>
    <n v="-126000000"/>
    <n v="126000000"/>
  </r>
  <r>
    <s v="Mexico"/>
    <s v="MEX"/>
    <x v="0"/>
    <n v="0"/>
    <n v="46000000"/>
    <x v="4"/>
    <x v="1"/>
    <n v="-46000000"/>
    <n v="46000000"/>
  </r>
  <r>
    <s v="Middle East, North Africa, Afghanistan &amp; Pakistan"/>
    <s v="MEA"/>
    <x v="0"/>
    <n v="0"/>
    <n v="6772000000"/>
    <x v="0"/>
    <x v="0"/>
    <n v="-6772000000"/>
    <n v="6772000000"/>
  </r>
  <r>
    <s v="Middle East, North Africa, Afghanistan &amp; Pakistan (excluding high income)"/>
    <s v="MNA"/>
    <x v="0"/>
    <n v="0"/>
    <n v="1779000000"/>
    <x v="0"/>
    <x v="0"/>
    <n v="-1779000000"/>
    <n v="1779000000"/>
  </r>
  <r>
    <s v="Middle East, North Africa, Afghanistan &amp; Pakistan (IDA &amp; IBRD)"/>
    <s v="TMN"/>
    <x v="0"/>
    <n v="0"/>
    <n v="1779000000"/>
    <x v="0"/>
    <x v="0"/>
    <n v="-1779000000"/>
    <n v="1779000000"/>
  </r>
  <r>
    <s v="Middle income"/>
    <s v="MIC"/>
    <x v="0"/>
    <n v="2536000000"/>
    <n v="12438000000"/>
    <x v="0"/>
    <x v="0"/>
    <n v="-9902000000"/>
    <n v="14974000000"/>
  </r>
  <r>
    <s v="Moldova"/>
    <s v="MDA"/>
    <x v="0"/>
    <n v="0"/>
    <n v="4000000"/>
    <x v="1"/>
    <x v="1"/>
    <n v="-4000000"/>
    <n v="4000000"/>
  </r>
  <r>
    <s v="Montenegro"/>
    <s v="MNE"/>
    <x v="0"/>
    <n v="0"/>
    <n v="6000000"/>
    <x v="1"/>
    <x v="1"/>
    <n v="-6000000"/>
    <n v="6000000"/>
  </r>
  <r>
    <s v="Morocco"/>
    <s v="MAR"/>
    <x v="0"/>
    <n v="26000000"/>
    <n v="130000000"/>
    <x v="2"/>
    <x v="2"/>
    <n v="-104000000"/>
    <n v="156000000"/>
  </r>
  <r>
    <s v="Mozambique"/>
    <s v="MOZ"/>
    <x v="0"/>
    <n v="0"/>
    <n v="1000000"/>
    <x v="3"/>
    <x v="4"/>
    <n v="-1000000"/>
    <n v="1000000"/>
  </r>
  <r>
    <s v="Myanmar"/>
    <s v="MMR"/>
    <x v="0"/>
    <n v="0"/>
    <n v="222000000"/>
    <x v="5"/>
    <x v="2"/>
    <n v="-222000000"/>
    <n v="222000000"/>
  </r>
  <r>
    <s v="Namibia"/>
    <s v="NAM"/>
    <x v="0"/>
    <n v="0"/>
    <n v="56000000"/>
    <x v="3"/>
    <x v="2"/>
    <n v="-56000000"/>
    <n v="56000000"/>
  </r>
  <r>
    <s v="Netherlands"/>
    <s v="NLD"/>
    <x v="0"/>
    <n v="370000000"/>
    <n v="333000000"/>
    <x v="1"/>
    <x v="3"/>
    <n v="37000000"/>
    <n v="703000000"/>
  </r>
  <r>
    <s v="New Zealand"/>
    <s v="NZL"/>
    <x v="0"/>
    <n v="0"/>
    <n v="200000000"/>
    <x v="5"/>
    <x v="3"/>
    <n v="-200000000"/>
    <n v="200000000"/>
  </r>
  <r>
    <s v="Niger"/>
    <s v="NER"/>
    <x v="0"/>
    <n v="0"/>
    <n v="4000000"/>
    <x v="3"/>
    <x v="4"/>
    <n v="-4000000"/>
    <n v="4000000"/>
  </r>
  <r>
    <s v="Nigeria"/>
    <s v="NGA"/>
    <x v="0"/>
    <n v="0"/>
    <n v="93000000"/>
    <x v="3"/>
    <x v="2"/>
    <n v="-93000000"/>
    <n v="93000000"/>
  </r>
  <r>
    <s v="North America"/>
    <s v="NAC"/>
    <x v="0"/>
    <n v="13888000000"/>
    <n v="1251000000"/>
    <x v="0"/>
    <x v="0"/>
    <n v="12637000000"/>
    <n v="15139000000"/>
  </r>
  <r>
    <s v="North Macedonia"/>
    <s v="MKD"/>
    <x v="0"/>
    <n v="0"/>
    <n v="1000000"/>
    <x v="1"/>
    <x v="1"/>
    <n v="-1000000"/>
    <n v="1000000"/>
  </r>
  <r>
    <s v="Norway"/>
    <s v="NOR"/>
    <x v="0"/>
    <n v="569000000"/>
    <n v="379000000"/>
    <x v="1"/>
    <x v="3"/>
    <n v="190000000"/>
    <n v="948000000"/>
  </r>
  <r>
    <s v="OECD members"/>
    <s v="OED"/>
    <x v="0"/>
    <n v="26020000000"/>
    <n v="11975000000"/>
    <x v="0"/>
    <x v="0"/>
    <n v="14045000000"/>
    <n v="37995000000"/>
  </r>
  <r>
    <s v="Pakistan"/>
    <s v="PAK"/>
    <x v="0"/>
    <n v="6000000"/>
    <n v="1068000000"/>
    <x v="2"/>
    <x v="2"/>
    <n v="-1062000000"/>
    <n v="1074000000"/>
  </r>
  <r>
    <s v="Peru"/>
    <s v="PER"/>
    <x v="0"/>
    <n v="0"/>
    <n v="1000000"/>
    <x v="4"/>
    <x v="1"/>
    <n v="-1000000"/>
    <n v="1000000"/>
  </r>
  <r>
    <s v="Philippines"/>
    <s v="PHL"/>
    <x v="0"/>
    <n v="0"/>
    <n v="305000000"/>
    <x v="5"/>
    <x v="1"/>
    <n v="-305000000"/>
    <n v="305000000"/>
  </r>
  <r>
    <s v="Poland"/>
    <s v="POL"/>
    <x v="0"/>
    <n v="145000000"/>
    <n v="1542000000"/>
    <x v="1"/>
    <x v="3"/>
    <n v="-1397000000"/>
    <n v="1687000000"/>
  </r>
  <r>
    <s v="Portugal"/>
    <s v="PRT"/>
    <x v="0"/>
    <n v="37000000"/>
    <n v="61000000"/>
    <x v="1"/>
    <x v="3"/>
    <n v="-24000000"/>
    <n v="98000000"/>
  </r>
  <r>
    <s v="Post-demographic dividend"/>
    <s v="PST"/>
    <x v="0"/>
    <n v="24461000000"/>
    <n v="15636000000"/>
    <x v="0"/>
    <x v="0"/>
    <n v="8825000000"/>
    <n v="40097000000"/>
  </r>
  <r>
    <s v="Pre-demographic dividend"/>
    <s v="PRE"/>
    <x v="0"/>
    <n v="0"/>
    <n v="629000000"/>
    <x v="0"/>
    <x v="0"/>
    <n v="-629000000"/>
    <n v="629000000"/>
  </r>
  <r>
    <s v="Qatar"/>
    <s v="QAT"/>
    <x v="0"/>
    <n v="20000000"/>
    <n v="1194000000"/>
    <x v="2"/>
    <x v="3"/>
    <n v="-1174000000"/>
    <n v="1214000000"/>
  </r>
  <r>
    <s v="Romania"/>
    <s v="ROU"/>
    <x v="0"/>
    <n v="123000000"/>
    <n v="320000000"/>
    <x v="1"/>
    <x v="3"/>
    <n v="-197000000"/>
    <n v="443000000"/>
  </r>
  <r>
    <s v="Russian Federation"/>
    <s v="RUS"/>
    <x v="0"/>
    <n v="1994000000"/>
    <n v="315000000"/>
    <x v="1"/>
    <x v="3"/>
    <n v="1679000000"/>
    <n v="2309000000"/>
  </r>
  <r>
    <s v="Saudi Arabia"/>
    <s v="SAU"/>
    <x v="0"/>
    <n v="0"/>
    <n v="1238000000"/>
    <x v="2"/>
    <x v="3"/>
    <n v="-1238000000"/>
    <n v="1238000000"/>
  </r>
  <r>
    <s v="Senegal"/>
    <s v="SEN"/>
    <x v="0"/>
    <n v="0"/>
    <n v="79000000"/>
    <x v="3"/>
    <x v="2"/>
    <n v="-79000000"/>
    <n v="79000000"/>
  </r>
  <r>
    <s v="Serbia"/>
    <s v="SRB"/>
    <x v="0"/>
    <n v="0"/>
    <n v="155000000"/>
    <x v="1"/>
    <x v="1"/>
    <n v="-155000000"/>
    <n v="155000000"/>
  </r>
  <r>
    <s v="Singapore"/>
    <s v="SGP"/>
    <x v="0"/>
    <n v="0"/>
    <n v="378000000"/>
    <x v="5"/>
    <x v="3"/>
    <n v="-378000000"/>
    <n v="378000000"/>
  </r>
  <r>
    <s v="Slovak Republic"/>
    <s v="SVK"/>
    <x v="0"/>
    <n v="0"/>
    <n v="181000000"/>
    <x v="1"/>
    <x v="3"/>
    <n v="-181000000"/>
    <n v="181000000"/>
  </r>
  <r>
    <s v="Slovenia"/>
    <s v="SVN"/>
    <x v="0"/>
    <n v="3000000"/>
    <n v="19000000"/>
    <x v="1"/>
    <x v="3"/>
    <n v="-16000000"/>
    <n v="22000000"/>
  </r>
  <r>
    <s v="Somalia, Fed. Rep."/>
    <s v="SOM"/>
    <x v="0"/>
    <n v="0"/>
    <n v="4000000"/>
    <x v="3"/>
    <x v="4"/>
    <n v="-4000000"/>
    <n v="4000000"/>
  </r>
  <r>
    <s v="South Africa"/>
    <s v="ZAF"/>
    <x v="0"/>
    <n v="96000000"/>
    <n v="0"/>
    <x v="3"/>
    <x v="1"/>
    <n v="96000000"/>
    <n v="96000000"/>
  </r>
  <r>
    <s v="South Asia"/>
    <s v="SAS"/>
    <x v="0"/>
    <n v="94000000"/>
    <n v="1689000000"/>
    <x v="0"/>
    <x v="0"/>
    <n v="-1595000000"/>
    <n v="1783000000"/>
  </r>
  <r>
    <s v="South Asia (IDA &amp; IBRD)"/>
    <s v="TSA"/>
    <x v="0"/>
    <n v="94000000"/>
    <n v="1689000000"/>
    <x v="0"/>
    <x v="0"/>
    <n v="-1595000000"/>
    <n v="1783000000"/>
  </r>
  <r>
    <s v="Spain"/>
    <s v="ESP"/>
    <x v="0"/>
    <n v="606000000"/>
    <n v="159000000"/>
    <x v="1"/>
    <x v="3"/>
    <n v="447000000"/>
    <n v="765000000"/>
  </r>
  <r>
    <s v="Sri Lanka"/>
    <s v="LKA"/>
    <x v="0"/>
    <n v="0"/>
    <n v="9000000"/>
    <x v="6"/>
    <x v="1"/>
    <n v="-9000000"/>
    <n v="9000000"/>
  </r>
  <r>
    <s v="Sudan"/>
    <s v="SDN"/>
    <x v="0"/>
    <n v="0"/>
    <n v="50000000"/>
    <x v="3"/>
    <x v="4"/>
    <n v="-50000000"/>
    <n v="50000000"/>
  </r>
  <r>
    <s v="Suriname"/>
    <s v="SUR"/>
    <x v="0"/>
    <n v="0"/>
    <n v="12000000"/>
    <x v="4"/>
    <x v="1"/>
    <n v="-12000000"/>
    <n v="12000000"/>
  </r>
  <r>
    <s v="Sweden"/>
    <s v="SWE"/>
    <x v="0"/>
    <n v="405000000"/>
    <n v="56000000"/>
    <x v="1"/>
    <x v="3"/>
    <n v="349000000"/>
    <n v="461000000"/>
  </r>
  <r>
    <s v="Switzerland"/>
    <s v="CHE"/>
    <x v="0"/>
    <n v="11000000"/>
    <n v="0"/>
    <x v="1"/>
    <x v="3"/>
    <n v="11000000"/>
    <n v="11000000"/>
  </r>
  <r>
    <s v="Tajikistan"/>
    <s v="TJK"/>
    <x v="0"/>
    <n v="0"/>
    <n v="0"/>
    <x v="1"/>
    <x v="2"/>
    <n v="0"/>
    <n v="0"/>
  </r>
  <r>
    <s v="Thailand"/>
    <s v="THA"/>
    <x v="0"/>
    <n v="15000000"/>
    <n v="73000000"/>
    <x v="5"/>
    <x v="1"/>
    <n v="-58000000"/>
    <n v="88000000"/>
  </r>
  <r>
    <s v="Togo"/>
    <s v="TGO"/>
    <x v="0"/>
    <n v="0"/>
    <n v="1000000"/>
    <x v="3"/>
    <x v="2"/>
    <n v="-1000000"/>
    <n v="1000000"/>
  </r>
  <r>
    <s v="Tunisia"/>
    <s v="TUN"/>
    <x v="0"/>
    <n v="0"/>
    <n v="78000000"/>
    <x v="2"/>
    <x v="2"/>
    <n v="-78000000"/>
    <n v="78000000"/>
  </r>
  <r>
    <s v="Turkiye"/>
    <s v="TUR"/>
    <x v="0"/>
    <n v="411000000"/>
    <n v="381000000"/>
    <x v="1"/>
    <x v="1"/>
    <n v="30000000"/>
    <n v="792000000"/>
  </r>
  <r>
    <s v="Ukraine"/>
    <s v="UKR"/>
    <x v="0"/>
    <n v="29000000"/>
    <n v="5341000000"/>
    <x v="1"/>
    <x v="1"/>
    <n v="-5312000000"/>
    <n v="5370000000"/>
  </r>
  <r>
    <s v="United Arab Emirates"/>
    <s v="ARE"/>
    <x v="0"/>
    <n v="119000000"/>
    <n v="1086000000"/>
    <x v="2"/>
    <x v="3"/>
    <n v="-967000000"/>
    <n v="1205000000"/>
  </r>
  <r>
    <s v="United Kingdom"/>
    <s v="GBR"/>
    <x v="0"/>
    <n v="884000000"/>
    <n v="486000000"/>
    <x v="1"/>
    <x v="3"/>
    <n v="398000000"/>
    <n v="1370000000"/>
  </r>
  <r>
    <s v="United States"/>
    <s v="USA"/>
    <x v="0"/>
    <n v="13651000000"/>
    <n v="1053000000"/>
    <x v="7"/>
    <x v="3"/>
    <n v="12598000000"/>
    <n v="14704000000"/>
  </r>
  <r>
    <s v="Upper middle income"/>
    <s v="UMC"/>
    <x v="0"/>
    <n v="2374000000"/>
    <n v="8638000000"/>
    <x v="0"/>
    <x v="0"/>
    <n v="-6264000000"/>
    <n v="11012000000"/>
  </r>
  <r>
    <s v="Uruguay"/>
    <s v="URY"/>
    <x v="0"/>
    <n v="0"/>
    <n v="13000000"/>
    <x v="4"/>
    <x v="3"/>
    <n v="-13000000"/>
    <n v="13000000"/>
  </r>
  <r>
    <s v="Uzbekistan"/>
    <s v="UZB"/>
    <x v="0"/>
    <n v="0"/>
    <n v="47000000"/>
    <x v="1"/>
    <x v="2"/>
    <n v="-47000000"/>
    <n v="47000000"/>
  </r>
  <r>
    <s v="Viet Nam"/>
    <s v="VNM"/>
    <x v="0"/>
    <n v="0"/>
    <n v="58000000"/>
    <x v="5"/>
    <x v="1"/>
    <n v="-58000000"/>
    <n v="58000000"/>
  </r>
  <r>
    <s v="World"/>
    <s v="WLD"/>
    <x v="0"/>
    <n v="30721000000"/>
    <n v="30591000000"/>
    <x v="0"/>
    <x v="0"/>
    <n v="130000000"/>
    <n v="61312000000"/>
  </r>
  <r>
    <s v="Zambia"/>
    <s v="ZMB"/>
    <x v="0"/>
    <n v="0"/>
    <n v="1000000"/>
    <x v="3"/>
    <x v="2"/>
    <n v="-1000000"/>
    <n v="1000000"/>
  </r>
  <r>
    <s v="Africa Eastern and Southern"/>
    <s v="AFE"/>
    <x v="1"/>
    <n v="0"/>
    <n v="166000000"/>
    <x v="0"/>
    <x v="0"/>
    <n v="-166000000"/>
    <n v="166000000"/>
  </r>
  <r>
    <s v="Africa Western and Central"/>
    <s v="AFW"/>
    <x v="1"/>
    <n v="0"/>
    <n v="587000000"/>
    <x v="0"/>
    <x v="0"/>
    <n v="-587000000"/>
    <n v="587000000"/>
  </r>
  <r>
    <s v="Albania"/>
    <s v="ALB"/>
    <x v="1"/>
    <n v="0"/>
    <n v="1000000"/>
    <x v="1"/>
    <x v="1"/>
    <n v="-1000000"/>
    <n v="1000000"/>
  </r>
  <r>
    <s v="Algeria"/>
    <s v="DZA"/>
    <x v="1"/>
    <n v="0"/>
    <n v="394000000"/>
    <x v="2"/>
    <x v="1"/>
    <n v="-394000000"/>
    <n v="394000000"/>
  </r>
  <r>
    <s v="Angola"/>
    <s v="AGO"/>
    <x v="1"/>
    <n v="0"/>
    <n v="15000000"/>
    <x v="3"/>
    <x v="2"/>
    <n v="-15000000"/>
    <n v="15000000"/>
  </r>
  <r>
    <s v="Antigua and Barbuda"/>
    <s v="ATG"/>
    <x v="1"/>
    <n v="0"/>
    <n v="0"/>
    <x v="4"/>
    <x v="3"/>
    <n v="0"/>
    <n v="0"/>
  </r>
  <r>
    <s v="Arab World"/>
    <s v="ARB"/>
    <x v="1"/>
    <n v="183000000"/>
    <n v="7241000000"/>
    <x v="0"/>
    <x v="0"/>
    <n v="-7058000000"/>
    <n v="7424000000"/>
  </r>
  <r>
    <s v="Argentina"/>
    <s v="ARG"/>
    <x v="1"/>
    <n v="0"/>
    <n v="22000000"/>
    <x v="4"/>
    <x v="1"/>
    <n v="-22000000"/>
    <n v="22000000"/>
  </r>
  <r>
    <s v="Armenia"/>
    <s v="ARM"/>
    <x v="1"/>
    <n v="0"/>
    <n v="7000000"/>
    <x v="1"/>
    <x v="1"/>
    <n v="-7000000"/>
    <n v="7000000"/>
  </r>
  <r>
    <s v="Australia"/>
    <s v="AUS"/>
    <x v="1"/>
    <n v="81000000"/>
    <n v="376000000"/>
    <x v="5"/>
    <x v="3"/>
    <n v="-295000000"/>
    <n v="457000000"/>
  </r>
  <r>
    <s v="Austria"/>
    <s v="AUT"/>
    <x v="1"/>
    <n v="4000000"/>
    <n v="17000000"/>
    <x v="1"/>
    <x v="3"/>
    <n v="-13000000"/>
    <n v="21000000"/>
  </r>
  <r>
    <s v="Azerbaijan"/>
    <s v="AZE"/>
    <x v="1"/>
    <n v="2000000"/>
    <n v="3000000"/>
    <x v="1"/>
    <x v="1"/>
    <n v="-1000000"/>
    <n v="5000000"/>
  </r>
  <r>
    <s v="Bahrain"/>
    <s v="BHR"/>
    <x v="1"/>
    <n v="0"/>
    <n v="294000000"/>
    <x v="2"/>
    <x v="3"/>
    <n v="-294000000"/>
    <n v="294000000"/>
  </r>
  <r>
    <s v="Bangladesh"/>
    <s v="BGD"/>
    <x v="1"/>
    <n v="0"/>
    <n v="74000000"/>
    <x v="6"/>
    <x v="2"/>
    <n v="-74000000"/>
    <n v="74000000"/>
  </r>
  <r>
    <s v="Belarus"/>
    <s v="BLR"/>
    <x v="1"/>
    <n v="45000000"/>
    <n v="178000000"/>
    <x v="1"/>
    <x v="1"/>
    <n v="-133000000"/>
    <n v="223000000"/>
  </r>
  <r>
    <s v="Belgium"/>
    <s v="BEL"/>
    <x v="1"/>
    <n v="41000000"/>
    <n v="12000000"/>
    <x v="1"/>
    <x v="3"/>
    <n v="29000000"/>
    <n v="53000000"/>
  </r>
  <r>
    <s v="Belize"/>
    <s v="BLZ"/>
    <x v="1"/>
    <n v="0"/>
    <n v="1000000"/>
    <x v="4"/>
    <x v="1"/>
    <n v="-1000000"/>
    <n v="1000000"/>
  </r>
  <r>
    <s v="Benin"/>
    <s v="BEN"/>
    <x v="1"/>
    <n v="0"/>
    <n v="12000000"/>
    <x v="3"/>
    <x v="2"/>
    <n v="-12000000"/>
    <n v="12000000"/>
  </r>
  <r>
    <s v="Bosnia and Herzegovina"/>
    <s v="BIH"/>
    <x v="1"/>
    <n v="7000000"/>
    <n v="0"/>
    <x v="1"/>
    <x v="1"/>
    <n v="7000000"/>
    <n v="7000000"/>
  </r>
  <r>
    <s v="Botswana"/>
    <s v="BWA"/>
    <x v="1"/>
    <n v="0"/>
    <n v="1000000"/>
    <x v="3"/>
    <x v="1"/>
    <n v="-1000000"/>
    <n v="1000000"/>
  </r>
  <r>
    <s v="Brazil"/>
    <s v="BRA"/>
    <x v="1"/>
    <n v="54000000"/>
    <n v="193000000"/>
    <x v="4"/>
    <x v="1"/>
    <n v="-139000000"/>
    <n v="247000000"/>
  </r>
  <r>
    <s v="Brunei Darussalam"/>
    <s v="BRN"/>
    <x v="1"/>
    <n v="0"/>
    <n v="11000000"/>
    <x v="5"/>
    <x v="3"/>
    <n v="-11000000"/>
    <n v="11000000"/>
  </r>
  <r>
    <s v="Bulgaria"/>
    <s v="BGR"/>
    <x v="1"/>
    <n v="19000000"/>
    <n v="0"/>
    <x v="1"/>
    <x v="3"/>
    <n v="19000000"/>
    <n v="19000000"/>
  </r>
  <r>
    <s v="Burkina Faso"/>
    <s v="BFA"/>
    <x v="1"/>
    <n v="0"/>
    <n v="19000000"/>
    <x v="3"/>
    <x v="4"/>
    <n v="-19000000"/>
    <n v="19000000"/>
  </r>
  <r>
    <s v="Cambodia"/>
    <s v="KHM"/>
    <x v="1"/>
    <n v="0"/>
    <n v="56000000"/>
    <x v="5"/>
    <x v="2"/>
    <n v="-56000000"/>
    <n v="56000000"/>
  </r>
  <r>
    <s v="Cameroon"/>
    <s v="CMR"/>
    <x v="1"/>
    <n v="0"/>
    <n v="2000000"/>
    <x v="3"/>
    <x v="2"/>
    <n v="-2000000"/>
    <n v="2000000"/>
  </r>
  <r>
    <s v="Canada"/>
    <s v="CAN"/>
    <x v="1"/>
    <n v="276000000"/>
    <n v="73000000"/>
    <x v="7"/>
    <x v="3"/>
    <n v="203000000"/>
    <n v="349000000"/>
  </r>
  <r>
    <s v="Central African Republic"/>
    <s v="CAF"/>
    <x v="1"/>
    <n v="0"/>
    <n v="43000000"/>
    <x v="3"/>
    <x v="4"/>
    <n v="-43000000"/>
    <n v="43000000"/>
  </r>
  <r>
    <s v="Central Europe and the Baltics"/>
    <s v="CEB"/>
    <x v="1"/>
    <n v="932000000"/>
    <n v="2461000000"/>
    <x v="0"/>
    <x v="0"/>
    <n v="-1529000000"/>
    <n v="3393000000"/>
  </r>
  <r>
    <s v="Chad"/>
    <s v="TCD"/>
    <x v="1"/>
    <n v="0"/>
    <n v="32000000"/>
    <x v="3"/>
    <x v="4"/>
    <n v="-32000000"/>
    <n v="32000000"/>
  </r>
  <r>
    <s v="Chile"/>
    <s v="CHL"/>
    <x v="1"/>
    <n v="0"/>
    <n v="9000000"/>
    <x v="4"/>
    <x v="3"/>
    <n v="-9000000"/>
    <n v="9000000"/>
  </r>
  <r>
    <s v="China"/>
    <s v="CHN"/>
    <x v="1"/>
    <n v="2745000000"/>
    <n v="428000000"/>
    <x v="5"/>
    <x v="1"/>
    <n v="2317000000"/>
    <n v="3173000000"/>
  </r>
  <r>
    <s v="Colombia"/>
    <s v="COL"/>
    <x v="1"/>
    <n v="0"/>
    <n v="3000000"/>
    <x v="4"/>
    <x v="1"/>
    <n v="-3000000"/>
    <n v="3000000"/>
  </r>
  <r>
    <s v="Congo, Dem. Rep."/>
    <s v="COD"/>
    <x v="1"/>
    <n v="0"/>
    <n v="27000000"/>
    <x v="3"/>
    <x v="4"/>
    <n v="-27000000"/>
    <n v="27000000"/>
  </r>
  <r>
    <s v="Cote d'Ivoire"/>
    <s v="CIV"/>
    <x v="1"/>
    <n v="0"/>
    <n v="70000000"/>
    <x v="3"/>
    <x v="2"/>
    <n v="-70000000"/>
    <n v="70000000"/>
  </r>
  <r>
    <s v="Croatia"/>
    <s v="HRV"/>
    <x v="1"/>
    <n v="39000000"/>
    <n v="89000000"/>
    <x v="1"/>
    <x v="3"/>
    <n v="-50000000"/>
    <n v="128000000"/>
  </r>
  <r>
    <s v="Cyprus"/>
    <s v="CYP"/>
    <x v="1"/>
    <n v="40000000"/>
    <n v="8000000"/>
    <x v="1"/>
    <x v="3"/>
    <n v="32000000"/>
    <n v="48000000"/>
  </r>
  <r>
    <s v="Czechia"/>
    <s v="CZE"/>
    <x v="1"/>
    <n v="113000000"/>
    <n v="148000000"/>
    <x v="1"/>
    <x v="3"/>
    <n v="-35000000"/>
    <n v="261000000"/>
  </r>
  <r>
    <s v="Denmark"/>
    <s v="DNK"/>
    <x v="1"/>
    <n v="46000000"/>
    <n v="280000000"/>
    <x v="1"/>
    <x v="3"/>
    <n v="-234000000"/>
    <n v="326000000"/>
  </r>
  <r>
    <s v="Djibouti"/>
    <s v="DJI"/>
    <x v="1"/>
    <n v="0"/>
    <n v="0"/>
    <x v="2"/>
    <x v="2"/>
    <n v="0"/>
    <n v="0"/>
  </r>
  <r>
    <s v="Dominican Republic"/>
    <s v="DOM"/>
    <x v="1"/>
    <n v="0"/>
    <n v="9000000"/>
    <x v="4"/>
    <x v="1"/>
    <n v="-9000000"/>
    <n v="9000000"/>
  </r>
  <r>
    <s v="Early-demographic dividend"/>
    <s v="EAR"/>
    <x v="1"/>
    <n v="0"/>
    <n v="9609000000"/>
    <x v="0"/>
    <x v="0"/>
    <n v="-9609000000"/>
    <n v="9609000000"/>
  </r>
  <r>
    <s v="East Asia &amp; Pacific"/>
    <s v="EAS"/>
    <x v="1"/>
    <n v="3554000000"/>
    <n v="4042000000"/>
    <x v="0"/>
    <x v="0"/>
    <n v="-488000000"/>
    <n v="7596000000"/>
  </r>
  <r>
    <s v="East Asia &amp; Pacific (excluding high income)"/>
    <s v="EAP"/>
    <x v="1"/>
    <n v="2754000000"/>
    <n v="1479000000"/>
    <x v="0"/>
    <x v="0"/>
    <n v="1275000000"/>
    <n v="4233000000"/>
  </r>
  <r>
    <s v="East Asia &amp; Pacific (IDA &amp; IBRD countries)"/>
    <s v="TEA"/>
    <x v="1"/>
    <n v="2745000000"/>
    <n v="1479000000"/>
    <x v="0"/>
    <x v="0"/>
    <n v="1266000000"/>
    <n v="4224000000"/>
  </r>
  <r>
    <s v="Ecuador"/>
    <s v="ECU"/>
    <x v="1"/>
    <n v="0"/>
    <n v="7000000"/>
    <x v="4"/>
    <x v="1"/>
    <n v="-7000000"/>
    <n v="7000000"/>
  </r>
  <r>
    <s v="Egypt, Arab Rep."/>
    <s v="EGY"/>
    <x v="1"/>
    <n v="4000000"/>
    <n v="1152000000"/>
    <x v="2"/>
    <x v="2"/>
    <n v="-1148000000"/>
    <n v="1156000000"/>
  </r>
  <r>
    <s v="El Salvador"/>
    <s v="SLV"/>
    <x v="1"/>
    <n v="0"/>
    <n v="4000000"/>
    <x v="4"/>
    <x v="1"/>
    <n v="-4000000"/>
    <n v="4000000"/>
  </r>
  <r>
    <s v="Estonia"/>
    <s v="EST"/>
    <x v="1"/>
    <n v="13000000"/>
    <n v="23000000"/>
    <x v="1"/>
    <x v="3"/>
    <n v="-10000000"/>
    <n v="36000000"/>
  </r>
  <r>
    <s v="Ethiopia"/>
    <s v="ETH"/>
    <x v="1"/>
    <n v="0"/>
    <n v="2000000"/>
    <x v="3"/>
    <x v="4"/>
    <n v="-2000000"/>
    <n v="2000000"/>
  </r>
  <r>
    <s v="Euro area"/>
    <s v="EMU"/>
    <x v="1"/>
    <n v="7644000000"/>
    <n v="2241000000"/>
    <x v="0"/>
    <x v="0"/>
    <n v="5403000000"/>
    <n v="9885000000"/>
  </r>
  <r>
    <s v="Europe &amp; Central Asia"/>
    <s v="ECS"/>
    <x v="1"/>
    <n v="12816000000"/>
    <n v="11378000000"/>
    <x v="0"/>
    <x v="0"/>
    <n v="1438000000"/>
    <n v="24194000000"/>
  </r>
  <r>
    <s v="Europe &amp; Central Asia (excluding high income)"/>
    <s v="ECA"/>
    <x v="1"/>
    <n v="840000000"/>
    <n v="5858000000"/>
    <x v="0"/>
    <x v="0"/>
    <n v="-5018000000"/>
    <n v="6698000000"/>
  </r>
  <r>
    <s v="Europe &amp; Central Asia (IDA &amp; IBRD countries)"/>
    <s v="TEC"/>
    <x v="1"/>
    <n v="2988000000"/>
    <n v="7797000000"/>
    <x v="0"/>
    <x v="0"/>
    <n v="-4809000000"/>
    <n v="10785000000"/>
  </r>
  <r>
    <s v="European Union"/>
    <s v="EUU"/>
    <x v="1"/>
    <n v="8753000000"/>
    <n v="4768000000"/>
    <x v="0"/>
    <x v="0"/>
    <n v="3985000000"/>
    <n v="13521000000"/>
  </r>
  <r>
    <s v="Finland"/>
    <s v="FIN"/>
    <x v="1"/>
    <n v="51000000"/>
    <n v="37000000"/>
    <x v="1"/>
    <x v="3"/>
    <n v="14000000"/>
    <n v="88000000"/>
  </r>
  <r>
    <s v="Fragility, Conflict, and Violence (FCV) situations"/>
    <s v="FCV"/>
    <x v="1"/>
    <n v="0"/>
    <n v="4836000000"/>
    <x v="0"/>
    <x v="0"/>
    <n v="-4836000000"/>
    <n v="4836000000"/>
  </r>
  <r>
    <s v="France"/>
    <s v="FRA"/>
    <x v="1"/>
    <n v="2175000000"/>
    <n v="114000000"/>
    <x v="1"/>
    <x v="3"/>
    <n v="2061000000"/>
    <n v="2289000000"/>
  </r>
  <r>
    <s v="Gabon"/>
    <s v="GAB"/>
    <x v="1"/>
    <n v="0"/>
    <n v="16000000"/>
    <x v="3"/>
    <x v="1"/>
    <n v="-16000000"/>
    <n v="16000000"/>
  </r>
  <r>
    <s v="Gambia, The"/>
    <s v="GMB"/>
    <x v="1"/>
    <n v="0"/>
    <n v="0"/>
    <x v="3"/>
    <x v="4"/>
    <n v="0"/>
    <n v="0"/>
  </r>
  <r>
    <s v="Georgia"/>
    <s v="GEO"/>
    <x v="1"/>
    <n v="0"/>
    <n v="0"/>
    <x v="1"/>
    <x v="1"/>
    <n v="0"/>
    <n v="0"/>
  </r>
  <r>
    <s v="Germany"/>
    <s v="DEU"/>
    <x v="1"/>
    <n v="2547000000"/>
    <n v="203000000"/>
    <x v="1"/>
    <x v="3"/>
    <n v="2344000000"/>
    <n v="2750000000"/>
  </r>
  <r>
    <s v="Ghana"/>
    <s v="GHA"/>
    <x v="1"/>
    <n v="0"/>
    <n v="8000000"/>
    <x v="3"/>
    <x v="2"/>
    <n v="-8000000"/>
    <n v="8000000"/>
  </r>
  <r>
    <s v="Greece"/>
    <s v="GRC"/>
    <x v="1"/>
    <n v="7000000"/>
    <n v="404000000"/>
    <x v="1"/>
    <x v="3"/>
    <n v="-397000000"/>
    <n v="411000000"/>
  </r>
  <r>
    <s v="Guatemala"/>
    <s v="GTM"/>
    <x v="1"/>
    <n v="0"/>
    <n v="6000000"/>
    <x v="4"/>
    <x v="1"/>
    <n v="-6000000"/>
    <n v="6000000"/>
  </r>
  <r>
    <s v="Guinea"/>
    <s v="GIN"/>
    <x v="1"/>
    <n v="0"/>
    <n v="1000000"/>
    <x v="3"/>
    <x v="2"/>
    <n v="-1000000"/>
    <n v="1000000"/>
  </r>
  <r>
    <s v="Guyana"/>
    <s v="GUY"/>
    <x v="1"/>
    <n v="0"/>
    <n v="5000000"/>
    <x v="4"/>
    <x v="3"/>
    <n v="-5000000"/>
    <n v="5000000"/>
  </r>
  <r>
    <s v="Heavily indebted poor countries (HIPC)"/>
    <s v="HPC"/>
    <x v="1"/>
    <n v="0"/>
    <n v="583000000"/>
    <x v="0"/>
    <x v="0"/>
    <n v="-583000000"/>
    <n v="583000000"/>
  </r>
  <r>
    <s v="High income"/>
    <s v="HIC"/>
    <x v="1"/>
    <n v="25365000000"/>
    <n v="15014000000"/>
    <x v="0"/>
    <x v="0"/>
    <n v="10351000000"/>
    <n v="40379000000"/>
  </r>
  <r>
    <s v="Hungary"/>
    <s v="HUN"/>
    <x v="1"/>
    <n v="0"/>
    <n v="246000000"/>
    <x v="1"/>
    <x v="3"/>
    <n v="-246000000"/>
    <n v="246000000"/>
  </r>
  <r>
    <s v="IBRD only"/>
    <s v="IBD"/>
    <x v="1"/>
    <n v="6165000000"/>
    <n v="13176000000"/>
    <x v="0"/>
    <x v="0"/>
    <n v="-7011000000"/>
    <n v="19341000000"/>
  </r>
  <r>
    <s v="IDA &amp; IBRD total"/>
    <s v="IBT"/>
    <x v="1"/>
    <n v="0"/>
    <n v="16443000000"/>
    <x v="0"/>
    <x v="0"/>
    <n v="-16443000000"/>
    <n v="16443000000"/>
  </r>
  <r>
    <s v="IDA blend"/>
    <s v="IDB"/>
    <x v="1"/>
    <n v="0"/>
    <n v="2411000000"/>
    <x v="0"/>
    <x v="0"/>
    <n v="-2411000000"/>
    <n v="2411000000"/>
  </r>
  <r>
    <s v="IDA only"/>
    <s v="IDX"/>
    <x v="1"/>
    <n v="0"/>
    <n v="856000000"/>
    <x v="0"/>
    <x v="0"/>
    <n v="-856000000"/>
    <n v="856000000"/>
  </r>
  <r>
    <s v="IDA total"/>
    <s v="IDA"/>
    <x v="1"/>
    <n v="0"/>
    <n v="3267000000"/>
    <x v="0"/>
    <x v="0"/>
    <n v="-3267000000"/>
    <n v="3267000000"/>
  </r>
  <r>
    <s v="India"/>
    <s v="IND"/>
    <x v="1"/>
    <n v="41000000"/>
    <n v="1540000000"/>
    <x v="6"/>
    <x v="2"/>
    <n v="-1499000000"/>
    <n v="1581000000"/>
  </r>
  <r>
    <s v="Indonesia"/>
    <s v="IDN"/>
    <x v="1"/>
    <n v="0"/>
    <n v="390000000"/>
    <x v="5"/>
    <x v="1"/>
    <n v="-390000000"/>
    <n v="390000000"/>
  </r>
  <r>
    <s v="Iran, Islamic Rep."/>
    <s v="IRN"/>
    <x v="1"/>
    <n v="170000000"/>
    <n v="21000000"/>
    <x v="2"/>
    <x v="1"/>
    <n v="149000000"/>
    <n v="191000000"/>
  </r>
  <r>
    <s v="Iraq"/>
    <s v="IRQ"/>
    <x v="1"/>
    <n v="0"/>
    <n v="30000000"/>
    <x v="2"/>
    <x v="1"/>
    <n v="-30000000"/>
    <n v="30000000"/>
  </r>
  <r>
    <s v="Ireland"/>
    <s v="IRL"/>
    <x v="1"/>
    <n v="0"/>
    <n v="63000000"/>
    <x v="1"/>
    <x v="3"/>
    <n v="-63000000"/>
    <n v="63000000"/>
  </r>
  <r>
    <s v="Israel"/>
    <s v="ISR"/>
    <x v="1"/>
    <n v="1272000000"/>
    <n v="863000000"/>
    <x v="2"/>
    <x v="3"/>
    <n v="409000000"/>
    <n v="2135000000"/>
  </r>
  <r>
    <s v="Italy"/>
    <s v="ITA"/>
    <x v="1"/>
    <n v="1367000000"/>
    <n v="425000000"/>
    <x v="1"/>
    <x v="3"/>
    <n v="942000000"/>
    <n v="1792000000"/>
  </r>
  <r>
    <s v="Jamaica"/>
    <s v="JAM"/>
    <x v="1"/>
    <n v="0"/>
    <n v="10000000"/>
    <x v="4"/>
    <x v="1"/>
    <n v="-10000000"/>
    <n v="10000000"/>
  </r>
  <r>
    <s v="Japan"/>
    <s v="JPN"/>
    <x v="1"/>
    <n v="13000000"/>
    <n v="852000000"/>
    <x v="5"/>
    <x v="3"/>
    <n v="-839000000"/>
    <n v="865000000"/>
  </r>
  <r>
    <s v="Jordan"/>
    <s v="JOR"/>
    <x v="1"/>
    <n v="11000000"/>
    <n v="22000000"/>
    <x v="2"/>
    <x v="1"/>
    <n v="-11000000"/>
    <n v="33000000"/>
  </r>
  <r>
    <s v="Kazakhstan"/>
    <s v="KAZ"/>
    <x v="1"/>
    <n v="0"/>
    <n v="223000000"/>
    <x v="1"/>
    <x v="1"/>
    <n v="-223000000"/>
    <n v="223000000"/>
  </r>
  <r>
    <s v="Korea, Dem. People's Rep."/>
    <s v="PRK"/>
    <x v="1"/>
    <n v="9000000"/>
    <n v="0"/>
    <x v="5"/>
    <x v="4"/>
    <n v="9000000"/>
    <n v="9000000"/>
  </r>
  <r>
    <s v="Korea, Rep."/>
    <s v="KOR"/>
    <x v="1"/>
    <n v="675000000"/>
    <n v="218000000"/>
    <x v="5"/>
    <x v="3"/>
    <n v="457000000"/>
    <n v="893000000"/>
  </r>
  <r>
    <s v="Kosovo"/>
    <s v="XKX"/>
    <x v="1"/>
    <n v="0"/>
    <n v="14000000"/>
    <x v="1"/>
    <x v="1"/>
    <n v="-14000000"/>
    <n v="14000000"/>
  </r>
  <r>
    <s v="Kuwait"/>
    <s v="KWT"/>
    <x v="1"/>
    <n v="0"/>
    <n v="497000000"/>
    <x v="2"/>
    <x v="3"/>
    <n v="-497000000"/>
    <n v="497000000"/>
  </r>
  <r>
    <s v="Kyrgyz Republic"/>
    <s v="KGZ"/>
    <x v="1"/>
    <n v="0"/>
    <n v="54000000"/>
    <x v="1"/>
    <x v="2"/>
    <n v="-54000000"/>
    <n v="54000000"/>
  </r>
  <r>
    <s v="Lao PDR"/>
    <s v="LAO"/>
    <x v="1"/>
    <n v="0"/>
    <n v="3000000"/>
    <x v="5"/>
    <x v="2"/>
    <n v="-3000000"/>
    <n v="3000000"/>
  </r>
  <r>
    <s v="Late-demographic dividend"/>
    <s v="LTE"/>
    <x v="1"/>
    <n v="5338000000"/>
    <n v="7682000000"/>
    <x v="0"/>
    <x v="0"/>
    <n v="-2344000000"/>
    <n v="13020000000"/>
  </r>
  <r>
    <s v="Latin America &amp; Caribbean"/>
    <s v="LCN"/>
    <x v="1"/>
    <n v="0"/>
    <n v="393000000"/>
    <x v="0"/>
    <x v="0"/>
    <n v="-393000000"/>
    <n v="393000000"/>
  </r>
  <r>
    <s v="Latin America &amp; Caribbean (excluding high income)"/>
    <s v="LAC"/>
    <x v="1"/>
    <n v="0"/>
    <n v="379000000"/>
    <x v="0"/>
    <x v="0"/>
    <n v="-379000000"/>
    <n v="379000000"/>
  </r>
  <r>
    <s v="Latin America &amp; the Caribbean (IDA &amp; IBRD countries)"/>
    <s v="TLA"/>
    <x v="1"/>
    <n v="0"/>
    <n v="393000000"/>
    <x v="0"/>
    <x v="0"/>
    <n v="-393000000"/>
    <n v="393000000"/>
  </r>
  <r>
    <s v="Latvia"/>
    <s v="LVA"/>
    <x v="1"/>
    <n v="7000000"/>
    <n v="47000000"/>
    <x v="1"/>
    <x v="3"/>
    <n v="-40000000"/>
    <n v="54000000"/>
  </r>
  <r>
    <s v="Least developed countries: UN classification"/>
    <s v="LDC"/>
    <x v="1"/>
    <n v="0"/>
    <n v="778000000"/>
    <x v="0"/>
    <x v="0"/>
    <n v="-778000000"/>
    <n v="778000000"/>
  </r>
  <r>
    <s v="Lebanon"/>
    <s v="LBN"/>
    <x v="1"/>
    <n v="0"/>
    <n v="14000000"/>
    <x v="2"/>
    <x v="2"/>
    <n v="-14000000"/>
    <n v="14000000"/>
  </r>
  <r>
    <s v="Liberia"/>
    <s v="LBR"/>
    <x v="1"/>
    <n v="0"/>
    <n v="14000000"/>
    <x v="3"/>
    <x v="4"/>
    <n v="-14000000"/>
    <n v="14000000"/>
  </r>
  <r>
    <s v="Libya"/>
    <s v="LBY"/>
    <x v="1"/>
    <n v="0"/>
    <n v="34000000"/>
    <x v="2"/>
    <x v="1"/>
    <n v="-34000000"/>
    <n v="34000000"/>
  </r>
  <r>
    <s v="Lithuania"/>
    <s v="LTU"/>
    <x v="1"/>
    <n v="8000000"/>
    <n v="97000000"/>
    <x v="1"/>
    <x v="3"/>
    <n v="-89000000"/>
    <n v="105000000"/>
  </r>
  <r>
    <s v="Low &amp; middle income"/>
    <s v="LMY"/>
    <x v="1"/>
    <n v="0"/>
    <n v="14492000000"/>
    <x v="0"/>
    <x v="0"/>
    <n v="-14492000000"/>
    <n v="14492000000"/>
  </r>
  <r>
    <s v="Low income"/>
    <s v="LIC"/>
    <x v="1"/>
    <n v="0"/>
    <n v="304000000"/>
    <x v="0"/>
    <x v="0"/>
    <n v="-304000000"/>
    <n v="304000000"/>
  </r>
  <r>
    <s v="Lower middle income"/>
    <s v="LMC"/>
    <x v="1"/>
    <n v="0"/>
    <n v="6288000000"/>
    <x v="0"/>
    <x v="0"/>
    <n v="-6288000000"/>
    <n v="6288000000"/>
  </r>
  <r>
    <s v="Luxembourg"/>
    <s v="LUX"/>
    <x v="1"/>
    <n v="0"/>
    <n v="1000000"/>
    <x v="1"/>
    <x v="3"/>
    <n v="-1000000"/>
    <n v="1000000"/>
  </r>
  <r>
    <s v="Malaysia"/>
    <s v="MYS"/>
    <x v="1"/>
    <n v="0"/>
    <n v="11000000"/>
    <x v="5"/>
    <x v="1"/>
    <n v="-11000000"/>
    <n v="11000000"/>
  </r>
  <r>
    <s v="Mali"/>
    <s v="MLI"/>
    <x v="1"/>
    <n v="0"/>
    <n v="82000000"/>
    <x v="3"/>
    <x v="4"/>
    <n v="-82000000"/>
    <n v="82000000"/>
  </r>
  <r>
    <s v="Malta"/>
    <s v="MLT"/>
    <x v="1"/>
    <n v="0"/>
    <n v="45000000"/>
    <x v="2"/>
    <x v="3"/>
    <n v="-45000000"/>
    <n v="45000000"/>
  </r>
  <r>
    <s v="Mauritania"/>
    <s v="MRT"/>
    <x v="1"/>
    <n v="0"/>
    <n v="2000000"/>
    <x v="3"/>
    <x v="2"/>
    <n v="-2000000"/>
    <n v="2000000"/>
  </r>
  <r>
    <s v="Mexico"/>
    <s v="MEX"/>
    <x v="1"/>
    <n v="0"/>
    <n v="4000000"/>
    <x v="4"/>
    <x v="1"/>
    <n v="-4000000"/>
    <n v="4000000"/>
  </r>
  <r>
    <s v="Micronesia, Fed. Sts."/>
    <s v="FSM"/>
    <x v="1"/>
    <n v="0"/>
    <n v="7000000"/>
    <x v="5"/>
    <x v="1"/>
    <n v="-7000000"/>
    <n v="7000000"/>
  </r>
  <r>
    <s v="Middle East, North Africa, Afghanistan &amp; Pakistan"/>
    <s v="MEA"/>
    <x v="1"/>
    <n v="1630000000"/>
    <n v="10357000000"/>
    <x v="0"/>
    <x v="0"/>
    <n v="-8727000000"/>
    <n v="11987000000"/>
  </r>
  <r>
    <s v="Middle East, North Africa, Afghanistan &amp; Pakistan (excluding high income)"/>
    <s v="MNA"/>
    <x v="1"/>
    <n v="0"/>
    <n v="4404000000"/>
    <x v="0"/>
    <x v="0"/>
    <n v="-4404000000"/>
    <n v="4404000000"/>
  </r>
  <r>
    <s v="Middle East, North Africa, Afghanistan &amp; Pakistan (IDA &amp; IBRD)"/>
    <s v="TMN"/>
    <x v="1"/>
    <n v="0"/>
    <n v="4402000000"/>
    <x v="0"/>
    <x v="0"/>
    <n v="-4402000000"/>
    <n v="4402000000"/>
  </r>
  <r>
    <s v="Middle income"/>
    <s v="MIC"/>
    <x v="1"/>
    <n v="0"/>
    <n v="14188000000"/>
    <x v="0"/>
    <x v="0"/>
    <n v="-14188000000"/>
    <n v="14188000000"/>
  </r>
  <r>
    <s v="Moldova"/>
    <s v="MDA"/>
    <x v="1"/>
    <n v="0"/>
    <n v="13000000"/>
    <x v="1"/>
    <x v="1"/>
    <n v="-13000000"/>
    <n v="13000000"/>
  </r>
  <r>
    <s v="Morocco"/>
    <s v="MAR"/>
    <x v="1"/>
    <n v="47000000"/>
    <n v="501000000"/>
    <x v="2"/>
    <x v="2"/>
    <n v="-454000000"/>
    <n v="548000000"/>
  </r>
  <r>
    <s v="Mozambique"/>
    <s v="MOZ"/>
    <x v="1"/>
    <n v="0"/>
    <n v="3000000"/>
    <x v="3"/>
    <x v="4"/>
    <n v="-3000000"/>
    <n v="3000000"/>
  </r>
  <r>
    <s v="Myanmar"/>
    <s v="MMR"/>
    <x v="1"/>
    <n v="0"/>
    <n v="132000000"/>
    <x v="5"/>
    <x v="2"/>
    <n v="-132000000"/>
    <n v="132000000"/>
  </r>
  <r>
    <s v="Netherlands"/>
    <s v="NLD"/>
    <x v="1"/>
    <n v="250000000"/>
    <n v="374000000"/>
    <x v="1"/>
    <x v="3"/>
    <n v="-124000000"/>
    <n v="624000000"/>
  </r>
  <r>
    <s v="New Zealand"/>
    <s v="NZL"/>
    <x v="1"/>
    <n v="20000000"/>
    <n v="406000000"/>
    <x v="5"/>
    <x v="3"/>
    <n v="-386000000"/>
    <n v="426000000"/>
  </r>
  <r>
    <s v="Niger"/>
    <s v="NER"/>
    <x v="1"/>
    <n v="0"/>
    <n v="19000000"/>
    <x v="3"/>
    <x v="4"/>
    <n v="-19000000"/>
    <n v="19000000"/>
  </r>
  <r>
    <s v="Nigeria"/>
    <s v="NGA"/>
    <x v="1"/>
    <n v="0"/>
    <n v="93000000"/>
    <x v="3"/>
    <x v="2"/>
    <n v="-93000000"/>
    <n v="93000000"/>
  </r>
  <r>
    <s v="North America"/>
    <s v="NAC"/>
    <x v="1"/>
    <n v="11196000000"/>
    <n v="964000000"/>
    <x v="0"/>
    <x v="0"/>
    <n v="10232000000"/>
    <n v="12160000000"/>
  </r>
  <r>
    <s v="North Macedonia"/>
    <s v="MKD"/>
    <x v="1"/>
    <n v="59000000"/>
    <n v="5000000"/>
    <x v="1"/>
    <x v="1"/>
    <n v="54000000"/>
    <n v="64000000"/>
  </r>
  <r>
    <s v="Norway"/>
    <s v="NOR"/>
    <x v="1"/>
    <n v="327000000"/>
    <n v="200000000"/>
    <x v="1"/>
    <x v="3"/>
    <n v="127000000"/>
    <n v="527000000"/>
  </r>
  <r>
    <s v="OECD members"/>
    <s v="OED"/>
    <x v="1"/>
    <n v="24319000000"/>
    <n v="9338000000"/>
    <x v="0"/>
    <x v="0"/>
    <n v="14981000000"/>
    <n v="33657000000"/>
  </r>
  <r>
    <s v="Oman"/>
    <s v="OMN"/>
    <x v="1"/>
    <n v="0"/>
    <n v="4000000"/>
    <x v="2"/>
    <x v="3"/>
    <n v="-4000000"/>
    <n v="4000000"/>
  </r>
  <r>
    <s v="Other small states"/>
    <s v="OSS"/>
    <x v="1"/>
    <n v="0"/>
    <n v="87000000"/>
    <x v="0"/>
    <x v="0"/>
    <n v="-87000000"/>
    <n v="87000000"/>
  </r>
  <r>
    <s v="Pakistan"/>
    <s v="PAK"/>
    <x v="1"/>
    <n v="5000000"/>
    <n v="2199000000"/>
    <x v="2"/>
    <x v="2"/>
    <n v="-2194000000"/>
    <n v="2204000000"/>
  </r>
  <r>
    <s v="Papua New Guinea"/>
    <s v="PNG"/>
    <x v="1"/>
    <n v="0"/>
    <n v="9000000"/>
    <x v="5"/>
    <x v="2"/>
    <n v="-9000000"/>
    <n v="9000000"/>
  </r>
  <r>
    <s v="Peru"/>
    <s v="PER"/>
    <x v="1"/>
    <n v="0"/>
    <n v="22000000"/>
    <x v="4"/>
    <x v="1"/>
    <n v="-22000000"/>
    <n v="22000000"/>
  </r>
  <r>
    <s v="Philippines"/>
    <s v="PHL"/>
    <x v="1"/>
    <n v="0"/>
    <n v="108000000"/>
    <x v="5"/>
    <x v="1"/>
    <n v="-108000000"/>
    <n v="108000000"/>
  </r>
  <r>
    <s v="Poland"/>
    <s v="POL"/>
    <x v="1"/>
    <n v="576000000"/>
    <n v="1391000000"/>
    <x v="1"/>
    <x v="3"/>
    <n v="-815000000"/>
    <n v="1967000000"/>
  </r>
  <r>
    <s v="Portugal"/>
    <s v="PRT"/>
    <x v="1"/>
    <n v="8000000"/>
    <n v="67000000"/>
    <x v="1"/>
    <x v="3"/>
    <n v="-59000000"/>
    <n v="75000000"/>
  </r>
  <r>
    <s v="Post-demographic dividend"/>
    <s v="PST"/>
    <x v="1"/>
    <n v="21749000000"/>
    <n v="11327000000"/>
    <x v="0"/>
    <x v="0"/>
    <n v="10422000000"/>
    <n v="33076000000"/>
  </r>
  <r>
    <s v="Pre-demographic dividend"/>
    <s v="PRE"/>
    <x v="1"/>
    <n v="0"/>
    <n v="669000000"/>
    <x v="0"/>
    <x v="0"/>
    <n v="-669000000"/>
    <n v="669000000"/>
  </r>
  <r>
    <s v="Qatar"/>
    <s v="QAT"/>
    <x v="1"/>
    <n v="54000000"/>
    <n v="2006000000"/>
    <x v="2"/>
    <x v="3"/>
    <n v="-1952000000"/>
    <n v="2060000000"/>
  </r>
  <r>
    <s v="Romania"/>
    <s v="ROU"/>
    <x v="1"/>
    <n v="1000000"/>
    <n v="364000000"/>
    <x v="1"/>
    <x v="3"/>
    <n v="-363000000"/>
    <n v="365000000"/>
  </r>
  <r>
    <s v="Russian Federation"/>
    <s v="RUS"/>
    <x v="1"/>
    <n v="1513000000"/>
    <n v="95000000"/>
    <x v="1"/>
    <x v="3"/>
    <n v="1418000000"/>
    <n v="1608000000"/>
  </r>
  <r>
    <s v="Rwanda"/>
    <s v="RWA"/>
    <x v="1"/>
    <n v="0"/>
    <n v="37000000"/>
    <x v="3"/>
    <x v="4"/>
    <n v="-37000000"/>
    <n v="37000000"/>
  </r>
  <r>
    <s v="Saudi Arabia"/>
    <s v="SAU"/>
    <x v="1"/>
    <n v="3000000"/>
    <n v="1326000000"/>
    <x v="2"/>
    <x v="3"/>
    <n v="-1323000000"/>
    <n v="1329000000"/>
  </r>
  <r>
    <s v="Senegal"/>
    <s v="SEN"/>
    <x v="1"/>
    <n v="0"/>
    <n v="172000000"/>
    <x v="3"/>
    <x v="2"/>
    <n v="-172000000"/>
    <n v="172000000"/>
  </r>
  <r>
    <s v="Serbia"/>
    <s v="SRB"/>
    <x v="1"/>
    <n v="0"/>
    <n v="370000000"/>
    <x v="1"/>
    <x v="1"/>
    <n v="-370000000"/>
    <n v="370000000"/>
  </r>
  <r>
    <s v="Singapore"/>
    <s v="SGP"/>
    <x v="1"/>
    <n v="11000000"/>
    <n v="495000000"/>
    <x v="5"/>
    <x v="3"/>
    <n v="-484000000"/>
    <n v="506000000"/>
  </r>
  <r>
    <s v="Slovak Republic"/>
    <s v="SVK"/>
    <x v="1"/>
    <n v="154000000"/>
    <n v="30000000"/>
    <x v="1"/>
    <x v="3"/>
    <n v="124000000"/>
    <n v="184000000"/>
  </r>
  <r>
    <s v="Slovenia"/>
    <s v="SVN"/>
    <x v="1"/>
    <n v="2000000"/>
    <n v="26000000"/>
    <x v="1"/>
    <x v="3"/>
    <n v="-24000000"/>
    <n v="28000000"/>
  </r>
  <r>
    <s v="Small states"/>
    <s v="SST"/>
    <x v="1"/>
    <n v="0"/>
    <n v="100000000"/>
    <x v="0"/>
    <x v="0"/>
    <n v="-100000000"/>
    <n v="100000000"/>
  </r>
  <r>
    <s v="Somalia, Fed. Rep."/>
    <s v="SOM"/>
    <x v="1"/>
    <n v="0"/>
    <n v="4000000"/>
    <x v="3"/>
    <x v="4"/>
    <n v="-4000000"/>
    <n v="4000000"/>
  </r>
  <r>
    <s v="South Africa"/>
    <s v="ZAF"/>
    <x v="1"/>
    <n v="105000000"/>
    <n v="30000000"/>
    <x v="3"/>
    <x v="1"/>
    <n v="75000000"/>
    <n v="135000000"/>
  </r>
  <r>
    <s v="South Asia"/>
    <s v="SAS"/>
    <x v="1"/>
    <n v="41000000"/>
    <n v="1619000000"/>
    <x v="0"/>
    <x v="0"/>
    <n v="-1578000000"/>
    <n v="1660000000"/>
  </r>
  <r>
    <s v="South Asia (IDA &amp; IBRD)"/>
    <s v="TSA"/>
    <x v="1"/>
    <n v="41000000"/>
    <n v="1619000000"/>
    <x v="0"/>
    <x v="0"/>
    <n v="-1578000000"/>
    <n v="1660000000"/>
  </r>
  <r>
    <s v="Spain"/>
    <s v="ESP"/>
    <x v="1"/>
    <n v="912000000"/>
    <n v="159000000"/>
    <x v="1"/>
    <x v="3"/>
    <n v="753000000"/>
    <n v="1071000000"/>
  </r>
  <r>
    <s v="Sri Lanka"/>
    <s v="LKA"/>
    <x v="1"/>
    <n v="0"/>
    <n v="5000000"/>
    <x v="6"/>
    <x v="1"/>
    <n v="-5000000"/>
    <n v="5000000"/>
  </r>
  <r>
    <s v="Sub-Saharan Africa"/>
    <s v="SSF"/>
    <x v="1"/>
    <n v="0"/>
    <n v="753000000"/>
    <x v="0"/>
    <x v="0"/>
    <n v="-753000000"/>
    <n v="753000000"/>
  </r>
  <r>
    <s v="Sub-Saharan Africa (excluding high income)"/>
    <s v="SSA"/>
    <x v="1"/>
    <n v="0"/>
    <n v="753000000"/>
    <x v="0"/>
    <x v="0"/>
    <n v="-753000000"/>
    <n v="753000000"/>
  </r>
  <r>
    <s v="Sub-Saharan Africa (IDA &amp; IBRD countries)"/>
    <s v="TSS"/>
    <x v="1"/>
    <n v="0"/>
    <n v="753000000"/>
    <x v="0"/>
    <x v="0"/>
    <n v="-753000000"/>
    <n v="753000000"/>
  </r>
  <r>
    <s v="Sudan"/>
    <s v="SDN"/>
    <x v="1"/>
    <n v="0"/>
    <n v="6000000"/>
    <x v="3"/>
    <x v="4"/>
    <n v="-6000000"/>
    <n v="6000000"/>
  </r>
  <r>
    <s v="Sweden"/>
    <s v="SWE"/>
    <x v="1"/>
    <n v="373000000"/>
    <n v="98000000"/>
    <x v="1"/>
    <x v="3"/>
    <n v="275000000"/>
    <n v="471000000"/>
  </r>
  <r>
    <s v="Switzerland"/>
    <s v="CHE"/>
    <x v="1"/>
    <n v="63000000"/>
    <n v="33000000"/>
    <x v="1"/>
    <x v="3"/>
    <n v="30000000"/>
    <n v="96000000"/>
  </r>
  <r>
    <s v="Tajikistan"/>
    <s v="TJK"/>
    <x v="1"/>
    <n v="0"/>
    <n v="0"/>
    <x v="1"/>
    <x v="2"/>
    <n v="0"/>
    <n v="0"/>
  </r>
  <r>
    <s v="Thailand"/>
    <s v="THA"/>
    <x v="1"/>
    <n v="0"/>
    <n v="290000000"/>
    <x v="5"/>
    <x v="1"/>
    <n v="-290000000"/>
    <n v="290000000"/>
  </r>
  <r>
    <s v="Togo"/>
    <s v="TGO"/>
    <x v="1"/>
    <n v="0"/>
    <n v="2000000"/>
    <x v="3"/>
    <x v="2"/>
    <n v="-2000000"/>
    <n v="2000000"/>
  </r>
  <r>
    <s v="Tunisia"/>
    <s v="TUN"/>
    <x v="1"/>
    <n v="0"/>
    <n v="35000000"/>
    <x v="2"/>
    <x v="2"/>
    <n v="-35000000"/>
    <n v="35000000"/>
  </r>
  <r>
    <s v="Turkiye"/>
    <s v="TUR"/>
    <x v="1"/>
    <n v="698000000"/>
    <n v="679000000"/>
    <x v="1"/>
    <x v="1"/>
    <n v="19000000"/>
    <n v="1377000000"/>
  </r>
  <r>
    <s v="Uganda"/>
    <s v="UGA"/>
    <x v="1"/>
    <n v="0"/>
    <n v="16000000"/>
    <x v="3"/>
    <x v="4"/>
    <n v="-16000000"/>
    <n v="16000000"/>
  </r>
  <r>
    <s v="Ukraine"/>
    <s v="UKR"/>
    <x v="1"/>
    <n v="29000000"/>
    <n v="4294000000"/>
    <x v="1"/>
    <x v="1"/>
    <n v="-4265000000"/>
    <n v="4323000000"/>
  </r>
  <r>
    <s v="United Arab Emirates"/>
    <s v="ARE"/>
    <x v="1"/>
    <n v="64000000"/>
    <n v="918000000"/>
    <x v="2"/>
    <x v="3"/>
    <n v="-854000000"/>
    <n v="982000000"/>
  </r>
  <r>
    <s v="United Kingdom"/>
    <s v="GBR"/>
    <x v="1"/>
    <n v="1320000000"/>
    <n v="469000000"/>
    <x v="1"/>
    <x v="3"/>
    <n v="851000000"/>
    <n v="1789000000"/>
  </r>
  <r>
    <s v="United States"/>
    <s v="USA"/>
    <x v="1"/>
    <n v="10920000000"/>
    <n v="891000000"/>
    <x v="7"/>
    <x v="3"/>
    <n v="10029000000"/>
    <n v="11811000000"/>
  </r>
  <r>
    <s v="Upper middle income"/>
    <s v="UMC"/>
    <x v="1"/>
    <n v="0"/>
    <n v="7900000000"/>
    <x v="0"/>
    <x v="0"/>
    <n v="-7900000000"/>
    <n v="7900000000"/>
  </r>
  <r>
    <s v="Uzbekistan"/>
    <s v="UZB"/>
    <x v="1"/>
    <n v="0"/>
    <n v="17000000"/>
    <x v="1"/>
    <x v="2"/>
    <n v="-17000000"/>
    <n v="17000000"/>
  </r>
  <r>
    <s v="Venezuela, RB"/>
    <s v="VEN"/>
    <x v="1"/>
    <n v="0"/>
    <n v="98000000"/>
    <x v="4"/>
    <x v="2"/>
    <n v="-98000000"/>
    <n v="98000000"/>
  </r>
  <r>
    <s v="Viet Nam"/>
    <s v="VNM"/>
    <x v="1"/>
    <n v="0"/>
    <n v="45000000"/>
    <x v="5"/>
    <x v="1"/>
    <n v="-45000000"/>
    <n v="45000000"/>
  </r>
  <r>
    <s v="West Bank and Gaza"/>
    <s v="PSE"/>
    <x v="1"/>
    <n v="0"/>
    <n v="2000000"/>
    <x v="2"/>
    <x v="2"/>
    <n v="-2000000"/>
    <n v="2000000"/>
  </r>
  <r>
    <s v="World"/>
    <s v="WLD"/>
    <x v="1"/>
    <n v="29527000000"/>
    <n v="29506000000"/>
    <x v="0"/>
    <x v="0"/>
    <n v="21000000"/>
    <n v="59033000000"/>
  </r>
  <r>
    <s v="Zambia"/>
    <s v="ZMB"/>
    <x v="1"/>
    <n v="0"/>
    <n v="5000000"/>
    <x v="3"/>
    <x v="2"/>
    <n v="-5000000"/>
    <n v="5000000"/>
  </r>
  <r>
    <s v="Zimbabwe"/>
    <s v="ZWE"/>
    <x v="1"/>
    <n v="0"/>
    <n v="20000000"/>
    <x v="3"/>
    <x v="2"/>
    <n v="-20000000"/>
    <n v="20000000"/>
  </r>
  <r>
    <s v="Africa Eastern and Southern"/>
    <s v="AFE"/>
    <x v="2"/>
    <n v="0"/>
    <n v="259000000"/>
    <x v="0"/>
    <x v="0"/>
    <n v="-259000000"/>
    <n v="259000000"/>
  </r>
  <r>
    <s v="Africa Western and Central"/>
    <s v="AFW"/>
    <x v="2"/>
    <n v="0"/>
    <n v="324000000"/>
    <x v="0"/>
    <x v="0"/>
    <n v="-324000000"/>
    <n v="324000000"/>
  </r>
  <r>
    <s v="Algeria"/>
    <s v="DZA"/>
    <x v="2"/>
    <n v="0"/>
    <n v="450000000"/>
    <x v="2"/>
    <x v="1"/>
    <n v="-450000000"/>
    <n v="450000000"/>
  </r>
  <r>
    <s v="Angola"/>
    <s v="AGO"/>
    <x v="2"/>
    <n v="0"/>
    <n v="46000000"/>
    <x v="3"/>
    <x v="2"/>
    <n v="-46000000"/>
    <n v="46000000"/>
  </r>
  <r>
    <s v="Antigua and Barbuda"/>
    <s v="ATG"/>
    <x v="2"/>
    <n v="0"/>
    <n v="0"/>
    <x v="4"/>
    <x v="3"/>
    <n v="0"/>
    <n v="0"/>
  </r>
  <r>
    <s v="Arab World"/>
    <s v="ARB"/>
    <x v="2"/>
    <n v="0"/>
    <n v="10869000000"/>
    <x v="0"/>
    <x v="0"/>
    <n v="-10869000000"/>
    <n v="10869000000"/>
  </r>
  <r>
    <s v="Argentina"/>
    <s v="ARG"/>
    <x v="2"/>
    <n v="0"/>
    <n v="50000000"/>
    <x v="4"/>
    <x v="1"/>
    <n v="-50000000"/>
    <n v="50000000"/>
  </r>
  <r>
    <s v="Armenia"/>
    <s v="ARM"/>
    <x v="2"/>
    <n v="0"/>
    <n v="29000000"/>
    <x v="1"/>
    <x v="1"/>
    <n v="-29000000"/>
    <n v="29000000"/>
  </r>
  <r>
    <s v="Australia"/>
    <s v="AUS"/>
    <x v="2"/>
    <n v="19000000"/>
    <n v="809000000"/>
    <x v="5"/>
    <x v="3"/>
    <n v="-790000000"/>
    <n v="828000000"/>
  </r>
  <r>
    <s v="Austria"/>
    <s v="AUT"/>
    <x v="2"/>
    <n v="3000000"/>
    <n v="5000000"/>
    <x v="1"/>
    <x v="3"/>
    <n v="-2000000"/>
    <n v="8000000"/>
  </r>
  <r>
    <s v="Azerbaijan"/>
    <s v="AZE"/>
    <x v="2"/>
    <n v="0"/>
    <n v="9000000"/>
    <x v="1"/>
    <x v="1"/>
    <n v="-9000000"/>
    <n v="9000000"/>
  </r>
  <r>
    <s v="Bahrain"/>
    <s v="BHR"/>
    <x v="2"/>
    <n v="0"/>
    <n v="259000000"/>
    <x v="2"/>
    <x v="3"/>
    <n v="-259000000"/>
    <n v="259000000"/>
  </r>
  <r>
    <s v="Bangladesh"/>
    <s v="BGD"/>
    <x v="2"/>
    <n v="0"/>
    <n v="331000000"/>
    <x v="6"/>
    <x v="2"/>
    <n v="-331000000"/>
    <n v="331000000"/>
  </r>
  <r>
    <s v="Belarus"/>
    <s v="BLR"/>
    <x v="2"/>
    <n v="58000000"/>
    <n v="215000000"/>
    <x v="1"/>
    <x v="1"/>
    <n v="-157000000"/>
    <n v="273000000"/>
  </r>
  <r>
    <s v="Belgium"/>
    <s v="BEL"/>
    <x v="2"/>
    <n v="129000000"/>
    <n v="170000000"/>
    <x v="1"/>
    <x v="3"/>
    <n v="-41000000"/>
    <n v="299000000"/>
  </r>
  <r>
    <s v="Benin"/>
    <s v="BEN"/>
    <x v="2"/>
    <n v="0"/>
    <n v="3000000"/>
    <x v="3"/>
    <x v="2"/>
    <n v="-3000000"/>
    <n v="3000000"/>
  </r>
  <r>
    <s v="Bosnia and Herzegovina"/>
    <s v="BIH"/>
    <x v="2"/>
    <n v="2000000"/>
    <n v="0"/>
    <x v="1"/>
    <x v="1"/>
    <n v="2000000"/>
    <n v="2000000"/>
  </r>
  <r>
    <s v="Botswana"/>
    <s v="BWA"/>
    <x v="2"/>
    <n v="0"/>
    <n v="11000000"/>
    <x v="3"/>
    <x v="1"/>
    <n v="-11000000"/>
    <n v="11000000"/>
  </r>
  <r>
    <s v="Brazil"/>
    <s v="BRA"/>
    <x v="2"/>
    <n v="10000000"/>
    <n v="469000000"/>
    <x v="4"/>
    <x v="1"/>
    <n v="-459000000"/>
    <n v="479000000"/>
  </r>
  <r>
    <s v="Bulgaria"/>
    <s v="BGR"/>
    <x v="2"/>
    <n v="34000000"/>
    <n v="3000000"/>
    <x v="1"/>
    <x v="3"/>
    <n v="31000000"/>
    <n v="37000000"/>
  </r>
  <r>
    <s v="Burkina Faso"/>
    <s v="BFA"/>
    <x v="2"/>
    <n v="0"/>
    <n v="12000000"/>
    <x v="3"/>
    <x v="4"/>
    <n v="-12000000"/>
    <n v="12000000"/>
  </r>
  <r>
    <s v="Cambodia"/>
    <s v="KHM"/>
    <x v="2"/>
    <n v="0"/>
    <n v="38000000"/>
    <x v="5"/>
    <x v="2"/>
    <n v="-38000000"/>
    <n v="38000000"/>
  </r>
  <r>
    <s v="Cameroon"/>
    <s v="CMR"/>
    <x v="2"/>
    <n v="0"/>
    <n v="2000000"/>
    <x v="3"/>
    <x v="2"/>
    <n v="-2000000"/>
    <n v="2000000"/>
  </r>
  <r>
    <s v="Canada"/>
    <s v="CAN"/>
    <x v="2"/>
    <n v="147000000"/>
    <n v="214000000"/>
    <x v="7"/>
    <x v="3"/>
    <n v="-67000000"/>
    <n v="361000000"/>
  </r>
  <r>
    <s v="Central African Republic"/>
    <s v="CAF"/>
    <x v="2"/>
    <n v="0"/>
    <n v="2000000"/>
    <x v="3"/>
    <x v="4"/>
    <n v="-2000000"/>
    <n v="2000000"/>
  </r>
  <r>
    <s v="Central Europe and the Baltics"/>
    <s v="CEB"/>
    <x v="2"/>
    <n v="1067000000"/>
    <n v="868000000"/>
    <x v="0"/>
    <x v="0"/>
    <n v="199000000"/>
    <n v="1935000000"/>
  </r>
  <r>
    <s v="Chad"/>
    <s v="TCD"/>
    <x v="2"/>
    <n v="0"/>
    <n v="6000000"/>
    <x v="3"/>
    <x v="4"/>
    <n v="-6000000"/>
    <n v="6000000"/>
  </r>
  <r>
    <s v="Chile"/>
    <s v="CHL"/>
    <x v="2"/>
    <n v="8000000"/>
    <n v="207000000"/>
    <x v="4"/>
    <x v="3"/>
    <n v="-199000000"/>
    <n v="215000000"/>
  </r>
  <r>
    <s v="China"/>
    <s v="CHN"/>
    <x v="2"/>
    <n v="2323000000"/>
    <n v="646000000"/>
    <x v="5"/>
    <x v="1"/>
    <n v="1677000000"/>
    <n v="2969000000"/>
  </r>
  <r>
    <s v="Colombia"/>
    <s v="COL"/>
    <x v="2"/>
    <n v="0"/>
    <n v="50000000"/>
    <x v="4"/>
    <x v="1"/>
    <n v="-50000000"/>
    <n v="50000000"/>
  </r>
  <r>
    <s v="Cote d'Ivoire"/>
    <s v="CIV"/>
    <x v="2"/>
    <n v="0"/>
    <n v="22000000"/>
    <x v="3"/>
    <x v="2"/>
    <n v="-22000000"/>
    <n v="22000000"/>
  </r>
  <r>
    <s v="Croatia"/>
    <s v="HRV"/>
    <x v="2"/>
    <n v="4000000"/>
    <n v="29000000"/>
    <x v="1"/>
    <x v="3"/>
    <n v="-25000000"/>
    <n v="33000000"/>
  </r>
  <r>
    <s v="Czechia"/>
    <s v="CZE"/>
    <x v="2"/>
    <n v="168000000"/>
    <n v="69000000"/>
    <x v="1"/>
    <x v="3"/>
    <n v="99000000"/>
    <n v="237000000"/>
  </r>
  <r>
    <s v="Denmark"/>
    <s v="DNK"/>
    <x v="2"/>
    <n v="83000000"/>
    <n v="214000000"/>
    <x v="1"/>
    <x v="3"/>
    <n v="-131000000"/>
    <n v="297000000"/>
  </r>
  <r>
    <s v="Djibouti"/>
    <s v="DJI"/>
    <x v="2"/>
    <n v="0"/>
    <n v="19000000"/>
    <x v="2"/>
    <x v="2"/>
    <n v="-19000000"/>
    <n v="19000000"/>
  </r>
  <r>
    <s v="Dominican Republic"/>
    <s v="DOM"/>
    <x v="2"/>
    <n v="0"/>
    <n v="5000000"/>
    <x v="4"/>
    <x v="1"/>
    <n v="-5000000"/>
    <n v="5000000"/>
  </r>
  <r>
    <s v="Early-demographic dividend"/>
    <s v="EAR"/>
    <x v="2"/>
    <n v="0"/>
    <n v="11082000000"/>
    <x v="0"/>
    <x v="0"/>
    <n v="-11082000000"/>
    <n v="11082000000"/>
  </r>
  <r>
    <s v="East Asia &amp; Pacific"/>
    <s v="EAS"/>
    <x v="2"/>
    <n v="0"/>
    <n v="5264000000"/>
    <x v="0"/>
    <x v="0"/>
    <n v="-5264000000"/>
    <n v="5264000000"/>
  </r>
  <r>
    <s v="East Asia &amp; Pacific (excluding high income)"/>
    <s v="EAP"/>
    <x v="2"/>
    <n v="2323000000"/>
    <n v="1717000000"/>
    <x v="0"/>
    <x v="0"/>
    <n v="606000000"/>
    <n v="4040000000"/>
  </r>
  <r>
    <s v="East Asia &amp; Pacific (IDA &amp; IBRD countries)"/>
    <s v="TEA"/>
    <x v="2"/>
    <n v="2323000000"/>
    <n v="1717000000"/>
    <x v="0"/>
    <x v="0"/>
    <n v="606000000"/>
    <n v="4040000000"/>
  </r>
  <r>
    <s v="Ecuador"/>
    <s v="ECU"/>
    <x v="2"/>
    <n v="0"/>
    <n v="9000000"/>
    <x v="4"/>
    <x v="1"/>
    <n v="-9000000"/>
    <n v="9000000"/>
  </r>
  <r>
    <s v="Egypt, Arab Rep."/>
    <s v="EGY"/>
    <x v="2"/>
    <n v="41000000"/>
    <n v="742000000"/>
    <x v="2"/>
    <x v="2"/>
    <n v="-701000000"/>
    <n v="783000000"/>
  </r>
  <r>
    <s v="El Salvador"/>
    <s v="SLV"/>
    <x v="2"/>
    <n v="0"/>
    <n v="7000000"/>
    <x v="4"/>
    <x v="1"/>
    <n v="-7000000"/>
    <n v="7000000"/>
  </r>
  <r>
    <s v="Estonia"/>
    <s v="EST"/>
    <x v="2"/>
    <n v="9000000"/>
    <n v="15000000"/>
    <x v="1"/>
    <x v="3"/>
    <n v="-6000000"/>
    <n v="24000000"/>
  </r>
  <r>
    <s v="Ethiopia"/>
    <s v="ETH"/>
    <x v="2"/>
    <n v="0"/>
    <n v="45000000"/>
    <x v="3"/>
    <x v="4"/>
    <n v="-45000000"/>
    <n v="45000000"/>
  </r>
  <r>
    <s v="Euro area"/>
    <s v="EMU"/>
    <x v="2"/>
    <n v="8135000000"/>
    <n v="2347000000"/>
    <x v="0"/>
    <x v="0"/>
    <n v="5788000000"/>
    <n v="10482000000"/>
  </r>
  <r>
    <s v="Europe &amp; Central Asia"/>
    <s v="ECS"/>
    <x v="2"/>
    <n v="14609000000"/>
    <n v="9008000000"/>
    <x v="0"/>
    <x v="0"/>
    <n v="5601000000"/>
    <n v="23617000000"/>
  </r>
  <r>
    <s v="Europe &amp; Central Asia (excluding high income)"/>
    <s v="ECA"/>
    <x v="2"/>
    <n v="0"/>
    <n v="3807000000"/>
    <x v="0"/>
    <x v="0"/>
    <n v="-3807000000"/>
    <n v="3807000000"/>
  </r>
  <r>
    <s v="Europe &amp; Central Asia (IDA &amp; IBRD countries)"/>
    <s v="TEC"/>
    <x v="2"/>
    <n v="4137000000"/>
    <n v="4478000000"/>
    <x v="0"/>
    <x v="0"/>
    <n v="-341000000"/>
    <n v="8615000000"/>
  </r>
  <r>
    <s v="European Union"/>
    <s v="EUU"/>
    <x v="2"/>
    <n v="9177000000"/>
    <n v="3588000000"/>
    <x v="0"/>
    <x v="0"/>
    <n v="5589000000"/>
    <n v="12765000000"/>
  </r>
  <r>
    <s v="Finland"/>
    <s v="FIN"/>
    <x v="2"/>
    <n v="42000000"/>
    <n v="12000000"/>
    <x v="1"/>
    <x v="3"/>
    <n v="30000000"/>
    <n v="54000000"/>
  </r>
  <r>
    <s v="Fragility, Conflict, and Violence (FCV) situations"/>
    <s v="FCV"/>
    <x v="2"/>
    <n v="0"/>
    <n v="3510000000"/>
    <x v="0"/>
    <x v="0"/>
    <n v="-3510000000"/>
    <n v="3510000000"/>
  </r>
  <r>
    <s v="France"/>
    <s v="FRA"/>
    <x v="2"/>
    <n v="3156000000"/>
    <n v="130000000"/>
    <x v="1"/>
    <x v="3"/>
    <n v="3026000000"/>
    <n v="3286000000"/>
  </r>
  <r>
    <s v="Gambia, The"/>
    <s v="GMB"/>
    <x v="2"/>
    <n v="0"/>
    <n v="1000000"/>
    <x v="3"/>
    <x v="4"/>
    <n v="-1000000"/>
    <n v="1000000"/>
  </r>
  <r>
    <s v="Georgia"/>
    <s v="GEO"/>
    <x v="2"/>
    <n v="0"/>
    <n v="2000000"/>
    <x v="1"/>
    <x v="1"/>
    <n v="-2000000"/>
    <n v="2000000"/>
  </r>
  <r>
    <s v="Germany"/>
    <s v="DEU"/>
    <x v="2"/>
    <n v="1508000000"/>
    <n v="269000000"/>
    <x v="1"/>
    <x v="3"/>
    <n v="1239000000"/>
    <n v="1777000000"/>
  </r>
  <r>
    <s v="Ghana"/>
    <s v="GHA"/>
    <x v="2"/>
    <n v="0"/>
    <n v="40000000"/>
    <x v="3"/>
    <x v="2"/>
    <n v="-40000000"/>
    <n v="40000000"/>
  </r>
  <r>
    <s v="Greece"/>
    <s v="GRC"/>
    <x v="2"/>
    <n v="7000000"/>
    <n v="441000000"/>
    <x v="1"/>
    <x v="3"/>
    <n v="-434000000"/>
    <n v="448000000"/>
  </r>
  <r>
    <s v="Guatemala"/>
    <s v="GTM"/>
    <x v="2"/>
    <n v="0"/>
    <n v="10000000"/>
    <x v="4"/>
    <x v="1"/>
    <n v="-10000000"/>
    <n v="10000000"/>
  </r>
  <r>
    <s v="High income"/>
    <s v="HIC"/>
    <x v="2"/>
    <n v="29811000000"/>
    <n v="19835000000"/>
    <x v="0"/>
    <x v="0"/>
    <n v="9976000000"/>
    <n v="49646000000"/>
  </r>
  <r>
    <s v="Hungary"/>
    <s v="HUN"/>
    <x v="2"/>
    <n v="0"/>
    <n v="40000000"/>
    <x v="1"/>
    <x v="3"/>
    <n v="-40000000"/>
    <n v="40000000"/>
  </r>
  <r>
    <s v="IBRD only"/>
    <s v="IBD"/>
    <x v="2"/>
    <n v="6761000000"/>
    <n v="11397000000"/>
    <x v="0"/>
    <x v="0"/>
    <n v="-4636000000"/>
    <n v="18158000000"/>
  </r>
  <r>
    <s v="IDA &amp; IBRD total"/>
    <s v="IBT"/>
    <x v="2"/>
    <n v="6766000000"/>
    <n v="14086000000"/>
    <x v="0"/>
    <x v="0"/>
    <n v="-7320000000"/>
    <n v="20852000000"/>
  </r>
  <r>
    <s v="IDA blend"/>
    <s v="IDB"/>
    <x v="2"/>
    <n v="0"/>
    <n v="1629000000"/>
    <x v="0"/>
    <x v="0"/>
    <n v="-1629000000"/>
    <n v="1629000000"/>
  </r>
  <r>
    <s v="IDA only"/>
    <s v="IDX"/>
    <x v="2"/>
    <n v="0"/>
    <n v="1060000000"/>
    <x v="0"/>
    <x v="0"/>
    <n v="-1060000000"/>
    <n v="1060000000"/>
  </r>
  <r>
    <s v="IDA total"/>
    <s v="IDA"/>
    <x v="2"/>
    <n v="0"/>
    <n v="2689000000"/>
    <x v="0"/>
    <x v="0"/>
    <n v="-2689000000"/>
    <n v="2689000000"/>
  </r>
  <r>
    <s v="India"/>
    <s v="IND"/>
    <x v="2"/>
    <n v="7000000"/>
    <n v="2701000000"/>
    <x v="6"/>
    <x v="2"/>
    <n v="-2694000000"/>
    <n v="2708000000"/>
  </r>
  <r>
    <s v="Indonesia"/>
    <s v="IDN"/>
    <x v="2"/>
    <n v="0"/>
    <n v="86000000"/>
    <x v="5"/>
    <x v="1"/>
    <n v="-86000000"/>
    <n v="86000000"/>
  </r>
  <r>
    <s v="Iran, Islamic Rep."/>
    <s v="IRN"/>
    <x v="2"/>
    <n v="48000000"/>
    <n v="0"/>
    <x v="2"/>
    <x v="1"/>
    <n v="48000000"/>
    <n v="48000000"/>
  </r>
  <r>
    <s v="Iraq"/>
    <s v="IRQ"/>
    <x v="2"/>
    <n v="0"/>
    <n v="55000000"/>
    <x v="2"/>
    <x v="1"/>
    <n v="-55000000"/>
    <n v="55000000"/>
  </r>
  <r>
    <s v="Ireland"/>
    <s v="IRL"/>
    <x v="2"/>
    <n v="46000000"/>
    <n v="1000000"/>
    <x v="1"/>
    <x v="3"/>
    <n v="45000000"/>
    <n v="47000000"/>
  </r>
  <r>
    <s v="Israel"/>
    <s v="ISR"/>
    <x v="2"/>
    <n v="1034000000"/>
    <n v="833000000"/>
    <x v="2"/>
    <x v="3"/>
    <n v="201000000"/>
    <n v="1867000000"/>
  </r>
  <r>
    <s v="Italy"/>
    <s v="ITA"/>
    <x v="2"/>
    <n v="1713000000"/>
    <n v="237000000"/>
    <x v="1"/>
    <x v="3"/>
    <n v="1476000000"/>
    <n v="1950000000"/>
  </r>
  <r>
    <s v="Japan"/>
    <s v="JPN"/>
    <x v="2"/>
    <n v="0"/>
    <n v="1466000000"/>
    <x v="5"/>
    <x v="3"/>
    <n v="-1466000000"/>
    <n v="1466000000"/>
  </r>
  <r>
    <s v="Jordan"/>
    <s v="JOR"/>
    <x v="2"/>
    <n v="53000000"/>
    <n v="50000000"/>
    <x v="2"/>
    <x v="1"/>
    <n v="3000000"/>
    <n v="103000000"/>
  </r>
  <r>
    <s v="Kazakhstan"/>
    <s v="KAZ"/>
    <x v="2"/>
    <n v="0"/>
    <n v="191000000"/>
    <x v="1"/>
    <x v="1"/>
    <n v="-191000000"/>
    <n v="191000000"/>
  </r>
  <r>
    <s v="Kenya"/>
    <s v="KEN"/>
    <x v="2"/>
    <n v="0"/>
    <n v="1000000"/>
    <x v="3"/>
    <x v="2"/>
    <n v="-1000000"/>
    <n v="1000000"/>
  </r>
  <r>
    <s v="Korea, Rep."/>
    <s v="KOR"/>
    <x v="2"/>
    <n v="231000000"/>
    <n v="423000000"/>
    <x v="5"/>
    <x v="3"/>
    <n v="-192000000"/>
    <n v="654000000"/>
  </r>
  <r>
    <s v="Kosovo"/>
    <s v="XKX"/>
    <x v="2"/>
    <n v="0"/>
    <n v="1000000"/>
    <x v="1"/>
    <x v="1"/>
    <n v="-1000000"/>
    <n v="1000000"/>
  </r>
  <r>
    <s v="Kuwait"/>
    <s v="KWT"/>
    <x v="2"/>
    <n v="0"/>
    <n v="1569000000"/>
    <x v="2"/>
    <x v="3"/>
    <n v="-1569000000"/>
    <n v="1569000000"/>
  </r>
  <r>
    <s v="Kyrgyz Republic"/>
    <s v="KGZ"/>
    <x v="2"/>
    <n v="0"/>
    <n v="14000000"/>
    <x v="1"/>
    <x v="2"/>
    <n v="-14000000"/>
    <n v="14000000"/>
  </r>
  <r>
    <s v="Late-demographic dividend"/>
    <s v="LTE"/>
    <x v="2"/>
    <n v="5825000000"/>
    <n v="9161000000"/>
    <x v="0"/>
    <x v="0"/>
    <n v="-3336000000"/>
    <n v="14986000000"/>
  </r>
  <r>
    <s v="Latvia"/>
    <s v="LVA"/>
    <x v="2"/>
    <n v="10000000"/>
    <n v="34000000"/>
    <x v="1"/>
    <x v="3"/>
    <n v="-24000000"/>
    <n v="44000000"/>
  </r>
  <r>
    <s v="Least developed countries: UN classification"/>
    <s v="LDC"/>
    <x v="2"/>
    <n v="0"/>
    <n v="1038000000"/>
    <x v="0"/>
    <x v="0"/>
    <n v="-1038000000"/>
    <n v="1038000000"/>
  </r>
  <r>
    <s v="Lebanon"/>
    <s v="LBN"/>
    <x v="2"/>
    <n v="0"/>
    <n v="30000000"/>
    <x v="2"/>
    <x v="2"/>
    <n v="-30000000"/>
    <n v="30000000"/>
  </r>
  <r>
    <s v="Lithuania"/>
    <s v="LTU"/>
    <x v="2"/>
    <n v="25000000"/>
    <n v="75000000"/>
    <x v="1"/>
    <x v="3"/>
    <n v="-50000000"/>
    <n v="100000000"/>
  </r>
  <r>
    <s v="Low &amp; middle income"/>
    <s v="LMY"/>
    <x v="2"/>
    <n v="0"/>
    <n v="13198000000"/>
    <x v="0"/>
    <x v="0"/>
    <n v="-13198000000"/>
    <n v="13198000000"/>
  </r>
  <r>
    <s v="Low income"/>
    <s v="LIC"/>
    <x v="2"/>
    <n v="0"/>
    <n v="283000000"/>
    <x v="0"/>
    <x v="0"/>
    <n v="-283000000"/>
    <n v="283000000"/>
  </r>
  <r>
    <s v="Lower middle income"/>
    <s v="LMC"/>
    <x v="2"/>
    <n v="74000000"/>
    <n v="6456000000"/>
    <x v="0"/>
    <x v="0"/>
    <n v="-6382000000"/>
    <n v="6530000000"/>
  </r>
  <r>
    <s v="Malawi"/>
    <s v="MWI"/>
    <x v="2"/>
    <n v="0"/>
    <n v="19000000"/>
    <x v="3"/>
    <x v="4"/>
    <n v="-19000000"/>
    <n v="19000000"/>
  </r>
  <r>
    <s v="Malaysia"/>
    <s v="MYS"/>
    <x v="2"/>
    <n v="0"/>
    <n v="71000000"/>
    <x v="5"/>
    <x v="1"/>
    <n v="-71000000"/>
    <n v="71000000"/>
  </r>
  <r>
    <s v="Mali"/>
    <s v="MLI"/>
    <x v="2"/>
    <n v="0"/>
    <n v="62000000"/>
    <x v="3"/>
    <x v="4"/>
    <n v="-62000000"/>
    <n v="62000000"/>
  </r>
  <r>
    <s v="Mauritius"/>
    <s v="MUS"/>
    <x v="2"/>
    <n v="0"/>
    <n v="4000000"/>
    <x v="3"/>
    <x v="1"/>
    <n v="-4000000"/>
    <n v="4000000"/>
  </r>
  <r>
    <s v="Micronesia, Fed. Sts."/>
    <s v="FSM"/>
    <x v="2"/>
    <n v="0"/>
    <n v="7000000"/>
    <x v="5"/>
    <x v="1"/>
    <n v="-7000000"/>
    <n v="7000000"/>
  </r>
  <r>
    <s v="Middle East, North Africa, Afghanistan &amp; Pakistan"/>
    <s v="MEA"/>
    <x v="2"/>
    <n v="0"/>
    <n v="13228000000"/>
    <x v="0"/>
    <x v="0"/>
    <n v="-13228000000"/>
    <n v="13228000000"/>
  </r>
  <r>
    <s v="Middle East, North Africa, Afghanistan &amp; Pakistan (excluding high income)"/>
    <s v="MNA"/>
    <x v="2"/>
    <n v="0"/>
    <n v="3418000000"/>
    <x v="0"/>
    <x v="0"/>
    <n v="-3418000000"/>
    <n v="3418000000"/>
  </r>
  <r>
    <s v="Middle East, North Africa, Afghanistan &amp; Pakistan (IDA &amp; IBRD)"/>
    <s v="TMN"/>
    <x v="2"/>
    <n v="0"/>
    <n v="3418000000"/>
    <x v="0"/>
    <x v="0"/>
    <n v="-3418000000"/>
    <n v="3418000000"/>
  </r>
  <r>
    <s v="Middle income"/>
    <s v="MIC"/>
    <x v="2"/>
    <n v="0"/>
    <n v="12915000000"/>
    <x v="0"/>
    <x v="0"/>
    <n v="-12915000000"/>
    <n v="12915000000"/>
  </r>
  <r>
    <s v="Mongolia"/>
    <s v="MNG"/>
    <x v="2"/>
    <n v="0"/>
    <n v="3000000"/>
    <x v="5"/>
    <x v="1"/>
    <n v="-3000000"/>
    <n v="3000000"/>
  </r>
  <r>
    <s v="Montenegro"/>
    <s v="MNE"/>
    <x v="2"/>
    <n v="4000000"/>
    <n v="2000000"/>
    <x v="1"/>
    <x v="1"/>
    <n v="2000000"/>
    <n v="6000000"/>
  </r>
  <r>
    <s v="Morocco"/>
    <s v="MAR"/>
    <x v="2"/>
    <n v="21000000"/>
    <n v="507000000"/>
    <x v="2"/>
    <x v="2"/>
    <n v="-486000000"/>
    <n v="528000000"/>
  </r>
  <r>
    <s v="Mozambique"/>
    <s v="MOZ"/>
    <x v="2"/>
    <n v="0"/>
    <n v="5000000"/>
    <x v="3"/>
    <x v="4"/>
    <n v="-5000000"/>
    <n v="5000000"/>
  </r>
  <r>
    <s v="Myanmar"/>
    <s v="MMR"/>
    <x v="2"/>
    <n v="0"/>
    <n v="229000000"/>
    <x v="5"/>
    <x v="2"/>
    <n v="-229000000"/>
    <n v="229000000"/>
  </r>
  <r>
    <s v="Netherlands"/>
    <s v="NLD"/>
    <x v="2"/>
    <n v="324000000"/>
    <n v="725000000"/>
    <x v="1"/>
    <x v="3"/>
    <n v="-401000000"/>
    <n v="1049000000"/>
  </r>
  <r>
    <s v="New Zealand"/>
    <s v="NZL"/>
    <x v="2"/>
    <n v="29000000"/>
    <n v="171000000"/>
    <x v="5"/>
    <x v="3"/>
    <n v="-142000000"/>
    <n v="200000000"/>
  </r>
  <r>
    <s v="Niger"/>
    <s v="NER"/>
    <x v="2"/>
    <n v="0"/>
    <n v="34000000"/>
    <x v="3"/>
    <x v="4"/>
    <n v="-34000000"/>
    <n v="34000000"/>
  </r>
  <r>
    <s v="Nigeria"/>
    <s v="NGA"/>
    <x v="2"/>
    <n v="4000000"/>
    <n v="53000000"/>
    <x v="3"/>
    <x v="2"/>
    <n v="-49000000"/>
    <n v="57000000"/>
  </r>
  <r>
    <s v="North America"/>
    <s v="NAC"/>
    <x v="2"/>
    <n v="14652000000"/>
    <n v="1060000000"/>
    <x v="0"/>
    <x v="0"/>
    <n v="13592000000"/>
    <n v="15712000000"/>
  </r>
  <r>
    <s v="North Macedonia"/>
    <s v="MKD"/>
    <x v="2"/>
    <n v="31000000"/>
    <n v="1000000"/>
    <x v="1"/>
    <x v="1"/>
    <n v="30000000"/>
    <n v="32000000"/>
  </r>
  <r>
    <s v="Norway"/>
    <s v="NOR"/>
    <x v="2"/>
    <n v="120000000"/>
    <n v="700000000"/>
    <x v="1"/>
    <x v="3"/>
    <n v="-580000000"/>
    <n v="820000000"/>
  </r>
  <r>
    <s v="OECD members"/>
    <s v="OED"/>
    <x v="2"/>
    <n v="27780000000"/>
    <n v="10150000000"/>
    <x v="0"/>
    <x v="0"/>
    <n v="17630000000"/>
    <n v="37930000000"/>
  </r>
  <r>
    <s v="Oman"/>
    <s v="OMN"/>
    <x v="2"/>
    <n v="0"/>
    <n v="4000000"/>
    <x v="2"/>
    <x v="3"/>
    <n v="-4000000"/>
    <n v="4000000"/>
  </r>
  <r>
    <s v="Pakistan"/>
    <s v="PAK"/>
    <x v="2"/>
    <n v="1000000"/>
    <n v="1529000000"/>
    <x v="2"/>
    <x v="2"/>
    <n v="-1528000000"/>
    <n v="1530000000"/>
  </r>
  <r>
    <s v="Peru"/>
    <s v="PER"/>
    <x v="2"/>
    <n v="0"/>
    <n v="38000000"/>
    <x v="4"/>
    <x v="1"/>
    <n v="-38000000"/>
    <n v="38000000"/>
  </r>
  <r>
    <s v="Philippines"/>
    <s v="PHL"/>
    <x v="2"/>
    <n v="0"/>
    <n v="280000000"/>
    <x v="5"/>
    <x v="1"/>
    <n v="-280000000"/>
    <n v="280000000"/>
  </r>
  <r>
    <s v="Poland"/>
    <s v="POL"/>
    <x v="2"/>
    <n v="707000000"/>
    <n v="414000000"/>
    <x v="1"/>
    <x v="3"/>
    <n v="293000000"/>
    <n v="1121000000"/>
  </r>
  <r>
    <s v="Portugal"/>
    <s v="PRT"/>
    <x v="2"/>
    <n v="2000000"/>
    <n v="0"/>
    <x v="1"/>
    <x v="3"/>
    <n v="2000000"/>
    <n v="2000000"/>
  </r>
  <r>
    <s v="Post-demographic dividend"/>
    <s v="PST"/>
    <x v="2"/>
    <n v="25503000000"/>
    <n v="12136000000"/>
    <x v="0"/>
    <x v="0"/>
    <n v="13367000000"/>
    <n v="37639000000"/>
  </r>
  <r>
    <s v="Pre-demographic dividend"/>
    <s v="PRE"/>
    <x v="2"/>
    <n v="0"/>
    <n v="491000000"/>
    <x v="0"/>
    <x v="0"/>
    <n v="-491000000"/>
    <n v="491000000"/>
  </r>
  <r>
    <s v="Qatar"/>
    <s v="QAT"/>
    <x v="2"/>
    <n v="1000000"/>
    <n v="3336000000"/>
    <x v="2"/>
    <x v="3"/>
    <n v="-3335000000"/>
    <n v="3337000000"/>
  </r>
  <r>
    <s v="Romania"/>
    <s v="ROU"/>
    <x v="2"/>
    <n v="1000000"/>
    <n v="186000000"/>
    <x v="1"/>
    <x v="3"/>
    <n v="-185000000"/>
    <n v="187000000"/>
  </r>
  <r>
    <s v="Russian Federation"/>
    <s v="RUS"/>
    <x v="2"/>
    <n v="2566000000"/>
    <n v="39000000"/>
    <x v="1"/>
    <x v="3"/>
    <n v="2527000000"/>
    <n v="2605000000"/>
  </r>
  <r>
    <s v="Rwanda"/>
    <s v="RWA"/>
    <x v="2"/>
    <n v="0"/>
    <n v="17000000"/>
    <x v="3"/>
    <x v="4"/>
    <n v="-17000000"/>
    <n v="17000000"/>
  </r>
  <r>
    <s v="Saudi Arabia"/>
    <s v="SAU"/>
    <x v="2"/>
    <n v="0"/>
    <n v="3053000000"/>
    <x v="2"/>
    <x v="3"/>
    <n v="-3053000000"/>
    <n v="3053000000"/>
  </r>
  <r>
    <s v="Senegal"/>
    <s v="SEN"/>
    <x v="2"/>
    <n v="0"/>
    <n v="28000000"/>
    <x v="3"/>
    <x v="2"/>
    <n v="-28000000"/>
    <n v="28000000"/>
  </r>
  <r>
    <s v="Serbia"/>
    <s v="SRB"/>
    <x v="2"/>
    <n v="0"/>
    <n v="164000000"/>
    <x v="1"/>
    <x v="1"/>
    <n v="-164000000"/>
    <n v="164000000"/>
  </r>
  <r>
    <s v="Singapore"/>
    <s v="SGP"/>
    <x v="2"/>
    <n v="36000000"/>
    <n v="516000000"/>
    <x v="5"/>
    <x v="3"/>
    <n v="-480000000"/>
    <n v="552000000"/>
  </r>
  <r>
    <s v="Slovak Republic"/>
    <s v="SVK"/>
    <x v="2"/>
    <n v="71000000"/>
    <n v="3000000"/>
    <x v="1"/>
    <x v="3"/>
    <n v="68000000"/>
    <n v="74000000"/>
  </r>
  <r>
    <s v="Slovenia"/>
    <s v="SVN"/>
    <x v="2"/>
    <n v="38000000"/>
    <n v="0"/>
    <x v="1"/>
    <x v="3"/>
    <n v="38000000"/>
    <n v="38000000"/>
  </r>
  <r>
    <s v="South Africa"/>
    <s v="ZAF"/>
    <x v="2"/>
    <n v="113000000"/>
    <n v="30000000"/>
    <x v="3"/>
    <x v="1"/>
    <n v="83000000"/>
    <n v="143000000"/>
  </r>
  <r>
    <s v="South Asia"/>
    <s v="SAS"/>
    <x v="2"/>
    <n v="7000000"/>
    <n v="3035000000"/>
    <x v="0"/>
    <x v="0"/>
    <n v="-3028000000"/>
    <n v="3042000000"/>
  </r>
  <r>
    <s v="South Asia (IDA &amp; IBRD)"/>
    <s v="TSA"/>
    <x v="2"/>
    <n v="7000000"/>
    <n v="3035000000"/>
    <x v="0"/>
    <x v="0"/>
    <n v="-3028000000"/>
    <n v="3042000000"/>
  </r>
  <r>
    <s v="South Sudan"/>
    <s v="SSD"/>
    <x v="2"/>
    <n v="0"/>
    <n v="10000000"/>
    <x v="3"/>
    <x v="4"/>
    <n v="-10000000"/>
    <n v="10000000"/>
  </r>
  <r>
    <s v="Spain"/>
    <s v="ESP"/>
    <x v="2"/>
    <n v="1014000000"/>
    <n v="198000000"/>
    <x v="1"/>
    <x v="3"/>
    <n v="816000000"/>
    <n v="1212000000"/>
  </r>
  <r>
    <s v="Sri Lanka"/>
    <s v="LKA"/>
    <x v="2"/>
    <n v="0"/>
    <n v="3000000"/>
    <x v="6"/>
    <x v="1"/>
    <n v="-3000000"/>
    <n v="3000000"/>
  </r>
  <r>
    <s v="Sub-Saharan Africa"/>
    <s v="SSF"/>
    <x v="2"/>
    <n v="0"/>
    <n v="583000000"/>
    <x v="0"/>
    <x v="0"/>
    <n v="-583000000"/>
    <n v="583000000"/>
  </r>
  <r>
    <s v="Sub-Saharan Africa (excluding high income)"/>
    <s v="SSA"/>
    <x v="2"/>
    <n v="0"/>
    <n v="583000000"/>
    <x v="0"/>
    <x v="0"/>
    <n v="-583000000"/>
    <n v="583000000"/>
  </r>
  <r>
    <s v="Sub-Saharan Africa (IDA &amp; IBRD countries)"/>
    <s v="TSS"/>
    <x v="2"/>
    <n v="0"/>
    <n v="583000000"/>
    <x v="0"/>
    <x v="0"/>
    <n v="-583000000"/>
    <n v="583000000"/>
  </r>
  <r>
    <s v="Sudan"/>
    <s v="SDN"/>
    <x v="2"/>
    <n v="0"/>
    <n v="3000000"/>
    <x v="3"/>
    <x v="4"/>
    <n v="-3000000"/>
    <n v="3000000"/>
  </r>
  <r>
    <s v="Sweden"/>
    <s v="SWE"/>
    <x v="2"/>
    <n v="83000000"/>
    <n v="318000000"/>
    <x v="1"/>
    <x v="3"/>
    <n v="-235000000"/>
    <n v="401000000"/>
  </r>
  <r>
    <s v="Switzerland"/>
    <s v="CHE"/>
    <x v="2"/>
    <n v="181000000"/>
    <n v="15000000"/>
    <x v="1"/>
    <x v="3"/>
    <n v="166000000"/>
    <n v="196000000"/>
  </r>
  <r>
    <s v="Tajikistan"/>
    <s v="TJK"/>
    <x v="2"/>
    <n v="0"/>
    <n v="3000000"/>
    <x v="1"/>
    <x v="2"/>
    <n v="-3000000"/>
    <n v="3000000"/>
  </r>
  <r>
    <s v="Thailand"/>
    <s v="THA"/>
    <x v="2"/>
    <n v="0"/>
    <n v="271000000"/>
    <x v="5"/>
    <x v="1"/>
    <n v="-271000000"/>
    <n v="271000000"/>
  </r>
  <r>
    <s v="Togo"/>
    <s v="TGO"/>
    <x v="2"/>
    <n v="0"/>
    <n v="59000000"/>
    <x v="3"/>
    <x v="2"/>
    <n v="-59000000"/>
    <n v="59000000"/>
  </r>
  <r>
    <s v="Tunisia"/>
    <s v="TUN"/>
    <x v="2"/>
    <n v="0"/>
    <n v="35000000"/>
    <x v="2"/>
    <x v="2"/>
    <n v="-35000000"/>
    <n v="35000000"/>
  </r>
  <r>
    <s v="Turkiye"/>
    <s v="TUR"/>
    <x v="2"/>
    <n v="628000000"/>
    <n v="187000000"/>
    <x v="1"/>
    <x v="1"/>
    <n v="441000000"/>
    <n v="815000000"/>
  </r>
  <r>
    <s v="Uganda"/>
    <s v="UGA"/>
    <x v="2"/>
    <n v="0"/>
    <n v="66000000"/>
    <x v="3"/>
    <x v="4"/>
    <n v="-66000000"/>
    <n v="66000000"/>
  </r>
  <r>
    <s v="Ukraine"/>
    <s v="UKR"/>
    <x v="2"/>
    <n v="102000000"/>
    <n v="2967000000"/>
    <x v="1"/>
    <x v="1"/>
    <n v="-2865000000"/>
    <n v="3069000000"/>
  </r>
  <r>
    <s v="United Arab Emirates"/>
    <s v="ARE"/>
    <x v="2"/>
    <n v="17000000"/>
    <n v="756000000"/>
    <x v="2"/>
    <x v="3"/>
    <n v="-739000000"/>
    <n v="773000000"/>
  </r>
  <r>
    <s v="United Kingdom"/>
    <s v="GBR"/>
    <x v="2"/>
    <n v="1740000000"/>
    <n v="859000000"/>
    <x v="1"/>
    <x v="3"/>
    <n v="881000000"/>
    <n v="2599000000"/>
  </r>
  <r>
    <s v="United States"/>
    <s v="USA"/>
    <x v="2"/>
    <n v="14505000000"/>
    <n v="846000000"/>
    <x v="7"/>
    <x v="3"/>
    <n v="13659000000"/>
    <n v="15351000000"/>
  </r>
  <r>
    <s v="Upper middle income"/>
    <s v="UMC"/>
    <x v="2"/>
    <n v="0"/>
    <n v="6459000000"/>
    <x v="0"/>
    <x v="0"/>
    <n v="-6459000000"/>
    <n v="6459000000"/>
  </r>
  <r>
    <s v="Uruguay"/>
    <s v="URY"/>
    <x v="2"/>
    <n v="0"/>
    <n v="10000000"/>
    <x v="4"/>
    <x v="3"/>
    <n v="-10000000"/>
    <n v="10000000"/>
  </r>
  <r>
    <s v="Uzbekistan"/>
    <s v="UZB"/>
    <x v="2"/>
    <n v="0"/>
    <n v="22000000"/>
    <x v="1"/>
    <x v="2"/>
    <n v="-22000000"/>
    <n v="22000000"/>
  </r>
  <r>
    <s v="Viet Nam"/>
    <s v="VNM"/>
    <x v="2"/>
    <n v="0"/>
    <n v="86000000"/>
    <x v="5"/>
    <x v="1"/>
    <n v="-86000000"/>
    <n v="86000000"/>
  </r>
  <r>
    <s v="World"/>
    <s v="WLD"/>
    <x v="2"/>
    <n v="33297000000"/>
    <n v="33033000000"/>
    <x v="0"/>
    <x v="0"/>
    <n v="264000000"/>
    <n v="66330000000"/>
  </r>
  <r>
    <s v="Yemen, Rep."/>
    <s v="YEM"/>
    <x v="2"/>
    <n v="0"/>
    <n v="1000000"/>
    <x v="2"/>
    <x v="4"/>
    <n v="-1000000"/>
    <n v="1000000"/>
  </r>
  <r>
    <s v="Zambia"/>
    <s v="ZMB"/>
    <x v="2"/>
    <n v="0"/>
    <n v="2000000"/>
    <x v="3"/>
    <x v="2"/>
    <n v="-2000000"/>
    <n v="2000000"/>
  </r>
  <r>
    <s v="Afghanistan"/>
    <s v="AFG"/>
    <x v="3"/>
    <n v="0"/>
    <n v="65000000"/>
    <x v="2"/>
    <x v="4"/>
    <n v="-65000000"/>
    <n v="65000000"/>
  </r>
  <r>
    <s v="Africa Western and Central"/>
    <s v="AFW"/>
    <x v="3"/>
    <n v="0"/>
    <n v="499000000"/>
    <x v="0"/>
    <x v="0"/>
    <n v="-499000000"/>
    <n v="499000000"/>
  </r>
  <r>
    <s v="Albania"/>
    <s v="ALB"/>
    <x v="3"/>
    <n v="0"/>
    <n v="1000000"/>
    <x v="1"/>
    <x v="1"/>
    <n v="-1000000"/>
    <n v="1000000"/>
  </r>
  <r>
    <s v="Algeria"/>
    <s v="DZA"/>
    <x v="3"/>
    <n v="0"/>
    <n v="164000000"/>
    <x v="2"/>
    <x v="1"/>
    <n v="-164000000"/>
    <n v="164000000"/>
  </r>
  <r>
    <s v="Arab World"/>
    <s v="ARB"/>
    <x v="3"/>
    <n v="0"/>
    <n v="8071000000"/>
    <x v="0"/>
    <x v="0"/>
    <n v="-8071000000"/>
    <n v="8071000000"/>
  </r>
  <r>
    <s v="Argentina"/>
    <s v="ARG"/>
    <x v="3"/>
    <n v="0"/>
    <n v="77000000"/>
    <x v="4"/>
    <x v="1"/>
    <n v="-77000000"/>
    <n v="77000000"/>
  </r>
  <r>
    <s v="Armenia"/>
    <s v="ARM"/>
    <x v="3"/>
    <n v="0"/>
    <n v="32000000"/>
    <x v="1"/>
    <x v="1"/>
    <n v="-32000000"/>
    <n v="32000000"/>
  </r>
  <r>
    <s v="Australia"/>
    <s v="AUS"/>
    <x v="3"/>
    <n v="175000000"/>
    <n v="1218000000"/>
    <x v="5"/>
    <x v="3"/>
    <n v="-1043000000"/>
    <n v="1393000000"/>
  </r>
  <r>
    <s v="Austria"/>
    <s v="AUT"/>
    <x v="3"/>
    <n v="3000000"/>
    <n v="34000000"/>
    <x v="1"/>
    <x v="3"/>
    <n v="-31000000"/>
    <n v="37000000"/>
  </r>
  <r>
    <s v="Bahrain"/>
    <s v="BHR"/>
    <x v="3"/>
    <n v="0"/>
    <n v="184000000"/>
    <x v="2"/>
    <x v="3"/>
    <n v="-184000000"/>
    <n v="184000000"/>
  </r>
  <r>
    <s v="Bangladesh"/>
    <s v="BGD"/>
    <x v="3"/>
    <n v="0"/>
    <n v="60000000"/>
    <x v="6"/>
    <x v="2"/>
    <n v="-60000000"/>
    <n v="60000000"/>
  </r>
  <r>
    <s v="Belarus"/>
    <s v="BLR"/>
    <x v="3"/>
    <n v="111000000"/>
    <n v="69000000"/>
    <x v="1"/>
    <x v="1"/>
    <n v="42000000"/>
    <n v="180000000"/>
  </r>
  <r>
    <s v="Belgium"/>
    <s v="BEL"/>
    <x v="3"/>
    <n v="99000000"/>
    <n v="255000000"/>
    <x v="1"/>
    <x v="3"/>
    <n v="-156000000"/>
    <n v="354000000"/>
  </r>
  <r>
    <s v="Bhutan"/>
    <s v="BTN"/>
    <x v="3"/>
    <n v="0"/>
    <n v="5000000"/>
    <x v="6"/>
    <x v="2"/>
    <n v="-5000000"/>
    <n v="5000000"/>
  </r>
  <r>
    <s v="Bosnia and Herzegovina"/>
    <s v="BIH"/>
    <x v="3"/>
    <n v="0"/>
    <n v="12000000"/>
    <x v="1"/>
    <x v="1"/>
    <n v="-12000000"/>
    <n v="12000000"/>
  </r>
  <r>
    <s v="Botswana"/>
    <s v="BWA"/>
    <x v="3"/>
    <n v="0"/>
    <n v="16000000"/>
    <x v="3"/>
    <x v="1"/>
    <n v="-16000000"/>
    <n v="16000000"/>
  </r>
  <r>
    <s v="Brazil"/>
    <s v="BRA"/>
    <x v="3"/>
    <n v="86000000"/>
    <n v="240000000"/>
    <x v="4"/>
    <x v="1"/>
    <n v="-154000000"/>
    <n v="326000000"/>
  </r>
  <r>
    <s v="Bulgaria"/>
    <s v="BGR"/>
    <x v="3"/>
    <n v="7000000"/>
    <n v="1000000"/>
    <x v="1"/>
    <x v="3"/>
    <n v="6000000"/>
    <n v="8000000"/>
  </r>
  <r>
    <s v="Burkina Faso"/>
    <s v="BFA"/>
    <x v="3"/>
    <n v="0"/>
    <n v="26000000"/>
    <x v="3"/>
    <x v="4"/>
    <n v="-26000000"/>
    <n v="26000000"/>
  </r>
  <r>
    <s v="Cambodia"/>
    <s v="KHM"/>
    <x v="3"/>
    <n v="0"/>
    <n v="35000000"/>
    <x v="5"/>
    <x v="2"/>
    <n v="-35000000"/>
    <n v="35000000"/>
  </r>
  <r>
    <s v="Cameroon"/>
    <s v="CMR"/>
    <x v="3"/>
    <n v="0"/>
    <n v="4000000"/>
    <x v="3"/>
    <x v="2"/>
    <n v="-4000000"/>
    <n v="4000000"/>
  </r>
  <r>
    <s v="Canada"/>
    <s v="CAN"/>
    <x v="3"/>
    <n v="144000000"/>
    <n v="357000000"/>
    <x v="7"/>
    <x v="3"/>
    <n v="-213000000"/>
    <n v="501000000"/>
  </r>
  <r>
    <s v="Central African Republic"/>
    <s v="CAF"/>
    <x v="3"/>
    <n v="0"/>
    <n v="44000000"/>
    <x v="3"/>
    <x v="4"/>
    <n v="-44000000"/>
    <n v="44000000"/>
  </r>
  <r>
    <s v="Central Europe and the Baltics"/>
    <s v="CEB"/>
    <x v="3"/>
    <n v="0"/>
    <n v="378000000"/>
    <x v="0"/>
    <x v="0"/>
    <n v="-378000000"/>
    <n v="378000000"/>
  </r>
  <r>
    <s v="Chad"/>
    <s v="TCD"/>
    <x v="3"/>
    <n v="0"/>
    <n v="47000000"/>
    <x v="3"/>
    <x v="4"/>
    <n v="-47000000"/>
    <n v="47000000"/>
  </r>
  <r>
    <s v="Chile"/>
    <s v="CHL"/>
    <x v="3"/>
    <n v="0"/>
    <n v="66000000"/>
    <x v="4"/>
    <x v="3"/>
    <n v="-66000000"/>
    <n v="66000000"/>
  </r>
  <r>
    <s v="China"/>
    <s v="CHN"/>
    <x v="3"/>
    <n v="1342000000"/>
    <n v="685000000"/>
    <x v="5"/>
    <x v="1"/>
    <n v="657000000"/>
    <n v="2027000000"/>
  </r>
  <r>
    <s v="Colombia"/>
    <s v="COL"/>
    <x v="3"/>
    <n v="0"/>
    <n v="45000000"/>
    <x v="4"/>
    <x v="1"/>
    <n v="-45000000"/>
    <n v="45000000"/>
  </r>
  <r>
    <s v="Congo, Rep."/>
    <s v="COG"/>
    <x v="3"/>
    <n v="0"/>
    <n v="3000000"/>
    <x v="3"/>
    <x v="2"/>
    <n v="-3000000"/>
    <n v="3000000"/>
  </r>
  <r>
    <s v="Cote d'Ivoire"/>
    <s v="CIV"/>
    <x v="3"/>
    <n v="0"/>
    <n v="7000000"/>
    <x v="3"/>
    <x v="2"/>
    <n v="-7000000"/>
    <n v="7000000"/>
  </r>
  <r>
    <s v="Cyprus"/>
    <s v="CYP"/>
    <x v="3"/>
    <n v="0"/>
    <n v="12000000"/>
    <x v="1"/>
    <x v="3"/>
    <n v="-12000000"/>
    <n v="12000000"/>
  </r>
  <r>
    <s v="Czechia"/>
    <s v="CZE"/>
    <x v="3"/>
    <n v="6000000"/>
    <n v="32000000"/>
    <x v="1"/>
    <x v="3"/>
    <n v="-26000000"/>
    <n v="38000000"/>
  </r>
  <r>
    <s v="Denmark"/>
    <s v="DNK"/>
    <x v="3"/>
    <n v="29000000"/>
    <n v="264000000"/>
    <x v="1"/>
    <x v="3"/>
    <n v="-235000000"/>
    <n v="293000000"/>
  </r>
  <r>
    <s v="Djibouti"/>
    <s v="DJI"/>
    <x v="3"/>
    <n v="0"/>
    <n v="46000000"/>
    <x v="2"/>
    <x v="2"/>
    <n v="-46000000"/>
    <n v="46000000"/>
  </r>
  <r>
    <s v="Early-demographic dividend"/>
    <s v="EAR"/>
    <x v="3"/>
    <n v="0"/>
    <n v="10767000000"/>
    <x v="0"/>
    <x v="0"/>
    <n v="-10767000000"/>
    <n v="10767000000"/>
  </r>
  <r>
    <s v="East Asia &amp; Pacific"/>
    <s v="EAS"/>
    <x v="3"/>
    <n v="2150000000"/>
    <n v="5559000000"/>
    <x v="0"/>
    <x v="0"/>
    <n v="-3409000000"/>
    <n v="7709000000"/>
  </r>
  <r>
    <s v="East Asia &amp; Pacific (excluding high income)"/>
    <s v="EAP"/>
    <x v="3"/>
    <n v="1364000000"/>
    <n v="2100000000"/>
    <x v="0"/>
    <x v="0"/>
    <n v="-736000000"/>
    <n v="3464000000"/>
  </r>
  <r>
    <s v="East Asia &amp; Pacific (IDA &amp; IBRD countries)"/>
    <s v="TEA"/>
    <x v="3"/>
    <n v="1364000000"/>
    <n v="2100000000"/>
    <x v="0"/>
    <x v="0"/>
    <n v="-736000000"/>
    <n v="3464000000"/>
  </r>
  <r>
    <s v="Ecuador"/>
    <s v="ECU"/>
    <x v="3"/>
    <n v="0"/>
    <n v="16000000"/>
    <x v="4"/>
    <x v="1"/>
    <n v="-16000000"/>
    <n v="16000000"/>
  </r>
  <r>
    <s v="Egypt, Arab Rep."/>
    <s v="EGY"/>
    <x v="3"/>
    <n v="41000000"/>
    <n v="1299000000"/>
    <x v="2"/>
    <x v="2"/>
    <n v="-1258000000"/>
    <n v="1340000000"/>
  </r>
  <r>
    <s v="El Salvador"/>
    <s v="SLV"/>
    <x v="3"/>
    <n v="0"/>
    <n v="4000000"/>
    <x v="4"/>
    <x v="1"/>
    <n v="-4000000"/>
    <n v="4000000"/>
  </r>
  <r>
    <s v="Equatorial Guinea"/>
    <s v="GNQ"/>
    <x v="3"/>
    <n v="0"/>
    <n v="0"/>
    <x v="3"/>
    <x v="1"/>
    <n v="0"/>
    <n v="0"/>
  </r>
  <r>
    <s v="Estonia"/>
    <s v="EST"/>
    <x v="3"/>
    <n v="0"/>
    <n v="20000000"/>
    <x v="1"/>
    <x v="3"/>
    <n v="-20000000"/>
    <n v="20000000"/>
  </r>
  <r>
    <s v="Ethiopia"/>
    <s v="ETH"/>
    <x v="3"/>
    <n v="0"/>
    <n v="16000000"/>
    <x v="3"/>
    <x v="4"/>
    <n v="-16000000"/>
    <n v="16000000"/>
  </r>
  <r>
    <s v="Euro area"/>
    <s v="EMU"/>
    <x v="3"/>
    <n v="7567000000"/>
    <n v="1908000000"/>
    <x v="0"/>
    <x v="0"/>
    <n v="5659000000"/>
    <n v="9475000000"/>
  </r>
  <r>
    <s v="Europe &amp; Central Asia"/>
    <s v="ECS"/>
    <x v="3"/>
    <n v="11929000000"/>
    <n v="5032000000"/>
    <x v="0"/>
    <x v="0"/>
    <n v="6897000000"/>
    <n v="16961000000"/>
  </r>
  <r>
    <s v="Europe &amp; Central Asia (excluding high income)"/>
    <s v="ECA"/>
    <x v="3"/>
    <n v="841000000"/>
    <n v="1130000000"/>
    <x v="0"/>
    <x v="0"/>
    <n v="-289000000"/>
    <n v="1971000000"/>
  </r>
  <r>
    <s v="Europe &amp; Central Asia (IDA &amp; IBRD countries)"/>
    <s v="TEC"/>
    <x v="3"/>
    <n v="3248000000"/>
    <n v="1310000000"/>
    <x v="0"/>
    <x v="0"/>
    <n v="1938000000"/>
    <n v="4558000000"/>
  </r>
  <r>
    <s v="European Union"/>
    <s v="EUU"/>
    <x v="3"/>
    <n v="7843000000"/>
    <n v="2507000000"/>
    <x v="0"/>
    <x v="0"/>
    <n v="5336000000"/>
    <n v="10350000000"/>
  </r>
  <r>
    <s v="Finland"/>
    <s v="FIN"/>
    <x v="3"/>
    <n v="18000000"/>
    <n v="20000000"/>
    <x v="1"/>
    <x v="3"/>
    <n v="-2000000"/>
    <n v="38000000"/>
  </r>
  <r>
    <s v="Fragility, Conflict, and Violence (FCV) situations"/>
    <s v="FCV"/>
    <x v="3"/>
    <n v="0"/>
    <n v="687000000"/>
    <x v="0"/>
    <x v="0"/>
    <n v="-687000000"/>
    <n v="687000000"/>
  </r>
  <r>
    <s v="France"/>
    <s v="FRA"/>
    <x v="3"/>
    <n v="3904000000"/>
    <n v="105000000"/>
    <x v="1"/>
    <x v="3"/>
    <n v="3799000000"/>
    <n v="4009000000"/>
  </r>
  <r>
    <s v="Gabon"/>
    <s v="GAB"/>
    <x v="3"/>
    <n v="0"/>
    <n v="2000000"/>
    <x v="3"/>
    <x v="1"/>
    <n v="-2000000"/>
    <n v="2000000"/>
  </r>
  <r>
    <s v="Germany"/>
    <s v="DEU"/>
    <x v="3"/>
    <n v="852000000"/>
    <n v="235000000"/>
    <x v="1"/>
    <x v="3"/>
    <n v="617000000"/>
    <n v="1087000000"/>
  </r>
  <r>
    <s v="Greece"/>
    <s v="GRC"/>
    <x v="3"/>
    <n v="0"/>
    <n v="231000000"/>
    <x v="1"/>
    <x v="3"/>
    <n v="-231000000"/>
    <n v="231000000"/>
  </r>
  <r>
    <s v="Guinea"/>
    <s v="GIN"/>
    <x v="3"/>
    <n v="0"/>
    <n v="1000000"/>
    <x v="3"/>
    <x v="2"/>
    <n v="-1000000"/>
    <n v="1000000"/>
  </r>
  <r>
    <s v="Guyana"/>
    <s v="GUY"/>
    <x v="3"/>
    <n v="0"/>
    <n v="5000000"/>
    <x v="4"/>
    <x v="3"/>
    <n v="-5000000"/>
    <n v="5000000"/>
  </r>
  <r>
    <s v="High income"/>
    <s v="HIC"/>
    <x v="3"/>
    <n v="24375000000"/>
    <n v="15588000000"/>
    <x v="0"/>
    <x v="0"/>
    <n v="8787000000"/>
    <n v="39963000000"/>
  </r>
  <r>
    <s v="Honduras"/>
    <s v="HND"/>
    <x v="3"/>
    <n v="0"/>
    <n v="4000000"/>
    <x v="4"/>
    <x v="2"/>
    <n v="-4000000"/>
    <n v="4000000"/>
  </r>
  <r>
    <s v="Hungary"/>
    <s v="HUN"/>
    <x v="3"/>
    <n v="2000000"/>
    <n v="20000000"/>
    <x v="1"/>
    <x v="3"/>
    <n v="-18000000"/>
    <n v="22000000"/>
  </r>
  <r>
    <s v="IBRD only"/>
    <s v="IBD"/>
    <x v="3"/>
    <n v="5012000000"/>
    <n v="9465000000"/>
    <x v="0"/>
    <x v="0"/>
    <n v="-4453000000"/>
    <n v="14477000000"/>
  </r>
  <r>
    <s v="IDA &amp; IBRD total"/>
    <s v="IBT"/>
    <x v="3"/>
    <n v="5087000000"/>
    <n v="11557000000"/>
    <x v="0"/>
    <x v="0"/>
    <n v="-6470000000"/>
    <n v="16644000000"/>
  </r>
  <r>
    <s v="IDA blend"/>
    <s v="IDB"/>
    <x v="3"/>
    <n v="0"/>
    <n v="1303000000"/>
    <x v="0"/>
    <x v="0"/>
    <n v="-1303000000"/>
    <n v="1303000000"/>
  </r>
  <r>
    <s v="IDA only"/>
    <s v="IDX"/>
    <x v="3"/>
    <n v="0"/>
    <n v="789000000"/>
    <x v="0"/>
    <x v="0"/>
    <n v="-789000000"/>
    <n v="789000000"/>
  </r>
  <r>
    <s v="IDA total"/>
    <s v="IDA"/>
    <x v="3"/>
    <n v="0"/>
    <n v="2092000000"/>
    <x v="0"/>
    <x v="0"/>
    <n v="-2092000000"/>
    <n v="2092000000"/>
  </r>
  <r>
    <s v="India"/>
    <s v="IND"/>
    <x v="3"/>
    <n v="54000000"/>
    <n v="3958000000"/>
    <x v="6"/>
    <x v="2"/>
    <n v="-3904000000"/>
    <n v="4012000000"/>
  </r>
  <r>
    <s v="Indonesia"/>
    <s v="IDN"/>
    <x v="3"/>
    <n v="17000000"/>
    <n v="366000000"/>
    <x v="5"/>
    <x v="1"/>
    <n v="-349000000"/>
    <n v="383000000"/>
  </r>
  <r>
    <s v="Iran, Islamic Rep."/>
    <s v="IRN"/>
    <x v="3"/>
    <n v="2000000"/>
    <n v="0"/>
    <x v="2"/>
    <x v="1"/>
    <n v="2000000"/>
    <n v="2000000"/>
  </r>
  <r>
    <s v="Ireland"/>
    <s v="IRL"/>
    <x v="3"/>
    <n v="13000000"/>
    <n v="0"/>
    <x v="1"/>
    <x v="3"/>
    <n v="13000000"/>
    <n v="13000000"/>
  </r>
  <r>
    <s v="Israel"/>
    <s v="ISR"/>
    <x v="3"/>
    <n v="687000000"/>
    <n v="458000000"/>
    <x v="2"/>
    <x v="3"/>
    <n v="229000000"/>
    <n v="1145000000"/>
  </r>
  <r>
    <s v="Italy"/>
    <s v="ITA"/>
    <x v="3"/>
    <n v="1627000000"/>
    <n v="211000000"/>
    <x v="1"/>
    <x v="3"/>
    <n v="1416000000"/>
    <n v="1838000000"/>
  </r>
  <r>
    <s v="Jamaica"/>
    <s v="JAM"/>
    <x v="3"/>
    <n v="0"/>
    <n v="29000000"/>
    <x v="4"/>
    <x v="1"/>
    <n v="-29000000"/>
    <n v="29000000"/>
  </r>
  <r>
    <s v="Japan"/>
    <s v="JPN"/>
    <x v="3"/>
    <n v="0"/>
    <n v="1009000000"/>
    <x v="5"/>
    <x v="3"/>
    <n v="-1009000000"/>
    <n v="1009000000"/>
  </r>
  <r>
    <s v="Jordan"/>
    <s v="JOR"/>
    <x v="3"/>
    <n v="74000000"/>
    <n v="67000000"/>
    <x v="2"/>
    <x v="1"/>
    <n v="7000000"/>
    <n v="141000000"/>
  </r>
  <r>
    <s v="Kazakhstan"/>
    <s v="KAZ"/>
    <x v="3"/>
    <n v="0"/>
    <n v="195000000"/>
    <x v="1"/>
    <x v="1"/>
    <n v="-195000000"/>
    <n v="195000000"/>
  </r>
  <r>
    <s v="Kenya"/>
    <s v="KEN"/>
    <x v="3"/>
    <n v="0"/>
    <n v="4000000"/>
    <x v="3"/>
    <x v="2"/>
    <n v="-4000000"/>
    <n v="4000000"/>
  </r>
  <r>
    <s v="Kiribati"/>
    <s v="KIR"/>
    <x v="3"/>
    <n v="0"/>
    <n v="7000000"/>
    <x v="5"/>
    <x v="2"/>
    <n v="-7000000"/>
    <n v="7000000"/>
  </r>
  <r>
    <s v="Korea, Rep."/>
    <s v="KOR"/>
    <x v="3"/>
    <n v="536000000"/>
    <n v="812000000"/>
    <x v="5"/>
    <x v="3"/>
    <n v="-276000000"/>
    <n v="1348000000"/>
  </r>
  <r>
    <s v="Kosovo"/>
    <s v="XKX"/>
    <x v="3"/>
    <n v="0"/>
    <n v="9000000"/>
    <x v="1"/>
    <x v="1"/>
    <n v="-9000000"/>
    <n v="9000000"/>
  </r>
  <r>
    <s v="Kuwait"/>
    <s v="KWT"/>
    <x v="3"/>
    <n v="0"/>
    <n v="1565000000"/>
    <x v="2"/>
    <x v="3"/>
    <n v="-1565000000"/>
    <n v="1565000000"/>
  </r>
  <r>
    <s v="Kyrgyz Republic"/>
    <s v="KGZ"/>
    <x v="3"/>
    <n v="0"/>
    <n v="5000000"/>
    <x v="1"/>
    <x v="2"/>
    <n v="-5000000"/>
    <n v="5000000"/>
  </r>
  <r>
    <s v="Lao PDR"/>
    <s v="LAO"/>
    <x v="3"/>
    <n v="0"/>
    <n v="3000000"/>
    <x v="5"/>
    <x v="2"/>
    <n v="-3000000"/>
    <n v="3000000"/>
  </r>
  <r>
    <s v="Late-demographic dividend"/>
    <s v="LTE"/>
    <x v="3"/>
    <n v="3918000000"/>
    <n v="6850000000"/>
    <x v="0"/>
    <x v="0"/>
    <n v="-2932000000"/>
    <n v="10768000000"/>
  </r>
  <r>
    <s v="Latin America &amp; Caribbean"/>
    <s v="LCN"/>
    <x v="3"/>
    <n v="0"/>
    <n v="591000000"/>
    <x v="0"/>
    <x v="0"/>
    <n v="-591000000"/>
    <n v="591000000"/>
  </r>
  <r>
    <s v="Latin America &amp; Caribbean (excluding high income)"/>
    <s v="LAC"/>
    <x v="3"/>
    <n v="0"/>
    <n v="485000000"/>
    <x v="0"/>
    <x v="0"/>
    <n v="-485000000"/>
    <n v="485000000"/>
  </r>
  <r>
    <s v="Latin America &amp; the Caribbean (IDA &amp; IBRD countries)"/>
    <s v="TLA"/>
    <x v="3"/>
    <n v="0"/>
    <n v="591000000"/>
    <x v="0"/>
    <x v="0"/>
    <n v="-591000000"/>
    <n v="591000000"/>
  </r>
  <r>
    <s v="Latvia"/>
    <s v="LVA"/>
    <x v="3"/>
    <n v="0"/>
    <n v="15000000"/>
    <x v="1"/>
    <x v="3"/>
    <n v="-15000000"/>
    <n v="15000000"/>
  </r>
  <r>
    <s v="Least developed countries: UN classification"/>
    <s v="LDC"/>
    <x v="3"/>
    <n v="0"/>
    <n v="691000000"/>
    <x v="0"/>
    <x v="0"/>
    <n v="-691000000"/>
    <n v="691000000"/>
  </r>
  <r>
    <s v="Lebanon"/>
    <s v="LBN"/>
    <x v="3"/>
    <n v="0"/>
    <n v="43000000"/>
    <x v="2"/>
    <x v="2"/>
    <n v="-43000000"/>
    <n v="43000000"/>
  </r>
  <r>
    <s v="Lithuania"/>
    <s v="LTU"/>
    <x v="3"/>
    <n v="0"/>
    <n v="109000000"/>
    <x v="1"/>
    <x v="3"/>
    <n v="-109000000"/>
    <n v="109000000"/>
  </r>
  <r>
    <s v="Low &amp; middle income"/>
    <s v="LMY"/>
    <x v="3"/>
    <n v="2680000000"/>
    <n v="11252000000"/>
    <x v="0"/>
    <x v="0"/>
    <n v="-8572000000"/>
    <n v="13932000000"/>
  </r>
  <r>
    <s v="Lower middle income"/>
    <s v="LMC"/>
    <x v="3"/>
    <n v="0"/>
    <n v="7032000000"/>
    <x v="0"/>
    <x v="0"/>
    <n v="-7032000000"/>
    <n v="7032000000"/>
  </r>
  <r>
    <s v="Malaysia"/>
    <s v="MYS"/>
    <x v="3"/>
    <n v="0"/>
    <n v="133000000"/>
    <x v="5"/>
    <x v="1"/>
    <n v="-133000000"/>
    <n v="133000000"/>
  </r>
  <r>
    <s v="Maldives"/>
    <s v="MDV"/>
    <x v="3"/>
    <n v="0"/>
    <n v="2000000"/>
    <x v="6"/>
    <x v="1"/>
    <n v="-2000000"/>
    <n v="2000000"/>
  </r>
  <r>
    <s v="Mali"/>
    <s v="MLI"/>
    <x v="3"/>
    <n v="0"/>
    <n v="39000000"/>
    <x v="3"/>
    <x v="4"/>
    <n v="-39000000"/>
    <n v="39000000"/>
  </r>
  <r>
    <s v="Mauritania"/>
    <s v="MRT"/>
    <x v="3"/>
    <n v="0"/>
    <n v="6000000"/>
    <x v="3"/>
    <x v="2"/>
    <n v="-6000000"/>
    <n v="6000000"/>
  </r>
  <r>
    <s v="Mauritius"/>
    <s v="MUS"/>
    <x v="3"/>
    <n v="0"/>
    <n v="1000000"/>
    <x v="3"/>
    <x v="1"/>
    <n v="-1000000"/>
    <n v="1000000"/>
  </r>
  <r>
    <s v="Mexico"/>
    <s v="MEX"/>
    <x v="3"/>
    <n v="0"/>
    <n v="3000000"/>
    <x v="4"/>
    <x v="1"/>
    <n v="-3000000"/>
    <n v="3000000"/>
  </r>
  <r>
    <s v="Middle East, North Africa, Afghanistan &amp; Pakistan"/>
    <s v="MEA"/>
    <x v="3"/>
    <n v="0"/>
    <n v="9570000000"/>
    <x v="0"/>
    <x v="0"/>
    <n v="-9570000000"/>
    <n v="9570000000"/>
  </r>
  <r>
    <s v="Middle East, North Africa, Afghanistan &amp; Pakistan (excluding high income)"/>
    <s v="MNA"/>
    <x v="3"/>
    <n v="0"/>
    <n v="2747000000"/>
    <x v="0"/>
    <x v="0"/>
    <n v="-2747000000"/>
    <n v="2747000000"/>
  </r>
  <r>
    <s v="Middle East, North Africa, Afghanistan &amp; Pakistan (IDA &amp; IBRD)"/>
    <s v="TMN"/>
    <x v="3"/>
    <n v="0"/>
    <n v="2747000000"/>
    <x v="0"/>
    <x v="0"/>
    <n v="-2747000000"/>
    <n v="2747000000"/>
  </r>
  <r>
    <s v="Middle income"/>
    <s v="MIC"/>
    <x v="3"/>
    <n v="2680000000"/>
    <n v="10890000000"/>
    <x v="0"/>
    <x v="0"/>
    <n v="-8210000000"/>
    <n v="13570000000"/>
  </r>
  <r>
    <s v="Mongolia"/>
    <s v="MNG"/>
    <x v="3"/>
    <n v="0"/>
    <n v="25000000"/>
    <x v="5"/>
    <x v="1"/>
    <n v="-25000000"/>
    <n v="25000000"/>
  </r>
  <r>
    <s v="Montenegro"/>
    <s v="MNE"/>
    <x v="3"/>
    <n v="0"/>
    <n v="1000000"/>
    <x v="1"/>
    <x v="1"/>
    <n v="-1000000"/>
    <n v="1000000"/>
  </r>
  <r>
    <s v="Morocco"/>
    <s v="MAR"/>
    <x v="3"/>
    <n v="0"/>
    <n v="53000000"/>
    <x v="2"/>
    <x v="2"/>
    <n v="-53000000"/>
    <n v="53000000"/>
  </r>
  <r>
    <s v="Mozambique"/>
    <s v="MOZ"/>
    <x v="3"/>
    <n v="0"/>
    <n v="19000000"/>
    <x v="3"/>
    <x v="4"/>
    <n v="-19000000"/>
    <n v="19000000"/>
  </r>
  <r>
    <s v="Myanmar"/>
    <s v="MMR"/>
    <x v="3"/>
    <n v="0"/>
    <n v="67000000"/>
    <x v="5"/>
    <x v="2"/>
    <n v="-67000000"/>
    <n v="67000000"/>
  </r>
  <r>
    <s v="Nepal"/>
    <s v="NPL"/>
    <x v="3"/>
    <n v="0"/>
    <n v="0"/>
    <x v="6"/>
    <x v="2"/>
    <n v="0"/>
    <n v="0"/>
  </r>
  <r>
    <s v="Netherlands"/>
    <s v="NLD"/>
    <x v="3"/>
    <n v="357000000"/>
    <n v="512000000"/>
    <x v="1"/>
    <x v="3"/>
    <n v="-155000000"/>
    <n v="869000000"/>
  </r>
  <r>
    <s v="New Zealand"/>
    <s v="NZL"/>
    <x v="3"/>
    <n v="0"/>
    <n v="36000000"/>
    <x v="5"/>
    <x v="3"/>
    <n v="-36000000"/>
    <n v="36000000"/>
  </r>
  <r>
    <s v="Niger"/>
    <s v="NER"/>
    <x v="3"/>
    <n v="0"/>
    <n v="16000000"/>
    <x v="3"/>
    <x v="4"/>
    <n v="-16000000"/>
    <n v="16000000"/>
  </r>
  <r>
    <s v="Nigeria"/>
    <s v="NGA"/>
    <x v="3"/>
    <n v="3000000"/>
    <n v="273000000"/>
    <x v="3"/>
    <x v="2"/>
    <n v="-270000000"/>
    <n v="276000000"/>
  </r>
  <r>
    <s v="North America"/>
    <s v="NAC"/>
    <x v="3"/>
    <n v="11745000000"/>
    <n v="1279000000"/>
    <x v="0"/>
    <x v="0"/>
    <n v="10466000000"/>
    <n v="13024000000"/>
  </r>
  <r>
    <s v="Norway"/>
    <s v="NOR"/>
    <x v="3"/>
    <n v="102000000"/>
    <n v="503000000"/>
    <x v="1"/>
    <x v="3"/>
    <n v="-401000000"/>
    <n v="605000000"/>
  </r>
  <r>
    <s v="OECD members"/>
    <s v="OED"/>
    <x v="3"/>
    <n v="22353000000"/>
    <n v="8953000000"/>
    <x v="0"/>
    <x v="0"/>
    <n v="13400000000"/>
    <n v="31306000000"/>
  </r>
  <r>
    <s v="Oman"/>
    <s v="OMN"/>
    <x v="3"/>
    <n v="0"/>
    <n v="4000000"/>
    <x v="2"/>
    <x v="3"/>
    <n v="-4000000"/>
    <n v="4000000"/>
  </r>
  <r>
    <s v="Other small states"/>
    <s v="OSS"/>
    <x v="3"/>
    <n v="0"/>
    <n v="106000000"/>
    <x v="0"/>
    <x v="0"/>
    <n v="-106000000"/>
    <n v="106000000"/>
  </r>
  <r>
    <s v="Pakistan"/>
    <s v="PAK"/>
    <x v="3"/>
    <n v="72000000"/>
    <n v="984000000"/>
    <x v="2"/>
    <x v="2"/>
    <n v="-912000000"/>
    <n v="1056000000"/>
  </r>
  <r>
    <s v="Papua New Guinea"/>
    <s v="PNG"/>
    <x v="3"/>
    <n v="0"/>
    <n v="14000000"/>
    <x v="5"/>
    <x v="2"/>
    <n v="-14000000"/>
    <n v="14000000"/>
  </r>
  <r>
    <s v="Paraguay"/>
    <s v="PRY"/>
    <x v="3"/>
    <n v="0"/>
    <n v="5000000"/>
    <x v="4"/>
    <x v="1"/>
    <n v="-5000000"/>
    <n v="5000000"/>
  </r>
  <r>
    <s v="Peru"/>
    <s v="PER"/>
    <x v="3"/>
    <n v="0"/>
    <n v="62000000"/>
    <x v="4"/>
    <x v="1"/>
    <n v="-62000000"/>
    <n v="62000000"/>
  </r>
  <r>
    <s v="Philippines"/>
    <s v="PHL"/>
    <x v="3"/>
    <n v="0"/>
    <n v="365000000"/>
    <x v="5"/>
    <x v="1"/>
    <n v="-365000000"/>
    <n v="365000000"/>
  </r>
  <r>
    <s v="Poland"/>
    <s v="POL"/>
    <x v="3"/>
    <n v="3000000"/>
    <n v="68000000"/>
    <x v="1"/>
    <x v="3"/>
    <n v="-65000000"/>
    <n v="71000000"/>
  </r>
  <r>
    <s v="Portugal"/>
    <s v="PRT"/>
    <x v="3"/>
    <n v="11000000"/>
    <n v="6000000"/>
    <x v="1"/>
    <x v="3"/>
    <n v="5000000"/>
    <n v="17000000"/>
  </r>
  <r>
    <s v="Post-demographic dividend"/>
    <s v="PST"/>
    <x v="3"/>
    <n v="21515000000"/>
    <n v="8380000000"/>
    <x v="0"/>
    <x v="0"/>
    <n v="13135000000"/>
    <n v="29895000000"/>
  </r>
  <r>
    <s v="Qatar"/>
    <s v="QAT"/>
    <x v="3"/>
    <n v="12000000"/>
    <n v="2288000000"/>
    <x v="2"/>
    <x v="3"/>
    <n v="-2276000000"/>
    <n v="2300000000"/>
  </r>
  <r>
    <s v="Romania"/>
    <s v="ROU"/>
    <x v="3"/>
    <n v="0"/>
    <n v="105000000"/>
    <x v="1"/>
    <x v="3"/>
    <n v="-105000000"/>
    <n v="105000000"/>
  </r>
  <r>
    <s v="Russian Federation"/>
    <s v="RUS"/>
    <x v="3"/>
    <n v="2397000000"/>
    <n v="6000000"/>
    <x v="1"/>
    <x v="3"/>
    <n v="2391000000"/>
    <n v="2403000000"/>
  </r>
  <r>
    <s v="Rwanda"/>
    <s v="RWA"/>
    <x v="3"/>
    <n v="0"/>
    <n v="65000000"/>
    <x v="3"/>
    <x v="4"/>
    <n v="-65000000"/>
    <n v="65000000"/>
  </r>
  <r>
    <s v="Saudi Arabia"/>
    <s v="SAU"/>
    <x v="3"/>
    <n v="0"/>
    <n v="1747000000"/>
    <x v="2"/>
    <x v="3"/>
    <n v="-1747000000"/>
    <n v="1747000000"/>
  </r>
  <r>
    <s v="Senegal"/>
    <s v="SEN"/>
    <x v="3"/>
    <n v="0"/>
    <n v="21000000"/>
    <x v="3"/>
    <x v="2"/>
    <n v="-21000000"/>
    <n v="21000000"/>
  </r>
  <r>
    <s v="Serbia"/>
    <s v="SRB"/>
    <x v="3"/>
    <n v="3000000"/>
    <n v="117000000"/>
    <x v="1"/>
    <x v="1"/>
    <n v="-114000000"/>
    <n v="120000000"/>
  </r>
  <r>
    <s v="Seychelles"/>
    <s v="SYC"/>
    <x v="3"/>
    <n v="0"/>
    <n v="19000000"/>
    <x v="3"/>
    <x v="3"/>
    <n v="-19000000"/>
    <n v="19000000"/>
  </r>
  <r>
    <s v="Singapore"/>
    <s v="SGP"/>
    <x v="3"/>
    <n v="72000000"/>
    <n v="226000000"/>
    <x v="5"/>
    <x v="3"/>
    <n v="-154000000"/>
    <n v="298000000"/>
  </r>
  <r>
    <s v="Slovak Republic"/>
    <s v="SVK"/>
    <x v="3"/>
    <n v="0"/>
    <n v="1000000"/>
    <x v="1"/>
    <x v="3"/>
    <n v="-1000000"/>
    <n v="1000000"/>
  </r>
  <r>
    <s v="Slovenia"/>
    <s v="SVN"/>
    <x v="3"/>
    <n v="0"/>
    <n v="7000000"/>
    <x v="1"/>
    <x v="3"/>
    <n v="-7000000"/>
    <n v="7000000"/>
  </r>
  <r>
    <s v="Solomon Islands"/>
    <s v="SLB"/>
    <x v="3"/>
    <n v="0"/>
    <n v="7000000"/>
    <x v="5"/>
    <x v="2"/>
    <n v="-7000000"/>
    <n v="7000000"/>
  </r>
  <r>
    <s v="Somalia, Fed. Rep."/>
    <s v="SOM"/>
    <x v="3"/>
    <n v="0"/>
    <n v="2000000"/>
    <x v="3"/>
    <x v="4"/>
    <n v="-2000000"/>
    <n v="2000000"/>
  </r>
  <r>
    <s v="South Africa"/>
    <s v="ZAF"/>
    <x v="3"/>
    <n v="143000000"/>
    <n v="0"/>
    <x v="3"/>
    <x v="1"/>
    <n v="143000000"/>
    <n v="143000000"/>
  </r>
  <r>
    <s v="South Asia"/>
    <s v="SAS"/>
    <x v="3"/>
    <n v="54000000"/>
    <n v="4079000000"/>
    <x v="0"/>
    <x v="0"/>
    <n v="-4025000000"/>
    <n v="4133000000"/>
  </r>
  <r>
    <s v="South Asia (IDA &amp; IBRD)"/>
    <s v="TSA"/>
    <x v="3"/>
    <n v="54000000"/>
    <n v="4079000000"/>
    <x v="0"/>
    <x v="0"/>
    <n v="-4025000000"/>
    <n v="4133000000"/>
  </r>
  <r>
    <s v="South Sudan"/>
    <s v="SSD"/>
    <x v="3"/>
    <n v="0"/>
    <n v="8000000"/>
    <x v="3"/>
    <x v="4"/>
    <n v="-8000000"/>
    <n v="8000000"/>
  </r>
  <r>
    <s v="Spain"/>
    <s v="ESP"/>
    <x v="3"/>
    <n v="676000000"/>
    <n v="134000000"/>
    <x v="1"/>
    <x v="3"/>
    <n v="542000000"/>
    <n v="810000000"/>
  </r>
  <r>
    <s v="Sri Lanka"/>
    <s v="LKA"/>
    <x v="3"/>
    <n v="0"/>
    <n v="54000000"/>
    <x v="6"/>
    <x v="1"/>
    <n v="-54000000"/>
    <n v="54000000"/>
  </r>
  <r>
    <s v="Sweden"/>
    <s v="SWE"/>
    <x v="3"/>
    <n v="236000000"/>
    <n v="110000000"/>
    <x v="1"/>
    <x v="3"/>
    <n v="126000000"/>
    <n v="346000000"/>
  </r>
  <r>
    <s v="Switzerland"/>
    <s v="CHE"/>
    <x v="3"/>
    <n v="107000000"/>
    <n v="0"/>
    <x v="1"/>
    <x v="3"/>
    <n v="107000000"/>
    <n v="107000000"/>
  </r>
  <r>
    <s v="Syrian Arab Republic"/>
    <s v="SYR"/>
    <x v="3"/>
    <n v="0"/>
    <n v="7000000"/>
    <x v="2"/>
    <x v="4"/>
    <n v="-7000000"/>
    <n v="7000000"/>
  </r>
  <r>
    <s v="Tanzania"/>
    <s v="TZA"/>
    <x v="3"/>
    <n v="0"/>
    <n v="53000000"/>
    <x v="3"/>
    <x v="2"/>
    <n v="-53000000"/>
    <n v="53000000"/>
  </r>
  <r>
    <s v="Thailand"/>
    <s v="THA"/>
    <x v="3"/>
    <n v="5000000"/>
    <n v="151000000"/>
    <x v="5"/>
    <x v="1"/>
    <n v="-146000000"/>
    <n v="156000000"/>
  </r>
  <r>
    <s v="Togo"/>
    <s v="TGO"/>
    <x v="3"/>
    <n v="0"/>
    <n v="10000000"/>
    <x v="3"/>
    <x v="2"/>
    <n v="-10000000"/>
    <n v="10000000"/>
  </r>
  <r>
    <s v="Trinidad and Tobago"/>
    <s v="TTO"/>
    <x v="3"/>
    <n v="0"/>
    <n v="32000000"/>
    <x v="4"/>
    <x v="3"/>
    <n v="-32000000"/>
    <n v="32000000"/>
  </r>
  <r>
    <s v="Tunisia"/>
    <s v="TUN"/>
    <x v="3"/>
    <n v="0"/>
    <n v="19000000"/>
    <x v="2"/>
    <x v="2"/>
    <n v="-19000000"/>
    <n v="19000000"/>
  </r>
  <r>
    <s v="Turkiye"/>
    <s v="TUR"/>
    <x v="3"/>
    <n v="526000000"/>
    <n v="249000000"/>
    <x v="1"/>
    <x v="1"/>
    <n v="277000000"/>
    <n v="775000000"/>
  </r>
  <r>
    <s v="Turkmenistan"/>
    <s v="TKM"/>
    <x v="3"/>
    <n v="0"/>
    <n v="382000000"/>
    <x v="1"/>
    <x v="1"/>
    <n v="-382000000"/>
    <n v="382000000"/>
  </r>
  <r>
    <s v="Uganda"/>
    <s v="UGA"/>
    <x v="3"/>
    <n v="0"/>
    <n v="8000000"/>
    <x v="3"/>
    <x v="4"/>
    <n v="-8000000"/>
    <n v="8000000"/>
  </r>
  <r>
    <s v="Ukraine"/>
    <s v="UKR"/>
    <x v="3"/>
    <n v="201000000"/>
    <n v="44000000"/>
    <x v="1"/>
    <x v="1"/>
    <n v="157000000"/>
    <n v="245000000"/>
  </r>
  <r>
    <s v="United Arab Emirates"/>
    <s v="ARE"/>
    <x v="3"/>
    <n v="57000000"/>
    <n v="577000000"/>
    <x v="2"/>
    <x v="3"/>
    <n v="-520000000"/>
    <n v="634000000"/>
  </r>
  <r>
    <s v="United Kingdom"/>
    <s v="GBR"/>
    <x v="3"/>
    <n v="639000000"/>
    <n v="886000000"/>
    <x v="1"/>
    <x v="3"/>
    <n v="-247000000"/>
    <n v="1525000000"/>
  </r>
  <r>
    <s v="United States"/>
    <s v="USA"/>
    <x v="3"/>
    <n v="11601000000"/>
    <n v="922000000"/>
    <x v="7"/>
    <x v="3"/>
    <n v="10679000000"/>
    <n v="12523000000"/>
  </r>
  <r>
    <s v="Upper middle income"/>
    <s v="UMC"/>
    <x v="3"/>
    <n v="2510000000"/>
    <n v="3858000000"/>
    <x v="0"/>
    <x v="0"/>
    <n v="-1348000000"/>
    <n v="6368000000"/>
  </r>
  <r>
    <s v="Uruguay"/>
    <s v="URY"/>
    <x v="3"/>
    <n v="0"/>
    <n v="3000000"/>
    <x v="4"/>
    <x v="3"/>
    <n v="-3000000"/>
    <n v="3000000"/>
  </r>
  <r>
    <s v="Uzbekistan"/>
    <s v="UZB"/>
    <x v="3"/>
    <n v="0"/>
    <n v="14000000"/>
    <x v="1"/>
    <x v="2"/>
    <n v="-14000000"/>
    <n v="14000000"/>
  </r>
  <r>
    <s v="Vanuatu"/>
    <s v="VUT"/>
    <x v="3"/>
    <n v="0"/>
    <n v="7000000"/>
    <x v="5"/>
    <x v="2"/>
    <n v="-7000000"/>
    <n v="7000000"/>
  </r>
  <r>
    <s v="Viet Nam"/>
    <s v="VNM"/>
    <x v="3"/>
    <n v="0"/>
    <n v="235000000"/>
    <x v="5"/>
    <x v="1"/>
    <n v="-235000000"/>
    <n v="235000000"/>
  </r>
  <r>
    <s v="World"/>
    <s v="WLD"/>
    <x v="3"/>
    <n v="27084000000"/>
    <n v="26840000000"/>
    <x v="0"/>
    <x v="0"/>
    <n v="244000000"/>
    <n v="53924000000"/>
  </r>
  <r>
    <s v="Zambia"/>
    <s v="ZMB"/>
    <x v="3"/>
    <n v="0"/>
    <n v="20000000"/>
    <x v="3"/>
    <x v="2"/>
    <n v="-20000000"/>
    <n v="20000000"/>
  </r>
  <r>
    <s v="Afghanistan"/>
    <s v="AFG"/>
    <x v="4"/>
    <n v="0"/>
    <n v="231000000"/>
    <x v="2"/>
    <x v="4"/>
    <n v="-231000000"/>
    <n v="231000000"/>
  </r>
  <r>
    <s v="Africa Western and Central"/>
    <s v="AFW"/>
    <x v="4"/>
    <n v="0"/>
    <n v="205000000"/>
    <x v="0"/>
    <x v="0"/>
    <n v="-205000000"/>
    <n v="205000000"/>
  </r>
  <r>
    <s v="Albania"/>
    <s v="ALB"/>
    <x v="4"/>
    <n v="0"/>
    <n v="12000000"/>
    <x v="1"/>
    <x v="1"/>
    <n v="-12000000"/>
    <n v="12000000"/>
  </r>
  <r>
    <s v="Algeria"/>
    <s v="DZA"/>
    <x v="4"/>
    <n v="0"/>
    <n v="601000000"/>
    <x v="2"/>
    <x v="1"/>
    <n v="-601000000"/>
    <n v="601000000"/>
  </r>
  <r>
    <s v="Angola"/>
    <s v="AGO"/>
    <x v="4"/>
    <n v="0"/>
    <n v="51000000"/>
    <x v="3"/>
    <x v="2"/>
    <n v="-51000000"/>
    <n v="51000000"/>
  </r>
  <r>
    <s v="Arab World"/>
    <s v="ARB"/>
    <x v="4"/>
    <n v="0"/>
    <n v="6474000000"/>
    <x v="0"/>
    <x v="0"/>
    <n v="-6474000000"/>
    <n v="6474000000"/>
  </r>
  <r>
    <s v="Argentina"/>
    <s v="ARG"/>
    <x v="4"/>
    <n v="0"/>
    <n v="7000000"/>
    <x v="4"/>
    <x v="1"/>
    <n v="-7000000"/>
    <n v="7000000"/>
  </r>
  <r>
    <s v="Australia"/>
    <s v="AUS"/>
    <x v="4"/>
    <n v="406000000"/>
    <n v="1632000000"/>
    <x v="5"/>
    <x v="3"/>
    <n v="-1226000000"/>
    <n v="2038000000"/>
  </r>
  <r>
    <s v="Austria"/>
    <s v="AUT"/>
    <x v="4"/>
    <n v="10000000"/>
    <n v="14000000"/>
    <x v="1"/>
    <x v="3"/>
    <n v="-4000000"/>
    <n v="24000000"/>
  </r>
  <r>
    <s v="Azerbaijan"/>
    <s v="AZE"/>
    <x v="4"/>
    <n v="0"/>
    <n v="51000000"/>
    <x v="1"/>
    <x v="1"/>
    <n v="-51000000"/>
    <n v="51000000"/>
  </r>
  <r>
    <s v="Bahrain"/>
    <s v="BHR"/>
    <x v="4"/>
    <n v="0"/>
    <n v="27000000"/>
    <x v="2"/>
    <x v="3"/>
    <n v="-27000000"/>
    <n v="27000000"/>
  </r>
  <r>
    <s v="Bangladesh"/>
    <s v="BGD"/>
    <x v="4"/>
    <n v="0"/>
    <n v="70000000"/>
    <x v="6"/>
    <x v="2"/>
    <n v="-70000000"/>
    <n v="70000000"/>
  </r>
  <r>
    <s v="Belarus"/>
    <s v="BLR"/>
    <x v="4"/>
    <n v="59000000"/>
    <n v="13000000"/>
    <x v="1"/>
    <x v="1"/>
    <n v="46000000"/>
    <n v="72000000"/>
  </r>
  <r>
    <s v="Belgium"/>
    <s v="BEL"/>
    <x v="4"/>
    <n v="19000000"/>
    <n v="90000000"/>
    <x v="1"/>
    <x v="3"/>
    <n v="-71000000"/>
    <n v="109000000"/>
  </r>
  <r>
    <s v="Benin"/>
    <s v="BEN"/>
    <x v="4"/>
    <n v="0"/>
    <n v="1000000"/>
    <x v="3"/>
    <x v="2"/>
    <n v="-1000000"/>
    <n v="1000000"/>
  </r>
  <r>
    <s v="Bolivia"/>
    <s v="BOL"/>
    <x v="4"/>
    <n v="0"/>
    <n v="26000000"/>
    <x v="4"/>
    <x v="2"/>
    <n v="-26000000"/>
    <n v="26000000"/>
  </r>
  <r>
    <s v="Bosnia and Herzegovina"/>
    <s v="BIH"/>
    <x v="4"/>
    <n v="0"/>
    <n v="0"/>
    <x v="1"/>
    <x v="1"/>
    <n v="0"/>
    <n v="0"/>
  </r>
  <r>
    <s v="Botswana"/>
    <s v="BWA"/>
    <x v="4"/>
    <n v="0"/>
    <n v="76000000"/>
    <x v="3"/>
    <x v="1"/>
    <n v="-76000000"/>
    <n v="76000000"/>
  </r>
  <r>
    <s v="Brazil"/>
    <s v="BRA"/>
    <x v="4"/>
    <n v="164000000"/>
    <n v="134000000"/>
    <x v="4"/>
    <x v="1"/>
    <n v="30000000"/>
    <n v="298000000"/>
  </r>
  <r>
    <s v="Bulgaria"/>
    <s v="BGR"/>
    <x v="4"/>
    <n v="3000000"/>
    <n v="44000000"/>
    <x v="1"/>
    <x v="3"/>
    <n v="-41000000"/>
    <n v="47000000"/>
  </r>
  <r>
    <s v="Burkina Faso"/>
    <s v="BFA"/>
    <x v="4"/>
    <n v="0"/>
    <n v="3000000"/>
    <x v="3"/>
    <x v="4"/>
    <n v="-3000000"/>
    <n v="3000000"/>
  </r>
  <r>
    <s v="Cameroon"/>
    <s v="CMR"/>
    <x v="4"/>
    <n v="0"/>
    <n v="2000000"/>
    <x v="3"/>
    <x v="2"/>
    <n v="-2000000"/>
    <n v="2000000"/>
  </r>
  <r>
    <s v="Canada"/>
    <s v="CAN"/>
    <x v="4"/>
    <n v="123000000"/>
    <n v="248000000"/>
    <x v="7"/>
    <x v="3"/>
    <n v="-125000000"/>
    <n v="371000000"/>
  </r>
  <r>
    <s v="Central African Republic"/>
    <s v="CAF"/>
    <x v="4"/>
    <n v="0"/>
    <n v="1000000"/>
    <x v="3"/>
    <x v="4"/>
    <n v="-1000000"/>
    <n v="1000000"/>
  </r>
  <r>
    <s v="Central Europe and the Baltics"/>
    <s v="CEB"/>
    <x v="4"/>
    <n v="0"/>
    <n v="607000000"/>
    <x v="0"/>
    <x v="0"/>
    <n v="-607000000"/>
    <n v="607000000"/>
  </r>
  <r>
    <s v="Chad"/>
    <s v="TCD"/>
    <x v="4"/>
    <n v="0"/>
    <n v="4000000"/>
    <x v="3"/>
    <x v="4"/>
    <n v="-4000000"/>
    <n v="4000000"/>
  </r>
  <r>
    <s v="Chile"/>
    <s v="CHL"/>
    <x v="4"/>
    <n v="0"/>
    <n v="304000000"/>
    <x v="4"/>
    <x v="3"/>
    <n v="-304000000"/>
    <n v="304000000"/>
  </r>
  <r>
    <s v="China"/>
    <s v="CHN"/>
    <x v="4"/>
    <n v="645000000"/>
    <n v="775000000"/>
    <x v="5"/>
    <x v="1"/>
    <n v="-130000000"/>
    <n v="1420000000"/>
  </r>
  <r>
    <s v="Colombia"/>
    <s v="COL"/>
    <x v="4"/>
    <n v="4000000"/>
    <n v="80000000"/>
    <x v="4"/>
    <x v="1"/>
    <n v="-76000000"/>
    <n v="84000000"/>
  </r>
  <r>
    <s v="Congo, Dem. Rep."/>
    <s v="COD"/>
    <x v="4"/>
    <n v="0"/>
    <n v="9000000"/>
    <x v="3"/>
    <x v="4"/>
    <n v="-9000000"/>
    <n v="9000000"/>
  </r>
  <r>
    <s v="Cote d'Ivoire"/>
    <s v="CIV"/>
    <x v="4"/>
    <n v="0"/>
    <n v="3000000"/>
    <x v="3"/>
    <x v="2"/>
    <n v="-3000000"/>
    <n v="3000000"/>
  </r>
  <r>
    <s v="Cyprus"/>
    <s v="CYP"/>
    <x v="4"/>
    <n v="0"/>
    <n v="31000000"/>
    <x v="1"/>
    <x v="3"/>
    <n v="-31000000"/>
    <n v="31000000"/>
  </r>
  <r>
    <s v="Czechia"/>
    <s v="CZE"/>
    <x v="4"/>
    <n v="26000000"/>
    <n v="8000000"/>
    <x v="1"/>
    <x v="3"/>
    <n v="18000000"/>
    <n v="34000000"/>
  </r>
  <r>
    <s v="Denmark"/>
    <s v="DNK"/>
    <x v="4"/>
    <n v="0"/>
    <n v="63000000"/>
    <x v="1"/>
    <x v="3"/>
    <n v="-63000000"/>
    <n v="63000000"/>
  </r>
  <r>
    <s v="Djibouti"/>
    <s v="DJI"/>
    <x v="4"/>
    <n v="0"/>
    <n v="1000000"/>
    <x v="2"/>
    <x v="2"/>
    <n v="-1000000"/>
    <n v="1000000"/>
  </r>
  <r>
    <s v="Dominican Republic"/>
    <s v="DOM"/>
    <x v="4"/>
    <n v="0"/>
    <n v="4000000"/>
    <x v="4"/>
    <x v="1"/>
    <n v="-4000000"/>
    <n v="4000000"/>
  </r>
  <r>
    <s v="Early-demographic dividend"/>
    <s v="EAR"/>
    <x v="4"/>
    <n v="0"/>
    <n v="9916000000"/>
    <x v="0"/>
    <x v="0"/>
    <n v="-9916000000"/>
    <n v="9916000000"/>
  </r>
  <r>
    <s v="East Asia &amp; Pacific"/>
    <s v="EAS"/>
    <x v="4"/>
    <n v="0"/>
    <n v="6195000000"/>
    <x v="0"/>
    <x v="0"/>
    <n v="-6195000000"/>
    <n v="6195000000"/>
  </r>
  <r>
    <s v="East Asia &amp; Pacific (excluding high income)"/>
    <s v="EAP"/>
    <x v="4"/>
    <n v="645000000"/>
    <n v="1921000000"/>
    <x v="0"/>
    <x v="0"/>
    <n v="-1276000000"/>
    <n v="2566000000"/>
  </r>
  <r>
    <s v="East Asia &amp; Pacific (IDA &amp; IBRD countries)"/>
    <s v="TEA"/>
    <x v="4"/>
    <n v="645000000"/>
    <n v="1928000000"/>
    <x v="0"/>
    <x v="0"/>
    <n v="-1283000000"/>
    <n v="2573000000"/>
  </r>
  <r>
    <s v="Ecuador"/>
    <s v="ECU"/>
    <x v="4"/>
    <n v="0"/>
    <n v="21000000"/>
    <x v="4"/>
    <x v="1"/>
    <n v="-21000000"/>
    <n v="21000000"/>
  </r>
  <r>
    <s v="Egypt, Arab Rep."/>
    <s v="EGY"/>
    <x v="4"/>
    <n v="0"/>
    <n v="1398000000"/>
    <x v="2"/>
    <x v="2"/>
    <n v="-1398000000"/>
    <n v="1398000000"/>
  </r>
  <r>
    <s v="El Salvador"/>
    <s v="SLV"/>
    <x v="4"/>
    <n v="0"/>
    <n v="4000000"/>
    <x v="4"/>
    <x v="1"/>
    <n v="-4000000"/>
    <n v="4000000"/>
  </r>
  <r>
    <s v="Estonia"/>
    <s v="EST"/>
    <x v="4"/>
    <n v="0"/>
    <n v="25000000"/>
    <x v="1"/>
    <x v="3"/>
    <n v="-25000000"/>
    <n v="25000000"/>
  </r>
  <r>
    <s v="Eswatini"/>
    <s v="SWZ"/>
    <x v="4"/>
    <n v="0"/>
    <n v="2000000"/>
    <x v="3"/>
    <x v="2"/>
    <n v="-2000000"/>
    <n v="2000000"/>
  </r>
  <r>
    <s v="Ethiopia"/>
    <s v="ETH"/>
    <x v="4"/>
    <n v="0"/>
    <n v="25000000"/>
    <x v="3"/>
    <x v="4"/>
    <n v="-25000000"/>
    <n v="25000000"/>
  </r>
  <r>
    <s v="Euro area"/>
    <s v="EMU"/>
    <x v="4"/>
    <n v="5871000000"/>
    <n v="1864000000"/>
    <x v="0"/>
    <x v="0"/>
    <n v="4007000000"/>
    <n v="7735000000"/>
  </r>
  <r>
    <s v="Europe &amp; Central Asia"/>
    <s v="ECS"/>
    <x v="4"/>
    <n v="11175000000"/>
    <n v="4130000000"/>
    <x v="0"/>
    <x v="0"/>
    <n v="7045000000"/>
    <n v="15305000000"/>
  </r>
  <r>
    <s v="Europe &amp; Central Asia (excluding high income)"/>
    <s v="ECA"/>
    <x v="4"/>
    <n v="498000000"/>
    <n v="721000000"/>
    <x v="0"/>
    <x v="0"/>
    <n v="-223000000"/>
    <n v="1219000000"/>
  </r>
  <r>
    <s v="Europe &amp; Central Asia (IDA &amp; IBRD countries)"/>
    <s v="TEC"/>
    <x v="4"/>
    <n v="4161000000"/>
    <n v="1087000000"/>
    <x v="0"/>
    <x v="0"/>
    <n v="3074000000"/>
    <n v="5248000000"/>
  </r>
  <r>
    <s v="European Union"/>
    <s v="EUU"/>
    <x v="4"/>
    <n v="6160000000"/>
    <n v="2314000000"/>
    <x v="0"/>
    <x v="0"/>
    <n v="3846000000"/>
    <n v="8474000000"/>
  </r>
  <r>
    <s v="Fiji"/>
    <s v="FJI"/>
    <x v="4"/>
    <n v="0"/>
    <n v="7000000"/>
    <x v="5"/>
    <x v="1"/>
    <n v="-7000000"/>
    <n v="7000000"/>
  </r>
  <r>
    <s v="Finland"/>
    <s v="FIN"/>
    <x v="4"/>
    <n v="16000000"/>
    <n v="96000000"/>
    <x v="1"/>
    <x v="3"/>
    <n v="-80000000"/>
    <n v="112000000"/>
  </r>
  <r>
    <s v="Fragility, Conflict, and Violence (FCV) situations"/>
    <s v="FCV"/>
    <x v="4"/>
    <n v="0"/>
    <n v="793000000"/>
    <x v="0"/>
    <x v="0"/>
    <n v="-793000000"/>
    <n v="793000000"/>
  </r>
  <r>
    <s v="France"/>
    <s v="FRA"/>
    <x v="4"/>
    <n v="2290000000"/>
    <n v="225000000"/>
    <x v="1"/>
    <x v="3"/>
    <n v="2065000000"/>
    <n v="2515000000"/>
  </r>
  <r>
    <s v="Germany"/>
    <s v="DEU"/>
    <x v="4"/>
    <n v="1153000000"/>
    <n v="105000000"/>
    <x v="1"/>
    <x v="3"/>
    <n v="1048000000"/>
    <n v="1258000000"/>
  </r>
  <r>
    <s v="Ghana"/>
    <s v="GHA"/>
    <x v="4"/>
    <n v="0"/>
    <n v="12000000"/>
    <x v="3"/>
    <x v="2"/>
    <n v="-12000000"/>
    <n v="12000000"/>
  </r>
  <r>
    <s v="Greece"/>
    <s v="GRC"/>
    <x v="4"/>
    <n v="0"/>
    <n v="92000000"/>
    <x v="1"/>
    <x v="3"/>
    <n v="-92000000"/>
    <n v="92000000"/>
  </r>
  <r>
    <s v="Heavily indebted poor countries (HIPC)"/>
    <s v="HPC"/>
    <x v="4"/>
    <n v="0"/>
    <n v="507000000"/>
    <x v="0"/>
    <x v="0"/>
    <n v="-507000000"/>
    <n v="507000000"/>
  </r>
  <r>
    <s v="High income"/>
    <s v="HIC"/>
    <x v="4"/>
    <n v="22356000000"/>
    <n v="13607000000"/>
    <x v="0"/>
    <x v="0"/>
    <n v="8749000000"/>
    <n v="35963000000"/>
  </r>
  <r>
    <s v="Honduras"/>
    <s v="HND"/>
    <x v="4"/>
    <n v="0"/>
    <n v="0"/>
    <x v="4"/>
    <x v="2"/>
    <n v="0"/>
    <n v="0"/>
  </r>
  <r>
    <s v="Hungary"/>
    <s v="HUN"/>
    <x v="4"/>
    <n v="0"/>
    <n v="55000000"/>
    <x v="1"/>
    <x v="3"/>
    <n v="-55000000"/>
    <n v="55000000"/>
  </r>
  <r>
    <s v="IBRD only"/>
    <s v="IBD"/>
    <x v="4"/>
    <n v="5359000000"/>
    <n v="8699000000"/>
    <x v="0"/>
    <x v="0"/>
    <n v="-3340000000"/>
    <n v="14058000000"/>
  </r>
  <r>
    <s v="IDA &amp; IBRD total"/>
    <s v="IBT"/>
    <x v="4"/>
    <n v="0"/>
    <n v="10458000000"/>
    <x v="0"/>
    <x v="0"/>
    <n v="-10458000000"/>
    <n v="10458000000"/>
  </r>
  <r>
    <s v="IDA blend"/>
    <s v="IDB"/>
    <x v="4"/>
    <n v="0"/>
    <n v="885000000"/>
    <x v="0"/>
    <x v="0"/>
    <n v="-885000000"/>
    <n v="885000000"/>
  </r>
  <r>
    <s v="IDA total"/>
    <s v="IDA"/>
    <x v="4"/>
    <n v="0"/>
    <n v="1759000000"/>
    <x v="0"/>
    <x v="0"/>
    <n v="-1759000000"/>
    <n v="1759000000"/>
  </r>
  <r>
    <s v="India"/>
    <s v="IND"/>
    <x v="4"/>
    <n v="153000000"/>
    <n v="2670000000"/>
    <x v="6"/>
    <x v="2"/>
    <n v="-2517000000"/>
    <n v="2823000000"/>
  </r>
  <r>
    <s v="Indonesia"/>
    <s v="IDN"/>
    <x v="4"/>
    <n v="0"/>
    <n v="283000000"/>
    <x v="5"/>
    <x v="1"/>
    <n v="-283000000"/>
    <n v="283000000"/>
  </r>
  <r>
    <s v="Iran, Islamic Rep."/>
    <s v="IRN"/>
    <x v="4"/>
    <n v="16000000"/>
    <n v="2000000"/>
    <x v="2"/>
    <x v="1"/>
    <n v="14000000"/>
    <n v="18000000"/>
  </r>
  <r>
    <s v="Iraq"/>
    <s v="IRQ"/>
    <x v="4"/>
    <n v="0"/>
    <n v="5000000"/>
    <x v="2"/>
    <x v="1"/>
    <n v="-5000000"/>
    <n v="5000000"/>
  </r>
  <r>
    <s v="Ireland"/>
    <s v="IRL"/>
    <x v="4"/>
    <n v="0"/>
    <n v="9000000"/>
    <x v="1"/>
    <x v="3"/>
    <n v="-9000000"/>
    <n v="9000000"/>
  </r>
  <r>
    <s v="Israel"/>
    <s v="ISR"/>
    <x v="4"/>
    <n v="356000000"/>
    <n v="379000000"/>
    <x v="2"/>
    <x v="3"/>
    <n v="-23000000"/>
    <n v="735000000"/>
  </r>
  <r>
    <s v="Italy"/>
    <s v="ITA"/>
    <x v="4"/>
    <n v="821000000"/>
    <n v="201000000"/>
    <x v="1"/>
    <x v="3"/>
    <n v="620000000"/>
    <n v="1022000000"/>
  </r>
  <r>
    <s v="Jamaica"/>
    <s v="JAM"/>
    <x v="4"/>
    <n v="0"/>
    <n v="10000000"/>
    <x v="4"/>
    <x v="1"/>
    <n v="-10000000"/>
    <n v="10000000"/>
  </r>
  <r>
    <s v="Japan"/>
    <s v="JPN"/>
    <x v="4"/>
    <n v="0"/>
    <n v="929000000"/>
    <x v="5"/>
    <x v="3"/>
    <n v="-929000000"/>
    <n v="929000000"/>
  </r>
  <r>
    <s v="Jordan"/>
    <s v="JOR"/>
    <x v="4"/>
    <n v="66000000"/>
    <n v="148000000"/>
    <x v="2"/>
    <x v="1"/>
    <n v="-82000000"/>
    <n v="214000000"/>
  </r>
  <r>
    <s v="Kazakhstan"/>
    <s v="KAZ"/>
    <x v="4"/>
    <n v="0"/>
    <n v="270000000"/>
    <x v="1"/>
    <x v="1"/>
    <n v="-270000000"/>
    <n v="270000000"/>
  </r>
  <r>
    <s v="Kenya"/>
    <s v="KEN"/>
    <x v="4"/>
    <n v="0"/>
    <n v="71000000"/>
    <x v="3"/>
    <x v="2"/>
    <n v="-71000000"/>
    <n v="71000000"/>
  </r>
  <r>
    <s v="Korea, Rep."/>
    <s v="KOR"/>
    <x v="4"/>
    <n v="829000000"/>
    <n v="1273000000"/>
    <x v="5"/>
    <x v="3"/>
    <n v="-444000000"/>
    <n v="2102000000"/>
  </r>
  <r>
    <s v="Kosovo"/>
    <s v="XKX"/>
    <x v="4"/>
    <n v="0"/>
    <n v="3000000"/>
    <x v="1"/>
    <x v="1"/>
    <n v="-3000000"/>
    <n v="3000000"/>
  </r>
  <r>
    <s v="Kuwait"/>
    <s v="KWT"/>
    <x v="4"/>
    <n v="0"/>
    <n v="67000000"/>
    <x v="2"/>
    <x v="3"/>
    <n v="-67000000"/>
    <n v="67000000"/>
  </r>
  <r>
    <s v="Lao PDR"/>
    <s v="LAO"/>
    <x v="4"/>
    <n v="0"/>
    <n v="17000000"/>
    <x v="5"/>
    <x v="2"/>
    <n v="-17000000"/>
    <n v="17000000"/>
  </r>
  <r>
    <s v="Late-demographic dividend"/>
    <s v="LTE"/>
    <x v="4"/>
    <n v="0"/>
    <n v="4443000000"/>
    <x v="0"/>
    <x v="0"/>
    <n v="-4443000000"/>
    <n v="4443000000"/>
  </r>
  <r>
    <s v="Latin America &amp; Caribbean"/>
    <s v="LCN"/>
    <x v="4"/>
    <n v="0"/>
    <n v="999000000"/>
    <x v="0"/>
    <x v="0"/>
    <n v="-999000000"/>
    <n v="999000000"/>
  </r>
  <r>
    <s v="Latin America &amp; Caribbean (excluding high income)"/>
    <s v="LAC"/>
    <x v="4"/>
    <n v="0"/>
    <n v="670000000"/>
    <x v="0"/>
    <x v="0"/>
    <n v="-670000000"/>
    <n v="670000000"/>
  </r>
  <r>
    <s v="Latin America &amp; the Caribbean (IDA &amp; IBRD countries)"/>
    <s v="TLA"/>
    <x v="4"/>
    <n v="0"/>
    <n v="999000000"/>
    <x v="0"/>
    <x v="0"/>
    <n v="-999000000"/>
    <n v="999000000"/>
  </r>
  <r>
    <s v="Latvia"/>
    <s v="LVA"/>
    <x v="4"/>
    <n v="0"/>
    <n v="10000000"/>
    <x v="1"/>
    <x v="3"/>
    <n v="-10000000"/>
    <n v="10000000"/>
  </r>
  <r>
    <s v="Least developed countries: UN classification"/>
    <s v="LDC"/>
    <x v="4"/>
    <n v="0"/>
    <n v="820000000"/>
    <x v="0"/>
    <x v="0"/>
    <n v="-820000000"/>
    <n v="820000000"/>
  </r>
  <r>
    <s v="Lebanon"/>
    <s v="LBN"/>
    <x v="4"/>
    <n v="0"/>
    <n v="45000000"/>
    <x v="2"/>
    <x v="2"/>
    <n v="-45000000"/>
    <n v="45000000"/>
  </r>
  <r>
    <s v="Libya"/>
    <s v="LBY"/>
    <x v="4"/>
    <n v="0"/>
    <n v="0"/>
    <x v="2"/>
    <x v="1"/>
    <n v="0"/>
    <n v="0"/>
  </r>
  <r>
    <s v="Lithuania"/>
    <s v="LTU"/>
    <x v="4"/>
    <n v="0"/>
    <n v="119000000"/>
    <x v="1"/>
    <x v="3"/>
    <n v="-119000000"/>
    <n v="119000000"/>
  </r>
  <r>
    <s v="Low &amp; middle income"/>
    <s v="LMY"/>
    <x v="4"/>
    <n v="0"/>
    <n v="9756000000"/>
    <x v="0"/>
    <x v="0"/>
    <n v="-9756000000"/>
    <n v="9756000000"/>
  </r>
  <r>
    <s v="Low income"/>
    <s v="LIC"/>
    <x v="4"/>
    <n v="0"/>
    <n v="504000000"/>
    <x v="0"/>
    <x v="0"/>
    <n v="-504000000"/>
    <n v="504000000"/>
  </r>
  <r>
    <s v="Lower middle income"/>
    <s v="LMC"/>
    <x v="4"/>
    <n v="0"/>
    <n v="5536000000"/>
    <x v="0"/>
    <x v="0"/>
    <n v="-5536000000"/>
    <n v="5536000000"/>
  </r>
  <r>
    <s v="Luxembourg"/>
    <s v="LUX"/>
    <x v="4"/>
    <n v="0"/>
    <n v="88000000"/>
    <x v="1"/>
    <x v="3"/>
    <n v="-88000000"/>
    <n v="88000000"/>
  </r>
  <r>
    <s v="Madagascar"/>
    <s v="MDG"/>
    <x v="4"/>
    <n v="0"/>
    <n v="1000000"/>
    <x v="3"/>
    <x v="4"/>
    <n v="-1000000"/>
    <n v="1000000"/>
  </r>
  <r>
    <s v="Malaysia"/>
    <s v="MYS"/>
    <x v="4"/>
    <n v="0"/>
    <n v="51000000"/>
    <x v="5"/>
    <x v="1"/>
    <n v="-51000000"/>
    <n v="51000000"/>
  </r>
  <r>
    <s v="Maldives"/>
    <s v="MDV"/>
    <x v="4"/>
    <n v="0"/>
    <n v="3000000"/>
    <x v="6"/>
    <x v="1"/>
    <n v="-3000000"/>
    <n v="3000000"/>
  </r>
  <r>
    <s v="Mali"/>
    <s v="MLI"/>
    <x v="4"/>
    <n v="0"/>
    <n v="49000000"/>
    <x v="3"/>
    <x v="4"/>
    <n v="-49000000"/>
    <n v="49000000"/>
  </r>
  <r>
    <s v="Mexico"/>
    <s v="MEX"/>
    <x v="4"/>
    <n v="0"/>
    <n v="277000000"/>
    <x v="4"/>
    <x v="1"/>
    <n v="-277000000"/>
    <n v="277000000"/>
  </r>
  <r>
    <s v="Middle East, North Africa, Afghanistan &amp; Pakistan"/>
    <s v="MEA"/>
    <x v="4"/>
    <n v="0"/>
    <n v="7708000000"/>
    <x v="0"/>
    <x v="0"/>
    <n v="-7708000000"/>
    <n v="7708000000"/>
  </r>
  <r>
    <s v="Middle East, North Africa, Afghanistan &amp; Pakistan (excluding high income)"/>
    <s v="MNA"/>
    <x v="4"/>
    <n v="0"/>
    <n v="3167000000"/>
    <x v="0"/>
    <x v="0"/>
    <n v="-3167000000"/>
    <n v="3167000000"/>
  </r>
  <r>
    <s v="Middle East, North Africa, Afghanistan &amp; Pakistan (IDA &amp; IBRD)"/>
    <s v="TMN"/>
    <x v="4"/>
    <n v="0"/>
    <n v="3167000000"/>
    <x v="0"/>
    <x v="0"/>
    <n v="-3167000000"/>
    <n v="3167000000"/>
  </r>
  <r>
    <s v="Middle income"/>
    <s v="MIC"/>
    <x v="4"/>
    <n v="0"/>
    <n v="9252000000"/>
    <x v="0"/>
    <x v="0"/>
    <n v="-9252000000"/>
    <n v="9252000000"/>
  </r>
  <r>
    <s v="Montenegro"/>
    <s v="MNE"/>
    <x v="4"/>
    <n v="0"/>
    <n v="5000000"/>
    <x v="1"/>
    <x v="1"/>
    <n v="-5000000"/>
    <n v="5000000"/>
  </r>
  <r>
    <s v="Morocco"/>
    <s v="MAR"/>
    <x v="4"/>
    <n v="0"/>
    <n v="16000000"/>
    <x v="2"/>
    <x v="2"/>
    <n v="-16000000"/>
    <n v="16000000"/>
  </r>
  <r>
    <s v="Mozambique"/>
    <s v="MOZ"/>
    <x v="4"/>
    <n v="0"/>
    <n v="1000000"/>
    <x v="3"/>
    <x v="4"/>
    <n v="-1000000"/>
    <n v="1000000"/>
  </r>
  <r>
    <s v="Myanmar"/>
    <s v="MMR"/>
    <x v="4"/>
    <n v="0"/>
    <n v="217000000"/>
    <x v="5"/>
    <x v="2"/>
    <n v="-217000000"/>
    <n v="217000000"/>
  </r>
  <r>
    <s v="Netherlands"/>
    <s v="NLD"/>
    <x v="4"/>
    <n v="497000000"/>
    <n v="575000000"/>
    <x v="1"/>
    <x v="3"/>
    <n v="-78000000"/>
    <n v="1072000000"/>
  </r>
  <r>
    <s v="New Zealand"/>
    <s v="NZL"/>
    <x v="4"/>
    <n v="0"/>
    <n v="146000000"/>
    <x v="5"/>
    <x v="3"/>
    <n v="-146000000"/>
    <n v="146000000"/>
  </r>
  <r>
    <s v="Niger"/>
    <s v="NER"/>
    <x v="4"/>
    <n v="0"/>
    <n v="19000000"/>
    <x v="3"/>
    <x v="4"/>
    <n v="-19000000"/>
    <n v="19000000"/>
  </r>
  <r>
    <s v="Nigeria"/>
    <s v="NGA"/>
    <x v="4"/>
    <n v="0"/>
    <n v="84000000"/>
    <x v="3"/>
    <x v="2"/>
    <n v="-84000000"/>
    <n v="84000000"/>
  </r>
  <r>
    <s v="North America"/>
    <s v="NAC"/>
    <x v="4"/>
    <n v="9853000000"/>
    <n v="1054000000"/>
    <x v="0"/>
    <x v="0"/>
    <n v="8799000000"/>
    <n v="10907000000"/>
  </r>
  <r>
    <s v="Norway"/>
    <s v="NOR"/>
    <x v="4"/>
    <n v="60000000"/>
    <n v="459000000"/>
    <x v="1"/>
    <x v="3"/>
    <n v="-399000000"/>
    <n v="519000000"/>
  </r>
  <r>
    <s v="OECD members"/>
    <s v="OED"/>
    <x v="4"/>
    <n v="18737000000"/>
    <n v="9349000000"/>
    <x v="0"/>
    <x v="0"/>
    <n v="9388000000"/>
    <n v="28086000000"/>
  </r>
  <r>
    <s v="Oman"/>
    <s v="OMN"/>
    <x v="4"/>
    <n v="0"/>
    <n v="85000000"/>
    <x v="2"/>
    <x v="3"/>
    <n v="-85000000"/>
    <n v="85000000"/>
  </r>
  <r>
    <s v="Pakistan"/>
    <s v="PAK"/>
    <x v="4"/>
    <n v="0"/>
    <n v="624000000"/>
    <x v="2"/>
    <x v="2"/>
    <n v="-624000000"/>
    <n v="624000000"/>
  </r>
  <r>
    <s v="Palau"/>
    <s v="PLW"/>
    <x v="4"/>
    <n v="0"/>
    <n v="7000000"/>
    <x v="5"/>
    <x v="3"/>
    <n v="-7000000"/>
    <n v="7000000"/>
  </r>
  <r>
    <s v="Peru"/>
    <s v="PER"/>
    <x v="4"/>
    <n v="0"/>
    <n v="28000000"/>
    <x v="4"/>
    <x v="1"/>
    <n v="-28000000"/>
    <n v="28000000"/>
  </r>
  <r>
    <s v="Philippines"/>
    <s v="PHL"/>
    <x v="4"/>
    <n v="0"/>
    <n v="385000000"/>
    <x v="5"/>
    <x v="1"/>
    <n v="-385000000"/>
    <n v="385000000"/>
  </r>
  <r>
    <s v="Poland"/>
    <s v="POL"/>
    <x v="4"/>
    <n v="0"/>
    <n v="153000000"/>
    <x v="1"/>
    <x v="3"/>
    <n v="-153000000"/>
    <n v="153000000"/>
  </r>
  <r>
    <s v="Portugal"/>
    <s v="PRT"/>
    <x v="4"/>
    <n v="46000000"/>
    <n v="45000000"/>
    <x v="1"/>
    <x v="3"/>
    <n v="1000000"/>
    <n v="91000000"/>
  </r>
  <r>
    <s v="Post-demographic dividend"/>
    <s v="PST"/>
    <x v="4"/>
    <n v="18291000000"/>
    <n v="8228000000"/>
    <x v="0"/>
    <x v="0"/>
    <n v="10063000000"/>
    <n v="26519000000"/>
  </r>
  <r>
    <s v="Pre-demographic dividend"/>
    <s v="PRE"/>
    <x v="4"/>
    <n v="0"/>
    <n v="655000000"/>
    <x v="0"/>
    <x v="0"/>
    <n v="-655000000"/>
    <n v="655000000"/>
  </r>
  <r>
    <s v="Qatar"/>
    <s v="QAT"/>
    <x v="4"/>
    <n v="0"/>
    <n v="1082000000"/>
    <x v="2"/>
    <x v="3"/>
    <n v="-1082000000"/>
    <n v="1082000000"/>
  </r>
  <r>
    <s v="Romania"/>
    <s v="ROU"/>
    <x v="4"/>
    <n v="0"/>
    <n v="168000000"/>
    <x v="1"/>
    <x v="3"/>
    <n v="-168000000"/>
    <n v="168000000"/>
  </r>
  <r>
    <s v="Russian Federation"/>
    <s v="RUS"/>
    <x v="4"/>
    <n v="3660000000"/>
    <n v="1000000"/>
    <x v="1"/>
    <x v="3"/>
    <n v="3659000000"/>
    <n v="3661000000"/>
  </r>
  <r>
    <s v="Saudi Arabia"/>
    <s v="SAU"/>
    <x v="4"/>
    <n v="0"/>
    <n v="2241000000"/>
    <x v="2"/>
    <x v="3"/>
    <n v="-2241000000"/>
    <n v="2241000000"/>
  </r>
  <r>
    <s v="Senegal"/>
    <s v="SEN"/>
    <x v="4"/>
    <n v="0"/>
    <n v="22000000"/>
    <x v="3"/>
    <x v="2"/>
    <n v="-22000000"/>
    <n v="22000000"/>
  </r>
  <r>
    <s v="Serbia"/>
    <s v="SRB"/>
    <x v="4"/>
    <n v="50000000"/>
    <n v="147000000"/>
    <x v="1"/>
    <x v="1"/>
    <n v="-97000000"/>
    <n v="197000000"/>
  </r>
  <r>
    <s v="Singapore"/>
    <s v="SGP"/>
    <x v="4"/>
    <n v="24000000"/>
    <n v="176000000"/>
    <x v="5"/>
    <x v="3"/>
    <n v="-152000000"/>
    <n v="200000000"/>
  </r>
  <r>
    <s v="Slovak Republic"/>
    <s v="SVK"/>
    <x v="4"/>
    <n v="11000000"/>
    <n v="25000000"/>
    <x v="1"/>
    <x v="3"/>
    <n v="-14000000"/>
    <n v="36000000"/>
  </r>
  <r>
    <s v="Somalia, Fed. Rep."/>
    <s v="SOM"/>
    <x v="4"/>
    <n v="0"/>
    <n v="2000000"/>
    <x v="3"/>
    <x v="4"/>
    <n v="-2000000"/>
    <n v="2000000"/>
  </r>
  <r>
    <s v="South Africa"/>
    <s v="ZAF"/>
    <x v="4"/>
    <n v="150000000"/>
    <n v="0"/>
    <x v="3"/>
    <x v="1"/>
    <n v="150000000"/>
    <n v="150000000"/>
  </r>
  <r>
    <s v="South Asia"/>
    <s v="SAS"/>
    <x v="4"/>
    <n v="153000000"/>
    <n v="2743000000"/>
    <x v="0"/>
    <x v="0"/>
    <n v="-2590000000"/>
    <n v="2896000000"/>
  </r>
  <r>
    <s v="South Asia (IDA &amp; IBRD)"/>
    <s v="TSA"/>
    <x v="4"/>
    <n v="153000000"/>
    <n v="2743000000"/>
    <x v="0"/>
    <x v="0"/>
    <n v="-2590000000"/>
    <n v="2896000000"/>
  </r>
  <r>
    <s v="Spain"/>
    <s v="ESP"/>
    <x v="4"/>
    <n v="1005000000"/>
    <n v="70000000"/>
    <x v="1"/>
    <x v="3"/>
    <n v="935000000"/>
    <n v="1075000000"/>
  </r>
  <r>
    <s v="Sweden"/>
    <s v="SWE"/>
    <x v="4"/>
    <n v="263000000"/>
    <n v="3000000"/>
    <x v="1"/>
    <x v="3"/>
    <n v="260000000"/>
    <n v="266000000"/>
  </r>
  <r>
    <s v="Switzerland"/>
    <s v="CHE"/>
    <x v="4"/>
    <n v="145000000"/>
    <n v="0"/>
    <x v="1"/>
    <x v="3"/>
    <n v="145000000"/>
    <n v="145000000"/>
  </r>
  <r>
    <s v="Syrian Arab Republic"/>
    <s v="SYR"/>
    <x v="4"/>
    <n v="0"/>
    <n v="80000000"/>
    <x v="2"/>
    <x v="4"/>
    <n v="-80000000"/>
    <n v="80000000"/>
  </r>
  <r>
    <s v="Tanzania"/>
    <s v="TZA"/>
    <x v="4"/>
    <n v="0"/>
    <n v="9000000"/>
    <x v="3"/>
    <x v="2"/>
    <n v="-9000000"/>
    <n v="9000000"/>
  </r>
  <r>
    <s v="Thailand"/>
    <s v="THA"/>
    <x v="4"/>
    <n v="0"/>
    <n v="141000000"/>
    <x v="5"/>
    <x v="1"/>
    <n v="-141000000"/>
    <n v="141000000"/>
  </r>
  <r>
    <s v="Togo"/>
    <s v="TGO"/>
    <x v="4"/>
    <n v="0"/>
    <n v="5000000"/>
    <x v="3"/>
    <x v="2"/>
    <n v="-5000000"/>
    <n v="5000000"/>
  </r>
  <r>
    <s v="Tonga"/>
    <s v="TON"/>
    <x v="4"/>
    <n v="0"/>
    <n v="7000000"/>
    <x v="5"/>
    <x v="1"/>
    <n v="-7000000"/>
    <n v="7000000"/>
  </r>
  <r>
    <s v="Tunisia"/>
    <s v="TUN"/>
    <x v="4"/>
    <n v="0"/>
    <n v="16000000"/>
    <x v="2"/>
    <x v="2"/>
    <n v="-16000000"/>
    <n v="16000000"/>
  </r>
  <r>
    <s v="Turkiye"/>
    <s v="TUR"/>
    <x v="4"/>
    <n v="275000000"/>
    <n v="110000000"/>
    <x v="1"/>
    <x v="1"/>
    <n v="165000000"/>
    <n v="385000000"/>
  </r>
  <r>
    <s v="Uganda"/>
    <s v="UGA"/>
    <x v="4"/>
    <n v="0"/>
    <n v="79000000"/>
    <x v="3"/>
    <x v="4"/>
    <n v="-79000000"/>
    <n v="79000000"/>
  </r>
  <r>
    <s v="Ukraine"/>
    <s v="UKR"/>
    <x v="4"/>
    <n v="114000000"/>
    <n v="18000000"/>
    <x v="1"/>
    <x v="1"/>
    <n v="96000000"/>
    <n v="132000000"/>
  </r>
  <r>
    <s v="United Arab Emirates"/>
    <s v="ARE"/>
    <x v="4"/>
    <n v="209000000"/>
    <n v="660000000"/>
    <x v="2"/>
    <x v="3"/>
    <n v="-451000000"/>
    <n v="869000000"/>
  </r>
  <r>
    <s v="United Kingdom"/>
    <s v="GBR"/>
    <x v="4"/>
    <n v="652000000"/>
    <n v="635000000"/>
    <x v="1"/>
    <x v="3"/>
    <n v="17000000"/>
    <n v="1287000000"/>
  </r>
  <r>
    <s v="United States"/>
    <s v="USA"/>
    <x v="4"/>
    <n v="9730000000"/>
    <n v="806000000"/>
    <x v="7"/>
    <x v="3"/>
    <n v="8924000000"/>
    <n v="10536000000"/>
  </r>
  <r>
    <s v="Upper middle income"/>
    <s v="UMC"/>
    <x v="4"/>
    <n v="0"/>
    <n v="3716000000"/>
    <x v="0"/>
    <x v="0"/>
    <n v="-3716000000"/>
    <n v="3716000000"/>
  </r>
  <r>
    <s v="Uruguay"/>
    <s v="URY"/>
    <x v="4"/>
    <n v="0"/>
    <n v="25000000"/>
    <x v="4"/>
    <x v="3"/>
    <n v="-25000000"/>
    <n v="25000000"/>
  </r>
  <r>
    <s v="Uzbekistan"/>
    <s v="UZB"/>
    <x v="4"/>
    <n v="0"/>
    <n v="92000000"/>
    <x v="1"/>
    <x v="2"/>
    <n v="-92000000"/>
    <n v="92000000"/>
  </r>
  <r>
    <s v="Venezuela, RB"/>
    <s v="VEN"/>
    <x v="4"/>
    <n v="0"/>
    <n v="79000000"/>
    <x v="4"/>
    <x v="2"/>
    <n v="-79000000"/>
    <n v="79000000"/>
  </r>
  <r>
    <s v="Viet Nam"/>
    <s v="VNM"/>
    <x v="4"/>
    <n v="0"/>
    <n v="38000000"/>
    <x v="5"/>
    <x v="1"/>
    <n v="-38000000"/>
    <n v="38000000"/>
  </r>
  <r>
    <s v="World"/>
    <s v="WLD"/>
    <x v="4"/>
    <n v="24055000000"/>
    <n v="23363000000"/>
    <x v="0"/>
    <x v="0"/>
    <n v="692000000"/>
    <n v="47418000000"/>
  </r>
  <r>
    <s v="Zambia"/>
    <s v="ZMB"/>
    <x v="4"/>
    <n v="0"/>
    <n v="3000000"/>
    <x v="3"/>
    <x v="2"/>
    <n v="-3000000"/>
    <n v="3000000"/>
  </r>
  <r>
    <s v="Afghanistan"/>
    <s v="AFG"/>
    <x v="5"/>
    <n v="0"/>
    <n v="379000000"/>
    <x v="2"/>
    <x v="4"/>
    <n v="-379000000"/>
    <n v="379000000"/>
  </r>
  <r>
    <s v="Africa Western and Central"/>
    <s v="AFW"/>
    <x v="5"/>
    <n v="0"/>
    <n v="189000000"/>
    <x v="0"/>
    <x v="0"/>
    <n v="-189000000"/>
    <n v="189000000"/>
  </r>
  <r>
    <s v="Albania"/>
    <s v="ALB"/>
    <x v="5"/>
    <n v="0"/>
    <n v="5000000"/>
    <x v="1"/>
    <x v="1"/>
    <n v="-5000000"/>
    <n v="5000000"/>
  </r>
  <r>
    <s v="Algeria"/>
    <s v="DZA"/>
    <x v="5"/>
    <n v="0"/>
    <n v="167000000"/>
    <x v="2"/>
    <x v="1"/>
    <n v="-167000000"/>
    <n v="167000000"/>
  </r>
  <r>
    <s v="Angola"/>
    <s v="AGO"/>
    <x v="5"/>
    <n v="0"/>
    <n v="170000000"/>
    <x v="3"/>
    <x v="2"/>
    <n v="-170000000"/>
    <n v="170000000"/>
  </r>
  <r>
    <s v="Arab World"/>
    <s v="ARB"/>
    <x v="5"/>
    <n v="0"/>
    <n v="8120000000"/>
    <x v="0"/>
    <x v="0"/>
    <n v="-8120000000"/>
    <n v="8120000000"/>
  </r>
  <r>
    <s v="Argentina"/>
    <s v="ARG"/>
    <x v="5"/>
    <n v="0"/>
    <n v="51000000"/>
    <x v="4"/>
    <x v="1"/>
    <n v="-51000000"/>
    <n v="51000000"/>
  </r>
  <r>
    <s v="Armenia"/>
    <s v="ARM"/>
    <x v="5"/>
    <n v="0"/>
    <n v="248000000"/>
    <x v="1"/>
    <x v="1"/>
    <n v="-248000000"/>
    <n v="248000000"/>
  </r>
  <r>
    <s v="Australia"/>
    <s v="AUS"/>
    <x v="5"/>
    <n v="129000000"/>
    <n v="1159000000"/>
    <x v="5"/>
    <x v="3"/>
    <n v="-1030000000"/>
    <n v="1288000000"/>
  </r>
  <r>
    <s v="Austria"/>
    <s v="AUT"/>
    <x v="5"/>
    <n v="3000000"/>
    <n v="18000000"/>
    <x v="1"/>
    <x v="3"/>
    <n v="-15000000"/>
    <n v="21000000"/>
  </r>
  <r>
    <s v="Azerbaijan"/>
    <s v="AZE"/>
    <x v="5"/>
    <n v="0"/>
    <n v="44000000"/>
    <x v="1"/>
    <x v="1"/>
    <n v="-44000000"/>
    <n v="44000000"/>
  </r>
  <r>
    <s v="Bahrain"/>
    <s v="BHR"/>
    <x v="5"/>
    <n v="0"/>
    <n v="21000000"/>
    <x v="2"/>
    <x v="3"/>
    <n v="-21000000"/>
    <n v="21000000"/>
  </r>
  <r>
    <s v="Bangladesh"/>
    <s v="BGD"/>
    <x v="5"/>
    <n v="0"/>
    <n v="713000000"/>
    <x v="6"/>
    <x v="2"/>
    <n v="-713000000"/>
    <n v="713000000"/>
  </r>
  <r>
    <s v="Belarus"/>
    <s v="BLR"/>
    <x v="5"/>
    <n v="84000000"/>
    <n v="333000000"/>
    <x v="1"/>
    <x v="1"/>
    <n v="-249000000"/>
    <n v="417000000"/>
  </r>
  <r>
    <s v="Belgium"/>
    <s v="BEL"/>
    <x v="5"/>
    <n v="50000000"/>
    <n v="9000000"/>
    <x v="1"/>
    <x v="3"/>
    <n v="41000000"/>
    <n v="59000000"/>
  </r>
  <r>
    <s v="Bolivia"/>
    <s v="BOL"/>
    <x v="5"/>
    <n v="0"/>
    <n v="34000000"/>
    <x v="4"/>
    <x v="2"/>
    <n v="-34000000"/>
    <n v="34000000"/>
  </r>
  <r>
    <s v="Bosnia and Herzegovina"/>
    <s v="BIH"/>
    <x v="5"/>
    <n v="0"/>
    <n v="0"/>
    <x v="1"/>
    <x v="1"/>
    <n v="0"/>
    <n v="0"/>
  </r>
  <r>
    <s v="Botswana"/>
    <s v="BWA"/>
    <x v="5"/>
    <n v="0"/>
    <n v="7000000"/>
    <x v="3"/>
    <x v="1"/>
    <n v="-7000000"/>
    <n v="7000000"/>
  </r>
  <r>
    <s v="Brazil"/>
    <s v="BRA"/>
    <x v="5"/>
    <n v="21000000"/>
    <n v="125000000"/>
    <x v="4"/>
    <x v="1"/>
    <n v="-104000000"/>
    <n v="146000000"/>
  </r>
  <r>
    <s v="Bulgaria"/>
    <s v="BGR"/>
    <x v="5"/>
    <n v="11000000"/>
    <n v="2000000"/>
    <x v="1"/>
    <x v="3"/>
    <n v="9000000"/>
    <n v="13000000"/>
  </r>
  <r>
    <s v="Burkina Faso"/>
    <s v="BFA"/>
    <x v="5"/>
    <n v="0"/>
    <n v="7000000"/>
    <x v="3"/>
    <x v="4"/>
    <n v="-7000000"/>
    <n v="7000000"/>
  </r>
  <r>
    <s v="Burundi"/>
    <s v="BDI"/>
    <x v="5"/>
    <n v="0"/>
    <n v="2000000"/>
    <x v="3"/>
    <x v="4"/>
    <n v="-2000000"/>
    <n v="2000000"/>
  </r>
  <r>
    <s v="Cabo Verde"/>
    <s v="CPV"/>
    <x v="5"/>
    <n v="0"/>
    <n v="3000000"/>
    <x v="3"/>
    <x v="1"/>
    <n v="-3000000"/>
    <n v="3000000"/>
  </r>
  <r>
    <s v="Cambodia"/>
    <s v="KHM"/>
    <x v="5"/>
    <n v="0"/>
    <n v="1000000"/>
    <x v="5"/>
    <x v="2"/>
    <n v="-1000000"/>
    <n v="1000000"/>
  </r>
  <r>
    <s v="Cameroon"/>
    <s v="CMR"/>
    <x v="5"/>
    <n v="0"/>
    <n v="4000000"/>
    <x v="3"/>
    <x v="2"/>
    <n v="-4000000"/>
    <n v="4000000"/>
  </r>
  <r>
    <s v="Canada"/>
    <s v="CAN"/>
    <x v="5"/>
    <n v="223000000"/>
    <n v="187000000"/>
    <x v="7"/>
    <x v="3"/>
    <n v="36000000"/>
    <n v="410000000"/>
  </r>
  <r>
    <s v="Central Europe and the Baltics"/>
    <s v="CEB"/>
    <x v="5"/>
    <n v="0"/>
    <n v="354000000"/>
    <x v="0"/>
    <x v="0"/>
    <n v="-354000000"/>
    <n v="354000000"/>
  </r>
  <r>
    <s v="Chad"/>
    <s v="TCD"/>
    <x v="5"/>
    <n v="0"/>
    <n v="1000000"/>
    <x v="3"/>
    <x v="4"/>
    <n v="-1000000"/>
    <n v="1000000"/>
  </r>
  <r>
    <s v="Chile"/>
    <s v="CHL"/>
    <x v="5"/>
    <n v="0"/>
    <n v="16000000"/>
    <x v="4"/>
    <x v="3"/>
    <n v="-16000000"/>
    <n v="16000000"/>
  </r>
  <r>
    <s v="China"/>
    <s v="CHN"/>
    <x v="5"/>
    <n v="1601000000"/>
    <n v="1571000000"/>
    <x v="5"/>
    <x v="1"/>
    <n v="30000000"/>
    <n v="3172000000"/>
  </r>
  <r>
    <s v="Colombia"/>
    <s v="COL"/>
    <x v="5"/>
    <n v="10000000"/>
    <n v="22000000"/>
    <x v="4"/>
    <x v="1"/>
    <n v="-12000000"/>
    <n v="32000000"/>
  </r>
  <r>
    <s v="Congo, Rep."/>
    <s v="COG"/>
    <x v="5"/>
    <n v="0"/>
    <n v="3000000"/>
    <x v="3"/>
    <x v="2"/>
    <n v="-3000000"/>
    <n v="3000000"/>
  </r>
  <r>
    <s v="Costa Rica"/>
    <s v="CRI"/>
    <x v="5"/>
    <n v="0"/>
    <n v="8000000"/>
    <x v="4"/>
    <x v="3"/>
    <n v="-8000000"/>
    <n v="8000000"/>
  </r>
  <r>
    <s v="Cote d'Ivoire"/>
    <s v="CIV"/>
    <x v="5"/>
    <n v="0"/>
    <n v="15000000"/>
    <x v="3"/>
    <x v="2"/>
    <n v="-15000000"/>
    <n v="15000000"/>
  </r>
  <r>
    <s v="Croatia"/>
    <s v="HRV"/>
    <x v="5"/>
    <n v="0"/>
    <n v="5000000"/>
    <x v="1"/>
    <x v="3"/>
    <n v="-5000000"/>
    <n v="5000000"/>
  </r>
  <r>
    <s v="Cyprus"/>
    <s v="CYP"/>
    <x v="5"/>
    <n v="0"/>
    <n v="20000000"/>
    <x v="1"/>
    <x v="3"/>
    <n v="-20000000"/>
    <n v="20000000"/>
  </r>
  <r>
    <s v="Czechia"/>
    <s v="CZE"/>
    <x v="5"/>
    <n v="19000000"/>
    <n v="1000000"/>
    <x v="1"/>
    <x v="3"/>
    <n v="18000000"/>
    <n v="20000000"/>
  </r>
  <r>
    <s v="Denmark"/>
    <s v="DNK"/>
    <x v="5"/>
    <n v="2000000"/>
    <n v="55000000"/>
    <x v="1"/>
    <x v="3"/>
    <n v="-53000000"/>
    <n v="57000000"/>
  </r>
  <r>
    <s v="Djibouti"/>
    <s v="DJI"/>
    <x v="5"/>
    <n v="0"/>
    <n v="11000000"/>
    <x v="2"/>
    <x v="2"/>
    <n v="-11000000"/>
    <n v="11000000"/>
  </r>
  <r>
    <s v="Early-demographic dividend"/>
    <s v="EAR"/>
    <x v="5"/>
    <n v="0"/>
    <n v="11568000000"/>
    <x v="0"/>
    <x v="0"/>
    <n v="-11568000000"/>
    <n v="11568000000"/>
  </r>
  <r>
    <s v="East Asia &amp; Pacific"/>
    <s v="EAS"/>
    <x v="5"/>
    <n v="0"/>
    <n v="7108000000"/>
    <x v="0"/>
    <x v="0"/>
    <n v="-7108000000"/>
    <n v="7108000000"/>
  </r>
  <r>
    <s v="East Asia &amp; Pacific (excluding high income)"/>
    <s v="EAP"/>
    <x v="5"/>
    <n v="1613000000"/>
    <n v="2807000000"/>
    <x v="0"/>
    <x v="0"/>
    <n v="-1194000000"/>
    <n v="4420000000"/>
  </r>
  <r>
    <s v="East Asia &amp; Pacific (IDA &amp; IBRD countries)"/>
    <s v="TEA"/>
    <x v="5"/>
    <n v="1613000000"/>
    <n v="2807000000"/>
    <x v="0"/>
    <x v="0"/>
    <n v="-1194000000"/>
    <n v="4420000000"/>
  </r>
  <r>
    <s v="Ecuador"/>
    <s v="ECU"/>
    <x v="5"/>
    <n v="0"/>
    <n v="3000000"/>
    <x v="4"/>
    <x v="1"/>
    <n v="-3000000"/>
    <n v="3000000"/>
  </r>
  <r>
    <s v="Egypt, Arab Rep."/>
    <s v="EGY"/>
    <x v="5"/>
    <n v="8000000"/>
    <n v="1088000000"/>
    <x v="2"/>
    <x v="2"/>
    <n v="-1080000000"/>
    <n v="1096000000"/>
  </r>
  <r>
    <s v="El Salvador"/>
    <s v="SLV"/>
    <x v="5"/>
    <n v="0"/>
    <n v="2000000"/>
    <x v="4"/>
    <x v="1"/>
    <n v="-2000000"/>
    <n v="2000000"/>
  </r>
  <r>
    <s v="Estonia"/>
    <s v="EST"/>
    <x v="5"/>
    <n v="0"/>
    <n v="20000000"/>
    <x v="1"/>
    <x v="3"/>
    <n v="-20000000"/>
    <n v="20000000"/>
  </r>
  <r>
    <s v="Ethiopia"/>
    <s v="ETH"/>
    <x v="5"/>
    <n v="0"/>
    <n v="76000000"/>
    <x v="3"/>
    <x v="4"/>
    <n v="-76000000"/>
    <n v="76000000"/>
  </r>
  <r>
    <s v="Euro area"/>
    <s v="EMU"/>
    <x v="5"/>
    <n v="5829000000"/>
    <n v="1268000000"/>
    <x v="0"/>
    <x v="0"/>
    <n v="4561000000"/>
    <n v="7097000000"/>
  </r>
  <r>
    <s v="Europe &amp; Central Asia"/>
    <s v="ECS"/>
    <x v="5"/>
    <n v="13048000000"/>
    <n v="4192000000"/>
    <x v="0"/>
    <x v="0"/>
    <n v="8856000000"/>
    <n v="17240000000"/>
  </r>
  <r>
    <s v="Europe &amp; Central Asia (excluding high income)"/>
    <s v="ECA"/>
    <x v="5"/>
    <n v="558000000"/>
    <n v="1823000000"/>
    <x v="0"/>
    <x v="0"/>
    <n v="-1265000000"/>
    <n v="2381000000"/>
  </r>
  <r>
    <s v="Europe &amp; Central Asia (IDA &amp; IBRD countries)"/>
    <s v="TEC"/>
    <x v="5"/>
    <n v="5953000000"/>
    <n v="2061000000"/>
    <x v="0"/>
    <x v="0"/>
    <n v="3892000000"/>
    <n v="8014000000"/>
  </r>
  <r>
    <s v="European Union"/>
    <s v="EUU"/>
    <x v="5"/>
    <n v="5981000000"/>
    <n v="1573000000"/>
    <x v="0"/>
    <x v="0"/>
    <n v="4408000000"/>
    <n v="7554000000"/>
  </r>
  <r>
    <s v="Finland"/>
    <s v="FIN"/>
    <x v="5"/>
    <n v="29000000"/>
    <n v="86000000"/>
    <x v="1"/>
    <x v="3"/>
    <n v="-57000000"/>
    <n v="115000000"/>
  </r>
  <r>
    <s v="Fragility, Conflict, and Violence (FCV) situations"/>
    <s v="FCV"/>
    <x v="5"/>
    <n v="0"/>
    <n v="1138000000"/>
    <x v="0"/>
    <x v="0"/>
    <n v="-1138000000"/>
    <n v="1138000000"/>
  </r>
  <r>
    <s v="France"/>
    <s v="FRA"/>
    <x v="5"/>
    <n v="3753000000"/>
    <n v="104000000"/>
    <x v="1"/>
    <x v="3"/>
    <n v="3649000000"/>
    <n v="3857000000"/>
  </r>
  <r>
    <s v="Gabon"/>
    <s v="GAB"/>
    <x v="5"/>
    <n v="0"/>
    <n v="26000000"/>
    <x v="3"/>
    <x v="1"/>
    <n v="-26000000"/>
    <n v="26000000"/>
  </r>
  <r>
    <s v="Georgia"/>
    <s v="GEO"/>
    <x v="5"/>
    <n v="0"/>
    <n v="6000000"/>
    <x v="1"/>
    <x v="1"/>
    <n v="-6000000"/>
    <n v="6000000"/>
  </r>
  <r>
    <s v="Germany"/>
    <s v="DEU"/>
    <x v="5"/>
    <n v="978000000"/>
    <n v="38000000"/>
    <x v="1"/>
    <x v="3"/>
    <n v="940000000"/>
    <n v="1016000000"/>
  </r>
  <r>
    <s v="Ghana"/>
    <s v="GHA"/>
    <x v="5"/>
    <n v="0"/>
    <n v="2000000"/>
    <x v="3"/>
    <x v="2"/>
    <n v="-2000000"/>
    <n v="2000000"/>
  </r>
  <r>
    <s v="Greece"/>
    <s v="GRC"/>
    <x v="5"/>
    <n v="0"/>
    <n v="93000000"/>
    <x v="1"/>
    <x v="3"/>
    <n v="-93000000"/>
    <n v="93000000"/>
  </r>
  <r>
    <s v="Guatemala"/>
    <s v="GTM"/>
    <x v="5"/>
    <n v="0"/>
    <n v="14000000"/>
    <x v="4"/>
    <x v="1"/>
    <n v="-14000000"/>
    <n v="14000000"/>
  </r>
  <r>
    <s v="Guinea"/>
    <s v="GIN"/>
    <x v="5"/>
    <n v="0"/>
    <n v="4000000"/>
    <x v="3"/>
    <x v="2"/>
    <n v="-4000000"/>
    <n v="4000000"/>
  </r>
  <r>
    <s v="Guyana"/>
    <s v="GUY"/>
    <x v="5"/>
    <n v="0"/>
    <n v="2000000"/>
    <x v="4"/>
    <x v="3"/>
    <n v="-2000000"/>
    <n v="2000000"/>
  </r>
  <r>
    <s v="Heavily indebted poor countries (HIPC)"/>
    <s v="HPC"/>
    <x v="5"/>
    <n v="0"/>
    <n v="789000000"/>
    <x v="0"/>
    <x v="0"/>
    <n v="-789000000"/>
    <n v="789000000"/>
  </r>
  <r>
    <s v="High income"/>
    <s v="HIC"/>
    <x v="5"/>
    <n v="24545000000"/>
    <n v="14458000000"/>
    <x v="0"/>
    <x v="0"/>
    <n v="10087000000"/>
    <n v="39003000000"/>
  </r>
  <r>
    <s v="Honduras"/>
    <s v="HND"/>
    <x v="5"/>
    <n v="0"/>
    <n v="23000000"/>
    <x v="4"/>
    <x v="2"/>
    <n v="-23000000"/>
    <n v="23000000"/>
  </r>
  <r>
    <s v="Hungary"/>
    <s v="HUN"/>
    <x v="5"/>
    <n v="0"/>
    <n v="16000000"/>
    <x v="1"/>
    <x v="3"/>
    <n v="-16000000"/>
    <n v="16000000"/>
  </r>
  <r>
    <s v="IBRD only"/>
    <s v="IBD"/>
    <x v="5"/>
    <n v="7874000000"/>
    <n v="9961000000"/>
    <x v="0"/>
    <x v="0"/>
    <n v="-2087000000"/>
    <n v="17835000000"/>
  </r>
  <r>
    <s v="IDA &amp; IBRD total"/>
    <s v="IBT"/>
    <x v="5"/>
    <n v="7875000000"/>
    <n v="12697000000"/>
    <x v="0"/>
    <x v="0"/>
    <n v="-4822000000"/>
    <n v="20572000000"/>
  </r>
  <r>
    <s v="IDA blend"/>
    <s v="IDB"/>
    <x v="5"/>
    <n v="0"/>
    <n v="793000000"/>
    <x v="0"/>
    <x v="0"/>
    <n v="-793000000"/>
    <n v="793000000"/>
  </r>
  <r>
    <s v="IDA only"/>
    <s v="IDX"/>
    <x v="5"/>
    <n v="0"/>
    <n v="1943000000"/>
    <x v="0"/>
    <x v="0"/>
    <n v="-1943000000"/>
    <n v="1943000000"/>
  </r>
  <r>
    <s v="IDA total"/>
    <s v="IDA"/>
    <x v="5"/>
    <n v="0"/>
    <n v="2736000000"/>
    <x v="0"/>
    <x v="0"/>
    <n v="-2736000000"/>
    <n v="2736000000"/>
  </r>
  <r>
    <s v="India"/>
    <s v="IND"/>
    <x v="5"/>
    <n v="20000000"/>
    <n v="3202000000"/>
    <x v="6"/>
    <x v="2"/>
    <n v="-3182000000"/>
    <n v="3222000000"/>
  </r>
  <r>
    <s v="Indonesia"/>
    <s v="IDN"/>
    <x v="5"/>
    <n v="9000000"/>
    <n v="239000000"/>
    <x v="5"/>
    <x v="1"/>
    <n v="-230000000"/>
    <n v="248000000"/>
  </r>
  <r>
    <s v="Iran, Islamic Rep."/>
    <s v="IRN"/>
    <x v="5"/>
    <n v="9000000"/>
    <n v="3000000"/>
    <x v="2"/>
    <x v="1"/>
    <n v="6000000"/>
    <n v="12000000"/>
  </r>
  <r>
    <s v="Iraq"/>
    <s v="IRQ"/>
    <x v="5"/>
    <n v="0"/>
    <n v="144000000"/>
    <x v="2"/>
    <x v="1"/>
    <n v="-144000000"/>
    <n v="144000000"/>
  </r>
  <r>
    <s v="Ireland"/>
    <s v="IRL"/>
    <x v="5"/>
    <n v="0"/>
    <n v="35000000"/>
    <x v="1"/>
    <x v="3"/>
    <n v="-35000000"/>
    <n v="35000000"/>
  </r>
  <r>
    <s v="Israel"/>
    <s v="ISR"/>
    <x v="5"/>
    <n v="385000000"/>
    <n v="516000000"/>
    <x v="2"/>
    <x v="3"/>
    <n v="-131000000"/>
    <n v="901000000"/>
  </r>
  <r>
    <s v="Italy"/>
    <s v="ITA"/>
    <x v="5"/>
    <n v="372000000"/>
    <n v="178000000"/>
    <x v="1"/>
    <x v="3"/>
    <n v="194000000"/>
    <n v="550000000"/>
  </r>
  <r>
    <s v="Jamaica"/>
    <s v="JAM"/>
    <x v="5"/>
    <n v="0"/>
    <n v="3000000"/>
    <x v="4"/>
    <x v="1"/>
    <n v="-3000000"/>
    <n v="3000000"/>
  </r>
  <r>
    <s v="Japan"/>
    <s v="JPN"/>
    <x v="5"/>
    <n v="0"/>
    <n v="992000000"/>
    <x v="5"/>
    <x v="3"/>
    <n v="-992000000"/>
    <n v="992000000"/>
  </r>
  <r>
    <s v="Jordan"/>
    <s v="JOR"/>
    <x v="5"/>
    <n v="109000000"/>
    <n v="213000000"/>
    <x v="2"/>
    <x v="1"/>
    <n v="-104000000"/>
    <n v="322000000"/>
  </r>
  <r>
    <s v="Kazakhstan"/>
    <s v="KAZ"/>
    <x v="5"/>
    <n v="0"/>
    <n v="232000000"/>
    <x v="1"/>
    <x v="1"/>
    <n v="-232000000"/>
    <n v="232000000"/>
  </r>
  <r>
    <s v="Kenya"/>
    <s v="KEN"/>
    <x v="5"/>
    <n v="0"/>
    <n v="18000000"/>
    <x v="3"/>
    <x v="2"/>
    <n v="-18000000"/>
    <n v="18000000"/>
  </r>
  <r>
    <s v="Korea, Rep."/>
    <s v="KOR"/>
    <x v="5"/>
    <n v="675000000"/>
    <n v="1605000000"/>
    <x v="5"/>
    <x v="3"/>
    <n v="-930000000"/>
    <n v="2280000000"/>
  </r>
  <r>
    <s v="Kuwait"/>
    <s v="KWT"/>
    <x v="5"/>
    <n v="0"/>
    <n v="55000000"/>
    <x v="2"/>
    <x v="3"/>
    <n v="-55000000"/>
    <n v="55000000"/>
  </r>
  <r>
    <s v="Kyrgyz Republic"/>
    <s v="KGZ"/>
    <x v="5"/>
    <n v="0"/>
    <n v="15000000"/>
    <x v="1"/>
    <x v="2"/>
    <n v="-15000000"/>
    <n v="15000000"/>
  </r>
  <r>
    <s v="Lao PDR"/>
    <s v="LAO"/>
    <x v="5"/>
    <n v="0"/>
    <n v="27000000"/>
    <x v="5"/>
    <x v="2"/>
    <n v="-27000000"/>
    <n v="27000000"/>
  </r>
  <r>
    <s v="Late-demographic dividend"/>
    <s v="LTE"/>
    <x v="5"/>
    <n v="7195000000"/>
    <n v="6578000000"/>
    <x v="0"/>
    <x v="0"/>
    <n v="617000000"/>
    <n v="13773000000"/>
  </r>
  <r>
    <s v="Latin America &amp; Caribbean (excluding high income)"/>
    <s v="LAC"/>
    <x v="5"/>
    <n v="32000000"/>
    <n v="0"/>
    <x v="0"/>
    <x v="0"/>
    <n v="32000000"/>
    <n v="32000000"/>
  </r>
  <r>
    <s v="Latin America &amp; the Caribbean (IDA &amp; IBRD countries)"/>
    <s v="TLA"/>
    <x v="5"/>
    <n v="33000000"/>
    <n v="0"/>
    <x v="0"/>
    <x v="0"/>
    <n v="33000000"/>
    <n v="33000000"/>
  </r>
  <r>
    <s v="Latvia"/>
    <s v="LVA"/>
    <x v="5"/>
    <n v="0"/>
    <n v="31000000"/>
    <x v="1"/>
    <x v="3"/>
    <n v="-31000000"/>
    <n v="31000000"/>
  </r>
  <r>
    <s v="Least developed countries: UN classification"/>
    <s v="LDC"/>
    <x v="5"/>
    <n v="0"/>
    <n v="1874000000"/>
    <x v="0"/>
    <x v="0"/>
    <n v="-1874000000"/>
    <n v="1874000000"/>
  </r>
  <r>
    <s v="Lebanon"/>
    <s v="LBN"/>
    <x v="5"/>
    <n v="0"/>
    <n v="56000000"/>
    <x v="2"/>
    <x v="2"/>
    <n v="-56000000"/>
    <n v="56000000"/>
  </r>
  <r>
    <s v="Lesotho"/>
    <s v="LSO"/>
    <x v="5"/>
    <n v="0"/>
    <n v="1000000"/>
    <x v="3"/>
    <x v="2"/>
    <n v="-1000000"/>
    <n v="1000000"/>
  </r>
  <r>
    <s v="Liberia"/>
    <s v="LBR"/>
    <x v="5"/>
    <n v="0"/>
    <n v="1000000"/>
    <x v="3"/>
    <x v="4"/>
    <n v="-1000000"/>
    <n v="1000000"/>
  </r>
  <r>
    <s v="Libya"/>
    <s v="LBY"/>
    <x v="5"/>
    <n v="0"/>
    <n v="34000000"/>
    <x v="2"/>
    <x v="1"/>
    <n v="-34000000"/>
    <n v="34000000"/>
  </r>
  <r>
    <s v="Lithuania"/>
    <s v="LTU"/>
    <x v="5"/>
    <n v="0"/>
    <n v="38000000"/>
    <x v="1"/>
    <x v="3"/>
    <n v="-38000000"/>
    <n v="38000000"/>
  </r>
  <r>
    <s v="Low &amp; middle income"/>
    <s v="LMY"/>
    <x v="5"/>
    <n v="2479000000"/>
    <n v="12434000000"/>
    <x v="0"/>
    <x v="0"/>
    <n v="-9955000000"/>
    <n v="14913000000"/>
  </r>
  <r>
    <s v="Low income"/>
    <s v="LIC"/>
    <x v="5"/>
    <n v="0"/>
    <n v="670000000"/>
    <x v="0"/>
    <x v="0"/>
    <n v="-670000000"/>
    <n v="670000000"/>
  </r>
  <r>
    <s v="Lower middle income"/>
    <s v="LMC"/>
    <x v="5"/>
    <n v="0"/>
    <n v="6593000000"/>
    <x v="0"/>
    <x v="0"/>
    <n v="-6593000000"/>
    <n v="6593000000"/>
  </r>
  <r>
    <s v="Luxembourg"/>
    <s v="LUX"/>
    <x v="5"/>
    <n v="0"/>
    <n v="3000000"/>
    <x v="1"/>
    <x v="3"/>
    <n v="-3000000"/>
    <n v="3000000"/>
  </r>
  <r>
    <s v="Madagascar"/>
    <s v="MDG"/>
    <x v="5"/>
    <n v="0"/>
    <n v="1000000"/>
    <x v="3"/>
    <x v="4"/>
    <n v="-1000000"/>
    <n v="1000000"/>
  </r>
  <r>
    <s v="Malaysia"/>
    <s v="MYS"/>
    <x v="5"/>
    <n v="1000000"/>
    <n v="68000000"/>
    <x v="5"/>
    <x v="1"/>
    <n v="-67000000"/>
    <n v="69000000"/>
  </r>
  <r>
    <s v="Maldives"/>
    <s v="MDV"/>
    <x v="5"/>
    <n v="0"/>
    <n v="2000000"/>
    <x v="6"/>
    <x v="1"/>
    <n v="-2000000"/>
    <n v="2000000"/>
  </r>
  <r>
    <s v="Mali"/>
    <s v="MLI"/>
    <x v="5"/>
    <n v="0"/>
    <n v="20000000"/>
    <x v="3"/>
    <x v="4"/>
    <n v="-20000000"/>
    <n v="20000000"/>
  </r>
  <r>
    <s v="Mauritania"/>
    <s v="MRT"/>
    <x v="5"/>
    <n v="0"/>
    <n v="34000000"/>
    <x v="3"/>
    <x v="2"/>
    <n v="-34000000"/>
    <n v="34000000"/>
  </r>
  <r>
    <s v="Mexico"/>
    <s v="MEX"/>
    <x v="5"/>
    <n v="1000000"/>
    <n v="0"/>
    <x v="4"/>
    <x v="1"/>
    <n v="1000000"/>
    <n v="1000000"/>
  </r>
  <r>
    <s v="Middle East, North Africa, Afghanistan &amp; Pakistan"/>
    <s v="MEA"/>
    <x v="5"/>
    <n v="0"/>
    <n v="9610000000"/>
    <x v="0"/>
    <x v="0"/>
    <n v="-9610000000"/>
    <n v="9610000000"/>
  </r>
  <r>
    <s v="Middle East, North Africa, Afghanistan &amp; Pakistan (excluding high income)"/>
    <s v="MNA"/>
    <x v="5"/>
    <n v="0"/>
    <n v="2917000000"/>
    <x v="0"/>
    <x v="0"/>
    <n v="-2917000000"/>
    <n v="2917000000"/>
  </r>
  <r>
    <s v="Middle East, North Africa, Afghanistan &amp; Pakistan (IDA &amp; IBRD)"/>
    <s v="TMN"/>
    <x v="5"/>
    <n v="0"/>
    <n v="2916000000"/>
    <x v="0"/>
    <x v="0"/>
    <n v="-2916000000"/>
    <n v="2916000000"/>
  </r>
  <r>
    <s v="Middle income"/>
    <s v="MIC"/>
    <x v="5"/>
    <n v="2479000000"/>
    <n v="11764000000"/>
    <x v="0"/>
    <x v="0"/>
    <n v="-9285000000"/>
    <n v="14243000000"/>
  </r>
  <r>
    <s v="Mongolia"/>
    <s v="MNG"/>
    <x v="5"/>
    <n v="0"/>
    <n v="17000000"/>
    <x v="5"/>
    <x v="1"/>
    <n v="-17000000"/>
    <n v="17000000"/>
  </r>
  <r>
    <s v="Morocco"/>
    <s v="MAR"/>
    <x v="5"/>
    <n v="0"/>
    <n v="48000000"/>
    <x v="2"/>
    <x v="2"/>
    <n v="-48000000"/>
    <n v="48000000"/>
  </r>
  <r>
    <s v="Mozambique"/>
    <s v="MOZ"/>
    <x v="5"/>
    <n v="0"/>
    <n v="22000000"/>
    <x v="3"/>
    <x v="4"/>
    <n v="-22000000"/>
    <n v="22000000"/>
  </r>
  <r>
    <s v="Myanmar"/>
    <s v="MMR"/>
    <x v="5"/>
    <n v="0"/>
    <n v="206000000"/>
    <x v="5"/>
    <x v="2"/>
    <n v="-206000000"/>
    <n v="206000000"/>
  </r>
  <r>
    <s v="Nepal"/>
    <s v="NPL"/>
    <x v="5"/>
    <n v="0"/>
    <n v="38000000"/>
    <x v="6"/>
    <x v="2"/>
    <n v="-38000000"/>
    <n v="38000000"/>
  </r>
  <r>
    <s v="Netherlands"/>
    <s v="NLD"/>
    <x v="5"/>
    <n v="304000000"/>
    <n v="494000000"/>
    <x v="1"/>
    <x v="3"/>
    <n v="-190000000"/>
    <n v="798000000"/>
  </r>
  <r>
    <s v="New Zealand"/>
    <s v="NZL"/>
    <x v="5"/>
    <n v="0"/>
    <n v="3000000"/>
    <x v="5"/>
    <x v="3"/>
    <n v="-3000000"/>
    <n v="3000000"/>
  </r>
  <r>
    <s v="Nicaragua"/>
    <s v="NIC"/>
    <x v="5"/>
    <n v="0"/>
    <n v="13000000"/>
    <x v="4"/>
    <x v="2"/>
    <n v="-13000000"/>
    <n v="13000000"/>
  </r>
  <r>
    <s v="Niger"/>
    <s v="NER"/>
    <x v="5"/>
    <n v="0"/>
    <n v="5000000"/>
    <x v="3"/>
    <x v="4"/>
    <n v="-5000000"/>
    <n v="5000000"/>
  </r>
  <r>
    <s v="Nigeria"/>
    <s v="NGA"/>
    <x v="5"/>
    <n v="0"/>
    <n v="18000000"/>
    <x v="3"/>
    <x v="2"/>
    <n v="-18000000"/>
    <n v="18000000"/>
  </r>
  <r>
    <s v="North America"/>
    <s v="NAC"/>
    <x v="5"/>
    <n v="10721000000"/>
    <n v="1069000000"/>
    <x v="0"/>
    <x v="0"/>
    <n v="9652000000"/>
    <n v="11790000000"/>
  </r>
  <r>
    <s v="Norway"/>
    <s v="NOR"/>
    <x v="5"/>
    <n v="27000000"/>
    <n v="389000000"/>
    <x v="1"/>
    <x v="3"/>
    <n v="-362000000"/>
    <n v="416000000"/>
  </r>
  <r>
    <s v="OECD members"/>
    <s v="OED"/>
    <x v="5"/>
    <n v="19312000000"/>
    <n v="8456000000"/>
    <x v="0"/>
    <x v="0"/>
    <n v="10856000000"/>
    <n v="27768000000"/>
  </r>
  <r>
    <s v="Oman"/>
    <s v="OMN"/>
    <x v="5"/>
    <n v="0"/>
    <n v="88000000"/>
    <x v="2"/>
    <x v="3"/>
    <n v="-88000000"/>
    <n v="88000000"/>
  </r>
  <r>
    <s v="Pakistan"/>
    <s v="PAK"/>
    <x v="5"/>
    <n v="1000000"/>
    <n v="654000000"/>
    <x v="2"/>
    <x v="2"/>
    <n v="-653000000"/>
    <n v="655000000"/>
  </r>
  <r>
    <s v="Panama"/>
    <s v="PAN"/>
    <x v="5"/>
    <n v="1000000"/>
    <n v="0"/>
    <x v="4"/>
    <x v="3"/>
    <n v="1000000"/>
    <n v="1000000"/>
  </r>
  <r>
    <s v="Paraguay"/>
    <s v="PRY"/>
    <x v="5"/>
    <n v="0"/>
    <n v="2000000"/>
    <x v="4"/>
    <x v="1"/>
    <n v="-2000000"/>
    <n v="2000000"/>
  </r>
  <r>
    <s v="Peru"/>
    <s v="PER"/>
    <x v="5"/>
    <n v="0"/>
    <n v="0"/>
    <x v="4"/>
    <x v="1"/>
    <n v="0"/>
    <n v="0"/>
  </r>
  <r>
    <s v="Philippines"/>
    <s v="PHL"/>
    <x v="5"/>
    <n v="0"/>
    <n v="191000000"/>
    <x v="5"/>
    <x v="1"/>
    <n v="-191000000"/>
    <n v="191000000"/>
  </r>
  <r>
    <s v="Poland"/>
    <s v="POL"/>
    <x v="5"/>
    <n v="10000000"/>
    <n v="213000000"/>
    <x v="1"/>
    <x v="3"/>
    <n v="-203000000"/>
    <n v="223000000"/>
  </r>
  <r>
    <s v="Portugal"/>
    <s v="PRT"/>
    <x v="5"/>
    <n v="3000000"/>
    <n v="44000000"/>
    <x v="1"/>
    <x v="3"/>
    <n v="-41000000"/>
    <n v="47000000"/>
  </r>
  <r>
    <s v="Post-demographic dividend"/>
    <s v="PST"/>
    <x v="5"/>
    <n v="18869000000"/>
    <n v="7696000000"/>
    <x v="0"/>
    <x v="0"/>
    <n v="11173000000"/>
    <n v="26565000000"/>
  </r>
  <r>
    <s v="Pre-demographic dividend"/>
    <s v="PRE"/>
    <x v="5"/>
    <n v="0"/>
    <n v="988000000"/>
    <x v="0"/>
    <x v="0"/>
    <n v="-988000000"/>
    <n v="988000000"/>
  </r>
  <r>
    <s v="Qatar"/>
    <s v="QAT"/>
    <x v="5"/>
    <n v="11000000"/>
    <n v="2230000000"/>
    <x v="2"/>
    <x v="3"/>
    <n v="-2219000000"/>
    <n v="2241000000"/>
  </r>
  <r>
    <s v="Romania"/>
    <s v="ROU"/>
    <x v="5"/>
    <n v="0"/>
    <n v="13000000"/>
    <x v="1"/>
    <x v="3"/>
    <n v="-13000000"/>
    <n v="13000000"/>
  </r>
  <r>
    <s v="Russian Federation"/>
    <s v="RUS"/>
    <x v="5"/>
    <n v="5374000000"/>
    <n v="5000000"/>
    <x v="1"/>
    <x v="3"/>
    <n v="5369000000"/>
    <n v="5379000000"/>
  </r>
  <r>
    <s v="Rwanda"/>
    <s v="RWA"/>
    <x v="5"/>
    <n v="0"/>
    <n v="1000000"/>
    <x v="3"/>
    <x v="4"/>
    <n v="-1000000"/>
    <n v="1000000"/>
  </r>
  <r>
    <s v="Samoa"/>
    <s v="WSM"/>
    <x v="5"/>
    <n v="0"/>
    <n v="7000000"/>
    <x v="5"/>
    <x v="1"/>
    <n v="-7000000"/>
    <n v="7000000"/>
  </r>
  <r>
    <s v="Saudi Arabia"/>
    <s v="SAU"/>
    <x v="5"/>
    <n v="0"/>
    <n v="3033000000"/>
    <x v="2"/>
    <x v="3"/>
    <n v="-3033000000"/>
    <n v="3033000000"/>
  </r>
  <r>
    <s v="Senegal"/>
    <s v="SEN"/>
    <x v="5"/>
    <n v="0"/>
    <n v="40000000"/>
    <x v="3"/>
    <x v="2"/>
    <n v="-40000000"/>
    <n v="40000000"/>
  </r>
  <r>
    <s v="Serbia"/>
    <s v="SRB"/>
    <x v="5"/>
    <n v="26000000"/>
    <n v="84000000"/>
    <x v="1"/>
    <x v="1"/>
    <n v="-58000000"/>
    <n v="110000000"/>
  </r>
  <r>
    <s v="Singapore"/>
    <s v="SGP"/>
    <x v="5"/>
    <n v="0"/>
    <n v="487000000"/>
    <x v="5"/>
    <x v="3"/>
    <n v="-487000000"/>
    <n v="487000000"/>
  </r>
  <r>
    <s v="Slovak Republic"/>
    <s v="SVK"/>
    <x v="5"/>
    <n v="8000000"/>
    <n v="15000000"/>
    <x v="1"/>
    <x v="3"/>
    <n v="-7000000"/>
    <n v="23000000"/>
  </r>
  <r>
    <s v="Solomon Islands"/>
    <s v="SLB"/>
    <x v="5"/>
    <n v="0"/>
    <n v="7000000"/>
    <x v="5"/>
    <x v="2"/>
    <n v="-7000000"/>
    <n v="7000000"/>
  </r>
  <r>
    <s v="Somalia, Fed. Rep."/>
    <s v="SOM"/>
    <x v="5"/>
    <n v="0"/>
    <n v="8000000"/>
    <x v="3"/>
    <x v="4"/>
    <n v="-8000000"/>
    <n v="8000000"/>
  </r>
  <r>
    <s v="South Africa"/>
    <s v="ZAF"/>
    <x v="5"/>
    <n v="129000000"/>
    <n v="0"/>
    <x v="3"/>
    <x v="1"/>
    <n v="129000000"/>
    <n v="129000000"/>
  </r>
  <r>
    <s v="South Asia"/>
    <s v="SAS"/>
    <x v="5"/>
    <n v="20000000"/>
    <n v="4014000000"/>
    <x v="0"/>
    <x v="0"/>
    <n v="-3994000000"/>
    <n v="4034000000"/>
  </r>
  <r>
    <s v="South Asia (IDA &amp; IBRD)"/>
    <s v="TSA"/>
    <x v="5"/>
    <n v="20000000"/>
    <n v="4014000000"/>
    <x v="0"/>
    <x v="0"/>
    <n v="-3994000000"/>
    <n v="4034000000"/>
  </r>
  <r>
    <s v="Spain"/>
    <s v="ESP"/>
    <x v="5"/>
    <n v="318000000"/>
    <n v="35000000"/>
    <x v="1"/>
    <x v="3"/>
    <n v="283000000"/>
    <n v="353000000"/>
  </r>
  <r>
    <s v="Sri Lanka"/>
    <s v="LKA"/>
    <x v="5"/>
    <n v="0"/>
    <n v="59000000"/>
    <x v="6"/>
    <x v="1"/>
    <n v="-59000000"/>
    <n v="59000000"/>
  </r>
  <r>
    <s v="Sudan"/>
    <s v="SDN"/>
    <x v="5"/>
    <n v="0"/>
    <n v="20000000"/>
    <x v="3"/>
    <x v="4"/>
    <n v="-20000000"/>
    <n v="20000000"/>
  </r>
  <r>
    <s v="Sweden"/>
    <s v="SWE"/>
    <x v="5"/>
    <n v="121000000"/>
    <n v="7000000"/>
    <x v="1"/>
    <x v="3"/>
    <n v="114000000"/>
    <n v="128000000"/>
  </r>
  <r>
    <s v="Switzerland"/>
    <s v="CHE"/>
    <x v="5"/>
    <n v="222000000"/>
    <n v="0"/>
    <x v="1"/>
    <x v="3"/>
    <n v="222000000"/>
    <n v="222000000"/>
  </r>
  <r>
    <s v="Syrian Arab Republic"/>
    <s v="SYR"/>
    <x v="5"/>
    <n v="0"/>
    <n v="104000000"/>
    <x v="2"/>
    <x v="4"/>
    <n v="-104000000"/>
    <n v="104000000"/>
  </r>
  <r>
    <s v="Tajikistan"/>
    <s v="TJK"/>
    <x v="5"/>
    <n v="0"/>
    <n v="5000000"/>
    <x v="1"/>
    <x v="2"/>
    <n v="-5000000"/>
    <n v="5000000"/>
  </r>
  <r>
    <s v="Thailand"/>
    <s v="THA"/>
    <x v="5"/>
    <n v="2000000"/>
    <n v="293000000"/>
    <x v="5"/>
    <x v="1"/>
    <n v="-291000000"/>
    <n v="295000000"/>
  </r>
  <r>
    <s v="Togo"/>
    <s v="TGO"/>
    <x v="5"/>
    <n v="0"/>
    <n v="6000000"/>
    <x v="3"/>
    <x v="2"/>
    <n v="-6000000"/>
    <n v="6000000"/>
  </r>
  <r>
    <s v="Tonga"/>
    <s v="TON"/>
    <x v="5"/>
    <n v="0"/>
    <n v="7000000"/>
    <x v="5"/>
    <x v="1"/>
    <n v="-7000000"/>
    <n v="7000000"/>
  </r>
  <r>
    <s v="Tunisia"/>
    <s v="TUN"/>
    <x v="5"/>
    <n v="0"/>
    <n v="15000000"/>
    <x v="2"/>
    <x v="2"/>
    <n v="-15000000"/>
    <n v="15000000"/>
  </r>
  <r>
    <s v="Turkiye"/>
    <s v="TUR"/>
    <x v="5"/>
    <n v="286000000"/>
    <n v="742000000"/>
    <x v="1"/>
    <x v="1"/>
    <n v="-456000000"/>
    <n v="1028000000"/>
  </r>
  <r>
    <s v="Tuvalu"/>
    <s v="TUV"/>
    <x v="5"/>
    <n v="0"/>
    <n v="7000000"/>
    <x v="5"/>
    <x v="1"/>
    <n v="-7000000"/>
    <n v="7000000"/>
  </r>
  <r>
    <s v="Uganda"/>
    <s v="UGA"/>
    <x v="5"/>
    <n v="0"/>
    <n v="23000000"/>
    <x v="3"/>
    <x v="4"/>
    <n v="-23000000"/>
    <n v="23000000"/>
  </r>
  <r>
    <s v="Ukraine"/>
    <s v="UKR"/>
    <x v="5"/>
    <n v="162000000"/>
    <n v="31000000"/>
    <x v="1"/>
    <x v="1"/>
    <n v="131000000"/>
    <n v="193000000"/>
  </r>
  <r>
    <s v="United Arab Emirates"/>
    <s v="ARE"/>
    <x v="5"/>
    <n v="131000000"/>
    <n v="750000000"/>
    <x v="2"/>
    <x v="3"/>
    <n v="-619000000"/>
    <n v="881000000"/>
  </r>
  <r>
    <s v="United Kingdom"/>
    <s v="GBR"/>
    <x v="5"/>
    <n v="886000000"/>
    <n v="402000000"/>
    <x v="1"/>
    <x v="3"/>
    <n v="484000000"/>
    <n v="1288000000"/>
  </r>
  <r>
    <s v="United States"/>
    <s v="USA"/>
    <x v="5"/>
    <n v="10498000000"/>
    <n v="882000000"/>
    <x v="7"/>
    <x v="3"/>
    <n v="9616000000"/>
    <n v="11380000000"/>
  </r>
  <r>
    <s v="Upper middle income"/>
    <s v="UMC"/>
    <x v="5"/>
    <n v="2450000000"/>
    <n v="5171000000"/>
    <x v="0"/>
    <x v="0"/>
    <n v="-2721000000"/>
    <n v="7621000000"/>
  </r>
  <r>
    <s v="Uzbekistan"/>
    <s v="UZB"/>
    <x v="5"/>
    <n v="0"/>
    <n v="78000000"/>
    <x v="1"/>
    <x v="2"/>
    <n v="-78000000"/>
    <n v="78000000"/>
  </r>
  <r>
    <s v="Viet Nam"/>
    <s v="VNM"/>
    <x v="5"/>
    <n v="0"/>
    <n v="166000000"/>
    <x v="5"/>
    <x v="1"/>
    <n v="-166000000"/>
    <n v="166000000"/>
  </r>
  <r>
    <s v="West Bank and Gaza"/>
    <s v="PSE"/>
    <x v="5"/>
    <n v="0"/>
    <n v="1000000"/>
    <x v="2"/>
    <x v="2"/>
    <n v="-1000000"/>
    <n v="1000000"/>
  </r>
  <r>
    <s v="World"/>
    <s v="WLD"/>
    <x v="5"/>
    <n v="27036000000"/>
    <n v="26892000000"/>
    <x v="0"/>
    <x v="0"/>
    <n v="144000000"/>
    <n v="53928000000"/>
  </r>
  <r>
    <s v="Zambia"/>
    <s v="ZMB"/>
    <x v="5"/>
    <n v="0"/>
    <n v="43000000"/>
    <x v="3"/>
    <x v="2"/>
    <n v="-43000000"/>
    <n v="43000000"/>
  </r>
  <r>
    <s v="Afghanistan"/>
    <s v="AFG"/>
    <x v="6"/>
    <n v="0"/>
    <n v="312000000"/>
    <x v="2"/>
    <x v="4"/>
    <n v="-312000000"/>
    <n v="312000000"/>
  </r>
  <r>
    <s v="Africa Western and Central"/>
    <s v="AFW"/>
    <x v="6"/>
    <n v="0"/>
    <n v="159000000"/>
    <x v="0"/>
    <x v="0"/>
    <n v="-159000000"/>
    <n v="159000000"/>
  </r>
  <r>
    <s v="Albania"/>
    <s v="ALB"/>
    <x v="6"/>
    <n v="0"/>
    <n v="1000000"/>
    <x v="1"/>
    <x v="1"/>
    <n v="-1000000"/>
    <n v="1000000"/>
  </r>
  <r>
    <s v="Algeria"/>
    <s v="DZA"/>
    <x v="6"/>
    <n v="0"/>
    <n v="1278000000"/>
    <x v="2"/>
    <x v="1"/>
    <n v="-1278000000"/>
    <n v="1278000000"/>
  </r>
  <r>
    <s v="Angola"/>
    <s v="AGO"/>
    <x v="6"/>
    <n v="0"/>
    <n v="274000000"/>
    <x v="3"/>
    <x v="2"/>
    <n v="-274000000"/>
    <n v="274000000"/>
  </r>
  <r>
    <s v="Arab World"/>
    <s v="ARB"/>
    <x v="6"/>
    <n v="0"/>
    <n v="9651000000"/>
    <x v="0"/>
    <x v="0"/>
    <n v="-9651000000"/>
    <n v="9651000000"/>
  </r>
  <r>
    <s v="Argentina"/>
    <s v="ARG"/>
    <x v="6"/>
    <n v="0"/>
    <n v="19000000"/>
    <x v="4"/>
    <x v="1"/>
    <n v="-19000000"/>
    <n v="19000000"/>
  </r>
  <r>
    <s v="Australia"/>
    <s v="AUS"/>
    <x v="6"/>
    <n v="39000000"/>
    <n v="1553000000"/>
    <x v="5"/>
    <x v="3"/>
    <n v="-1514000000"/>
    <n v="1592000000"/>
  </r>
  <r>
    <s v="Austria"/>
    <s v="AUT"/>
    <x v="6"/>
    <n v="8000000"/>
    <n v="6000000"/>
    <x v="1"/>
    <x v="3"/>
    <n v="2000000"/>
    <n v="14000000"/>
  </r>
  <r>
    <s v="Azerbaijan"/>
    <s v="AZE"/>
    <x v="6"/>
    <n v="0"/>
    <n v="375000000"/>
    <x v="1"/>
    <x v="1"/>
    <n v="-375000000"/>
    <n v="375000000"/>
  </r>
  <r>
    <s v="Bahrain"/>
    <s v="BHR"/>
    <x v="6"/>
    <n v="0"/>
    <n v="72000000"/>
    <x v="2"/>
    <x v="3"/>
    <n v="-72000000"/>
    <n v="72000000"/>
  </r>
  <r>
    <s v="Bangladesh"/>
    <s v="BGD"/>
    <x v="6"/>
    <n v="0"/>
    <n v="161000000"/>
    <x v="6"/>
    <x v="2"/>
    <n v="-161000000"/>
    <n v="161000000"/>
  </r>
  <r>
    <s v="Belarus"/>
    <s v="BLR"/>
    <x v="6"/>
    <n v="86000000"/>
    <n v="142000000"/>
    <x v="1"/>
    <x v="1"/>
    <n v="-56000000"/>
    <n v="228000000"/>
  </r>
  <r>
    <s v="Belgium"/>
    <s v="BEL"/>
    <x v="6"/>
    <n v="21000000"/>
    <n v="1000000"/>
    <x v="1"/>
    <x v="3"/>
    <n v="20000000"/>
    <n v="22000000"/>
  </r>
  <r>
    <s v="Bolivia"/>
    <s v="BOL"/>
    <x v="6"/>
    <n v="0"/>
    <n v="2000000"/>
    <x v="4"/>
    <x v="2"/>
    <n v="-2000000"/>
    <n v="2000000"/>
  </r>
  <r>
    <s v="Botswana"/>
    <s v="BWA"/>
    <x v="6"/>
    <n v="0"/>
    <n v="5000000"/>
    <x v="3"/>
    <x v="1"/>
    <n v="-5000000"/>
    <n v="5000000"/>
  </r>
  <r>
    <s v="Brazil"/>
    <s v="BRA"/>
    <x v="6"/>
    <n v="102000000"/>
    <n v="258000000"/>
    <x v="4"/>
    <x v="1"/>
    <n v="-156000000"/>
    <n v="360000000"/>
  </r>
  <r>
    <s v="Bulgaria"/>
    <s v="BGR"/>
    <x v="6"/>
    <n v="14000000"/>
    <n v="0"/>
    <x v="1"/>
    <x v="3"/>
    <n v="14000000"/>
    <n v="14000000"/>
  </r>
  <r>
    <s v="Burkina Faso"/>
    <s v="BFA"/>
    <x v="6"/>
    <n v="0"/>
    <n v="24000000"/>
    <x v="3"/>
    <x v="4"/>
    <n v="-24000000"/>
    <n v="24000000"/>
  </r>
  <r>
    <s v="Cambodia"/>
    <s v="KHM"/>
    <x v="6"/>
    <n v="0"/>
    <n v="5000000"/>
    <x v="5"/>
    <x v="2"/>
    <n v="-5000000"/>
    <n v="5000000"/>
  </r>
  <r>
    <s v="Cameroon"/>
    <s v="CMR"/>
    <x v="6"/>
    <n v="0"/>
    <n v="2000000"/>
    <x v="3"/>
    <x v="2"/>
    <n v="-2000000"/>
    <n v="2000000"/>
  </r>
  <r>
    <s v="Canada"/>
    <s v="CAN"/>
    <x v="6"/>
    <n v="108000000"/>
    <n v="185000000"/>
    <x v="7"/>
    <x v="3"/>
    <n v="-77000000"/>
    <n v="293000000"/>
  </r>
  <r>
    <s v="Central African Republic"/>
    <s v="CAF"/>
    <x v="6"/>
    <n v="0"/>
    <n v="2000000"/>
    <x v="3"/>
    <x v="4"/>
    <n v="-2000000"/>
    <n v="2000000"/>
  </r>
  <r>
    <s v="Central Europe and the Baltics"/>
    <s v="CEB"/>
    <x v="6"/>
    <n v="0"/>
    <n v="205000000"/>
    <x v="0"/>
    <x v="0"/>
    <n v="-205000000"/>
    <n v="205000000"/>
  </r>
  <r>
    <s v="Chad"/>
    <s v="TCD"/>
    <x v="6"/>
    <n v="0"/>
    <n v="7000000"/>
    <x v="3"/>
    <x v="4"/>
    <n v="-7000000"/>
    <n v="7000000"/>
  </r>
  <r>
    <s v="Chile"/>
    <s v="CHL"/>
    <x v="6"/>
    <n v="0"/>
    <n v="74000000"/>
    <x v="4"/>
    <x v="3"/>
    <n v="-74000000"/>
    <n v="74000000"/>
  </r>
  <r>
    <s v="China"/>
    <s v="CHN"/>
    <x v="6"/>
    <n v="1391000000"/>
    <n v="2254000000"/>
    <x v="5"/>
    <x v="1"/>
    <n v="-863000000"/>
    <n v="3645000000"/>
  </r>
  <r>
    <s v="Colombia"/>
    <s v="COL"/>
    <x v="6"/>
    <n v="0"/>
    <n v="16000000"/>
    <x v="4"/>
    <x v="1"/>
    <n v="-16000000"/>
    <n v="16000000"/>
  </r>
  <r>
    <s v="Congo, Dem. Rep."/>
    <s v="COD"/>
    <x v="6"/>
    <n v="0"/>
    <n v="1000000"/>
    <x v="3"/>
    <x v="4"/>
    <n v="-1000000"/>
    <n v="1000000"/>
  </r>
  <r>
    <s v="Congo, Rep."/>
    <s v="COG"/>
    <x v="6"/>
    <n v="0"/>
    <n v="0"/>
    <x v="3"/>
    <x v="2"/>
    <n v="0"/>
    <n v="0"/>
  </r>
  <r>
    <s v="Costa Rica"/>
    <s v="CRI"/>
    <x v="6"/>
    <n v="0"/>
    <n v="0"/>
    <x v="4"/>
    <x v="3"/>
    <n v="0"/>
    <n v="0"/>
  </r>
  <r>
    <s v="Cote d'Ivoire"/>
    <s v="CIV"/>
    <x v="6"/>
    <n v="0"/>
    <n v="10000000"/>
    <x v="3"/>
    <x v="2"/>
    <n v="-10000000"/>
    <n v="10000000"/>
  </r>
  <r>
    <s v="Croatia"/>
    <s v="HRV"/>
    <x v="6"/>
    <n v="0"/>
    <n v="3000000"/>
    <x v="1"/>
    <x v="3"/>
    <n v="-3000000"/>
    <n v="3000000"/>
  </r>
  <r>
    <s v="Czechia"/>
    <s v="CZE"/>
    <x v="6"/>
    <n v="92000000"/>
    <n v="7000000"/>
    <x v="1"/>
    <x v="3"/>
    <n v="85000000"/>
    <n v="99000000"/>
  </r>
  <r>
    <s v="Denmark"/>
    <s v="DNK"/>
    <x v="6"/>
    <n v="25000000"/>
    <n v="54000000"/>
    <x v="1"/>
    <x v="3"/>
    <n v="-29000000"/>
    <n v="79000000"/>
  </r>
  <r>
    <s v="Early-demographic dividend"/>
    <s v="EAR"/>
    <x v="6"/>
    <n v="0"/>
    <n v="11364000000"/>
    <x v="0"/>
    <x v="0"/>
    <n v="-11364000000"/>
    <n v="11364000000"/>
  </r>
  <r>
    <s v="East Asia &amp; Pacific"/>
    <s v="EAS"/>
    <x v="6"/>
    <n v="0"/>
    <n v="8320000000"/>
    <x v="0"/>
    <x v="0"/>
    <n v="-8320000000"/>
    <n v="8320000000"/>
  </r>
  <r>
    <s v="East Asia &amp; Pacific (excluding high income)"/>
    <s v="EAP"/>
    <x v="6"/>
    <n v="1416000000"/>
    <n v="4313000000"/>
    <x v="0"/>
    <x v="0"/>
    <n v="-2897000000"/>
    <n v="5729000000"/>
  </r>
  <r>
    <s v="East Asia &amp; Pacific (IDA &amp; IBRD countries)"/>
    <s v="TEA"/>
    <x v="6"/>
    <n v="1416000000"/>
    <n v="4313000000"/>
    <x v="0"/>
    <x v="0"/>
    <n v="-2897000000"/>
    <n v="5729000000"/>
  </r>
  <r>
    <s v="Ecuador"/>
    <s v="ECU"/>
    <x v="6"/>
    <n v="2000000"/>
    <n v="5000000"/>
    <x v="4"/>
    <x v="1"/>
    <n v="-3000000"/>
    <n v="7000000"/>
  </r>
  <r>
    <s v="Egypt, Arab Rep."/>
    <s v="EGY"/>
    <x v="6"/>
    <n v="0"/>
    <n v="1637000000"/>
    <x v="2"/>
    <x v="2"/>
    <n v="-1637000000"/>
    <n v="1637000000"/>
  </r>
  <r>
    <s v="El Salvador"/>
    <s v="SLV"/>
    <x v="6"/>
    <n v="0"/>
    <n v="1000000"/>
    <x v="4"/>
    <x v="1"/>
    <n v="-1000000"/>
    <n v="1000000"/>
  </r>
  <r>
    <s v="Equatorial Guinea"/>
    <s v="GNQ"/>
    <x v="6"/>
    <n v="0"/>
    <n v="20000000"/>
    <x v="3"/>
    <x v="1"/>
    <n v="-20000000"/>
    <n v="20000000"/>
  </r>
  <r>
    <s v="Estonia"/>
    <s v="EST"/>
    <x v="6"/>
    <n v="0"/>
    <n v="19000000"/>
    <x v="1"/>
    <x v="3"/>
    <n v="-19000000"/>
    <n v="19000000"/>
  </r>
  <r>
    <s v="Ethiopia"/>
    <s v="ETH"/>
    <x v="6"/>
    <n v="0"/>
    <n v="14000000"/>
    <x v="3"/>
    <x v="4"/>
    <n v="-14000000"/>
    <n v="14000000"/>
  </r>
  <r>
    <s v="Euro area"/>
    <s v="EMU"/>
    <x v="6"/>
    <n v="4834000000"/>
    <n v="1015000000"/>
    <x v="0"/>
    <x v="0"/>
    <n v="3819000000"/>
    <n v="5849000000"/>
  </r>
  <r>
    <s v="Europe &amp; Central Asia"/>
    <s v="ECS"/>
    <x v="6"/>
    <n v="13921000000"/>
    <n v="3771000000"/>
    <x v="0"/>
    <x v="0"/>
    <n v="10150000000"/>
    <n v="17692000000"/>
  </r>
  <r>
    <s v="Europe &amp; Central Asia (excluding high income)"/>
    <s v="ECA"/>
    <x v="6"/>
    <n v="682000000"/>
    <n v="1530000000"/>
    <x v="0"/>
    <x v="0"/>
    <n v="-848000000"/>
    <n v="2212000000"/>
  </r>
  <r>
    <s v="Europe &amp; Central Asia (IDA &amp; IBRD countries)"/>
    <s v="TEC"/>
    <x v="6"/>
    <n v="7852000000"/>
    <n v="1681000000"/>
    <x v="0"/>
    <x v="0"/>
    <n v="6171000000"/>
    <n v="9533000000"/>
  </r>
  <r>
    <s v="European Union"/>
    <s v="EUU"/>
    <x v="6"/>
    <n v="5097000000"/>
    <n v="1196000000"/>
    <x v="0"/>
    <x v="0"/>
    <n v="3901000000"/>
    <n v="6293000000"/>
  </r>
  <r>
    <s v="Finland"/>
    <s v="FIN"/>
    <x v="6"/>
    <n v="43000000"/>
    <n v="82000000"/>
    <x v="1"/>
    <x v="3"/>
    <n v="-39000000"/>
    <n v="125000000"/>
  </r>
  <r>
    <s v="Fragility, Conflict, and Violence (FCV) situations"/>
    <s v="FCV"/>
    <x v="6"/>
    <n v="0"/>
    <n v="1466000000"/>
    <x v="0"/>
    <x v="0"/>
    <n v="-1466000000"/>
    <n v="1466000000"/>
  </r>
  <r>
    <s v="France"/>
    <s v="FRA"/>
    <x v="6"/>
    <n v="1867000000"/>
    <n v="201000000"/>
    <x v="1"/>
    <x v="3"/>
    <n v="1666000000"/>
    <n v="2068000000"/>
  </r>
  <r>
    <s v="Georgia"/>
    <s v="GEO"/>
    <x v="6"/>
    <n v="0"/>
    <n v="41000000"/>
    <x v="1"/>
    <x v="1"/>
    <n v="-41000000"/>
    <n v="41000000"/>
  </r>
  <r>
    <s v="Germany"/>
    <s v="DEU"/>
    <x v="6"/>
    <n v="1098000000"/>
    <n v="14000000"/>
    <x v="1"/>
    <x v="3"/>
    <n v="1084000000"/>
    <n v="1112000000"/>
  </r>
  <r>
    <s v="Ghana"/>
    <s v="GHA"/>
    <x v="6"/>
    <n v="0"/>
    <n v="0"/>
    <x v="3"/>
    <x v="2"/>
    <n v="0"/>
    <n v="0"/>
  </r>
  <r>
    <s v="Greece"/>
    <s v="GRC"/>
    <x v="6"/>
    <n v="0"/>
    <n v="39000000"/>
    <x v="1"/>
    <x v="3"/>
    <n v="-39000000"/>
    <n v="39000000"/>
  </r>
  <r>
    <s v="Guatemala"/>
    <s v="GTM"/>
    <x v="6"/>
    <n v="0"/>
    <n v="4000000"/>
    <x v="4"/>
    <x v="1"/>
    <n v="-4000000"/>
    <n v="4000000"/>
  </r>
  <r>
    <s v="Guinea"/>
    <s v="GIN"/>
    <x v="6"/>
    <n v="0"/>
    <n v="1000000"/>
    <x v="3"/>
    <x v="2"/>
    <n v="-1000000"/>
    <n v="1000000"/>
  </r>
  <r>
    <s v="Guyana"/>
    <s v="GUY"/>
    <x v="6"/>
    <n v="0"/>
    <n v="0"/>
    <x v="4"/>
    <x v="3"/>
    <n v="0"/>
    <n v="0"/>
  </r>
  <r>
    <s v="Heavily indebted poor countries (HIPC)"/>
    <s v="HPC"/>
    <x v="6"/>
    <n v="0"/>
    <n v="490000000"/>
    <x v="0"/>
    <x v="0"/>
    <n v="-490000000"/>
    <n v="490000000"/>
  </r>
  <r>
    <s v="High income"/>
    <s v="HIC"/>
    <x v="6"/>
    <n v="24979000000"/>
    <n v="12569000000"/>
    <x v="0"/>
    <x v="0"/>
    <n v="12410000000"/>
    <n v="37548000000"/>
  </r>
  <r>
    <s v="Honduras"/>
    <s v="HND"/>
    <x v="6"/>
    <n v="0"/>
    <n v="1000000"/>
    <x v="4"/>
    <x v="2"/>
    <n v="-1000000"/>
    <n v="1000000"/>
  </r>
  <r>
    <s v="Hungary"/>
    <s v="HUN"/>
    <x v="6"/>
    <n v="0"/>
    <n v="27000000"/>
    <x v="1"/>
    <x v="3"/>
    <n v="-27000000"/>
    <n v="27000000"/>
  </r>
  <r>
    <s v="IBRD only"/>
    <s v="IBD"/>
    <x v="6"/>
    <n v="9548000000"/>
    <n v="12582000000"/>
    <x v="0"/>
    <x v="0"/>
    <n v="-3034000000"/>
    <n v="22130000000"/>
  </r>
  <r>
    <s v="IDA &amp; IBRD total"/>
    <s v="IBT"/>
    <x v="6"/>
    <n v="9551000000"/>
    <n v="14978000000"/>
    <x v="0"/>
    <x v="0"/>
    <n v="-5427000000"/>
    <n v="24529000000"/>
  </r>
  <r>
    <s v="IDA blend"/>
    <s v="IDB"/>
    <x v="6"/>
    <n v="0"/>
    <n v="1093000000"/>
    <x v="0"/>
    <x v="0"/>
    <n v="-1093000000"/>
    <n v="1093000000"/>
  </r>
  <r>
    <s v="IDA only"/>
    <s v="IDX"/>
    <x v="6"/>
    <n v="0"/>
    <n v="1303000000"/>
    <x v="0"/>
    <x v="0"/>
    <n v="-1303000000"/>
    <n v="1303000000"/>
  </r>
  <r>
    <s v="IDA total"/>
    <s v="IDA"/>
    <x v="6"/>
    <n v="0"/>
    <n v="2396000000"/>
    <x v="0"/>
    <x v="0"/>
    <n v="-2396000000"/>
    <n v="2396000000"/>
  </r>
  <r>
    <s v="India"/>
    <s v="IND"/>
    <x v="6"/>
    <n v="47000000"/>
    <n v="1982000000"/>
    <x v="6"/>
    <x v="2"/>
    <n v="-1935000000"/>
    <n v="2029000000"/>
  </r>
  <r>
    <s v="Indonesia"/>
    <s v="IDN"/>
    <x v="6"/>
    <n v="15000000"/>
    <n v="357000000"/>
    <x v="5"/>
    <x v="1"/>
    <n v="-342000000"/>
    <n v="372000000"/>
  </r>
  <r>
    <s v="Iran, Islamic Rep."/>
    <s v="IRN"/>
    <x v="6"/>
    <n v="9000000"/>
    <n v="3000000"/>
    <x v="2"/>
    <x v="1"/>
    <n v="6000000"/>
    <n v="12000000"/>
  </r>
  <r>
    <s v="Iraq"/>
    <s v="IRQ"/>
    <x v="6"/>
    <n v="0"/>
    <n v="454000000"/>
    <x v="2"/>
    <x v="1"/>
    <n v="-454000000"/>
    <n v="454000000"/>
  </r>
  <r>
    <s v="Ireland"/>
    <s v="IRL"/>
    <x v="6"/>
    <n v="0"/>
    <n v="5000000"/>
    <x v="1"/>
    <x v="3"/>
    <n v="-5000000"/>
    <n v="5000000"/>
  </r>
  <r>
    <s v="Israel"/>
    <s v="ISR"/>
    <x v="6"/>
    <n v="1142000000"/>
    <n v="491000000"/>
    <x v="2"/>
    <x v="3"/>
    <n v="651000000"/>
    <n v="1633000000"/>
  </r>
  <r>
    <s v="Italy"/>
    <s v="ITA"/>
    <x v="6"/>
    <n v="535000000"/>
    <n v="275000000"/>
    <x v="1"/>
    <x v="3"/>
    <n v="260000000"/>
    <n v="810000000"/>
  </r>
  <r>
    <s v="Jamaica"/>
    <s v="JAM"/>
    <x v="6"/>
    <n v="0"/>
    <n v="19000000"/>
    <x v="4"/>
    <x v="1"/>
    <n v="-19000000"/>
    <n v="19000000"/>
  </r>
  <r>
    <s v="Japan"/>
    <s v="JPN"/>
    <x v="6"/>
    <n v="3000000"/>
    <n v="764000000"/>
    <x v="5"/>
    <x v="3"/>
    <n v="-761000000"/>
    <n v="767000000"/>
  </r>
  <r>
    <s v="Jordan"/>
    <s v="JOR"/>
    <x v="6"/>
    <n v="2000000"/>
    <n v="170000000"/>
    <x v="2"/>
    <x v="1"/>
    <n v="-168000000"/>
    <n v="172000000"/>
  </r>
  <r>
    <s v="Kazakhstan"/>
    <s v="KAZ"/>
    <x v="6"/>
    <n v="0"/>
    <n v="279000000"/>
    <x v="1"/>
    <x v="1"/>
    <n v="-279000000"/>
    <n v="279000000"/>
  </r>
  <r>
    <s v="Kenya"/>
    <s v="KEN"/>
    <x v="6"/>
    <n v="0"/>
    <n v="7000000"/>
    <x v="3"/>
    <x v="2"/>
    <n v="-7000000"/>
    <n v="7000000"/>
  </r>
  <r>
    <s v="Korea, Rep."/>
    <s v="KOR"/>
    <x v="6"/>
    <n v="1054000000"/>
    <n v="1030000000"/>
    <x v="5"/>
    <x v="3"/>
    <n v="24000000"/>
    <n v="2084000000"/>
  </r>
  <r>
    <s v="Kosovo"/>
    <s v="XKX"/>
    <x v="6"/>
    <n v="0"/>
    <n v="1000000"/>
    <x v="1"/>
    <x v="1"/>
    <n v="-1000000"/>
    <n v="1000000"/>
  </r>
  <r>
    <s v="Kuwait"/>
    <s v="KWT"/>
    <x v="6"/>
    <n v="0"/>
    <n v="96000000"/>
    <x v="2"/>
    <x v="3"/>
    <n v="-96000000"/>
    <n v="96000000"/>
  </r>
  <r>
    <s v="Kyrgyz Republic"/>
    <s v="KGZ"/>
    <x v="6"/>
    <n v="0"/>
    <n v="1000000"/>
    <x v="1"/>
    <x v="2"/>
    <n v="-1000000"/>
    <n v="1000000"/>
  </r>
  <r>
    <s v="Lao PDR"/>
    <s v="LAO"/>
    <x v="6"/>
    <n v="0"/>
    <n v="136000000"/>
    <x v="5"/>
    <x v="2"/>
    <n v="-136000000"/>
    <n v="136000000"/>
  </r>
  <r>
    <s v="Late-demographic dividend"/>
    <s v="LTE"/>
    <x v="6"/>
    <n v="8823000000"/>
    <n v="7869000000"/>
    <x v="0"/>
    <x v="0"/>
    <n v="954000000"/>
    <n v="16692000000"/>
  </r>
  <r>
    <s v="Latin America &amp; Caribbean"/>
    <s v="LCN"/>
    <x v="6"/>
    <n v="0"/>
    <n v="542000000"/>
    <x v="0"/>
    <x v="0"/>
    <n v="-542000000"/>
    <n v="542000000"/>
  </r>
  <r>
    <s v="Latin America &amp; Caribbean (excluding high income)"/>
    <s v="LAC"/>
    <x v="6"/>
    <n v="0"/>
    <n v="458000000"/>
    <x v="0"/>
    <x v="0"/>
    <n v="-458000000"/>
    <n v="458000000"/>
  </r>
  <r>
    <s v="Latin America &amp; the Caribbean (IDA &amp; IBRD countries)"/>
    <s v="TLA"/>
    <x v="6"/>
    <n v="0"/>
    <n v="542000000"/>
    <x v="0"/>
    <x v="0"/>
    <n v="-542000000"/>
    <n v="542000000"/>
  </r>
  <r>
    <s v="Latvia"/>
    <s v="LVA"/>
    <x v="6"/>
    <n v="0"/>
    <n v="21000000"/>
    <x v="1"/>
    <x v="3"/>
    <n v="-21000000"/>
    <n v="21000000"/>
  </r>
  <r>
    <s v="Least developed countries: UN classification"/>
    <s v="LDC"/>
    <x v="6"/>
    <n v="0"/>
    <n v="1271000000"/>
    <x v="0"/>
    <x v="0"/>
    <n v="-1271000000"/>
    <n v="1271000000"/>
  </r>
  <r>
    <s v="Lebanon"/>
    <s v="LBN"/>
    <x v="6"/>
    <n v="0"/>
    <n v="53000000"/>
    <x v="2"/>
    <x v="2"/>
    <n v="-53000000"/>
    <n v="53000000"/>
  </r>
  <r>
    <s v="Lesotho"/>
    <s v="LSO"/>
    <x v="6"/>
    <n v="0"/>
    <n v="1000000"/>
    <x v="3"/>
    <x v="2"/>
    <n v="-1000000"/>
    <n v="1000000"/>
  </r>
  <r>
    <s v="Lithuania"/>
    <s v="LTU"/>
    <x v="6"/>
    <n v="60000000"/>
    <n v="8000000"/>
    <x v="1"/>
    <x v="3"/>
    <n v="52000000"/>
    <n v="68000000"/>
  </r>
  <r>
    <s v="Low &amp; middle income"/>
    <s v="LMY"/>
    <x v="6"/>
    <n v="0"/>
    <n v="14733000000"/>
    <x v="0"/>
    <x v="0"/>
    <n v="-14733000000"/>
    <n v="14733000000"/>
  </r>
  <r>
    <s v="Low income"/>
    <s v="LIC"/>
    <x v="6"/>
    <n v="0"/>
    <n v="649000000"/>
    <x v="0"/>
    <x v="0"/>
    <n v="-649000000"/>
    <n v="649000000"/>
  </r>
  <r>
    <s v="Lower middle income"/>
    <s v="LMC"/>
    <x v="6"/>
    <n v="0"/>
    <n v="6251000000"/>
    <x v="0"/>
    <x v="0"/>
    <n v="-6251000000"/>
    <n v="6251000000"/>
  </r>
  <r>
    <s v="Madagascar"/>
    <s v="MDG"/>
    <x v="6"/>
    <n v="0"/>
    <n v="2000000"/>
    <x v="3"/>
    <x v="4"/>
    <n v="-2000000"/>
    <n v="2000000"/>
  </r>
  <r>
    <s v="Malaysia"/>
    <s v="MYS"/>
    <x v="6"/>
    <n v="0"/>
    <n v="93000000"/>
    <x v="5"/>
    <x v="1"/>
    <n v="-93000000"/>
    <n v="93000000"/>
  </r>
  <r>
    <s v="Mali"/>
    <s v="MLI"/>
    <x v="6"/>
    <n v="0"/>
    <n v="27000000"/>
    <x v="3"/>
    <x v="4"/>
    <n v="-27000000"/>
    <n v="27000000"/>
  </r>
  <r>
    <s v="Mauritania"/>
    <s v="MRT"/>
    <x v="6"/>
    <n v="0"/>
    <n v="1000000"/>
    <x v="3"/>
    <x v="2"/>
    <n v="-1000000"/>
    <n v="1000000"/>
  </r>
  <r>
    <s v="Mexico"/>
    <s v="MEX"/>
    <x v="6"/>
    <n v="0"/>
    <n v="16000000"/>
    <x v="4"/>
    <x v="1"/>
    <n v="-16000000"/>
    <n v="16000000"/>
  </r>
  <r>
    <s v="Middle East, North Africa, Afghanistan &amp; Pakistan"/>
    <s v="MEA"/>
    <x v="6"/>
    <n v="0"/>
    <n v="11314000000"/>
    <x v="0"/>
    <x v="0"/>
    <n v="-11314000000"/>
    <n v="11314000000"/>
  </r>
  <r>
    <s v="Middle East, North Africa, Afghanistan &amp; Pakistan (excluding high income)"/>
    <s v="MNA"/>
    <x v="6"/>
    <n v="0"/>
    <n v="5651000000"/>
    <x v="0"/>
    <x v="0"/>
    <n v="-5651000000"/>
    <n v="5651000000"/>
  </r>
  <r>
    <s v="Middle East, North Africa, Afghanistan &amp; Pakistan (IDA &amp; IBRD)"/>
    <s v="TMN"/>
    <x v="6"/>
    <n v="0"/>
    <n v="5651000000"/>
    <x v="0"/>
    <x v="0"/>
    <n v="-5651000000"/>
    <n v="5651000000"/>
  </r>
  <r>
    <s v="Middle income"/>
    <s v="MIC"/>
    <x v="6"/>
    <n v="2381000000"/>
    <n v="14084000000"/>
    <x v="0"/>
    <x v="0"/>
    <n v="-11703000000"/>
    <n v="16465000000"/>
  </r>
  <r>
    <s v="Montenegro"/>
    <s v="MNE"/>
    <x v="6"/>
    <n v="0"/>
    <n v="15000000"/>
    <x v="1"/>
    <x v="1"/>
    <n v="-15000000"/>
    <n v="15000000"/>
  </r>
  <r>
    <s v="Morocco"/>
    <s v="MAR"/>
    <x v="6"/>
    <n v="0"/>
    <n v="462000000"/>
    <x v="2"/>
    <x v="2"/>
    <n v="-462000000"/>
    <n v="462000000"/>
  </r>
  <r>
    <s v="Mozambique"/>
    <s v="MOZ"/>
    <x v="6"/>
    <n v="0"/>
    <n v="3000000"/>
    <x v="3"/>
    <x v="4"/>
    <n v="-3000000"/>
    <n v="3000000"/>
  </r>
  <r>
    <s v="Myanmar"/>
    <s v="MMR"/>
    <x v="6"/>
    <n v="0"/>
    <n v="203000000"/>
    <x v="5"/>
    <x v="2"/>
    <n v="-203000000"/>
    <n v="203000000"/>
  </r>
  <r>
    <s v="Nepal"/>
    <s v="NPL"/>
    <x v="6"/>
    <n v="0"/>
    <n v="7000000"/>
    <x v="6"/>
    <x v="2"/>
    <n v="-7000000"/>
    <n v="7000000"/>
  </r>
  <r>
    <s v="Netherlands"/>
    <s v="NLD"/>
    <x v="6"/>
    <n v="468000000"/>
    <n v="139000000"/>
    <x v="1"/>
    <x v="3"/>
    <n v="329000000"/>
    <n v="607000000"/>
  </r>
  <r>
    <s v="New Zealand"/>
    <s v="NZL"/>
    <x v="6"/>
    <n v="7000000"/>
    <n v="6000000"/>
    <x v="5"/>
    <x v="3"/>
    <n v="1000000"/>
    <n v="13000000"/>
  </r>
  <r>
    <s v="Niger"/>
    <s v="NER"/>
    <x v="6"/>
    <n v="0"/>
    <n v="1000000"/>
    <x v="3"/>
    <x v="4"/>
    <n v="-1000000"/>
    <n v="1000000"/>
  </r>
  <r>
    <s v="Nigeria"/>
    <s v="NGA"/>
    <x v="6"/>
    <n v="0"/>
    <n v="49000000"/>
    <x v="3"/>
    <x v="2"/>
    <n v="-49000000"/>
    <n v="49000000"/>
  </r>
  <r>
    <s v="North America"/>
    <s v="NAC"/>
    <x v="6"/>
    <n v="9372000000"/>
    <n v="564000000"/>
    <x v="0"/>
    <x v="0"/>
    <n v="8808000000"/>
    <n v="9936000000"/>
  </r>
  <r>
    <s v="Norway"/>
    <s v="NOR"/>
    <x v="6"/>
    <n v="71000000"/>
    <n v="520000000"/>
    <x v="1"/>
    <x v="3"/>
    <n v="-449000000"/>
    <n v="591000000"/>
  </r>
  <r>
    <s v="OECD members"/>
    <s v="OED"/>
    <x v="6"/>
    <n v="17954000000"/>
    <n v="7130000000"/>
    <x v="0"/>
    <x v="0"/>
    <n v="10824000000"/>
    <n v="25084000000"/>
  </r>
  <r>
    <s v="Oman"/>
    <s v="OMN"/>
    <x v="6"/>
    <n v="0"/>
    <n v="282000000"/>
    <x v="2"/>
    <x v="3"/>
    <n v="-282000000"/>
    <n v="282000000"/>
  </r>
  <r>
    <s v="Pakistan"/>
    <s v="PAK"/>
    <x v="6"/>
    <n v="3000000"/>
    <n v="893000000"/>
    <x v="2"/>
    <x v="2"/>
    <n v="-890000000"/>
    <n v="896000000"/>
  </r>
  <r>
    <s v="Papua New Guinea"/>
    <s v="PNG"/>
    <x v="6"/>
    <n v="0"/>
    <n v="8000000"/>
    <x v="5"/>
    <x v="2"/>
    <n v="-8000000"/>
    <n v="8000000"/>
  </r>
  <r>
    <s v="Peru"/>
    <s v="PER"/>
    <x v="6"/>
    <n v="0"/>
    <n v="103000000"/>
    <x v="4"/>
    <x v="1"/>
    <n v="-103000000"/>
    <n v="103000000"/>
  </r>
  <r>
    <s v="Philippines"/>
    <s v="PHL"/>
    <x v="6"/>
    <n v="0"/>
    <n v="17000000"/>
    <x v="5"/>
    <x v="1"/>
    <n v="-17000000"/>
    <n v="17000000"/>
  </r>
  <r>
    <s v="Poland"/>
    <s v="POL"/>
    <x v="6"/>
    <n v="11000000"/>
    <n v="50000000"/>
    <x v="1"/>
    <x v="3"/>
    <n v="-39000000"/>
    <n v="61000000"/>
  </r>
  <r>
    <s v="Portugal"/>
    <s v="PRT"/>
    <x v="6"/>
    <n v="3000000"/>
    <n v="19000000"/>
    <x v="1"/>
    <x v="3"/>
    <n v="-16000000"/>
    <n v="22000000"/>
  </r>
  <r>
    <s v="Post-demographic dividend"/>
    <s v="PST"/>
    <x v="6"/>
    <n v="16942000000"/>
    <n v="6702000000"/>
    <x v="0"/>
    <x v="0"/>
    <n v="10240000000"/>
    <n v="23644000000"/>
  </r>
  <r>
    <s v="Pre-demographic dividend"/>
    <s v="PRE"/>
    <x v="6"/>
    <n v="0"/>
    <n v="1274000000"/>
    <x v="0"/>
    <x v="0"/>
    <n v="-1274000000"/>
    <n v="1274000000"/>
  </r>
  <r>
    <s v="Qatar"/>
    <s v="QAT"/>
    <x v="6"/>
    <n v="3000000"/>
    <n v="613000000"/>
    <x v="2"/>
    <x v="3"/>
    <n v="-610000000"/>
    <n v="616000000"/>
  </r>
  <r>
    <s v="Romania"/>
    <s v="ROU"/>
    <x v="6"/>
    <n v="0"/>
    <n v="36000000"/>
    <x v="1"/>
    <x v="3"/>
    <n v="-36000000"/>
    <n v="36000000"/>
  </r>
  <r>
    <s v="Russian Federation"/>
    <s v="RUS"/>
    <x v="6"/>
    <n v="7145000000"/>
    <n v="62000000"/>
    <x v="1"/>
    <x v="3"/>
    <n v="7083000000"/>
    <n v="7207000000"/>
  </r>
  <r>
    <s v="Rwanda"/>
    <s v="RWA"/>
    <x v="6"/>
    <n v="0"/>
    <n v="3000000"/>
    <x v="3"/>
    <x v="4"/>
    <n v="-3000000"/>
    <n v="3000000"/>
  </r>
  <r>
    <s v="Saudi Arabia"/>
    <s v="SAU"/>
    <x v="6"/>
    <n v="0"/>
    <n v="2944000000"/>
    <x v="2"/>
    <x v="3"/>
    <n v="-2944000000"/>
    <n v="2944000000"/>
  </r>
  <r>
    <s v="Senegal"/>
    <s v="SEN"/>
    <x v="6"/>
    <n v="0"/>
    <n v="15000000"/>
    <x v="3"/>
    <x v="2"/>
    <n v="-15000000"/>
    <n v="15000000"/>
  </r>
  <r>
    <s v="Serbia"/>
    <s v="SRB"/>
    <x v="6"/>
    <n v="29000000"/>
    <n v="4000000"/>
    <x v="1"/>
    <x v="1"/>
    <n v="25000000"/>
    <n v="33000000"/>
  </r>
  <r>
    <s v="Seychelles"/>
    <s v="SYC"/>
    <x v="6"/>
    <n v="0"/>
    <n v="10000000"/>
    <x v="3"/>
    <x v="3"/>
    <n v="-10000000"/>
    <n v="10000000"/>
  </r>
  <r>
    <s v="Singapore"/>
    <s v="SGP"/>
    <x v="6"/>
    <n v="0"/>
    <n v="562000000"/>
    <x v="5"/>
    <x v="3"/>
    <n v="-562000000"/>
    <n v="562000000"/>
  </r>
  <r>
    <s v="Slovak Republic"/>
    <s v="SVK"/>
    <x v="6"/>
    <n v="12000000"/>
    <n v="34000000"/>
    <x v="1"/>
    <x v="3"/>
    <n v="-22000000"/>
    <n v="46000000"/>
  </r>
  <r>
    <s v="South Africa"/>
    <s v="ZAF"/>
    <x v="6"/>
    <n v="118000000"/>
    <n v="0"/>
    <x v="3"/>
    <x v="1"/>
    <n v="118000000"/>
    <n v="118000000"/>
  </r>
  <r>
    <s v="South Asia"/>
    <s v="SAS"/>
    <x v="6"/>
    <n v="47000000"/>
    <n v="2250000000"/>
    <x v="0"/>
    <x v="0"/>
    <n v="-2203000000"/>
    <n v="2297000000"/>
  </r>
  <r>
    <s v="South Asia (IDA &amp; IBRD)"/>
    <s v="TSA"/>
    <x v="6"/>
    <n v="47000000"/>
    <n v="2250000000"/>
    <x v="0"/>
    <x v="0"/>
    <n v="-2203000000"/>
    <n v="2297000000"/>
  </r>
  <r>
    <s v="Spain"/>
    <s v="ESP"/>
    <x v="6"/>
    <n v="705000000"/>
    <n v="149000000"/>
    <x v="1"/>
    <x v="3"/>
    <n v="556000000"/>
    <n v="854000000"/>
  </r>
  <r>
    <s v="Sri Lanka"/>
    <s v="LKA"/>
    <x v="6"/>
    <n v="0"/>
    <n v="100000000"/>
    <x v="6"/>
    <x v="1"/>
    <n v="-100000000"/>
    <n v="100000000"/>
  </r>
  <r>
    <s v="Sudan"/>
    <s v="SDN"/>
    <x v="6"/>
    <n v="0"/>
    <n v="35000000"/>
    <x v="3"/>
    <x v="4"/>
    <n v="-35000000"/>
    <n v="35000000"/>
  </r>
  <r>
    <s v="Sweden"/>
    <s v="SWE"/>
    <x v="6"/>
    <n v="135000000"/>
    <n v="7000000"/>
    <x v="1"/>
    <x v="3"/>
    <n v="128000000"/>
    <n v="142000000"/>
  </r>
  <r>
    <s v="Switzerland"/>
    <s v="CHE"/>
    <x v="6"/>
    <n v="244000000"/>
    <n v="0"/>
    <x v="1"/>
    <x v="3"/>
    <n v="244000000"/>
    <n v="244000000"/>
  </r>
  <r>
    <s v="Syrian Arab Republic"/>
    <s v="SYR"/>
    <x v="6"/>
    <n v="0"/>
    <n v="199000000"/>
    <x v="2"/>
    <x v="4"/>
    <n v="-199000000"/>
    <n v="199000000"/>
  </r>
  <r>
    <s v="Tajikistan"/>
    <s v="TJK"/>
    <x v="6"/>
    <n v="0"/>
    <n v="4000000"/>
    <x v="1"/>
    <x v="2"/>
    <n v="-4000000"/>
    <n v="4000000"/>
  </r>
  <r>
    <s v="Tanzania"/>
    <s v="TZA"/>
    <x v="6"/>
    <n v="0"/>
    <n v="17000000"/>
    <x v="3"/>
    <x v="2"/>
    <n v="-17000000"/>
    <n v="17000000"/>
  </r>
  <r>
    <s v="Thailand"/>
    <s v="THA"/>
    <x v="6"/>
    <n v="0"/>
    <n v="636000000"/>
    <x v="5"/>
    <x v="1"/>
    <n v="-636000000"/>
    <n v="636000000"/>
  </r>
  <r>
    <s v="Tunisia"/>
    <s v="TUN"/>
    <x v="6"/>
    <n v="0"/>
    <n v="181000000"/>
    <x v="2"/>
    <x v="2"/>
    <n v="-181000000"/>
    <n v="181000000"/>
  </r>
  <r>
    <s v="Turkiye"/>
    <s v="TUR"/>
    <x v="6"/>
    <n v="257000000"/>
    <n v="476000000"/>
    <x v="1"/>
    <x v="1"/>
    <n v="-219000000"/>
    <n v="733000000"/>
  </r>
  <r>
    <s v="Uganda"/>
    <s v="UGA"/>
    <x v="6"/>
    <n v="0"/>
    <n v="10000000"/>
    <x v="3"/>
    <x v="4"/>
    <n v="-10000000"/>
    <n v="10000000"/>
  </r>
  <r>
    <s v="Ukraine"/>
    <s v="UKR"/>
    <x v="6"/>
    <n v="310000000"/>
    <n v="67000000"/>
    <x v="1"/>
    <x v="1"/>
    <n v="243000000"/>
    <n v="377000000"/>
  </r>
  <r>
    <s v="United Arab Emirates"/>
    <s v="ARE"/>
    <x v="6"/>
    <n v="120000000"/>
    <n v="1165000000"/>
    <x v="2"/>
    <x v="3"/>
    <n v="-1045000000"/>
    <n v="1285000000"/>
  </r>
  <r>
    <s v="United Kingdom"/>
    <s v="GBR"/>
    <x v="6"/>
    <n v="682000000"/>
    <n v="463000000"/>
    <x v="1"/>
    <x v="3"/>
    <n v="219000000"/>
    <n v="1145000000"/>
  </r>
  <r>
    <s v="United States"/>
    <s v="USA"/>
    <x v="6"/>
    <n v="9264000000"/>
    <n v="379000000"/>
    <x v="7"/>
    <x v="3"/>
    <n v="8885000000"/>
    <n v="9643000000"/>
  </r>
  <r>
    <s v="Upper middle income"/>
    <s v="UMC"/>
    <x v="6"/>
    <n v="2331000000"/>
    <n v="7833000000"/>
    <x v="0"/>
    <x v="0"/>
    <n v="-5502000000"/>
    <n v="10164000000"/>
  </r>
  <r>
    <s v="Uruguay"/>
    <s v="URY"/>
    <x v="6"/>
    <n v="0"/>
    <n v="10000000"/>
    <x v="4"/>
    <x v="3"/>
    <n v="-10000000"/>
    <n v="10000000"/>
  </r>
  <r>
    <s v="Uzbekistan"/>
    <s v="UZB"/>
    <x v="6"/>
    <n v="0"/>
    <n v="124000000"/>
    <x v="1"/>
    <x v="2"/>
    <n v="-124000000"/>
    <n v="124000000"/>
  </r>
  <r>
    <s v="Venezuela, RB"/>
    <s v="VEN"/>
    <x v="6"/>
    <n v="0"/>
    <n v="14000000"/>
    <x v="4"/>
    <x v="2"/>
    <n v="-14000000"/>
    <n v="14000000"/>
  </r>
  <r>
    <s v="Viet Nam"/>
    <s v="VNM"/>
    <x v="6"/>
    <n v="10000000"/>
    <n v="604000000"/>
    <x v="5"/>
    <x v="1"/>
    <n v="-594000000"/>
    <n v="614000000"/>
  </r>
  <r>
    <s v="World"/>
    <s v="WLD"/>
    <x v="6"/>
    <n v="27368000000"/>
    <n v="27302000000"/>
    <x v="0"/>
    <x v="0"/>
    <n v="66000000"/>
    <n v="54670000000"/>
  </r>
  <r>
    <s v="Yemen, Rep."/>
    <s v="YEM"/>
    <x v="6"/>
    <n v="0"/>
    <n v="9000000"/>
    <x v="2"/>
    <x v="4"/>
    <n v="-9000000"/>
    <n v="9000000"/>
  </r>
  <r>
    <s v="Afghanistan"/>
    <s v="AFG"/>
    <x v="7"/>
    <n v="0"/>
    <n v="235000000"/>
    <x v="2"/>
    <x v="4"/>
    <n v="-235000000"/>
    <n v="235000000"/>
  </r>
  <r>
    <s v="Africa Western and Central"/>
    <s v="AFW"/>
    <x v="7"/>
    <n v="0"/>
    <n v="157000000"/>
    <x v="0"/>
    <x v="0"/>
    <n v="-157000000"/>
    <n v="157000000"/>
  </r>
  <r>
    <s v="Albania"/>
    <s v="ALB"/>
    <x v="7"/>
    <n v="0"/>
    <n v="1000000"/>
    <x v="1"/>
    <x v="1"/>
    <n v="-1000000"/>
    <n v="1000000"/>
  </r>
  <r>
    <s v="Algeria"/>
    <s v="DZA"/>
    <x v="7"/>
    <n v="0"/>
    <n v="1158000000"/>
    <x v="2"/>
    <x v="1"/>
    <n v="-1158000000"/>
    <n v="1158000000"/>
  </r>
  <r>
    <s v="Angola"/>
    <s v="AGO"/>
    <x v="7"/>
    <n v="0"/>
    <n v="113000000"/>
    <x v="3"/>
    <x v="2"/>
    <n v="-113000000"/>
    <n v="113000000"/>
  </r>
  <r>
    <s v="Arab World"/>
    <s v="ARB"/>
    <x v="7"/>
    <n v="0"/>
    <n v="11766000000"/>
    <x v="0"/>
    <x v="0"/>
    <n v="-11766000000"/>
    <n v="11766000000"/>
  </r>
  <r>
    <s v="Argentina"/>
    <s v="ARG"/>
    <x v="7"/>
    <n v="0"/>
    <n v="47000000"/>
    <x v="4"/>
    <x v="1"/>
    <n v="-47000000"/>
    <n v="47000000"/>
  </r>
  <r>
    <s v="Armenia"/>
    <s v="ARM"/>
    <x v="7"/>
    <n v="0"/>
    <n v="22000000"/>
    <x v="1"/>
    <x v="1"/>
    <n v="-22000000"/>
    <n v="22000000"/>
  </r>
  <r>
    <s v="Australia"/>
    <s v="AUS"/>
    <x v="7"/>
    <n v="101000000"/>
    <n v="1664000000"/>
    <x v="5"/>
    <x v="3"/>
    <n v="-1563000000"/>
    <n v="1765000000"/>
  </r>
  <r>
    <s v="Austria"/>
    <s v="AUT"/>
    <x v="7"/>
    <n v="22000000"/>
    <n v="10000000"/>
    <x v="1"/>
    <x v="3"/>
    <n v="12000000"/>
    <n v="32000000"/>
  </r>
  <r>
    <s v="Azerbaijan"/>
    <s v="AZE"/>
    <x v="7"/>
    <n v="0"/>
    <n v="290000000"/>
    <x v="1"/>
    <x v="1"/>
    <n v="-290000000"/>
    <n v="290000000"/>
  </r>
  <r>
    <s v="Bahamas, The"/>
    <s v="BHS"/>
    <x v="7"/>
    <n v="0"/>
    <n v="12000000"/>
    <x v="4"/>
    <x v="3"/>
    <n v="-12000000"/>
    <n v="12000000"/>
  </r>
  <r>
    <s v="Bahrain"/>
    <s v="BHR"/>
    <x v="7"/>
    <n v="0"/>
    <n v="27000000"/>
    <x v="2"/>
    <x v="3"/>
    <n v="-27000000"/>
    <n v="27000000"/>
  </r>
  <r>
    <s v="Bangladesh"/>
    <s v="BGD"/>
    <x v="7"/>
    <n v="0"/>
    <n v="334000000"/>
    <x v="6"/>
    <x v="2"/>
    <n v="-334000000"/>
    <n v="334000000"/>
  </r>
  <r>
    <s v="Belarus"/>
    <s v="BLR"/>
    <x v="7"/>
    <n v="52000000"/>
    <n v="158000000"/>
    <x v="1"/>
    <x v="1"/>
    <n v="-106000000"/>
    <n v="210000000"/>
  </r>
  <r>
    <s v="Belgium"/>
    <s v="BEL"/>
    <x v="7"/>
    <n v="17000000"/>
    <n v="7000000"/>
    <x v="1"/>
    <x v="3"/>
    <n v="10000000"/>
    <n v="24000000"/>
  </r>
  <r>
    <s v="Bolivia"/>
    <s v="BOL"/>
    <x v="7"/>
    <n v="0"/>
    <n v="7000000"/>
    <x v="4"/>
    <x v="2"/>
    <n v="-7000000"/>
    <n v="7000000"/>
  </r>
  <r>
    <s v="Bosnia and Herzegovina"/>
    <s v="BIH"/>
    <x v="7"/>
    <n v="0"/>
    <n v="0"/>
    <x v="1"/>
    <x v="1"/>
    <n v="0"/>
    <n v="0"/>
  </r>
  <r>
    <s v="Brazil"/>
    <s v="BRA"/>
    <x v="7"/>
    <n v="36000000"/>
    <n v="96000000"/>
    <x v="4"/>
    <x v="1"/>
    <n v="-60000000"/>
    <n v="132000000"/>
  </r>
  <r>
    <s v="Bulgaria"/>
    <s v="BGR"/>
    <x v="7"/>
    <n v="33000000"/>
    <n v="0"/>
    <x v="1"/>
    <x v="3"/>
    <n v="33000000"/>
    <n v="33000000"/>
  </r>
  <r>
    <s v="Burkina Faso"/>
    <s v="BFA"/>
    <x v="7"/>
    <n v="0"/>
    <n v="2000000"/>
    <x v="3"/>
    <x v="4"/>
    <n v="-2000000"/>
    <n v="2000000"/>
  </r>
  <r>
    <s v="Cameroon"/>
    <s v="CMR"/>
    <x v="7"/>
    <n v="0"/>
    <n v="8000000"/>
    <x v="3"/>
    <x v="2"/>
    <n v="-8000000"/>
    <n v="8000000"/>
  </r>
  <r>
    <s v="Canada"/>
    <s v="CAN"/>
    <x v="7"/>
    <n v="63000000"/>
    <n v="354000000"/>
    <x v="7"/>
    <x v="3"/>
    <n v="-291000000"/>
    <n v="417000000"/>
  </r>
  <r>
    <s v="Central Europe and the Baltics"/>
    <s v="CEB"/>
    <x v="7"/>
    <n v="0"/>
    <n v="352000000"/>
    <x v="0"/>
    <x v="0"/>
    <n v="-352000000"/>
    <n v="352000000"/>
  </r>
  <r>
    <s v="Chad"/>
    <s v="TCD"/>
    <x v="7"/>
    <n v="0"/>
    <n v="6000000"/>
    <x v="3"/>
    <x v="4"/>
    <n v="-6000000"/>
    <n v="6000000"/>
  </r>
  <r>
    <s v="Chile"/>
    <s v="CHL"/>
    <x v="7"/>
    <n v="0"/>
    <n v="49000000"/>
    <x v="4"/>
    <x v="3"/>
    <n v="-49000000"/>
    <n v="49000000"/>
  </r>
  <r>
    <s v="China"/>
    <s v="CHN"/>
    <x v="7"/>
    <n v="1643000000"/>
    <n v="1546000000"/>
    <x v="5"/>
    <x v="1"/>
    <n v="97000000"/>
    <n v="3189000000"/>
  </r>
  <r>
    <s v="Colombia"/>
    <s v="COL"/>
    <x v="7"/>
    <n v="10000000"/>
    <n v="91000000"/>
    <x v="4"/>
    <x v="1"/>
    <n v="-81000000"/>
    <n v="101000000"/>
  </r>
  <r>
    <s v="Cote d'Ivoire"/>
    <s v="CIV"/>
    <x v="7"/>
    <n v="0"/>
    <n v="14000000"/>
    <x v="3"/>
    <x v="2"/>
    <n v="-14000000"/>
    <n v="14000000"/>
  </r>
  <r>
    <s v="Croatia"/>
    <s v="HRV"/>
    <x v="7"/>
    <n v="3000000"/>
    <n v="13000000"/>
    <x v="1"/>
    <x v="3"/>
    <n v="-10000000"/>
    <n v="16000000"/>
  </r>
  <r>
    <s v="Cyprus"/>
    <s v="CYP"/>
    <x v="7"/>
    <n v="0"/>
    <n v="30000000"/>
    <x v="1"/>
    <x v="3"/>
    <n v="-30000000"/>
    <n v="30000000"/>
  </r>
  <r>
    <s v="Czechia"/>
    <s v="CZE"/>
    <x v="7"/>
    <n v="89000000"/>
    <n v="0"/>
    <x v="1"/>
    <x v="3"/>
    <n v="89000000"/>
    <n v="89000000"/>
  </r>
  <r>
    <s v="Denmark"/>
    <s v="DNK"/>
    <x v="7"/>
    <n v="13000000"/>
    <n v="53000000"/>
    <x v="1"/>
    <x v="3"/>
    <n v="-40000000"/>
    <n v="66000000"/>
  </r>
  <r>
    <s v="Dominican Republic"/>
    <s v="DOM"/>
    <x v="7"/>
    <n v="4000000"/>
    <n v="0"/>
    <x v="4"/>
    <x v="1"/>
    <n v="4000000"/>
    <n v="4000000"/>
  </r>
  <r>
    <s v="Early-demographic dividend"/>
    <s v="EAR"/>
    <x v="7"/>
    <n v="0"/>
    <n v="15043000000"/>
    <x v="0"/>
    <x v="0"/>
    <n v="-15043000000"/>
    <n v="15043000000"/>
  </r>
  <r>
    <s v="East Asia &amp; Pacific"/>
    <s v="EAS"/>
    <x v="7"/>
    <n v="2546000000"/>
    <n v="8472000000"/>
    <x v="0"/>
    <x v="0"/>
    <n v="-5926000000"/>
    <n v="11018000000"/>
  </r>
  <r>
    <s v="East Asia &amp; Pacific (excluding high income)"/>
    <s v="EAP"/>
    <x v="7"/>
    <n v="1741000000"/>
    <n v="4505000000"/>
    <x v="0"/>
    <x v="0"/>
    <n v="-2764000000"/>
    <n v="6246000000"/>
  </r>
  <r>
    <s v="East Asia &amp; Pacific (IDA &amp; IBRD countries)"/>
    <s v="TEA"/>
    <x v="7"/>
    <n v="1741000000"/>
    <n v="4505000000"/>
    <x v="0"/>
    <x v="0"/>
    <n v="-2764000000"/>
    <n v="6246000000"/>
  </r>
  <r>
    <s v="Ecuador"/>
    <s v="ECU"/>
    <x v="7"/>
    <n v="0"/>
    <n v="20000000"/>
    <x v="4"/>
    <x v="1"/>
    <n v="-20000000"/>
    <n v="20000000"/>
  </r>
  <r>
    <s v="Egypt, Arab Rep."/>
    <s v="EGY"/>
    <x v="7"/>
    <n v="0"/>
    <n v="2480000000"/>
    <x v="2"/>
    <x v="2"/>
    <n v="-2480000000"/>
    <n v="2480000000"/>
  </r>
  <r>
    <s v="El Salvador"/>
    <s v="SLV"/>
    <x v="7"/>
    <n v="0"/>
    <n v="1000000"/>
    <x v="4"/>
    <x v="1"/>
    <n v="-1000000"/>
    <n v="1000000"/>
  </r>
  <r>
    <s v="Estonia"/>
    <s v="EST"/>
    <x v="7"/>
    <n v="0"/>
    <n v="36000000"/>
    <x v="1"/>
    <x v="3"/>
    <n v="-36000000"/>
    <n v="36000000"/>
  </r>
  <r>
    <s v="Ethiopia"/>
    <s v="ETH"/>
    <x v="7"/>
    <n v="0"/>
    <n v="51000000"/>
    <x v="3"/>
    <x v="4"/>
    <n v="-51000000"/>
    <n v="51000000"/>
  </r>
  <r>
    <s v="Euro area"/>
    <s v="EMU"/>
    <x v="7"/>
    <n v="7040000000"/>
    <n v="1247000000"/>
    <x v="0"/>
    <x v="0"/>
    <n v="5793000000"/>
    <n v="8287000000"/>
  </r>
  <r>
    <s v="Europe &amp; Central Asia"/>
    <s v="ECS"/>
    <x v="7"/>
    <n v="15643000000"/>
    <n v="4331000000"/>
    <x v="0"/>
    <x v="0"/>
    <n v="11312000000"/>
    <n v="19974000000"/>
  </r>
  <r>
    <s v="Europe &amp; Central Asia (excluding high income)"/>
    <s v="ECA"/>
    <x v="7"/>
    <n v="646000000"/>
    <n v="1339000000"/>
    <x v="0"/>
    <x v="0"/>
    <n v="-693000000"/>
    <n v="1985000000"/>
  </r>
  <r>
    <s v="Europe &amp; Central Asia (IDA &amp; IBRD countries)"/>
    <s v="TEC"/>
    <x v="7"/>
    <n v="7085000000"/>
    <n v="1660000000"/>
    <x v="0"/>
    <x v="0"/>
    <n v="5425000000"/>
    <n v="8745000000"/>
  </r>
  <r>
    <s v="European Union"/>
    <s v="EUU"/>
    <x v="7"/>
    <n v="7225000000"/>
    <n v="1551000000"/>
    <x v="0"/>
    <x v="0"/>
    <n v="5674000000"/>
    <n v="8776000000"/>
  </r>
  <r>
    <s v="Fiji"/>
    <s v="FJI"/>
    <x v="7"/>
    <n v="0"/>
    <n v="1000000"/>
    <x v="5"/>
    <x v="1"/>
    <n v="-1000000"/>
    <n v="1000000"/>
  </r>
  <r>
    <s v="Finland"/>
    <s v="FIN"/>
    <x v="7"/>
    <n v="32000000"/>
    <n v="47000000"/>
    <x v="1"/>
    <x v="3"/>
    <n v="-15000000"/>
    <n v="79000000"/>
  </r>
  <r>
    <s v="Fragility, Conflict, and Violence (FCV) situations"/>
    <s v="FCV"/>
    <x v="7"/>
    <n v="0"/>
    <n v="1709000000"/>
    <x v="0"/>
    <x v="0"/>
    <n v="-1709000000"/>
    <n v="1709000000"/>
  </r>
  <r>
    <s v="France"/>
    <s v="FRA"/>
    <x v="7"/>
    <n v="2336000000"/>
    <n v="84000000"/>
    <x v="1"/>
    <x v="3"/>
    <n v="2252000000"/>
    <n v="2420000000"/>
  </r>
  <r>
    <s v="Georgia"/>
    <s v="GEO"/>
    <x v="7"/>
    <n v="7000000"/>
    <n v="7000000"/>
    <x v="1"/>
    <x v="1"/>
    <n v="0"/>
    <n v="14000000"/>
  </r>
  <r>
    <s v="Germany"/>
    <s v="DEU"/>
    <x v="7"/>
    <n v="1826000000"/>
    <n v="43000000"/>
    <x v="1"/>
    <x v="3"/>
    <n v="1783000000"/>
    <n v="1869000000"/>
  </r>
  <r>
    <s v="Greece"/>
    <s v="GRC"/>
    <x v="7"/>
    <n v="30000000"/>
    <n v="51000000"/>
    <x v="1"/>
    <x v="3"/>
    <n v="-21000000"/>
    <n v="81000000"/>
  </r>
  <r>
    <s v="Guinea"/>
    <s v="GIN"/>
    <x v="7"/>
    <n v="0"/>
    <n v="2000000"/>
    <x v="3"/>
    <x v="2"/>
    <n v="-2000000"/>
    <n v="2000000"/>
  </r>
  <r>
    <s v="High income"/>
    <s v="HIC"/>
    <x v="7"/>
    <n v="28574000000"/>
    <n v="14394000000"/>
    <x v="0"/>
    <x v="0"/>
    <n v="14180000000"/>
    <n v="42968000000"/>
  </r>
  <r>
    <s v="Honduras"/>
    <s v="HND"/>
    <x v="7"/>
    <n v="0"/>
    <n v="10000000"/>
    <x v="4"/>
    <x v="2"/>
    <n v="-10000000"/>
    <n v="10000000"/>
  </r>
  <r>
    <s v="Hungary"/>
    <s v="HUN"/>
    <x v="7"/>
    <n v="0"/>
    <n v="5000000"/>
    <x v="1"/>
    <x v="3"/>
    <n v="-5000000"/>
    <n v="5000000"/>
  </r>
  <r>
    <s v="IBRD only"/>
    <s v="IBD"/>
    <x v="7"/>
    <n v="9131000000"/>
    <n v="15019000000"/>
    <x v="0"/>
    <x v="0"/>
    <n v="-5888000000"/>
    <n v="24150000000"/>
  </r>
  <r>
    <s v="IDA &amp; IBRD total"/>
    <s v="IBT"/>
    <x v="7"/>
    <n v="9139000000"/>
    <n v="17200000000"/>
    <x v="0"/>
    <x v="0"/>
    <n v="-8061000000"/>
    <n v="26339000000"/>
  </r>
  <r>
    <s v="IDA blend"/>
    <s v="IDB"/>
    <x v="7"/>
    <n v="0"/>
    <n v="957000000"/>
    <x v="0"/>
    <x v="0"/>
    <n v="-957000000"/>
    <n v="957000000"/>
  </r>
  <r>
    <s v="IDA only"/>
    <s v="IDX"/>
    <x v="7"/>
    <n v="0"/>
    <n v="1224000000"/>
    <x v="0"/>
    <x v="0"/>
    <n v="-1224000000"/>
    <n v="1224000000"/>
  </r>
  <r>
    <s v="IDA total"/>
    <s v="IDA"/>
    <x v="7"/>
    <n v="0"/>
    <n v="2181000000"/>
    <x v="0"/>
    <x v="0"/>
    <n v="-2181000000"/>
    <n v="2181000000"/>
  </r>
  <r>
    <s v="India"/>
    <s v="IND"/>
    <x v="7"/>
    <n v="56000000"/>
    <n v="2682000000"/>
    <x v="6"/>
    <x v="2"/>
    <n v="-2626000000"/>
    <n v="2738000000"/>
  </r>
  <r>
    <s v="Indonesia"/>
    <s v="IDN"/>
    <x v="7"/>
    <n v="94000000"/>
    <n v="1171000000"/>
    <x v="5"/>
    <x v="1"/>
    <n v="-1077000000"/>
    <n v="1265000000"/>
  </r>
  <r>
    <s v="Iran, Islamic Rep."/>
    <s v="IRN"/>
    <x v="7"/>
    <n v="24000000"/>
    <n v="3000000"/>
    <x v="2"/>
    <x v="1"/>
    <n v="21000000"/>
    <n v="27000000"/>
  </r>
  <r>
    <s v="Iraq"/>
    <s v="IRQ"/>
    <x v="7"/>
    <n v="0"/>
    <n v="945000000"/>
    <x v="2"/>
    <x v="1"/>
    <n v="-945000000"/>
    <n v="945000000"/>
  </r>
  <r>
    <s v="Ireland"/>
    <s v="IRL"/>
    <x v="7"/>
    <n v="0"/>
    <n v="2000000"/>
    <x v="1"/>
    <x v="3"/>
    <n v="-2000000"/>
    <n v="2000000"/>
  </r>
  <r>
    <s v="Israel"/>
    <s v="ISR"/>
    <x v="7"/>
    <n v="1215000000"/>
    <n v="565000000"/>
    <x v="2"/>
    <x v="3"/>
    <n v="650000000"/>
    <n v="1780000000"/>
  </r>
  <r>
    <s v="Italy"/>
    <s v="ITA"/>
    <x v="7"/>
    <n v="703000000"/>
    <n v="709000000"/>
    <x v="1"/>
    <x v="3"/>
    <n v="-6000000"/>
    <n v="1412000000"/>
  </r>
  <r>
    <s v="Japan"/>
    <s v="JPN"/>
    <x v="7"/>
    <n v="2000000"/>
    <n v="446000000"/>
    <x v="5"/>
    <x v="3"/>
    <n v="-444000000"/>
    <n v="448000000"/>
  </r>
  <r>
    <s v="Jordan"/>
    <s v="JOR"/>
    <x v="7"/>
    <n v="80000000"/>
    <n v="363000000"/>
    <x v="2"/>
    <x v="1"/>
    <n v="-283000000"/>
    <n v="443000000"/>
  </r>
  <r>
    <s v="Kazakhstan"/>
    <s v="KAZ"/>
    <x v="7"/>
    <n v="0"/>
    <n v="221000000"/>
    <x v="1"/>
    <x v="1"/>
    <n v="-221000000"/>
    <n v="221000000"/>
  </r>
  <r>
    <s v="Kenya"/>
    <s v="KEN"/>
    <x v="7"/>
    <n v="0"/>
    <n v="17000000"/>
    <x v="3"/>
    <x v="2"/>
    <n v="-17000000"/>
    <n v="17000000"/>
  </r>
  <r>
    <s v="Korea, Rep."/>
    <s v="KOR"/>
    <x v="7"/>
    <n v="700000000"/>
    <n v="962000000"/>
    <x v="5"/>
    <x v="3"/>
    <n v="-262000000"/>
    <n v="1662000000"/>
  </r>
  <r>
    <s v="Kuwait"/>
    <s v="KWT"/>
    <x v="7"/>
    <n v="0"/>
    <n v="113000000"/>
    <x v="2"/>
    <x v="3"/>
    <n v="-113000000"/>
    <n v="113000000"/>
  </r>
  <r>
    <s v="Kyrgyz Republic"/>
    <s v="KGZ"/>
    <x v="7"/>
    <n v="5000000"/>
    <n v="12000000"/>
    <x v="1"/>
    <x v="2"/>
    <n v="-7000000"/>
    <n v="17000000"/>
  </r>
  <r>
    <s v="Lao PDR"/>
    <s v="LAO"/>
    <x v="7"/>
    <n v="0"/>
    <n v="2000000"/>
    <x v="5"/>
    <x v="2"/>
    <n v="-2000000"/>
    <n v="2000000"/>
  </r>
  <r>
    <s v="Late-demographic dividend"/>
    <s v="LTE"/>
    <x v="7"/>
    <n v="8264000000"/>
    <n v="7042000000"/>
    <x v="0"/>
    <x v="0"/>
    <n v="1222000000"/>
    <n v="15306000000"/>
  </r>
  <r>
    <s v="Latin America &amp; Caribbean"/>
    <s v="LCN"/>
    <x v="7"/>
    <n v="0"/>
    <n v="583000000"/>
    <x v="0"/>
    <x v="0"/>
    <n v="-583000000"/>
    <n v="583000000"/>
  </r>
  <r>
    <s v="Latin America &amp; Caribbean (excluding high income)"/>
    <s v="LAC"/>
    <x v="7"/>
    <n v="0"/>
    <n v="522000000"/>
    <x v="0"/>
    <x v="0"/>
    <n v="-522000000"/>
    <n v="522000000"/>
  </r>
  <r>
    <s v="Latin America &amp; the Caribbean (IDA &amp; IBRD countries)"/>
    <s v="TLA"/>
    <x v="7"/>
    <n v="0"/>
    <n v="571000000"/>
    <x v="0"/>
    <x v="0"/>
    <n v="-571000000"/>
    <n v="571000000"/>
  </r>
  <r>
    <s v="Latvia"/>
    <s v="LVA"/>
    <x v="7"/>
    <n v="0"/>
    <n v="30000000"/>
    <x v="1"/>
    <x v="3"/>
    <n v="-30000000"/>
    <n v="30000000"/>
  </r>
  <r>
    <s v="Least developed countries: UN classification"/>
    <s v="LDC"/>
    <x v="7"/>
    <n v="0"/>
    <n v="1192000000"/>
    <x v="0"/>
    <x v="0"/>
    <n v="-1192000000"/>
    <n v="1192000000"/>
  </r>
  <r>
    <s v="Lebanon"/>
    <s v="LBN"/>
    <x v="7"/>
    <n v="0"/>
    <n v="48000000"/>
    <x v="2"/>
    <x v="2"/>
    <n v="-48000000"/>
    <n v="48000000"/>
  </r>
  <r>
    <s v="Lesotho"/>
    <s v="LSO"/>
    <x v="7"/>
    <n v="0"/>
    <n v="1000000"/>
    <x v="3"/>
    <x v="2"/>
    <n v="-1000000"/>
    <n v="1000000"/>
  </r>
  <r>
    <s v="Lithuania"/>
    <s v="LTU"/>
    <x v="7"/>
    <n v="0"/>
    <n v="7000000"/>
    <x v="1"/>
    <x v="3"/>
    <n v="-7000000"/>
    <n v="7000000"/>
  </r>
  <r>
    <s v="Low &amp; middle income"/>
    <s v="LMY"/>
    <x v="7"/>
    <n v="2700000000"/>
    <n v="16830000000"/>
    <x v="0"/>
    <x v="0"/>
    <n v="-14130000000"/>
    <n v="19530000000"/>
  </r>
  <r>
    <s v="Lower middle income"/>
    <s v="LMC"/>
    <x v="7"/>
    <n v="0"/>
    <n v="7718000000"/>
    <x v="0"/>
    <x v="0"/>
    <n v="-7718000000"/>
    <n v="7718000000"/>
  </r>
  <r>
    <s v="Malaysia"/>
    <s v="MYS"/>
    <x v="7"/>
    <n v="0"/>
    <n v="197000000"/>
    <x v="5"/>
    <x v="1"/>
    <n v="-197000000"/>
    <n v="197000000"/>
  </r>
  <r>
    <s v="Mali"/>
    <s v="MLI"/>
    <x v="7"/>
    <n v="0"/>
    <n v="32000000"/>
    <x v="3"/>
    <x v="4"/>
    <n v="-32000000"/>
    <n v="32000000"/>
  </r>
  <r>
    <s v="Malta"/>
    <s v="MLT"/>
    <x v="7"/>
    <n v="0"/>
    <n v="8000000"/>
    <x v="2"/>
    <x v="3"/>
    <n v="-8000000"/>
    <n v="8000000"/>
  </r>
  <r>
    <s v="Mauritius"/>
    <s v="MUS"/>
    <x v="7"/>
    <n v="0"/>
    <n v="19000000"/>
    <x v="3"/>
    <x v="1"/>
    <n v="-19000000"/>
    <n v="19000000"/>
  </r>
  <r>
    <s v="Mexico"/>
    <s v="MEX"/>
    <x v="7"/>
    <n v="0"/>
    <n v="215000000"/>
    <x v="4"/>
    <x v="1"/>
    <n v="-215000000"/>
    <n v="215000000"/>
  </r>
  <r>
    <s v="Middle East, North Africa, Afghanistan &amp; Pakistan"/>
    <s v="MEA"/>
    <x v="7"/>
    <n v="0"/>
    <n v="13379000000"/>
    <x v="0"/>
    <x v="0"/>
    <n v="-13379000000"/>
    <n v="13379000000"/>
  </r>
  <r>
    <s v="Middle East, North Africa, Afghanistan &amp; Pakistan (excluding high income)"/>
    <s v="MNA"/>
    <x v="7"/>
    <n v="0"/>
    <n v="6863000000"/>
    <x v="0"/>
    <x v="0"/>
    <n v="-6863000000"/>
    <n v="6863000000"/>
  </r>
  <r>
    <s v="Middle East, North Africa, Afghanistan &amp; Pakistan (IDA &amp; IBRD)"/>
    <s v="TMN"/>
    <x v="7"/>
    <n v="0"/>
    <n v="6863000000"/>
    <x v="0"/>
    <x v="0"/>
    <n v="-6863000000"/>
    <n v="6863000000"/>
  </r>
  <r>
    <s v="Middle income"/>
    <s v="MIC"/>
    <x v="7"/>
    <n v="2700000000"/>
    <n v="16345000000"/>
    <x v="0"/>
    <x v="0"/>
    <n v="-13645000000"/>
    <n v="19045000000"/>
  </r>
  <r>
    <s v="Montenegro"/>
    <s v="MNE"/>
    <x v="7"/>
    <n v="1000000"/>
    <n v="0"/>
    <x v="1"/>
    <x v="1"/>
    <n v="1000000"/>
    <n v="1000000"/>
  </r>
  <r>
    <s v="Morocco"/>
    <s v="MAR"/>
    <x v="7"/>
    <n v="0"/>
    <n v="605000000"/>
    <x v="2"/>
    <x v="2"/>
    <n v="-605000000"/>
    <n v="605000000"/>
  </r>
  <r>
    <s v="Myanmar"/>
    <s v="MMR"/>
    <x v="7"/>
    <n v="0"/>
    <n v="210000000"/>
    <x v="5"/>
    <x v="2"/>
    <n v="-210000000"/>
    <n v="210000000"/>
  </r>
  <r>
    <s v="Namibia"/>
    <s v="NAM"/>
    <x v="7"/>
    <n v="0"/>
    <n v="35000000"/>
    <x v="3"/>
    <x v="2"/>
    <n v="-35000000"/>
    <n v="35000000"/>
  </r>
  <r>
    <s v="Nepal"/>
    <s v="NPL"/>
    <x v="7"/>
    <n v="0"/>
    <n v="1000000"/>
    <x v="6"/>
    <x v="2"/>
    <n v="-1000000"/>
    <n v="1000000"/>
  </r>
  <r>
    <s v="Netherlands"/>
    <s v="NLD"/>
    <x v="7"/>
    <n v="1140000000"/>
    <n v="33000000"/>
    <x v="1"/>
    <x v="3"/>
    <n v="1107000000"/>
    <n v="1173000000"/>
  </r>
  <r>
    <s v="Nicaragua"/>
    <s v="NIC"/>
    <x v="7"/>
    <n v="0"/>
    <n v="7000000"/>
    <x v="4"/>
    <x v="2"/>
    <n v="-7000000"/>
    <n v="7000000"/>
  </r>
  <r>
    <s v="Niger"/>
    <s v="NER"/>
    <x v="7"/>
    <n v="0"/>
    <n v="3000000"/>
    <x v="3"/>
    <x v="4"/>
    <n v="-3000000"/>
    <n v="3000000"/>
  </r>
  <r>
    <s v="Nigeria"/>
    <s v="NGA"/>
    <x v="7"/>
    <n v="0"/>
    <n v="42000000"/>
    <x v="3"/>
    <x v="2"/>
    <n v="-42000000"/>
    <n v="42000000"/>
  </r>
  <r>
    <s v="North America"/>
    <s v="NAC"/>
    <x v="7"/>
    <n v="11444000000"/>
    <n v="858000000"/>
    <x v="0"/>
    <x v="0"/>
    <n v="10586000000"/>
    <n v="12302000000"/>
  </r>
  <r>
    <s v="Norway"/>
    <s v="NOR"/>
    <x v="7"/>
    <n v="98000000"/>
    <n v="353000000"/>
    <x v="1"/>
    <x v="3"/>
    <n v="-255000000"/>
    <n v="451000000"/>
  </r>
  <r>
    <s v="OECD members"/>
    <s v="OED"/>
    <x v="7"/>
    <n v="22222000000"/>
    <n v="8044000000"/>
    <x v="0"/>
    <x v="0"/>
    <n v="14178000000"/>
    <n v="30266000000"/>
  </r>
  <r>
    <s v="Oman"/>
    <s v="OMN"/>
    <x v="7"/>
    <n v="7000000"/>
    <n v="757000000"/>
    <x v="2"/>
    <x v="3"/>
    <n v="-750000000"/>
    <n v="764000000"/>
  </r>
  <r>
    <s v="Other small states"/>
    <s v="OSS"/>
    <x v="7"/>
    <n v="0"/>
    <n v="93000000"/>
    <x v="0"/>
    <x v="0"/>
    <n v="-93000000"/>
    <n v="93000000"/>
  </r>
  <r>
    <s v="Pakistan"/>
    <s v="PAK"/>
    <x v="7"/>
    <n v="3000000"/>
    <n v="870000000"/>
    <x v="2"/>
    <x v="2"/>
    <n v="-867000000"/>
    <n v="873000000"/>
  </r>
  <r>
    <s v="Papua New Guinea"/>
    <s v="PNG"/>
    <x v="7"/>
    <n v="0"/>
    <n v="0"/>
    <x v="5"/>
    <x v="2"/>
    <n v="0"/>
    <n v="0"/>
  </r>
  <r>
    <s v="Peru"/>
    <s v="PER"/>
    <x v="7"/>
    <n v="0"/>
    <n v="28000000"/>
    <x v="4"/>
    <x v="1"/>
    <n v="-28000000"/>
    <n v="28000000"/>
  </r>
  <r>
    <s v="Philippines"/>
    <s v="PHL"/>
    <x v="7"/>
    <n v="0"/>
    <n v="278000000"/>
    <x v="5"/>
    <x v="1"/>
    <n v="-278000000"/>
    <n v="278000000"/>
  </r>
  <r>
    <s v="Poland"/>
    <s v="POL"/>
    <x v="7"/>
    <n v="8000000"/>
    <n v="126000000"/>
    <x v="1"/>
    <x v="3"/>
    <n v="-118000000"/>
    <n v="134000000"/>
  </r>
  <r>
    <s v="Portugal"/>
    <s v="PRT"/>
    <x v="7"/>
    <n v="56000000"/>
    <n v="8000000"/>
    <x v="1"/>
    <x v="3"/>
    <n v="48000000"/>
    <n v="64000000"/>
  </r>
  <r>
    <s v="Post-demographic dividend"/>
    <s v="PST"/>
    <x v="7"/>
    <n v="21248000000"/>
    <n v="7047000000"/>
    <x v="0"/>
    <x v="0"/>
    <n v="14201000000"/>
    <n v="28295000000"/>
  </r>
  <r>
    <s v="Pre-demographic dividend"/>
    <s v="PRE"/>
    <x v="7"/>
    <n v="0"/>
    <n v="1605000000"/>
    <x v="0"/>
    <x v="0"/>
    <n v="-1605000000"/>
    <n v="1605000000"/>
  </r>
  <r>
    <s v="Qatar"/>
    <s v="QAT"/>
    <x v="7"/>
    <n v="0"/>
    <n v="285000000"/>
    <x v="2"/>
    <x v="3"/>
    <n v="-285000000"/>
    <n v="285000000"/>
  </r>
  <r>
    <s v="Romania"/>
    <s v="ROU"/>
    <x v="7"/>
    <n v="0"/>
    <n v="88000000"/>
    <x v="1"/>
    <x v="3"/>
    <n v="-88000000"/>
    <n v="88000000"/>
  </r>
  <r>
    <s v="Russian Federation"/>
    <s v="RUS"/>
    <x v="7"/>
    <n v="6395000000"/>
    <n v="94000000"/>
    <x v="1"/>
    <x v="3"/>
    <n v="6301000000"/>
    <n v="6489000000"/>
  </r>
  <r>
    <s v="Rwanda"/>
    <s v="RWA"/>
    <x v="7"/>
    <n v="0"/>
    <n v="8000000"/>
    <x v="3"/>
    <x v="4"/>
    <n v="-8000000"/>
    <n v="8000000"/>
  </r>
  <r>
    <s v="Saudi Arabia"/>
    <s v="SAU"/>
    <x v="7"/>
    <n v="0"/>
    <n v="3852000000"/>
    <x v="2"/>
    <x v="3"/>
    <n v="-3852000000"/>
    <n v="3852000000"/>
  </r>
  <r>
    <s v="Senegal"/>
    <s v="SEN"/>
    <x v="7"/>
    <n v="0"/>
    <n v="48000000"/>
    <x v="3"/>
    <x v="2"/>
    <n v="-48000000"/>
    <n v="48000000"/>
  </r>
  <r>
    <s v="Serbia"/>
    <s v="SRB"/>
    <x v="7"/>
    <n v="20000000"/>
    <n v="65000000"/>
    <x v="1"/>
    <x v="1"/>
    <n v="-45000000"/>
    <n v="85000000"/>
  </r>
  <r>
    <s v="Singapore"/>
    <s v="SGP"/>
    <x v="7"/>
    <n v="0"/>
    <n v="408000000"/>
    <x v="5"/>
    <x v="3"/>
    <n v="-408000000"/>
    <n v="408000000"/>
  </r>
  <r>
    <s v="Slovak Republic"/>
    <s v="SVK"/>
    <x v="7"/>
    <n v="22000000"/>
    <n v="47000000"/>
    <x v="1"/>
    <x v="3"/>
    <n v="-25000000"/>
    <n v="69000000"/>
  </r>
  <r>
    <s v="Small states"/>
    <s v="SST"/>
    <x v="7"/>
    <n v="0"/>
    <n v="106000000"/>
    <x v="0"/>
    <x v="0"/>
    <n v="-106000000"/>
    <n v="106000000"/>
  </r>
  <r>
    <s v="Somalia, Fed. Rep."/>
    <s v="SOM"/>
    <x v="7"/>
    <n v="0"/>
    <n v="2000000"/>
    <x v="3"/>
    <x v="4"/>
    <n v="-2000000"/>
    <n v="2000000"/>
  </r>
  <r>
    <s v="South Africa"/>
    <s v="ZAF"/>
    <x v="7"/>
    <n v="100000000"/>
    <n v="0"/>
    <x v="3"/>
    <x v="1"/>
    <n v="100000000"/>
    <n v="100000000"/>
  </r>
  <r>
    <s v="South Asia"/>
    <s v="SAS"/>
    <x v="7"/>
    <n v="56000000"/>
    <n v="3062000000"/>
    <x v="0"/>
    <x v="0"/>
    <n v="-3006000000"/>
    <n v="3118000000"/>
  </r>
  <r>
    <s v="South Asia (IDA &amp; IBRD)"/>
    <s v="TSA"/>
    <x v="7"/>
    <n v="56000000"/>
    <n v="3062000000"/>
    <x v="0"/>
    <x v="0"/>
    <n v="-3006000000"/>
    <n v="3118000000"/>
  </r>
  <r>
    <s v="Spain"/>
    <s v="ESP"/>
    <x v="7"/>
    <n v="820000000"/>
    <n v="82000000"/>
    <x v="1"/>
    <x v="3"/>
    <n v="738000000"/>
    <n v="902000000"/>
  </r>
  <r>
    <s v="Sri Lanka"/>
    <s v="LKA"/>
    <x v="7"/>
    <n v="0"/>
    <n v="45000000"/>
    <x v="6"/>
    <x v="1"/>
    <n v="-45000000"/>
    <n v="45000000"/>
  </r>
  <r>
    <s v="Sudan"/>
    <s v="SDN"/>
    <x v="7"/>
    <n v="0"/>
    <n v="66000000"/>
    <x v="3"/>
    <x v="4"/>
    <n v="-66000000"/>
    <n v="66000000"/>
  </r>
  <r>
    <s v="Sweden"/>
    <s v="SWE"/>
    <x v="7"/>
    <n v="75000000"/>
    <n v="32000000"/>
    <x v="1"/>
    <x v="3"/>
    <n v="43000000"/>
    <n v="107000000"/>
  </r>
  <r>
    <s v="Switzerland"/>
    <s v="CHE"/>
    <x v="7"/>
    <n v="175000000"/>
    <n v="0"/>
    <x v="1"/>
    <x v="3"/>
    <n v="175000000"/>
    <n v="175000000"/>
  </r>
  <r>
    <s v="Syrian Arab Republic"/>
    <s v="SYR"/>
    <x v="7"/>
    <n v="0"/>
    <n v="52000000"/>
    <x v="2"/>
    <x v="4"/>
    <n v="-52000000"/>
    <n v="52000000"/>
  </r>
  <r>
    <s v="Tajikistan"/>
    <s v="TJK"/>
    <x v="7"/>
    <n v="0"/>
    <n v="19000000"/>
    <x v="1"/>
    <x v="2"/>
    <n v="-19000000"/>
    <n v="19000000"/>
  </r>
  <r>
    <s v="Tanzania"/>
    <s v="TZA"/>
    <x v="7"/>
    <n v="0"/>
    <n v="2000000"/>
    <x v="3"/>
    <x v="2"/>
    <n v="-2000000"/>
    <n v="2000000"/>
  </r>
  <r>
    <s v="Thailand"/>
    <s v="THA"/>
    <x v="7"/>
    <n v="4000000"/>
    <n v="317000000"/>
    <x v="5"/>
    <x v="1"/>
    <n v="-313000000"/>
    <n v="321000000"/>
  </r>
  <r>
    <s v="Tunisia"/>
    <s v="TUN"/>
    <x v="7"/>
    <n v="0"/>
    <n v="98000000"/>
    <x v="2"/>
    <x v="2"/>
    <n v="-98000000"/>
    <n v="98000000"/>
  </r>
  <r>
    <s v="Turkiye"/>
    <s v="TUR"/>
    <x v="7"/>
    <n v="184000000"/>
    <n v="427000000"/>
    <x v="1"/>
    <x v="1"/>
    <n v="-243000000"/>
    <n v="611000000"/>
  </r>
  <r>
    <s v="Turkmenistan"/>
    <s v="TKM"/>
    <x v="7"/>
    <n v="0"/>
    <n v="108000000"/>
    <x v="1"/>
    <x v="1"/>
    <n v="-108000000"/>
    <n v="108000000"/>
  </r>
  <r>
    <s v="Uganda"/>
    <s v="UGA"/>
    <x v="7"/>
    <n v="0"/>
    <n v="22000000"/>
    <x v="3"/>
    <x v="4"/>
    <n v="-22000000"/>
    <n v="22000000"/>
  </r>
  <r>
    <s v="Ukraine"/>
    <s v="UKR"/>
    <x v="7"/>
    <n v="377000000"/>
    <n v="4000000"/>
    <x v="1"/>
    <x v="1"/>
    <n v="373000000"/>
    <n v="381000000"/>
  </r>
  <r>
    <s v="United Arab Emirates"/>
    <s v="ARE"/>
    <x v="7"/>
    <n v="106000000"/>
    <n v="909000000"/>
    <x v="2"/>
    <x v="3"/>
    <n v="-803000000"/>
    <n v="1015000000"/>
  </r>
  <r>
    <s v="United Kingdom"/>
    <s v="GBR"/>
    <x v="7"/>
    <n v="1104000000"/>
    <n v="1002000000"/>
    <x v="1"/>
    <x v="3"/>
    <n v="102000000"/>
    <n v="2106000000"/>
  </r>
  <r>
    <s v="United States"/>
    <s v="USA"/>
    <x v="7"/>
    <n v="11381000000"/>
    <n v="504000000"/>
    <x v="7"/>
    <x v="3"/>
    <n v="10877000000"/>
    <n v="11885000000"/>
  </r>
  <r>
    <s v="Upper middle income"/>
    <s v="UMC"/>
    <x v="7"/>
    <n v="2636000000"/>
    <n v="8627000000"/>
    <x v="0"/>
    <x v="0"/>
    <n v="-5991000000"/>
    <n v="11263000000"/>
  </r>
  <r>
    <s v="Uzbekistan"/>
    <s v="UZB"/>
    <x v="7"/>
    <n v="0"/>
    <n v="5000000"/>
    <x v="1"/>
    <x v="2"/>
    <n v="-5000000"/>
    <n v="5000000"/>
  </r>
  <r>
    <s v="Viet Nam"/>
    <s v="VNM"/>
    <x v="7"/>
    <n v="0"/>
    <n v="783000000"/>
    <x v="5"/>
    <x v="1"/>
    <n v="-783000000"/>
    <n v="783000000"/>
  </r>
  <r>
    <s v="World"/>
    <s v="WLD"/>
    <x v="7"/>
    <n v="31279000000"/>
    <n v="31224000000"/>
    <x v="0"/>
    <x v="0"/>
    <n v="55000000"/>
    <n v="62503000000"/>
  </r>
  <r>
    <s v="Yemen, Rep."/>
    <s v="YEM"/>
    <x v="7"/>
    <n v="0"/>
    <n v="6000000"/>
    <x v="2"/>
    <x v="4"/>
    <n v="-6000000"/>
    <n v="6000000"/>
  </r>
  <r>
    <s v="Zambia"/>
    <s v="ZMB"/>
    <x v="7"/>
    <n v="0"/>
    <n v="46000000"/>
    <x v="3"/>
    <x v="2"/>
    <n v="-46000000"/>
    <n v="46000000"/>
  </r>
  <r>
    <s v="Afghanistan"/>
    <s v="AFG"/>
    <x v="8"/>
    <n v="0"/>
    <n v="170000000"/>
    <x v="2"/>
    <x v="4"/>
    <n v="-170000000"/>
    <n v="170000000"/>
  </r>
  <r>
    <s v="Africa Western and Central"/>
    <s v="AFW"/>
    <x v="8"/>
    <n v="0"/>
    <n v="223000000"/>
    <x v="0"/>
    <x v="0"/>
    <n v="-223000000"/>
    <n v="223000000"/>
  </r>
  <r>
    <s v="Algeria"/>
    <s v="DZA"/>
    <x v="8"/>
    <n v="0"/>
    <n v="2916000000"/>
    <x v="2"/>
    <x v="1"/>
    <n v="-2916000000"/>
    <n v="2916000000"/>
  </r>
  <r>
    <s v="Angola"/>
    <s v="AGO"/>
    <x v="8"/>
    <n v="0"/>
    <n v="156000000"/>
    <x v="3"/>
    <x v="2"/>
    <n v="-156000000"/>
    <n v="156000000"/>
  </r>
  <r>
    <s v="Arab World"/>
    <s v="ARB"/>
    <x v="8"/>
    <n v="0"/>
    <n v="12782000000"/>
    <x v="0"/>
    <x v="0"/>
    <n v="-12782000000"/>
    <n v="12782000000"/>
  </r>
  <r>
    <s v="Argentina"/>
    <s v="ARG"/>
    <x v="8"/>
    <n v="0"/>
    <n v="17000000"/>
    <x v="4"/>
    <x v="1"/>
    <n v="-17000000"/>
    <n v="17000000"/>
  </r>
  <r>
    <s v="Armenia"/>
    <s v="ARM"/>
    <x v="8"/>
    <n v="0"/>
    <n v="112000000"/>
    <x v="1"/>
    <x v="1"/>
    <n v="-112000000"/>
    <n v="112000000"/>
  </r>
  <r>
    <s v="Australia"/>
    <s v="AUS"/>
    <x v="8"/>
    <n v="136000000"/>
    <n v="1012000000"/>
    <x v="5"/>
    <x v="3"/>
    <n v="-876000000"/>
    <n v="1148000000"/>
  </r>
  <r>
    <s v="Austria"/>
    <s v="AUT"/>
    <x v="8"/>
    <n v="17000000"/>
    <n v="13000000"/>
    <x v="1"/>
    <x v="3"/>
    <n v="4000000"/>
    <n v="30000000"/>
  </r>
  <r>
    <s v="Azerbaijan"/>
    <s v="AZE"/>
    <x v="8"/>
    <n v="0"/>
    <n v="287000000"/>
    <x v="1"/>
    <x v="1"/>
    <n v="-287000000"/>
    <n v="287000000"/>
  </r>
  <r>
    <s v="Bahamas, The"/>
    <s v="BHS"/>
    <x v="8"/>
    <n v="0"/>
    <n v="20000000"/>
    <x v="4"/>
    <x v="3"/>
    <n v="-20000000"/>
    <n v="20000000"/>
  </r>
  <r>
    <s v="Bahrain"/>
    <s v="BHR"/>
    <x v="8"/>
    <n v="0"/>
    <n v="30000000"/>
    <x v="2"/>
    <x v="3"/>
    <n v="-30000000"/>
    <n v="30000000"/>
  </r>
  <r>
    <s v="Bangladesh"/>
    <s v="BGD"/>
    <x v="8"/>
    <n v="0"/>
    <n v="455000000"/>
    <x v="6"/>
    <x v="2"/>
    <n v="-455000000"/>
    <n v="455000000"/>
  </r>
  <r>
    <s v="Belarus"/>
    <s v="BLR"/>
    <x v="8"/>
    <n v="152000000"/>
    <n v="120000000"/>
    <x v="1"/>
    <x v="1"/>
    <n v="32000000"/>
    <n v="272000000"/>
  </r>
  <r>
    <s v="Belgium"/>
    <s v="BEL"/>
    <x v="8"/>
    <n v="7000000"/>
    <n v="4000000"/>
    <x v="1"/>
    <x v="3"/>
    <n v="3000000"/>
    <n v="11000000"/>
  </r>
  <r>
    <s v="Belize"/>
    <s v="BLZ"/>
    <x v="8"/>
    <n v="0"/>
    <n v="2000000"/>
    <x v="4"/>
    <x v="1"/>
    <n v="-2000000"/>
    <n v="2000000"/>
  </r>
  <r>
    <s v="Benin"/>
    <s v="BEN"/>
    <x v="8"/>
    <n v="0"/>
    <n v="1000000"/>
    <x v="3"/>
    <x v="2"/>
    <n v="-1000000"/>
    <n v="1000000"/>
  </r>
  <r>
    <s v="Bhutan"/>
    <s v="BTN"/>
    <x v="8"/>
    <n v="0"/>
    <n v="1000000"/>
    <x v="6"/>
    <x v="2"/>
    <n v="-1000000"/>
    <n v="1000000"/>
  </r>
  <r>
    <s v="Bolivia"/>
    <s v="BOL"/>
    <x v="8"/>
    <n v="0"/>
    <n v="27000000"/>
    <x v="4"/>
    <x v="2"/>
    <n v="-27000000"/>
    <n v="27000000"/>
  </r>
  <r>
    <s v="Botswana"/>
    <s v="BWA"/>
    <x v="8"/>
    <n v="0"/>
    <n v="5000000"/>
    <x v="3"/>
    <x v="1"/>
    <n v="-5000000"/>
    <n v="5000000"/>
  </r>
  <r>
    <s v="Brazil"/>
    <s v="BRA"/>
    <x v="8"/>
    <n v="134000000"/>
    <n v="111000000"/>
    <x v="4"/>
    <x v="1"/>
    <n v="23000000"/>
    <n v="245000000"/>
  </r>
  <r>
    <s v="Brunei Darussalam"/>
    <s v="BRN"/>
    <x v="8"/>
    <n v="12000000"/>
    <n v="0"/>
    <x v="5"/>
    <x v="3"/>
    <n v="12000000"/>
    <n v="12000000"/>
  </r>
  <r>
    <s v="Bulgaria"/>
    <s v="BGR"/>
    <x v="8"/>
    <n v="83000000"/>
    <n v="0"/>
    <x v="1"/>
    <x v="3"/>
    <n v="83000000"/>
    <n v="83000000"/>
  </r>
  <r>
    <s v="Burkina Faso"/>
    <s v="BFA"/>
    <x v="8"/>
    <n v="0"/>
    <n v="7000000"/>
    <x v="3"/>
    <x v="4"/>
    <n v="-7000000"/>
    <n v="7000000"/>
  </r>
  <r>
    <s v="Burundi"/>
    <s v="BDI"/>
    <x v="8"/>
    <n v="0"/>
    <n v="3000000"/>
    <x v="3"/>
    <x v="4"/>
    <n v="-3000000"/>
    <n v="3000000"/>
  </r>
  <r>
    <s v="Cameroon"/>
    <s v="CMR"/>
    <x v="8"/>
    <n v="0"/>
    <n v="23000000"/>
    <x v="3"/>
    <x v="2"/>
    <n v="-23000000"/>
    <n v="23000000"/>
  </r>
  <r>
    <s v="Canada"/>
    <s v="CAN"/>
    <x v="8"/>
    <n v="96000000"/>
    <n v="246000000"/>
    <x v="7"/>
    <x v="3"/>
    <n v="-150000000"/>
    <n v="342000000"/>
  </r>
  <r>
    <s v="Central Europe and the Baltics"/>
    <s v="CEB"/>
    <x v="8"/>
    <n v="0"/>
    <n v="357000000"/>
    <x v="0"/>
    <x v="0"/>
    <n v="-357000000"/>
    <n v="357000000"/>
  </r>
  <r>
    <s v="Chad"/>
    <s v="TCD"/>
    <x v="8"/>
    <n v="0"/>
    <n v="2000000"/>
    <x v="3"/>
    <x v="4"/>
    <n v="-2000000"/>
    <n v="2000000"/>
  </r>
  <r>
    <s v="Chile"/>
    <s v="CHL"/>
    <x v="8"/>
    <n v="0"/>
    <n v="70000000"/>
    <x v="4"/>
    <x v="3"/>
    <n v="-70000000"/>
    <n v="70000000"/>
  </r>
  <r>
    <s v="China"/>
    <s v="CHN"/>
    <x v="8"/>
    <n v="2480000000"/>
    <n v="1209000000"/>
    <x v="5"/>
    <x v="1"/>
    <n v="1271000000"/>
    <n v="3689000000"/>
  </r>
  <r>
    <s v="Colombia"/>
    <s v="COL"/>
    <x v="8"/>
    <n v="0"/>
    <n v="18000000"/>
    <x v="4"/>
    <x v="1"/>
    <n v="-18000000"/>
    <n v="18000000"/>
  </r>
  <r>
    <s v="Congo, Dem. Rep."/>
    <s v="COD"/>
    <x v="8"/>
    <n v="0"/>
    <n v="43000000"/>
    <x v="3"/>
    <x v="4"/>
    <n v="-43000000"/>
    <n v="43000000"/>
  </r>
  <r>
    <s v="Cote d'Ivoire"/>
    <s v="CIV"/>
    <x v="8"/>
    <n v="0"/>
    <n v="5000000"/>
    <x v="3"/>
    <x v="2"/>
    <n v="-5000000"/>
    <n v="5000000"/>
  </r>
  <r>
    <s v="Croatia"/>
    <s v="HRV"/>
    <x v="8"/>
    <n v="0"/>
    <n v="20000000"/>
    <x v="1"/>
    <x v="3"/>
    <n v="-20000000"/>
    <n v="20000000"/>
  </r>
  <r>
    <s v="Czechia"/>
    <s v="CZE"/>
    <x v="8"/>
    <n v="153000000"/>
    <n v="7000000"/>
    <x v="1"/>
    <x v="3"/>
    <n v="146000000"/>
    <n v="160000000"/>
  </r>
  <r>
    <s v="Denmark"/>
    <s v="DNK"/>
    <x v="8"/>
    <n v="21000000"/>
    <n v="103000000"/>
    <x v="1"/>
    <x v="3"/>
    <n v="-82000000"/>
    <n v="124000000"/>
  </r>
  <r>
    <s v="Djibouti"/>
    <s v="DJI"/>
    <x v="8"/>
    <n v="0"/>
    <n v="11000000"/>
    <x v="2"/>
    <x v="2"/>
    <n v="-11000000"/>
    <n v="11000000"/>
  </r>
  <r>
    <s v="Dominican Republic"/>
    <s v="DOM"/>
    <x v="8"/>
    <n v="0"/>
    <n v="0"/>
    <x v="4"/>
    <x v="1"/>
    <n v="0"/>
    <n v="0"/>
  </r>
  <r>
    <s v="Early-demographic dividend"/>
    <s v="EAR"/>
    <x v="8"/>
    <n v="0"/>
    <n v="15366000000"/>
    <x v="0"/>
    <x v="0"/>
    <n v="-15366000000"/>
    <n v="15366000000"/>
  </r>
  <r>
    <s v="East Asia &amp; Pacific"/>
    <s v="EAS"/>
    <x v="8"/>
    <n v="3235000000"/>
    <n v="6730000000"/>
    <x v="0"/>
    <x v="0"/>
    <n v="-3495000000"/>
    <n v="9965000000"/>
  </r>
  <r>
    <s v="East Asia &amp; Pacific (excluding high income)"/>
    <s v="EAP"/>
    <x v="8"/>
    <n v="2567000000"/>
    <n v="3613000000"/>
    <x v="0"/>
    <x v="0"/>
    <n v="-1046000000"/>
    <n v="6180000000"/>
  </r>
  <r>
    <s v="East Asia &amp; Pacific (IDA &amp; IBRD countries)"/>
    <s v="TEA"/>
    <x v="8"/>
    <n v="2567000000"/>
    <n v="3613000000"/>
    <x v="0"/>
    <x v="0"/>
    <n v="-1046000000"/>
    <n v="6180000000"/>
  </r>
  <r>
    <s v="Ecuador"/>
    <s v="ECU"/>
    <x v="8"/>
    <n v="0"/>
    <n v="26000000"/>
    <x v="4"/>
    <x v="1"/>
    <n v="-26000000"/>
    <n v="26000000"/>
  </r>
  <r>
    <s v="Egypt, Arab Rep."/>
    <s v="EGY"/>
    <x v="8"/>
    <n v="0"/>
    <n v="1653000000"/>
    <x v="2"/>
    <x v="2"/>
    <n v="-1653000000"/>
    <n v="1653000000"/>
  </r>
  <r>
    <s v="Estonia"/>
    <s v="EST"/>
    <x v="8"/>
    <n v="0"/>
    <n v="32000000"/>
    <x v="1"/>
    <x v="3"/>
    <n v="-32000000"/>
    <n v="32000000"/>
  </r>
  <r>
    <s v="Ethiopia"/>
    <s v="ETH"/>
    <x v="8"/>
    <n v="0"/>
    <n v="55000000"/>
    <x v="3"/>
    <x v="4"/>
    <n v="-55000000"/>
    <n v="55000000"/>
  </r>
  <r>
    <s v="Euro area"/>
    <s v="EMU"/>
    <x v="8"/>
    <n v="6659000000"/>
    <n v="1625000000"/>
    <x v="0"/>
    <x v="0"/>
    <n v="5034000000"/>
    <n v="8284000000"/>
  </r>
  <r>
    <s v="Europe &amp; Central Asia"/>
    <s v="ECS"/>
    <x v="8"/>
    <n v="16524000000"/>
    <n v="4294000000"/>
    <x v="0"/>
    <x v="0"/>
    <n v="12230000000"/>
    <n v="20818000000"/>
  </r>
  <r>
    <s v="Europe &amp; Central Asia (excluding high income)"/>
    <s v="ECA"/>
    <x v="8"/>
    <n v="1038000000"/>
    <n v="1632000000"/>
    <x v="0"/>
    <x v="0"/>
    <n v="-594000000"/>
    <n v="2670000000"/>
  </r>
  <r>
    <s v="Europe &amp; Central Asia (IDA &amp; IBRD countries)"/>
    <s v="TEC"/>
    <x v="8"/>
    <n v="7877000000"/>
    <n v="2001000000"/>
    <x v="0"/>
    <x v="0"/>
    <n v="5876000000"/>
    <n v="9878000000"/>
  </r>
  <r>
    <s v="European Union"/>
    <s v="EUU"/>
    <x v="8"/>
    <n v="7086000000"/>
    <n v="2041000000"/>
    <x v="0"/>
    <x v="0"/>
    <n v="5045000000"/>
    <n v="9127000000"/>
  </r>
  <r>
    <s v="Finland"/>
    <s v="FIN"/>
    <x v="8"/>
    <n v="61000000"/>
    <n v="122000000"/>
    <x v="1"/>
    <x v="3"/>
    <n v="-61000000"/>
    <n v="183000000"/>
  </r>
  <r>
    <s v="Fragility, Conflict, and Violence (FCV) situations"/>
    <s v="FCV"/>
    <x v="8"/>
    <n v="0"/>
    <n v="3136000000"/>
    <x v="0"/>
    <x v="0"/>
    <n v="-3136000000"/>
    <n v="3136000000"/>
  </r>
  <r>
    <s v="France"/>
    <s v="FRA"/>
    <x v="8"/>
    <n v="2193000000"/>
    <n v="38000000"/>
    <x v="1"/>
    <x v="3"/>
    <n v="2155000000"/>
    <n v="2231000000"/>
  </r>
  <r>
    <s v="Gabon"/>
    <s v="GAB"/>
    <x v="8"/>
    <n v="0"/>
    <n v="3000000"/>
    <x v="3"/>
    <x v="1"/>
    <n v="-3000000"/>
    <n v="3000000"/>
  </r>
  <r>
    <s v="Georgia"/>
    <s v="GEO"/>
    <x v="8"/>
    <n v="6000000"/>
    <n v="0"/>
    <x v="1"/>
    <x v="1"/>
    <n v="6000000"/>
    <n v="6000000"/>
  </r>
  <r>
    <s v="Germany"/>
    <s v="DEU"/>
    <x v="8"/>
    <n v="2512000000"/>
    <n v="55000000"/>
    <x v="1"/>
    <x v="3"/>
    <n v="2457000000"/>
    <n v="2567000000"/>
  </r>
  <r>
    <s v="Ghana"/>
    <s v="GHA"/>
    <x v="8"/>
    <n v="0"/>
    <n v="22000000"/>
    <x v="3"/>
    <x v="2"/>
    <n v="-22000000"/>
    <n v="22000000"/>
  </r>
  <r>
    <s v="Greece"/>
    <s v="GRC"/>
    <x v="8"/>
    <n v="0"/>
    <n v="302000000"/>
    <x v="1"/>
    <x v="3"/>
    <n v="-302000000"/>
    <n v="302000000"/>
  </r>
  <r>
    <s v="Heavily indebted poor countries (HIPC)"/>
    <s v="HPC"/>
    <x v="8"/>
    <n v="0"/>
    <n v="766000000"/>
    <x v="0"/>
    <x v="0"/>
    <n v="-766000000"/>
    <n v="766000000"/>
  </r>
  <r>
    <s v="High income"/>
    <s v="HIC"/>
    <x v="8"/>
    <n v="27514000000"/>
    <n v="12853000000"/>
    <x v="0"/>
    <x v="0"/>
    <n v="14661000000"/>
    <n v="40367000000"/>
  </r>
  <r>
    <s v="Hungary"/>
    <s v="HUN"/>
    <x v="8"/>
    <n v="0"/>
    <n v="14000000"/>
    <x v="1"/>
    <x v="3"/>
    <n v="-14000000"/>
    <n v="14000000"/>
  </r>
  <r>
    <s v="IBRD only"/>
    <s v="IBD"/>
    <x v="8"/>
    <n v="10714000000"/>
    <n v="16439000000"/>
    <x v="0"/>
    <x v="0"/>
    <n v="-5725000000"/>
    <n v="27153000000"/>
  </r>
  <r>
    <s v="IDA &amp; IBRD total"/>
    <s v="IBT"/>
    <x v="8"/>
    <n v="10792000000"/>
    <n v="19011000000"/>
    <x v="0"/>
    <x v="0"/>
    <n v="-8219000000"/>
    <n v="29803000000"/>
  </r>
  <r>
    <s v="IDA blend"/>
    <s v="IDB"/>
    <x v="8"/>
    <n v="0"/>
    <n v="1053000000"/>
    <x v="0"/>
    <x v="0"/>
    <n v="-1053000000"/>
    <n v="1053000000"/>
  </r>
  <r>
    <s v="IDA only"/>
    <s v="IDX"/>
    <x v="8"/>
    <n v="0"/>
    <n v="1519000000"/>
    <x v="0"/>
    <x v="0"/>
    <n v="-1519000000"/>
    <n v="1519000000"/>
  </r>
  <r>
    <s v="IDA total"/>
    <s v="IDA"/>
    <x v="8"/>
    <n v="0"/>
    <n v="2572000000"/>
    <x v="0"/>
    <x v="0"/>
    <n v="-2572000000"/>
    <n v="2572000000"/>
  </r>
  <r>
    <s v="India"/>
    <s v="IND"/>
    <x v="8"/>
    <n v="49000000"/>
    <n v="2651000000"/>
    <x v="6"/>
    <x v="2"/>
    <n v="-2602000000"/>
    <n v="2700000000"/>
  </r>
  <r>
    <s v="Indonesia"/>
    <s v="IDN"/>
    <x v="8"/>
    <n v="85000000"/>
    <n v="352000000"/>
    <x v="5"/>
    <x v="1"/>
    <n v="-267000000"/>
    <n v="437000000"/>
  </r>
  <r>
    <s v="Iran, Islamic Rep."/>
    <s v="IRN"/>
    <x v="8"/>
    <n v="24000000"/>
    <n v="413000000"/>
    <x v="2"/>
    <x v="1"/>
    <n v="-389000000"/>
    <n v="437000000"/>
  </r>
  <r>
    <s v="Iraq"/>
    <s v="IRQ"/>
    <x v="8"/>
    <n v="0"/>
    <n v="1831000000"/>
    <x v="2"/>
    <x v="1"/>
    <n v="-1831000000"/>
    <n v="1831000000"/>
  </r>
  <r>
    <s v="Ireland"/>
    <s v="IRL"/>
    <x v="8"/>
    <n v="0"/>
    <n v="43000000"/>
    <x v="1"/>
    <x v="3"/>
    <n v="-43000000"/>
    <n v="43000000"/>
  </r>
  <r>
    <s v="Israel"/>
    <s v="ISR"/>
    <x v="8"/>
    <n v="1258000000"/>
    <n v="652000000"/>
    <x v="2"/>
    <x v="3"/>
    <n v="606000000"/>
    <n v="1910000000"/>
  </r>
  <r>
    <s v="Italy"/>
    <s v="ITA"/>
    <x v="8"/>
    <n v="616000000"/>
    <n v="734000000"/>
    <x v="1"/>
    <x v="3"/>
    <n v="-118000000"/>
    <n v="1350000000"/>
  </r>
  <r>
    <s v="Jamaica"/>
    <s v="JAM"/>
    <x v="8"/>
    <n v="0"/>
    <n v="22000000"/>
    <x v="4"/>
    <x v="1"/>
    <n v="-22000000"/>
    <n v="22000000"/>
  </r>
  <r>
    <s v="Japan"/>
    <s v="JPN"/>
    <x v="8"/>
    <n v="0"/>
    <n v="332000000"/>
    <x v="5"/>
    <x v="3"/>
    <n v="-332000000"/>
    <n v="332000000"/>
  </r>
  <r>
    <s v="Jordan"/>
    <s v="JOR"/>
    <x v="8"/>
    <n v="18000000"/>
    <n v="243000000"/>
    <x v="2"/>
    <x v="1"/>
    <n v="-225000000"/>
    <n v="261000000"/>
  </r>
  <r>
    <s v="Kazakhstan"/>
    <s v="KAZ"/>
    <x v="8"/>
    <n v="0"/>
    <n v="255000000"/>
    <x v="1"/>
    <x v="1"/>
    <n v="-255000000"/>
    <n v="255000000"/>
  </r>
  <r>
    <s v="Kenya"/>
    <s v="KEN"/>
    <x v="8"/>
    <n v="0"/>
    <n v="32000000"/>
    <x v="3"/>
    <x v="2"/>
    <n v="-32000000"/>
    <n v="32000000"/>
  </r>
  <r>
    <s v="Korea, Rep."/>
    <s v="KOR"/>
    <x v="8"/>
    <n v="435000000"/>
    <n v="1038000000"/>
    <x v="5"/>
    <x v="3"/>
    <n v="-603000000"/>
    <n v="1473000000"/>
  </r>
  <r>
    <s v="Kuwait"/>
    <s v="KWT"/>
    <x v="8"/>
    <n v="0"/>
    <n v="147000000"/>
    <x v="2"/>
    <x v="3"/>
    <n v="-147000000"/>
    <n v="147000000"/>
  </r>
  <r>
    <s v="Kyrgyz Republic"/>
    <s v="KGZ"/>
    <x v="8"/>
    <n v="5000000"/>
    <n v="8000000"/>
    <x v="1"/>
    <x v="2"/>
    <n v="-3000000"/>
    <n v="13000000"/>
  </r>
  <r>
    <s v="Late-demographic dividend"/>
    <s v="LTE"/>
    <x v="8"/>
    <n v="9612000000"/>
    <n v="7207000000"/>
    <x v="0"/>
    <x v="0"/>
    <n v="2405000000"/>
    <n v="16819000000"/>
  </r>
  <r>
    <s v="Latin America &amp; Caribbean"/>
    <s v="LCN"/>
    <x v="8"/>
    <n v="0"/>
    <n v="1020000000"/>
    <x v="0"/>
    <x v="0"/>
    <n v="-1020000000"/>
    <n v="1020000000"/>
  </r>
  <r>
    <s v="Latin America &amp; Caribbean (excluding high income)"/>
    <s v="LAC"/>
    <x v="8"/>
    <n v="0"/>
    <n v="900000000"/>
    <x v="0"/>
    <x v="0"/>
    <n v="-900000000"/>
    <n v="900000000"/>
  </r>
  <r>
    <s v="Latin America &amp; the Caribbean (IDA &amp; IBRD countries)"/>
    <s v="TLA"/>
    <x v="8"/>
    <n v="0"/>
    <n v="1000000000"/>
    <x v="0"/>
    <x v="0"/>
    <n v="-1000000000"/>
    <n v="1000000000"/>
  </r>
  <r>
    <s v="Latvia"/>
    <s v="LVA"/>
    <x v="8"/>
    <n v="0"/>
    <n v="28000000"/>
    <x v="1"/>
    <x v="3"/>
    <n v="-28000000"/>
    <n v="28000000"/>
  </r>
  <r>
    <s v="Least developed countries: UN classification"/>
    <s v="LDC"/>
    <x v="8"/>
    <n v="0"/>
    <n v="1533000000"/>
    <x v="0"/>
    <x v="0"/>
    <n v="-1533000000"/>
    <n v="1533000000"/>
  </r>
  <r>
    <s v="Lebanon"/>
    <s v="LBN"/>
    <x v="8"/>
    <n v="0"/>
    <n v="28000000"/>
    <x v="2"/>
    <x v="2"/>
    <n v="-28000000"/>
    <n v="28000000"/>
  </r>
  <r>
    <s v="Libya"/>
    <s v="LBY"/>
    <x v="8"/>
    <n v="0"/>
    <n v="2000000"/>
    <x v="2"/>
    <x v="1"/>
    <n v="-2000000"/>
    <n v="2000000"/>
  </r>
  <r>
    <s v="Lithuania"/>
    <s v="LTU"/>
    <x v="8"/>
    <n v="0"/>
    <n v="34000000"/>
    <x v="1"/>
    <x v="3"/>
    <n v="-34000000"/>
    <n v="34000000"/>
  </r>
  <r>
    <s v="Low &amp; middle income"/>
    <s v="LMY"/>
    <x v="8"/>
    <n v="3953000000"/>
    <n v="18535000000"/>
    <x v="0"/>
    <x v="0"/>
    <n v="-14582000000"/>
    <n v="22488000000"/>
  </r>
  <r>
    <s v="Low income"/>
    <s v="LIC"/>
    <x v="8"/>
    <n v="0"/>
    <n v="496000000"/>
    <x v="0"/>
    <x v="0"/>
    <n v="-496000000"/>
    <n v="496000000"/>
  </r>
  <r>
    <s v="Lower middle income"/>
    <s v="LMC"/>
    <x v="8"/>
    <n v="0"/>
    <n v="7018000000"/>
    <x v="0"/>
    <x v="0"/>
    <n v="-7018000000"/>
    <n v="7018000000"/>
  </r>
  <r>
    <s v="Malawi"/>
    <s v="MWI"/>
    <x v="8"/>
    <n v="0"/>
    <n v="0"/>
    <x v="3"/>
    <x v="4"/>
    <n v="0"/>
    <n v="0"/>
  </r>
  <r>
    <s v="Malaysia"/>
    <s v="MYS"/>
    <x v="8"/>
    <n v="0"/>
    <n v="270000000"/>
    <x v="5"/>
    <x v="1"/>
    <n v="-270000000"/>
    <n v="270000000"/>
  </r>
  <r>
    <s v="Mali"/>
    <s v="MLI"/>
    <x v="8"/>
    <n v="0"/>
    <n v="22000000"/>
    <x v="3"/>
    <x v="4"/>
    <n v="-22000000"/>
    <n v="22000000"/>
  </r>
  <r>
    <s v="Malta"/>
    <s v="MLT"/>
    <x v="8"/>
    <n v="0"/>
    <n v="6000000"/>
    <x v="2"/>
    <x v="3"/>
    <n v="-6000000"/>
    <n v="6000000"/>
  </r>
  <r>
    <s v="Mauritania"/>
    <s v="MRT"/>
    <x v="8"/>
    <n v="0"/>
    <n v="35000000"/>
    <x v="3"/>
    <x v="2"/>
    <n v="-35000000"/>
    <n v="35000000"/>
  </r>
  <r>
    <s v="Mauritius"/>
    <s v="MUS"/>
    <x v="8"/>
    <n v="0"/>
    <n v="28000000"/>
    <x v="3"/>
    <x v="1"/>
    <n v="-28000000"/>
    <n v="28000000"/>
  </r>
  <r>
    <s v="Mexico"/>
    <s v="MEX"/>
    <x v="8"/>
    <n v="0"/>
    <n v="328000000"/>
    <x v="4"/>
    <x v="1"/>
    <n v="-328000000"/>
    <n v="328000000"/>
  </r>
  <r>
    <s v="Middle East, North Africa, Afghanistan &amp; Pakistan"/>
    <s v="MEA"/>
    <x v="8"/>
    <n v="0"/>
    <n v="14748000000"/>
    <x v="0"/>
    <x v="0"/>
    <n v="-14748000000"/>
    <n v="14748000000"/>
  </r>
  <r>
    <s v="Middle East, North Africa, Afghanistan &amp; Pakistan (excluding high income)"/>
    <s v="MNA"/>
    <x v="8"/>
    <n v="0"/>
    <n v="8495000000"/>
    <x v="0"/>
    <x v="0"/>
    <n v="-8495000000"/>
    <n v="8495000000"/>
  </r>
  <r>
    <s v="Middle East, North Africa, Afghanistan &amp; Pakistan (IDA &amp; IBRD)"/>
    <s v="TMN"/>
    <x v="8"/>
    <n v="0"/>
    <n v="8494000000"/>
    <x v="0"/>
    <x v="0"/>
    <n v="-8494000000"/>
    <n v="8494000000"/>
  </r>
  <r>
    <s v="Middle income"/>
    <s v="MIC"/>
    <x v="8"/>
    <n v="3949000000"/>
    <n v="18039000000"/>
    <x v="0"/>
    <x v="0"/>
    <n v="-14090000000"/>
    <n v="21988000000"/>
  </r>
  <r>
    <s v="Montenegro"/>
    <s v="MNE"/>
    <x v="8"/>
    <n v="0"/>
    <n v="0"/>
    <x v="1"/>
    <x v="1"/>
    <n v="0"/>
    <n v="0"/>
  </r>
  <r>
    <s v="Morocco"/>
    <s v="MAR"/>
    <x v="8"/>
    <n v="0"/>
    <n v="287000000"/>
    <x v="2"/>
    <x v="2"/>
    <n v="-287000000"/>
    <n v="287000000"/>
  </r>
  <r>
    <s v="Mozambique"/>
    <s v="MOZ"/>
    <x v="8"/>
    <n v="0"/>
    <n v="46000000"/>
    <x v="3"/>
    <x v="4"/>
    <n v="-46000000"/>
    <n v="46000000"/>
  </r>
  <r>
    <s v="Myanmar"/>
    <s v="MMR"/>
    <x v="8"/>
    <n v="0"/>
    <n v="284000000"/>
    <x v="5"/>
    <x v="2"/>
    <n v="-284000000"/>
    <n v="284000000"/>
  </r>
  <r>
    <s v="Namibia"/>
    <s v="NAM"/>
    <x v="8"/>
    <n v="0"/>
    <n v="3000000"/>
    <x v="3"/>
    <x v="2"/>
    <n v="-3000000"/>
    <n v="3000000"/>
  </r>
  <r>
    <s v="Nepal"/>
    <s v="NPL"/>
    <x v="8"/>
    <n v="0"/>
    <n v="9000000"/>
    <x v="6"/>
    <x v="2"/>
    <n v="-9000000"/>
    <n v="9000000"/>
  </r>
  <r>
    <s v="Netherlands"/>
    <s v="NLD"/>
    <x v="8"/>
    <n v="487000000"/>
    <n v="69000000"/>
    <x v="1"/>
    <x v="3"/>
    <n v="418000000"/>
    <n v="556000000"/>
  </r>
  <r>
    <s v="New Zealand"/>
    <s v="NZL"/>
    <x v="8"/>
    <n v="6000000"/>
    <n v="0"/>
    <x v="5"/>
    <x v="3"/>
    <n v="6000000"/>
    <n v="6000000"/>
  </r>
  <r>
    <s v="Nicaragua"/>
    <s v="NIC"/>
    <x v="8"/>
    <n v="0"/>
    <n v="86000000"/>
    <x v="4"/>
    <x v="2"/>
    <n v="-86000000"/>
    <n v="86000000"/>
  </r>
  <r>
    <s v="Niger"/>
    <s v="NER"/>
    <x v="8"/>
    <n v="0"/>
    <n v="0"/>
    <x v="3"/>
    <x v="4"/>
    <n v="0"/>
    <n v="0"/>
  </r>
  <r>
    <s v="Nigeria"/>
    <s v="NGA"/>
    <x v="8"/>
    <n v="0"/>
    <n v="61000000"/>
    <x v="3"/>
    <x v="2"/>
    <n v="-61000000"/>
    <n v="61000000"/>
  </r>
  <r>
    <s v="North America"/>
    <s v="NAC"/>
    <x v="8"/>
    <n v="9986000000"/>
    <n v="693000000"/>
    <x v="0"/>
    <x v="0"/>
    <n v="9293000000"/>
    <n v="10679000000"/>
  </r>
  <r>
    <s v="North Macedonia"/>
    <s v="MKD"/>
    <x v="8"/>
    <n v="0"/>
    <n v="0"/>
    <x v="1"/>
    <x v="1"/>
    <n v="0"/>
    <n v="0"/>
  </r>
  <r>
    <s v="Norway"/>
    <s v="NOR"/>
    <x v="8"/>
    <n v="85000000"/>
    <n v="142000000"/>
    <x v="1"/>
    <x v="3"/>
    <n v="-57000000"/>
    <n v="227000000"/>
  </r>
  <r>
    <s v="OECD members"/>
    <s v="OED"/>
    <x v="8"/>
    <n v="20731000000"/>
    <n v="6805000000"/>
    <x v="0"/>
    <x v="0"/>
    <n v="13926000000"/>
    <n v="27536000000"/>
  </r>
  <r>
    <s v="Oman"/>
    <s v="OMN"/>
    <x v="8"/>
    <n v="0"/>
    <n v="422000000"/>
    <x v="2"/>
    <x v="3"/>
    <n v="-422000000"/>
    <n v="422000000"/>
  </r>
  <r>
    <s v="Pakistan"/>
    <s v="PAK"/>
    <x v="8"/>
    <n v="1000000"/>
    <n v="872000000"/>
    <x v="2"/>
    <x v="2"/>
    <n v="-871000000"/>
    <n v="873000000"/>
  </r>
  <r>
    <s v="Peru"/>
    <s v="PER"/>
    <x v="8"/>
    <n v="0"/>
    <n v="168000000"/>
    <x v="4"/>
    <x v="1"/>
    <n v="-168000000"/>
    <n v="168000000"/>
  </r>
  <r>
    <s v="Philippines"/>
    <s v="PHL"/>
    <x v="8"/>
    <n v="0"/>
    <n v="228000000"/>
    <x v="5"/>
    <x v="1"/>
    <n v="-228000000"/>
    <n v="228000000"/>
  </r>
  <r>
    <s v="Poland"/>
    <s v="POL"/>
    <x v="8"/>
    <n v="5000000"/>
    <n v="45000000"/>
    <x v="1"/>
    <x v="3"/>
    <n v="-40000000"/>
    <n v="50000000"/>
  </r>
  <r>
    <s v="Portugal"/>
    <s v="PRT"/>
    <x v="8"/>
    <n v="172000000"/>
    <n v="21000000"/>
    <x v="1"/>
    <x v="3"/>
    <n v="151000000"/>
    <n v="193000000"/>
  </r>
  <r>
    <s v="Post-demographic dividend"/>
    <s v="PST"/>
    <x v="8"/>
    <n v="19965000000"/>
    <n v="6058000000"/>
    <x v="0"/>
    <x v="0"/>
    <n v="13907000000"/>
    <n v="26023000000"/>
  </r>
  <r>
    <s v="Pre-demographic dividend"/>
    <s v="PRE"/>
    <x v="8"/>
    <n v="0"/>
    <n v="2664000000"/>
    <x v="0"/>
    <x v="0"/>
    <n v="-2664000000"/>
    <n v="2664000000"/>
  </r>
  <r>
    <s v="Qatar"/>
    <s v="QAT"/>
    <x v="8"/>
    <n v="0"/>
    <n v="596000000"/>
    <x v="2"/>
    <x v="3"/>
    <n v="-596000000"/>
    <n v="596000000"/>
  </r>
  <r>
    <s v="Romania"/>
    <s v="ROU"/>
    <x v="8"/>
    <n v="0"/>
    <n v="177000000"/>
    <x v="1"/>
    <x v="3"/>
    <n v="-177000000"/>
    <n v="177000000"/>
  </r>
  <r>
    <s v="Russian Federation"/>
    <s v="RUS"/>
    <x v="8"/>
    <n v="6751000000"/>
    <n v="127000000"/>
    <x v="1"/>
    <x v="3"/>
    <n v="6624000000"/>
    <n v="6878000000"/>
  </r>
  <r>
    <s v="Saudi Arabia"/>
    <s v="SAU"/>
    <x v="8"/>
    <n v="5000000"/>
    <n v="2909000000"/>
    <x v="2"/>
    <x v="3"/>
    <n v="-2904000000"/>
    <n v="2914000000"/>
  </r>
  <r>
    <s v="Senegal"/>
    <s v="SEN"/>
    <x v="8"/>
    <n v="0"/>
    <n v="40000000"/>
    <x v="3"/>
    <x v="2"/>
    <n v="-40000000"/>
    <n v="40000000"/>
  </r>
  <r>
    <s v="Serbia"/>
    <s v="SRB"/>
    <x v="8"/>
    <n v="86000000"/>
    <n v="23000000"/>
    <x v="1"/>
    <x v="1"/>
    <n v="63000000"/>
    <n v="109000000"/>
  </r>
  <r>
    <s v="Seychelles"/>
    <s v="SYC"/>
    <x v="8"/>
    <n v="0"/>
    <n v="8000000"/>
    <x v="3"/>
    <x v="3"/>
    <n v="-8000000"/>
    <n v="8000000"/>
  </r>
  <r>
    <s v="Sierra Leone"/>
    <s v="SLE"/>
    <x v="8"/>
    <n v="0"/>
    <n v="2000000"/>
    <x v="3"/>
    <x v="4"/>
    <n v="-2000000"/>
    <n v="2000000"/>
  </r>
  <r>
    <s v="Singapore"/>
    <s v="SGP"/>
    <x v="8"/>
    <n v="77000000"/>
    <n v="642000000"/>
    <x v="5"/>
    <x v="3"/>
    <n v="-565000000"/>
    <n v="719000000"/>
  </r>
  <r>
    <s v="Slovak Republic"/>
    <s v="SVK"/>
    <x v="8"/>
    <n v="20000000"/>
    <n v="0"/>
    <x v="1"/>
    <x v="3"/>
    <n v="20000000"/>
    <n v="20000000"/>
  </r>
  <r>
    <s v="Slovenia"/>
    <s v="SVN"/>
    <x v="8"/>
    <n v="10000000"/>
    <n v="0"/>
    <x v="1"/>
    <x v="3"/>
    <n v="10000000"/>
    <n v="10000000"/>
  </r>
  <r>
    <s v="Somalia, Fed. Rep."/>
    <s v="SOM"/>
    <x v="8"/>
    <n v="0"/>
    <n v="2000000"/>
    <x v="3"/>
    <x v="4"/>
    <n v="-2000000"/>
    <n v="2000000"/>
  </r>
  <r>
    <s v="South Africa"/>
    <s v="ZAF"/>
    <x v="8"/>
    <n v="118000000"/>
    <n v="0"/>
    <x v="3"/>
    <x v="1"/>
    <n v="118000000"/>
    <n v="118000000"/>
  </r>
  <r>
    <s v="South Asia"/>
    <s v="SAS"/>
    <x v="8"/>
    <n v="49000000"/>
    <n v="3116000000"/>
    <x v="0"/>
    <x v="0"/>
    <n v="-3067000000"/>
    <n v="3165000000"/>
  </r>
  <r>
    <s v="South Asia (IDA &amp; IBRD)"/>
    <s v="TSA"/>
    <x v="8"/>
    <n v="49000000"/>
    <n v="3116000000"/>
    <x v="0"/>
    <x v="0"/>
    <n v="-3067000000"/>
    <n v="3165000000"/>
  </r>
  <r>
    <s v="South Sudan"/>
    <s v="SSD"/>
    <x v="8"/>
    <n v="0"/>
    <n v="8000000"/>
    <x v="3"/>
    <x v="4"/>
    <n v="-8000000"/>
    <n v="8000000"/>
  </r>
  <r>
    <s v="Spain"/>
    <s v="ESP"/>
    <x v="8"/>
    <n v="481000000"/>
    <n v="104000000"/>
    <x v="1"/>
    <x v="3"/>
    <n v="377000000"/>
    <n v="585000000"/>
  </r>
  <r>
    <s v="Sub-Saharan Africa"/>
    <s v="SSF"/>
    <x v="8"/>
    <n v="0"/>
    <n v="787000000"/>
    <x v="0"/>
    <x v="0"/>
    <n v="-787000000"/>
    <n v="787000000"/>
  </r>
  <r>
    <s v="Sub-Saharan Africa (excluding high income)"/>
    <s v="SSA"/>
    <x v="8"/>
    <n v="0"/>
    <n v="779000000"/>
    <x v="0"/>
    <x v="0"/>
    <n v="-779000000"/>
    <n v="779000000"/>
  </r>
  <r>
    <s v="Sub-Saharan Africa (IDA &amp; IBRD countries)"/>
    <s v="TSS"/>
    <x v="8"/>
    <n v="0"/>
    <n v="787000000"/>
    <x v="0"/>
    <x v="0"/>
    <n v="-787000000"/>
    <n v="787000000"/>
  </r>
  <r>
    <s v="Sudan"/>
    <s v="SDN"/>
    <x v="8"/>
    <n v="0"/>
    <n v="110000000"/>
    <x v="3"/>
    <x v="4"/>
    <n v="-110000000"/>
    <n v="110000000"/>
  </r>
  <r>
    <s v="Sweden"/>
    <s v="SWE"/>
    <x v="8"/>
    <n v="248000000"/>
    <n v="70000000"/>
    <x v="1"/>
    <x v="3"/>
    <n v="178000000"/>
    <n v="318000000"/>
  </r>
  <r>
    <s v="Switzerland"/>
    <s v="CHE"/>
    <x v="8"/>
    <n v="220000000"/>
    <n v="70000000"/>
    <x v="1"/>
    <x v="3"/>
    <n v="150000000"/>
    <n v="290000000"/>
  </r>
  <r>
    <s v="Syrian Arab Republic"/>
    <s v="SYR"/>
    <x v="8"/>
    <n v="0"/>
    <n v="18000000"/>
    <x v="2"/>
    <x v="4"/>
    <n v="-18000000"/>
    <n v="18000000"/>
  </r>
  <r>
    <s v="Tajikistan"/>
    <s v="TJK"/>
    <x v="8"/>
    <n v="0"/>
    <n v="7000000"/>
    <x v="1"/>
    <x v="2"/>
    <n v="-7000000"/>
    <n v="7000000"/>
  </r>
  <r>
    <s v="Tanzania"/>
    <s v="TZA"/>
    <x v="8"/>
    <n v="0"/>
    <n v="20000000"/>
    <x v="3"/>
    <x v="2"/>
    <n v="-20000000"/>
    <n v="20000000"/>
  </r>
  <r>
    <s v="Thailand"/>
    <s v="THA"/>
    <x v="8"/>
    <n v="2000000"/>
    <n v="346000000"/>
    <x v="5"/>
    <x v="1"/>
    <n v="-344000000"/>
    <n v="348000000"/>
  </r>
  <r>
    <s v="Trinidad and Tobago"/>
    <s v="TTO"/>
    <x v="8"/>
    <n v="0"/>
    <n v="30000000"/>
    <x v="4"/>
    <x v="3"/>
    <n v="-30000000"/>
    <n v="30000000"/>
  </r>
  <r>
    <s v="Tunisia"/>
    <s v="TUN"/>
    <x v="8"/>
    <n v="0"/>
    <n v="43000000"/>
    <x v="2"/>
    <x v="2"/>
    <n v="-43000000"/>
    <n v="43000000"/>
  </r>
  <r>
    <s v="Turkiye"/>
    <s v="TUR"/>
    <x v="8"/>
    <n v="258000000"/>
    <n v="324000000"/>
    <x v="1"/>
    <x v="1"/>
    <n v="-66000000"/>
    <n v="582000000"/>
  </r>
  <r>
    <s v="Turkmenistan"/>
    <s v="TKM"/>
    <x v="8"/>
    <n v="0"/>
    <n v="433000000"/>
    <x v="1"/>
    <x v="1"/>
    <n v="-433000000"/>
    <n v="433000000"/>
  </r>
  <r>
    <s v="Uganda"/>
    <s v="UGA"/>
    <x v="8"/>
    <n v="4000000"/>
    <n v="1000000"/>
    <x v="3"/>
    <x v="4"/>
    <n v="3000000"/>
    <n v="5000000"/>
  </r>
  <r>
    <s v="Ukraine"/>
    <s v="UKR"/>
    <x v="8"/>
    <n v="463000000"/>
    <n v="5000000"/>
    <x v="1"/>
    <x v="1"/>
    <n v="458000000"/>
    <n v="468000000"/>
  </r>
  <r>
    <s v="United Arab Emirates"/>
    <s v="ARE"/>
    <x v="8"/>
    <n v="111000000"/>
    <n v="1491000000"/>
    <x v="2"/>
    <x v="3"/>
    <n v="-1380000000"/>
    <n v="1602000000"/>
  </r>
  <r>
    <s v="United Kingdom"/>
    <s v="GBR"/>
    <x v="8"/>
    <n v="1344000000"/>
    <n v="288000000"/>
    <x v="1"/>
    <x v="3"/>
    <n v="1056000000"/>
    <n v="1632000000"/>
  </r>
  <r>
    <s v="United States"/>
    <s v="USA"/>
    <x v="8"/>
    <n v="9890000000"/>
    <n v="447000000"/>
    <x v="7"/>
    <x v="3"/>
    <n v="9443000000"/>
    <n v="10337000000"/>
  </r>
  <r>
    <s v="Upper middle income"/>
    <s v="UMC"/>
    <x v="8"/>
    <n v="3826000000"/>
    <n v="11021000000"/>
    <x v="0"/>
    <x v="0"/>
    <n v="-7195000000"/>
    <n v="14847000000"/>
  </r>
  <r>
    <s v="Uzbekistan"/>
    <s v="UZB"/>
    <x v="8"/>
    <n v="68000000"/>
    <n v="58000000"/>
    <x v="1"/>
    <x v="2"/>
    <n v="10000000"/>
    <n v="126000000"/>
  </r>
  <r>
    <s v="Venezuela, RB"/>
    <s v="VEN"/>
    <x v="8"/>
    <n v="0"/>
    <n v="95000000"/>
    <x v="4"/>
    <x v="2"/>
    <n v="-95000000"/>
    <n v="95000000"/>
  </r>
  <r>
    <s v="Viet Nam"/>
    <s v="VNM"/>
    <x v="8"/>
    <n v="0"/>
    <n v="924000000"/>
    <x v="5"/>
    <x v="1"/>
    <n v="-924000000"/>
    <n v="924000000"/>
  </r>
  <r>
    <s v="West Bank and Gaza"/>
    <s v="PSE"/>
    <x v="8"/>
    <n v="0"/>
    <n v="1000000"/>
    <x v="2"/>
    <x v="2"/>
    <n v="-1000000"/>
    <n v="1000000"/>
  </r>
  <r>
    <s v="World"/>
    <s v="WLD"/>
    <x v="8"/>
    <n v="31481000000"/>
    <n v="31388000000"/>
    <x v="0"/>
    <x v="0"/>
    <n v="93000000"/>
    <n v="62869000000"/>
  </r>
  <r>
    <s v="Yemen, Rep."/>
    <s v="YEM"/>
    <x v="8"/>
    <n v="0"/>
    <n v="7000000"/>
    <x v="2"/>
    <x v="4"/>
    <n v="-7000000"/>
    <n v="7000000"/>
  </r>
  <r>
    <s v="Zambia"/>
    <s v="ZMB"/>
    <x v="8"/>
    <n v="0"/>
    <n v="44000000"/>
    <x v="3"/>
    <x v="2"/>
    <n v="-44000000"/>
    <n v="44000000"/>
  </r>
  <r>
    <s v="Afghanistan"/>
    <s v="AFG"/>
    <x v="9"/>
    <n v="0"/>
    <n v="131000000"/>
    <x v="2"/>
    <x v="4"/>
    <n v="-131000000"/>
    <n v="131000000"/>
  </r>
  <r>
    <s v="Africa Eastern and Southern"/>
    <s v="AFE"/>
    <x v="9"/>
    <n v="0"/>
    <n v="330000000"/>
    <x v="0"/>
    <x v="0"/>
    <n v="-330000000"/>
    <n v="330000000"/>
  </r>
  <r>
    <s v="Africa Western and Central"/>
    <s v="AFW"/>
    <x v="9"/>
    <n v="0"/>
    <n v="265000000"/>
    <x v="0"/>
    <x v="0"/>
    <n v="-265000000"/>
    <n v="265000000"/>
  </r>
  <r>
    <s v="Albania"/>
    <s v="ALB"/>
    <x v="9"/>
    <n v="0"/>
    <n v="7000000"/>
    <x v="1"/>
    <x v="1"/>
    <n v="-7000000"/>
    <n v="7000000"/>
  </r>
  <r>
    <s v="Algeria"/>
    <s v="DZA"/>
    <x v="9"/>
    <n v="0"/>
    <n v="897000000"/>
    <x v="2"/>
    <x v="1"/>
    <n v="-897000000"/>
    <n v="897000000"/>
  </r>
  <r>
    <s v="Angola"/>
    <s v="AGO"/>
    <x v="9"/>
    <n v="0"/>
    <n v="49000000"/>
    <x v="3"/>
    <x v="2"/>
    <n v="-49000000"/>
    <n v="49000000"/>
  </r>
  <r>
    <s v="Arab World"/>
    <s v="ARB"/>
    <x v="9"/>
    <n v="0"/>
    <n v="10490000000"/>
    <x v="0"/>
    <x v="0"/>
    <n v="-10490000000"/>
    <n v="10490000000"/>
  </r>
  <r>
    <s v="Argentina"/>
    <s v="ARG"/>
    <x v="9"/>
    <n v="0"/>
    <n v="18000000"/>
    <x v="4"/>
    <x v="1"/>
    <n v="-18000000"/>
    <n v="18000000"/>
  </r>
  <r>
    <s v="Australia"/>
    <s v="AUS"/>
    <x v="9"/>
    <n v="79000000"/>
    <n v="1445000000"/>
    <x v="5"/>
    <x v="3"/>
    <n v="-1366000000"/>
    <n v="1524000000"/>
  </r>
  <r>
    <s v="Austria"/>
    <s v="AUT"/>
    <x v="9"/>
    <n v="10000000"/>
    <n v="1000000"/>
    <x v="1"/>
    <x v="3"/>
    <n v="9000000"/>
    <n v="11000000"/>
  </r>
  <r>
    <s v="Azerbaijan"/>
    <s v="AZE"/>
    <x v="9"/>
    <n v="0"/>
    <n v="351000000"/>
    <x v="1"/>
    <x v="1"/>
    <n v="-351000000"/>
    <n v="351000000"/>
  </r>
  <r>
    <s v="Bahamas, The"/>
    <s v="BHS"/>
    <x v="9"/>
    <n v="0"/>
    <n v="16000000"/>
    <x v="4"/>
    <x v="3"/>
    <n v="-16000000"/>
    <n v="16000000"/>
  </r>
  <r>
    <s v="Bahrain"/>
    <s v="BHR"/>
    <x v="9"/>
    <n v="0"/>
    <n v="17000000"/>
    <x v="2"/>
    <x v="3"/>
    <n v="-17000000"/>
    <n v="17000000"/>
  </r>
  <r>
    <s v="Bangladesh"/>
    <s v="BGD"/>
    <x v="9"/>
    <n v="0"/>
    <n v="638000000"/>
    <x v="6"/>
    <x v="2"/>
    <n v="-638000000"/>
    <n v="638000000"/>
  </r>
  <r>
    <s v="Belarus"/>
    <s v="BLR"/>
    <x v="9"/>
    <n v="142000000"/>
    <n v="98000000"/>
    <x v="1"/>
    <x v="1"/>
    <n v="44000000"/>
    <n v="240000000"/>
  </r>
  <r>
    <s v="Belgium"/>
    <s v="BEL"/>
    <x v="9"/>
    <n v="12000000"/>
    <n v="52000000"/>
    <x v="1"/>
    <x v="3"/>
    <n v="-40000000"/>
    <n v="64000000"/>
  </r>
  <r>
    <s v="Bhutan"/>
    <s v="BTN"/>
    <x v="9"/>
    <n v="0"/>
    <n v="1000000"/>
    <x v="6"/>
    <x v="2"/>
    <n v="-1000000"/>
    <n v="1000000"/>
  </r>
  <r>
    <s v="Brazil"/>
    <s v="BRA"/>
    <x v="9"/>
    <n v="53000000"/>
    <n v="202000000"/>
    <x v="4"/>
    <x v="1"/>
    <n v="-149000000"/>
    <n v="255000000"/>
  </r>
  <r>
    <s v="Brunei Darussalam"/>
    <s v="BRN"/>
    <x v="9"/>
    <n v="0"/>
    <n v="36000000"/>
    <x v="5"/>
    <x v="3"/>
    <n v="-36000000"/>
    <n v="36000000"/>
  </r>
  <r>
    <s v="Bulgaria"/>
    <s v="BGR"/>
    <x v="9"/>
    <n v="81000000"/>
    <n v="4000000"/>
    <x v="1"/>
    <x v="3"/>
    <n v="77000000"/>
    <n v="85000000"/>
  </r>
  <r>
    <s v="Burkina Faso"/>
    <s v="BFA"/>
    <x v="9"/>
    <n v="0"/>
    <n v="5000000"/>
    <x v="3"/>
    <x v="4"/>
    <n v="-5000000"/>
    <n v="5000000"/>
  </r>
  <r>
    <s v="Burundi"/>
    <s v="BDI"/>
    <x v="9"/>
    <n v="0"/>
    <n v="1000000"/>
    <x v="3"/>
    <x v="4"/>
    <n v="-1000000"/>
    <n v="1000000"/>
  </r>
  <r>
    <s v="Cameroon"/>
    <s v="CMR"/>
    <x v="9"/>
    <n v="0"/>
    <n v="10000000"/>
    <x v="3"/>
    <x v="2"/>
    <n v="-10000000"/>
    <n v="10000000"/>
  </r>
  <r>
    <s v="Canada"/>
    <s v="CAN"/>
    <x v="9"/>
    <n v="298000000"/>
    <n v="408000000"/>
    <x v="7"/>
    <x v="3"/>
    <n v="-110000000"/>
    <n v="706000000"/>
  </r>
  <r>
    <s v="Chad"/>
    <s v="TCD"/>
    <x v="9"/>
    <n v="0"/>
    <n v="1000000"/>
    <x v="3"/>
    <x v="4"/>
    <n v="-1000000"/>
    <n v="1000000"/>
  </r>
  <r>
    <s v="Chile"/>
    <s v="CHL"/>
    <x v="9"/>
    <n v="0"/>
    <n v="135000000"/>
    <x v="4"/>
    <x v="3"/>
    <n v="-135000000"/>
    <n v="135000000"/>
  </r>
  <r>
    <s v="China"/>
    <s v="CHN"/>
    <x v="9"/>
    <n v="1841000000"/>
    <n v="1190000000"/>
    <x v="5"/>
    <x v="1"/>
    <n v="651000000"/>
    <n v="3031000000"/>
  </r>
  <r>
    <s v="Colombia"/>
    <s v="COL"/>
    <x v="9"/>
    <n v="0"/>
    <n v="193000000"/>
    <x v="4"/>
    <x v="1"/>
    <n v="-193000000"/>
    <n v="193000000"/>
  </r>
  <r>
    <s v="Congo, Dem. Rep."/>
    <s v="COD"/>
    <x v="9"/>
    <n v="0"/>
    <n v="3000000"/>
    <x v="3"/>
    <x v="4"/>
    <n v="-3000000"/>
    <n v="3000000"/>
  </r>
  <r>
    <s v="Congo, Rep."/>
    <s v="COG"/>
    <x v="9"/>
    <n v="0"/>
    <n v="2000000"/>
    <x v="3"/>
    <x v="2"/>
    <n v="-2000000"/>
    <n v="2000000"/>
  </r>
  <r>
    <s v="Cote d'Ivoire"/>
    <s v="CIV"/>
    <x v="9"/>
    <n v="0"/>
    <n v="5000000"/>
    <x v="3"/>
    <x v="2"/>
    <n v="-5000000"/>
    <n v="5000000"/>
  </r>
  <r>
    <s v="Croatia"/>
    <s v="HRV"/>
    <x v="9"/>
    <n v="0"/>
    <n v="11000000"/>
    <x v="1"/>
    <x v="3"/>
    <n v="-11000000"/>
    <n v="11000000"/>
  </r>
  <r>
    <s v="Czechia"/>
    <s v="CZE"/>
    <x v="9"/>
    <n v="151000000"/>
    <n v="0"/>
    <x v="1"/>
    <x v="3"/>
    <n v="151000000"/>
    <n v="151000000"/>
  </r>
  <r>
    <s v="Denmark"/>
    <s v="DNK"/>
    <x v="9"/>
    <n v="22000000"/>
    <n v="42000000"/>
    <x v="1"/>
    <x v="3"/>
    <n v="-20000000"/>
    <n v="64000000"/>
  </r>
  <r>
    <s v="Djibouti"/>
    <s v="DJI"/>
    <x v="9"/>
    <n v="0"/>
    <n v="4000000"/>
    <x v="2"/>
    <x v="2"/>
    <n v="-4000000"/>
    <n v="4000000"/>
  </r>
  <r>
    <s v="Dominican Republic"/>
    <s v="DOM"/>
    <x v="9"/>
    <n v="0"/>
    <n v="1000000"/>
    <x v="4"/>
    <x v="1"/>
    <n v="-1000000"/>
    <n v="1000000"/>
  </r>
  <r>
    <s v="Early-demographic dividend"/>
    <s v="EAR"/>
    <x v="9"/>
    <n v="0"/>
    <n v="13382000000"/>
    <x v="0"/>
    <x v="0"/>
    <n v="-13382000000"/>
    <n v="13382000000"/>
  </r>
  <r>
    <s v="East Asia &amp; Pacific"/>
    <s v="EAS"/>
    <x v="9"/>
    <n v="0"/>
    <n v="6158000000"/>
    <x v="0"/>
    <x v="0"/>
    <n v="-6158000000"/>
    <n v="6158000000"/>
  </r>
  <r>
    <s v="East Asia &amp; Pacific (excluding high income)"/>
    <s v="EAP"/>
    <x v="9"/>
    <n v="1841000000"/>
    <n v="3290000000"/>
    <x v="0"/>
    <x v="0"/>
    <n v="-1449000000"/>
    <n v="5131000000"/>
  </r>
  <r>
    <s v="East Asia &amp; Pacific (IDA &amp; IBRD countries)"/>
    <s v="TEA"/>
    <x v="9"/>
    <n v="1841000000"/>
    <n v="3290000000"/>
    <x v="0"/>
    <x v="0"/>
    <n v="-1449000000"/>
    <n v="5131000000"/>
  </r>
  <r>
    <s v="Ecuador"/>
    <s v="ECU"/>
    <x v="9"/>
    <n v="0"/>
    <n v="27000000"/>
    <x v="4"/>
    <x v="1"/>
    <n v="-27000000"/>
    <n v="27000000"/>
  </r>
  <r>
    <s v="Egypt, Arab Rep."/>
    <s v="EGY"/>
    <x v="9"/>
    <n v="21000000"/>
    <n v="1443000000"/>
    <x v="2"/>
    <x v="2"/>
    <n v="-1422000000"/>
    <n v="1464000000"/>
  </r>
  <r>
    <s v="Estonia"/>
    <s v="EST"/>
    <x v="9"/>
    <n v="1000000"/>
    <n v="18000000"/>
    <x v="1"/>
    <x v="3"/>
    <n v="-17000000"/>
    <n v="19000000"/>
  </r>
  <r>
    <s v="Ethiopia"/>
    <s v="ETH"/>
    <x v="9"/>
    <n v="0"/>
    <n v="10000000"/>
    <x v="3"/>
    <x v="4"/>
    <n v="-10000000"/>
    <n v="10000000"/>
  </r>
  <r>
    <s v="Euro area"/>
    <s v="EMU"/>
    <x v="9"/>
    <n v="6332000000"/>
    <n v="1748000000"/>
    <x v="0"/>
    <x v="0"/>
    <n v="4584000000"/>
    <n v="8080000000"/>
  </r>
  <r>
    <s v="Europe &amp; Central Asia"/>
    <s v="ECS"/>
    <x v="9"/>
    <n v="15059000000"/>
    <n v="4287000000"/>
    <x v="0"/>
    <x v="0"/>
    <n v="10772000000"/>
    <n v="19346000000"/>
  </r>
  <r>
    <s v="Europe &amp; Central Asia (excluding high income)"/>
    <s v="ECA"/>
    <x v="9"/>
    <n v="789000000"/>
    <n v="1644000000"/>
    <x v="0"/>
    <x v="0"/>
    <n v="-855000000"/>
    <n v="2433000000"/>
  </r>
  <r>
    <s v="Europe &amp; Central Asia (IDA &amp; IBRD countries)"/>
    <s v="TEC"/>
    <x v="9"/>
    <n v="6671000000"/>
    <n v="1921000000"/>
    <x v="0"/>
    <x v="0"/>
    <n v="4750000000"/>
    <n v="8592000000"/>
  </r>
  <r>
    <s v="European Union"/>
    <s v="EUU"/>
    <x v="9"/>
    <n v="6685000000"/>
    <n v="1963000000"/>
    <x v="0"/>
    <x v="0"/>
    <n v="4722000000"/>
    <n v="8648000000"/>
  </r>
  <r>
    <s v="Finland"/>
    <s v="FIN"/>
    <x v="9"/>
    <n v="29000000"/>
    <n v="268000000"/>
    <x v="1"/>
    <x v="3"/>
    <n v="-239000000"/>
    <n v="297000000"/>
  </r>
  <r>
    <s v="Fragility, Conflict, and Violence (FCV) situations"/>
    <s v="FCV"/>
    <x v="9"/>
    <n v="0"/>
    <n v="2394000000"/>
    <x v="0"/>
    <x v="0"/>
    <n v="-2394000000"/>
    <n v="2394000000"/>
  </r>
  <r>
    <s v="France"/>
    <s v="FRA"/>
    <x v="9"/>
    <n v="2229000000"/>
    <n v="36000000"/>
    <x v="1"/>
    <x v="3"/>
    <n v="2193000000"/>
    <n v="2265000000"/>
  </r>
  <r>
    <s v="Gabon"/>
    <s v="GAB"/>
    <x v="9"/>
    <n v="0"/>
    <n v="5000000"/>
    <x v="3"/>
    <x v="1"/>
    <n v="-5000000"/>
    <n v="5000000"/>
  </r>
  <r>
    <s v="Germany"/>
    <s v="DEU"/>
    <x v="9"/>
    <n v="1823000000"/>
    <n v="119000000"/>
    <x v="1"/>
    <x v="3"/>
    <n v="1704000000"/>
    <n v="1942000000"/>
  </r>
  <r>
    <s v="Ghana"/>
    <s v="GHA"/>
    <x v="9"/>
    <n v="0"/>
    <n v="13000000"/>
    <x v="3"/>
    <x v="2"/>
    <n v="-13000000"/>
    <n v="13000000"/>
  </r>
  <r>
    <s v="Greece"/>
    <s v="GRC"/>
    <x v="9"/>
    <n v="0"/>
    <n v="728000000"/>
    <x v="1"/>
    <x v="3"/>
    <n v="-728000000"/>
    <n v="728000000"/>
  </r>
  <r>
    <s v="Guatemala"/>
    <s v="GTM"/>
    <x v="9"/>
    <n v="0"/>
    <n v="33000000"/>
    <x v="4"/>
    <x v="1"/>
    <n v="-33000000"/>
    <n v="33000000"/>
  </r>
  <r>
    <s v="Heavily indebted poor countries (HIPC)"/>
    <s v="HPC"/>
    <x v="9"/>
    <n v="0"/>
    <n v="455000000"/>
    <x v="0"/>
    <x v="0"/>
    <n v="-455000000"/>
    <n v="455000000"/>
  </r>
  <r>
    <s v="High income"/>
    <s v="HIC"/>
    <x v="9"/>
    <n v="25862000000"/>
    <n v="13456000000"/>
    <x v="0"/>
    <x v="0"/>
    <n v="12406000000"/>
    <n v="39318000000"/>
  </r>
  <r>
    <s v="Honduras"/>
    <s v="HND"/>
    <x v="9"/>
    <n v="0"/>
    <n v="8000000"/>
    <x v="4"/>
    <x v="2"/>
    <n v="-8000000"/>
    <n v="8000000"/>
  </r>
  <r>
    <s v="IBRD only"/>
    <s v="IBD"/>
    <x v="9"/>
    <n v="0"/>
    <n v="13143000000"/>
    <x v="0"/>
    <x v="0"/>
    <n v="-13143000000"/>
    <n v="13143000000"/>
  </r>
  <r>
    <s v="IDA &amp; IBRD total"/>
    <s v="IBT"/>
    <x v="9"/>
    <n v="0"/>
    <n v="15685000000"/>
    <x v="0"/>
    <x v="0"/>
    <n v="-15685000000"/>
    <n v="15685000000"/>
  </r>
  <r>
    <s v="IDA blend"/>
    <s v="IDB"/>
    <x v="9"/>
    <n v="0"/>
    <n v="1109000000"/>
    <x v="0"/>
    <x v="0"/>
    <n v="-1109000000"/>
    <n v="1109000000"/>
  </r>
  <r>
    <s v="IDA only"/>
    <s v="IDX"/>
    <x v="9"/>
    <n v="0"/>
    <n v="1433000000"/>
    <x v="0"/>
    <x v="0"/>
    <n v="-1433000000"/>
    <n v="1433000000"/>
  </r>
  <r>
    <s v="IDA total"/>
    <s v="IDA"/>
    <x v="9"/>
    <n v="0"/>
    <n v="2542000000"/>
    <x v="0"/>
    <x v="0"/>
    <n v="-2542000000"/>
    <n v="2542000000"/>
  </r>
  <r>
    <s v="India"/>
    <s v="IND"/>
    <x v="9"/>
    <n v="42000000"/>
    <n v="2733000000"/>
    <x v="6"/>
    <x v="2"/>
    <n v="-2691000000"/>
    <n v="2775000000"/>
  </r>
  <r>
    <s v="Indonesia"/>
    <s v="IDN"/>
    <x v="9"/>
    <n v="0"/>
    <n v="438000000"/>
    <x v="5"/>
    <x v="1"/>
    <n v="-438000000"/>
    <n v="438000000"/>
  </r>
  <r>
    <s v="Iran, Islamic Rep."/>
    <s v="IRN"/>
    <x v="9"/>
    <n v="11000000"/>
    <n v="11000000"/>
    <x v="2"/>
    <x v="1"/>
    <n v="0"/>
    <n v="22000000"/>
  </r>
  <r>
    <s v="Iraq"/>
    <s v="IRQ"/>
    <x v="9"/>
    <n v="0"/>
    <n v="1488000000"/>
    <x v="2"/>
    <x v="1"/>
    <n v="-1488000000"/>
    <n v="1488000000"/>
  </r>
  <r>
    <s v="Ireland"/>
    <s v="IRL"/>
    <x v="9"/>
    <n v="10000000"/>
    <n v="43000000"/>
    <x v="1"/>
    <x v="3"/>
    <n v="-33000000"/>
    <n v="53000000"/>
  </r>
  <r>
    <s v="Israel"/>
    <s v="ISR"/>
    <x v="9"/>
    <n v="573000000"/>
    <n v="694000000"/>
    <x v="2"/>
    <x v="3"/>
    <n v="-121000000"/>
    <n v="1267000000"/>
  </r>
  <r>
    <s v="Italy"/>
    <s v="ITA"/>
    <x v="9"/>
    <n v="671000000"/>
    <n v="237000000"/>
    <x v="1"/>
    <x v="3"/>
    <n v="434000000"/>
    <n v="908000000"/>
  </r>
  <r>
    <s v="Jamaica"/>
    <s v="JAM"/>
    <x v="9"/>
    <n v="0"/>
    <n v="2000000"/>
    <x v="4"/>
    <x v="1"/>
    <n v="-2000000"/>
    <n v="2000000"/>
  </r>
  <r>
    <s v="Japan"/>
    <s v="JPN"/>
    <x v="9"/>
    <n v="0"/>
    <n v="343000000"/>
    <x v="5"/>
    <x v="3"/>
    <n v="-343000000"/>
    <n v="343000000"/>
  </r>
  <r>
    <s v="Jordan"/>
    <s v="JOR"/>
    <x v="9"/>
    <n v="16000000"/>
    <n v="228000000"/>
    <x v="2"/>
    <x v="1"/>
    <n v="-212000000"/>
    <n v="244000000"/>
  </r>
  <r>
    <s v="Kazakhstan"/>
    <s v="KAZ"/>
    <x v="9"/>
    <n v="0"/>
    <n v="446000000"/>
    <x v="1"/>
    <x v="1"/>
    <n v="-446000000"/>
    <n v="446000000"/>
  </r>
  <r>
    <s v="Kenya"/>
    <s v="KEN"/>
    <x v="9"/>
    <n v="0"/>
    <n v="30000000"/>
    <x v="3"/>
    <x v="2"/>
    <n v="-30000000"/>
    <n v="30000000"/>
  </r>
  <r>
    <s v="Korea, Rep."/>
    <s v="KOR"/>
    <x v="9"/>
    <n v="92000000"/>
    <n v="268000000"/>
    <x v="5"/>
    <x v="3"/>
    <n v="-176000000"/>
    <n v="360000000"/>
  </r>
  <r>
    <s v="Kuwait"/>
    <s v="KWT"/>
    <x v="9"/>
    <n v="0"/>
    <n v="317000000"/>
    <x v="2"/>
    <x v="3"/>
    <n v="-317000000"/>
    <n v="317000000"/>
  </r>
  <r>
    <s v="Kyrgyz Republic"/>
    <s v="KGZ"/>
    <x v="9"/>
    <n v="4000000"/>
    <n v="4000000"/>
    <x v="1"/>
    <x v="2"/>
    <n v="0"/>
    <n v="8000000"/>
  </r>
  <r>
    <s v="Lao PDR"/>
    <s v="LAO"/>
    <x v="9"/>
    <n v="0"/>
    <n v="7000000"/>
    <x v="5"/>
    <x v="2"/>
    <n v="-7000000"/>
    <n v="7000000"/>
  </r>
  <r>
    <s v="Late-demographic dividend"/>
    <s v="LTE"/>
    <x v="9"/>
    <n v="7918000000"/>
    <n v="6964000000"/>
    <x v="0"/>
    <x v="0"/>
    <n v="954000000"/>
    <n v="14882000000"/>
  </r>
  <r>
    <s v="Latin America &amp; Caribbean"/>
    <s v="LCN"/>
    <x v="9"/>
    <n v="0"/>
    <n v="1384000000"/>
    <x v="0"/>
    <x v="0"/>
    <n v="-1384000000"/>
    <n v="1384000000"/>
  </r>
  <r>
    <s v="Latin America &amp; Caribbean (excluding high income)"/>
    <s v="LAC"/>
    <x v="9"/>
    <n v="0"/>
    <n v="1174000000"/>
    <x v="0"/>
    <x v="0"/>
    <n v="-1174000000"/>
    <n v="1174000000"/>
  </r>
  <r>
    <s v="Latin America &amp; the Caribbean (IDA &amp; IBRD countries)"/>
    <s v="TLA"/>
    <x v="9"/>
    <n v="0"/>
    <n v="1368000000"/>
    <x v="0"/>
    <x v="0"/>
    <n v="-1368000000"/>
    <n v="1368000000"/>
  </r>
  <r>
    <s v="Latvia"/>
    <s v="LVA"/>
    <x v="9"/>
    <n v="0"/>
    <n v="3000000"/>
    <x v="1"/>
    <x v="3"/>
    <n v="-3000000"/>
    <n v="3000000"/>
  </r>
  <r>
    <s v="Least developed countries: UN classification"/>
    <s v="LDC"/>
    <x v="9"/>
    <n v="0"/>
    <n v="1426000000"/>
    <x v="0"/>
    <x v="0"/>
    <n v="-1426000000"/>
    <n v="1426000000"/>
  </r>
  <r>
    <s v="Lebanon"/>
    <s v="LBN"/>
    <x v="9"/>
    <n v="0"/>
    <n v="48000000"/>
    <x v="2"/>
    <x v="2"/>
    <n v="-48000000"/>
    <n v="48000000"/>
  </r>
  <r>
    <s v="Lithuania"/>
    <s v="LTU"/>
    <x v="9"/>
    <n v="0"/>
    <n v="14000000"/>
    <x v="1"/>
    <x v="3"/>
    <n v="-14000000"/>
    <n v="14000000"/>
  </r>
  <r>
    <s v="Low &amp; middle income"/>
    <s v="LMY"/>
    <x v="9"/>
    <n v="0"/>
    <n v="15214000000"/>
    <x v="0"/>
    <x v="0"/>
    <n v="-15214000000"/>
    <n v="15214000000"/>
  </r>
  <r>
    <s v="Low income"/>
    <s v="LIC"/>
    <x v="9"/>
    <n v="0"/>
    <n v="411000000"/>
    <x v="0"/>
    <x v="0"/>
    <n v="-411000000"/>
    <n v="411000000"/>
  </r>
  <r>
    <s v="Lower middle income"/>
    <s v="LMC"/>
    <x v="9"/>
    <n v="0"/>
    <n v="6593000000"/>
    <x v="0"/>
    <x v="0"/>
    <n v="-6593000000"/>
    <n v="6593000000"/>
  </r>
  <r>
    <s v="Malawi"/>
    <s v="MWI"/>
    <x v="9"/>
    <n v="0"/>
    <n v="3000000"/>
    <x v="3"/>
    <x v="4"/>
    <n v="-3000000"/>
    <n v="3000000"/>
  </r>
  <r>
    <s v="Malaysia"/>
    <s v="MYS"/>
    <x v="9"/>
    <n v="0"/>
    <n v="118000000"/>
    <x v="5"/>
    <x v="1"/>
    <n v="-118000000"/>
    <n v="118000000"/>
  </r>
  <r>
    <s v="Malta"/>
    <s v="MLT"/>
    <x v="9"/>
    <n v="5000000"/>
    <n v="10000000"/>
    <x v="2"/>
    <x v="3"/>
    <n v="-5000000"/>
    <n v="15000000"/>
  </r>
  <r>
    <s v="Mauritania"/>
    <s v="MRT"/>
    <x v="9"/>
    <n v="0"/>
    <n v="1000000"/>
    <x v="3"/>
    <x v="2"/>
    <n v="-1000000"/>
    <n v="1000000"/>
  </r>
  <r>
    <s v="Mexico"/>
    <s v="MEX"/>
    <x v="9"/>
    <n v="0"/>
    <n v="324000000"/>
    <x v="4"/>
    <x v="1"/>
    <n v="-324000000"/>
    <n v="324000000"/>
  </r>
  <r>
    <s v="Middle East, North Africa, Afghanistan &amp; Pakistan"/>
    <s v="MEA"/>
    <x v="9"/>
    <n v="0"/>
    <n v="11969000000"/>
    <x v="0"/>
    <x v="0"/>
    <n v="-11969000000"/>
    <n v="11969000000"/>
  </r>
  <r>
    <s v="Middle East, North Africa, Afghanistan &amp; Pakistan (excluding high income)"/>
    <s v="MNA"/>
    <x v="9"/>
    <n v="0"/>
    <n v="5124000000"/>
    <x v="0"/>
    <x v="0"/>
    <n v="-5124000000"/>
    <n v="5124000000"/>
  </r>
  <r>
    <s v="Middle East, North Africa, Afghanistan &amp; Pakistan (IDA &amp; IBRD)"/>
    <s v="TMN"/>
    <x v="9"/>
    <n v="0"/>
    <n v="5124000000"/>
    <x v="0"/>
    <x v="0"/>
    <n v="-5124000000"/>
    <n v="5124000000"/>
  </r>
  <r>
    <s v="Middle income"/>
    <s v="MIC"/>
    <x v="9"/>
    <n v="0"/>
    <n v="14803000000"/>
    <x v="0"/>
    <x v="0"/>
    <n v="-14803000000"/>
    <n v="14803000000"/>
  </r>
  <r>
    <s v="Mongolia"/>
    <s v="MNG"/>
    <x v="9"/>
    <n v="0"/>
    <n v="73000000"/>
    <x v="5"/>
    <x v="1"/>
    <n v="-73000000"/>
    <n v="73000000"/>
  </r>
  <r>
    <s v="Montenegro"/>
    <s v="MNE"/>
    <x v="9"/>
    <n v="0"/>
    <n v="1000000"/>
    <x v="1"/>
    <x v="1"/>
    <n v="-1000000"/>
    <n v="1000000"/>
  </r>
  <r>
    <s v="Morocco"/>
    <s v="MAR"/>
    <x v="9"/>
    <n v="0"/>
    <n v="47000000"/>
    <x v="2"/>
    <x v="2"/>
    <n v="-47000000"/>
    <n v="47000000"/>
  </r>
  <r>
    <s v="Mozambique"/>
    <s v="MOZ"/>
    <x v="9"/>
    <n v="0"/>
    <n v="5000000"/>
    <x v="3"/>
    <x v="4"/>
    <n v="-5000000"/>
    <n v="5000000"/>
  </r>
  <r>
    <s v="Myanmar"/>
    <s v="MMR"/>
    <x v="9"/>
    <n v="0"/>
    <n v="258000000"/>
    <x v="5"/>
    <x v="2"/>
    <n v="-258000000"/>
    <n v="258000000"/>
  </r>
  <r>
    <s v="Nepal"/>
    <s v="NPL"/>
    <x v="9"/>
    <n v="0"/>
    <n v="15000000"/>
    <x v="6"/>
    <x v="2"/>
    <n v="-15000000"/>
    <n v="15000000"/>
  </r>
  <r>
    <s v="Netherlands"/>
    <s v="NLD"/>
    <x v="9"/>
    <n v="469000000"/>
    <n v="51000000"/>
    <x v="1"/>
    <x v="3"/>
    <n v="418000000"/>
    <n v="520000000"/>
  </r>
  <r>
    <s v="New Zealand"/>
    <s v="NZL"/>
    <x v="9"/>
    <n v="1000000"/>
    <n v="89000000"/>
    <x v="5"/>
    <x v="3"/>
    <n v="-88000000"/>
    <n v="90000000"/>
  </r>
  <r>
    <s v="Nicaragua"/>
    <s v="NIC"/>
    <x v="9"/>
    <n v="0"/>
    <n v="14000000"/>
    <x v="4"/>
    <x v="2"/>
    <n v="-14000000"/>
    <n v="14000000"/>
  </r>
  <r>
    <s v="Niger"/>
    <s v="NER"/>
    <x v="9"/>
    <n v="0"/>
    <n v="10000000"/>
    <x v="3"/>
    <x v="4"/>
    <n v="-10000000"/>
    <n v="10000000"/>
  </r>
  <r>
    <s v="Nigeria"/>
    <s v="NGA"/>
    <x v="9"/>
    <n v="0"/>
    <n v="188000000"/>
    <x v="3"/>
    <x v="2"/>
    <n v="-188000000"/>
    <n v="188000000"/>
  </r>
  <r>
    <s v="North America"/>
    <s v="NAC"/>
    <x v="9"/>
    <n v="10612000000"/>
    <n v="890000000"/>
    <x v="0"/>
    <x v="0"/>
    <n v="9722000000"/>
    <n v="11502000000"/>
  </r>
  <r>
    <s v="Norway"/>
    <s v="NOR"/>
    <x v="9"/>
    <n v="117000000"/>
    <n v="143000000"/>
    <x v="1"/>
    <x v="3"/>
    <n v="-26000000"/>
    <n v="260000000"/>
  </r>
  <r>
    <s v="OECD members"/>
    <s v="OED"/>
    <x v="9"/>
    <n v="19991000000"/>
    <n v="7320000000"/>
    <x v="0"/>
    <x v="0"/>
    <n v="12671000000"/>
    <n v="27311000000"/>
  </r>
  <r>
    <s v="Oman"/>
    <s v="OMN"/>
    <x v="9"/>
    <n v="0"/>
    <n v="152000000"/>
    <x v="2"/>
    <x v="3"/>
    <n v="-152000000"/>
    <n v="152000000"/>
  </r>
  <r>
    <s v="Pakistan"/>
    <s v="PAK"/>
    <x v="9"/>
    <n v="0"/>
    <n v="771000000"/>
    <x v="2"/>
    <x v="2"/>
    <n v="-771000000"/>
    <n v="771000000"/>
  </r>
  <r>
    <s v="Peru"/>
    <s v="PER"/>
    <x v="9"/>
    <n v="0"/>
    <n v="211000000"/>
    <x v="4"/>
    <x v="1"/>
    <n v="-211000000"/>
    <n v="211000000"/>
  </r>
  <r>
    <s v="Philippines"/>
    <s v="PHL"/>
    <x v="9"/>
    <n v="0"/>
    <n v="153000000"/>
    <x v="5"/>
    <x v="1"/>
    <n v="-153000000"/>
    <n v="153000000"/>
  </r>
  <r>
    <s v="Poland"/>
    <s v="POL"/>
    <x v="9"/>
    <n v="2000000"/>
    <n v="127000000"/>
    <x v="1"/>
    <x v="3"/>
    <n v="-125000000"/>
    <n v="129000000"/>
  </r>
  <r>
    <s v="Portugal"/>
    <s v="PRT"/>
    <x v="9"/>
    <n v="7000000"/>
    <n v="1000000"/>
    <x v="1"/>
    <x v="3"/>
    <n v="6000000"/>
    <n v="8000000"/>
  </r>
  <r>
    <s v="Post-demographic dividend"/>
    <s v="PST"/>
    <x v="9"/>
    <n v="19769000000"/>
    <n v="5634000000"/>
    <x v="0"/>
    <x v="0"/>
    <n v="14135000000"/>
    <n v="25403000000"/>
  </r>
  <r>
    <s v="Pre-demographic dividend"/>
    <s v="PRE"/>
    <x v="9"/>
    <n v="0"/>
    <n v="2155000000"/>
    <x v="0"/>
    <x v="0"/>
    <n v="-2155000000"/>
    <n v="2155000000"/>
  </r>
  <r>
    <s v="Qatar"/>
    <s v="QAT"/>
    <x v="9"/>
    <n v="0"/>
    <n v="490000000"/>
    <x v="2"/>
    <x v="3"/>
    <n v="-490000000"/>
    <n v="490000000"/>
  </r>
  <r>
    <s v="Romania"/>
    <s v="ROU"/>
    <x v="9"/>
    <n v="0"/>
    <n v="22000000"/>
    <x v="1"/>
    <x v="3"/>
    <n v="-22000000"/>
    <n v="22000000"/>
  </r>
  <r>
    <s v="Russian Federation"/>
    <s v="RUS"/>
    <x v="9"/>
    <n v="5799000000"/>
    <n v="113000000"/>
    <x v="1"/>
    <x v="3"/>
    <n v="5686000000"/>
    <n v="5912000000"/>
  </r>
  <r>
    <s v="Rwanda"/>
    <s v="RWA"/>
    <x v="9"/>
    <n v="0"/>
    <n v="29000000"/>
    <x v="3"/>
    <x v="4"/>
    <n v="-29000000"/>
    <n v="29000000"/>
  </r>
  <r>
    <s v="Saudi Arabia"/>
    <s v="SAU"/>
    <x v="9"/>
    <n v="3000000"/>
    <n v="3474000000"/>
    <x v="2"/>
    <x v="3"/>
    <n v="-3471000000"/>
    <n v="3477000000"/>
  </r>
  <r>
    <s v="Senegal"/>
    <s v="SEN"/>
    <x v="9"/>
    <n v="0"/>
    <n v="24000000"/>
    <x v="3"/>
    <x v="2"/>
    <n v="-24000000"/>
    <n v="24000000"/>
  </r>
  <r>
    <s v="Serbia"/>
    <s v="SRB"/>
    <x v="9"/>
    <n v="62000000"/>
    <n v="0"/>
    <x v="1"/>
    <x v="1"/>
    <n v="62000000"/>
    <n v="62000000"/>
  </r>
  <r>
    <s v="Sierra Leone"/>
    <s v="SLE"/>
    <x v="9"/>
    <n v="0"/>
    <n v="1000000"/>
    <x v="3"/>
    <x v="4"/>
    <n v="-1000000"/>
    <n v="1000000"/>
  </r>
  <r>
    <s v="Singapore"/>
    <s v="SGP"/>
    <x v="9"/>
    <n v="80000000"/>
    <n v="152000000"/>
    <x v="5"/>
    <x v="3"/>
    <n v="-72000000"/>
    <n v="232000000"/>
  </r>
  <r>
    <s v="Slovak Republic"/>
    <s v="SVK"/>
    <x v="9"/>
    <n v="3000000"/>
    <n v="0"/>
    <x v="1"/>
    <x v="3"/>
    <n v="3000000"/>
    <n v="3000000"/>
  </r>
  <r>
    <s v="Somalia, Fed. Rep."/>
    <s v="SOM"/>
    <x v="9"/>
    <n v="0"/>
    <n v="1000000"/>
    <x v="3"/>
    <x v="4"/>
    <n v="-1000000"/>
    <n v="1000000"/>
  </r>
  <r>
    <s v="South Africa"/>
    <s v="ZAF"/>
    <x v="9"/>
    <n v="76000000"/>
    <n v="2000000"/>
    <x v="3"/>
    <x v="1"/>
    <n v="74000000"/>
    <n v="78000000"/>
  </r>
  <r>
    <s v="South Asia"/>
    <s v="SAS"/>
    <x v="9"/>
    <n v="42000000"/>
    <n v="3387000000"/>
    <x v="0"/>
    <x v="0"/>
    <n v="-3345000000"/>
    <n v="3429000000"/>
  </r>
  <r>
    <s v="South Asia (IDA &amp; IBRD)"/>
    <s v="TSA"/>
    <x v="9"/>
    <n v="42000000"/>
    <n v="3387000000"/>
    <x v="0"/>
    <x v="0"/>
    <n v="-3345000000"/>
    <n v="3429000000"/>
  </r>
  <r>
    <s v="South Sudan"/>
    <s v="SSD"/>
    <x v="9"/>
    <n v="0"/>
    <n v="19000000"/>
    <x v="3"/>
    <x v="4"/>
    <n v="-19000000"/>
    <n v="19000000"/>
  </r>
  <r>
    <s v="Spain"/>
    <s v="ESP"/>
    <x v="9"/>
    <n v="982000000"/>
    <n v="152000000"/>
    <x v="1"/>
    <x v="3"/>
    <n v="830000000"/>
    <n v="1134000000"/>
  </r>
  <r>
    <s v="Sub-Saharan Africa"/>
    <s v="SSF"/>
    <x v="9"/>
    <n v="0"/>
    <n v="595000000"/>
    <x v="0"/>
    <x v="0"/>
    <n v="-595000000"/>
    <n v="595000000"/>
  </r>
  <r>
    <s v="Sub-Saharan Africa (excluding high income)"/>
    <s v="SSA"/>
    <x v="9"/>
    <n v="0"/>
    <n v="595000000"/>
    <x v="0"/>
    <x v="0"/>
    <n v="-595000000"/>
    <n v="595000000"/>
  </r>
  <r>
    <s v="Sub-Saharan Africa (IDA &amp; IBRD countries)"/>
    <s v="TSS"/>
    <x v="9"/>
    <n v="0"/>
    <n v="595000000"/>
    <x v="0"/>
    <x v="0"/>
    <n v="-595000000"/>
    <n v="595000000"/>
  </r>
  <r>
    <s v="Sudan"/>
    <s v="SDN"/>
    <x v="9"/>
    <n v="0"/>
    <n v="136000000"/>
    <x v="3"/>
    <x v="4"/>
    <n v="-136000000"/>
    <n v="136000000"/>
  </r>
  <r>
    <s v="Suriname"/>
    <s v="SUR"/>
    <x v="9"/>
    <n v="0"/>
    <n v="3000000"/>
    <x v="4"/>
    <x v="1"/>
    <n v="-3000000"/>
    <n v="3000000"/>
  </r>
  <r>
    <s v="Sweden"/>
    <s v="SWE"/>
    <x v="9"/>
    <n v="178000000"/>
    <n v="24000000"/>
    <x v="1"/>
    <x v="3"/>
    <n v="154000000"/>
    <n v="202000000"/>
  </r>
  <r>
    <s v="Switzerland"/>
    <s v="CHE"/>
    <x v="9"/>
    <n v="491000000"/>
    <n v="10000000"/>
    <x v="1"/>
    <x v="3"/>
    <n v="481000000"/>
    <n v="501000000"/>
  </r>
  <r>
    <s v="Syrian Arab Republic"/>
    <s v="SYR"/>
    <x v="9"/>
    <n v="0"/>
    <n v="16000000"/>
    <x v="2"/>
    <x v="4"/>
    <n v="-16000000"/>
    <n v="16000000"/>
  </r>
  <r>
    <s v="Tanzania"/>
    <s v="TZA"/>
    <x v="9"/>
    <n v="0"/>
    <n v="20000000"/>
    <x v="3"/>
    <x v="2"/>
    <n v="-20000000"/>
    <n v="20000000"/>
  </r>
  <r>
    <s v="Thailand"/>
    <s v="THA"/>
    <x v="9"/>
    <n v="0"/>
    <n v="184000000"/>
    <x v="5"/>
    <x v="1"/>
    <n v="-184000000"/>
    <n v="184000000"/>
  </r>
  <r>
    <s v="Trinidad and Tobago"/>
    <s v="TTO"/>
    <x v="9"/>
    <n v="0"/>
    <n v="46000000"/>
    <x v="4"/>
    <x v="3"/>
    <n v="-46000000"/>
    <n v="46000000"/>
  </r>
  <r>
    <s v="Tunisia"/>
    <s v="TUN"/>
    <x v="9"/>
    <n v="0"/>
    <n v="7000000"/>
    <x v="2"/>
    <x v="2"/>
    <n v="-7000000"/>
    <n v="7000000"/>
  </r>
  <r>
    <s v="Turkiye"/>
    <s v="TUR"/>
    <x v="9"/>
    <n v="244000000"/>
    <n v="446000000"/>
    <x v="1"/>
    <x v="1"/>
    <n v="-202000000"/>
    <n v="690000000"/>
  </r>
  <r>
    <s v="Turkmenistan"/>
    <s v="TKM"/>
    <x v="9"/>
    <n v="0"/>
    <n v="169000000"/>
    <x v="1"/>
    <x v="1"/>
    <n v="-169000000"/>
    <n v="169000000"/>
  </r>
  <r>
    <s v="Uganda"/>
    <s v="UGA"/>
    <x v="9"/>
    <n v="0"/>
    <n v="7000000"/>
    <x v="3"/>
    <x v="4"/>
    <n v="-7000000"/>
    <n v="7000000"/>
  </r>
  <r>
    <s v="Ukraine"/>
    <s v="UKR"/>
    <x v="9"/>
    <n v="303000000"/>
    <n v="22000000"/>
    <x v="1"/>
    <x v="1"/>
    <n v="281000000"/>
    <n v="325000000"/>
  </r>
  <r>
    <s v="United Arab Emirates"/>
    <s v="ARE"/>
    <x v="9"/>
    <n v="143000000"/>
    <n v="1691000000"/>
    <x v="2"/>
    <x v="3"/>
    <n v="-1548000000"/>
    <n v="1834000000"/>
  </r>
  <r>
    <s v="United Kingdom"/>
    <s v="GBR"/>
    <x v="9"/>
    <n v="1183000000"/>
    <n v="424000000"/>
    <x v="1"/>
    <x v="3"/>
    <n v="759000000"/>
    <n v="1607000000"/>
  </r>
  <r>
    <s v="United States"/>
    <s v="USA"/>
    <x v="9"/>
    <n v="10314000000"/>
    <n v="482000000"/>
    <x v="7"/>
    <x v="3"/>
    <n v="9832000000"/>
    <n v="10796000000"/>
  </r>
  <r>
    <s v="Upper middle income"/>
    <s v="UMC"/>
    <x v="9"/>
    <n v="0"/>
    <n v="8210000000"/>
    <x v="0"/>
    <x v="0"/>
    <n v="-8210000000"/>
    <n v="8210000000"/>
  </r>
  <r>
    <s v="Uruguay"/>
    <s v="URY"/>
    <x v="9"/>
    <n v="0"/>
    <n v="13000000"/>
    <x v="4"/>
    <x v="3"/>
    <n v="-13000000"/>
    <n v="13000000"/>
  </r>
  <r>
    <s v="Uzbekistan"/>
    <s v="UZB"/>
    <x v="9"/>
    <n v="34000000"/>
    <n v="100000000"/>
    <x v="1"/>
    <x v="2"/>
    <n v="-66000000"/>
    <n v="134000000"/>
  </r>
  <r>
    <s v="Venezuela, RB"/>
    <s v="VEN"/>
    <x v="9"/>
    <n v="0"/>
    <n v="138000000"/>
    <x v="4"/>
    <x v="2"/>
    <n v="-138000000"/>
    <n v="138000000"/>
  </r>
  <r>
    <s v="Viet Nam"/>
    <s v="VNM"/>
    <x v="9"/>
    <n v="0"/>
    <n v="869000000"/>
    <x v="5"/>
    <x v="1"/>
    <n v="-869000000"/>
    <n v="869000000"/>
  </r>
  <r>
    <s v="World"/>
    <s v="WLD"/>
    <x v="9"/>
    <n v="28722000000"/>
    <n v="28670000000"/>
    <x v="0"/>
    <x v="0"/>
    <n v="52000000"/>
    <n v="57392000000"/>
  </r>
  <r>
    <s v="Yemen, Rep."/>
    <s v="YEM"/>
    <x v="9"/>
    <n v="0"/>
    <n v="33000000"/>
    <x v="2"/>
    <x v="4"/>
    <n v="-33000000"/>
    <n v="33000000"/>
  </r>
  <r>
    <s v="Zambia"/>
    <s v="ZMB"/>
    <x v="9"/>
    <n v="0"/>
    <n v="15000000"/>
    <x v="3"/>
    <x v="2"/>
    <n v="-15000000"/>
    <n v="15000000"/>
  </r>
  <r>
    <s v="Afghanistan"/>
    <s v="AFG"/>
    <x v="10"/>
    <n v="0"/>
    <n v="323000000"/>
    <x v="2"/>
    <x v="4"/>
    <n v="-323000000"/>
    <n v="323000000"/>
  </r>
  <r>
    <s v="Africa Eastern and Southern"/>
    <s v="AFE"/>
    <x v="10"/>
    <n v="0"/>
    <n v="308000000"/>
    <x v="0"/>
    <x v="0"/>
    <n v="-308000000"/>
    <n v="308000000"/>
  </r>
  <r>
    <s v="Africa Western and Central"/>
    <s v="AFW"/>
    <x v="10"/>
    <n v="0"/>
    <n v="580000000"/>
    <x v="0"/>
    <x v="0"/>
    <n v="-580000000"/>
    <n v="580000000"/>
  </r>
  <r>
    <s v="Albania"/>
    <s v="ALB"/>
    <x v="10"/>
    <n v="0"/>
    <n v="7000000"/>
    <x v="1"/>
    <x v="1"/>
    <n v="-7000000"/>
    <n v="7000000"/>
  </r>
  <r>
    <s v="Algeria"/>
    <s v="DZA"/>
    <x v="10"/>
    <n v="0"/>
    <n v="715000000"/>
    <x v="2"/>
    <x v="1"/>
    <n v="-715000000"/>
    <n v="715000000"/>
  </r>
  <r>
    <s v="Angola"/>
    <s v="AGO"/>
    <x v="10"/>
    <n v="0"/>
    <n v="2000000"/>
    <x v="3"/>
    <x v="2"/>
    <n v="-2000000"/>
    <n v="2000000"/>
  </r>
  <r>
    <s v="Arab World"/>
    <s v="ARB"/>
    <x v="10"/>
    <n v="0"/>
    <n v="7631000000"/>
    <x v="0"/>
    <x v="0"/>
    <n v="-7631000000"/>
    <n v="7631000000"/>
  </r>
  <r>
    <s v="Argentina"/>
    <s v="ARG"/>
    <x v="10"/>
    <n v="0"/>
    <n v="6000000"/>
    <x v="4"/>
    <x v="1"/>
    <n v="-6000000"/>
    <n v="6000000"/>
  </r>
  <r>
    <s v="Australia"/>
    <s v="AUS"/>
    <x v="10"/>
    <n v="94000000"/>
    <n v="848000000"/>
    <x v="5"/>
    <x v="3"/>
    <n v="-754000000"/>
    <n v="942000000"/>
  </r>
  <r>
    <s v="Austria"/>
    <s v="AUT"/>
    <x v="10"/>
    <n v="16000000"/>
    <n v="2000000"/>
    <x v="1"/>
    <x v="3"/>
    <n v="14000000"/>
    <n v="18000000"/>
  </r>
  <r>
    <s v="Azerbaijan"/>
    <s v="AZE"/>
    <x v="10"/>
    <n v="0"/>
    <n v="642000000"/>
    <x v="1"/>
    <x v="1"/>
    <n v="-642000000"/>
    <n v="642000000"/>
  </r>
  <r>
    <s v="Bahamas, The"/>
    <s v="BHS"/>
    <x v="10"/>
    <n v="0"/>
    <n v="30000000"/>
    <x v="4"/>
    <x v="3"/>
    <n v="-30000000"/>
    <n v="30000000"/>
  </r>
  <r>
    <s v="Bahrain"/>
    <s v="BHR"/>
    <x v="10"/>
    <n v="0"/>
    <n v="1000000"/>
    <x v="2"/>
    <x v="3"/>
    <n v="-1000000"/>
    <n v="1000000"/>
  </r>
  <r>
    <s v="Bangladesh"/>
    <s v="BGD"/>
    <x v="10"/>
    <n v="0"/>
    <n v="207000000"/>
    <x v="6"/>
    <x v="2"/>
    <n v="-207000000"/>
    <n v="207000000"/>
  </r>
  <r>
    <s v="Belarus"/>
    <s v="BLR"/>
    <x v="10"/>
    <n v="101000000"/>
    <n v="66000000"/>
    <x v="1"/>
    <x v="1"/>
    <n v="35000000"/>
    <n v="167000000"/>
  </r>
  <r>
    <s v="Belgium"/>
    <s v="BEL"/>
    <x v="10"/>
    <n v="10000000"/>
    <n v="99000000"/>
    <x v="1"/>
    <x v="3"/>
    <n v="-89000000"/>
    <n v="109000000"/>
  </r>
  <r>
    <s v="Bolivia"/>
    <s v="BOL"/>
    <x v="10"/>
    <n v="0"/>
    <n v="46000000"/>
    <x v="4"/>
    <x v="2"/>
    <n v="-46000000"/>
    <n v="46000000"/>
  </r>
  <r>
    <s v="Brazil"/>
    <s v="BRA"/>
    <x v="10"/>
    <n v="31000000"/>
    <n v="201000000"/>
    <x v="4"/>
    <x v="1"/>
    <n v="-170000000"/>
    <n v="232000000"/>
  </r>
  <r>
    <s v="Brunei Darussalam"/>
    <s v="BRN"/>
    <x v="10"/>
    <n v="0"/>
    <n v="121000000"/>
    <x v="5"/>
    <x v="3"/>
    <n v="-121000000"/>
    <n v="121000000"/>
  </r>
  <r>
    <s v="Bulgaria"/>
    <s v="BGR"/>
    <x v="10"/>
    <n v="23000000"/>
    <n v="0"/>
    <x v="1"/>
    <x v="3"/>
    <n v="23000000"/>
    <n v="23000000"/>
  </r>
  <r>
    <s v="Cameroon"/>
    <s v="CMR"/>
    <x v="10"/>
    <n v="0"/>
    <n v="124000000"/>
    <x v="3"/>
    <x v="2"/>
    <n v="-124000000"/>
    <n v="124000000"/>
  </r>
  <r>
    <s v="Canada"/>
    <s v="CAN"/>
    <x v="10"/>
    <n v="189000000"/>
    <n v="316000000"/>
    <x v="7"/>
    <x v="3"/>
    <n v="-127000000"/>
    <n v="505000000"/>
  </r>
  <r>
    <s v="Central Europe and the Baltics"/>
    <s v="CEB"/>
    <x v="10"/>
    <n v="0"/>
    <n v="327000000"/>
    <x v="0"/>
    <x v="0"/>
    <n v="-327000000"/>
    <n v="327000000"/>
  </r>
  <r>
    <s v="Chad"/>
    <s v="TCD"/>
    <x v="10"/>
    <n v="0"/>
    <n v="58000000"/>
    <x v="3"/>
    <x v="4"/>
    <n v="-58000000"/>
    <n v="58000000"/>
  </r>
  <r>
    <s v="Chile"/>
    <s v="CHL"/>
    <x v="10"/>
    <n v="20000000"/>
    <n v="135000000"/>
    <x v="4"/>
    <x v="3"/>
    <n v="-115000000"/>
    <n v="155000000"/>
  </r>
  <r>
    <s v="China"/>
    <s v="CHN"/>
    <x v="10"/>
    <n v="1353000000"/>
    <n v="1033000000"/>
    <x v="5"/>
    <x v="1"/>
    <n v="320000000"/>
    <n v="2386000000"/>
  </r>
  <r>
    <s v="Colombia"/>
    <s v="COL"/>
    <x v="10"/>
    <n v="0"/>
    <n v="170000000"/>
    <x v="4"/>
    <x v="1"/>
    <n v="-170000000"/>
    <n v="170000000"/>
  </r>
  <r>
    <s v="Congo, Rep."/>
    <s v="COG"/>
    <x v="10"/>
    <n v="0"/>
    <n v="6000000"/>
    <x v="3"/>
    <x v="2"/>
    <n v="-6000000"/>
    <n v="6000000"/>
  </r>
  <r>
    <s v="Cote d'Ivoire"/>
    <s v="CIV"/>
    <x v="10"/>
    <n v="0"/>
    <n v="6000000"/>
    <x v="3"/>
    <x v="2"/>
    <n v="-6000000"/>
    <n v="6000000"/>
  </r>
  <r>
    <s v="Croatia"/>
    <s v="HRV"/>
    <x v="10"/>
    <n v="0"/>
    <n v="27000000"/>
    <x v="1"/>
    <x v="3"/>
    <n v="-27000000"/>
    <n v="27000000"/>
  </r>
  <r>
    <s v="Czechia"/>
    <s v="CZE"/>
    <x v="10"/>
    <n v="26000000"/>
    <n v="0"/>
    <x v="1"/>
    <x v="3"/>
    <n v="26000000"/>
    <n v="26000000"/>
  </r>
  <r>
    <s v="Denmark"/>
    <s v="DNK"/>
    <x v="10"/>
    <n v="19000000"/>
    <n v="176000000"/>
    <x v="1"/>
    <x v="3"/>
    <n v="-157000000"/>
    <n v="195000000"/>
  </r>
  <r>
    <s v="Djibouti"/>
    <s v="DJI"/>
    <x v="10"/>
    <n v="0"/>
    <n v="15000000"/>
    <x v="2"/>
    <x v="2"/>
    <n v="-15000000"/>
    <n v="15000000"/>
  </r>
  <r>
    <s v="Early-demographic dividend"/>
    <s v="EAR"/>
    <x v="10"/>
    <n v="0"/>
    <n v="12661000000"/>
    <x v="0"/>
    <x v="0"/>
    <n v="-12661000000"/>
    <n v="12661000000"/>
  </r>
  <r>
    <s v="East Asia &amp; Pacific"/>
    <s v="EAS"/>
    <x v="10"/>
    <n v="0"/>
    <n v="7021000000"/>
    <x v="0"/>
    <x v="0"/>
    <n v="-7021000000"/>
    <n v="7021000000"/>
  </r>
  <r>
    <s v="East Asia &amp; Pacific (excluding high income)"/>
    <s v="EAP"/>
    <x v="10"/>
    <n v="1369000000"/>
    <n v="3762000000"/>
    <x v="0"/>
    <x v="0"/>
    <n v="-2393000000"/>
    <n v="5131000000"/>
  </r>
  <r>
    <s v="East Asia &amp; Pacific (IDA &amp; IBRD countries)"/>
    <s v="TEA"/>
    <x v="10"/>
    <n v="1368000000"/>
    <n v="3762000000"/>
    <x v="0"/>
    <x v="0"/>
    <n v="-2394000000"/>
    <n v="5130000000"/>
  </r>
  <r>
    <s v="Ecuador"/>
    <s v="ECU"/>
    <x v="10"/>
    <n v="6000000"/>
    <n v="56000000"/>
    <x v="4"/>
    <x v="1"/>
    <n v="-50000000"/>
    <n v="62000000"/>
  </r>
  <r>
    <s v="Egypt, Arab Rep."/>
    <s v="EGY"/>
    <x v="10"/>
    <n v="7000000"/>
    <n v="430000000"/>
    <x v="2"/>
    <x v="2"/>
    <n v="-423000000"/>
    <n v="437000000"/>
  </r>
  <r>
    <s v="El Salvador"/>
    <s v="SLV"/>
    <x v="10"/>
    <n v="0"/>
    <n v="21000000"/>
    <x v="4"/>
    <x v="1"/>
    <n v="-21000000"/>
    <n v="21000000"/>
  </r>
  <r>
    <s v="Equatorial Guinea"/>
    <s v="GNQ"/>
    <x v="10"/>
    <n v="0"/>
    <n v="92000000"/>
    <x v="3"/>
    <x v="1"/>
    <n v="-92000000"/>
    <n v="92000000"/>
  </r>
  <r>
    <s v="Estonia"/>
    <s v="EST"/>
    <x v="10"/>
    <n v="0"/>
    <n v="2000000"/>
    <x v="1"/>
    <x v="3"/>
    <n v="-2000000"/>
    <n v="2000000"/>
  </r>
  <r>
    <s v="Ethiopia"/>
    <s v="ETH"/>
    <x v="10"/>
    <n v="0"/>
    <n v="33000000"/>
    <x v="3"/>
    <x v="4"/>
    <n v="-33000000"/>
    <n v="33000000"/>
  </r>
  <r>
    <s v="Euro area"/>
    <s v="EMU"/>
    <x v="10"/>
    <n v="6088000000"/>
    <n v="925000000"/>
    <x v="0"/>
    <x v="0"/>
    <n v="5163000000"/>
    <n v="7013000000"/>
  </r>
  <r>
    <s v="Europe &amp; Central Asia"/>
    <s v="ECS"/>
    <x v="10"/>
    <n v="14916000000"/>
    <n v="4285000000"/>
    <x v="0"/>
    <x v="0"/>
    <n v="10631000000"/>
    <n v="19201000000"/>
  </r>
  <r>
    <s v="Europe &amp; Central Asia (excluding high income)"/>
    <s v="ECA"/>
    <x v="10"/>
    <n v="909000000"/>
    <n v="2421000000"/>
    <x v="0"/>
    <x v="0"/>
    <n v="-1512000000"/>
    <n v="3330000000"/>
  </r>
  <r>
    <s v="Europe &amp; Central Asia (IDA &amp; IBRD countries)"/>
    <s v="TEC"/>
    <x v="10"/>
    <n v="6369000000"/>
    <n v="2930000000"/>
    <x v="0"/>
    <x v="0"/>
    <n v="3439000000"/>
    <n v="9299000000"/>
  </r>
  <r>
    <s v="European Union"/>
    <s v="EUU"/>
    <x v="10"/>
    <n v="6506000000"/>
    <n v="1431000000"/>
    <x v="0"/>
    <x v="0"/>
    <n v="5075000000"/>
    <n v="7937000000"/>
  </r>
  <r>
    <s v="Finland"/>
    <s v="FIN"/>
    <x v="10"/>
    <n v="104000000"/>
    <n v="182000000"/>
    <x v="1"/>
    <x v="3"/>
    <n v="-78000000"/>
    <n v="286000000"/>
  </r>
  <r>
    <s v="Fragility, Conflict, and Violence (FCV) situations"/>
    <s v="FCV"/>
    <x v="10"/>
    <n v="0"/>
    <n v="1625000000"/>
    <x v="0"/>
    <x v="0"/>
    <n v="-1625000000"/>
    <n v="1625000000"/>
  </r>
  <r>
    <s v="France"/>
    <s v="FRA"/>
    <x v="10"/>
    <n v="1763000000"/>
    <n v="17000000"/>
    <x v="1"/>
    <x v="3"/>
    <n v="1746000000"/>
    <n v="1780000000"/>
  </r>
  <r>
    <s v="Georgia"/>
    <s v="GEO"/>
    <x v="10"/>
    <n v="0"/>
    <n v="1000000"/>
    <x v="1"/>
    <x v="1"/>
    <n v="-1000000"/>
    <n v="1000000"/>
  </r>
  <r>
    <s v="Germany"/>
    <s v="DEU"/>
    <x v="10"/>
    <n v="1830000000"/>
    <n v="77000000"/>
    <x v="1"/>
    <x v="3"/>
    <n v="1753000000"/>
    <n v="1907000000"/>
  </r>
  <r>
    <s v="Ghana"/>
    <s v="GHA"/>
    <x v="10"/>
    <n v="0"/>
    <n v="17000000"/>
    <x v="3"/>
    <x v="2"/>
    <n v="-17000000"/>
    <n v="17000000"/>
  </r>
  <r>
    <s v="Greece"/>
    <s v="GRC"/>
    <x v="10"/>
    <n v="0"/>
    <n v="204000000"/>
    <x v="1"/>
    <x v="3"/>
    <n v="-204000000"/>
    <n v="204000000"/>
  </r>
  <r>
    <s v="Guinea"/>
    <s v="GIN"/>
    <x v="10"/>
    <n v="0"/>
    <n v="5000000"/>
    <x v="3"/>
    <x v="2"/>
    <n v="-5000000"/>
    <n v="5000000"/>
  </r>
  <r>
    <s v="Heavily indebted poor countries (HIPC)"/>
    <s v="HPC"/>
    <x v="10"/>
    <n v="0"/>
    <n v="799000000"/>
    <x v="0"/>
    <x v="0"/>
    <n v="-799000000"/>
    <n v="799000000"/>
  </r>
  <r>
    <s v="High income"/>
    <s v="HIC"/>
    <x v="10"/>
    <n v="24503000000"/>
    <n v="11687000000"/>
    <x v="0"/>
    <x v="0"/>
    <n v="12816000000"/>
    <n v="36190000000"/>
  </r>
  <r>
    <s v="Honduras"/>
    <s v="HND"/>
    <x v="10"/>
    <n v="0"/>
    <n v="13000000"/>
    <x v="4"/>
    <x v="2"/>
    <n v="-13000000"/>
    <n v="13000000"/>
  </r>
  <r>
    <s v="Hungary"/>
    <s v="HUN"/>
    <x v="10"/>
    <n v="0"/>
    <n v="7000000"/>
    <x v="1"/>
    <x v="3"/>
    <n v="-7000000"/>
    <n v="7000000"/>
  </r>
  <r>
    <s v="IBRD only"/>
    <s v="IBD"/>
    <x v="10"/>
    <n v="8078000000"/>
    <n v="13711000000"/>
    <x v="0"/>
    <x v="0"/>
    <n v="-5633000000"/>
    <n v="21789000000"/>
  </r>
  <r>
    <s v="IDA &amp; IBRD total"/>
    <s v="IBT"/>
    <x v="10"/>
    <n v="0"/>
    <n v="16015000000"/>
    <x v="0"/>
    <x v="0"/>
    <n v="-16015000000"/>
    <n v="16015000000"/>
  </r>
  <r>
    <s v="IDA blend"/>
    <s v="IDB"/>
    <x v="10"/>
    <n v="0"/>
    <n v="1288000000"/>
    <x v="0"/>
    <x v="0"/>
    <n v="-1288000000"/>
    <n v="1288000000"/>
  </r>
  <r>
    <s v="IDA only"/>
    <s v="IDX"/>
    <x v="10"/>
    <n v="0"/>
    <n v="1016000000"/>
    <x v="0"/>
    <x v="0"/>
    <n v="-1016000000"/>
    <n v="1016000000"/>
  </r>
  <r>
    <s v="IDA total"/>
    <s v="IDA"/>
    <x v="10"/>
    <n v="0"/>
    <n v="2304000000"/>
    <x v="0"/>
    <x v="0"/>
    <n v="-2304000000"/>
    <n v="2304000000"/>
  </r>
  <r>
    <s v="India"/>
    <s v="IND"/>
    <x v="10"/>
    <n v="40000000"/>
    <n v="3282000000"/>
    <x v="6"/>
    <x v="2"/>
    <n v="-3242000000"/>
    <n v="3322000000"/>
  </r>
  <r>
    <s v="Indonesia"/>
    <s v="IDN"/>
    <x v="10"/>
    <n v="0"/>
    <n v="1195000000"/>
    <x v="5"/>
    <x v="1"/>
    <n v="-1195000000"/>
    <n v="1195000000"/>
  </r>
  <r>
    <s v="Iran, Islamic Rep."/>
    <s v="IRN"/>
    <x v="10"/>
    <n v="34000000"/>
    <n v="14000000"/>
    <x v="2"/>
    <x v="1"/>
    <n v="20000000"/>
    <n v="48000000"/>
  </r>
  <r>
    <s v="Iraq"/>
    <s v="IRQ"/>
    <x v="10"/>
    <n v="0"/>
    <n v="629000000"/>
    <x v="2"/>
    <x v="1"/>
    <n v="-629000000"/>
    <n v="629000000"/>
  </r>
  <r>
    <s v="Ireland"/>
    <s v="IRL"/>
    <x v="10"/>
    <n v="23000000"/>
    <n v="40000000"/>
    <x v="1"/>
    <x v="3"/>
    <n v="-17000000"/>
    <n v="63000000"/>
  </r>
  <r>
    <s v="Israel"/>
    <s v="ISR"/>
    <x v="10"/>
    <n v="408000000"/>
    <n v="549000000"/>
    <x v="2"/>
    <x v="3"/>
    <n v="-141000000"/>
    <n v="957000000"/>
  </r>
  <r>
    <s v="Italy"/>
    <s v="ITA"/>
    <x v="10"/>
    <n v="688000000"/>
    <n v="127000000"/>
    <x v="1"/>
    <x v="3"/>
    <n v="561000000"/>
    <n v="815000000"/>
  </r>
  <r>
    <s v="Japan"/>
    <s v="JPN"/>
    <x v="10"/>
    <n v="0"/>
    <n v="316000000"/>
    <x v="5"/>
    <x v="3"/>
    <n v="-316000000"/>
    <n v="316000000"/>
  </r>
  <r>
    <s v="Jordan"/>
    <s v="JOR"/>
    <x v="10"/>
    <n v="114000000"/>
    <n v="194000000"/>
    <x v="2"/>
    <x v="1"/>
    <n v="-80000000"/>
    <n v="308000000"/>
  </r>
  <r>
    <s v="Kazakhstan"/>
    <s v="KAZ"/>
    <x v="10"/>
    <n v="0"/>
    <n v="83000000"/>
    <x v="1"/>
    <x v="1"/>
    <n v="-83000000"/>
    <n v="83000000"/>
  </r>
  <r>
    <s v="Kenya"/>
    <s v="KEN"/>
    <x v="10"/>
    <n v="0"/>
    <n v="17000000"/>
    <x v="3"/>
    <x v="2"/>
    <n v="-17000000"/>
    <n v="17000000"/>
  </r>
  <r>
    <s v="Korea, Dem. People's Rep."/>
    <s v="PRK"/>
    <x v="10"/>
    <n v="1000000"/>
    <n v="0"/>
    <x v="5"/>
    <x v="4"/>
    <n v="1000000"/>
    <n v="1000000"/>
  </r>
  <r>
    <s v="Korea, Rep."/>
    <s v="KOR"/>
    <x v="10"/>
    <n v="218000000"/>
    <n v="742000000"/>
    <x v="5"/>
    <x v="3"/>
    <n v="-524000000"/>
    <n v="960000000"/>
  </r>
  <r>
    <s v="Kosovo"/>
    <s v="XKX"/>
    <x v="10"/>
    <n v="0"/>
    <n v="1000000"/>
    <x v="1"/>
    <x v="1"/>
    <n v="-1000000"/>
    <n v="1000000"/>
  </r>
  <r>
    <s v="Kuwait"/>
    <s v="KWT"/>
    <x v="10"/>
    <n v="0"/>
    <n v="701000000"/>
    <x v="2"/>
    <x v="3"/>
    <n v="-701000000"/>
    <n v="701000000"/>
  </r>
  <r>
    <s v="Late-demographic dividend"/>
    <s v="LTE"/>
    <x v="10"/>
    <n v="6998000000"/>
    <n v="7256000000"/>
    <x v="0"/>
    <x v="0"/>
    <n v="-258000000"/>
    <n v="14254000000"/>
  </r>
  <r>
    <s v="Latin America &amp; Caribbean"/>
    <s v="LCN"/>
    <x v="10"/>
    <n v="0"/>
    <n v="1128000000"/>
    <x v="0"/>
    <x v="0"/>
    <n v="-1128000000"/>
    <n v="1128000000"/>
  </r>
  <r>
    <s v="Latin America &amp; Caribbean (excluding high income)"/>
    <s v="LAC"/>
    <x v="10"/>
    <n v="0"/>
    <n v="954000000"/>
    <x v="0"/>
    <x v="0"/>
    <n v="-954000000"/>
    <n v="954000000"/>
  </r>
  <r>
    <s v="Latin America &amp; the Caribbean (IDA &amp; IBRD countries)"/>
    <s v="TLA"/>
    <x v="10"/>
    <n v="0"/>
    <n v="1098000000"/>
    <x v="0"/>
    <x v="0"/>
    <n v="-1098000000"/>
    <n v="1098000000"/>
  </r>
  <r>
    <s v="Latvia"/>
    <s v="LVA"/>
    <x v="10"/>
    <n v="0"/>
    <n v="5000000"/>
    <x v="1"/>
    <x v="3"/>
    <n v="-5000000"/>
    <n v="5000000"/>
  </r>
  <r>
    <s v="Least developed countries: UN classification"/>
    <s v="LDC"/>
    <x v="10"/>
    <n v="0"/>
    <n v="962000000"/>
    <x v="0"/>
    <x v="0"/>
    <n v="-962000000"/>
    <n v="962000000"/>
  </r>
  <r>
    <s v="Lebanon"/>
    <s v="LBN"/>
    <x v="10"/>
    <n v="0"/>
    <n v="6000000"/>
    <x v="2"/>
    <x v="2"/>
    <n v="-6000000"/>
    <n v="6000000"/>
  </r>
  <r>
    <s v="Lithuania"/>
    <s v="LTU"/>
    <x v="10"/>
    <n v="0"/>
    <n v="10000000"/>
    <x v="1"/>
    <x v="3"/>
    <n v="-10000000"/>
    <n v="10000000"/>
  </r>
  <r>
    <s v="Low &amp; middle income"/>
    <s v="LMY"/>
    <x v="10"/>
    <n v="0"/>
    <n v="15346000000"/>
    <x v="0"/>
    <x v="0"/>
    <n v="-15346000000"/>
    <n v="15346000000"/>
  </r>
  <r>
    <s v="Low income"/>
    <s v="LIC"/>
    <x v="10"/>
    <n v="0"/>
    <n v="577000000"/>
    <x v="0"/>
    <x v="0"/>
    <n v="-577000000"/>
    <n v="577000000"/>
  </r>
  <r>
    <s v="Lower middle income"/>
    <s v="LMC"/>
    <x v="10"/>
    <n v="0"/>
    <n v="6297000000"/>
    <x v="0"/>
    <x v="0"/>
    <n v="-6297000000"/>
    <n v="6297000000"/>
  </r>
  <r>
    <s v="Malawi"/>
    <s v="MWI"/>
    <x v="10"/>
    <n v="0"/>
    <n v="2000000"/>
    <x v="3"/>
    <x v="4"/>
    <n v="-2000000"/>
    <n v="2000000"/>
  </r>
  <r>
    <s v="Malaysia"/>
    <s v="MYS"/>
    <x v="10"/>
    <n v="15000000"/>
    <n v="75000000"/>
    <x v="5"/>
    <x v="1"/>
    <n v="-60000000"/>
    <n v="90000000"/>
  </r>
  <r>
    <s v="Mali"/>
    <s v="MLI"/>
    <x v="10"/>
    <n v="0"/>
    <n v="1000000"/>
    <x v="3"/>
    <x v="4"/>
    <n v="-1000000"/>
    <n v="1000000"/>
  </r>
  <r>
    <s v="Malta"/>
    <s v="MLT"/>
    <x v="10"/>
    <n v="0"/>
    <n v="12000000"/>
    <x v="2"/>
    <x v="3"/>
    <n v="-12000000"/>
    <n v="12000000"/>
  </r>
  <r>
    <s v="Mauritania"/>
    <s v="MRT"/>
    <x v="10"/>
    <n v="0"/>
    <n v="8000000"/>
    <x v="3"/>
    <x v="2"/>
    <n v="-8000000"/>
    <n v="8000000"/>
  </r>
  <r>
    <s v="Mauritius"/>
    <s v="MUS"/>
    <x v="10"/>
    <n v="0"/>
    <n v="28000000"/>
    <x v="3"/>
    <x v="1"/>
    <n v="-28000000"/>
    <n v="28000000"/>
  </r>
  <r>
    <s v="Mexico"/>
    <s v="MEX"/>
    <x v="10"/>
    <n v="0"/>
    <n v="89000000"/>
    <x v="4"/>
    <x v="1"/>
    <n v="-89000000"/>
    <n v="89000000"/>
  </r>
  <r>
    <s v="Middle East, North Africa, Afghanistan &amp; Pakistan"/>
    <s v="MEA"/>
    <x v="10"/>
    <n v="0"/>
    <n v="9328000000"/>
    <x v="0"/>
    <x v="0"/>
    <n v="-9328000000"/>
    <n v="9328000000"/>
  </r>
  <r>
    <s v="Middle East, North Africa, Afghanistan &amp; Pakistan (excluding high income)"/>
    <s v="MNA"/>
    <x v="10"/>
    <n v="0"/>
    <n v="3838000000"/>
    <x v="0"/>
    <x v="0"/>
    <n v="-3838000000"/>
    <n v="3838000000"/>
  </r>
  <r>
    <s v="Middle East, North Africa, Afghanistan &amp; Pakistan (IDA &amp; IBRD)"/>
    <s v="TMN"/>
    <x v="10"/>
    <n v="0"/>
    <n v="3838000000"/>
    <x v="0"/>
    <x v="0"/>
    <n v="-3838000000"/>
    <n v="3838000000"/>
  </r>
  <r>
    <s v="Middle income"/>
    <s v="MIC"/>
    <x v="10"/>
    <n v="0"/>
    <n v="14769000000"/>
    <x v="0"/>
    <x v="0"/>
    <n v="-14769000000"/>
    <n v="14769000000"/>
  </r>
  <r>
    <s v="Morocco"/>
    <s v="MAR"/>
    <x v="10"/>
    <n v="0"/>
    <n v="572000000"/>
    <x v="2"/>
    <x v="2"/>
    <n v="-572000000"/>
    <n v="572000000"/>
  </r>
  <r>
    <s v="Mozambique"/>
    <s v="MOZ"/>
    <x v="10"/>
    <n v="0"/>
    <n v="16000000"/>
    <x v="3"/>
    <x v="4"/>
    <n v="-16000000"/>
    <n v="16000000"/>
  </r>
  <r>
    <s v="Myanmar"/>
    <s v="MMR"/>
    <x v="10"/>
    <n v="0"/>
    <n v="112000000"/>
    <x v="5"/>
    <x v="2"/>
    <n v="-112000000"/>
    <n v="112000000"/>
  </r>
  <r>
    <s v="Namibia"/>
    <s v="NAM"/>
    <x v="10"/>
    <n v="0"/>
    <n v="2000000"/>
    <x v="3"/>
    <x v="2"/>
    <n v="-2000000"/>
    <n v="2000000"/>
  </r>
  <r>
    <s v="Nepal"/>
    <s v="NPL"/>
    <x v="10"/>
    <n v="0"/>
    <n v="5000000"/>
    <x v="6"/>
    <x v="2"/>
    <n v="-5000000"/>
    <n v="5000000"/>
  </r>
  <r>
    <s v="Netherlands"/>
    <s v="NLD"/>
    <x v="10"/>
    <n v="643000000"/>
    <n v="8000000"/>
    <x v="1"/>
    <x v="3"/>
    <n v="635000000"/>
    <n v="651000000"/>
  </r>
  <r>
    <s v="New Zealand"/>
    <s v="NZL"/>
    <x v="10"/>
    <n v="0"/>
    <n v="84000000"/>
    <x v="5"/>
    <x v="3"/>
    <n v="-84000000"/>
    <n v="84000000"/>
  </r>
  <r>
    <s v="Nicaragua"/>
    <s v="NIC"/>
    <x v="10"/>
    <n v="0"/>
    <n v="13000000"/>
    <x v="4"/>
    <x v="2"/>
    <n v="-13000000"/>
    <n v="13000000"/>
  </r>
  <r>
    <s v="Niger"/>
    <s v="NER"/>
    <x v="10"/>
    <n v="0"/>
    <n v="3000000"/>
    <x v="3"/>
    <x v="4"/>
    <n v="-3000000"/>
    <n v="3000000"/>
  </r>
  <r>
    <s v="Nigeria"/>
    <s v="NGA"/>
    <x v="10"/>
    <n v="0"/>
    <n v="236000000"/>
    <x v="3"/>
    <x v="2"/>
    <n v="-236000000"/>
    <n v="236000000"/>
  </r>
  <r>
    <s v="North America"/>
    <s v="NAC"/>
    <x v="10"/>
    <n v="9644000000"/>
    <n v="884000000"/>
    <x v="0"/>
    <x v="0"/>
    <n v="8760000000"/>
    <n v="10528000000"/>
  </r>
  <r>
    <s v="Norway"/>
    <s v="NOR"/>
    <x v="10"/>
    <n v="87000000"/>
    <n v="16000000"/>
    <x v="1"/>
    <x v="3"/>
    <n v="71000000"/>
    <n v="103000000"/>
  </r>
  <r>
    <s v="OECD members"/>
    <s v="OED"/>
    <x v="10"/>
    <n v="19130000000"/>
    <n v="6976000000"/>
    <x v="0"/>
    <x v="0"/>
    <n v="12154000000"/>
    <n v="26106000000"/>
  </r>
  <r>
    <s v="Oman"/>
    <s v="OMN"/>
    <x v="10"/>
    <n v="0"/>
    <n v="719000000"/>
    <x v="2"/>
    <x v="3"/>
    <n v="-719000000"/>
    <n v="719000000"/>
  </r>
  <r>
    <s v="Pakistan"/>
    <s v="PAK"/>
    <x v="10"/>
    <n v="0"/>
    <n v="877000000"/>
    <x v="2"/>
    <x v="2"/>
    <n v="-877000000"/>
    <n v="877000000"/>
  </r>
  <r>
    <s v="Papua New Guinea"/>
    <s v="PNG"/>
    <x v="10"/>
    <n v="0"/>
    <n v="3000000"/>
    <x v="5"/>
    <x v="2"/>
    <n v="-3000000"/>
    <n v="3000000"/>
  </r>
  <r>
    <s v="Peru"/>
    <s v="PER"/>
    <x v="10"/>
    <n v="0"/>
    <n v="153000000"/>
    <x v="4"/>
    <x v="1"/>
    <n v="-153000000"/>
    <n v="153000000"/>
  </r>
  <r>
    <s v="Philippines"/>
    <s v="PHL"/>
    <x v="10"/>
    <n v="0"/>
    <n v="12000000"/>
    <x v="5"/>
    <x v="1"/>
    <n v="-12000000"/>
    <n v="12000000"/>
  </r>
  <r>
    <s v="Poland"/>
    <s v="POL"/>
    <x v="10"/>
    <n v="33000000"/>
    <n v="275000000"/>
    <x v="1"/>
    <x v="3"/>
    <n v="-242000000"/>
    <n v="308000000"/>
  </r>
  <r>
    <s v="Portugal"/>
    <s v="PRT"/>
    <x v="10"/>
    <n v="18000000"/>
    <n v="3000000"/>
    <x v="1"/>
    <x v="3"/>
    <n v="15000000"/>
    <n v="21000000"/>
  </r>
  <r>
    <s v="Post-demographic dividend"/>
    <s v="PST"/>
    <x v="10"/>
    <n v="19240000000"/>
    <n v="4354000000"/>
    <x v="0"/>
    <x v="0"/>
    <n v="14886000000"/>
    <n v="23594000000"/>
  </r>
  <r>
    <s v="Pre-demographic dividend"/>
    <s v="PRE"/>
    <x v="10"/>
    <n v="0"/>
    <n v="1679000000"/>
    <x v="0"/>
    <x v="0"/>
    <n v="-1679000000"/>
    <n v="1679000000"/>
  </r>
  <r>
    <s v="Qatar"/>
    <s v="QAT"/>
    <x v="10"/>
    <n v="0"/>
    <n v="55000000"/>
    <x v="2"/>
    <x v="3"/>
    <n v="-55000000"/>
    <n v="55000000"/>
  </r>
  <r>
    <s v="Romania"/>
    <s v="ROU"/>
    <x v="10"/>
    <n v="0"/>
    <n v="0"/>
    <x v="1"/>
    <x v="3"/>
    <n v="0"/>
    <n v="0"/>
  </r>
  <r>
    <s v="Russian Federation"/>
    <s v="RUS"/>
    <x v="10"/>
    <n v="5404000000"/>
    <n v="207000000"/>
    <x v="1"/>
    <x v="3"/>
    <n v="5197000000"/>
    <n v="5611000000"/>
  </r>
  <r>
    <s v="Rwanda"/>
    <s v="RWA"/>
    <x v="10"/>
    <n v="0"/>
    <n v="15000000"/>
    <x v="3"/>
    <x v="4"/>
    <n v="-15000000"/>
    <n v="15000000"/>
  </r>
  <r>
    <s v="Saudi Arabia"/>
    <s v="SAU"/>
    <x v="10"/>
    <n v="0"/>
    <n v="2717000000"/>
    <x v="2"/>
    <x v="3"/>
    <n v="-2717000000"/>
    <n v="2717000000"/>
  </r>
  <r>
    <s v="Senegal"/>
    <s v="SEN"/>
    <x v="10"/>
    <n v="0"/>
    <n v="9000000"/>
    <x v="3"/>
    <x v="2"/>
    <n v="-9000000"/>
    <n v="9000000"/>
  </r>
  <r>
    <s v="Serbia"/>
    <s v="SRB"/>
    <x v="10"/>
    <n v="10000000"/>
    <n v="0"/>
    <x v="1"/>
    <x v="1"/>
    <n v="10000000"/>
    <n v="10000000"/>
  </r>
  <r>
    <s v="Seychelles"/>
    <s v="SYC"/>
    <x v="10"/>
    <n v="0"/>
    <n v="16000000"/>
    <x v="3"/>
    <x v="3"/>
    <n v="-16000000"/>
    <n v="16000000"/>
  </r>
  <r>
    <s v="Singapore"/>
    <s v="SGP"/>
    <x v="10"/>
    <n v="12000000"/>
    <n v="66000000"/>
    <x v="5"/>
    <x v="3"/>
    <n v="-54000000"/>
    <n v="78000000"/>
  </r>
  <r>
    <s v="Slovak Republic"/>
    <s v="SVK"/>
    <x v="10"/>
    <n v="8000000"/>
    <n v="0"/>
    <x v="1"/>
    <x v="3"/>
    <n v="8000000"/>
    <n v="8000000"/>
  </r>
  <r>
    <s v="Slovenia"/>
    <s v="SVN"/>
    <x v="10"/>
    <n v="0"/>
    <n v="1000000"/>
    <x v="1"/>
    <x v="3"/>
    <n v="-1000000"/>
    <n v="1000000"/>
  </r>
  <r>
    <s v="South Africa"/>
    <s v="ZAF"/>
    <x v="10"/>
    <n v="89000000"/>
    <n v="50000000"/>
    <x v="3"/>
    <x v="1"/>
    <n v="39000000"/>
    <n v="139000000"/>
  </r>
  <r>
    <s v="South Asia"/>
    <s v="SAS"/>
    <x v="10"/>
    <n v="40000000"/>
    <n v="3499000000"/>
    <x v="0"/>
    <x v="0"/>
    <n v="-3459000000"/>
    <n v="3539000000"/>
  </r>
  <r>
    <s v="South Asia (IDA &amp; IBRD)"/>
    <s v="TSA"/>
    <x v="10"/>
    <n v="40000000"/>
    <n v="3499000000"/>
    <x v="0"/>
    <x v="0"/>
    <n v="-3459000000"/>
    <n v="3539000000"/>
  </r>
  <r>
    <s v="South Sudan"/>
    <s v="SSD"/>
    <x v="10"/>
    <n v="0"/>
    <n v="41000000"/>
    <x v="3"/>
    <x v="4"/>
    <n v="-41000000"/>
    <n v="41000000"/>
  </r>
  <r>
    <s v="Spain"/>
    <s v="ESP"/>
    <x v="10"/>
    <n v="962000000"/>
    <n v="109000000"/>
    <x v="1"/>
    <x v="3"/>
    <n v="853000000"/>
    <n v="1071000000"/>
  </r>
  <r>
    <s v="Sri Lanka"/>
    <s v="LKA"/>
    <x v="10"/>
    <n v="0"/>
    <n v="5000000"/>
    <x v="6"/>
    <x v="1"/>
    <n v="-5000000"/>
    <n v="5000000"/>
  </r>
  <r>
    <s v="Sub-Saharan Africa"/>
    <s v="SSF"/>
    <x v="10"/>
    <n v="0"/>
    <n v="888000000"/>
    <x v="0"/>
    <x v="0"/>
    <n v="-888000000"/>
    <n v="888000000"/>
  </r>
  <r>
    <s v="Sub-Saharan Africa (excluding high income)"/>
    <s v="SSA"/>
    <x v="10"/>
    <n v="0"/>
    <n v="872000000"/>
    <x v="0"/>
    <x v="0"/>
    <n v="-872000000"/>
    <n v="872000000"/>
  </r>
  <r>
    <s v="Sub-Saharan Africa (IDA &amp; IBRD countries)"/>
    <s v="TSS"/>
    <x v="10"/>
    <n v="0"/>
    <n v="888000000"/>
    <x v="0"/>
    <x v="0"/>
    <n v="-888000000"/>
    <n v="888000000"/>
  </r>
  <r>
    <s v="Sudan"/>
    <s v="SDN"/>
    <x v="10"/>
    <n v="0"/>
    <n v="70000000"/>
    <x v="3"/>
    <x v="4"/>
    <n v="-70000000"/>
    <n v="70000000"/>
  </r>
  <r>
    <s v="Sweden"/>
    <s v="SWE"/>
    <x v="10"/>
    <n v="340000000"/>
    <n v="48000000"/>
    <x v="1"/>
    <x v="3"/>
    <n v="292000000"/>
    <n v="388000000"/>
  </r>
  <r>
    <s v="Switzerland"/>
    <s v="CHE"/>
    <x v="10"/>
    <n v="352000000"/>
    <n v="5000000"/>
    <x v="1"/>
    <x v="3"/>
    <n v="347000000"/>
    <n v="357000000"/>
  </r>
  <r>
    <s v="Syrian Arab Republic"/>
    <s v="SYR"/>
    <x v="10"/>
    <n v="0"/>
    <n v="7000000"/>
    <x v="2"/>
    <x v="4"/>
    <n v="-7000000"/>
    <n v="7000000"/>
  </r>
  <r>
    <s v="Tanzania"/>
    <s v="TZA"/>
    <x v="10"/>
    <n v="0"/>
    <n v="14000000"/>
    <x v="3"/>
    <x v="2"/>
    <n v="-14000000"/>
    <n v="14000000"/>
  </r>
  <r>
    <s v="Thailand"/>
    <s v="THA"/>
    <x v="10"/>
    <n v="0"/>
    <n v="107000000"/>
    <x v="5"/>
    <x v="1"/>
    <n v="-107000000"/>
    <n v="107000000"/>
  </r>
  <r>
    <s v="Togo"/>
    <s v="TGO"/>
    <x v="10"/>
    <n v="0"/>
    <n v="15000000"/>
    <x v="3"/>
    <x v="2"/>
    <n v="-15000000"/>
    <n v="15000000"/>
  </r>
  <r>
    <s v="Tunisia"/>
    <s v="TUN"/>
    <x v="10"/>
    <n v="0"/>
    <n v="50000000"/>
    <x v="2"/>
    <x v="2"/>
    <n v="-50000000"/>
    <n v="50000000"/>
  </r>
  <r>
    <s v="Turkiye"/>
    <s v="TUR"/>
    <x v="10"/>
    <n v="166000000"/>
    <n v="1529000000"/>
    <x v="1"/>
    <x v="1"/>
    <n v="-1363000000"/>
    <n v="1695000000"/>
  </r>
  <r>
    <s v="Turkmenistan"/>
    <s v="TKM"/>
    <x v="10"/>
    <n v="0"/>
    <n v="72000000"/>
    <x v="1"/>
    <x v="1"/>
    <n v="-72000000"/>
    <n v="72000000"/>
  </r>
  <r>
    <s v="Uganda"/>
    <s v="UGA"/>
    <x v="10"/>
    <n v="0"/>
    <n v="2000000"/>
    <x v="3"/>
    <x v="4"/>
    <n v="-2000000"/>
    <n v="2000000"/>
  </r>
  <r>
    <s v="Ukraine"/>
    <s v="UKR"/>
    <x v="10"/>
    <n v="632000000"/>
    <n v="1000000"/>
    <x v="1"/>
    <x v="1"/>
    <n v="631000000"/>
    <n v="633000000"/>
  </r>
  <r>
    <s v="United Arab Emirates"/>
    <s v="ARE"/>
    <x v="10"/>
    <n v="100000000"/>
    <n v="736000000"/>
    <x v="2"/>
    <x v="3"/>
    <n v="-636000000"/>
    <n v="836000000"/>
  </r>
  <r>
    <s v="United Kingdom"/>
    <s v="GBR"/>
    <x v="10"/>
    <n v="1658000000"/>
    <n v="217000000"/>
    <x v="1"/>
    <x v="3"/>
    <n v="1441000000"/>
    <n v="1875000000"/>
  </r>
  <r>
    <s v="United States"/>
    <s v="USA"/>
    <x v="10"/>
    <n v="9455000000"/>
    <n v="568000000"/>
    <x v="7"/>
    <x v="3"/>
    <n v="8887000000"/>
    <n v="10023000000"/>
  </r>
  <r>
    <s v="Upper middle income"/>
    <s v="UMC"/>
    <x v="10"/>
    <n v="2551000000"/>
    <n v="8472000000"/>
    <x v="0"/>
    <x v="0"/>
    <n v="-5921000000"/>
    <n v="11023000000"/>
  </r>
  <r>
    <s v="Uruguay"/>
    <s v="URY"/>
    <x v="10"/>
    <n v="0"/>
    <n v="9000000"/>
    <x v="4"/>
    <x v="3"/>
    <n v="-9000000"/>
    <n v="9000000"/>
  </r>
  <r>
    <s v="Uzbekistan"/>
    <s v="UZB"/>
    <x v="10"/>
    <n v="0"/>
    <n v="19000000"/>
    <x v="1"/>
    <x v="2"/>
    <n v="-19000000"/>
    <n v="19000000"/>
  </r>
  <r>
    <s v="Venezuela, RB"/>
    <s v="VEN"/>
    <x v="10"/>
    <n v="0"/>
    <n v="186000000"/>
    <x v="4"/>
    <x v="2"/>
    <n v="-186000000"/>
    <n v="186000000"/>
  </r>
  <r>
    <s v="Viet Nam"/>
    <s v="VNM"/>
    <x v="10"/>
    <n v="0"/>
    <n v="1225000000"/>
    <x v="5"/>
    <x v="1"/>
    <n v="-1225000000"/>
    <n v="1225000000"/>
  </r>
  <r>
    <s v="World"/>
    <s v="WLD"/>
    <x v="10"/>
    <n v="27127000000"/>
    <n v="27033000000"/>
    <x v="0"/>
    <x v="0"/>
    <n v="94000000"/>
    <n v="54160000000"/>
  </r>
  <r>
    <s v="Yemen, Rep."/>
    <s v="YEM"/>
    <x v="10"/>
    <n v="0"/>
    <n v="6000000"/>
    <x v="2"/>
    <x v="4"/>
    <n v="-6000000"/>
    <n v="6000000"/>
  </r>
  <r>
    <s v="Afghanistan"/>
    <s v="AFG"/>
    <x v="11"/>
    <n v="0"/>
    <n v="253000000"/>
    <x v="2"/>
    <x v="4"/>
    <n v="-253000000"/>
    <n v="253000000"/>
  </r>
  <r>
    <s v="Africa Eastern and Southern"/>
    <s v="AFE"/>
    <x v="11"/>
    <n v="0"/>
    <n v="563000000"/>
    <x v="0"/>
    <x v="0"/>
    <n v="-563000000"/>
    <n v="563000000"/>
  </r>
  <r>
    <s v="Africa Western and Central"/>
    <s v="AFW"/>
    <x v="11"/>
    <n v="0"/>
    <n v="342000000"/>
    <x v="0"/>
    <x v="0"/>
    <n v="-342000000"/>
    <n v="342000000"/>
  </r>
  <r>
    <s v="Albania"/>
    <s v="ALB"/>
    <x v="11"/>
    <n v="0"/>
    <n v="7000000"/>
    <x v="1"/>
    <x v="1"/>
    <n v="-7000000"/>
    <n v="7000000"/>
  </r>
  <r>
    <s v="Algeria"/>
    <s v="DZA"/>
    <x v="11"/>
    <n v="0"/>
    <n v="361000000"/>
    <x v="2"/>
    <x v="1"/>
    <n v="-361000000"/>
    <n v="361000000"/>
  </r>
  <r>
    <s v="Angola"/>
    <s v="AGO"/>
    <x v="11"/>
    <n v="0"/>
    <n v="31000000"/>
    <x v="3"/>
    <x v="2"/>
    <n v="-31000000"/>
    <n v="31000000"/>
  </r>
  <r>
    <s v="Arab World"/>
    <s v="ARB"/>
    <x v="11"/>
    <n v="0"/>
    <n v="7185000000"/>
    <x v="0"/>
    <x v="0"/>
    <n v="-7185000000"/>
    <n v="7185000000"/>
  </r>
  <r>
    <s v="Argentina"/>
    <s v="ARG"/>
    <x v="11"/>
    <n v="0"/>
    <n v="13000000"/>
    <x v="4"/>
    <x v="1"/>
    <n v="-13000000"/>
    <n v="13000000"/>
  </r>
  <r>
    <s v="Armenia"/>
    <s v="ARM"/>
    <x v="11"/>
    <n v="0"/>
    <n v="52000000"/>
    <x v="1"/>
    <x v="1"/>
    <n v="-52000000"/>
    <n v="52000000"/>
  </r>
  <r>
    <s v="Australia"/>
    <s v="AUS"/>
    <x v="11"/>
    <n v="54000000"/>
    <n v="220000000"/>
    <x v="5"/>
    <x v="3"/>
    <n v="-166000000"/>
    <n v="274000000"/>
  </r>
  <r>
    <s v="Austria"/>
    <s v="AUT"/>
    <x v="11"/>
    <n v="29000000"/>
    <n v="5000000"/>
    <x v="1"/>
    <x v="3"/>
    <n v="24000000"/>
    <n v="34000000"/>
  </r>
  <r>
    <s v="Azerbaijan"/>
    <s v="AZE"/>
    <x v="11"/>
    <n v="0"/>
    <n v="398000000"/>
    <x v="1"/>
    <x v="1"/>
    <n v="-398000000"/>
    <n v="398000000"/>
  </r>
  <r>
    <s v="Bahrain"/>
    <s v="BHR"/>
    <x v="11"/>
    <n v="0"/>
    <n v="69000000"/>
    <x v="2"/>
    <x v="3"/>
    <n v="-69000000"/>
    <n v="69000000"/>
  </r>
  <r>
    <s v="Bangladesh"/>
    <s v="BGD"/>
    <x v="11"/>
    <n v="0"/>
    <n v="648000000"/>
    <x v="6"/>
    <x v="2"/>
    <n v="-648000000"/>
    <n v="648000000"/>
  </r>
  <r>
    <s v="Belarus"/>
    <s v="BLR"/>
    <x v="11"/>
    <n v="269000000"/>
    <n v="75000000"/>
    <x v="1"/>
    <x v="1"/>
    <n v="194000000"/>
    <n v="344000000"/>
  </r>
  <r>
    <s v="Belgium"/>
    <s v="BEL"/>
    <x v="11"/>
    <n v="54000000"/>
    <n v="48000000"/>
    <x v="1"/>
    <x v="3"/>
    <n v="6000000"/>
    <n v="102000000"/>
  </r>
  <r>
    <s v="Benin"/>
    <s v="BEN"/>
    <x v="11"/>
    <n v="0"/>
    <n v="3000000"/>
    <x v="3"/>
    <x v="2"/>
    <n v="-3000000"/>
    <n v="3000000"/>
  </r>
  <r>
    <s v="Bolivia"/>
    <s v="BOL"/>
    <x v="11"/>
    <n v="0"/>
    <n v="1000000"/>
    <x v="4"/>
    <x v="2"/>
    <n v="-1000000"/>
    <n v="1000000"/>
  </r>
  <r>
    <s v="Bosnia and Herzegovina"/>
    <s v="BIH"/>
    <x v="11"/>
    <n v="3000000"/>
    <n v="0"/>
    <x v="1"/>
    <x v="1"/>
    <n v="3000000"/>
    <n v="3000000"/>
  </r>
  <r>
    <s v="Botswana"/>
    <s v="BWA"/>
    <x v="11"/>
    <n v="0"/>
    <n v="8000000"/>
    <x v="3"/>
    <x v="1"/>
    <n v="-8000000"/>
    <n v="8000000"/>
  </r>
  <r>
    <s v="Brazil"/>
    <s v="BRA"/>
    <x v="11"/>
    <n v="31000000"/>
    <n v="217000000"/>
    <x v="4"/>
    <x v="1"/>
    <n v="-186000000"/>
    <n v="248000000"/>
  </r>
  <r>
    <s v="Brunei Darussalam"/>
    <s v="BRN"/>
    <x v="11"/>
    <n v="0"/>
    <n v="15000000"/>
    <x v="5"/>
    <x v="3"/>
    <n v="-15000000"/>
    <n v="15000000"/>
  </r>
  <r>
    <s v="Bulgaria"/>
    <s v="BGR"/>
    <x v="11"/>
    <n v="23000000"/>
    <n v="0"/>
    <x v="1"/>
    <x v="3"/>
    <n v="23000000"/>
    <n v="23000000"/>
  </r>
  <r>
    <s v="Cambodia"/>
    <s v="KHM"/>
    <x v="11"/>
    <n v="0"/>
    <n v="68000000"/>
    <x v="5"/>
    <x v="2"/>
    <n v="-68000000"/>
    <n v="68000000"/>
  </r>
  <r>
    <s v="Cameroon"/>
    <s v="CMR"/>
    <x v="11"/>
    <n v="0"/>
    <n v="139000000"/>
    <x v="3"/>
    <x v="2"/>
    <n v="-139000000"/>
    <n v="139000000"/>
  </r>
  <r>
    <s v="Canada"/>
    <s v="CAN"/>
    <x v="11"/>
    <n v="170000000"/>
    <n v="202000000"/>
    <x v="7"/>
    <x v="3"/>
    <n v="-32000000"/>
    <n v="372000000"/>
  </r>
  <r>
    <s v="Central Europe and the Baltics"/>
    <s v="CEB"/>
    <x v="11"/>
    <n v="469000000"/>
    <n v="287000000"/>
    <x v="0"/>
    <x v="0"/>
    <n v="182000000"/>
    <n v="756000000"/>
  </r>
  <r>
    <s v="Chad"/>
    <s v="TCD"/>
    <x v="11"/>
    <n v="0"/>
    <n v="59000000"/>
    <x v="3"/>
    <x v="4"/>
    <n v="-59000000"/>
    <n v="59000000"/>
  </r>
  <r>
    <s v="Chile"/>
    <s v="CHL"/>
    <x v="11"/>
    <n v="0"/>
    <n v="55000000"/>
    <x v="4"/>
    <x v="3"/>
    <n v="-55000000"/>
    <n v="55000000"/>
  </r>
  <r>
    <s v="China"/>
    <s v="CHN"/>
    <x v="11"/>
    <n v="2100000000"/>
    <n v="1221000000"/>
    <x v="5"/>
    <x v="1"/>
    <n v="879000000"/>
    <n v="3321000000"/>
  </r>
  <r>
    <s v="Colombia"/>
    <s v="COL"/>
    <x v="11"/>
    <n v="0"/>
    <n v="173000000"/>
    <x v="4"/>
    <x v="1"/>
    <n v="-173000000"/>
    <n v="173000000"/>
  </r>
  <r>
    <s v="Congo, Dem. Rep."/>
    <s v="COD"/>
    <x v="11"/>
    <n v="0"/>
    <n v="1000000"/>
    <x v="3"/>
    <x v="4"/>
    <n v="-1000000"/>
    <n v="1000000"/>
  </r>
  <r>
    <s v="Congo, Rep."/>
    <s v="COG"/>
    <x v="11"/>
    <n v="0"/>
    <n v="35000000"/>
    <x v="3"/>
    <x v="2"/>
    <n v="-35000000"/>
    <n v="35000000"/>
  </r>
  <r>
    <s v="Czechia"/>
    <s v="CZE"/>
    <x v="11"/>
    <n v="41000000"/>
    <n v="18000000"/>
    <x v="1"/>
    <x v="3"/>
    <n v="23000000"/>
    <n v="59000000"/>
  </r>
  <r>
    <s v="Denmark"/>
    <s v="DNK"/>
    <x v="11"/>
    <n v="8000000"/>
    <n v="34000000"/>
    <x v="1"/>
    <x v="3"/>
    <n v="-26000000"/>
    <n v="42000000"/>
  </r>
  <r>
    <s v="Djibouti"/>
    <s v="DJI"/>
    <x v="11"/>
    <n v="0"/>
    <n v="5000000"/>
    <x v="2"/>
    <x v="2"/>
    <n v="-5000000"/>
    <n v="5000000"/>
  </r>
  <r>
    <s v="Early-demographic dividend"/>
    <s v="EAR"/>
    <x v="11"/>
    <n v="0"/>
    <n v="14258000000"/>
    <x v="0"/>
    <x v="0"/>
    <n v="-14258000000"/>
    <n v="14258000000"/>
  </r>
  <r>
    <s v="East Asia &amp; Pacific"/>
    <s v="EAS"/>
    <x v="11"/>
    <n v="0"/>
    <n v="5459000000"/>
    <x v="0"/>
    <x v="0"/>
    <n v="-5459000000"/>
    <n v="5459000000"/>
  </r>
  <r>
    <s v="East Asia &amp; Pacific (excluding high income)"/>
    <s v="EAP"/>
    <x v="11"/>
    <n v="2115000000"/>
    <n v="3301000000"/>
    <x v="0"/>
    <x v="0"/>
    <n v="-1186000000"/>
    <n v="5416000000"/>
  </r>
  <r>
    <s v="East Asia &amp; Pacific (IDA &amp; IBRD countries)"/>
    <s v="TEA"/>
    <x v="11"/>
    <n v="2115000000"/>
    <n v="3301000000"/>
    <x v="0"/>
    <x v="0"/>
    <n v="-1186000000"/>
    <n v="5416000000"/>
  </r>
  <r>
    <s v="Ecuador"/>
    <s v="ECU"/>
    <x v="11"/>
    <n v="0"/>
    <n v="12000000"/>
    <x v="4"/>
    <x v="1"/>
    <n v="-12000000"/>
    <n v="12000000"/>
  </r>
  <r>
    <s v="Egypt, Arab Rep."/>
    <s v="EGY"/>
    <x v="11"/>
    <n v="0"/>
    <n v="719000000"/>
    <x v="2"/>
    <x v="2"/>
    <n v="-719000000"/>
    <n v="719000000"/>
  </r>
  <r>
    <s v="El Salvador"/>
    <s v="SLV"/>
    <x v="11"/>
    <n v="0"/>
    <n v="1000000"/>
    <x v="4"/>
    <x v="1"/>
    <n v="-1000000"/>
    <n v="1000000"/>
  </r>
  <r>
    <s v="Equatorial Guinea"/>
    <s v="GNQ"/>
    <x v="11"/>
    <n v="0"/>
    <n v="2000000"/>
    <x v="3"/>
    <x v="1"/>
    <n v="-2000000"/>
    <n v="2000000"/>
  </r>
  <r>
    <s v="Estonia"/>
    <s v="EST"/>
    <x v="11"/>
    <n v="0"/>
    <n v="18000000"/>
    <x v="1"/>
    <x v="3"/>
    <n v="-18000000"/>
    <n v="18000000"/>
  </r>
  <r>
    <s v="Ethiopia"/>
    <s v="ETH"/>
    <x v="11"/>
    <n v="0"/>
    <n v="154000000"/>
    <x v="3"/>
    <x v="4"/>
    <n v="-154000000"/>
    <n v="154000000"/>
  </r>
  <r>
    <s v="Euro area"/>
    <s v="EMU"/>
    <x v="11"/>
    <n v="4536000000"/>
    <n v="1368000000"/>
    <x v="0"/>
    <x v="0"/>
    <n v="3168000000"/>
    <n v="5904000000"/>
  </r>
  <r>
    <s v="Europe &amp; Central Asia"/>
    <s v="ECS"/>
    <x v="11"/>
    <n v="16194000000"/>
    <n v="3914000000"/>
    <x v="0"/>
    <x v="0"/>
    <n v="12280000000"/>
    <n v="20108000000"/>
  </r>
  <r>
    <s v="Europe &amp; Central Asia (excluding high income)"/>
    <s v="ECA"/>
    <x v="11"/>
    <n v="1116000000"/>
    <n v="1523000000"/>
    <x v="0"/>
    <x v="0"/>
    <n v="-407000000"/>
    <n v="2639000000"/>
  </r>
  <r>
    <s v="Europe &amp; Central Asia (IDA &amp; IBRD countries)"/>
    <s v="TEC"/>
    <x v="11"/>
    <n v="9389000000"/>
    <n v="1874000000"/>
    <x v="0"/>
    <x v="0"/>
    <n v="7515000000"/>
    <n v="11263000000"/>
  </r>
  <r>
    <s v="European Union"/>
    <s v="EUU"/>
    <x v="11"/>
    <n v="5372000000"/>
    <n v="1646000000"/>
    <x v="0"/>
    <x v="0"/>
    <n v="3726000000"/>
    <n v="7018000000"/>
  </r>
  <r>
    <s v="Finland"/>
    <s v="FIN"/>
    <x v="11"/>
    <n v="76000000"/>
    <n v="254000000"/>
    <x v="1"/>
    <x v="3"/>
    <n v="-178000000"/>
    <n v="330000000"/>
  </r>
  <r>
    <s v="Fragility, Conflict, and Violence (FCV) situations"/>
    <s v="FCV"/>
    <x v="11"/>
    <n v="0"/>
    <n v="2084000000"/>
    <x v="0"/>
    <x v="0"/>
    <n v="-2084000000"/>
    <n v="2084000000"/>
  </r>
  <r>
    <s v="France"/>
    <s v="FRA"/>
    <x v="11"/>
    <n v="1870000000"/>
    <n v="104000000"/>
    <x v="1"/>
    <x v="3"/>
    <n v="1766000000"/>
    <n v="1974000000"/>
  </r>
  <r>
    <s v="Gabon"/>
    <s v="GAB"/>
    <x v="11"/>
    <n v="0"/>
    <n v="2000000"/>
    <x v="3"/>
    <x v="1"/>
    <n v="-2000000"/>
    <n v="2000000"/>
  </r>
  <r>
    <s v="Georgia"/>
    <s v="GEO"/>
    <x v="11"/>
    <n v="0"/>
    <n v="5000000"/>
    <x v="1"/>
    <x v="1"/>
    <n v="-5000000"/>
    <n v="5000000"/>
  </r>
  <r>
    <s v="Germany"/>
    <s v="DEU"/>
    <x v="11"/>
    <n v="721000000"/>
    <n v="103000000"/>
    <x v="1"/>
    <x v="3"/>
    <n v="618000000"/>
    <n v="824000000"/>
  </r>
  <r>
    <s v="Ghana"/>
    <s v="GHA"/>
    <x v="11"/>
    <n v="0"/>
    <n v="52000000"/>
    <x v="3"/>
    <x v="2"/>
    <n v="-52000000"/>
    <n v="52000000"/>
  </r>
  <r>
    <s v="Greece"/>
    <s v="GRC"/>
    <x v="11"/>
    <n v="0"/>
    <n v="28000000"/>
    <x v="1"/>
    <x v="3"/>
    <n v="-28000000"/>
    <n v="28000000"/>
  </r>
  <r>
    <s v="Heavily indebted poor countries (HIPC)"/>
    <s v="HPC"/>
    <x v="11"/>
    <n v="0"/>
    <n v="1072000000"/>
    <x v="0"/>
    <x v="0"/>
    <n v="-1072000000"/>
    <n v="1072000000"/>
  </r>
  <r>
    <s v="High income"/>
    <s v="HIC"/>
    <x v="11"/>
    <n v="23958000000"/>
    <n v="10472000000"/>
    <x v="0"/>
    <x v="0"/>
    <n v="13486000000"/>
    <n v="34430000000"/>
  </r>
  <r>
    <s v="Honduras"/>
    <s v="HND"/>
    <x v="11"/>
    <n v="0"/>
    <n v="20000000"/>
    <x v="4"/>
    <x v="2"/>
    <n v="-20000000"/>
    <n v="20000000"/>
  </r>
  <r>
    <s v="Hungary"/>
    <s v="HUN"/>
    <x v="11"/>
    <n v="41000000"/>
    <n v="2000000"/>
    <x v="1"/>
    <x v="3"/>
    <n v="39000000"/>
    <n v="43000000"/>
  </r>
  <r>
    <s v="IBRD only"/>
    <s v="IBD"/>
    <x v="11"/>
    <n v="11699000000"/>
    <n v="13535000000"/>
    <x v="0"/>
    <x v="0"/>
    <n v="-1836000000"/>
    <n v="25234000000"/>
  </r>
  <r>
    <s v="IDA &amp; IBRD total"/>
    <s v="IBT"/>
    <x v="11"/>
    <n v="0"/>
    <n v="17313000000"/>
    <x v="0"/>
    <x v="0"/>
    <n v="-17313000000"/>
    <n v="17313000000"/>
  </r>
  <r>
    <s v="IDA blend"/>
    <s v="IDB"/>
    <x v="11"/>
    <n v="0"/>
    <n v="1324000000"/>
    <x v="0"/>
    <x v="0"/>
    <n v="-1324000000"/>
    <n v="1324000000"/>
  </r>
  <r>
    <s v="IDA only"/>
    <s v="IDX"/>
    <x v="11"/>
    <n v="0"/>
    <n v="2454000000"/>
    <x v="0"/>
    <x v="0"/>
    <n v="-2454000000"/>
    <n v="2454000000"/>
  </r>
  <r>
    <s v="IDA total"/>
    <s v="IDA"/>
    <x v="11"/>
    <n v="0"/>
    <n v="3778000000"/>
    <x v="0"/>
    <x v="0"/>
    <n v="-3778000000"/>
    <n v="3778000000"/>
  </r>
  <r>
    <s v="India"/>
    <s v="IND"/>
    <x v="11"/>
    <n v="18000000"/>
    <n v="5302000000"/>
    <x v="6"/>
    <x v="2"/>
    <n v="-5284000000"/>
    <n v="5320000000"/>
  </r>
  <r>
    <s v="Indonesia"/>
    <s v="IDN"/>
    <x v="11"/>
    <n v="0"/>
    <n v="833000000"/>
    <x v="5"/>
    <x v="1"/>
    <n v="-833000000"/>
    <n v="833000000"/>
  </r>
  <r>
    <s v="Iran, Islamic Rep."/>
    <s v="IRN"/>
    <x v="11"/>
    <n v="2000000"/>
    <n v="14000000"/>
    <x v="2"/>
    <x v="1"/>
    <n v="-12000000"/>
    <n v="16000000"/>
  </r>
  <r>
    <s v="Iraq"/>
    <s v="IRQ"/>
    <x v="11"/>
    <n v="0"/>
    <n v="375000000"/>
    <x v="2"/>
    <x v="1"/>
    <n v="-375000000"/>
    <n v="375000000"/>
  </r>
  <r>
    <s v="Ireland"/>
    <s v="IRL"/>
    <x v="11"/>
    <n v="44000000"/>
    <n v="0"/>
    <x v="1"/>
    <x v="3"/>
    <n v="44000000"/>
    <n v="44000000"/>
  </r>
  <r>
    <s v="Israel"/>
    <s v="ISR"/>
    <x v="11"/>
    <n v="414000000"/>
    <n v="160000000"/>
    <x v="2"/>
    <x v="3"/>
    <n v="254000000"/>
    <n v="574000000"/>
  </r>
  <r>
    <s v="Italy"/>
    <s v="ITA"/>
    <x v="11"/>
    <n v="884000000"/>
    <n v="71000000"/>
    <x v="1"/>
    <x v="3"/>
    <n v="813000000"/>
    <n v="955000000"/>
  </r>
  <r>
    <s v="Jamaica"/>
    <s v="JAM"/>
    <x v="11"/>
    <n v="0"/>
    <n v="1000000"/>
    <x v="4"/>
    <x v="1"/>
    <n v="-1000000"/>
    <n v="1000000"/>
  </r>
  <r>
    <s v="Japan"/>
    <s v="JPN"/>
    <x v="11"/>
    <n v="0"/>
    <n v="341000000"/>
    <x v="5"/>
    <x v="3"/>
    <n v="-341000000"/>
    <n v="341000000"/>
  </r>
  <r>
    <s v="Jordan"/>
    <s v="JOR"/>
    <x v="11"/>
    <n v="35000000"/>
    <n v="72000000"/>
    <x v="2"/>
    <x v="1"/>
    <n v="-37000000"/>
    <n v="107000000"/>
  </r>
  <r>
    <s v="Kazakhstan"/>
    <s v="KAZ"/>
    <x v="11"/>
    <n v="0"/>
    <n v="143000000"/>
    <x v="1"/>
    <x v="1"/>
    <n v="-143000000"/>
    <n v="143000000"/>
  </r>
  <r>
    <s v="Kenya"/>
    <s v="KEN"/>
    <x v="11"/>
    <n v="0"/>
    <n v="1000000"/>
    <x v="3"/>
    <x v="2"/>
    <n v="-1000000"/>
    <n v="1000000"/>
  </r>
  <r>
    <s v="Korea, Rep."/>
    <s v="KOR"/>
    <x v="11"/>
    <n v="350000000"/>
    <n v="189000000"/>
    <x v="5"/>
    <x v="3"/>
    <n v="161000000"/>
    <n v="539000000"/>
  </r>
  <r>
    <s v="Kuwait"/>
    <s v="KWT"/>
    <x v="11"/>
    <n v="0"/>
    <n v="73000000"/>
    <x v="2"/>
    <x v="3"/>
    <n v="-73000000"/>
    <n v="73000000"/>
  </r>
  <r>
    <s v="Lao PDR"/>
    <s v="LAO"/>
    <x v="11"/>
    <n v="0"/>
    <n v="19000000"/>
    <x v="5"/>
    <x v="2"/>
    <n v="-19000000"/>
    <n v="19000000"/>
  </r>
  <r>
    <s v="Late-demographic dividend"/>
    <s v="LTE"/>
    <x v="11"/>
    <n v="10566000000"/>
    <n v="6627000000"/>
    <x v="0"/>
    <x v="0"/>
    <n v="3939000000"/>
    <n v="17193000000"/>
  </r>
  <r>
    <s v="Latin America &amp; Caribbean"/>
    <s v="LCN"/>
    <x v="11"/>
    <n v="0"/>
    <n v="1576000000"/>
    <x v="0"/>
    <x v="0"/>
    <n v="-1576000000"/>
    <n v="1576000000"/>
  </r>
  <r>
    <s v="Latin America &amp; Caribbean (excluding high income)"/>
    <s v="LAC"/>
    <x v="11"/>
    <n v="0"/>
    <n v="1518000000"/>
    <x v="0"/>
    <x v="0"/>
    <n v="-1518000000"/>
    <n v="1518000000"/>
  </r>
  <r>
    <s v="Latin America &amp; the Caribbean (IDA &amp; IBRD countries)"/>
    <s v="TLA"/>
    <x v="11"/>
    <n v="0"/>
    <n v="1576000000"/>
    <x v="0"/>
    <x v="0"/>
    <n v="-1576000000"/>
    <n v="1576000000"/>
  </r>
  <r>
    <s v="Latvia"/>
    <s v="LVA"/>
    <x v="11"/>
    <n v="0"/>
    <n v="5000000"/>
    <x v="1"/>
    <x v="3"/>
    <n v="-5000000"/>
    <n v="5000000"/>
  </r>
  <r>
    <s v="Least developed countries: UN classification"/>
    <s v="LDC"/>
    <x v="11"/>
    <n v="0"/>
    <n v="1884000000"/>
    <x v="0"/>
    <x v="0"/>
    <n v="-1884000000"/>
    <n v="1884000000"/>
  </r>
  <r>
    <s v="Lebanon"/>
    <s v="LBN"/>
    <x v="11"/>
    <n v="0"/>
    <n v="27000000"/>
    <x v="2"/>
    <x v="2"/>
    <n v="-27000000"/>
    <n v="27000000"/>
  </r>
  <r>
    <s v="Libya"/>
    <s v="LBY"/>
    <x v="11"/>
    <n v="0"/>
    <n v="119000000"/>
    <x v="2"/>
    <x v="1"/>
    <n v="-119000000"/>
    <n v="119000000"/>
  </r>
  <r>
    <s v="Lithuania"/>
    <s v="LTU"/>
    <x v="11"/>
    <n v="0"/>
    <n v="73000000"/>
    <x v="1"/>
    <x v="3"/>
    <n v="-73000000"/>
    <n v="73000000"/>
  </r>
  <r>
    <s v="Low &amp; middle income"/>
    <s v="LMY"/>
    <x v="11"/>
    <n v="0"/>
    <n v="16894000000"/>
    <x v="0"/>
    <x v="0"/>
    <n v="-16894000000"/>
    <n v="16894000000"/>
  </r>
  <r>
    <s v="Low income"/>
    <s v="LIC"/>
    <x v="11"/>
    <n v="0"/>
    <n v="1226000000"/>
    <x v="0"/>
    <x v="0"/>
    <n v="-1226000000"/>
    <n v="1226000000"/>
  </r>
  <r>
    <s v="Lower middle income"/>
    <s v="LMC"/>
    <x v="11"/>
    <n v="0"/>
    <n v="9715000000"/>
    <x v="0"/>
    <x v="0"/>
    <n v="-9715000000"/>
    <n v="9715000000"/>
  </r>
  <r>
    <s v="Malawi"/>
    <s v="MWI"/>
    <x v="11"/>
    <n v="0"/>
    <n v="3000000"/>
    <x v="3"/>
    <x v="4"/>
    <n v="-3000000"/>
    <n v="3000000"/>
  </r>
  <r>
    <s v="Malaysia"/>
    <s v="MYS"/>
    <x v="11"/>
    <n v="15000000"/>
    <n v="82000000"/>
    <x v="5"/>
    <x v="1"/>
    <n v="-67000000"/>
    <n v="97000000"/>
  </r>
  <r>
    <s v="Maldives"/>
    <s v="MDV"/>
    <x v="11"/>
    <n v="0"/>
    <n v="5000000"/>
    <x v="6"/>
    <x v="1"/>
    <n v="-5000000"/>
    <n v="5000000"/>
  </r>
  <r>
    <s v="Mali"/>
    <s v="MLI"/>
    <x v="11"/>
    <n v="0"/>
    <n v="7000000"/>
    <x v="3"/>
    <x v="4"/>
    <n v="-7000000"/>
    <n v="7000000"/>
  </r>
  <r>
    <s v="Mexico"/>
    <s v="MEX"/>
    <x v="11"/>
    <n v="0"/>
    <n v="52000000"/>
    <x v="4"/>
    <x v="1"/>
    <n v="-52000000"/>
    <n v="52000000"/>
  </r>
  <r>
    <s v="Middle East, North Africa, Afghanistan &amp; Pakistan"/>
    <s v="MEA"/>
    <x v="11"/>
    <n v="0"/>
    <n v="8566000000"/>
    <x v="0"/>
    <x v="0"/>
    <n v="-8566000000"/>
    <n v="8566000000"/>
  </r>
  <r>
    <s v="Middle East, North Africa, Afghanistan &amp; Pakistan (excluding high income)"/>
    <s v="MNA"/>
    <x v="11"/>
    <n v="0"/>
    <n v="3680000000"/>
    <x v="0"/>
    <x v="0"/>
    <n v="-3680000000"/>
    <n v="3680000000"/>
  </r>
  <r>
    <s v="Middle East, North Africa, Afghanistan &amp; Pakistan (IDA &amp; IBRD)"/>
    <s v="TMN"/>
    <x v="11"/>
    <n v="0"/>
    <n v="3680000000"/>
    <x v="0"/>
    <x v="0"/>
    <n v="-3680000000"/>
    <n v="3680000000"/>
  </r>
  <r>
    <s v="Middle income"/>
    <s v="MIC"/>
    <x v="11"/>
    <n v="0"/>
    <n v="15668000000"/>
    <x v="0"/>
    <x v="0"/>
    <n v="-15668000000"/>
    <n v="15668000000"/>
  </r>
  <r>
    <s v="Morocco"/>
    <s v="MAR"/>
    <x v="11"/>
    <n v="0"/>
    <n v="62000000"/>
    <x v="2"/>
    <x v="2"/>
    <n v="-62000000"/>
    <n v="62000000"/>
  </r>
  <r>
    <s v="Mozambique"/>
    <s v="MOZ"/>
    <x v="11"/>
    <n v="0"/>
    <n v="9000000"/>
    <x v="3"/>
    <x v="4"/>
    <n v="-9000000"/>
    <n v="9000000"/>
  </r>
  <r>
    <s v="Myanmar"/>
    <s v="MMR"/>
    <x v="11"/>
    <n v="0"/>
    <n v="252000000"/>
    <x v="5"/>
    <x v="2"/>
    <n v="-252000000"/>
    <n v="252000000"/>
  </r>
  <r>
    <s v="Namibia"/>
    <s v="NAM"/>
    <x v="11"/>
    <n v="0"/>
    <n v="9000000"/>
    <x v="3"/>
    <x v="2"/>
    <n v="-9000000"/>
    <n v="9000000"/>
  </r>
  <r>
    <s v="Netherlands"/>
    <s v="NLD"/>
    <x v="11"/>
    <n v="384000000"/>
    <n v="488000000"/>
    <x v="1"/>
    <x v="3"/>
    <n v="-104000000"/>
    <n v="872000000"/>
  </r>
  <r>
    <s v="New Zealand"/>
    <s v="NZL"/>
    <x v="11"/>
    <n v="0"/>
    <n v="26000000"/>
    <x v="5"/>
    <x v="3"/>
    <n v="-26000000"/>
    <n v="26000000"/>
  </r>
  <r>
    <s v="Niger"/>
    <s v="NER"/>
    <x v="11"/>
    <n v="0"/>
    <n v="12000000"/>
    <x v="3"/>
    <x v="4"/>
    <n v="-12000000"/>
    <n v="12000000"/>
  </r>
  <r>
    <s v="Nigeria"/>
    <s v="NGA"/>
    <x v="11"/>
    <n v="0"/>
    <n v="30000000"/>
    <x v="3"/>
    <x v="2"/>
    <n v="-30000000"/>
    <n v="30000000"/>
  </r>
  <r>
    <s v="North America"/>
    <s v="NAC"/>
    <x v="11"/>
    <n v="7940000000"/>
    <n v="969000000"/>
    <x v="0"/>
    <x v="0"/>
    <n v="6971000000"/>
    <n v="8909000000"/>
  </r>
  <r>
    <s v="North Macedonia"/>
    <s v="MKD"/>
    <x v="11"/>
    <n v="0"/>
    <n v="1000000"/>
    <x v="1"/>
    <x v="1"/>
    <n v="-1000000"/>
    <n v="1000000"/>
  </r>
  <r>
    <s v="Norway"/>
    <s v="NOR"/>
    <x v="11"/>
    <n v="97000000"/>
    <n v="51000000"/>
    <x v="1"/>
    <x v="3"/>
    <n v="46000000"/>
    <n v="148000000"/>
  </r>
  <r>
    <s v="OECD members"/>
    <s v="OED"/>
    <x v="11"/>
    <n v="15856000000"/>
    <n v="5140000000"/>
    <x v="0"/>
    <x v="0"/>
    <n v="10716000000"/>
    <n v="20996000000"/>
  </r>
  <r>
    <s v="Oman"/>
    <s v="OMN"/>
    <x v="11"/>
    <n v="0"/>
    <n v="492000000"/>
    <x v="2"/>
    <x v="3"/>
    <n v="-492000000"/>
    <n v="492000000"/>
  </r>
  <r>
    <s v="Pakistan"/>
    <s v="PAK"/>
    <x v="11"/>
    <n v="0"/>
    <n v="1112000000"/>
    <x v="2"/>
    <x v="2"/>
    <n v="-1112000000"/>
    <n v="1112000000"/>
  </r>
  <r>
    <s v="Paraguay"/>
    <s v="PRY"/>
    <x v="11"/>
    <n v="0"/>
    <n v="0"/>
    <x v="4"/>
    <x v="1"/>
    <n v="0"/>
    <n v="0"/>
  </r>
  <r>
    <s v="Peru"/>
    <s v="PER"/>
    <x v="11"/>
    <n v="0"/>
    <n v="15000000"/>
    <x v="4"/>
    <x v="1"/>
    <n v="-15000000"/>
    <n v="15000000"/>
  </r>
  <r>
    <s v="Philippines"/>
    <s v="PHL"/>
    <x v="11"/>
    <n v="0"/>
    <n v="83000000"/>
    <x v="5"/>
    <x v="1"/>
    <n v="-83000000"/>
    <n v="83000000"/>
  </r>
  <r>
    <s v="Poland"/>
    <s v="POL"/>
    <x v="11"/>
    <n v="147000000"/>
    <n v="146000000"/>
    <x v="1"/>
    <x v="3"/>
    <n v="1000000"/>
    <n v="293000000"/>
  </r>
  <r>
    <s v="Portugal"/>
    <s v="PRT"/>
    <x v="11"/>
    <n v="0"/>
    <n v="11000000"/>
    <x v="1"/>
    <x v="3"/>
    <n v="-11000000"/>
    <n v="11000000"/>
  </r>
  <r>
    <s v="Post-demographic dividend"/>
    <s v="PST"/>
    <x v="11"/>
    <n v="16094000000"/>
    <n v="4585000000"/>
    <x v="0"/>
    <x v="0"/>
    <n v="11509000000"/>
    <n v="20679000000"/>
  </r>
  <r>
    <s v="Pre-demographic dividend"/>
    <s v="PRE"/>
    <x v="11"/>
    <n v="0"/>
    <n v="1282000000"/>
    <x v="0"/>
    <x v="0"/>
    <n v="-1282000000"/>
    <n v="1282000000"/>
  </r>
  <r>
    <s v="Qatar"/>
    <s v="QAT"/>
    <x v="11"/>
    <n v="0"/>
    <n v="82000000"/>
    <x v="2"/>
    <x v="3"/>
    <n v="-82000000"/>
    <n v="82000000"/>
  </r>
  <r>
    <s v="Romania"/>
    <s v="ROU"/>
    <x v="11"/>
    <n v="216000000"/>
    <n v="20000000"/>
    <x v="1"/>
    <x v="3"/>
    <n v="196000000"/>
    <n v="236000000"/>
  </r>
  <r>
    <s v="Russian Federation"/>
    <s v="RUS"/>
    <x v="11"/>
    <n v="7887000000"/>
    <n v="185000000"/>
    <x v="1"/>
    <x v="3"/>
    <n v="7702000000"/>
    <n v="8072000000"/>
  </r>
  <r>
    <s v="Rwanda"/>
    <s v="RWA"/>
    <x v="11"/>
    <n v="0"/>
    <n v="15000000"/>
    <x v="3"/>
    <x v="4"/>
    <n v="-15000000"/>
    <n v="15000000"/>
  </r>
  <r>
    <s v="Saudi Arabia"/>
    <s v="SAU"/>
    <x v="11"/>
    <n v="0"/>
    <n v="1686000000"/>
    <x v="2"/>
    <x v="3"/>
    <n v="-1686000000"/>
    <n v="1686000000"/>
  </r>
  <r>
    <s v="Serbia"/>
    <s v="SRB"/>
    <x v="11"/>
    <n v="10000000"/>
    <n v="0"/>
    <x v="1"/>
    <x v="1"/>
    <n v="10000000"/>
    <n v="10000000"/>
  </r>
  <r>
    <s v="Seychelles"/>
    <s v="SYC"/>
    <x v="11"/>
    <n v="0"/>
    <n v="10000000"/>
    <x v="3"/>
    <x v="3"/>
    <n v="-10000000"/>
    <n v="10000000"/>
  </r>
  <r>
    <s v="Sierra Leone"/>
    <s v="SLE"/>
    <x v="11"/>
    <n v="0"/>
    <n v="1000000"/>
    <x v="3"/>
    <x v="4"/>
    <n v="-1000000"/>
    <n v="1000000"/>
  </r>
  <r>
    <s v="Singapore"/>
    <s v="SGP"/>
    <x v="11"/>
    <n v="7000000"/>
    <n v="753000000"/>
    <x v="5"/>
    <x v="3"/>
    <n v="-746000000"/>
    <n v="760000000"/>
  </r>
  <r>
    <s v="Slovak Republic"/>
    <s v="SVK"/>
    <x v="11"/>
    <n v="1000000"/>
    <n v="5000000"/>
    <x v="1"/>
    <x v="3"/>
    <n v="-4000000"/>
    <n v="6000000"/>
  </r>
  <r>
    <s v="Somalia, Fed. Rep."/>
    <s v="SOM"/>
    <x v="11"/>
    <n v="0"/>
    <n v="3000000"/>
    <x v="3"/>
    <x v="4"/>
    <n v="-3000000"/>
    <n v="3000000"/>
  </r>
  <r>
    <s v="South Africa"/>
    <s v="ZAF"/>
    <x v="11"/>
    <n v="109000000"/>
    <n v="1000000"/>
    <x v="3"/>
    <x v="1"/>
    <n v="108000000"/>
    <n v="110000000"/>
  </r>
  <r>
    <s v="South Asia"/>
    <s v="SAS"/>
    <x v="11"/>
    <n v="18000000"/>
    <n v="5977000000"/>
    <x v="0"/>
    <x v="0"/>
    <n v="-5959000000"/>
    <n v="5995000000"/>
  </r>
  <r>
    <s v="South Asia (IDA &amp; IBRD)"/>
    <s v="TSA"/>
    <x v="11"/>
    <n v="18000000"/>
    <n v="5977000000"/>
    <x v="0"/>
    <x v="0"/>
    <n v="-5959000000"/>
    <n v="5995000000"/>
  </r>
  <r>
    <s v="South Sudan"/>
    <s v="SSD"/>
    <x v="11"/>
    <n v="0"/>
    <n v="13000000"/>
    <x v="3"/>
    <x v="4"/>
    <n v="-13000000"/>
    <n v="13000000"/>
  </r>
  <r>
    <s v="Spain"/>
    <s v="ESP"/>
    <x v="11"/>
    <n v="450000000"/>
    <n v="155000000"/>
    <x v="1"/>
    <x v="3"/>
    <n v="295000000"/>
    <n v="605000000"/>
  </r>
  <r>
    <s v="Sri Lanka"/>
    <s v="LKA"/>
    <x v="11"/>
    <n v="0"/>
    <n v="22000000"/>
    <x v="6"/>
    <x v="1"/>
    <n v="-22000000"/>
    <n v="22000000"/>
  </r>
  <r>
    <s v="Sub-Saharan Africa"/>
    <s v="SSF"/>
    <x v="11"/>
    <n v="0"/>
    <n v="905000000"/>
    <x v="0"/>
    <x v="0"/>
    <n v="-905000000"/>
    <n v="905000000"/>
  </r>
  <r>
    <s v="Sub-Saharan Africa (excluding high income)"/>
    <s v="SSA"/>
    <x v="11"/>
    <n v="0"/>
    <n v="895000000"/>
    <x v="0"/>
    <x v="0"/>
    <n v="-895000000"/>
    <n v="895000000"/>
  </r>
  <r>
    <s v="Sub-Saharan Africa (IDA &amp; IBRD countries)"/>
    <s v="TSS"/>
    <x v="11"/>
    <n v="0"/>
    <n v="905000000"/>
    <x v="0"/>
    <x v="0"/>
    <n v="-905000000"/>
    <n v="905000000"/>
  </r>
  <r>
    <s v="Sudan"/>
    <s v="SDN"/>
    <x v="11"/>
    <n v="11000000"/>
    <n v="155000000"/>
    <x v="3"/>
    <x v="4"/>
    <n v="-144000000"/>
    <n v="166000000"/>
  </r>
  <r>
    <s v="Suriname"/>
    <s v="SUR"/>
    <x v="11"/>
    <n v="0"/>
    <n v="7000000"/>
    <x v="4"/>
    <x v="1"/>
    <n v="-7000000"/>
    <n v="7000000"/>
  </r>
  <r>
    <s v="Sweden"/>
    <s v="SWE"/>
    <x v="11"/>
    <n v="383000000"/>
    <n v="58000000"/>
    <x v="1"/>
    <x v="3"/>
    <n v="325000000"/>
    <n v="441000000"/>
  </r>
  <r>
    <s v="Switzerland"/>
    <s v="CHE"/>
    <x v="11"/>
    <n v="213000000"/>
    <n v="0"/>
    <x v="1"/>
    <x v="3"/>
    <n v="213000000"/>
    <n v="213000000"/>
  </r>
  <r>
    <s v="Syrian Arab Republic"/>
    <s v="SYR"/>
    <x v="11"/>
    <n v="0"/>
    <n v="498000000"/>
    <x v="2"/>
    <x v="4"/>
    <n v="-498000000"/>
    <n v="498000000"/>
  </r>
  <r>
    <s v="Tajikistan"/>
    <s v="TJK"/>
    <x v="11"/>
    <n v="0"/>
    <n v="4000000"/>
    <x v="1"/>
    <x v="2"/>
    <n v="-4000000"/>
    <n v="4000000"/>
  </r>
  <r>
    <s v="Tanzania"/>
    <s v="TZA"/>
    <x v="11"/>
    <n v="0"/>
    <n v="130000000"/>
    <x v="3"/>
    <x v="2"/>
    <n v="-130000000"/>
    <n v="130000000"/>
  </r>
  <r>
    <s v="Thailand"/>
    <s v="THA"/>
    <x v="11"/>
    <n v="0"/>
    <n v="383000000"/>
    <x v="5"/>
    <x v="1"/>
    <n v="-383000000"/>
    <n v="383000000"/>
  </r>
  <r>
    <s v="Tunisia"/>
    <s v="TUN"/>
    <x v="11"/>
    <n v="0"/>
    <n v="40000000"/>
    <x v="2"/>
    <x v="2"/>
    <n v="-40000000"/>
    <n v="40000000"/>
  </r>
  <r>
    <s v="Turkiye"/>
    <s v="TUR"/>
    <x v="11"/>
    <n v="146000000"/>
    <n v="769000000"/>
    <x v="1"/>
    <x v="1"/>
    <n v="-623000000"/>
    <n v="915000000"/>
  </r>
  <r>
    <s v="Turkmenistan"/>
    <s v="TKM"/>
    <x v="11"/>
    <n v="0"/>
    <n v="69000000"/>
    <x v="1"/>
    <x v="1"/>
    <n v="-69000000"/>
    <n v="69000000"/>
  </r>
  <r>
    <s v="Uganda"/>
    <s v="UGA"/>
    <x v="11"/>
    <n v="0"/>
    <n v="20000000"/>
    <x v="3"/>
    <x v="4"/>
    <n v="-20000000"/>
    <n v="20000000"/>
  </r>
  <r>
    <s v="Ukraine"/>
    <s v="UKR"/>
    <x v="11"/>
    <n v="688000000"/>
    <n v="0"/>
    <x v="1"/>
    <x v="1"/>
    <n v="688000000"/>
    <n v="688000000"/>
  </r>
  <r>
    <s v="United Arab Emirates"/>
    <s v="ARE"/>
    <x v="11"/>
    <n v="115000000"/>
    <n v="2324000000"/>
    <x v="2"/>
    <x v="3"/>
    <n v="-2209000000"/>
    <n v="2439000000"/>
  </r>
  <r>
    <s v="United Kingdom"/>
    <s v="GBR"/>
    <x v="11"/>
    <n v="1509000000"/>
    <n v="509000000"/>
    <x v="1"/>
    <x v="3"/>
    <n v="1000000000"/>
    <n v="2018000000"/>
  </r>
  <r>
    <s v="United States"/>
    <s v="USA"/>
    <x v="11"/>
    <n v="7770000000"/>
    <n v="767000000"/>
    <x v="7"/>
    <x v="3"/>
    <n v="7003000000"/>
    <n v="8537000000"/>
  </r>
  <r>
    <s v="Upper middle income"/>
    <s v="UMC"/>
    <x v="11"/>
    <n v="0"/>
    <n v="5953000000"/>
    <x v="0"/>
    <x v="0"/>
    <n v="-5953000000"/>
    <n v="5953000000"/>
  </r>
  <r>
    <s v="Uruguay"/>
    <s v="URY"/>
    <x v="11"/>
    <n v="0"/>
    <n v="3000000"/>
    <x v="4"/>
    <x v="3"/>
    <n v="-3000000"/>
    <n v="3000000"/>
  </r>
  <r>
    <s v="Venezuela, RB"/>
    <s v="VEN"/>
    <x v="11"/>
    <n v="0"/>
    <n v="1006000000"/>
    <x v="4"/>
    <x v="2"/>
    <n v="-1006000000"/>
    <n v="1006000000"/>
  </r>
  <r>
    <s v="Viet Nam"/>
    <s v="VNM"/>
    <x v="11"/>
    <n v="0"/>
    <n v="360000000"/>
    <x v="5"/>
    <x v="1"/>
    <n v="-360000000"/>
    <n v="360000000"/>
  </r>
  <r>
    <s v="World"/>
    <s v="WLD"/>
    <x v="11"/>
    <n v="27407000000"/>
    <n v="27366000000"/>
    <x v="0"/>
    <x v="0"/>
    <n v="41000000"/>
    <n v="54773000000"/>
  </r>
  <r>
    <s v="Yemen, Rep."/>
    <s v="YEM"/>
    <x v="11"/>
    <n v="0"/>
    <n v="23000000"/>
    <x v="2"/>
    <x v="4"/>
    <n v="-23000000"/>
    <n v="23000000"/>
  </r>
  <r>
    <s v="Afghanistan"/>
    <s v="AFG"/>
    <x v="12"/>
    <n v="0"/>
    <n v="518000000"/>
    <x v="2"/>
    <x v="4"/>
    <n v="-518000000"/>
    <n v="518000000"/>
  </r>
  <r>
    <s v="Africa Eastern and Southern"/>
    <s v="AFE"/>
    <x v="12"/>
    <n v="0"/>
    <n v="988000000"/>
    <x v="0"/>
    <x v="0"/>
    <n v="-988000000"/>
    <n v="988000000"/>
  </r>
  <r>
    <s v="Africa Western and Central"/>
    <s v="AFW"/>
    <x v="12"/>
    <n v="0"/>
    <n v="224000000"/>
    <x v="0"/>
    <x v="0"/>
    <n v="-224000000"/>
    <n v="224000000"/>
  </r>
  <r>
    <s v="Albania"/>
    <s v="ALB"/>
    <x v="12"/>
    <n v="0"/>
    <n v="15000000"/>
    <x v="1"/>
    <x v="1"/>
    <n v="-15000000"/>
    <n v="15000000"/>
  </r>
  <r>
    <s v="Algeria"/>
    <s v="DZA"/>
    <x v="12"/>
    <n v="0"/>
    <n v="662000000"/>
    <x v="2"/>
    <x v="1"/>
    <n v="-662000000"/>
    <n v="662000000"/>
  </r>
  <r>
    <s v="Arab World"/>
    <s v="ARB"/>
    <x v="12"/>
    <n v="0"/>
    <n v="6034000000"/>
    <x v="0"/>
    <x v="0"/>
    <n v="-6034000000"/>
    <n v="6034000000"/>
  </r>
  <r>
    <s v="Argentina"/>
    <s v="ARG"/>
    <x v="12"/>
    <n v="0"/>
    <n v="5000000"/>
    <x v="4"/>
    <x v="1"/>
    <n v="-5000000"/>
    <n v="5000000"/>
  </r>
  <r>
    <s v="Australia"/>
    <s v="AUS"/>
    <x v="12"/>
    <n v="45000000"/>
    <n v="787000000"/>
    <x v="5"/>
    <x v="3"/>
    <n v="-742000000"/>
    <n v="832000000"/>
  </r>
  <r>
    <s v="Austria"/>
    <s v="AUT"/>
    <x v="12"/>
    <n v="31000000"/>
    <n v="6000000"/>
    <x v="1"/>
    <x v="3"/>
    <n v="25000000"/>
    <n v="37000000"/>
  </r>
  <r>
    <s v="Azerbaijan"/>
    <s v="AZE"/>
    <x v="12"/>
    <n v="0"/>
    <n v="397000000"/>
    <x v="1"/>
    <x v="1"/>
    <n v="-397000000"/>
    <n v="397000000"/>
  </r>
  <r>
    <s v="Bahrain"/>
    <s v="BHR"/>
    <x v="12"/>
    <n v="0"/>
    <n v="24000000"/>
    <x v="2"/>
    <x v="3"/>
    <n v="-24000000"/>
    <n v="24000000"/>
  </r>
  <r>
    <s v="Bangladesh"/>
    <s v="BGD"/>
    <x v="12"/>
    <n v="0"/>
    <n v="199000000"/>
    <x v="6"/>
    <x v="2"/>
    <n v="-199000000"/>
    <n v="199000000"/>
  </r>
  <r>
    <s v="Belarus"/>
    <s v="BLR"/>
    <x v="12"/>
    <n v="97000000"/>
    <n v="75000000"/>
    <x v="1"/>
    <x v="1"/>
    <n v="22000000"/>
    <n v="172000000"/>
  </r>
  <r>
    <s v="Belgium"/>
    <s v="BEL"/>
    <x v="12"/>
    <n v="21000000"/>
    <n v="33000000"/>
    <x v="1"/>
    <x v="3"/>
    <n v="-12000000"/>
    <n v="54000000"/>
  </r>
  <r>
    <s v="Benin"/>
    <s v="BEN"/>
    <x v="12"/>
    <n v="0"/>
    <n v="20000000"/>
    <x v="3"/>
    <x v="2"/>
    <n v="-20000000"/>
    <n v="20000000"/>
  </r>
  <r>
    <s v="Bolivia"/>
    <s v="BOL"/>
    <x v="12"/>
    <n v="0"/>
    <n v="12000000"/>
    <x v="4"/>
    <x v="2"/>
    <n v="-12000000"/>
    <n v="12000000"/>
  </r>
  <r>
    <s v="Botswana"/>
    <s v="BWA"/>
    <x v="12"/>
    <n v="0"/>
    <n v="6000000"/>
    <x v="3"/>
    <x v="1"/>
    <n v="-6000000"/>
    <n v="6000000"/>
  </r>
  <r>
    <s v="Brazil"/>
    <s v="BRA"/>
    <x v="12"/>
    <n v="33000000"/>
    <n v="317000000"/>
    <x v="4"/>
    <x v="1"/>
    <n v="-284000000"/>
    <n v="350000000"/>
  </r>
  <r>
    <s v="Brunei Darussalam"/>
    <s v="BRN"/>
    <x v="12"/>
    <n v="0"/>
    <n v="20000000"/>
    <x v="5"/>
    <x v="3"/>
    <n v="-20000000"/>
    <n v="20000000"/>
  </r>
  <r>
    <s v="Bulgaria"/>
    <s v="BGR"/>
    <x v="12"/>
    <n v="22000000"/>
    <n v="5000000"/>
    <x v="1"/>
    <x v="3"/>
    <n v="17000000"/>
    <n v="27000000"/>
  </r>
  <r>
    <s v="Burkina Faso"/>
    <s v="BFA"/>
    <x v="12"/>
    <n v="0"/>
    <n v="3000000"/>
    <x v="3"/>
    <x v="4"/>
    <n v="-3000000"/>
    <n v="3000000"/>
  </r>
  <r>
    <s v="Burundi"/>
    <s v="BDI"/>
    <x v="12"/>
    <n v="0"/>
    <n v="5000000"/>
    <x v="3"/>
    <x v="4"/>
    <n v="-5000000"/>
    <n v="5000000"/>
  </r>
  <r>
    <s v="Cabo Verde"/>
    <s v="CPV"/>
    <x v="12"/>
    <n v="0"/>
    <n v="10000000"/>
    <x v="3"/>
    <x v="1"/>
    <n v="-10000000"/>
    <n v="10000000"/>
  </r>
  <r>
    <s v="Cambodia"/>
    <s v="KHM"/>
    <x v="12"/>
    <n v="0"/>
    <n v="78000000"/>
    <x v="5"/>
    <x v="2"/>
    <n v="-78000000"/>
    <n v="78000000"/>
  </r>
  <r>
    <s v="Cameroon"/>
    <s v="CMR"/>
    <x v="12"/>
    <n v="0"/>
    <n v="9000000"/>
    <x v="3"/>
    <x v="2"/>
    <n v="-9000000"/>
    <n v="9000000"/>
  </r>
  <r>
    <s v="Canada"/>
    <s v="CAN"/>
    <x v="12"/>
    <n v="258000000"/>
    <n v="207000000"/>
    <x v="7"/>
    <x v="3"/>
    <n v="51000000"/>
    <n v="465000000"/>
  </r>
  <r>
    <s v="Central Europe and the Baltics"/>
    <s v="CEB"/>
    <x v="12"/>
    <n v="0"/>
    <n v="328000000"/>
    <x v="0"/>
    <x v="0"/>
    <n v="-328000000"/>
    <n v="328000000"/>
  </r>
  <r>
    <s v="Chad"/>
    <s v="TCD"/>
    <x v="12"/>
    <n v="0"/>
    <n v="4000000"/>
    <x v="3"/>
    <x v="4"/>
    <n v="-4000000"/>
    <n v="4000000"/>
  </r>
  <r>
    <s v="Chile"/>
    <s v="CHL"/>
    <x v="12"/>
    <n v="0"/>
    <n v="61000000"/>
    <x v="4"/>
    <x v="3"/>
    <n v="-61000000"/>
    <n v="61000000"/>
  </r>
  <r>
    <s v="China"/>
    <s v="CHN"/>
    <x v="12"/>
    <n v="1499000000"/>
    <n v="1542000000"/>
    <x v="5"/>
    <x v="1"/>
    <n v="-43000000"/>
    <n v="3041000000"/>
  </r>
  <r>
    <s v="Colombia"/>
    <s v="COL"/>
    <x v="12"/>
    <n v="0"/>
    <n v="200000000"/>
    <x v="4"/>
    <x v="1"/>
    <n v="-200000000"/>
    <n v="200000000"/>
  </r>
  <r>
    <s v="Comoros"/>
    <s v="COM"/>
    <x v="12"/>
    <n v="0"/>
    <n v="1000000"/>
    <x v="3"/>
    <x v="2"/>
    <n v="-1000000"/>
    <n v="1000000"/>
  </r>
  <r>
    <s v="Congo, Dem. Rep."/>
    <s v="COD"/>
    <x v="12"/>
    <n v="0"/>
    <n v="15000000"/>
    <x v="3"/>
    <x v="4"/>
    <n v="-15000000"/>
    <n v="15000000"/>
  </r>
  <r>
    <s v="Congo, Rep."/>
    <s v="COG"/>
    <x v="12"/>
    <n v="0"/>
    <n v="26000000"/>
    <x v="3"/>
    <x v="2"/>
    <n v="-26000000"/>
    <n v="26000000"/>
  </r>
  <r>
    <s v="Croatia"/>
    <s v="HRV"/>
    <x v="12"/>
    <n v="0"/>
    <n v="18000000"/>
    <x v="1"/>
    <x v="3"/>
    <n v="-18000000"/>
    <n v="18000000"/>
  </r>
  <r>
    <s v="Cyprus"/>
    <s v="CYP"/>
    <x v="12"/>
    <n v="0"/>
    <n v="6000000"/>
    <x v="1"/>
    <x v="3"/>
    <n v="-6000000"/>
    <n v="6000000"/>
  </r>
  <r>
    <s v="Czechia"/>
    <s v="CZE"/>
    <x v="12"/>
    <n v="8000000"/>
    <n v="44000000"/>
    <x v="1"/>
    <x v="3"/>
    <n v="-36000000"/>
    <n v="52000000"/>
  </r>
  <r>
    <s v="Denmark"/>
    <s v="DNK"/>
    <x v="12"/>
    <n v="26000000"/>
    <n v="103000000"/>
    <x v="1"/>
    <x v="3"/>
    <n v="-77000000"/>
    <n v="129000000"/>
  </r>
  <r>
    <s v="Djibouti"/>
    <s v="DJI"/>
    <x v="12"/>
    <n v="0"/>
    <n v="6000000"/>
    <x v="2"/>
    <x v="2"/>
    <n v="-6000000"/>
    <n v="6000000"/>
  </r>
  <r>
    <s v="Early-demographic dividend"/>
    <s v="EAR"/>
    <x v="12"/>
    <n v="0"/>
    <n v="12356000000"/>
    <x v="0"/>
    <x v="0"/>
    <n v="-12356000000"/>
    <n v="12356000000"/>
  </r>
  <r>
    <s v="East Asia &amp; Pacific"/>
    <s v="EAS"/>
    <x v="12"/>
    <n v="0"/>
    <n v="6687000000"/>
    <x v="0"/>
    <x v="0"/>
    <n v="-6687000000"/>
    <n v="6687000000"/>
  </r>
  <r>
    <s v="East Asia &amp; Pacific (excluding high income)"/>
    <s v="EAP"/>
    <x v="12"/>
    <n v="1499000000"/>
    <n v="3377000000"/>
    <x v="0"/>
    <x v="0"/>
    <n v="-1878000000"/>
    <n v="4876000000"/>
  </r>
  <r>
    <s v="East Asia &amp; Pacific (IDA &amp; IBRD countries)"/>
    <s v="TEA"/>
    <x v="12"/>
    <n v="1499000000"/>
    <n v="3377000000"/>
    <x v="0"/>
    <x v="0"/>
    <n v="-1878000000"/>
    <n v="4876000000"/>
  </r>
  <r>
    <s v="Ecuador"/>
    <s v="ECU"/>
    <x v="12"/>
    <n v="0"/>
    <n v="89000000"/>
    <x v="4"/>
    <x v="1"/>
    <n v="-89000000"/>
    <n v="89000000"/>
  </r>
  <r>
    <s v="Egypt, Arab Rep."/>
    <s v="EGY"/>
    <x v="12"/>
    <n v="0"/>
    <n v="308000000"/>
    <x v="2"/>
    <x v="2"/>
    <n v="-308000000"/>
    <n v="308000000"/>
  </r>
  <r>
    <s v="El Salvador"/>
    <s v="SLV"/>
    <x v="12"/>
    <n v="0"/>
    <n v="4000000"/>
    <x v="4"/>
    <x v="1"/>
    <n v="-4000000"/>
    <n v="4000000"/>
  </r>
  <r>
    <s v="Equatorial Guinea"/>
    <s v="GNQ"/>
    <x v="12"/>
    <n v="0"/>
    <n v="60000000"/>
    <x v="3"/>
    <x v="1"/>
    <n v="-60000000"/>
    <n v="60000000"/>
  </r>
  <r>
    <s v="Estonia"/>
    <s v="EST"/>
    <x v="12"/>
    <n v="0"/>
    <n v="2000000"/>
    <x v="1"/>
    <x v="3"/>
    <n v="-2000000"/>
    <n v="2000000"/>
  </r>
  <r>
    <s v="Ethiopia"/>
    <s v="ETH"/>
    <x v="12"/>
    <n v="0"/>
    <n v="193000000"/>
    <x v="3"/>
    <x v="4"/>
    <n v="-193000000"/>
    <n v="193000000"/>
  </r>
  <r>
    <s v="Euro area"/>
    <s v="EMU"/>
    <x v="12"/>
    <n v="4242000000"/>
    <n v="1061000000"/>
    <x v="0"/>
    <x v="0"/>
    <n v="3181000000"/>
    <n v="5303000000"/>
  </r>
  <r>
    <s v="Europe &amp; Central Asia"/>
    <s v="ECS"/>
    <x v="12"/>
    <n v="15958000000"/>
    <n v="4672000000"/>
    <x v="0"/>
    <x v="0"/>
    <n v="11286000000"/>
    <n v="20630000000"/>
  </r>
  <r>
    <s v="Europe &amp; Central Asia (excluding high income)"/>
    <s v="ECA"/>
    <x v="12"/>
    <n v="1758000000"/>
    <n v="2186000000"/>
    <x v="0"/>
    <x v="0"/>
    <n v="-428000000"/>
    <n v="3944000000"/>
  </r>
  <r>
    <s v="Europe &amp; Central Asia (IDA &amp; IBRD countries)"/>
    <s v="TEC"/>
    <x v="12"/>
    <n v="10146000000"/>
    <n v="2578000000"/>
    <x v="0"/>
    <x v="0"/>
    <n v="7568000000"/>
    <n v="12724000000"/>
  </r>
  <r>
    <s v="European Union"/>
    <s v="EUU"/>
    <x v="12"/>
    <n v="4743000000"/>
    <n v="1658000000"/>
    <x v="0"/>
    <x v="0"/>
    <n v="3085000000"/>
    <n v="6401000000"/>
  </r>
  <r>
    <s v="Finland"/>
    <s v="FIN"/>
    <x v="12"/>
    <n v="105000000"/>
    <n v="87000000"/>
    <x v="1"/>
    <x v="3"/>
    <n v="18000000"/>
    <n v="192000000"/>
  </r>
  <r>
    <s v="Fragility, Conflict, and Violence (FCV) situations"/>
    <s v="FCV"/>
    <x v="12"/>
    <n v="0"/>
    <n v="2532000000"/>
    <x v="0"/>
    <x v="0"/>
    <n v="-2532000000"/>
    <n v="2532000000"/>
  </r>
  <r>
    <s v="France"/>
    <s v="FRA"/>
    <x v="12"/>
    <n v="1338000000"/>
    <n v="86000000"/>
    <x v="1"/>
    <x v="3"/>
    <n v="1252000000"/>
    <n v="1424000000"/>
  </r>
  <r>
    <s v="Gabon"/>
    <s v="GAB"/>
    <x v="12"/>
    <n v="0"/>
    <n v="1000000"/>
    <x v="3"/>
    <x v="1"/>
    <n v="-1000000"/>
    <n v="1000000"/>
  </r>
  <r>
    <s v="Georgia"/>
    <s v="GEO"/>
    <x v="12"/>
    <n v="0"/>
    <n v="9000000"/>
    <x v="1"/>
    <x v="1"/>
    <n v="-9000000"/>
    <n v="9000000"/>
  </r>
  <r>
    <s v="Germany"/>
    <s v="DEU"/>
    <x v="12"/>
    <n v="715000000"/>
    <n v="140000000"/>
    <x v="1"/>
    <x v="3"/>
    <n v="575000000"/>
    <n v="855000000"/>
  </r>
  <r>
    <s v="Ghana"/>
    <s v="GHA"/>
    <x v="12"/>
    <n v="0"/>
    <n v="39000000"/>
    <x v="3"/>
    <x v="2"/>
    <n v="-39000000"/>
    <n v="39000000"/>
  </r>
  <r>
    <s v="Greece"/>
    <s v="GRC"/>
    <x v="12"/>
    <n v="0"/>
    <n v="19000000"/>
    <x v="1"/>
    <x v="3"/>
    <n v="-19000000"/>
    <n v="19000000"/>
  </r>
  <r>
    <s v="Guatemala"/>
    <s v="GTM"/>
    <x v="12"/>
    <n v="0"/>
    <n v="2000000"/>
    <x v="4"/>
    <x v="1"/>
    <n v="-2000000"/>
    <n v="2000000"/>
  </r>
  <r>
    <s v="Guinea"/>
    <s v="GIN"/>
    <x v="12"/>
    <n v="0"/>
    <n v="4000000"/>
    <x v="3"/>
    <x v="2"/>
    <n v="-4000000"/>
    <n v="4000000"/>
  </r>
  <r>
    <s v="Heavily indebted poor countries (HIPC)"/>
    <s v="HPC"/>
    <x v="12"/>
    <n v="0"/>
    <n v="1383000000"/>
    <x v="0"/>
    <x v="0"/>
    <n v="-1383000000"/>
    <n v="1383000000"/>
  </r>
  <r>
    <s v="High income"/>
    <s v="HIC"/>
    <x v="12"/>
    <n v="24384000000"/>
    <n v="9850000000"/>
    <x v="0"/>
    <x v="0"/>
    <n v="14534000000"/>
    <n v="34234000000"/>
  </r>
  <r>
    <s v="Honduras"/>
    <s v="HND"/>
    <x v="12"/>
    <n v="0"/>
    <n v="0"/>
    <x v="4"/>
    <x v="2"/>
    <n v="0"/>
    <n v="0"/>
  </r>
  <r>
    <s v="IBRD only"/>
    <s v="IBD"/>
    <x v="12"/>
    <n v="0"/>
    <n v="14758000000"/>
    <x v="0"/>
    <x v="0"/>
    <n v="-14758000000"/>
    <n v="14758000000"/>
  </r>
  <r>
    <s v="IDA &amp; IBRD total"/>
    <s v="IBT"/>
    <x v="12"/>
    <n v="0"/>
    <n v="18531000000"/>
    <x v="0"/>
    <x v="0"/>
    <n v="-18531000000"/>
    <n v="18531000000"/>
  </r>
  <r>
    <s v="IDA blend"/>
    <s v="IDB"/>
    <x v="12"/>
    <n v="0"/>
    <n v="1165000000"/>
    <x v="0"/>
    <x v="0"/>
    <n v="-1165000000"/>
    <n v="1165000000"/>
  </r>
  <r>
    <s v="IDA only"/>
    <s v="IDX"/>
    <x v="12"/>
    <n v="0"/>
    <n v="2608000000"/>
    <x v="0"/>
    <x v="0"/>
    <n v="-2608000000"/>
    <n v="2608000000"/>
  </r>
  <r>
    <s v="IDA total"/>
    <s v="IDA"/>
    <x v="12"/>
    <n v="0"/>
    <n v="3773000000"/>
    <x v="0"/>
    <x v="0"/>
    <n v="-3773000000"/>
    <n v="3773000000"/>
  </r>
  <r>
    <s v="India"/>
    <s v="IND"/>
    <x v="12"/>
    <n v="0"/>
    <n v="4506000000"/>
    <x v="6"/>
    <x v="2"/>
    <n v="-4506000000"/>
    <n v="4506000000"/>
  </r>
  <r>
    <s v="Indonesia"/>
    <s v="IDN"/>
    <x v="12"/>
    <n v="0"/>
    <n v="162000000"/>
    <x v="5"/>
    <x v="1"/>
    <n v="-162000000"/>
    <n v="162000000"/>
  </r>
  <r>
    <s v="Iran, Islamic Rep."/>
    <s v="IRN"/>
    <x v="12"/>
    <n v="35000000"/>
    <n v="39000000"/>
    <x v="2"/>
    <x v="1"/>
    <n v="-4000000"/>
    <n v="74000000"/>
  </r>
  <r>
    <s v="Iraq"/>
    <s v="IRQ"/>
    <x v="12"/>
    <n v="0"/>
    <n v="523000000"/>
    <x v="2"/>
    <x v="1"/>
    <n v="-523000000"/>
    <n v="523000000"/>
  </r>
  <r>
    <s v="Ireland"/>
    <s v="IRL"/>
    <x v="12"/>
    <n v="44000000"/>
    <n v="0"/>
    <x v="1"/>
    <x v="3"/>
    <n v="44000000"/>
    <n v="44000000"/>
  </r>
  <r>
    <s v="Israel"/>
    <s v="ISR"/>
    <x v="12"/>
    <n v="482000000"/>
    <n v="137000000"/>
    <x v="2"/>
    <x v="3"/>
    <n v="345000000"/>
    <n v="619000000"/>
  </r>
  <r>
    <s v="Italy"/>
    <s v="ITA"/>
    <x v="12"/>
    <n v="789000000"/>
    <n v="189000000"/>
    <x v="1"/>
    <x v="3"/>
    <n v="600000000"/>
    <n v="978000000"/>
  </r>
  <r>
    <s v="Japan"/>
    <s v="JPN"/>
    <x v="12"/>
    <n v="0"/>
    <n v="239000000"/>
    <x v="5"/>
    <x v="3"/>
    <n v="-239000000"/>
    <n v="239000000"/>
  </r>
  <r>
    <s v="Jordan"/>
    <s v="JOR"/>
    <x v="12"/>
    <n v="21000000"/>
    <n v="185000000"/>
    <x v="2"/>
    <x v="1"/>
    <n v="-164000000"/>
    <n v="206000000"/>
  </r>
  <r>
    <s v="Kazakhstan"/>
    <s v="KAZ"/>
    <x v="12"/>
    <n v="0"/>
    <n v="96000000"/>
    <x v="1"/>
    <x v="1"/>
    <n v="-96000000"/>
    <n v="96000000"/>
  </r>
  <r>
    <s v="Kenya"/>
    <s v="KEN"/>
    <x v="12"/>
    <n v="0"/>
    <n v="68000000"/>
    <x v="3"/>
    <x v="2"/>
    <n v="-68000000"/>
    <n v="68000000"/>
  </r>
  <r>
    <s v="Korea, Rep."/>
    <s v="KOR"/>
    <x v="12"/>
    <n v="203000000"/>
    <n v="1077000000"/>
    <x v="5"/>
    <x v="3"/>
    <n v="-874000000"/>
    <n v="1280000000"/>
  </r>
  <r>
    <s v="Kuwait"/>
    <s v="KWT"/>
    <x v="12"/>
    <n v="0"/>
    <n v="31000000"/>
    <x v="2"/>
    <x v="3"/>
    <n v="-31000000"/>
    <n v="31000000"/>
  </r>
  <r>
    <s v="Lao PDR"/>
    <s v="LAO"/>
    <x v="12"/>
    <n v="0"/>
    <n v="19000000"/>
    <x v="5"/>
    <x v="2"/>
    <n v="-19000000"/>
    <n v="19000000"/>
  </r>
  <r>
    <s v="Late-demographic dividend"/>
    <s v="LTE"/>
    <x v="12"/>
    <n v="10037000000"/>
    <n v="6929000000"/>
    <x v="0"/>
    <x v="0"/>
    <n v="3108000000"/>
    <n v="16966000000"/>
  </r>
  <r>
    <s v="Latin America &amp; Caribbean"/>
    <s v="LCN"/>
    <x v="12"/>
    <n v="0"/>
    <n v="1666000000"/>
    <x v="0"/>
    <x v="0"/>
    <n v="-1666000000"/>
    <n v="1666000000"/>
  </r>
  <r>
    <s v="Latin America &amp; Caribbean (excluding high income)"/>
    <s v="LAC"/>
    <x v="12"/>
    <n v="0"/>
    <n v="1593000000"/>
    <x v="0"/>
    <x v="0"/>
    <n v="-1593000000"/>
    <n v="1593000000"/>
  </r>
  <r>
    <s v="Latin America &amp; the Caribbean (IDA &amp; IBRD countries)"/>
    <s v="TLA"/>
    <x v="12"/>
    <n v="0"/>
    <n v="1666000000"/>
    <x v="0"/>
    <x v="0"/>
    <n v="-1666000000"/>
    <n v="1666000000"/>
  </r>
  <r>
    <s v="Latvia"/>
    <s v="LVA"/>
    <x v="12"/>
    <n v="0"/>
    <n v="9000000"/>
    <x v="1"/>
    <x v="3"/>
    <n v="-9000000"/>
    <n v="9000000"/>
  </r>
  <r>
    <s v="Least developed countries: UN classification"/>
    <s v="LDC"/>
    <x v="12"/>
    <n v="0"/>
    <n v="2037000000"/>
    <x v="0"/>
    <x v="0"/>
    <n v="-2037000000"/>
    <n v="2037000000"/>
  </r>
  <r>
    <s v="Lebanon"/>
    <s v="LBN"/>
    <x v="12"/>
    <n v="0"/>
    <n v="31000000"/>
    <x v="2"/>
    <x v="2"/>
    <n v="-31000000"/>
    <n v="31000000"/>
  </r>
  <r>
    <s v="Libya"/>
    <s v="LBY"/>
    <x v="12"/>
    <n v="0"/>
    <n v="75000000"/>
    <x v="2"/>
    <x v="1"/>
    <n v="-75000000"/>
    <n v="75000000"/>
  </r>
  <r>
    <s v="Low &amp; middle income"/>
    <s v="LMY"/>
    <x v="12"/>
    <n v="0"/>
    <n v="18066000000"/>
    <x v="0"/>
    <x v="0"/>
    <n v="-18066000000"/>
    <n v="18066000000"/>
  </r>
  <r>
    <s v="Low income"/>
    <s v="LIC"/>
    <x v="12"/>
    <n v="0"/>
    <n v="1657000000"/>
    <x v="0"/>
    <x v="0"/>
    <n v="-1657000000"/>
    <n v="1657000000"/>
  </r>
  <r>
    <s v="Lower middle income"/>
    <s v="LMC"/>
    <x v="12"/>
    <n v="0"/>
    <n v="8764000000"/>
    <x v="0"/>
    <x v="0"/>
    <n v="-8764000000"/>
    <n v="8764000000"/>
  </r>
  <r>
    <s v="Malawi"/>
    <s v="MWI"/>
    <x v="12"/>
    <n v="0"/>
    <n v="1000000"/>
    <x v="3"/>
    <x v="4"/>
    <n v="-1000000"/>
    <n v="1000000"/>
  </r>
  <r>
    <s v="Malaysia"/>
    <s v="MYS"/>
    <x v="12"/>
    <n v="0"/>
    <n v="19000000"/>
    <x v="5"/>
    <x v="1"/>
    <n v="-19000000"/>
    <n v="19000000"/>
  </r>
  <r>
    <s v="Mali"/>
    <s v="MLI"/>
    <x v="12"/>
    <n v="0"/>
    <n v="9000000"/>
    <x v="3"/>
    <x v="4"/>
    <n v="-9000000"/>
    <n v="9000000"/>
  </r>
  <r>
    <s v="Malta"/>
    <s v="MLT"/>
    <x v="12"/>
    <n v="0"/>
    <n v="8000000"/>
    <x v="2"/>
    <x v="3"/>
    <n v="-8000000"/>
    <n v="8000000"/>
  </r>
  <r>
    <s v="Mauritania"/>
    <s v="MRT"/>
    <x v="12"/>
    <n v="0"/>
    <n v="11000000"/>
    <x v="3"/>
    <x v="2"/>
    <n v="-11000000"/>
    <n v="11000000"/>
  </r>
  <r>
    <s v="Mexico"/>
    <s v="MEX"/>
    <x v="12"/>
    <n v="0"/>
    <n v="260000000"/>
    <x v="4"/>
    <x v="1"/>
    <n v="-260000000"/>
    <n v="260000000"/>
  </r>
  <r>
    <s v="Middle East, North Africa, Afghanistan &amp; Pakistan"/>
    <s v="MEA"/>
    <x v="12"/>
    <n v="0"/>
    <n v="7629000000"/>
    <x v="0"/>
    <x v="0"/>
    <n v="-7629000000"/>
    <n v="7629000000"/>
  </r>
  <r>
    <s v="Middle East, North Africa, Afghanistan &amp; Pakistan (excluding high income)"/>
    <s v="MNA"/>
    <x v="12"/>
    <n v="0"/>
    <n v="4993000000"/>
    <x v="0"/>
    <x v="0"/>
    <n v="-4993000000"/>
    <n v="4993000000"/>
  </r>
  <r>
    <s v="Middle East, North Africa, Afghanistan &amp; Pakistan (IDA &amp; IBRD)"/>
    <s v="TMN"/>
    <x v="12"/>
    <n v="0"/>
    <n v="4993000000"/>
    <x v="0"/>
    <x v="0"/>
    <n v="-4993000000"/>
    <n v="4993000000"/>
  </r>
  <r>
    <s v="Middle income"/>
    <s v="MIC"/>
    <x v="12"/>
    <n v="0"/>
    <n v="16409000000"/>
    <x v="0"/>
    <x v="0"/>
    <n v="-16409000000"/>
    <n v="16409000000"/>
  </r>
  <r>
    <s v="Mongolia"/>
    <s v="MNG"/>
    <x v="12"/>
    <n v="0"/>
    <n v="78000000"/>
    <x v="5"/>
    <x v="1"/>
    <n v="-78000000"/>
    <n v="78000000"/>
  </r>
  <r>
    <s v="Morocco"/>
    <s v="MAR"/>
    <x v="12"/>
    <n v="0"/>
    <n v="1052000000"/>
    <x v="2"/>
    <x v="2"/>
    <n v="-1052000000"/>
    <n v="1052000000"/>
  </r>
  <r>
    <s v="Mozambique"/>
    <s v="MOZ"/>
    <x v="12"/>
    <n v="0"/>
    <n v="0"/>
    <x v="3"/>
    <x v="4"/>
    <n v="0"/>
    <n v="0"/>
  </r>
  <r>
    <s v="Myanmar"/>
    <s v="MMR"/>
    <x v="12"/>
    <n v="0"/>
    <n v="398000000"/>
    <x v="5"/>
    <x v="2"/>
    <n v="-398000000"/>
    <n v="398000000"/>
  </r>
  <r>
    <s v="Namibia"/>
    <s v="NAM"/>
    <x v="12"/>
    <n v="0"/>
    <n v="57000000"/>
    <x v="3"/>
    <x v="2"/>
    <n v="-57000000"/>
    <n v="57000000"/>
  </r>
  <r>
    <s v="Netherlands"/>
    <s v="NLD"/>
    <x v="12"/>
    <n v="906000000"/>
    <n v="190000000"/>
    <x v="1"/>
    <x v="3"/>
    <n v="716000000"/>
    <n v="1096000000"/>
  </r>
  <r>
    <s v="New Zealand"/>
    <s v="NZL"/>
    <x v="12"/>
    <n v="75000000"/>
    <n v="30000000"/>
    <x v="5"/>
    <x v="3"/>
    <n v="45000000"/>
    <n v="105000000"/>
  </r>
  <r>
    <s v="Nigeria"/>
    <s v="NGA"/>
    <x v="12"/>
    <n v="0"/>
    <n v="28000000"/>
    <x v="3"/>
    <x v="2"/>
    <n v="-28000000"/>
    <n v="28000000"/>
  </r>
  <r>
    <s v="North America"/>
    <s v="NAC"/>
    <x v="12"/>
    <n v="9223000000"/>
    <n v="1345000000"/>
    <x v="0"/>
    <x v="0"/>
    <n v="7878000000"/>
    <n v="10568000000"/>
  </r>
  <r>
    <s v="North Macedonia"/>
    <s v="MKD"/>
    <x v="12"/>
    <n v="0"/>
    <n v="0"/>
    <x v="1"/>
    <x v="1"/>
    <n v="0"/>
    <n v="0"/>
  </r>
  <r>
    <s v="Norway"/>
    <s v="NOR"/>
    <x v="12"/>
    <n v="52000000"/>
    <n v="147000000"/>
    <x v="1"/>
    <x v="3"/>
    <n v="-95000000"/>
    <n v="199000000"/>
  </r>
  <r>
    <s v="OECD members"/>
    <s v="OED"/>
    <x v="12"/>
    <n v="16020000000"/>
    <n v="7933000000"/>
    <x v="0"/>
    <x v="0"/>
    <n v="8087000000"/>
    <n v="23953000000"/>
  </r>
  <r>
    <s v="Oman"/>
    <s v="OMN"/>
    <x v="12"/>
    <n v="0"/>
    <n v="127000000"/>
    <x v="2"/>
    <x v="3"/>
    <n v="-127000000"/>
    <n v="127000000"/>
  </r>
  <r>
    <s v="Other small states"/>
    <s v="OSS"/>
    <x v="12"/>
    <n v="0"/>
    <n v="53000000"/>
    <x v="0"/>
    <x v="0"/>
    <n v="-53000000"/>
    <n v="53000000"/>
  </r>
  <r>
    <s v="Pakistan"/>
    <s v="PAK"/>
    <x v="12"/>
    <n v="0"/>
    <n v="1024000000"/>
    <x v="2"/>
    <x v="2"/>
    <n v="-1024000000"/>
    <n v="1024000000"/>
  </r>
  <r>
    <s v="Paraguay"/>
    <s v="PRY"/>
    <x v="12"/>
    <n v="0"/>
    <n v="7000000"/>
    <x v="4"/>
    <x v="1"/>
    <n v="-7000000"/>
    <n v="7000000"/>
  </r>
  <r>
    <s v="Peru"/>
    <s v="PER"/>
    <x v="12"/>
    <n v="0"/>
    <n v="5000000"/>
    <x v="4"/>
    <x v="1"/>
    <n v="-5000000"/>
    <n v="5000000"/>
  </r>
  <r>
    <s v="Philippines"/>
    <s v="PHL"/>
    <x v="12"/>
    <n v="0"/>
    <n v="21000000"/>
    <x v="5"/>
    <x v="1"/>
    <n v="-21000000"/>
    <n v="21000000"/>
  </r>
  <r>
    <s v="Poland"/>
    <s v="POL"/>
    <x v="12"/>
    <n v="31000000"/>
    <n v="227000000"/>
    <x v="1"/>
    <x v="3"/>
    <n v="-196000000"/>
    <n v="258000000"/>
  </r>
  <r>
    <s v="Portugal"/>
    <s v="PRT"/>
    <x v="12"/>
    <n v="0"/>
    <n v="42000000"/>
    <x v="1"/>
    <x v="3"/>
    <n v="-42000000"/>
    <n v="42000000"/>
  </r>
  <r>
    <s v="Post-demographic dividend"/>
    <s v="PST"/>
    <x v="12"/>
    <n v="17004000000"/>
    <n v="6405000000"/>
    <x v="0"/>
    <x v="0"/>
    <n v="10599000000"/>
    <n v="23409000000"/>
  </r>
  <r>
    <s v="Pre-demographic dividend"/>
    <s v="PRE"/>
    <x v="12"/>
    <n v="0"/>
    <n v="1815000000"/>
    <x v="0"/>
    <x v="0"/>
    <n v="-1815000000"/>
    <n v="1815000000"/>
  </r>
  <r>
    <s v="Qatar"/>
    <s v="QAT"/>
    <x v="12"/>
    <n v="0"/>
    <n v="335000000"/>
    <x v="2"/>
    <x v="3"/>
    <n v="-335000000"/>
    <n v="335000000"/>
  </r>
  <r>
    <s v="Romania"/>
    <s v="ROU"/>
    <x v="12"/>
    <n v="0"/>
    <n v="21000000"/>
    <x v="1"/>
    <x v="3"/>
    <n v="-21000000"/>
    <n v="21000000"/>
  </r>
  <r>
    <s v="Russian Federation"/>
    <s v="RUS"/>
    <x v="12"/>
    <n v="8335000000"/>
    <n v="121000000"/>
    <x v="1"/>
    <x v="3"/>
    <n v="8214000000"/>
    <n v="8456000000"/>
  </r>
  <r>
    <s v="Rwanda"/>
    <s v="RWA"/>
    <x v="12"/>
    <n v="0"/>
    <n v="5000000"/>
    <x v="3"/>
    <x v="4"/>
    <n v="-5000000"/>
    <n v="5000000"/>
  </r>
  <r>
    <s v="Saudi Arabia"/>
    <s v="SAU"/>
    <x v="12"/>
    <n v="0"/>
    <n v="835000000"/>
    <x v="2"/>
    <x v="3"/>
    <n v="-835000000"/>
    <n v="835000000"/>
  </r>
  <r>
    <s v="Serbia"/>
    <s v="SRB"/>
    <x v="12"/>
    <n v="15000000"/>
    <n v="0"/>
    <x v="1"/>
    <x v="1"/>
    <n v="15000000"/>
    <n v="15000000"/>
  </r>
  <r>
    <s v="Sierra Leone"/>
    <s v="SLE"/>
    <x v="12"/>
    <n v="0"/>
    <n v="0"/>
    <x v="3"/>
    <x v="4"/>
    <n v="0"/>
    <n v="0"/>
  </r>
  <r>
    <s v="Singapore"/>
    <s v="SGP"/>
    <x v="12"/>
    <n v="79000000"/>
    <n v="746000000"/>
    <x v="5"/>
    <x v="3"/>
    <n v="-667000000"/>
    <n v="825000000"/>
  </r>
  <r>
    <s v="Slovak Republic"/>
    <s v="SVK"/>
    <x v="12"/>
    <n v="5000000"/>
    <n v="2000000"/>
    <x v="1"/>
    <x v="3"/>
    <n v="3000000"/>
    <n v="7000000"/>
  </r>
  <r>
    <s v="Small states"/>
    <s v="SST"/>
    <x v="12"/>
    <n v="0"/>
    <n v="65000000"/>
    <x v="0"/>
    <x v="0"/>
    <n v="-65000000"/>
    <n v="65000000"/>
  </r>
  <r>
    <s v="South Africa"/>
    <s v="ZAF"/>
    <x v="12"/>
    <n v="193000000"/>
    <n v="127000000"/>
    <x v="3"/>
    <x v="1"/>
    <n v="66000000"/>
    <n v="320000000"/>
  </r>
  <r>
    <s v="South Asia"/>
    <s v="SAS"/>
    <x v="12"/>
    <n v="0"/>
    <n v="4705000000"/>
    <x v="0"/>
    <x v="0"/>
    <n v="-4705000000"/>
    <n v="4705000000"/>
  </r>
  <r>
    <s v="South Asia (IDA &amp; IBRD)"/>
    <s v="TSA"/>
    <x v="12"/>
    <n v="0"/>
    <n v="4705000000"/>
    <x v="0"/>
    <x v="0"/>
    <n v="-4705000000"/>
    <n v="4705000000"/>
  </r>
  <r>
    <s v="South Sudan"/>
    <s v="SSD"/>
    <x v="12"/>
    <n v="0"/>
    <n v="2000000"/>
    <x v="3"/>
    <x v="4"/>
    <n v="-2000000"/>
    <n v="2000000"/>
  </r>
  <r>
    <s v="Spain"/>
    <s v="ESP"/>
    <x v="12"/>
    <n v="266000000"/>
    <n v="219000000"/>
    <x v="1"/>
    <x v="3"/>
    <n v="47000000"/>
    <n v="485000000"/>
  </r>
  <r>
    <s v="Sub-Saharan Africa"/>
    <s v="SSF"/>
    <x v="12"/>
    <n v="0"/>
    <n v="1212000000"/>
    <x v="0"/>
    <x v="0"/>
    <n v="-1212000000"/>
    <n v="1212000000"/>
  </r>
  <r>
    <s v="Sub-Saharan Africa (excluding high income)"/>
    <s v="SSA"/>
    <x v="12"/>
    <n v="0"/>
    <n v="1212000000"/>
    <x v="0"/>
    <x v="0"/>
    <n v="-1212000000"/>
    <n v="1212000000"/>
  </r>
  <r>
    <s v="Sub-Saharan Africa (IDA &amp; IBRD countries)"/>
    <s v="TSS"/>
    <x v="12"/>
    <n v="0"/>
    <n v="1212000000"/>
    <x v="0"/>
    <x v="0"/>
    <n v="-1212000000"/>
    <n v="1212000000"/>
  </r>
  <r>
    <s v="Sudan"/>
    <s v="SDN"/>
    <x v="12"/>
    <n v="0"/>
    <n v="119000000"/>
    <x v="3"/>
    <x v="4"/>
    <n v="-119000000"/>
    <n v="119000000"/>
  </r>
  <r>
    <s v="Suriname"/>
    <s v="SUR"/>
    <x v="12"/>
    <n v="0"/>
    <n v="0"/>
    <x v="4"/>
    <x v="1"/>
    <n v="0"/>
    <n v="0"/>
  </r>
  <r>
    <s v="Sweden"/>
    <s v="SWE"/>
    <x v="12"/>
    <n v="436000000"/>
    <n v="202000000"/>
    <x v="1"/>
    <x v="3"/>
    <n v="234000000"/>
    <n v="638000000"/>
  </r>
  <r>
    <s v="Switzerland"/>
    <s v="CHE"/>
    <x v="12"/>
    <n v="257000000"/>
    <n v="2000000"/>
    <x v="1"/>
    <x v="3"/>
    <n v="255000000"/>
    <n v="259000000"/>
  </r>
  <r>
    <s v="Syrian Arab Republic"/>
    <s v="SYR"/>
    <x v="12"/>
    <n v="0"/>
    <n v="532000000"/>
    <x v="2"/>
    <x v="4"/>
    <n v="-532000000"/>
    <n v="532000000"/>
  </r>
  <r>
    <s v="Tanzania"/>
    <s v="TZA"/>
    <x v="12"/>
    <n v="0"/>
    <n v="115000000"/>
    <x v="3"/>
    <x v="2"/>
    <n v="-115000000"/>
    <n v="115000000"/>
  </r>
  <r>
    <s v="Thailand"/>
    <s v="THA"/>
    <x v="12"/>
    <n v="0"/>
    <n v="278000000"/>
    <x v="5"/>
    <x v="1"/>
    <n v="-278000000"/>
    <n v="278000000"/>
  </r>
  <r>
    <s v="Trinidad and Tobago"/>
    <s v="TTO"/>
    <x v="12"/>
    <n v="0"/>
    <n v="12000000"/>
    <x v="4"/>
    <x v="3"/>
    <n v="-12000000"/>
    <n v="12000000"/>
  </r>
  <r>
    <s v="Turkiye"/>
    <s v="TUR"/>
    <x v="12"/>
    <n v="149000000"/>
    <n v="1482000000"/>
    <x v="1"/>
    <x v="1"/>
    <n v="-1333000000"/>
    <n v="1631000000"/>
  </r>
  <r>
    <s v="Turkmenistan"/>
    <s v="TKM"/>
    <x v="12"/>
    <n v="0"/>
    <n v="112000000"/>
    <x v="1"/>
    <x v="1"/>
    <n v="-112000000"/>
    <n v="112000000"/>
  </r>
  <r>
    <s v="Uganda"/>
    <s v="UGA"/>
    <x v="12"/>
    <n v="0"/>
    <n v="213000000"/>
    <x v="3"/>
    <x v="4"/>
    <n v="-213000000"/>
    <n v="213000000"/>
  </r>
  <r>
    <s v="Ukraine"/>
    <s v="UKR"/>
    <x v="12"/>
    <n v="1497000000"/>
    <n v="0"/>
    <x v="1"/>
    <x v="1"/>
    <n v="1497000000"/>
    <n v="1497000000"/>
  </r>
  <r>
    <s v="United Arab Emirates"/>
    <s v="ARE"/>
    <x v="12"/>
    <n v="75000000"/>
    <n v="1139000000"/>
    <x v="2"/>
    <x v="3"/>
    <n v="-1064000000"/>
    <n v="1214000000"/>
  </r>
  <r>
    <s v="United Kingdom"/>
    <s v="GBR"/>
    <x v="12"/>
    <n v="813000000"/>
    <n v="566000000"/>
    <x v="1"/>
    <x v="3"/>
    <n v="247000000"/>
    <n v="1379000000"/>
  </r>
  <r>
    <s v="United States"/>
    <s v="USA"/>
    <x v="12"/>
    <n v="8965000000"/>
    <n v="1138000000"/>
    <x v="7"/>
    <x v="3"/>
    <n v="7827000000"/>
    <n v="10103000000"/>
  </r>
  <r>
    <s v="Upper middle income"/>
    <s v="UMC"/>
    <x v="12"/>
    <n v="0"/>
    <n v="7645000000"/>
    <x v="0"/>
    <x v="0"/>
    <n v="-7645000000"/>
    <n v="7645000000"/>
  </r>
  <r>
    <s v="Venezuela, RB"/>
    <s v="VEN"/>
    <x v="12"/>
    <n v="0"/>
    <n v="692000000"/>
    <x v="4"/>
    <x v="2"/>
    <n v="-692000000"/>
    <n v="692000000"/>
  </r>
  <r>
    <s v="Viet Nam"/>
    <s v="VNM"/>
    <x v="12"/>
    <n v="0"/>
    <n v="782000000"/>
    <x v="5"/>
    <x v="1"/>
    <n v="-782000000"/>
    <n v="782000000"/>
  </r>
  <r>
    <s v="World"/>
    <s v="WLD"/>
    <x v="12"/>
    <n v="27937000000"/>
    <n v="27916000000"/>
    <x v="0"/>
    <x v="0"/>
    <n v="21000000"/>
    <n v="55853000000"/>
  </r>
  <r>
    <s v="Yemen, Rep."/>
    <s v="YEM"/>
    <x v="12"/>
    <n v="0"/>
    <n v="38000000"/>
    <x v="2"/>
    <x v="4"/>
    <n v="-38000000"/>
    <n v="38000000"/>
  </r>
  <r>
    <s v="Zambia"/>
    <s v="ZMB"/>
    <x v="12"/>
    <n v="0"/>
    <n v="61000000"/>
    <x v="3"/>
    <x v="2"/>
    <n v="-61000000"/>
    <n v="61000000"/>
  </r>
  <r>
    <s v="Afghanistan"/>
    <s v="AFG"/>
    <x v="13"/>
    <n v="0"/>
    <n v="632000000"/>
    <x v="2"/>
    <x v="4"/>
    <n v="-632000000"/>
    <n v="632000000"/>
  </r>
  <r>
    <s v="Africa Eastern and Southern"/>
    <s v="AFE"/>
    <x v="13"/>
    <n v="0"/>
    <n v="1131000000"/>
    <x v="0"/>
    <x v="0"/>
    <n v="-1131000000"/>
    <n v="1131000000"/>
  </r>
  <r>
    <s v="Africa Western and Central"/>
    <s v="AFW"/>
    <x v="13"/>
    <n v="0"/>
    <n v="253000000"/>
    <x v="0"/>
    <x v="0"/>
    <n v="-253000000"/>
    <n v="253000000"/>
  </r>
  <r>
    <s v="Albania"/>
    <s v="ALB"/>
    <x v="13"/>
    <n v="1000000"/>
    <n v="0"/>
    <x v="1"/>
    <x v="1"/>
    <n v="1000000"/>
    <n v="1000000"/>
  </r>
  <r>
    <s v="Algeria"/>
    <s v="DZA"/>
    <x v="13"/>
    <n v="0"/>
    <n v="1133000000"/>
    <x v="2"/>
    <x v="1"/>
    <n v="-1133000000"/>
    <n v="1133000000"/>
  </r>
  <r>
    <s v="Arab World"/>
    <s v="ARB"/>
    <x v="13"/>
    <n v="0"/>
    <n v="7377000000"/>
    <x v="0"/>
    <x v="0"/>
    <n v="-7377000000"/>
    <n v="7377000000"/>
  </r>
  <r>
    <s v="Argentina"/>
    <s v="ARG"/>
    <x v="13"/>
    <n v="1000000"/>
    <n v="16000000"/>
    <x v="4"/>
    <x v="1"/>
    <n v="-15000000"/>
    <n v="17000000"/>
  </r>
  <r>
    <s v="Armenia"/>
    <s v="ARM"/>
    <x v="13"/>
    <n v="0"/>
    <n v="5000000"/>
    <x v="1"/>
    <x v="1"/>
    <n v="-5000000"/>
    <n v="5000000"/>
  </r>
  <r>
    <s v="Australia"/>
    <s v="AUS"/>
    <x v="13"/>
    <n v="143000000"/>
    <n v="1582000000"/>
    <x v="5"/>
    <x v="3"/>
    <n v="-1439000000"/>
    <n v="1725000000"/>
  </r>
  <r>
    <s v="Austria"/>
    <s v="AUT"/>
    <x v="13"/>
    <n v="62000000"/>
    <n v="6000000"/>
    <x v="1"/>
    <x v="3"/>
    <n v="56000000"/>
    <n v="68000000"/>
  </r>
  <r>
    <s v="Azerbaijan"/>
    <s v="AZE"/>
    <x v="13"/>
    <n v="0"/>
    <n v="569000000"/>
    <x v="1"/>
    <x v="1"/>
    <n v="-569000000"/>
    <n v="569000000"/>
  </r>
  <r>
    <s v="Bahrain"/>
    <s v="BHR"/>
    <x v="13"/>
    <n v="0"/>
    <n v="4000000"/>
    <x v="2"/>
    <x v="3"/>
    <n v="-4000000"/>
    <n v="4000000"/>
  </r>
  <r>
    <s v="Bangladesh"/>
    <s v="BGD"/>
    <x v="13"/>
    <n v="0"/>
    <n v="120000000"/>
    <x v="6"/>
    <x v="2"/>
    <n v="-120000000"/>
    <n v="120000000"/>
  </r>
  <r>
    <s v="Belarus"/>
    <s v="BLR"/>
    <x v="13"/>
    <n v="98000000"/>
    <n v="75000000"/>
    <x v="1"/>
    <x v="1"/>
    <n v="23000000"/>
    <n v="173000000"/>
  </r>
  <r>
    <s v="Belgium"/>
    <s v="BEL"/>
    <x v="13"/>
    <n v="110000000"/>
    <n v="27000000"/>
    <x v="1"/>
    <x v="3"/>
    <n v="83000000"/>
    <n v="137000000"/>
  </r>
  <r>
    <s v="Benin"/>
    <s v="BEN"/>
    <x v="13"/>
    <n v="0"/>
    <n v="0"/>
    <x v="3"/>
    <x v="2"/>
    <n v="0"/>
    <n v="0"/>
  </r>
  <r>
    <s v="Bolivia"/>
    <s v="BOL"/>
    <x v="13"/>
    <n v="0"/>
    <n v="25000000"/>
    <x v="4"/>
    <x v="2"/>
    <n v="-25000000"/>
    <n v="25000000"/>
  </r>
  <r>
    <s v="Bosnia and Herzegovina"/>
    <s v="BIH"/>
    <x v="13"/>
    <n v="14000000"/>
    <n v="0"/>
    <x v="1"/>
    <x v="1"/>
    <n v="14000000"/>
    <n v="14000000"/>
  </r>
  <r>
    <s v="Brazil"/>
    <s v="BRA"/>
    <x v="13"/>
    <n v="32000000"/>
    <n v="231000000"/>
    <x v="4"/>
    <x v="1"/>
    <n v="-199000000"/>
    <n v="263000000"/>
  </r>
  <r>
    <s v="Brunei Darussalam"/>
    <s v="BRN"/>
    <x v="13"/>
    <n v="24000000"/>
    <n v="229000000"/>
    <x v="5"/>
    <x v="3"/>
    <n v="-205000000"/>
    <n v="253000000"/>
  </r>
  <r>
    <s v="Bulgaria"/>
    <s v="BGR"/>
    <x v="13"/>
    <n v="2000000"/>
    <n v="29000000"/>
    <x v="1"/>
    <x v="3"/>
    <n v="-27000000"/>
    <n v="31000000"/>
  </r>
  <r>
    <s v="Burkina Faso"/>
    <s v="BFA"/>
    <x v="13"/>
    <n v="0"/>
    <n v="16000000"/>
    <x v="3"/>
    <x v="4"/>
    <n v="-16000000"/>
    <n v="16000000"/>
  </r>
  <r>
    <s v="Canada"/>
    <s v="CAN"/>
    <x v="13"/>
    <n v="277000000"/>
    <n v="356000000"/>
    <x v="7"/>
    <x v="3"/>
    <n v="-79000000"/>
    <n v="633000000"/>
  </r>
  <r>
    <s v="Central African Republic"/>
    <s v="CAF"/>
    <x v="13"/>
    <n v="0"/>
    <n v="7000000"/>
    <x v="3"/>
    <x v="4"/>
    <n v="-7000000"/>
    <n v="7000000"/>
  </r>
  <r>
    <s v="Central Europe and the Baltics"/>
    <s v="CEB"/>
    <x v="13"/>
    <n v="0"/>
    <n v="443000000"/>
    <x v="0"/>
    <x v="0"/>
    <n v="-443000000"/>
    <n v="443000000"/>
  </r>
  <r>
    <s v="Chad"/>
    <s v="TCD"/>
    <x v="13"/>
    <n v="0"/>
    <n v="1000000"/>
    <x v="3"/>
    <x v="4"/>
    <n v="-1000000"/>
    <n v="1000000"/>
  </r>
  <r>
    <s v="Chile"/>
    <s v="CHL"/>
    <x v="13"/>
    <n v="0"/>
    <n v="326000000"/>
    <x v="4"/>
    <x v="3"/>
    <n v="-326000000"/>
    <n v="326000000"/>
  </r>
  <r>
    <s v="China"/>
    <s v="CHN"/>
    <x v="13"/>
    <n v="1308000000"/>
    <n v="1033000000"/>
    <x v="5"/>
    <x v="1"/>
    <n v="275000000"/>
    <n v="2341000000"/>
  </r>
  <r>
    <s v="Colombia"/>
    <s v="COL"/>
    <x v="13"/>
    <n v="0"/>
    <n v="145000000"/>
    <x v="4"/>
    <x v="1"/>
    <n v="-145000000"/>
    <n v="145000000"/>
  </r>
  <r>
    <s v="Congo, Rep."/>
    <s v="COG"/>
    <x v="13"/>
    <n v="0"/>
    <n v="5000000"/>
    <x v="3"/>
    <x v="2"/>
    <n v="-5000000"/>
    <n v="5000000"/>
  </r>
  <r>
    <s v="Croatia"/>
    <s v="HRV"/>
    <x v="13"/>
    <n v="0"/>
    <n v="18000000"/>
    <x v="1"/>
    <x v="3"/>
    <n v="-18000000"/>
    <n v="18000000"/>
  </r>
  <r>
    <s v="Cyprus"/>
    <s v="CYP"/>
    <x v="13"/>
    <n v="0"/>
    <n v="41000000"/>
    <x v="1"/>
    <x v="3"/>
    <n v="-41000000"/>
    <n v="41000000"/>
  </r>
  <r>
    <s v="Czechia"/>
    <s v="CZE"/>
    <x v="13"/>
    <n v="10000000"/>
    <n v="112000000"/>
    <x v="1"/>
    <x v="3"/>
    <n v="-102000000"/>
    <n v="122000000"/>
  </r>
  <r>
    <s v="Denmark"/>
    <s v="DNK"/>
    <x v="13"/>
    <n v="26000000"/>
    <n v="6000000"/>
    <x v="1"/>
    <x v="3"/>
    <n v="20000000"/>
    <n v="32000000"/>
  </r>
  <r>
    <s v="Dominican Republic"/>
    <s v="DOM"/>
    <x v="13"/>
    <n v="0"/>
    <n v="12000000"/>
    <x v="4"/>
    <x v="1"/>
    <n v="-12000000"/>
    <n v="12000000"/>
  </r>
  <r>
    <s v="Early-demographic dividend"/>
    <s v="EAR"/>
    <x v="13"/>
    <n v="0"/>
    <n v="12247000000"/>
    <x v="0"/>
    <x v="0"/>
    <n v="-12247000000"/>
    <n v="12247000000"/>
  </r>
  <r>
    <s v="East Asia &amp; Pacific"/>
    <s v="EAS"/>
    <x v="13"/>
    <n v="0"/>
    <n v="8084000000"/>
    <x v="0"/>
    <x v="0"/>
    <n v="-8084000000"/>
    <n v="8084000000"/>
  </r>
  <r>
    <s v="East Asia &amp; Pacific (excluding high income)"/>
    <s v="EAP"/>
    <x v="13"/>
    <n v="1312000000"/>
    <n v="3325000000"/>
    <x v="0"/>
    <x v="0"/>
    <n v="-2013000000"/>
    <n v="4637000000"/>
  </r>
  <r>
    <s v="East Asia &amp; Pacific (IDA &amp; IBRD countries)"/>
    <s v="TEA"/>
    <x v="13"/>
    <n v="1312000000"/>
    <n v="3325000000"/>
    <x v="0"/>
    <x v="0"/>
    <n v="-2013000000"/>
    <n v="4637000000"/>
  </r>
  <r>
    <s v="Ecuador"/>
    <s v="ECU"/>
    <x v="13"/>
    <n v="0"/>
    <n v="70000000"/>
    <x v="4"/>
    <x v="1"/>
    <n v="-70000000"/>
    <n v="70000000"/>
  </r>
  <r>
    <s v="Egypt, Arab Rep."/>
    <s v="EGY"/>
    <x v="13"/>
    <n v="0"/>
    <n v="653000000"/>
    <x v="2"/>
    <x v="2"/>
    <n v="-653000000"/>
    <n v="653000000"/>
  </r>
  <r>
    <s v="El Salvador"/>
    <s v="SLV"/>
    <x v="13"/>
    <n v="0"/>
    <n v="2000000"/>
    <x v="4"/>
    <x v="1"/>
    <n v="-2000000"/>
    <n v="2000000"/>
  </r>
  <r>
    <s v="Equatorial Guinea"/>
    <s v="GNQ"/>
    <x v="13"/>
    <n v="0"/>
    <n v="56000000"/>
    <x v="3"/>
    <x v="1"/>
    <n v="-56000000"/>
    <n v="56000000"/>
  </r>
  <r>
    <s v="Estonia"/>
    <s v="EST"/>
    <x v="13"/>
    <n v="0"/>
    <n v="1000000"/>
    <x v="1"/>
    <x v="3"/>
    <n v="-1000000"/>
    <n v="1000000"/>
  </r>
  <r>
    <s v="Ethiopia"/>
    <s v="ETH"/>
    <x v="13"/>
    <n v="0"/>
    <n v="76000000"/>
    <x v="3"/>
    <x v="4"/>
    <n v="-76000000"/>
    <n v="76000000"/>
  </r>
  <r>
    <s v="Euro area"/>
    <s v="EMU"/>
    <x v="13"/>
    <n v="6029000000"/>
    <n v="1171000000"/>
    <x v="0"/>
    <x v="0"/>
    <n v="4858000000"/>
    <n v="7200000000"/>
  </r>
  <r>
    <s v="Europe &amp; Central Asia"/>
    <s v="ECS"/>
    <x v="13"/>
    <n v="17938000000"/>
    <n v="4478000000"/>
    <x v="0"/>
    <x v="0"/>
    <n v="13460000000"/>
    <n v="22416000000"/>
  </r>
  <r>
    <s v="Europe &amp; Central Asia (excluding high income)"/>
    <s v="ECA"/>
    <x v="13"/>
    <n v="1002000000"/>
    <n v="1745000000"/>
    <x v="0"/>
    <x v="0"/>
    <n v="-743000000"/>
    <n v="2747000000"/>
  </r>
  <r>
    <s v="Europe &amp; Central Asia (IDA &amp; IBRD countries)"/>
    <s v="TEC"/>
    <x v="13"/>
    <n v="9805000000"/>
    <n v="2023000000"/>
    <x v="0"/>
    <x v="0"/>
    <n v="7782000000"/>
    <n v="11828000000"/>
  </r>
  <r>
    <s v="European Union"/>
    <s v="EUU"/>
    <x v="13"/>
    <n v="6731000000"/>
    <n v="1703000000"/>
    <x v="0"/>
    <x v="0"/>
    <n v="5028000000"/>
    <n v="8434000000"/>
  </r>
  <r>
    <s v="Finland"/>
    <s v="FIN"/>
    <x v="13"/>
    <n v="70000000"/>
    <n v="60000000"/>
    <x v="1"/>
    <x v="3"/>
    <n v="10000000"/>
    <n v="130000000"/>
  </r>
  <r>
    <s v="France"/>
    <s v="FRA"/>
    <x v="13"/>
    <n v="2079000000"/>
    <n v="41000000"/>
    <x v="1"/>
    <x v="3"/>
    <n v="2038000000"/>
    <n v="2120000000"/>
  </r>
  <r>
    <s v="Gabon"/>
    <s v="GAB"/>
    <x v="13"/>
    <n v="0"/>
    <n v="5000000"/>
    <x v="3"/>
    <x v="1"/>
    <n v="-5000000"/>
    <n v="5000000"/>
  </r>
  <r>
    <s v="Georgia"/>
    <s v="GEO"/>
    <x v="13"/>
    <n v="0"/>
    <n v="2000000"/>
    <x v="1"/>
    <x v="1"/>
    <n v="-2000000"/>
    <n v="2000000"/>
  </r>
  <r>
    <s v="Germany"/>
    <s v="DEU"/>
    <x v="13"/>
    <n v="1203000000"/>
    <n v="79000000"/>
    <x v="1"/>
    <x v="3"/>
    <n v="1124000000"/>
    <n v="1282000000"/>
  </r>
  <r>
    <s v="Ghana"/>
    <s v="GHA"/>
    <x v="13"/>
    <n v="0"/>
    <n v="76000000"/>
    <x v="3"/>
    <x v="2"/>
    <n v="-76000000"/>
    <n v="76000000"/>
  </r>
  <r>
    <s v="Greece"/>
    <s v="GRC"/>
    <x v="13"/>
    <n v="0"/>
    <n v="70000000"/>
    <x v="1"/>
    <x v="3"/>
    <n v="-70000000"/>
    <n v="70000000"/>
  </r>
  <r>
    <s v="Guinea"/>
    <s v="GIN"/>
    <x v="13"/>
    <n v="0"/>
    <n v="1000000"/>
    <x v="3"/>
    <x v="2"/>
    <n v="-1000000"/>
    <n v="1000000"/>
  </r>
  <r>
    <s v="Heavily indebted poor countries (HIPC)"/>
    <s v="HPC"/>
    <x v="13"/>
    <n v="0"/>
    <n v="1600000000"/>
    <x v="0"/>
    <x v="0"/>
    <n v="-1600000000"/>
    <n v="1600000000"/>
  </r>
  <r>
    <s v="High income"/>
    <s v="HIC"/>
    <x v="13"/>
    <n v="27417000000"/>
    <n v="11949000000"/>
    <x v="0"/>
    <x v="0"/>
    <n v="15468000000"/>
    <n v="39366000000"/>
  </r>
  <r>
    <s v="Honduras"/>
    <s v="HND"/>
    <x v="13"/>
    <n v="0"/>
    <n v="0"/>
    <x v="4"/>
    <x v="2"/>
    <n v="0"/>
    <n v="0"/>
  </r>
  <r>
    <s v="Hungary"/>
    <s v="HUN"/>
    <x v="13"/>
    <n v="0"/>
    <n v="8000000"/>
    <x v="1"/>
    <x v="3"/>
    <n v="-8000000"/>
    <n v="8000000"/>
  </r>
  <r>
    <s v="IBRD only"/>
    <s v="IBD"/>
    <x v="13"/>
    <n v="11097000000"/>
    <n v="14311000000"/>
    <x v="0"/>
    <x v="0"/>
    <n v="-3214000000"/>
    <n v="25408000000"/>
  </r>
  <r>
    <s v="Iceland"/>
    <s v="ISL"/>
    <x v="13"/>
    <n v="0"/>
    <n v="50000000"/>
    <x v="1"/>
    <x v="3"/>
    <n v="-50000000"/>
    <n v="50000000"/>
  </r>
  <r>
    <s v="IDA &amp; IBRD total"/>
    <s v="IBT"/>
    <x v="13"/>
    <n v="0"/>
    <n v="18600000000"/>
    <x v="0"/>
    <x v="0"/>
    <n v="-18600000000"/>
    <n v="18600000000"/>
  </r>
  <r>
    <s v="IDA blend"/>
    <s v="IDB"/>
    <x v="13"/>
    <n v="0"/>
    <n v="1295000000"/>
    <x v="0"/>
    <x v="0"/>
    <n v="-1295000000"/>
    <n v="1295000000"/>
  </r>
  <r>
    <s v="IDA only"/>
    <s v="IDX"/>
    <x v="13"/>
    <n v="0"/>
    <n v="2994000000"/>
    <x v="0"/>
    <x v="0"/>
    <n v="-2994000000"/>
    <n v="2994000000"/>
  </r>
  <r>
    <s v="IDA total"/>
    <s v="IDA"/>
    <x v="13"/>
    <n v="0"/>
    <n v="4289000000"/>
    <x v="0"/>
    <x v="0"/>
    <n v="-4289000000"/>
    <n v="4289000000"/>
  </r>
  <r>
    <s v="India"/>
    <s v="IND"/>
    <x v="13"/>
    <n v="3000000"/>
    <n v="3625000000"/>
    <x v="6"/>
    <x v="2"/>
    <n v="-3622000000"/>
    <n v="3628000000"/>
  </r>
  <r>
    <s v="Indonesia"/>
    <s v="IDN"/>
    <x v="13"/>
    <n v="4000000"/>
    <n v="257000000"/>
    <x v="5"/>
    <x v="1"/>
    <n v="-253000000"/>
    <n v="261000000"/>
  </r>
  <r>
    <s v="Iran, Islamic Rep."/>
    <s v="IRN"/>
    <x v="13"/>
    <n v="77000000"/>
    <n v="89000000"/>
    <x v="2"/>
    <x v="1"/>
    <n v="-12000000"/>
    <n v="166000000"/>
  </r>
  <r>
    <s v="Iraq"/>
    <s v="IRQ"/>
    <x v="13"/>
    <n v="0"/>
    <n v="623000000"/>
    <x v="2"/>
    <x v="1"/>
    <n v="-623000000"/>
    <n v="623000000"/>
  </r>
  <r>
    <s v="Ireland"/>
    <s v="IRL"/>
    <x v="13"/>
    <n v="1000000"/>
    <n v="0"/>
    <x v="1"/>
    <x v="3"/>
    <n v="1000000"/>
    <n v="1000000"/>
  </r>
  <r>
    <s v="Israel"/>
    <s v="ISR"/>
    <x v="13"/>
    <n v="590000000"/>
    <n v="86000000"/>
    <x v="2"/>
    <x v="3"/>
    <n v="504000000"/>
    <n v="676000000"/>
  </r>
  <r>
    <s v="Italy"/>
    <s v="ITA"/>
    <x v="13"/>
    <n v="964000000"/>
    <n v="286000000"/>
    <x v="1"/>
    <x v="3"/>
    <n v="678000000"/>
    <n v="1250000000"/>
  </r>
  <r>
    <s v="Japan"/>
    <s v="JPN"/>
    <x v="13"/>
    <n v="0"/>
    <n v="300000000"/>
    <x v="5"/>
    <x v="3"/>
    <n v="-300000000"/>
    <n v="300000000"/>
  </r>
  <r>
    <s v="Jordan"/>
    <s v="JOR"/>
    <x v="13"/>
    <n v="0"/>
    <n v="211000000"/>
    <x v="2"/>
    <x v="1"/>
    <n v="-211000000"/>
    <n v="211000000"/>
  </r>
  <r>
    <s v="Kazakhstan"/>
    <s v="KAZ"/>
    <x v="13"/>
    <n v="0"/>
    <n v="63000000"/>
    <x v="1"/>
    <x v="1"/>
    <n v="-63000000"/>
    <n v="63000000"/>
  </r>
  <r>
    <s v="Kenya"/>
    <s v="KEN"/>
    <x v="13"/>
    <n v="0"/>
    <n v="35000000"/>
    <x v="3"/>
    <x v="2"/>
    <n v="-35000000"/>
    <n v="35000000"/>
  </r>
  <r>
    <s v="Korea, Rep."/>
    <s v="KOR"/>
    <x v="13"/>
    <n v="328000000"/>
    <n v="1568000000"/>
    <x v="5"/>
    <x v="3"/>
    <n v="-1240000000"/>
    <n v="1896000000"/>
  </r>
  <r>
    <s v="Kuwait"/>
    <s v="KWT"/>
    <x v="13"/>
    <n v="0"/>
    <n v="116000000"/>
    <x v="2"/>
    <x v="3"/>
    <n v="-116000000"/>
    <n v="116000000"/>
  </r>
  <r>
    <s v="Lao PDR"/>
    <s v="LAO"/>
    <x v="13"/>
    <n v="0"/>
    <n v="15000000"/>
    <x v="5"/>
    <x v="2"/>
    <n v="-15000000"/>
    <n v="15000000"/>
  </r>
  <r>
    <s v="Late-demographic dividend"/>
    <s v="LTE"/>
    <x v="13"/>
    <n v="10186000000"/>
    <n v="7110000000"/>
    <x v="0"/>
    <x v="0"/>
    <n v="3076000000"/>
    <n v="17296000000"/>
  </r>
  <r>
    <s v="Latin America &amp; Caribbean"/>
    <s v="LCN"/>
    <x v="13"/>
    <n v="0"/>
    <n v="1743000000"/>
    <x v="0"/>
    <x v="0"/>
    <n v="-1743000000"/>
    <n v="1743000000"/>
  </r>
  <r>
    <s v="Latin America &amp; Caribbean (excluding high income)"/>
    <s v="LAC"/>
    <x v="13"/>
    <n v="0"/>
    <n v="1405000000"/>
    <x v="0"/>
    <x v="0"/>
    <n v="-1405000000"/>
    <n v="1405000000"/>
  </r>
  <r>
    <s v="Latin America &amp; the Caribbean (IDA &amp; IBRD countries)"/>
    <s v="TLA"/>
    <x v="13"/>
    <n v="0"/>
    <n v="1743000000"/>
    <x v="0"/>
    <x v="0"/>
    <n v="-1743000000"/>
    <n v="1743000000"/>
  </r>
  <r>
    <s v="Latvia"/>
    <s v="LVA"/>
    <x v="13"/>
    <n v="0"/>
    <n v="27000000"/>
    <x v="1"/>
    <x v="3"/>
    <n v="-27000000"/>
    <n v="27000000"/>
  </r>
  <r>
    <s v="Lebanon"/>
    <s v="LBN"/>
    <x v="13"/>
    <n v="0"/>
    <n v="1000000"/>
    <x v="2"/>
    <x v="2"/>
    <n v="-1000000"/>
    <n v="1000000"/>
  </r>
  <r>
    <s v="Libya"/>
    <s v="LBY"/>
    <x v="13"/>
    <n v="0"/>
    <n v="8000000"/>
    <x v="2"/>
    <x v="1"/>
    <n v="-8000000"/>
    <n v="8000000"/>
  </r>
  <r>
    <s v="Low &amp; middle income"/>
    <s v="LMY"/>
    <x v="13"/>
    <n v="0"/>
    <n v="17976000000"/>
    <x v="0"/>
    <x v="0"/>
    <n v="-17976000000"/>
    <n v="17976000000"/>
  </r>
  <r>
    <s v="Low income"/>
    <s v="LIC"/>
    <x v="13"/>
    <n v="0"/>
    <n v="1990000000"/>
    <x v="0"/>
    <x v="0"/>
    <n v="-1990000000"/>
    <n v="1990000000"/>
  </r>
  <r>
    <s v="Lower middle income"/>
    <s v="LMC"/>
    <x v="13"/>
    <n v="0"/>
    <n v="8479000000"/>
    <x v="0"/>
    <x v="0"/>
    <n v="-8479000000"/>
    <n v="8479000000"/>
  </r>
  <r>
    <s v="Malaysia"/>
    <s v="MYS"/>
    <x v="13"/>
    <n v="0"/>
    <n v="4000000"/>
    <x v="5"/>
    <x v="1"/>
    <n v="-4000000"/>
    <n v="4000000"/>
  </r>
  <r>
    <s v="Mali"/>
    <s v="MLI"/>
    <x v="13"/>
    <n v="0"/>
    <n v="0"/>
    <x v="3"/>
    <x v="4"/>
    <n v="0"/>
    <n v="0"/>
  </r>
  <r>
    <s v="Malta"/>
    <s v="MLT"/>
    <x v="13"/>
    <n v="0"/>
    <n v="8000000"/>
    <x v="2"/>
    <x v="3"/>
    <n v="-8000000"/>
    <n v="8000000"/>
  </r>
  <r>
    <s v="Mauritania"/>
    <s v="MRT"/>
    <x v="13"/>
    <n v="0"/>
    <n v="5000000"/>
    <x v="3"/>
    <x v="2"/>
    <n v="-5000000"/>
    <n v="5000000"/>
  </r>
  <r>
    <s v="Mexico"/>
    <s v="MEX"/>
    <x v="13"/>
    <n v="0"/>
    <n v="225000000"/>
    <x v="4"/>
    <x v="1"/>
    <n v="-225000000"/>
    <n v="225000000"/>
  </r>
  <r>
    <s v="Middle East, North Africa, Afghanistan &amp; Pakistan"/>
    <s v="MEA"/>
    <x v="13"/>
    <n v="0"/>
    <n v="9174000000"/>
    <x v="0"/>
    <x v="0"/>
    <n v="-9174000000"/>
    <n v="9174000000"/>
  </r>
  <r>
    <s v="Middle East, North Africa, Afghanistan &amp; Pakistan (excluding high income)"/>
    <s v="MNA"/>
    <x v="13"/>
    <n v="0"/>
    <n v="6356000000"/>
    <x v="0"/>
    <x v="0"/>
    <n v="-6356000000"/>
    <n v="6356000000"/>
  </r>
  <r>
    <s v="Middle East, North Africa, Afghanistan &amp; Pakistan (IDA &amp; IBRD)"/>
    <s v="TMN"/>
    <x v="13"/>
    <n v="0"/>
    <n v="6356000000"/>
    <x v="0"/>
    <x v="0"/>
    <n v="-6356000000"/>
    <n v="6356000000"/>
  </r>
  <r>
    <s v="Middle income"/>
    <s v="MIC"/>
    <x v="13"/>
    <n v="0"/>
    <n v="15986000000"/>
    <x v="0"/>
    <x v="0"/>
    <n v="-15986000000"/>
    <n v="15986000000"/>
  </r>
  <r>
    <s v="Moldova"/>
    <s v="MDA"/>
    <x v="13"/>
    <n v="12000000"/>
    <n v="0"/>
    <x v="1"/>
    <x v="1"/>
    <n v="12000000"/>
    <n v="12000000"/>
  </r>
  <r>
    <s v="Mongolia"/>
    <s v="MNG"/>
    <x v="13"/>
    <n v="0"/>
    <n v="3000000"/>
    <x v="5"/>
    <x v="1"/>
    <n v="-3000000"/>
    <n v="3000000"/>
  </r>
  <r>
    <s v="Morocco"/>
    <s v="MAR"/>
    <x v="13"/>
    <n v="0"/>
    <n v="1289000000"/>
    <x v="2"/>
    <x v="2"/>
    <n v="-1289000000"/>
    <n v="1289000000"/>
  </r>
  <r>
    <s v="Mozambique"/>
    <s v="MOZ"/>
    <x v="13"/>
    <n v="0"/>
    <n v="0"/>
    <x v="3"/>
    <x v="4"/>
    <n v="0"/>
    <n v="0"/>
  </r>
  <r>
    <s v="Myanmar"/>
    <s v="MMR"/>
    <x v="13"/>
    <n v="0"/>
    <n v="668000000"/>
    <x v="5"/>
    <x v="2"/>
    <n v="-668000000"/>
    <n v="668000000"/>
  </r>
  <r>
    <s v="Namibia"/>
    <s v="NAM"/>
    <x v="13"/>
    <n v="0"/>
    <n v="1000000"/>
    <x v="3"/>
    <x v="2"/>
    <n v="-1000000"/>
    <n v="1000000"/>
  </r>
  <r>
    <s v="Nepal"/>
    <s v="NPL"/>
    <x v="13"/>
    <n v="0"/>
    <n v="3000000"/>
    <x v="6"/>
    <x v="2"/>
    <n v="-3000000"/>
    <n v="3000000"/>
  </r>
  <r>
    <s v="Netherlands"/>
    <s v="NLD"/>
    <x v="13"/>
    <n v="541000000"/>
    <n v="115000000"/>
    <x v="1"/>
    <x v="3"/>
    <n v="426000000"/>
    <n v="656000000"/>
  </r>
  <r>
    <s v="New Zealand"/>
    <s v="NZL"/>
    <x v="13"/>
    <n v="0"/>
    <n v="28000000"/>
    <x v="5"/>
    <x v="3"/>
    <n v="-28000000"/>
    <n v="28000000"/>
  </r>
  <r>
    <s v="Nigeria"/>
    <s v="NGA"/>
    <x v="13"/>
    <n v="0"/>
    <n v="63000000"/>
    <x v="3"/>
    <x v="2"/>
    <n v="-63000000"/>
    <n v="63000000"/>
  </r>
  <r>
    <s v="North America"/>
    <s v="NAC"/>
    <x v="13"/>
    <n v="9318000000"/>
    <n v="1293000000"/>
    <x v="0"/>
    <x v="0"/>
    <n v="8025000000"/>
    <n v="10611000000"/>
  </r>
  <r>
    <s v="Norway"/>
    <s v="NOR"/>
    <x v="13"/>
    <n v="62000000"/>
    <n v="607000000"/>
    <x v="1"/>
    <x v="3"/>
    <n v="-545000000"/>
    <n v="669000000"/>
  </r>
  <r>
    <s v="OECD members"/>
    <s v="OED"/>
    <x v="13"/>
    <n v="18615000000"/>
    <n v="8902000000"/>
    <x v="0"/>
    <x v="0"/>
    <n v="9713000000"/>
    <n v="27517000000"/>
  </r>
  <r>
    <s v="Oman"/>
    <s v="OMN"/>
    <x v="13"/>
    <n v="0"/>
    <n v="21000000"/>
    <x v="2"/>
    <x v="3"/>
    <n v="-21000000"/>
    <n v="21000000"/>
  </r>
  <r>
    <s v="Other small states"/>
    <s v="OSS"/>
    <x v="13"/>
    <n v="0"/>
    <n v="351000000"/>
    <x v="0"/>
    <x v="0"/>
    <n v="-351000000"/>
    <n v="351000000"/>
  </r>
  <r>
    <s v="Pakistan"/>
    <s v="PAK"/>
    <x v="13"/>
    <n v="0"/>
    <n v="1178000000"/>
    <x v="2"/>
    <x v="2"/>
    <n v="-1178000000"/>
    <n v="1178000000"/>
  </r>
  <r>
    <s v="Paraguay"/>
    <s v="PRY"/>
    <x v="13"/>
    <n v="0"/>
    <n v="8000000"/>
    <x v="4"/>
    <x v="1"/>
    <n v="-8000000"/>
    <n v="8000000"/>
  </r>
  <r>
    <s v="Peru"/>
    <s v="PER"/>
    <x v="13"/>
    <n v="0"/>
    <n v="71000000"/>
    <x v="4"/>
    <x v="1"/>
    <n v="-71000000"/>
    <n v="71000000"/>
  </r>
  <r>
    <s v="Philippines"/>
    <s v="PHL"/>
    <x v="13"/>
    <n v="0"/>
    <n v="63000000"/>
    <x v="5"/>
    <x v="1"/>
    <n v="-63000000"/>
    <n v="63000000"/>
  </r>
  <r>
    <s v="Poland"/>
    <s v="POL"/>
    <x v="13"/>
    <n v="8000000"/>
    <n v="141000000"/>
    <x v="1"/>
    <x v="3"/>
    <n v="-133000000"/>
    <n v="149000000"/>
  </r>
  <r>
    <s v="Portugal"/>
    <s v="PRT"/>
    <x v="13"/>
    <n v="0"/>
    <n v="170000000"/>
    <x v="1"/>
    <x v="3"/>
    <n v="-170000000"/>
    <n v="170000000"/>
  </r>
  <r>
    <s v="Post-demographic dividend"/>
    <s v="PST"/>
    <x v="13"/>
    <n v="18621000000"/>
    <n v="8116000000"/>
    <x v="0"/>
    <x v="0"/>
    <n v="10505000000"/>
    <n v="26737000000"/>
  </r>
  <r>
    <s v="Pre-demographic dividend"/>
    <s v="PRE"/>
    <x v="13"/>
    <n v="0"/>
    <n v="2279000000"/>
    <x v="0"/>
    <x v="0"/>
    <n v="-2279000000"/>
    <n v="2279000000"/>
  </r>
  <r>
    <s v="Qatar"/>
    <s v="QAT"/>
    <x v="13"/>
    <n v="0"/>
    <n v="190000000"/>
    <x v="2"/>
    <x v="3"/>
    <n v="-190000000"/>
    <n v="190000000"/>
  </r>
  <r>
    <s v="Romania"/>
    <s v="ROU"/>
    <x v="13"/>
    <n v="0"/>
    <n v="80000000"/>
    <x v="1"/>
    <x v="3"/>
    <n v="-80000000"/>
    <n v="80000000"/>
  </r>
  <r>
    <s v="Russian Federation"/>
    <s v="RUS"/>
    <x v="13"/>
    <n v="8793000000"/>
    <n v="10000000"/>
    <x v="1"/>
    <x v="3"/>
    <n v="8783000000"/>
    <n v="8803000000"/>
  </r>
  <r>
    <s v="Saudi Arabia"/>
    <s v="SAU"/>
    <x v="13"/>
    <n v="58000000"/>
    <n v="1176000000"/>
    <x v="2"/>
    <x v="3"/>
    <n v="-1118000000"/>
    <n v="1234000000"/>
  </r>
  <r>
    <s v="Senegal"/>
    <s v="SEN"/>
    <x v="13"/>
    <n v="0"/>
    <n v="16000000"/>
    <x v="3"/>
    <x v="2"/>
    <n v="-16000000"/>
    <n v="16000000"/>
  </r>
  <r>
    <s v="Serbia"/>
    <s v="SRB"/>
    <x v="13"/>
    <n v="4000000"/>
    <n v="0"/>
    <x v="1"/>
    <x v="1"/>
    <n v="4000000"/>
    <n v="4000000"/>
  </r>
  <r>
    <s v="Seychelles"/>
    <s v="SYC"/>
    <x v="13"/>
    <n v="0"/>
    <n v="8000000"/>
    <x v="3"/>
    <x v="3"/>
    <n v="-8000000"/>
    <n v="8000000"/>
  </r>
  <r>
    <s v="Sierra Leone"/>
    <s v="SLE"/>
    <x v="13"/>
    <n v="0"/>
    <n v="2000000"/>
    <x v="3"/>
    <x v="4"/>
    <n v="-2000000"/>
    <n v="2000000"/>
  </r>
  <r>
    <s v="Singapore"/>
    <s v="SGP"/>
    <x v="13"/>
    <n v="17000000"/>
    <n v="879000000"/>
    <x v="5"/>
    <x v="3"/>
    <n v="-862000000"/>
    <n v="896000000"/>
  </r>
  <r>
    <s v="Slovenia"/>
    <s v="SVN"/>
    <x v="13"/>
    <n v="0"/>
    <n v="27000000"/>
    <x v="1"/>
    <x v="3"/>
    <n v="-27000000"/>
    <n v="27000000"/>
  </r>
  <r>
    <s v="Small states"/>
    <s v="SST"/>
    <x v="13"/>
    <n v="0"/>
    <n v="363000000"/>
    <x v="0"/>
    <x v="0"/>
    <n v="-363000000"/>
    <n v="363000000"/>
  </r>
  <r>
    <s v="South Africa"/>
    <s v="ZAF"/>
    <x v="13"/>
    <n v="76000000"/>
    <n v="208000000"/>
    <x v="3"/>
    <x v="1"/>
    <n v="-132000000"/>
    <n v="284000000"/>
  </r>
  <r>
    <s v="South Asia"/>
    <s v="SAS"/>
    <x v="13"/>
    <n v="3000000"/>
    <n v="3769000000"/>
    <x v="0"/>
    <x v="0"/>
    <n v="-3766000000"/>
    <n v="3772000000"/>
  </r>
  <r>
    <s v="South Asia (IDA &amp; IBRD)"/>
    <s v="TSA"/>
    <x v="13"/>
    <n v="3000000"/>
    <n v="3769000000"/>
    <x v="0"/>
    <x v="0"/>
    <n v="-3766000000"/>
    <n v="3772000000"/>
  </r>
  <r>
    <s v="South Sudan"/>
    <s v="SSD"/>
    <x v="13"/>
    <n v="0"/>
    <n v="65000000"/>
    <x v="3"/>
    <x v="4"/>
    <n v="-65000000"/>
    <n v="65000000"/>
  </r>
  <r>
    <s v="Spain"/>
    <s v="ESP"/>
    <x v="13"/>
    <n v="997000000"/>
    <n v="166000000"/>
    <x v="1"/>
    <x v="3"/>
    <n v="831000000"/>
    <n v="1163000000"/>
  </r>
  <r>
    <s v="Sri Lanka"/>
    <s v="LKA"/>
    <x v="13"/>
    <n v="0"/>
    <n v="21000000"/>
    <x v="6"/>
    <x v="1"/>
    <n v="-21000000"/>
    <n v="21000000"/>
  </r>
  <r>
    <s v="Sub-Saharan Africa"/>
    <s v="SSF"/>
    <x v="13"/>
    <n v="0"/>
    <n v="1384000000"/>
    <x v="0"/>
    <x v="0"/>
    <n v="-1384000000"/>
    <n v="1384000000"/>
  </r>
  <r>
    <s v="Sub-Saharan Africa (excluding high income)"/>
    <s v="SSA"/>
    <x v="13"/>
    <n v="0"/>
    <n v="1376000000"/>
    <x v="0"/>
    <x v="0"/>
    <n v="-1376000000"/>
    <n v="1376000000"/>
  </r>
  <r>
    <s v="Sub-Saharan Africa (IDA &amp; IBRD countries)"/>
    <s v="TSS"/>
    <x v="13"/>
    <n v="0"/>
    <n v="1384000000"/>
    <x v="0"/>
    <x v="0"/>
    <n v="-1384000000"/>
    <n v="1384000000"/>
  </r>
  <r>
    <s v="Sudan"/>
    <s v="SDN"/>
    <x v="13"/>
    <n v="0"/>
    <n v="191000000"/>
    <x v="3"/>
    <x v="4"/>
    <n v="-191000000"/>
    <n v="191000000"/>
  </r>
  <r>
    <s v="Sweden"/>
    <s v="SWE"/>
    <x v="13"/>
    <n v="658000000"/>
    <n v="185000000"/>
    <x v="1"/>
    <x v="3"/>
    <n v="473000000"/>
    <n v="843000000"/>
  </r>
  <r>
    <s v="Switzerland"/>
    <s v="CHE"/>
    <x v="13"/>
    <n v="349000000"/>
    <n v="24000000"/>
    <x v="1"/>
    <x v="3"/>
    <n v="325000000"/>
    <n v="373000000"/>
  </r>
  <r>
    <s v="Syrian Arab Republic"/>
    <s v="SYR"/>
    <x v="13"/>
    <n v="0"/>
    <n v="485000000"/>
    <x v="2"/>
    <x v="4"/>
    <n v="-485000000"/>
    <n v="485000000"/>
  </r>
  <r>
    <s v="Tanzania"/>
    <s v="TZA"/>
    <x v="13"/>
    <n v="0"/>
    <n v="78000000"/>
    <x v="3"/>
    <x v="2"/>
    <n v="-78000000"/>
    <n v="78000000"/>
  </r>
  <r>
    <s v="Thailand"/>
    <s v="THA"/>
    <x v="13"/>
    <n v="0"/>
    <n v="252000000"/>
    <x v="5"/>
    <x v="1"/>
    <n v="-252000000"/>
    <n v="252000000"/>
  </r>
  <r>
    <s v="Timor-Leste"/>
    <s v="TLS"/>
    <x v="13"/>
    <n v="0"/>
    <n v="14000000"/>
    <x v="5"/>
    <x v="2"/>
    <n v="-14000000"/>
    <n v="14000000"/>
  </r>
  <r>
    <s v="Trinidad and Tobago"/>
    <s v="TTO"/>
    <x v="13"/>
    <n v="0"/>
    <n v="12000000"/>
    <x v="4"/>
    <x v="3"/>
    <n v="-12000000"/>
    <n v="12000000"/>
  </r>
  <r>
    <s v="Tunisia"/>
    <s v="TUN"/>
    <x v="13"/>
    <n v="0"/>
    <n v="7000000"/>
    <x v="2"/>
    <x v="2"/>
    <n v="-7000000"/>
    <n v="7000000"/>
  </r>
  <r>
    <s v="Turkiye"/>
    <s v="TUR"/>
    <x v="13"/>
    <n v="95000000"/>
    <n v="794000000"/>
    <x v="1"/>
    <x v="1"/>
    <n v="-699000000"/>
    <n v="889000000"/>
  </r>
  <r>
    <s v="Turkmenistan"/>
    <s v="TKM"/>
    <x v="13"/>
    <n v="0"/>
    <n v="237000000"/>
    <x v="1"/>
    <x v="1"/>
    <n v="-237000000"/>
    <n v="237000000"/>
  </r>
  <r>
    <s v="Uganda"/>
    <s v="UGA"/>
    <x v="13"/>
    <n v="0"/>
    <n v="468000000"/>
    <x v="3"/>
    <x v="4"/>
    <n v="-468000000"/>
    <n v="468000000"/>
  </r>
  <r>
    <s v="Ukraine"/>
    <s v="UKR"/>
    <x v="13"/>
    <n v="569000000"/>
    <n v="0"/>
    <x v="1"/>
    <x v="1"/>
    <n v="569000000"/>
    <n v="569000000"/>
  </r>
  <r>
    <s v="United Arab Emirates"/>
    <s v="ARE"/>
    <x v="13"/>
    <n v="3000000"/>
    <n v="1217000000"/>
    <x v="2"/>
    <x v="3"/>
    <n v="-1214000000"/>
    <n v="1220000000"/>
  </r>
  <r>
    <s v="United Kingdom"/>
    <s v="GBR"/>
    <x v="13"/>
    <n v="1001000000"/>
    <n v="347000000"/>
    <x v="1"/>
    <x v="3"/>
    <n v="654000000"/>
    <n v="1348000000"/>
  </r>
  <r>
    <s v="United States"/>
    <s v="USA"/>
    <x v="13"/>
    <n v="9041000000"/>
    <n v="937000000"/>
    <x v="7"/>
    <x v="3"/>
    <n v="8104000000"/>
    <n v="9978000000"/>
  </r>
  <r>
    <s v="Upper middle income"/>
    <s v="UMC"/>
    <x v="13"/>
    <n v="0"/>
    <n v="7507000000"/>
    <x v="0"/>
    <x v="0"/>
    <n v="-7507000000"/>
    <n v="7507000000"/>
  </r>
  <r>
    <s v="Uzbekistan"/>
    <s v="UZB"/>
    <x v="13"/>
    <n v="209000000"/>
    <n v="0"/>
    <x v="1"/>
    <x v="2"/>
    <n v="209000000"/>
    <n v="209000000"/>
  </r>
  <r>
    <s v="Venezuela, RB"/>
    <s v="VEN"/>
    <x v="13"/>
    <n v="0"/>
    <n v="600000000"/>
    <x v="4"/>
    <x v="2"/>
    <n v="-600000000"/>
    <n v="600000000"/>
  </r>
  <r>
    <s v="Viet Nam"/>
    <s v="VNM"/>
    <x v="13"/>
    <n v="0"/>
    <n v="1016000000"/>
    <x v="5"/>
    <x v="1"/>
    <n v="-1016000000"/>
    <n v="1016000000"/>
  </r>
  <r>
    <s v="World"/>
    <s v="WLD"/>
    <x v="13"/>
    <n v="29928000000"/>
    <n v="29925000000"/>
    <x v="0"/>
    <x v="0"/>
    <n v="3000000"/>
    <n v="59853000000"/>
  </r>
  <r>
    <s v="Yemen, Rep."/>
    <s v="YEM"/>
    <x v="13"/>
    <n v="0"/>
    <n v="47000000"/>
    <x v="2"/>
    <x v="4"/>
    <n v="-47000000"/>
    <n v="47000000"/>
  </r>
  <r>
    <s v="Zambia"/>
    <s v="ZMB"/>
    <x v="13"/>
    <n v="0"/>
    <n v="1000000"/>
    <x v="3"/>
    <x v="2"/>
    <n v="-1000000"/>
    <n v="1000000"/>
  </r>
  <r>
    <s v="Afghanistan"/>
    <s v="AFG"/>
    <x v="14"/>
    <n v="0"/>
    <n v="365000000"/>
    <x v="2"/>
    <x v="4"/>
    <n v="-365000000"/>
    <n v="365000000"/>
  </r>
  <r>
    <s v="Africa Western and Central"/>
    <s v="AFW"/>
    <x v="14"/>
    <n v="0"/>
    <n v="367000000"/>
    <x v="0"/>
    <x v="0"/>
    <n v="-367000000"/>
    <n v="367000000"/>
  </r>
  <r>
    <s v="Algeria"/>
    <s v="DZA"/>
    <x v="14"/>
    <n v="0"/>
    <n v="831000000"/>
    <x v="2"/>
    <x v="1"/>
    <n v="-831000000"/>
    <n v="831000000"/>
  </r>
  <r>
    <s v="Arab World"/>
    <s v="ARB"/>
    <x v="14"/>
    <n v="0"/>
    <n v="5446000000"/>
    <x v="0"/>
    <x v="0"/>
    <n v="-5446000000"/>
    <n v="5446000000"/>
  </r>
  <r>
    <s v="Argentina"/>
    <s v="ARG"/>
    <x v="14"/>
    <n v="0"/>
    <n v="11000000"/>
    <x v="4"/>
    <x v="1"/>
    <n v="-11000000"/>
    <n v="11000000"/>
  </r>
  <r>
    <s v="Armenia"/>
    <s v="ARM"/>
    <x v="14"/>
    <n v="0"/>
    <n v="52000000"/>
    <x v="1"/>
    <x v="1"/>
    <n v="-52000000"/>
    <n v="52000000"/>
  </r>
  <r>
    <s v="Australia"/>
    <s v="AUS"/>
    <x v="14"/>
    <n v="137000000"/>
    <n v="1558000000"/>
    <x v="5"/>
    <x v="3"/>
    <n v="-1421000000"/>
    <n v="1695000000"/>
  </r>
  <r>
    <s v="Austria"/>
    <s v="AUT"/>
    <x v="14"/>
    <n v="75000000"/>
    <n v="5000000"/>
    <x v="1"/>
    <x v="3"/>
    <n v="70000000"/>
    <n v="80000000"/>
  </r>
  <r>
    <s v="Azerbaijan"/>
    <s v="AZE"/>
    <x v="14"/>
    <n v="0"/>
    <n v="163000000"/>
    <x v="1"/>
    <x v="1"/>
    <n v="-163000000"/>
    <n v="163000000"/>
  </r>
  <r>
    <s v="Bahrain"/>
    <s v="BHR"/>
    <x v="14"/>
    <n v="0"/>
    <n v="98000000"/>
    <x v="2"/>
    <x v="3"/>
    <n v="-98000000"/>
    <n v="98000000"/>
  </r>
  <r>
    <s v="Bangladesh"/>
    <s v="BGD"/>
    <x v="14"/>
    <n v="0"/>
    <n v="36000000"/>
    <x v="6"/>
    <x v="2"/>
    <n v="-36000000"/>
    <n v="36000000"/>
  </r>
  <r>
    <s v="Belarus"/>
    <s v="BLR"/>
    <x v="14"/>
    <n v="161000000"/>
    <n v="0"/>
    <x v="1"/>
    <x v="1"/>
    <n v="161000000"/>
    <n v="161000000"/>
  </r>
  <r>
    <s v="Belgium"/>
    <s v="BEL"/>
    <x v="14"/>
    <n v="11000000"/>
    <n v="40000000"/>
    <x v="1"/>
    <x v="3"/>
    <n v="-29000000"/>
    <n v="51000000"/>
  </r>
  <r>
    <s v="Benin"/>
    <s v="BEN"/>
    <x v="14"/>
    <n v="0"/>
    <n v="0"/>
    <x v="3"/>
    <x v="2"/>
    <n v="0"/>
    <n v="0"/>
  </r>
  <r>
    <s v="Bolivia"/>
    <s v="BOL"/>
    <x v="14"/>
    <n v="0"/>
    <n v="1000000"/>
    <x v="4"/>
    <x v="2"/>
    <n v="-1000000"/>
    <n v="1000000"/>
  </r>
  <r>
    <s v="Bosnia and Herzegovina"/>
    <s v="BIH"/>
    <x v="14"/>
    <n v="0"/>
    <n v="0"/>
    <x v="1"/>
    <x v="1"/>
    <n v="0"/>
    <n v="0"/>
  </r>
  <r>
    <s v="Botswana"/>
    <s v="BWA"/>
    <x v="14"/>
    <n v="0"/>
    <n v="10000000"/>
    <x v="3"/>
    <x v="1"/>
    <n v="-10000000"/>
    <n v="10000000"/>
  </r>
  <r>
    <s v="Brazil"/>
    <s v="BRA"/>
    <x v="14"/>
    <n v="147000000"/>
    <n v="256000000"/>
    <x v="4"/>
    <x v="1"/>
    <n v="-109000000"/>
    <n v="403000000"/>
  </r>
  <r>
    <s v="Brunei Darussalam"/>
    <s v="BRN"/>
    <x v="14"/>
    <n v="0"/>
    <n v="33000000"/>
    <x v="5"/>
    <x v="3"/>
    <n v="-33000000"/>
    <n v="33000000"/>
  </r>
  <r>
    <s v="Bulgaria"/>
    <s v="BGR"/>
    <x v="14"/>
    <n v="4000000"/>
    <n v="8000000"/>
    <x v="1"/>
    <x v="3"/>
    <n v="-4000000"/>
    <n v="12000000"/>
  </r>
  <r>
    <s v="Burkina Faso"/>
    <s v="BFA"/>
    <x v="14"/>
    <n v="0"/>
    <n v="0"/>
    <x v="3"/>
    <x v="4"/>
    <n v="0"/>
    <n v="0"/>
  </r>
  <r>
    <s v="Burundi"/>
    <s v="BDI"/>
    <x v="14"/>
    <n v="0"/>
    <n v="2000000"/>
    <x v="3"/>
    <x v="4"/>
    <n v="-2000000"/>
    <n v="2000000"/>
  </r>
  <r>
    <s v="Cambodia"/>
    <s v="KHM"/>
    <x v="14"/>
    <n v="0"/>
    <n v="34000000"/>
    <x v="5"/>
    <x v="2"/>
    <n v="-34000000"/>
    <n v="34000000"/>
  </r>
  <r>
    <s v="Cameroon"/>
    <s v="CMR"/>
    <x v="14"/>
    <n v="0"/>
    <n v="10000000"/>
    <x v="3"/>
    <x v="2"/>
    <n v="-10000000"/>
    <n v="10000000"/>
  </r>
  <r>
    <s v="Canada"/>
    <s v="CAN"/>
    <x v="14"/>
    <n v="196000000"/>
    <n v="242000000"/>
    <x v="7"/>
    <x v="3"/>
    <n v="-46000000"/>
    <n v="438000000"/>
  </r>
  <r>
    <s v="Central Europe and the Baltics"/>
    <s v="CEB"/>
    <x v="14"/>
    <n v="0"/>
    <n v="453000000"/>
    <x v="0"/>
    <x v="0"/>
    <n v="-453000000"/>
    <n v="453000000"/>
  </r>
  <r>
    <s v="Chad"/>
    <s v="TCD"/>
    <x v="14"/>
    <n v="0"/>
    <n v="43000000"/>
    <x v="3"/>
    <x v="4"/>
    <n v="-43000000"/>
    <n v="43000000"/>
  </r>
  <r>
    <s v="Chile"/>
    <s v="CHL"/>
    <x v="14"/>
    <n v="0"/>
    <n v="474000000"/>
    <x v="4"/>
    <x v="3"/>
    <n v="-474000000"/>
    <n v="474000000"/>
  </r>
  <r>
    <s v="China"/>
    <s v="CHN"/>
    <x v="14"/>
    <n v="1531000000"/>
    <n v="940000000"/>
    <x v="5"/>
    <x v="1"/>
    <n v="591000000"/>
    <n v="2471000000"/>
  </r>
  <r>
    <s v="Colombia"/>
    <s v="COL"/>
    <x v="14"/>
    <n v="0"/>
    <n v="259000000"/>
    <x v="4"/>
    <x v="1"/>
    <n v="-259000000"/>
    <n v="259000000"/>
  </r>
  <r>
    <s v="Congo, Dem. Rep."/>
    <s v="COD"/>
    <x v="14"/>
    <n v="0"/>
    <n v="156000000"/>
    <x v="3"/>
    <x v="4"/>
    <n v="-156000000"/>
    <n v="156000000"/>
  </r>
  <r>
    <s v="Congo, Rep."/>
    <s v="COG"/>
    <x v="14"/>
    <n v="0"/>
    <n v="32000000"/>
    <x v="3"/>
    <x v="2"/>
    <n v="-32000000"/>
    <n v="32000000"/>
  </r>
  <r>
    <s v="Croatia"/>
    <s v="HRV"/>
    <x v="14"/>
    <n v="0"/>
    <n v="10000000"/>
    <x v="1"/>
    <x v="3"/>
    <n v="-10000000"/>
    <n v="10000000"/>
  </r>
  <r>
    <s v="Cyprus"/>
    <s v="CYP"/>
    <x v="14"/>
    <n v="0"/>
    <n v="44000000"/>
    <x v="1"/>
    <x v="3"/>
    <n v="-44000000"/>
    <n v="44000000"/>
  </r>
  <r>
    <s v="Czechia"/>
    <s v="CZE"/>
    <x v="14"/>
    <n v="5000000"/>
    <n v="50000000"/>
    <x v="1"/>
    <x v="3"/>
    <n v="-45000000"/>
    <n v="55000000"/>
  </r>
  <r>
    <s v="Denmark"/>
    <s v="DNK"/>
    <x v="14"/>
    <n v="8000000"/>
    <n v="22000000"/>
    <x v="1"/>
    <x v="3"/>
    <n v="-14000000"/>
    <n v="30000000"/>
  </r>
  <r>
    <s v="Dominican Republic"/>
    <s v="DOM"/>
    <x v="14"/>
    <n v="0"/>
    <n v="51000000"/>
    <x v="4"/>
    <x v="1"/>
    <n v="-51000000"/>
    <n v="51000000"/>
  </r>
  <r>
    <s v="Early-demographic dividend"/>
    <s v="EAR"/>
    <x v="14"/>
    <n v="0"/>
    <n v="10523000000"/>
    <x v="0"/>
    <x v="0"/>
    <n v="-10523000000"/>
    <n v="10523000000"/>
  </r>
  <r>
    <s v="East Asia &amp; Pacific"/>
    <s v="EAS"/>
    <x v="14"/>
    <n v="0"/>
    <n v="6411000000"/>
    <x v="0"/>
    <x v="0"/>
    <n v="-6411000000"/>
    <n v="6411000000"/>
  </r>
  <r>
    <s v="East Asia &amp; Pacific (excluding high income)"/>
    <s v="EAP"/>
    <x v="14"/>
    <n v="1538000000"/>
    <n v="1777000000"/>
    <x v="0"/>
    <x v="0"/>
    <n v="-239000000"/>
    <n v="3315000000"/>
  </r>
  <r>
    <s v="East Asia &amp; Pacific (IDA &amp; IBRD countries)"/>
    <s v="TEA"/>
    <x v="14"/>
    <n v="1531000000"/>
    <n v="1776000000"/>
    <x v="0"/>
    <x v="0"/>
    <n v="-245000000"/>
    <n v="3307000000"/>
  </r>
  <r>
    <s v="Ecuador"/>
    <s v="ECU"/>
    <x v="14"/>
    <n v="0"/>
    <n v="90000000"/>
    <x v="4"/>
    <x v="1"/>
    <n v="-90000000"/>
    <n v="90000000"/>
  </r>
  <r>
    <s v="Egypt, Arab Rep."/>
    <s v="EGY"/>
    <x v="14"/>
    <n v="0"/>
    <n v="689000000"/>
    <x v="2"/>
    <x v="2"/>
    <n v="-689000000"/>
    <n v="689000000"/>
  </r>
  <r>
    <s v="El Salvador"/>
    <s v="SLV"/>
    <x v="14"/>
    <n v="0"/>
    <n v="2000000"/>
    <x v="4"/>
    <x v="1"/>
    <n v="-2000000"/>
    <n v="2000000"/>
  </r>
  <r>
    <s v="Equatorial Guinea"/>
    <s v="GNQ"/>
    <x v="14"/>
    <n v="0"/>
    <n v="3000000"/>
    <x v="3"/>
    <x v="1"/>
    <n v="-3000000"/>
    <n v="3000000"/>
  </r>
  <r>
    <s v="Estonia"/>
    <s v="EST"/>
    <x v="14"/>
    <n v="0"/>
    <n v="13000000"/>
    <x v="1"/>
    <x v="3"/>
    <n v="-13000000"/>
    <n v="13000000"/>
  </r>
  <r>
    <s v="Ethiopia"/>
    <s v="ETH"/>
    <x v="14"/>
    <n v="0"/>
    <n v="58000000"/>
    <x v="3"/>
    <x v="4"/>
    <n v="-58000000"/>
    <n v="58000000"/>
  </r>
  <r>
    <s v="Euro area"/>
    <s v="EMU"/>
    <x v="14"/>
    <n v="4673000000"/>
    <n v="2712000000"/>
    <x v="0"/>
    <x v="0"/>
    <n v="1961000000"/>
    <n v="7385000000"/>
  </r>
  <r>
    <s v="Europe &amp; Central Asia"/>
    <s v="ECS"/>
    <x v="14"/>
    <n v="14002000000"/>
    <n v="4578000000"/>
    <x v="0"/>
    <x v="0"/>
    <n v="9424000000"/>
    <n v="18580000000"/>
  </r>
  <r>
    <s v="Europe &amp; Central Asia (excluding high income)"/>
    <s v="ECA"/>
    <x v="14"/>
    <n v="1017000000"/>
    <n v="821000000"/>
    <x v="0"/>
    <x v="0"/>
    <n v="196000000"/>
    <n v="1838000000"/>
  </r>
  <r>
    <s v="Europe &amp; Central Asia (IDA &amp; IBRD countries)"/>
    <s v="TEC"/>
    <x v="14"/>
    <n v="7277000000"/>
    <n v="1145000000"/>
    <x v="0"/>
    <x v="0"/>
    <n v="6132000000"/>
    <n v="8422000000"/>
  </r>
  <r>
    <s v="European Union"/>
    <s v="EUU"/>
    <x v="14"/>
    <n v="5327000000"/>
    <n v="3083000000"/>
    <x v="0"/>
    <x v="0"/>
    <n v="2244000000"/>
    <n v="8410000000"/>
  </r>
  <r>
    <s v="Finland"/>
    <s v="FIN"/>
    <x v="14"/>
    <n v="73000000"/>
    <n v="41000000"/>
    <x v="1"/>
    <x v="3"/>
    <n v="32000000"/>
    <n v="114000000"/>
  </r>
  <r>
    <s v="Fragility, Conflict, and Violence (FCV) situations"/>
    <s v="FCV"/>
    <x v="14"/>
    <n v="0"/>
    <n v="2426000000"/>
    <x v="0"/>
    <x v="0"/>
    <n v="-2426000000"/>
    <n v="2426000000"/>
  </r>
  <r>
    <s v="France"/>
    <s v="FRA"/>
    <x v="14"/>
    <n v="888000000"/>
    <n v="103000000"/>
    <x v="1"/>
    <x v="3"/>
    <n v="785000000"/>
    <n v="991000000"/>
  </r>
  <r>
    <s v="Gabon"/>
    <s v="GAB"/>
    <x v="14"/>
    <n v="0"/>
    <n v="27000000"/>
    <x v="3"/>
    <x v="1"/>
    <n v="-27000000"/>
    <n v="27000000"/>
  </r>
  <r>
    <s v="Germany"/>
    <s v="DEU"/>
    <x v="14"/>
    <n v="2364000000"/>
    <n v="301000000"/>
    <x v="1"/>
    <x v="3"/>
    <n v="2063000000"/>
    <n v="2665000000"/>
  </r>
  <r>
    <s v="Ghana"/>
    <s v="GHA"/>
    <x v="14"/>
    <n v="0"/>
    <n v="2000000"/>
    <x v="3"/>
    <x v="2"/>
    <n v="-2000000"/>
    <n v="2000000"/>
  </r>
  <r>
    <s v="Greece"/>
    <s v="GRC"/>
    <x v="14"/>
    <n v="0"/>
    <n v="630000000"/>
    <x v="1"/>
    <x v="3"/>
    <n v="-630000000"/>
    <n v="630000000"/>
  </r>
  <r>
    <s v="Guinea"/>
    <s v="GIN"/>
    <x v="14"/>
    <n v="0"/>
    <n v="5000000"/>
    <x v="3"/>
    <x v="2"/>
    <n v="-5000000"/>
    <n v="5000000"/>
  </r>
  <r>
    <s v="High income"/>
    <s v="HIC"/>
    <x v="14"/>
    <n v="22616000000"/>
    <n v="12201000000"/>
    <x v="0"/>
    <x v="0"/>
    <n v="10415000000"/>
    <n v="34817000000"/>
  </r>
  <r>
    <s v="Hungary"/>
    <s v="HUN"/>
    <x v="14"/>
    <n v="0"/>
    <n v="18000000"/>
    <x v="1"/>
    <x v="3"/>
    <n v="-18000000"/>
    <n v="18000000"/>
  </r>
  <r>
    <s v="IBRD only"/>
    <s v="IBD"/>
    <x v="14"/>
    <n v="0"/>
    <n v="10082000000"/>
    <x v="0"/>
    <x v="0"/>
    <n v="-10082000000"/>
    <n v="10082000000"/>
  </r>
  <r>
    <s v="IDA &amp; IBRD total"/>
    <s v="IBT"/>
    <x v="14"/>
    <n v="0"/>
    <n v="14434000000"/>
    <x v="0"/>
    <x v="0"/>
    <n v="-14434000000"/>
    <n v="14434000000"/>
  </r>
  <r>
    <s v="IDA blend"/>
    <s v="IDB"/>
    <x v="14"/>
    <n v="0"/>
    <n v="2641000000"/>
    <x v="0"/>
    <x v="0"/>
    <n v="-2641000000"/>
    <n v="2641000000"/>
  </r>
  <r>
    <s v="IDA only"/>
    <s v="IDX"/>
    <x v="14"/>
    <n v="0"/>
    <n v="1711000000"/>
    <x v="0"/>
    <x v="0"/>
    <n v="-1711000000"/>
    <n v="1711000000"/>
  </r>
  <r>
    <s v="IDA total"/>
    <s v="IDA"/>
    <x v="14"/>
    <n v="0"/>
    <n v="4352000000"/>
    <x v="0"/>
    <x v="0"/>
    <n v="-4352000000"/>
    <n v="4352000000"/>
  </r>
  <r>
    <s v="India"/>
    <s v="IND"/>
    <x v="14"/>
    <n v="5000000"/>
    <n v="2897000000"/>
    <x v="6"/>
    <x v="2"/>
    <n v="-2892000000"/>
    <n v="2902000000"/>
  </r>
  <r>
    <s v="Indonesia"/>
    <s v="IDN"/>
    <x v="14"/>
    <n v="0"/>
    <n v="221000000"/>
    <x v="5"/>
    <x v="1"/>
    <n v="-221000000"/>
    <n v="221000000"/>
  </r>
  <r>
    <s v="Iran, Islamic Rep."/>
    <s v="IRN"/>
    <x v="14"/>
    <n v="54000000"/>
    <n v="87000000"/>
    <x v="2"/>
    <x v="1"/>
    <n v="-33000000"/>
    <n v="141000000"/>
  </r>
  <r>
    <s v="Iraq"/>
    <s v="IRQ"/>
    <x v="14"/>
    <n v="0"/>
    <n v="480000000"/>
    <x v="2"/>
    <x v="1"/>
    <n v="-480000000"/>
    <n v="480000000"/>
  </r>
  <r>
    <s v="Ireland"/>
    <s v="IRL"/>
    <x v="14"/>
    <n v="42000000"/>
    <n v="4000000"/>
    <x v="1"/>
    <x v="3"/>
    <n v="38000000"/>
    <n v="46000000"/>
  </r>
  <r>
    <s v="Israel"/>
    <s v="ISR"/>
    <x v="14"/>
    <n v="695000000"/>
    <n v="76000000"/>
    <x v="2"/>
    <x v="3"/>
    <n v="619000000"/>
    <n v="771000000"/>
  </r>
  <r>
    <s v="Italy"/>
    <s v="ITA"/>
    <x v="14"/>
    <n v="577000000"/>
    <n v="98000000"/>
    <x v="1"/>
    <x v="3"/>
    <n v="479000000"/>
    <n v="675000000"/>
  </r>
  <r>
    <s v="Jamaica"/>
    <s v="JAM"/>
    <x v="14"/>
    <n v="0"/>
    <n v="1000000"/>
    <x v="4"/>
    <x v="1"/>
    <n v="-1000000"/>
    <n v="1000000"/>
  </r>
  <r>
    <s v="Japan"/>
    <s v="JPN"/>
    <x v="14"/>
    <n v="0"/>
    <n v="658000000"/>
    <x v="5"/>
    <x v="3"/>
    <n v="-658000000"/>
    <n v="658000000"/>
  </r>
  <r>
    <s v="Jordan"/>
    <s v="JOR"/>
    <x v="14"/>
    <n v="117000000"/>
    <n v="87000000"/>
    <x v="2"/>
    <x v="1"/>
    <n v="30000000"/>
    <n v="204000000"/>
  </r>
  <r>
    <s v="Kazakhstan"/>
    <s v="KAZ"/>
    <x v="14"/>
    <n v="0"/>
    <n v="59000000"/>
    <x v="1"/>
    <x v="1"/>
    <n v="-59000000"/>
    <n v="59000000"/>
  </r>
  <r>
    <s v="Kenya"/>
    <s v="KEN"/>
    <x v="14"/>
    <n v="0"/>
    <n v="96000000"/>
    <x v="3"/>
    <x v="2"/>
    <n v="-96000000"/>
    <n v="96000000"/>
  </r>
  <r>
    <s v="Korea, Dem. People's Rep."/>
    <s v="PRK"/>
    <x v="14"/>
    <n v="7000000"/>
    <n v="1000000"/>
    <x v="5"/>
    <x v="4"/>
    <n v="6000000"/>
    <n v="8000000"/>
  </r>
  <r>
    <s v="Korea, Rep."/>
    <s v="KOR"/>
    <x v="14"/>
    <n v="177000000"/>
    <n v="1299000000"/>
    <x v="5"/>
    <x v="3"/>
    <n v="-1122000000"/>
    <n v="1476000000"/>
  </r>
  <r>
    <s v="Kuwait"/>
    <s v="KWT"/>
    <x v="14"/>
    <n v="0"/>
    <n v="87000000"/>
    <x v="2"/>
    <x v="3"/>
    <n v="-87000000"/>
    <n v="87000000"/>
  </r>
  <r>
    <s v="Late-demographic dividend"/>
    <s v="LTE"/>
    <x v="14"/>
    <n v="8071000000"/>
    <n v="4409000000"/>
    <x v="0"/>
    <x v="0"/>
    <n v="3662000000"/>
    <n v="12480000000"/>
  </r>
  <r>
    <s v="Latin America &amp; Caribbean"/>
    <s v="LCN"/>
    <x v="14"/>
    <n v="0"/>
    <n v="1558000000"/>
    <x v="0"/>
    <x v="0"/>
    <n v="-1558000000"/>
    <n v="1558000000"/>
  </r>
  <r>
    <s v="Latin America &amp; Caribbean (excluding high income)"/>
    <s v="LAC"/>
    <x v="14"/>
    <n v="0"/>
    <n v="1040000000"/>
    <x v="0"/>
    <x v="0"/>
    <n v="-1040000000"/>
    <n v="1040000000"/>
  </r>
  <r>
    <s v="Latin America &amp; the Caribbean (IDA &amp; IBRD countries)"/>
    <s v="TLA"/>
    <x v="14"/>
    <n v="0"/>
    <n v="1558000000"/>
    <x v="0"/>
    <x v="0"/>
    <n v="-1558000000"/>
    <n v="1558000000"/>
  </r>
  <r>
    <s v="Latvia"/>
    <s v="LVA"/>
    <x v="14"/>
    <n v="0"/>
    <n v="16000000"/>
    <x v="1"/>
    <x v="3"/>
    <n v="-16000000"/>
    <n v="16000000"/>
  </r>
  <r>
    <s v="Lebanon"/>
    <s v="LBN"/>
    <x v="14"/>
    <n v="0"/>
    <n v="64000000"/>
    <x v="2"/>
    <x v="2"/>
    <n v="-64000000"/>
    <n v="64000000"/>
  </r>
  <r>
    <s v="Libya"/>
    <s v="LBY"/>
    <x v="14"/>
    <n v="27000000"/>
    <n v="37000000"/>
    <x v="2"/>
    <x v="1"/>
    <n v="-10000000"/>
    <n v="64000000"/>
  </r>
  <r>
    <s v="Lithuania"/>
    <s v="LTU"/>
    <x v="14"/>
    <n v="0"/>
    <n v="8000000"/>
    <x v="1"/>
    <x v="3"/>
    <n v="-8000000"/>
    <n v="8000000"/>
  </r>
  <r>
    <s v="Low &amp; middle income"/>
    <s v="LMY"/>
    <x v="14"/>
    <n v="0"/>
    <n v="13598000000"/>
    <x v="0"/>
    <x v="0"/>
    <n v="-13598000000"/>
    <n v="13598000000"/>
  </r>
  <r>
    <s v="Low income"/>
    <s v="LIC"/>
    <x v="14"/>
    <n v="0"/>
    <n v="1541000000"/>
    <x v="0"/>
    <x v="0"/>
    <n v="-1541000000"/>
    <n v="1541000000"/>
  </r>
  <r>
    <s v="Lower middle income"/>
    <s v="LMC"/>
    <x v="14"/>
    <n v="0"/>
    <n v="7026000000"/>
    <x v="0"/>
    <x v="0"/>
    <n v="-7026000000"/>
    <n v="7026000000"/>
  </r>
  <r>
    <s v="Luxembourg"/>
    <s v="LUX"/>
    <x v="14"/>
    <n v="0"/>
    <n v="8000000"/>
    <x v="1"/>
    <x v="3"/>
    <n v="-8000000"/>
    <n v="8000000"/>
  </r>
  <r>
    <s v="Malaysia"/>
    <s v="MYS"/>
    <x v="14"/>
    <n v="0"/>
    <n v="213000000"/>
    <x v="5"/>
    <x v="1"/>
    <n v="-213000000"/>
    <n v="213000000"/>
  </r>
  <r>
    <s v="Maldives"/>
    <s v="MDV"/>
    <x v="14"/>
    <n v="0"/>
    <n v="5000000"/>
    <x v="6"/>
    <x v="1"/>
    <n v="-5000000"/>
    <n v="5000000"/>
  </r>
  <r>
    <s v="Mauritania"/>
    <s v="MRT"/>
    <x v="14"/>
    <n v="0"/>
    <n v="17000000"/>
    <x v="3"/>
    <x v="2"/>
    <n v="-17000000"/>
    <n v="17000000"/>
  </r>
  <r>
    <s v="Mexico"/>
    <s v="MEX"/>
    <x v="14"/>
    <n v="0"/>
    <n v="109000000"/>
    <x v="4"/>
    <x v="1"/>
    <n v="-109000000"/>
    <n v="109000000"/>
  </r>
  <r>
    <s v="Middle East, North Africa, Afghanistan &amp; Pakistan"/>
    <s v="MEA"/>
    <x v="14"/>
    <n v="0"/>
    <n v="7993000000"/>
    <x v="0"/>
    <x v="0"/>
    <n v="-7993000000"/>
    <n v="7993000000"/>
  </r>
  <r>
    <s v="Middle East, North Africa, Afghanistan &amp; Pakistan (excluding high income)"/>
    <s v="MNA"/>
    <x v="14"/>
    <n v="0"/>
    <n v="5912000000"/>
    <x v="0"/>
    <x v="0"/>
    <n v="-5912000000"/>
    <n v="5912000000"/>
  </r>
  <r>
    <s v="Middle East, North Africa, Afghanistan &amp; Pakistan (IDA &amp; IBRD)"/>
    <s v="TMN"/>
    <x v="14"/>
    <n v="0"/>
    <n v="5907000000"/>
    <x v="0"/>
    <x v="0"/>
    <n v="-5907000000"/>
    <n v="5907000000"/>
  </r>
  <r>
    <s v="Middle income"/>
    <s v="MIC"/>
    <x v="14"/>
    <n v="0"/>
    <n v="12057000000"/>
    <x v="0"/>
    <x v="0"/>
    <n v="-12057000000"/>
    <n v="12057000000"/>
  </r>
  <r>
    <s v="Mongolia"/>
    <s v="MNG"/>
    <x v="14"/>
    <n v="0"/>
    <n v="64000000"/>
    <x v="5"/>
    <x v="1"/>
    <n v="-64000000"/>
    <n v="64000000"/>
  </r>
  <r>
    <s v="Montenegro"/>
    <s v="MNE"/>
    <x v="14"/>
    <n v="18000000"/>
    <n v="0"/>
    <x v="1"/>
    <x v="1"/>
    <n v="18000000"/>
    <n v="18000000"/>
  </r>
  <r>
    <s v="Morocco"/>
    <s v="MAR"/>
    <x v="14"/>
    <n v="0"/>
    <n v="347000000"/>
    <x v="2"/>
    <x v="2"/>
    <n v="-347000000"/>
    <n v="347000000"/>
  </r>
  <r>
    <s v="Myanmar"/>
    <s v="MMR"/>
    <x v="14"/>
    <n v="0"/>
    <n v="62000000"/>
    <x v="5"/>
    <x v="2"/>
    <n v="-62000000"/>
    <n v="62000000"/>
  </r>
  <r>
    <s v="Namibia"/>
    <s v="NAM"/>
    <x v="14"/>
    <n v="0"/>
    <n v="3000000"/>
    <x v="3"/>
    <x v="2"/>
    <n v="-3000000"/>
    <n v="3000000"/>
  </r>
  <r>
    <s v="Netherlands"/>
    <s v="NLD"/>
    <x v="14"/>
    <n v="366000000"/>
    <n v="171000000"/>
    <x v="1"/>
    <x v="3"/>
    <n v="195000000"/>
    <n v="537000000"/>
  </r>
  <r>
    <s v="New Zealand"/>
    <s v="NZL"/>
    <x v="14"/>
    <n v="0"/>
    <n v="78000000"/>
    <x v="5"/>
    <x v="3"/>
    <n v="-78000000"/>
    <n v="78000000"/>
  </r>
  <r>
    <s v="Nigeria"/>
    <s v="NGA"/>
    <x v="14"/>
    <n v="0"/>
    <n v="223000000"/>
    <x v="3"/>
    <x v="2"/>
    <n v="-223000000"/>
    <n v="223000000"/>
  </r>
  <r>
    <s v="North America"/>
    <s v="NAC"/>
    <x v="14"/>
    <n v="8550000000"/>
    <n v="1211000000"/>
    <x v="0"/>
    <x v="0"/>
    <n v="7339000000"/>
    <n v="9761000000"/>
  </r>
  <r>
    <s v="Norway"/>
    <s v="NOR"/>
    <x v="14"/>
    <n v="0"/>
    <n v="150000000"/>
    <x v="1"/>
    <x v="3"/>
    <n v="-150000000"/>
    <n v="150000000"/>
  </r>
  <r>
    <s v="OECD members"/>
    <s v="OED"/>
    <x v="14"/>
    <n v="16391000000"/>
    <n v="9754000000"/>
    <x v="0"/>
    <x v="0"/>
    <n v="6637000000"/>
    <n v="26145000000"/>
  </r>
  <r>
    <s v="Oman"/>
    <s v="OMN"/>
    <x v="14"/>
    <n v="0"/>
    <n v="31000000"/>
    <x v="2"/>
    <x v="3"/>
    <n v="-31000000"/>
    <n v="31000000"/>
  </r>
  <r>
    <s v="Pakistan"/>
    <s v="PAK"/>
    <x v="14"/>
    <n v="0"/>
    <n v="2232000000"/>
    <x v="2"/>
    <x v="2"/>
    <n v="-2232000000"/>
    <n v="2232000000"/>
  </r>
  <r>
    <s v="Paraguay"/>
    <s v="PRY"/>
    <x v="14"/>
    <n v="0"/>
    <n v="3000000"/>
    <x v="4"/>
    <x v="1"/>
    <n v="-3000000"/>
    <n v="3000000"/>
  </r>
  <r>
    <s v="Peru"/>
    <s v="PER"/>
    <x v="14"/>
    <n v="0"/>
    <n v="46000000"/>
    <x v="4"/>
    <x v="1"/>
    <n v="-46000000"/>
    <n v="46000000"/>
  </r>
  <r>
    <s v="Philippines"/>
    <s v="PHL"/>
    <x v="14"/>
    <n v="0"/>
    <n v="3000000"/>
    <x v="5"/>
    <x v="1"/>
    <n v="-3000000"/>
    <n v="3000000"/>
  </r>
  <r>
    <s v="Poland"/>
    <s v="POL"/>
    <x v="14"/>
    <n v="28000000"/>
    <n v="174000000"/>
    <x v="1"/>
    <x v="3"/>
    <n v="-146000000"/>
    <n v="202000000"/>
  </r>
  <r>
    <s v="Portugal"/>
    <s v="PRT"/>
    <x v="14"/>
    <n v="0"/>
    <n v="891000000"/>
    <x v="1"/>
    <x v="3"/>
    <n v="-891000000"/>
    <n v="891000000"/>
  </r>
  <r>
    <s v="Post-demographic dividend"/>
    <s v="PST"/>
    <x v="14"/>
    <n v="16263000000"/>
    <n v="9106000000"/>
    <x v="0"/>
    <x v="0"/>
    <n v="7157000000"/>
    <n v="25369000000"/>
  </r>
  <r>
    <s v="Pre-demographic dividend"/>
    <s v="PRE"/>
    <x v="14"/>
    <n v="0"/>
    <n v="1690000000"/>
    <x v="0"/>
    <x v="0"/>
    <n v="-1690000000"/>
    <n v="1690000000"/>
  </r>
  <r>
    <s v="Qatar"/>
    <s v="QAT"/>
    <x v="14"/>
    <n v="0"/>
    <n v="30000000"/>
    <x v="2"/>
    <x v="3"/>
    <n v="-30000000"/>
    <n v="30000000"/>
  </r>
  <r>
    <s v="Romania"/>
    <s v="ROU"/>
    <x v="14"/>
    <n v="1000000"/>
    <n v="107000000"/>
    <x v="1"/>
    <x v="3"/>
    <n v="-106000000"/>
    <n v="108000000"/>
  </r>
  <r>
    <s v="Russian Federation"/>
    <s v="RUS"/>
    <x v="14"/>
    <n v="6227000000"/>
    <n v="25000000"/>
    <x v="1"/>
    <x v="3"/>
    <n v="6202000000"/>
    <n v="6252000000"/>
  </r>
  <r>
    <s v="Saudi Arabia"/>
    <s v="SAU"/>
    <x v="14"/>
    <n v="1000000"/>
    <n v="1109000000"/>
    <x v="2"/>
    <x v="3"/>
    <n v="-1108000000"/>
    <n v="1110000000"/>
  </r>
  <r>
    <s v="Senegal"/>
    <s v="SEN"/>
    <x v="14"/>
    <n v="0"/>
    <n v="4000000"/>
    <x v="3"/>
    <x v="2"/>
    <n v="-4000000"/>
    <n v="4000000"/>
  </r>
  <r>
    <s v="Serbia"/>
    <s v="SRB"/>
    <x v="14"/>
    <n v="31000000"/>
    <n v="16000000"/>
    <x v="1"/>
    <x v="1"/>
    <n v="15000000"/>
    <n v="47000000"/>
  </r>
  <r>
    <s v="Singapore"/>
    <s v="SGP"/>
    <x v="14"/>
    <n v="32000000"/>
    <n v="937000000"/>
    <x v="5"/>
    <x v="3"/>
    <n v="-905000000"/>
    <n v="969000000"/>
  </r>
  <r>
    <s v="Slovak Republic"/>
    <s v="SVK"/>
    <x v="14"/>
    <n v="0"/>
    <n v="9000000"/>
    <x v="1"/>
    <x v="3"/>
    <n v="-9000000"/>
    <n v="9000000"/>
  </r>
  <r>
    <s v="Slovenia"/>
    <s v="SVN"/>
    <x v="14"/>
    <n v="0"/>
    <n v="40000000"/>
    <x v="1"/>
    <x v="3"/>
    <n v="-40000000"/>
    <n v="40000000"/>
  </r>
  <r>
    <s v="South Africa"/>
    <s v="ZAF"/>
    <x v="14"/>
    <n v="250000000"/>
    <n v="178000000"/>
    <x v="3"/>
    <x v="1"/>
    <n v="72000000"/>
    <n v="428000000"/>
  </r>
  <r>
    <s v="South Asia"/>
    <s v="SAS"/>
    <x v="14"/>
    <n v="5000000"/>
    <n v="2943000000"/>
    <x v="0"/>
    <x v="0"/>
    <n v="-2938000000"/>
    <n v="2948000000"/>
  </r>
  <r>
    <s v="South Asia (IDA &amp; IBRD)"/>
    <s v="TSA"/>
    <x v="14"/>
    <n v="5000000"/>
    <n v="2943000000"/>
    <x v="0"/>
    <x v="0"/>
    <n v="-2938000000"/>
    <n v="2948000000"/>
  </r>
  <r>
    <s v="South Sudan"/>
    <s v="SSD"/>
    <x v="14"/>
    <n v="0"/>
    <n v="2000000"/>
    <x v="3"/>
    <x v="4"/>
    <n v="-2000000"/>
    <n v="2000000"/>
  </r>
  <r>
    <s v="Spain"/>
    <s v="ESP"/>
    <x v="14"/>
    <n v="273000000"/>
    <n v="272000000"/>
    <x v="1"/>
    <x v="3"/>
    <n v="1000000"/>
    <n v="545000000"/>
  </r>
  <r>
    <s v="Sri Lanka"/>
    <s v="LKA"/>
    <x v="14"/>
    <n v="0"/>
    <n v="5000000"/>
    <x v="6"/>
    <x v="1"/>
    <n v="-5000000"/>
    <n v="5000000"/>
  </r>
  <r>
    <s v="Sub-Saharan Africa"/>
    <s v="SSF"/>
    <x v="14"/>
    <n v="0"/>
    <n v="1105000000"/>
    <x v="0"/>
    <x v="0"/>
    <n v="-1105000000"/>
    <n v="1105000000"/>
  </r>
  <r>
    <s v="Sub-Saharan Africa (excluding high income)"/>
    <s v="SSA"/>
    <x v="14"/>
    <n v="0"/>
    <n v="1105000000"/>
    <x v="0"/>
    <x v="0"/>
    <n v="-1105000000"/>
    <n v="1105000000"/>
  </r>
  <r>
    <s v="Sub-Saharan Africa (IDA &amp; IBRD countries)"/>
    <s v="TSS"/>
    <x v="14"/>
    <n v="0"/>
    <n v="1105000000"/>
    <x v="0"/>
    <x v="0"/>
    <n v="-1105000000"/>
    <n v="1105000000"/>
  </r>
  <r>
    <s v="Sudan"/>
    <s v="SDN"/>
    <x v="14"/>
    <n v="0"/>
    <n v="196000000"/>
    <x v="3"/>
    <x v="4"/>
    <n v="-196000000"/>
    <n v="196000000"/>
  </r>
  <r>
    <s v="Sweden"/>
    <s v="SWE"/>
    <x v="14"/>
    <n v="612000000"/>
    <n v="0"/>
    <x v="1"/>
    <x v="3"/>
    <n v="612000000"/>
    <n v="612000000"/>
  </r>
  <r>
    <s v="Switzerland"/>
    <s v="CHE"/>
    <x v="14"/>
    <n v="285000000"/>
    <n v="38000000"/>
    <x v="1"/>
    <x v="3"/>
    <n v="247000000"/>
    <n v="323000000"/>
  </r>
  <r>
    <s v="Syrian Arab Republic"/>
    <s v="SYR"/>
    <x v="14"/>
    <n v="30000000"/>
    <n v="420000000"/>
    <x v="2"/>
    <x v="4"/>
    <n v="-390000000"/>
    <n v="450000000"/>
  </r>
  <r>
    <s v="Thailand"/>
    <s v="THA"/>
    <x v="14"/>
    <n v="0"/>
    <n v="60000000"/>
    <x v="5"/>
    <x v="1"/>
    <n v="-60000000"/>
    <n v="60000000"/>
  </r>
  <r>
    <s v="Timor-Leste"/>
    <s v="TLS"/>
    <x v="14"/>
    <n v="0"/>
    <n v="18000000"/>
    <x v="5"/>
    <x v="2"/>
    <n v="-18000000"/>
    <n v="18000000"/>
  </r>
  <r>
    <s v="Togo"/>
    <s v="TGO"/>
    <x v="14"/>
    <n v="0"/>
    <n v="1000000"/>
    <x v="3"/>
    <x v="2"/>
    <n v="-1000000"/>
    <n v="1000000"/>
  </r>
  <r>
    <s v="Trinidad and Tobago"/>
    <s v="TTO"/>
    <x v="14"/>
    <n v="0"/>
    <n v="24000000"/>
    <x v="4"/>
    <x v="3"/>
    <n v="-24000000"/>
    <n v="24000000"/>
  </r>
  <r>
    <s v="Tunisia"/>
    <s v="TUN"/>
    <x v="14"/>
    <n v="0"/>
    <n v="7000000"/>
    <x v="2"/>
    <x v="2"/>
    <n v="-7000000"/>
    <n v="7000000"/>
  </r>
  <r>
    <s v="Turkiye"/>
    <s v="TUR"/>
    <x v="14"/>
    <n v="79000000"/>
    <n v="469000000"/>
    <x v="1"/>
    <x v="1"/>
    <n v="-390000000"/>
    <n v="548000000"/>
  </r>
  <r>
    <s v="Turkmenistan"/>
    <s v="TKM"/>
    <x v="14"/>
    <n v="0"/>
    <n v="32000000"/>
    <x v="1"/>
    <x v="1"/>
    <n v="-32000000"/>
    <n v="32000000"/>
  </r>
  <r>
    <s v="Uganda"/>
    <s v="UGA"/>
    <x v="14"/>
    <n v="0"/>
    <n v="37000000"/>
    <x v="3"/>
    <x v="4"/>
    <n v="-37000000"/>
    <n v="37000000"/>
  </r>
  <r>
    <s v="Ukraine"/>
    <s v="UKR"/>
    <x v="14"/>
    <n v="519000000"/>
    <n v="0"/>
    <x v="1"/>
    <x v="1"/>
    <n v="519000000"/>
    <n v="519000000"/>
  </r>
  <r>
    <s v="United Arab Emirates"/>
    <s v="ARE"/>
    <x v="14"/>
    <n v="39000000"/>
    <n v="650000000"/>
    <x v="2"/>
    <x v="3"/>
    <n v="-611000000"/>
    <n v="689000000"/>
  </r>
  <r>
    <s v="United Kingdom"/>
    <s v="GBR"/>
    <x v="14"/>
    <n v="1146000000"/>
    <n v="461000000"/>
    <x v="1"/>
    <x v="3"/>
    <n v="685000000"/>
    <n v="1607000000"/>
  </r>
  <r>
    <s v="United States"/>
    <s v="USA"/>
    <x v="14"/>
    <n v="8354000000"/>
    <n v="969000000"/>
    <x v="7"/>
    <x v="3"/>
    <n v="7385000000"/>
    <n v="9323000000"/>
  </r>
  <r>
    <s v="Upper middle income"/>
    <s v="UMC"/>
    <x v="14"/>
    <n v="0"/>
    <n v="5031000000"/>
    <x v="0"/>
    <x v="0"/>
    <n v="-5031000000"/>
    <n v="5031000000"/>
  </r>
  <r>
    <s v="Uruguay"/>
    <s v="URY"/>
    <x v="14"/>
    <n v="0"/>
    <n v="20000000"/>
    <x v="4"/>
    <x v="3"/>
    <n v="-20000000"/>
    <n v="20000000"/>
  </r>
  <r>
    <s v="Uzbekistan"/>
    <s v="UZB"/>
    <x v="14"/>
    <n v="209000000"/>
    <n v="30000000"/>
    <x v="1"/>
    <x v="2"/>
    <n v="179000000"/>
    <n v="239000000"/>
  </r>
  <r>
    <s v="Venezuela, RB"/>
    <s v="VEN"/>
    <x v="14"/>
    <n v="0"/>
    <n v="211000000"/>
    <x v="4"/>
    <x v="2"/>
    <n v="-211000000"/>
    <n v="211000000"/>
  </r>
  <r>
    <s v="Viet Nam"/>
    <s v="VNM"/>
    <x v="14"/>
    <n v="0"/>
    <n v="161000000"/>
    <x v="5"/>
    <x v="1"/>
    <n v="-161000000"/>
    <n v="161000000"/>
  </r>
  <r>
    <s v="West Bank and Gaza"/>
    <s v="PSE"/>
    <x v="14"/>
    <n v="0"/>
    <n v="5000000"/>
    <x v="2"/>
    <x v="2"/>
    <n v="-5000000"/>
    <n v="5000000"/>
  </r>
  <r>
    <s v="World"/>
    <s v="WLD"/>
    <x v="14"/>
    <n v="25832000000"/>
    <n v="25799000000"/>
    <x v="0"/>
    <x v="0"/>
    <n v="33000000"/>
    <n v="51631000000"/>
  </r>
  <r>
    <s v="Yemen, Rep."/>
    <s v="YEM"/>
    <x v="14"/>
    <n v="0"/>
    <n v="261000000"/>
    <x v="2"/>
    <x v="4"/>
    <n v="-261000000"/>
    <n v="261000000"/>
  </r>
  <r>
    <s v="Afghanistan"/>
    <s v="AFG"/>
    <x v="15"/>
    <n v="0"/>
    <n v="326000000"/>
    <x v="2"/>
    <x v="4"/>
    <n v="-326000000"/>
    <n v="326000000"/>
  </r>
  <r>
    <s v="Africa Eastern and Southern"/>
    <s v="AFE"/>
    <x v="15"/>
    <n v="0"/>
    <n v="420000000"/>
    <x v="0"/>
    <x v="0"/>
    <n v="-420000000"/>
    <n v="420000000"/>
  </r>
  <r>
    <s v="Africa Western and Central"/>
    <s v="AFW"/>
    <x v="15"/>
    <n v="0"/>
    <n v="219000000"/>
    <x v="0"/>
    <x v="0"/>
    <n v="-219000000"/>
    <n v="219000000"/>
  </r>
  <r>
    <s v="Algeria"/>
    <s v="DZA"/>
    <x v="15"/>
    <n v="0"/>
    <n v="1076000000"/>
    <x v="2"/>
    <x v="1"/>
    <n v="-1076000000"/>
    <n v="1076000000"/>
  </r>
  <r>
    <s v="Angola"/>
    <s v="AGO"/>
    <x v="15"/>
    <n v="0"/>
    <n v="20000000"/>
    <x v="3"/>
    <x v="2"/>
    <n v="-20000000"/>
    <n v="20000000"/>
  </r>
  <r>
    <s v="Arab World"/>
    <s v="ARB"/>
    <x v="15"/>
    <n v="0"/>
    <n v="4126000000"/>
    <x v="0"/>
    <x v="0"/>
    <n v="-4126000000"/>
    <n v="4126000000"/>
  </r>
  <r>
    <s v="Argentina"/>
    <s v="ARG"/>
    <x v="15"/>
    <n v="0"/>
    <n v="15000000"/>
    <x v="4"/>
    <x v="1"/>
    <n v="-15000000"/>
    <n v="15000000"/>
  </r>
  <r>
    <s v="Armenia"/>
    <s v="ARM"/>
    <x v="15"/>
    <n v="0"/>
    <n v="46000000"/>
    <x v="1"/>
    <x v="1"/>
    <n v="-46000000"/>
    <n v="46000000"/>
  </r>
  <r>
    <s v="Australia"/>
    <s v="AUS"/>
    <x v="15"/>
    <n v="86000000"/>
    <n v="805000000"/>
    <x v="5"/>
    <x v="3"/>
    <n v="-719000000"/>
    <n v="891000000"/>
  </r>
  <r>
    <s v="Austria"/>
    <s v="AUT"/>
    <x v="15"/>
    <n v="50000000"/>
    <n v="286000000"/>
    <x v="1"/>
    <x v="3"/>
    <n v="-236000000"/>
    <n v="336000000"/>
  </r>
  <r>
    <s v="Azerbaijan"/>
    <s v="AZE"/>
    <x v="15"/>
    <n v="0"/>
    <n v="147000000"/>
    <x v="1"/>
    <x v="1"/>
    <n v="-147000000"/>
    <n v="147000000"/>
  </r>
  <r>
    <s v="Bahamas, The"/>
    <s v="BHS"/>
    <x v="15"/>
    <n v="0"/>
    <n v="1000000"/>
    <x v="4"/>
    <x v="3"/>
    <n v="-1000000"/>
    <n v="1000000"/>
  </r>
  <r>
    <s v="Barbados"/>
    <s v="BRB"/>
    <x v="15"/>
    <n v="0"/>
    <n v="10000000"/>
    <x v="4"/>
    <x v="3"/>
    <n v="-10000000"/>
    <n v="10000000"/>
  </r>
  <r>
    <s v="Belarus"/>
    <s v="BLR"/>
    <x v="15"/>
    <n v="41000000"/>
    <n v="3000000"/>
    <x v="1"/>
    <x v="1"/>
    <n v="38000000"/>
    <n v="44000000"/>
  </r>
  <r>
    <s v="Belgium"/>
    <s v="BEL"/>
    <x v="15"/>
    <n v="242000000"/>
    <n v="87000000"/>
    <x v="1"/>
    <x v="3"/>
    <n v="155000000"/>
    <n v="329000000"/>
  </r>
  <r>
    <s v="Benin"/>
    <s v="BEN"/>
    <x v="15"/>
    <n v="0"/>
    <n v="1000000"/>
    <x v="3"/>
    <x v="2"/>
    <n v="-1000000"/>
    <n v="1000000"/>
  </r>
  <r>
    <s v="Bolivia"/>
    <s v="BOL"/>
    <x v="15"/>
    <n v="0"/>
    <n v="6000000"/>
    <x v="4"/>
    <x v="2"/>
    <n v="-6000000"/>
    <n v="6000000"/>
  </r>
  <r>
    <s v="Botswana"/>
    <s v="BWA"/>
    <x v="15"/>
    <n v="0"/>
    <n v="10000000"/>
    <x v="3"/>
    <x v="1"/>
    <n v="-10000000"/>
    <n v="10000000"/>
  </r>
  <r>
    <s v="Brazil"/>
    <s v="BRA"/>
    <x v="15"/>
    <n v="44000000"/>
    <n v="135000000"/>
    <x v="4"/>
    <x v="1"/>
    <n v="-91000000"/>
    <n v="179000000"/>
  </r>
  <r>
    <s v="Brunei Darussalam"/>
    <s v="BRN"/>
    <x v="15"/>
    <n v="0"/>
    <n v="33000000"/>
    <x v="5"/>
    <x v="3"/>
    <n v="-33000000"/>
    <n v="33000000"/>
  </r>
  <r>
    <s v="Bulgaria"/>
    <s v="BGR"/>
    <x v="15"/>
    <n v="16000000"/>
    <n v="119000000"/>
    <x v="1"/>
    <x v="3"/>
    <n v="-103000000"/>
    <n v="135000000"/>
  </r>
  <r>
    <s v="Burkina Faso"/>
    <s v="BFA"/>
    <x v="15"/>
    <n v="0"/>
    <n v="3000000"/>
    <x v="3"/>
    <x v="4"/>
    <n v="-3000000"/>
    <n v="3000000"/>
  </r>
  <r>
    <s v="Burundi"/>
    <s v="BDI"/>
    <x v="15"/>
    <n v="0"/>
    <n v="1000000"/>
    <x v="3"/>
    <x v="4"/>
    <n v="-1000000"/>
    <n v="1000000"/>
  </r>
  <r>
    <s v="Cabo Verde"/>
    <s v="CPV"/>
    <x v="15"/>
    <n v="0"/>
    <n v="2000000"/>
    <x v="3"/>
    <x v="1"/>
    <n v="-2000000"/>
    <n v="2000000"/>
  </r>
  <r>
    <s v="Cambodia"/>
    <s v="KHM"/>
    <x v="15"/>
    <n v="0"/>
    <n v="4000000"/>
    <x v="5"/>
    <x v="2"/>
    <n v="-4000000"/>
    <n v="4000000"/>
  </r>
  <r>
    <s v="Canada"/>
    <s v="CAN"/>
    <x v="15"/>
    <n v="198000000"/>
    <n v="104000000"/>
    <x v="7"/>
    <x v="3"/>
    <n v="94000000"/>
    <n v="302000000"/>
  </r>
  <r>
    <s v="Central Europe and the Baltics"/>
    <s v="CEB"/>
    <x v="15"/>
    <n v="0"/>
    <n v="505000000"/>
    <x v="0"/>
    <x v="0"/>
    <n v="-505000000"/>
    <n v="505000000"/>
  </r>
  <r>
    <s v="Chad"/>
    <s v="TCD"/>
    <x v="15"/>
    <n v="0"/>
    <n v="37000000"/>
    <x v="3"/>
    <x v="4"/>
    <n v="-37000000"/>
    <n v="37000000"/>
  </r>
  <r>
    <s v="Chile"/>
    <s v="CHL"/>
    <x v="15"/>
    <n v="0"/>
    <n v="329000000"/>
    <x v="4"/>
    <x v="3"/>
    <n v="-329000000"/>
    <n v="329000000"/>
  </r>
  <r>
    <s v="China"/>
    <s v="CHN"/>
    <x v="15"/>
    <n v="1138000000"/>
    <n v="1382000000"/>
    <x v="5"/>
    <x v="1"/>
    <n v="-244000000"/>
    <n v="2520000000"/>
  </r>
  <r>
    <s v="Colombia"/>
    <s v="COL"/>
    <x v="15"/>
    <n v="0"/>
    <n v="263000000"/>
    <x v="4"/>
    <x v="1"/>
    <n v="-263000000"/>
    <n v="263000000"/>
  </r>
  <r>
    <s v="Congo, Dem. Rep."/>
    <s v="COD"/>
    <x v="15"/>
    <n v="0"/>
    <n v="37000000"/>
    <x v="3"/>
    <x v="4"/>
    <n v="-37000000"/>
    <n v="37000000"/>
  </r>
  <r>
    <s v="Congo, Rep."/>
    <s v="COG"/>
    <x v="15"/>
    <n v="0"/>
    <n v="4000000"/>
    <x v="3"/>
    <x v="2"/>
    <n v="-4000000"/>
    <n v="4000000"/>
  </r>
  <r>
    <s v="Costa Rica"/>
    <s v="CRI"/>
    <x v="15"/>
    <n v="3000000"/>
    <n v="0"/>
    <x v="4"/>
    <x v="3"/>
    <n v="3000000"/>
    <n v="3000000"/>
  </r>
  <r>
    <s v="Croatia"/>
    <s v="HRV"/>
    <x v="15"/>
    <n v="0"/>
    <n v="4000000"/>
    <x v="1"/>
    <x v="3"/>
    <n v="-4000000"/>
    <n v="4000000"/>
  </r>
  <r>
    <s v="Czechia"/>
    <s v="CZE"/>
    <x v="15"/>
    <n v="24000000"/>
    <n v="26000000"/>
    <x v="1"/>
    <x v="3"/>
    <n v="-2000000"/>
    <n v="50000000"/>
  </r>
  <r>
    <s v="Denmark"/>
    <s v="DNK"/>
    <x v="15"/>
    <n v="10000000"/>
    <n v="134000000"/>
    <x v="1"/>
    <x v="3"/>
    <n v="-124000000"/>
    <n v="144000000"/>
  </r>
  <r>
    <s v="Dominican Republic"/>
    <s v="DOM"/>
    <x v="15"/>
    <n v="0"/>
    <n v="10000000"/>
    <x v="4"/>
    <x v="1"/>
    <n v="-10000000"/>
    <n v="10000000"/>
  </r>
  <r>
    <s v="Early-demographic dividend"/>
    <s v="EAR"/>
    <x v="15"/>
    <n v="0"/>
    <n v="8027000000"/>
    <x v="0"/>
    <x v="0"/>
    <n v="-8027000000"/>
    <n v="8027000000"/>
  </r>
  <r>
    <s v="East Asia &amp; Pacific"/>
    <s v="EAS"/>
    <x v="15"/>
    <n v="0"/>
    <n v="7454000000"/>
    <x v="0"/>
    <x v="0"/>
    <n v="-7454000000"/>
    <n v="7454000000"/>
  </r>
  <r>
    <s v="East Asia &amp; Pacific (excluding high income)"/>
    <s v="EAP"/>
    <x v="15"/>
    <n v="1161000000"/>
    <n v="3333000000"/>
    <x v="0"/>
    <x v="0"/>
    <n v="-2172000000"/>
    <n v="4494000000"/>
  </r>
  <r>
    <s v="East Asia &amp; Pacific (IDA &amp; IBRD countries)"/>
    <s v="TEA"/>
    <x v="15"/>
    <n v="1138000000"/>
    <n v="3329000000"/>
    <x v="0"/>
    <x v="0"/>
    <n v="-2191000000"/>
    <n v="4467000000"/>
  </r>
  <r>
    <s v="Ecuador"/>
    <s v="ECU"/>
    <x v="15"/>
    <n v="0"/>
    <n v="77000000"/>
    <x v="4"/>
    <x v="1"/>
    <n v="-77000000"/>
    <n v="77000000"/>
  </r>
  <r>
    <s v="Egypt, Arab Rep."/>
    <s v="EGY"/>
    <x v="15"/>
    <n v="0"/>
    <n v="95000000"/>
    <x v="2"/>
    <x v="2"/>
    <n v="-95000000"/>
    <n v="95000000"/>
  </r>
  <r>
    <s v="El Salvador"/>
    <s v="SLV"/>
    <x v="15"/>
    <n v="0"/>
    <n v="2000000"/>
    <x v="4"/>
    <x v="1"/>
    <n v="-2000000"/>
    <n v="2000000"/>
  </r>
  <r>
    <s v="Equatorial Guinea"/>
    <s v="GNQ"/>
    <x v="15"/>
    <n v="0"/>
    <n v="68000000"/>
    <x v="3"/>
    <x v="1"/>
    <n v="-68000000"/>
    <n v="68000000"/>
  </r>
  <r>
    <s v="Estonia"/>
    <s v="EST"/>
    <x v="15"/>
    <n v="0"/>
    <n v="42000000"/>
    <x v="1"/>
    <x v="3"/>
    <n v="-42000000"/>
    <n v="42000000"/>
  </r>
  <r>
    <s v="Euro area"/>
    <s v="EMU"/>
    <x v="15"/>
    <n v="6519000000"/>
    <n v="3213000000"/>
    <x v="0"/>
    <x v="0"/>
    <n v="3306000000"/>
    <n v="9732000000"/>
  </r>
  <r>
    <s v="Europe &amp; Central Asia"/>
    <s v="ECS"/>
    <x v="15"/>
    <n v="14299000000"/>
    <n v="5717000000"/>
    <x v="0"/>
    <x v="0"/>
    <n v="8582000000"/>
    <n v="20016000000"/>
  </r>
  <r>
    <s v="Europe &amp; Central Asia (excluding high income)"/>
    <s v="ECA"/>
    <x v="15"/>
    <n v="792000000"/>
    <n v="1079000000"/>
    <x v="0"/>
    <x v="0"/>
    <n v="-287000000"/>
    <n v="1871000000"/>
  </r>
  <r>
    <s v="Europe &amp; Central Asia (IDA &amp; IBRD countries)"/>
    <s v="TEC"/>
    <x v="15"/>
    <n v="6011000000"/>
    <n v="1462000000"/>
    <x v="0"/>
    <x v="0"/>
    <n v="4549000000"/>
    <n v="7473000000"/>
  </r>
  <r>
    <s v="European Union"/>
    <s v="EUU"/>
    <x v="15"/>
    <n v="7019000000"/>
    <n v="3644000000"/>
    <x v="0"/>
    <x v="0"/>
    <n v="3375000000"/>
    <n v="10663000000"/>
  </r>
  <r>
    <s v="Finland"/>
    <s v="FIN"/>
    <x v="15"/>
    <n v="68000000"/>
    <n v="37000000"/>
    <x v="1"/>
    <x v="3"/>
    <n v="31000000"/>
    <n v="105000000"/>
  </r>
  <r>
    <s v="Fragility, Conflict, and Violence (FCV) situations"/>
    <s v="FCV"/>
    <x v="15"/>
    <n v="0"/>
    <n v="1465000000"/>
    <x v="0"/>
    <x v="0"/>
    <n v="-1465000000"/>
    <n v="1465000000"/>
  </r>
  <r>
    <s v="France"/>
    <s v="FRA"/>
    <x v="15"/>
    <n v="1845000000"/>
    <n v="72000000"/>
    <x v="1"/>
    <x v="3"/>
    <n v="1773000000"/>
    <n v="1917000000"/>
  </r>
  <r>
    <s v="Gambia, The"/>
    <s v="GMB"/>
    <x v="15"/>
    <n v="0"/>
    <n v="16000000"/>
    <x v="3"/>
    <x v="4"/>
    <n v="-16000000"/>
    <n v="16000000"/>
  </r>
  <r>
    <s v="Georgia"/>
    <s v="GEO"/>
    <x v="15"/>
    <n v="0"/>
    <n v="38000000"/>
    <x v="1"/>
    <x v="1"/>
    <n v="-38000000"/>
    <n v="38000000"/>
  </r>
  <r>
    <s v="Germany"/>
    <s v="DEU"/>
    <x v="15"/>
    <n v="2207000000"/>
    <n v="329000000"/>
    <x v="1"/>
    <x v="3"/>
    <n v="1878000000"/>
    <n v="2536000000"/>
  </r>
  <r>
    <s v="Ghana"/>
    <s v="GHA"/>
    <x v="15"/>
    <n v="0"/>
    <n v="6000000"/>
    <x v="3"/>
    <x v="2"/>
    <n v="-6000000"/>
    <n v="6000000"/>
  </r>
  <r>
    <s v="Greece"/>
    <s v="GRC"/>
    <x v="15"/>
    <n v="0"/>
    <n v="1216000000"/>
    <x v="1"/>
    <x v="3"/>
    <n v="-1216000000"/>
    <n v="1216000000"/>
  </r>
  <r>
    <s v="High income"/>
    <s v="HIC"/>
    <x v="15"/>
    <n v="22073000000"/>
    <n v="12154000000"/>
    <x v="0"/>
    <x v="0"/>
    <n v="9919000000"/>
    <n v="34227000000"/>
  </r>
  <r>
    <s v="Hungary"/>
    <s v="HUN"/>
    <x v="15"/>
    <n v="0"/>
    <n v="4000000"/>
    <x v="1"/>
    <x v="3"/>
    <n v="-4000000"/>
    <n v="4000000"/>
  </r>
  <r>
    <s v="IBRD only"/>
    <s v="IBD"/>
    <x v="15"/>
    <n v="0"/>
    <n v="10235000000"/>
    <x v="0"/>
    <x v="0"/>
    <n v="-10235000000"/>
    <n v="10235000000"/>
  </r>
  <r>
    <s v="IDA &amp; IBRD total"/>
    <s v="IBT"/>
    <x v="15"/>
    <n v="0"/>
    <n v="12571000000"/>
    <x v="0"/>
    <x v="0"/>
    <n v="-12571000000"/>
    <n v="12571000000"/>
  </r>
  <r>
    <s v="IDA blend"/>
    <s v="IDB"/>
    <x v="15"/>
    <n v="0"/>
    <n v="1300000000"/>
    <x v="0"/>
    <x v="0"/>
    <n v="-1300000000"/>
    <n v="1300000000"/>
  </r>
  <r>
    <s v="India"/>
    <s v="IND"/>
    <x v="15"/>
    <n v="27000000"/>
    <n v="1958000000"/>
    <x v="6"/>
    <x v="2"/>
    <n v="-1931000000"/>
    <n v="1985000000"/>
  </r>
  <r>
    <s v="Indonesia"/>
    <s v="IDN"/>
    <x v="15"/>
    <n v="0"/>
    <n v="443000000"/>
    <x v="5"/>
    <x v="1"/>
    <n v="-443000000"/>
    <n v="443000000"/>
  </r>
  <r>
    <s v="Iran, Islamic Rep."/>
    <s v="IRN"/>
    <x v="15"/>
    <n v="99000000"/>
    <n v="92000000"/>
    <x v="2"/>
    <x v="1"/>
    <n v="7000000"/>
    <n v="191000000"/>
  </r>
  <r>
    <s v="Iraq"/>
    <s v="IRQ"/>
    <x v="15"/>
    <n v="0"/>
    <n v="418000000"/>
    <x v="2"/>
    <x v="1"/>
    <n v="-418000000"/>
    <n v="418000000"/>
  </r>
  <r>
    <s v="Ireland"/>
    <s v="IRL"/>
    <x v="15"/>
    <n v="45000000"/>
    <n v="0"/>
    <x v="1"/>
    <x v="3"/>
    <n v="45000000"/>
    <n v="45000000"/>
  </r>
  <r>
    <s v="Israel"/>
    <s v="ISR"/>
    <x v="15"/>
    <n v="819000000"/>
    <n v="162000000"/>
    <x v="2"/>
    <x v="3"/>
    <n v="657000000"/>
    <n v="981000000"/>
  </r>
  <r>
    <s v="Italy"/>
    <s v="ITA"/>
    <x v="15"/>
    <n v="512000000"/>
    <n v="94000000"/>
    <x v="1"/>
    <x v="3"/>
    <n v="418000000"/>
    <n v="606000000"/>
  </r>
  <r>
    <s v="Japan"/>
    <s v="JPN"/>
    <x v="15"/>
    <n v="0"/>
    <n v="990000000"/>
    <x v="5"/>
    <x v="3"/>
    <n v="-990000000"/>
    <n v="990000000"/>
  </r>
  <r>
    <s v="Jordan"/>
    <s v="JOR"/>
    <x v="15"/>
    <n v="28000000"/>
    <n v="230000000"/>
    <x v="2"/>
    <x v="1"/>
    <n v="-202000000"/>
    <n v="258000000"/>
  </r>
  <r>
    <s v="Kazakhstan"/>
    <s v="KAZ"/>
    <x v="15"/>
    <n v="0"/>
    <n v="53000000"/>
    <x v="1"/>
    <x v="1"/>
    <n v="-53000000"/>
    <n v="53000000"/>
  </r>
  <r>
    <s v="Kenya"/>
    <s v="KEN"/>
    <x v="15"/>
    <n v="0"/>
    <n v="34000000"/>
    <x v="3"/>
    <x v="2"/>
    <n v="-34000000"/>
    <n v="34000000"/>
  </r>
  <r>
    <s v="Korea, Dem. People's Rep."/>
    <s v="PRK"/>
    <x v="15"/>
    <n v="23000000"/>
    <n v="4000000"/>
    <x v="5"/>
    <x v="4"/>
    <n v="19000000"/>
    <n v="27000000"/>
  </r>
  <r>
    <s v="Korea, Rep."/>
    <s v="KOR"/>
    <x v="15"/>
    <n v="224000000"/>
    <n v="798000000"/>
    <x v="5"/>
    <x v="3"/>
    <n v="-574000000"/>
    <n v="1022000000"/>
  </r>
  <r>
    <s v="Kuwait"/>
    <s v="KWT"/>
    <x v="15"/>
    <n v="0"/>
    <n v="8000000"/>
    <x v="2"/>
    <x v="3"/>
    <n v="-8000000"/>
    <n v="8000000"/>
  </r>
  <r>
    <s v="Lao PDR"/>
    <s v="LAO"/>
    <x v="15"/>
    <n v="0"/>
    <n v="26000000"/>
    <x v="5"/>
    <x v="2"/>
    <n v="-26000000"/>
    <n v="26000000"/>
  </r>
  <r>
    <s v="Late-demographic dividend"/>
    <s v="LTE"/>
    <x v="15"/>
    <n v="6510000000"/>
    <n v="5302000000"/>
    <x v="0"/>
    <x v="0"/>
    <n v="1208000000"/>
    <n v="11812000000"/>
  </r>
  <r>
    <s v="Latin America &amp; Caribbean"/>
    <s v="LCN"/>
    <x v="15"/>
    <n v="0"/>
    <n v="1360000000"/>
    <x v="0"/>
    <x v="0"/>
    <n v="-1360000000"/>
    <n v="1360000000"/>
  </r>
  <r>
    <s v="Latin America &amp; Caribbean (excluding high income)"/>
    <s v="LAC"/>
    <x v="15"/>
    <n v="0"/>
    <n v="991000000"/>
    <x v="0"/>
    <x v="0"/>
    <n v="-991000000"/>
    <n v="991000000"/>
  </r>
  <r>
    <s v="Latin America &amp; the Caribbean (IDA &amp; IBRD countries)"/>
    <s v="TLA"/>
    <x v="15"/>
    <n v="0"/>
    <n v="1359000000"/>
    <x v="0"/>
    <x v="0"/>
    <n v="-1359000000"/>
    <n v="1359000000"/>
  </r>
  <r>
    <s v="Latvia"/>
    <s v="LVA"/>
    <x v="15"/>
    <n v="0"/>
    <n v="11000000"/>
    <x v="1"/>
    <x v="3"/>
    <n v="-11000000"/>
    <n v="11000000"/>
  </r>
  <r>
    <s v="Lebanon"/>
    <s v="LBN"/>
    <x v="15"/>
    <n v="0"/>
    <n v="52000000"/>
    <x v="2"/>
    <x v="2"/>
    <n v="-52000000"/>
    <n v="52000000"/>
  </r>
  <r>
    <s v="Libya"/>
    <s v="LBY"/>
    <x v="15"/>
    <n v="32000000"/>
    <n v="22000000"/>
    <x v="2"/>
    <x v="1"/>
    <n v="10000000"/>
    <n v="54000000"/>
  </r>
  <r>
    <s v="Lithuania"/>
    <s v="LTU"/>
    <x v="15"/>
    <n v="0"/>
    <n v="27000000"/>
    <x v="1"/>
    <x v="3"/>
    <n v="-27000000"/>
    <n v="27000000"/>
  </r>
  <r>
    <s v="Low &amp; middle income"/>
    <s v="LMY"/>
    <x v="15"/>
    <n v="0"/>
    <n v="11839000000"/>
    <x v="0"/>
    <x v="0"/>
    <n v="-11839000000"/>
    <n v="11839000000"/>
  </r>
  <r>
    <s v="Low income"/>
    <s v="LIC"/>
    <x v="15"/>
    <n v="0"/>
    <n v="833000000"/>
    <x v="0"/>
    <x v="0"/>
    <n v="-833000000"/>
    <n v="833000000"/>
  </r>
  <r>
    <s v="Lower middle income"/>
    <s v="LMC"/>
    <x v="15"/>
    <n v="0"/>
    <n v="4050000000"/>
    <x v="0"/>
    <x v="0"/>
    <n v="-4050000000"/>
    <n v="4050000000"/>
  </r>
  <r>
    <s v="Luxembourg"/>
    <s v="LUX"/>
    <x v="15"/>
    <n v="0"/>
    <n v="8000000"/>
    <x v="1"/>
    <x v="3"/>
    <n v="-8000000"/>
    <n v="8000000"/>
  </r>
  <r>
    <s v="Malaysia"/>
    <s v="MYS"/>
    <x v="15"/>
    <n v="0"/>
    <n v="1284000000"/>
    <x v="5"/>
    <x v="1"/>
    <n v="-1284000000"/>
    <n v="1284000000"/>
  </r>
  <r>
    <s v="Mali"/>
    <s v="MLI"/>
    <x v="15"/>
    <n v="0"/>
    <n v="10000000"/>
    <x v="3"/>
    <x v="4"/>
    <n v="-10000000"/>
    <n v="10000000"/>
  </r>
  <r>
    <s v="Mexico"/>
    <s v="MEX"/>
    <x v="15"/>
    <n v="0"/>
    <n v="59000000"/>
    <x v="4"/>
    <x v="1"/>
    <n v="-59000000"/>
    <n v="59000000"/>
  </r>
  <r>
    <s v="Middle East, North Africa, Afghanistan &amp; Pakistan"/>
    <s v="MEA"/>
    <x v="15"/>
    <n v="0"/>
    <n v="5801000000"/>
    <x v="0"/>
    <x v="0"/>
    <n v="-5801000000"/>
    <n v="5801000000"/>
  </r>
  <r>
    <s v="Middle East, North Africa, Afghanistan &amp; Pakistan (excluding high income)"/>
    <s v="MNA"/>
    <x v="15"/>
    <n v="0"/>
    <n v="3818000000"/>
    <x v="0"/>
    <x v="0"/>
    <n v="-3818000000"/>
    <n v="3818000000"/>
  </r>
  <r>
    <s v="Middle East, North Africa, Afghanistan &amp; Pakistan (IDA &amp; IBRD)"/>
    <s v="TMN"/>
    <x v="15"/>
    <n v="0"/>
    <n v="3803000000"/>
    <x v="0"/>
    <x v="0"/>
    <n v="-3803000000"/>
    <n v="3803000000"/>
  </r>
  <r>
    <s v="Middle income"/>
    <s v="MIC"/>
    <x v="15"/>
    <n v="0"/>
    <n v="11006000000"/>
    <x v="0"/>
    <x v="0"/>
    <n v="-11006000000"/>
    <n v="11006000000"/>
  </r>
  <r>
    <s v="Moldova"/>
    <s v="MDA"/>
    <x v="15"/>
    <n v="20000000"/>
    <n v="0"/>
    <x v="1"/>
    <x v="1"/>
    <n v="20000000"/>
    <n v="20000000"/>
  </r>
  <r>
    <s v="Morocco"/>
    <s v="MAR"/>
    <x v="15"/>
    <n v="0"/>
    <n v="39000000"/>
    <x v="2"/>
    <x v="2"/>
    <n v="-39000000"/>
    <n v="39000000"/>
  </r>
  <r>
    <s v="Myanmar"/>
    <s v="MMR"/>
    <x v="15"/>
    <n v="0"/>
    <n v="65000000"/>
    <x v="5"/>
    <x v="2"/>
    <n v="-65000000"/>
    <n v="65000000"/>
  </r>
  <r>
    <s v="Namibia"/>
    <s v="NAM"/>
    <x v="15"/>
    <n v="0"/>
    <n v="15000000"/>
    <x v="3"/>
    <x v="2"/>
    <n v="-15000000"/>
    <n v="15000000"/>
  </r>
  <r>
    <s v="Netherlands"/>
    <s v="NLD"/>
    <x v="15"/>
    <n v="504000000"/>
    <n v="262000000"/>
    <x v="1"/>
    <x v="3"/>
    <n v="242000000"/>
    <n v="766000000"/>
  </r>
  <r>
    <s v="New Zealand"/>
    <s v="NZL"/>
    <x v="15"/>
    <n v="0"/>
    <n v="56000000"/>
    <x v="5"/>
    <x v="3"/>
    <n v="-56000000"/>
    <n v="56000000"/>
  </r>
  <r>
    <s v="Nicaragua"/>
    <s v="NIC"/>
    <x v="15"/>
    <n v="0"/>
    <n v="15000000"/>
    <x v="4"/>
    <x v="2"/>
    <n v="-15000000"/>
    <n v="15000000"/>
  </r>
  <r>
    <s v="Niger"/>
    <s v="NER"/>
    <x v="15"/>
    <n v="0"/>
    <n v="1000000"/>
    <x v="3"/>
    <x v="4"/>
    <n v="-1000000"/>
    <n v="1000000"/>
  </r>
  <r>
    <s v="Nigeria"/>
    <s v="NGA"/>
    <x v="15"/>
    <n v="0"/>
    <n v="65000000"/>
    <x v="3"/>
    <x v="2"/>
    <n v="-65000000"/>
    <n v="65000000"/>
  </r>
  <r>
    <s v="North America"/>
    <s v="NAC"/>
    <x v="15"/>
    <n v="7349000000"/>
    <n v="1043000000"/>
    <x v="0"/>
    <x v="0"/>
    <n v="6306000000"/>
    <n v="8392000000"/>
  </r>
  <r>
    <s v="North Macedonia"/>
    <s v="MKD"/>
    <x v="15"/>
    <n v="0"/>
    <n v="6000000"/>
    <x v="1"/>
    <x v="1"/>
    <n v="-6000000"/>
    <n v="6000000"/>
  </r>
  <r>
    <s v="Norway"/>
    <s v="NOR"/>
    <x v="15"/>
    <n v="31000000"/>
    <n v="569000000"/>
    <x v="1"/>
    <x v="3"/>
    <n v="-538000000"/>
    <n v="600000000"/>
  </r>
  <r>
    <s v="OECD members"/>
    <s v="OED"/>
    <x v="15"/>
    <n v="16922000000"/>
    <n v="9667000000"/>
    <x v="0"/>
    <x v="0"/>
    <n v="7255000000"/>
    <n v="26589000000"/>
  </r>
  <r>
    <s v="Oman"/>
    <s v="OMN"/>
    <x v="15"/>
    <n v="0"/>
    <n v="95000000"/>
    <x v="2"/>
    <x v="3"/>
    <n v="-95000000"/>
    <n v="95000000"/>
  </r>
  <r>
    <s v="Pakistan"/>
    <s v="PAK"/>
    <x v="15"/>
    <n v="0"/>
    <n v="1195000000"/>
    <x v="2"/>
    <x v="2"/>
    <n v="-1195000000"/>
    <n v="1195000000"/>
  </r>
  <r>
    <s v="Peru"/>
    <s v="PER"/>
    <x v="15"/>
    <n v="0"/>
    <n v="43000000"/>
    <x v="4"/>
    <x v="1"/>
    <n v="-43000000"/>
    <n v="43000000"/>
  </r>
  <r>
    <s v="Philippines"/>
    <s v="PHL"/>
    <x v="15"/>
    <n v="0"/>
    <n v="1000000"/>
    <x v="5"/>
    <x v="1"/>
    <n v="-1000000"/>
    <n v="1000000"/>
  </r>
  <r>
    <s v="Poland"/>
    <s v="POL"/>
    <x v="15"/>
    <n v="75000000"/>
    <n v="193000000"/>
    <x v="1"/>
    <x v="3"/>
    <n v="-118000000"/>
    <n v="268000000"/>
  </r>
  <r>
    <s v="Portugal"/>
    <s v="PRT"/>
    <x v="15"/>
    <n v="46000000"/>
    <n v="371000000"/>
    <x v="1"/>
    <x v="3"/>
    <n v="-325000000"/>
    <n v="417000000"/>
  </r>
  <r>
    <s v="Post-demographic dividend"/>
    <s v="PST"/>
    <x v="15"/>
    <n v="16438000000"/>
    <n v="9423000000"/>
    <x v="0"/>
    <x v="0"/>
    <n v="7015000000"/>
    <n v="25861000000"/>
  </r>
  <r>
    <s v="Pre-demographic dividend"/>
    <s v="PRE"/>
    <x v="15"/>
    <n v="0"/>
    <n v="1205000000"/>
    <x v="0"/>
    <x v="0"/>
    <n v="-1205000000"/>
    <n v="1205000000"/>
  </r>
  <r>
    <s v="Qatar"/>
    <s v="QAT"/>
    <x v="15"/>
    <n v="0"/>
    <n v="286000000"/>
    <x v="2"/>
    <x v="3"/>
    <n v="-286000000"/>
    <n v="286000000"/>
  </r>
  <r>
    <s v="Romania"/>
    <s v="ROU"/>
    <x v="15"/>
    <n v="2000000"/>
    <n v="59000000"/>
    <x v="1"/>
    <x v="3"/>
    <n v="-57000000"/>
    <n v="61000000"/>
  </r>
  <r>
    <s v="Russian Federation"/>
    <s v="RUS"/>
    <x v="15"/>
    <n v="5126000000"/>
    <n v="8000000"/>
    <x v="1"/>
    <x v="3"/>
    <n v="5118000000"/>
    <n v="5134000000"/>
  </r>
  <r>
    <s v="Rwanda"/>
    <s v="RWA"/>
    <x v="15"/>
    <n v="0"/>
    <n v="11000000"/>
    <x v="3"/>
    <x v="4"/>
    <n v="-11000000"/>
    <n v="11000000"/>
  </r>
  <r>
    <s v="Saudi Arabia"/>
    <s v="SAU"/>
    <x v="15"/>
    <n v="0"/>
    <n v="828000000"/>
    <x v="2"/>
    <x v="3"/>
    <n v="-828000000"/>
    <n v="828000000"/>
  </r>
  <r>
    <s v="Senegal"/>
    <s v="SEN"/>
    <x v="15"/>
    <n v="0"/>
    <n v="6000000"/>
    <x v="3"/>
    <x v="2"/>
    <n v="-6000000"/>
    <n v="6000000"/>
  </r>
  <r>
    <s v="Serbia"/>
    <s v="SRB"/>
    <x v="15"/>
    <n v="0"/>
    <n v="0"/>
    <x v="1"/>
    <x v="1"/>
    <n v="0"/>
    <n v="0"/>
  </r>
  <r>
    <s v="Singapore"/>
    <s v="SGP"/>
    <x v="15"/>
    <n v="35000000"/>
    <n v="1403000000"/>
    <x v="5"/>
    <x v="3"/>
    <n v="-1368000000"/>
    <n v="1438000000"/>
  </r>
  <r>
    <s v="Slovak Republic"/>
    <s v="SVK"/>
    <x v="15"/>
    <n v="0"/>
    <n v="10000000"/>
    <x v="1"/>
    <x v="3"/>
    <n v="-10000000"/>
    <n v="10000000"/>
  </r>
  <r>
    <s v="Slovenia"/>
    <s v="SVN"/>
    <x v="15"/>
    <n v="0"/>
    <n v="10000000"/>
    <x v="1"/>
    <x v="3"/>
    <n v="-10000000"/>
    <n v="10000000"/>
  </r>
  <r>
    <s v="South Africa"/>
    <s v="ZAF"/>
    <x v="15"/>
    <n v="108000000"/>
    <n v="134000000"/>
    <x v="3"/>
    <x v="1"/>
    <n v="-26000000"/>
    <n v="242000000"/>
  </r>
  <r>
    <s v="South Asia"/>
    <s v="SAS"/>
    <x v="15"/>
    <n v="27000000"/>
    <n v="1979000000"/>
    <x v="0"/>
    <x v="0"/>
    <n v="-1952000000"/>
    <n v="2006000000"/>
  </r>
  <r>
    <s v="South Asia (IDA &amp; IBRD)"/>
    <s v="TSA"/>
    <x v="15"/>
    <n v="27000000"/>
    <n v="1979000000"/>
    <x v="0"/>
    <x v="0"/>
    <n v="-1952000000"/>
    <n v="2006000000"/>
  </r>
  <r>
    <s v="South Sudan"/>
    <s v="SSD"/>
    <x v="15"/>
    <n v="0"/>
    <n v="1000000"/>
    <x v="3"/>
    <x v="4"/>
    <n v="-1000000"/>
    <n v="1000000"/>
  </r>
  <r>
    <s v="Spain"/>
    <s v="ESP"/>
    <x v="15"/>
    <n v="984000000"/>
    <n v="228000000"/>
    <x v="1"/>
    <x v="3"/>
    <n v="756000000"/>
    <n v="1212000000"/>
  </r>
  <r>
    <s v="Sri Lanka"/>
    <s v="LKA"/>
    <x v="15"/>
    <n v="0"/>
    <n v="21000000"/>
    <x v="6"/>
    <x v="1"/>
    <n v="-21000000"/>
    <n v="21000000"/>
  </r>
  <r>
    <s v="Sub-Saharan Africa"/>
    <s v="SSF"/>
    <x v="15"/>
    <n v="0"/>
    <n v="639000000"/>
    <x v="0"/>
    <x v="0"/>
    <n v="-639000000"/>
    <n v="639000000"/>
  </r>
  <r>
    <s v="Sub-Saharan Africa (excluding high income)"/>
    <s v="SSA"/>
    <x v="15"/>
    <n v="0"/>
    <n v="639000000"/>
    <x v="0"/>
    <x v="0"/>
    <n v="-639000000"/>
    <n v="639000000"/>
  </r>
  <r>
    <s v="Sub-Saharan Africa (IDA &amp; IBRD countries)"/>
    <s v="TSS"/>
    <x v="15"/>
    <n v="0"/>
    <n v="639000000"/>
    <x v="0"/>
    <x v="0"/>
    <n v="-639000000"/>
    <n v="639000000"/>
  </r>
  <r>
    <s v="Sudan"/>
    <s v="SDN"/>
    <x v="15"/>
    <n v="0"/>
    <n v="100000000"/>
    <x v="3"/>
    <x v="4"/>
    <n v="-100000000"/>
    <n v="100000000"/>
  </r>
  <r>
    <s v="Sweden"/>
    <s v="SWE"/>
    <x v="15"/>
    <n v="389000000"/>
    <n v="15000000"/>
    <x v="1"/>
    <x v="3"/>
    <n v="374000000"/>
    <n v="404000000"/>
  </r>
  <r>
    <s v="Switzerland"/>
    <s v="CHE"/>
    <x v="15"/>
    <n v="260000000"/>
    <n v="36000000"/>
    <x v="1"/>
    <x v="3"/>
    <n v="224000000"/>
    <n v="296000000"/>
  </r>
  <r>
    <s v="Syrian Arab Republic"/>
    <s v="SYR"/>
    <x v="15"/>
    <n v="33000000"/>
    <n v="253000000"/>
    <x v="2"/>
    <x v="4"/>
    <n v="-220000000"/>
    <n v="286000000"/>
  </r>
  <r>
    <s v="Tajikistan"/>
    <s v="TJK"/>
    <x v="15"/>
    <n v="0"/>
    <n v="34000000"/>
    <x v="1"/>
    <x v="2"/>
    <n v="-34000000"/>
    <n v="34000000"/>
  </r>
  <r>
    <s v="Tanzania"/>
    <s v="TZA"/>
    <x v="15"/>
    <n v="0"/>
    <n v="29000000"/>
    <x v="3"/>
    <x v="2"/>
    <n v="-29000000"/>
    <n v="29000000"/>
  </r>
  <r>
    <s v="Thailand"/>
    <s v="THA"/>
    <x v="15"/>
    <n v="0"/>
    <n v="63000000"/>
    <x v="5"/>
    <x v="1"/>
    <n v="-63000000"/>
    <n v="63000000"/>
  </r>
  <r>
    <s v="Turkiye"/>
    <s v="TUR"/>
    <x v="15"/>
    <n v="78000000"/>
    <n v="714000000"/>
    <x v="1"/>
    <x v="1"/>
    <n v="-636000000"/>
    <n v="792000000"/>
  </r>
  <r>
    <s v="Turkmenistan"/>
    <s v="TKM"/>
    <x v="15"/>
    <n v="0"/>
    <n v="38000000"/>
    <x v="1"/>
    <x v="1"/>
    <n v="-38000000"/>
    <n v="38000000"/>
  </r>
  <r>
    <s v="Uganda"/>
    <s v="UGA"/>
    <x v="15"/>
    <n v="0"/>
    <n v="28000000"/>
    <x v="3"/>
    <x v="4"/>
    <n v="-28000000"/>
    <n v="28000000"/>
  </r>
  <r>
    <s v="Ukraine"/>
    <s v="UKR"/>
    <x v="15"/>
    <n v="444000000"/>
    <n v="0"/>
    <x v="1"/>
    <x v="1"/>
    <n v="444000000"/>
    <n v="444000000"/>
  </r>
  <r>
    <s v="United Arab Emirates"/>
    <s v="ARE"/>
    <x v="15"/>
    <n v="34000000"/>
    <n v="604000000"/>
    <x v="2"/>
    <x v="3"/>
    <n v="-570000000"/>
    <n v="638000000"/>
  </r>
  <r>
    <s v="United Kingdom"/>
    <s v="GBR"/>
    <x v="15"/>
    <n v="1071000000"/>
    <n v="381000000"/>
    <x v="1"/>
    <x v="3"/>
    <n v="690000000"/>
    <n v="1452000000"/>
  </r>
  <r>
    <s v="United States"/>
    <s v="USA"/>
    <x v="15"/>
    <n v="7151000000"/>
    <n v="939000000"/>
    <x v="7"/>
    <x v="3"/>
    <n v="6212000000"/>
    <n v="8090000000"/>
  </r>
  <r>
    <s v="Upper middle income"/>
    <s v="UMC"/>
    <x v="15"/>
    <n v="0"/>
    <n v="6956000000"/>
    <x v="0"/>
    <x v="0"/>
    <n v="-6956000000"/>
    <n v="6956000000"/>
  </r>
  <r>
    <s v="Uruguay"/>
    <s v="URY"/>
    <x v="15"/>
    <n v="0"/>
    <n v="29000000"/>
    <x v="4"/>
    <x v="3"/>
    <n v="-29000000"/>
    <n v="29000000"/>
  </r>
  <r>
    <s v="Uzbekistan"/>
    <s v="UZB"/>
    <x v="15"/>
    <n v="209000000"/>
    <n v="0"/>
    <x v="1"/>
    <x v="2"/>
    <n v="209000000"/>
    <n v="209000000"/>
  </r>
  <r>
    <s v="Venezuela, RB"/>
    <s v="VEN"/>
    <x v="15"/>
    <n v="40000000"/>
    <n v="366000000"/>
    <x v="4"/>
    <x v="2"/>
    <n v="-326000000"/>
    <n v="406000000"/>
  </r>
  <r>
    <s v="Viet Nam"/>
    <s v="VNM"/>
    <x v="15"/>
    <n v="0"/>
    <n v="61000000"/>
    <x v="5"/>
    <x v="1"/>
    <n v="-61000000"/>
    <n v="61000000"/>
  </r>
  <r>
    <s v="West Bank and Gaza"/>
    <s v="PSE"/>
    <x v="15"/>
    <n v="0"/>
    <n v="15000000"/>
    <x v="2"/>
    <x v="2"/>
    <n v="-15000000"/>
    <n v="15000000"/>
  </r>
  <r>
    <s v="World"/>
    <s v="WLD"/>
    <x v="15"/>
    <n v="24444000000"/>
    <n v="23993000000"/>
    <x v="0"/>
    <x v="0"/>
    <n v="451000000"/>
    <n v="48437000000"/>
  </r>
  <r>
    <s v="Yemen, Rep."/>
    <s v="YEM"/>
    <x v="15"/>
    <n v="0"/>
    <n v="5000000"/>
    <x v="2"/>
    <x v="4"/>
    <n v="-5000000"/>
    <n v="5000000"/>
  </r>
  <r>
    <s v="Afghanistan"/>
    <s v="AFG"/>
    <x v="16"/>
    <n v="0"/>
    <n v="148000000"/>
    <x v="2"/>
    <x v="4"/>
    <n v="-148000000"/>
    <n v="148000000"/>
  </r>
  <r>
    <s v="Africa Eastern and Southern"/>
    <s v="AFE"/>
    <x v="16"/>
    <n v="0"/>
    <n v="768000000"/>
    <x v="0"/>
    <x v="0"/>
    <n v="-768000000"/>
    <n v="768000000"/>
  </r>
  <r>
    <s v="Africa Western and Central"/>
    <s v="AFW"/>
    <x v="16"/>
    <n v="0"/>
    <n v="164000000"/>
    <x v="0"/>
    <x v="0"/>
    <n v="-164000000"/>
    <n v="164000000"/>
  </r>
  <r>
    <s v="Algeria"/>
    <s v="DZA"/>
    <x v="16"/>
    <n v="0"/>
    <n v="1522000000"/>
    <x v="2"/>
    <x v="1"/>
    <n v="-1522000000"/>
    <n v="1522000000"/>
  </r>
  <r>
    <s v="Angola"/>
    <s v="AGO"/>
    <x v="16"/>
    <n v="0"/>
    <n v="29000000"/>
    <x v="3"/>
    <x v="2"/>
    <n v="-29000000"/>
    <n v="29000000"/>
  </r>
  <r>
    <s v="Arab World"/>
    <s v="ARB"/>
    <x v="16"/>
    <n v="0"/>
    <n v="4160000000"/>
    <x v="0"/>
    <x v="0"/>
    <n v="-4160000000"/>
    <n v="4160000000"/>
  </r>
  <r>
    <s v="Argentina"/>
    <s v="ARG"/>
    <x v="16"/>
    <n v="0"/>
    <n v="21000000"/>
    <x v="4"/>
    <x v="1"/>
    <n v="-21000000"/>
    <n v="21000000"/>
  </r>
  <r>
    <s v="Australia"/>
    <s v="AUS"/>
    <x v="16"/>
    <n v="57000000"/>
    <n v="430000000"/>
    <x v="5"/>
    <x v="3"/>
    <n v="-373000000"/>
    <n v="487000000"/>
  </r>
  <r>
    <s v="Austria"/>
    <s v="AUT"/>
    <x v="16"/>
    <n v="14000000"/>
    <n v="190000000"/>
    <x v="1"/>
    <x v="3"/>
    <n v="-176000000"/>
    <n v="204000000"/>
  </r>
  <r>
    <s v="Azerbaijan"/>
    <s v="AZE"/>
    <x v="16"/>
    <n v="0"/>
    <n v="34000000"/>
    <x v="1"/>
    <x v="1"/>
    <n v="-34000000"/>
    <n v="34000000"/>
  </r>
  <r>
    <s v="Bahrain"/>
    <s v="BHR"/>
    <x v="16"/>
    <n v="0"/>
    <n v="21000000"/>
    <x v="2"/>
    <x v="3"/>
    <n v="-21000000"/>
    <n v="21000000"/>
  </r>
  <r>
    <s v="Bangladesh"/>
    <s v="BGD"/>
    <x v="16"/>
    <n v="0"/>
    <n v="12000000"/>
    <x v="6"/>
    <x v="2"/>
    <n v="-12000000"/>
    <n v="12000000"/>
  </r>
  <r>
    <s v="Barbados"/>
    <s v="BRB"/>
    <x v="16"/>
    <n v="0"/>
    <n v="10000000"/>
    <x v="4"/>
    <x v="3"/>
    <n v="-10000000"/>
    <n v="10000000"/>
  </r>
  <r>
    <s v="Belarus"/>
    <s v="BLR"/>
    <x v="16"/>
    <n v="224000000"/>
    <n v="0"/>
    <x v="1"/>
    <x v="1"/>
    <n v="224000000"/>
    <n v="224000000"/>
  </r>
  <r>
    <s v="Belgium"/>
    <s v="BEL"/>
    <x v="16"/>
    <n v="223000000"/>
    <n v="191000000"/>
    <x v="1"/>
    <x v="3"/>
    <n v="32000000"/>
    <n v="414000000"/>
  </r>
  <r>
    <s v="Bolivia"/>
    <s v="BOL"/>
    <x v="16"/>
    <n v="0"/>
    <n v="3000000"/>
    <x v="4"/>
    <x v="2"/>
    <n v="-3000000"/>
    <n v="3000000"/>
  </r>
  <r>
    <s v="Brazil"/>
    <s v="BRA"/>
    <x v="16"/>
    <n v="93000000"/>
    <n v="178000000"/>
    <x v="4"/>
    <x v="1"/>
    <n v="-85000000"/>
    <n v="271000000"/>
  </r>
  <r>
    <s v="Bulgaria"/>
    <s v="BGR"/>
    <x v="16"/>
    <n v="4000000"/>
    <n v="117000000"/>
    <x v="1"/>
    <x v="3"/>
    <n v="-113000000"/>
    <n v="121000000"/>
  </r>
  <r>
    <s v="Cameroon"/>
    <s v="CMR"/>
    <x v="16"/>
    <n v="0"/>
    <n v="1000000"/>
    <x v="3"/>
    <x v="2"/>
    <n v="-1000000"/>
    <n v="1000000"/>
  </r>
  <r>
    <s v="Canada"/>
    <s v="CAN"/>
    <x v="16"/>
    <n v="252000000"/>
    <n v="423000000"/>
    <x v="7"/>
    <x v="3"/>
    <n v="-171000000"/>
    <n v="675000000"/>
  </r>
  <r>
    <s v="Central African Republic"/>
    <s v="CAF"/>
    <x v="16"/>
    <n v="0"/>
    <n v="0"/>
    <x v="3"/>
    <x v="4"/>
    <n v="0"/>
    <n v="0"/>
  </r>
  <r>
    <s v="Central Europe and the Baltics"/>
    <s v="CEB"/>
    <x v="16"/>
    <n v="0"/>
    <n v="1064000000"/>
    <x v="0"/>
    <x v="0"/>
    <n v="-1064000000"/>
    <n v="1064000000"/>
  </r>
  <r>
    <s v="Chad"/>
    <s v="TCD"/>
    <x v="16"/>
    <n v="0"/>
    <n v="83000000"/>
    <x v="3"/>
    <x v="4"/>
    <n v="-83000000"/>
    <n v="83000000"/>
  </r>
  <r>
    <s v="Chile"/>
    <s v="CHL"/>
    <x v="16"/>
    <n v="100000000"/>
    <n v="395000000"/>
    <x v="4"/>
    <x v="3"/>
    <n v="-295000000"/>
    <n v="495000000"/>
  </r>
  <r>
    <s v="China"/>
    <s v="CHN"/>
    <x v="16"/>
    <n v="598000000"/>
    <n v="1784000000"/>
    <x v="5"/>
    <x v="1"/>
    <n v="-1186000000"/>
    <n v="2382000000"/>
  </r>
  <r>
    <s v="Colombia"/>
    <s v="COL"/>
    <x v="16"/>
    <n v="0"/>
    <n v="110000000"/>
    <x v="4"/>
    <x v="1"/>
    <n v="-110000000"/>
    <n v="110000000"/>
  </r>
  <r>
    <s v="Comoros"/>
    <s v="COM"/>
    <x v="16"/>
    <n v="0"/>
    <n v="6000000"/>
    <x v="3"/>
    <x v="2"/>
    <n v="-6000000"/>
    <n v="6000000"/>
  </r>
  <r>
    <s v="Congo, Dem. Rep."/>
    <s v="COD"/>
    <x v="16"/>
    <n v="0"/>
    <n v="18000000"/>
    <x v="3"/>
    <x v="4"/>
    <n v="-18000000"/>
    <n v="18000000"/>
  </r>
  <r>
    <s v="Costa Rica"/>
    <s v="CRI"/>
    <x v="16"/>
    <n v="0"/>
    <n v="0"/>
    <x v="4"/>
    <x v="3"/>
    <n v="0"/>
    <n v="0"/>
  </r>
  <r>
    <s v="Croatia"/>
    <s v="HRV"/>
    <x v="16"/>
    <n v="0"/>
    <n v="103000000"/>
    <x v="1"/>
    <x v="3"/>
    <n v="-103000000"/>
    <n v="103000000"/>
  </r>
  <r>
    <s v="Czechia"/>
    <s v="CZE"/>
    <x v="16"/>
    <n v="34000000"/>
    <n v="25000000"/>
    <x v="1"/>
    <x v="3"/>
    <n v="9000000"/>
    <n v="59000000"/>
  </r>
  <r>
    <s v="Denmark"/>
    <s v="DNK"/>
    <x v="16"/>
    <n v="8000000"/>
    <n v="98000000"/>
    <x v="1"/>
    <x v="3"/>
    <n v="-90000000"/>
    <n v="106000000"/>
  </r>
  <r>
    <s v="Early-demographic dividend"/>
    <s v="EAR"/>
    <x v="16"/>
    <n v="0"/>
    <n v="8654000000"/>
    <x v="0"/>
    <x v="0"/>
    <n v="-8654000000"/>
    <n v="8654000000"/>
  </r>
  <r>
    <s v="East Asia &amp; Pacific"/>
    <s v="EAS"/>
    <x v="16"/>
    <n v="0"/>
    <n v="7066000000"/>
    <x v="0"/>
    <x v="0"/>
    <n v="-7066000000"/>
    <n v="7066000000"/>
  </r>
  <r>
    <s v="East Asia &amp; Pacific (excluding high income)"/>
    <s v="EAP"/>
    <x v="16"/>
    <n v="614000000"/>
    <n v="2835000000"/>
    <x v="0"/>
    <x v="0"/>
    <n v="-2221000000"/>
    <n v="3449000000"/>
  </r>
  <r>
    <s v="East Asia &amp; Pacific (IDA &amp; IBRD countries)"/>
    <s v="TEA"/>
    <x v="16"/>
    <n v="599000000"/>
    <n v="2830000000"/>
    <x v="0"/>
    <x v="0"/>
    <n v="-2231000000"/>
    <n v="3429000000"/>
  </r>
  <r>
    <s v="Ecuador"/>
    <s v="ECU"/>
    <x v="16"/>
    <n v="0"/>
    <n v="102000000"/>
    <x v="4"/>
    <x v="1"/>
    <n v="-102000000"/>
    <n v="102000000"/>
  </r>
  <r>
    <s v="Egypt, Arab Rep."/>
    <s v="EGY"/>
    <x v="16"/>
    <n v="0"/>
    <n v="326000000"/>
    <x v="2"/>
    <x v="2"/>
    <n v="-326000000"/>
    <n v="326000000"/>
  </r>
  <r>
    <s v="El Salvador"/>
    <s v="SLV"/>
    <x v="16"/>
    <n v="0"/>
    <n v="3000000"/>
    <x v="4"/>
    <x v="1"/>
    <n v="-3000000"/>
    <n v="3000000"/>
  </r>
  <r>
    <s v="Equatorial Guinea"/>
    <s v="GNQ"/>
    <x v="16"/>
    <n v="0"/>
    <n v="30000000"/>
    <x v="3"/>
    <x v="1"/>
    <n v="-30000000"/>
    <n v="30000000"/>
  </r>
  <r>
    <s v="Estonia"/>
    <s v="EST"/>
    <x v="16"/>
    <n v="0"/>
    <n v="28000000"/>
    <x v="1"/>
    <x v="3"/>
    <n v="-28000000"/>
    <n v="28000000"/>
  </r>
  <r>
    <s v="Euro area"/>
    <s v="EMU"/>
    <x v="16"/>
    <n v="6255000000"/>
    <n v="2433000000"/>
    <x v="0"/>
    <x v="0"/>
    <n v="3822000000"/>
    <n v="8688000000"/>
  </r>
  <r>
    <s v="Europe &amp; Central Asia"/>
    <s v="ECS"/>
    <x v="16"/>
    <n v="15106000000"/>
    <n v="5352000000"/>
    <x v="0"/>
    <x v="0"/>
    <n v="9754000000"/>
    <n v="20458000000"/>
  </r>
  <r>
    <s v="Europe &amp; Central Asia (excluding high income)"/>
    <s v="ECA"/>
    <x v="16"/>
    <n v="832000000"/>
    <n v="0"/>
    <x v="0"/>
    <x v="0"/>
    <n v="832000000"/>
    <n v="832000000"/>
  </r>
  <r>
    <s v="Europe &amp; Central Asia (IDA &amp; IBRD countries)"/>
    <s v="TEC"/>
    <x v="16"/>
    <n v="6907000000"/>
    <n v="0"/>
    <x v="0"/>
    <x v="0"/>
    <n v="6907000000"/>
    <n v="6907000000"/>
  </r>
  <r>
    <s v="European Union"/>
    <s v="EUU"/>
    <x v="16"/>
    <n v="6831000000"/>
    <n v="3326000000"/>
    <x v="0"/>
    <x v="0"/>
    <n v="3505000000"/>
    <n v="10157000000"/>
  </r>
  <r>
    <s v="Finland"/>
    <s v="FIN"/>
    <x v="16"/>
    <n v="100000000"/>
    <n v="134000000"/>
    <x v="1"/>
    <x v="3"/>
    <n v="-34000000"/>
    <n v="234000000"/>
  </r>
  <r>
    <s v="France"/>
    <s v="FRA"/>
    <x v="16"/>
    <n v="1872000000"/>
    <n v="2000000"/>
    <x v="1"/>
    <x v="3"/>
    <n v="1870000000"/>
    <n v="1874000000"/>
  </r>
  <r>
    <s v="Georgia"/>
    <s v="GEO"/>
    <x v="16"/>
    <n v="0"/>
    <n v="132000000"/>
    <x v="1"/>
    <x v="1"/>
    <n v="-132000000"/>
    <n v="132000000"/>
  </r>
  <r>
    <s v="Germany"/>
    <s v="DEU"/>
    <x v="16"/>
    <n v="2378000000"/>
    <n v="277000000"/>
    <x v="1"/>
    <x v="3"/>
    <n v="2101000000"/>
    <n v="2655000000"/>
  </r>
  <r>
    <s v="Greece"/>
    <s v="GRC"/>
    <x v="16"/>
    <n v="0"/>
    <n v="482000000"/>
    <x v="1"/>
    <x v="3"/>
    <n v="-482000000"/>
    <n v="482000000"/>
  </r>
  <r>
    <s v="Guatemala"/>
    <s v="GTM"/>
    <x v="16"/>
    <n v="0"/>
    <n v="0"/>
    <x v="4"/>
    <x v="1"/>
    <n v="0"/>
    <n v="0"/>
  </r>
  <r>
    <s v="Guyana"/>
    <s v="GUY"/>
    <x v="16"/>
    <n v="0"/>
    <n v="0"/>
    <x v="4"/>
    <x v="3"/>
    <n v="0"/>
    <n v="0"/>
  </r>
  <r>
    <s v="High income"/>
    <s v="HIC"/>
    <x v="16"/>
    <n v="22271000000"/>
    <n v="12488000000"/>
    <x v="0"/>
    <x v="0"/>
    <n v="9783000000"/>
    <n v="34759000000"/>
  </r>
  <r>
    <s v="Honduras"/>
    <s v="HND"/>
    <x v="16"/>
    <n v="0"/>
    <n v="0"/>
    <x v="4"/>
    <x v="2"/>
    <n v="0"/>
    <n v="0"/>
  </r>
  <r>
    <s v="Hungary"/>
    <s v="HUN"/>
    <x v="16"/>
    <n v="0"/>
    <n v="5000000"/>
    <x v="1"/>
    <x v="3"/>
    <n v="-5000000"/>
    <n v="5000000"/>
  </r>
  <r>
    <s v="IBRD only"/>
    <s v="IBD"/>
    <x v="16"/>
    <n v="7957000000"/>
    <n v="10903000000"/>
    <x v="0"/>
    <x v="0"/>
    <n v="-2946000000"/>
    <n v="18860000000"/>
  </r>
  <r>
    <s v="IDA &amp; IBRD total"/>
    <s v="IBT"/>
    <x v="16"/>
    <n v="0"/>
    <n v="13024000000"/>
    <x v="0"/>
    <x v="0"/>
    <n v="-13024000000"/>
    <n v="13024000000"/>
  </r>
  <r>
    <s v="IDA blend"/>
    <s v="IDB"/>
    <x v="16"/>
    <n v="0"/>
    <n v="1106000000"/>
    <x v="0"/>
    <x v="0"/>
    <n v="-1106000000"/>
    <n v="1106000000"/>
  </r>
  <r>
    <s v="IDA total"/>
    <s v="IDA"/>
    <x v="16"/>
    <n v="0"/>
    <n v="2121000000"/>
    <x v="0"/>
    <x v="0"/>
    <n v="-2121000000"/>
    <n v="2121000000"/>
  </r>
  <r>
    <s v="India"/>
    <s v="IND"/>
    <x v="16"/>
    <n v="15000000"/>
    <n v="1643000000"/>
    <x v="6"/>
    <x v="2"/>
    <n v="-1628000000"/>
    <n v="1658000000"/>
  </r>
  <r>
    <s v="Indonesia"/>
    <s v="IDN"/>
    <x v="16"/>
    <n v="1000000"/>
    <n v="239000000"/>
    <x v="5"/>
    <x v="1"/>
    <n v="-238000000"/>
    <n v="240000000"/>
  </r>
  <r>
    <s v="Iran, Islamic Rep."/>
    <s v="IRN"/>
    <x v="16"/>
    <n v="82000000"/>
    <n v="57000000"/>
    <x v="2"/>
    <x v="1"/>
    <n v="25000000"/>
    <n v="139000000"/>
  </r>
  <r>
    <s v="Iraq"/>
    <s v="IRQ"/>
    <x v="16"/>
    <n v="0"/>
    <n v="379000000"/>
    <x v="2"/>
    <x v="1"/>
    <n v="-379000000"/>
    <n v="379000000"/>
  </r>
  <r>
    <s v="Ireland"/>
    <s v="IRL"/>
    <x v="16"/>
    <n v="45000000"/>
    <n v="38000000"/>
    <x v="1"/>
    <x v="3"/>
    <n v="7000000"/>
    <n v="83000000"/>
  </r>
  <r>
    <s v="Israel"/>
    <s v="ISR"/>
    <x v="16"/>
    <n v="389000000"/>
    <n v="680000000"/>
    <x v="2"/>
    <x v="3"/>
    <n v="-291000000"/>
    <n v="1069000000"/>
  </r>
  <r>
    <s v="Italy"/>
    <s v="ITA"/>
    <x v="16"/>
    <n v="433000000"/>
    <n v="159000000"/>
    <x v="1"/>
    <x v="3"/>
    <n v="274000000"/>
    <n v="592000000"/>
  </r>
  <r>
    <s v="Jamaica"/>
    <s v="JAM"/>
    <x v="16"/>
    <n v="0"/>
    <n v="2000000"/>
    <x v="4"/>
    <x v="1"/>
    <n v="-2000000"/>
    <n v="2000000"/>
  </r>
  <r>
    <s v="Japan"/>
    <s v="JPN"/>
    <x v="16"/>
    <n v="0"/>
    <n v="990000000"/>
    <x v="5"/>
    <x v="3"/>
    <n v="-990000000"/>
    <n v="990000000"/>
  </r>
  <r>
    <s v="Jordan"/>
    <s v="JOR"/>
    <x v="16"/>
    <n v="13000000"/>
    <n v="157000000"/>
    <x v="2"/>
    <x v="1"/>
    <n v="-144000000"/>
    <n v="170000000"/>
  </r>
  <r>
    <s v="Kazakhstan"/>
    <s v="KAZ"/>
    <x v="16"/>
    <n v="0"/>
    <n v="38000000"/>
    <x v="1"/>
    <x v="1"/>
    <n v="-38000000"/>
    <n v="38000000"/>
  </r>
  <r>
    <s v="Korea, Dem. People's Rep."/>
    <s v="PRK"/>
    <x v="16"/>
    <n v="15000000"/>
    <n v="5000000"/>
    <x v="5"/>
    <x v="4"/>
    <n v="10000000"/>
    <n v="20000000"/>
  </r>
  <r>
    <s v="Korea, Rep."/>
    <s v="KOR"/>
    <x v="16"/>
    <n v="110000000"/>
    <n v="1691000000"/>
    <x v="5"/>
    <x v="3"/>
    <n v="-1581000000"/>
    <n v="1801000000"/>
  </r>
  <r>
    <s v="Kuwait"/>
    <s v="KWT"/>
    <x v="16"/>
    <n v="0"/>
    <n v="5000000"/>
    <x v="2"/>
    <x v="3"/>
    <n v="-5000000"/>
    <n v="5000000"/>
  </r>
  <r>
    <s v="Kyrgyz Republic"/>
    <s v="KGZ"/>
    <x v="16"/>
    <n v="14000000"/>
    <n v="0"/>
    <x v="1"/>
    <x v="2"/>
    <n v="14000000"/>
    <n v="14000000"/>
  </r>
  <r>
    <s v="Lao PDR"/>
    <s v="LAO"/>
    <x v="16"/>
    <n v="0"/>
    <n v="7000000"/>
    <x v="5"/>
    <x v="2"/>
    <n v="-7000000"/>
    <n v="7000000"/>
  </r>
  <r>
    <s v="Late-demographic dividend"/>
    <s v="LTE"/>
    <x v="16"/>
    <n v="7019000000"/>
    <n v="5227000000"/>
    <x v="0"/>
    <x v="0"/>
    <n v="1792000000"/>
    <n v="12246000000"/>
  </r>
  <r>
    <s v="Latin America &amp; Caribbean"/>
    <s v="LCN"/>
    <x v="16"/>
    <n v="0"/>
    <n v="1666000000"/>
    <x v="0"/>
    <x v="0"/>
    <n v="-1666000000"/>
    <n v="1666000000"/>
  </r>
  <r>
    <s v="Latin America &amp; Caribbean (excluding high income)"/>
    <s v="LAC"/>
    <x v="16"/>
    <n v="0"/>
    <n v="1183000000"/>
    <x v="0"/>
    <x v="0"/>
    <n v="-1183000000"/>
    <n v="1183000000"/>
  </r>
  <r>
    <s v="Latin America &amp; the Caribbean (IDA &amp; IBRD countries)"/>
    <s v="TLA"/>
    <x v="16"/>
    <n v="0"/>
    <n v="1666000000"/>
    <x v="0"/>
    <x v="0"/>
    <n v="-1666000000"/>
    <n v="1666000000"/>
  </r>
  <r>
    <s v="Latvia"/>
    <s v="LVA"/>
    <x v="16"/>
    <n v="0"/>
    <n v="46000000"/>
    <x v="1"/>
    <x v="3"/>
    <n v="-46000000"/>
    <n v="46000000"/>
  </r>
  <r>
    <s v="Least developed countries: UN classification"/>
    <s v="LDC"/>
    <x v="16"/>
    <n v="0"/>
    <n v="639000000"/>
    <x v="0"/>
    <x v="0"/>
    <n v="-639000000"/>
    <n v="639000000"/>
  </r>
  <r>
    <s v="Lebanon"/>
    <s v="LBN"/>
    <x v="16"/>
    <n v="0"/>
    <n v="1000000"/>
    <x v="2"/>
    <x v="2"/>
    <n v="-1000000"/>
    <n v="1000000"/>
  </r>
  <r>
    <s v="Libya"/>
    <s v="LBY"/>
    <x v="16"/>
    <n v="17000000"/>
    <n v="16000000"/>
    <x v="2"/>
    <x v="1"/>
    <n v="1000000"/>
    <n v="33000000"/>
  </r>
  <r>
    <s v="Lithuania"/>
    <s v="LTU"/>
    <x v="16"/>
    <n v="0"/>
    <n v="27000000"/>
    <x v="1"/>
    <x v="3"/>
    <n v="-27000000"/>
    <n v="27000000"/>
  </r>
  <r>
    <s v="Low &amp; middle income"/>
    <s v="LMY"/>
    <x v="16"/>
    <n v="0"/>
    <n v="11613000000"/>
    <x v="0"/>
    <x v="0"/>
    <n v="-11613000000"/>
    <n v="11613000000"/>
  </r>
  <r>
    <s v="Low income"/>
    <s v="LIC"/>
    <x v="16"/>
    <n v="0"/>
    <n v="827000000"/>
    <x v="0"/>
    <x v="0"/>
    <n v="-827000000"/>
    <n v="827000000"/>
  </r>
  <r>
    <s v="Lower middle income"/>
    <s v="LMC"/>
    <x v="16"/>
    <n v="0"/>
    <n v="4037000000"/>
    <x v="0"/>
    <x v="0"/>
    <n v="-4037000000"/>
    <n v="4037000000"/>
  </r>
  <r>
    <s v="Malawi"/>
    <s v="MWI"/>
    <x v="16"/>
    <n v="0"/>
    <n v="3000000"/>
    <x v="3"/>
    <x v="4"/>
    <n v="-3000000"/>
    <n v="3000000"/>
  </r>
  <r>
    <s v="Malaysia"/>
    <s v="MYS"/>
    <x v="16"/>
    <n v="0"/>
    <n v="493000000"/>
    <x v="5"/>
    <x v="1"/>
    <n v="-493000000"/>
    <n v="493000000"/>
  </r>
  <r>
    <s v="Mali"/>
    <s v="MLI"/>
    <x v="16"/>
    <n v="0"/>
    <n v="3000000"/>
    <x v="3"/>
    <x v="4"/>
    <n v="-3000000"/>
    <n v="3000000"/>
  </r>
  <r>
    <s v="Mexico"/>
    <s v="MEX"/>
    <x v="16"/>
    <n v="0"/>
    <n v="23000000"/>
    <x v="4"/>
    <x v="1"/>
    <n v="-23000000"/>
    <n v="23000000"/>
  </r>
  <r>
    <s v="Middle East, North Africa, Afghanistan &amp; Pakistan"/>
    <s v="MEA"/>
    <x v="16"/>
    <n v="0"/>
    <n v="5991000000"/>
    <x v="0"/>
    <x v="0"/>
    <n v="-5991000000"/>
    <n v="5991000000"/>
  </r>
  <r>
    <s v="Middle East, North Africa, Afghanistan &amp; Pakistan (excluding high income)"/>
    <s v="MNA"/>
    <x v="16"/>
    <n v="0"/>
    <n v="4094000000"/>
    <x v="0"/>
    <x v="0"/>
    <n v="-4094000000"/>
    <n v="4094000000"/>
  </r>
  <r>
    <s v="Middle East, North Africa, Afghanistan &amp; Pakistan (IDA &amp; IBRD)"/>
    <s v="TMN"/>
    <x v="16"/>
    <n v="0"/>
    <n v="4094000000"/>
    <x v="0"/>
    <x v="0"/>
    <n v="-4094000000"/>
    <n v="4094000000"/>
  </r>
  <r>
    <s v="Middle income"/>
    <s v="MIC"/>
    <x v="16"/>
    <n v="0"/>
    <n v="10786000000"/>
    <x v="0"/>
    <x v="0"/>
    <n v="-10786000000"/>
    <n v="10786000000"/>
  </r>
  <r>
    <s v="Moldova"/>
    <s v="MDA"/>
    <x v="16"/>
    <n v="29000000"/>
    <n v="0"/>
    <x v="1"/>
    <x v="1"/>
    <n v="29000000"/>
    <n v="29000000"/>
  </r>
  <r>
    <s v="Mongolia"/>
    <s v="MNG"/>
    <x v="16"/>
    <n v="0"/>
    <n v="15000000"/>
    <x v="5"/>
    <x v="1"/>
    <n v="-15000000"/>
    <n v="15000000"/>
  </r>
  <r>
    <s v="Morocco"/>
    <s v="MAR"/>
    <x v="16"/>
    <n v="0"/>
    <n v="46000000"/>
    <x v="2"/>
    <x v="2"/>
    <n v="-46000000"/>
    <n v="46000000"/>
  </r>
  <r>
    <s v="Myanmar"/>
    <s v="MMR"/>
    <x v="16"/>
    <n v="0"/>
    <n v="80000000"/>
    <x v="5"/>
    <x v="2"/>
    <n v="-80000000"/>
    <n v="80000000"/>
  </r>
  <r>
    <s v="Namibia"/>
    <s v="NAM"/>
    <x v="16"/>
    <n v="0"/>
    <n v="25000000"/>
    <x v="3"/>
    <x v="2"/>
    <n v="-25000000"/>
    <n v="25000000"/>
  </r>
  <r>
    <s v="Nepal"/>
    <s v="NPL"/>
    <x v="16"/>
    <n v="0"/>
    <n v="1000000"/>
    <x v="6"/>
    <x v="2"/>
    <n v="-1000000"/>
    <n v="1000000"/>
  </r>
  <r>
    <s v="Netherlands"/>
    <s v="NLD"/>
    <x v="16"/>
    <n v="452000000"/>
    <n v="147000000"/>
    <x v="1"/>
    <x v="3"/>
    <n v="305000000"/>
    <n v="599000000"/>
  </r>
  <r>
    <s v="New Zealand"/>
    <s v="NZL"/>
    <x v="16"/>
    <n v="0"/>
    <n v="3000000"/>
    <x v="5"/>
    <x v="3"/>
    <n v="-3000000"/>
    <n v="3000000"/>
  </r>
  <r>
    <s v="Niger"/>
    <s v="NER"/>
    <x v="16"/>
    <n v="0"/>
    <n v="8000000"/>
    <x v="3"/>
    <x v="4"/>
    <n v="-8000000"/>
    <n v="8000000"/>
  </r>
  <r>
    <s v="Nigeria"/>
    <s v="NGA"/>
    <x v="16"/>
    <n v="0"/>
    <n v="33000000"/>
    <x v="3"/>
    <x v="2"/>
    <n v="-33000000"/>
    <n v="33000000"/>
  </r>
  <r>
    <s v="North America"/>
    <s v="NAC"/>
    <x v="16"/>
    <n v="7341000000"/>
    <n v="1359000000"/>
    <x v="0"/>
    <x v="0"/>
    <n v="5982000000"/>
    <n v="8700000000"/>
  </r>
  <r>
    <s v="Norway"/>
    <s v="NOR"/>
    <x v="16"/>
    <n v="8000000"/>
    <n v="602000000"/>
    <x v="1"/>
    <x v="3"/>
    <n v="-594000000"/>
    <n v="610000000"/>
  </r>
  <r>
    <s v="OECD members"/>
    <s v="OED"/>
    <x v="16"/>
    <n v="16392000000"/>
    <n v="10522000000"/>
    <x v="0"/>
    <x v="0"/>
    <n v="5870000000"/>
    <n v="26914000000"/>
  </r>
  <r>
    <s v="Oman"/>
    <s v="OMN"/>
    <x v="16"/>
    <n v="0"/>
    <n v="72000000"/>
    <x v="2"/>
    <x v="3"/>
    <n v="-72000000"/>
    <n v="72000000"/>
  </r>
  <r>
    <s v="Pakistan"/>
    <s v="PAK"/>
    <x v="16"/>
    <n v="1000000"/>
    <n v="1072000000"/>
    <x v="2"/>
    <x v="2"/>
    <n v="-1071000000"/>
    <n v="1073000000"/>
  </r>
  <r>
    <s v="Philippines"/>
    <s v="PHL"/>
    <x v="16"/>
    <n v="0"/>
    <n v="10000000"/>
    <x v="5"/>
    <x v="1"/>
    <n v="-10000000"/>
    <n v="10000000"/>
  </r>
  <r>
    <s v="Poland"/>
    <s v="POL"/>
    <x v="16"/>
    <n v="73000000"/>
    <n v="633000000"/>
    <x v="1"/>
    <x v="3"/>
    <n v="-560000000"/>
    <n v="706000000"/>
  </r>
  <r>
    <s v="Portugal"/>
    <s v="PRT"/>
    <x v="16"/>
    <n v="99000000"/>
    <n v="145000000"/>
    <x v="1"/>
    <x v="3"/>
    <n v="-46000000"/>
    <n v="244000000"/>
  </r>
  <r>
    <s v="Post-demographic dividend"/>
    <s v="PST"/>
    <x v="16"/>
    <n v="16278000000"/>
    <n v="9282000000"/>
    <x v="0"/>
    <x v="0"/>
    <n v="6996000000"/>
    <n v="25560000000"/>
  </r>
  <r>
    <s v="Pre-demographic dividend"/>
    <s v="PRE"/>
    <x v="16"/>
    <n v="0"/>
    <n v="927000000"/>
    <x v="0"/>
    <x v="0"/>
    <n v="-927000000"/>
    <n v="927000000"/>
  </r>
  <r>
    <s v="Romania"/>
    <s v="ROU"/>
    <x v="16"/>
    <n v="0"/>
    <n v="80000000"/>
    <x v="1"/>
    <x v="3"/>
    <n v="-80000000"/>
    <n v="80000000"/>
  </r>
  <r>
    <s v="Russian Federation"/>
    <s v="RUS"/>
    <x v="16"/>
    <n v="5998000000"/>
    <n v="0"/>
    <x v="1"/>
    <x v="3"/>
    <n v="5998000000"/>
    <n v="5998000000"/>
  </r>
  <r>
    <s v="Rwanda"/>
    <s v="RWA"/>
    <x v="16"/>
    <n v="0"/>
    <n v="14000000"/>
    <x v="3"/>
    <x v="4"/>
    <n v="-14000000"/>
    <n v="14000000"/>
  </r>
  <r>
    <s v="Saudi Arabia"/>
    <s v="SAU"/>
    <x v="16"/>
    <n v="0"/>
    <n v="389000000"/>
    <x v="2"/>
    <x v="3"/>
    <n v="-389000000"/>
    <n v="389000000"/>
  </r>
  <r>
    <s v="Senegal"/>
    <s v="SEN"/>
    <x v="16"/>
    <n v="0"/>
    <n v="6000000"/>
    <x v="3"/>
    <x v="2"/>
    <n v="-6000000"/>
    <n v="6000000"/>
  </r>
  <r>
    <s v="Serbia"/>
    <s v="SRB"/>
    <x v="16"/>
    <n v="45000000"/>
    <n v="0"/>
    <x v="1"/>
    <x v="1"/>
    <n v="45000000"/>
    <n v="45000000"/>
  </r>
  <r>
    <s v="Singapore"/>
    <s v="SGP"/>
    <x v="16"/>
    <n v="0"/>
    <n v="1106000000"/>
    <x v="5"/>
    <x v="3"/>
    <n v="-1106000000"/>
    <n v="1106000000"/>
  </r>
  <r>
    <s v="Slovak Republic"/>
    <s v="SVK"/>
    <x v="16"/>
    <n v="9000000"/>
    <n v="0"/>
    <x v="1"/>
    <x v="3"/>
    <n v="9000000"/>
    <n v="9000000"/>
  </r>
  <r>
    <s v="South Africa"/>
    <s v="ZAF"/>
    <x v="16"/>
    <n v="142000000"/>
    <n v="493000000"/>
    <x v="3"/>
    <x v="1"/>
    <n v="-351000000"/>
    <n v="635000000"/>
  </r>
  <r>
    <s v="South Asia"/>
    <s v="SAS"/>
    <x v="16"/>
    <n v="15000000"/>
    <n v="1735000000"/>
    <x v="0"/>
    <x v="0"/>
    <n v="-1720000000"/>
    <n v="1750000000"/>
  </r>
  <r>
    <s v="South Asia (IDA &amp; IBRD)"/>
    <s v="TSA"/>
    <x v="16"/>
    <n v="15000000"/>
    <n v="1735000000"/>
    <x v="0"/>
    <x v="0"/>
    <n v="-1720000000"/>
    <n v="1750000000"/>
  </r>
  <r>
    <s v="South Sudan"/>
    <s v="SSD"/>
    <x v="16"/>
    <n v="0"/>
    <n v="44000000"/>
    <x v="3"/>
    <x v="4"/>
    <n v="-44000000"/>
    <n v="44000000"/>
  </r>
  <r>
    <s v="Spain"/>
    <s v="ESP"/>
    <x v="16"/>
    <n v="626000000"/>
    <n v="347000000"/>
    <x v="1"/>
    <x v="3"/>
    <n v="279000000"/>
    <n v="973000000"/>
  </r>
  <r>
    <s v="Sri Lanka"/>
    <s v="LKA"/>
    <x v="16"/>
    <n v="0"/>
    <n v="79000000"/>
    <x v="6"/>
    <x v="1"/>
    <n v="-79000000"/>
    <n v="79000000"/>
  </r>
  <r>
    <s v="Sub-Saharan Africa"/>
    <s v="SSF"/>
    <x v="16"/>
    <n v="0"/>
    <n v="932000000"/>
    <x v="0"/>
    <x v="0"/>
    <n v="-932000000"/>
    <n v="932000000"/>
  </r>
  <r>
    <s v="Sub-Saharan Africa (excluding high income)"/>
    <s v="SSA"/>
    <x v="16"/>
    <n v="0"/>
    <n v="932000000"/>
    <x v="0"/>
    <x v="0"/>
    <n v="-932000000"/>
    <n v="932000000"/>
  </r>
  <r>
    <s v="Sub-Saharan Africa (IDA &amp; IBRD countries)"/>
    <s v="TSS"/>
    <x v="16"/>
    <n v="0"/>
    <n v="932000000"/>
    <x v="0"/>
    <x v="0"/>
    <n v="-932000000"/>
    <n v="932000000"/>
  </r>
  <r>
    <s v="Sudan"/>
    <s v="SDN"/>
    <x v="16"/>
    <n v="0"/>
    <n v="120000000"/>
    <x v="3"/>
    <x v="4"/>
    <n v="-120000000"/>
    <n v="120000000"/>
  </r>
  <r>
    <s v="Sweden"/>
    <s v="SWE"/>
    <x v="16"/>
    <n v="461000000"/>
    <n v="52000000"/>
    <x v="1"/>
    <x v="3"/>
    <n v="409000000"/>
    <n v="513000000"/>
  </r>
  <r>
    <s v="Switzerland"/>
    <s v="CHE"/>
    <x v="16"/>
    <n v="506000000"/>
    <n v="15000000"/>
    <x v="1"/>
    <x v="3"/>
    <n v="491000000"/>
    <n v="521000000"/>
  </r>
  <r>
    <s v="Syrian Arab Republic"/>
    <s v="SYR"/>
    <x v="16"/>
    <n v="0"/>
    <n v="326000000"/>
    <x v="2"/>
    <x v="4"/>
    <n v="-326000000"/>
    <n v="326000000"/>
  </r>
  <r>
    <s v="Thailand"/>
    <s v="THA"/>
    <x v="16"/>
    <n v="0"/>
    <n v="16000000"/>
    <x v="5"/>
    <x v="1"/>
    <n v="-16000000"/>
    <n v="16000000"/>
  </r>
  <r>
    <s v="Tunisia"/>
    <s v="TUN"/>
    <x v="16"/>
    <n v="0"/>
    <n v="3000000"/>
    <x v="2"/>
    <x v="2"/>
    <n v="-3000000"/>
    <n v="3000000"/>
  </r>
  <r>
    <s v="Turkiye"/>
    <s v="TUR"/>
    <x v="16"/>
    <n v="123000000"/>
    <n v="623000000"/>
    <x v="1"/>
    <x v="1"/>
    <n v="-500000000"/>
    <n v="746000000"/>
  </r>
  <r>
    <s v="Turkmenistan"/>
    <s v="TKM"/>
    <x v="16"/>
    <n v="0"/>
    <n v="7000000"/>
    <x v="1"/>
    <x v="1"/>
    <n v="-7000000"/>
    <n v="7000000"/>
  </r>
  <r>
    <s v="Uganda"/>
    <s v="UGA"/>
    <x v="16"/>
    <n v="0"/>
    <n v="14000000"/>
    <x v="3"/>
    <x v="4"/>
    <n v="-14000000"/>
    <n v="14000000"/>
  </r>
  <r>
    <s v="Ukraine"/>
    <s v="UKR"/>
    <x v="16"/>
    <n v="397000000"/>
    <n v="0"/>
    <x v="1"/>
    <x v="1"/>
    <n v="397000000"/>
    <n v="397000000"/>
  </r>
  <r>
    <s v="United Arab Emirates"/>
    <s v="ARE"/>
    <x v="16"/>
    <n v="0"/>
    <n v="730000000"/>
    <x v="2"/>
    <x v="3"/>
    <n v="-730000000"/>
    <n v="730000000"/>
  </r>
  <r>
    <s v="United Kingdom"/>
    <s v="GBR"/>
    <x v="16"/>
    <n v="931000000"/>
    <n v="575000000"/>
    <x v="1"/>
    <x v="3"/>
    <n v="356000000"/>
    <n v="1506000000"/>
  </r>
  <r>
    <s v="United States"/>
    <s v="USA"/>
    <x v="16"/>
    <n v="7089000000"/>
    <n v="936000000"/>
    <x v="7"/>
    <x v="3"/>
    <n v="6153000000"/>
    <n v="8025000000"/>
  </r>
  <r>
    <s v="Upper middle income"/>
    <s v="UMC"/>
    <x v="16"/>
    <n v="0"/>
    <n v="6749000000"/>
    <x v="0"/>
    <x v="0"/>
    <n v="-6749000000"/>
    <n v="6749000000"/>
  </r>
  <r>
    <s v="Uruguay"/>
    <s v="URY"/>
    <x v="16"/>
    <n v="0"/>
    <n v="78000000"/>
    <x v="4"/>
    <x v="3"/>
    <n v="-78000000"/>
    <n v="78000000"/>
  </r>
  <r>
    <s v="Venezuela, RB"/>
    <s v="VEN"/>
    <x v="16"/>
    <n v="3000000"/>
    <n v="741000000"/>
    <x v="4"/>
    <x v="2"/>
    <n v="-738000000"/>
    <n v="744000000"/>
  </r>
  <r>
    <s v="Viet Nam"/>
    <s v="VNM"/>
    <x v="16"/>
    <n v="0"/>
    <n v="186000000"/>
    <x v="5"/>
    <x v="1"/>
    <n v="-186000000"/>
    <n v="186000000"/>
  </r>
  <r>
    <s v="World"/>
    <s v="WLD"/>
    <x v="16"/>
    <n v="24120000000"/>
    <n v="24101000000"/>
    <x v="0"/>
    <x v="0"/>
    <n v="19000000"/>
    <n v="48221000000"/>
  </r>
  <r>
    <s v="Yemen, Rep."/>
    <s v="YEM"/>
    <x v="16"/>
    <n v="0"/>
    <n v="41000000"/>
    <x v="2"/>
    <x v="4"/>
    <n v="-41000000"/>
    <n v="41000000"/>
  </r>
  <r>
    <s v="Zambia"/>
    <s v="ZMB"/>
    <x v="16"/>
    <n v="0"/>
    <n v="2000000"/>
    <x v="3"/>
    <x v="2"/>
    <n v="-2000000"/>
    <n v="2000000"/>
  </r>
  <r>
    <s v="Afghanistan"/>
    <s v="AFG"/>
    <x v="17"/>
    <n v="0"/>
    <n v="40000000"/>
    <x v="2"/>
    <x v="4"/>
    <n v="-40000000"/>
    <n v="40000000"/>
  </r>
  <r>
    <s v="Africa Eastern and Southern"/>
    <s v="AFE"/>
    <x v="17"/>
    <n v="0"/>
    <n v="1081000000"/>
    <x v="0"/>
    <x v="0"/>
    <n v="-1081000000"/>
    <n v="1081000000"/>
  </r>
  <r>
    <s v="Africa Western and Central"/>
    <s v="AFW"/>
    <x v="17"/>
    <n v="0"/>
    <n v="181000000"/>
    <x v="0"/>
    <x v="0"/>
    <n v="-181000000"/>
    <n v="181000000"/>
  </r>
  <r>
    <s v="Albania"/>
    <s v="ALB"/>
    <x v="17"/>
    <n v="0"/>
    <n v="5000000"/>
    <x v="1"/>
    <x v="1"/>
    <n v="-5000000"/>
    <n v="5000000"/>
  </r>
  <r>
    <s v="Algeria"/>
    <s v="DZA"/>
    <x v="17"/>
    <n v="0"/>
    <n v="507000000"/>
    <x v="2"/>
    <x v="1"/>
    <n v="-507000000"/>
    <n v="507000000"/>
  </r>
  <r>
    <s v="Angola"/>
    <s v="AGO"/>
    <x v="17"/>
    <n v="0"/>
    <n v="35000000"/>
    <x v="3"/>
    <x v="2"/>
    <n v="-35000000"/>
    <n v="35000000"/>
  </r>
  <r>
    <s v="Arab World"/>
    <s v="ARB"/>
    <x v="17"/>
    <n v="0"/>
    <n v="3237000000"/>
    <x v="0"/>
    <x v="0"/>
    <n v="-3237000000"/>
    <n v="3237000000"/>
  </r>
  <r>
    <s v="Argentina"/>
    <s v="ARG"/>
    <x v="17"/>
    <n v="0"/>
    <n v="24000000"/>
    <x v="4"/>
    <x v="1"/>
    <n v="-24000000"/>
    <n v="24000000"/>
  </r>
  <r>
    <s v="Armenia"/>
    <s v="ARM"/>
    <x v="17"/>
    <n v="0"/>
    <n v="1000000"/>
    <x v="1"/>
    <x v="1"/>
    <n v="-1000000"/>
    <n v="1000000"/>
  </r>
  <r>
    <s v="Australia"/>
    <s v="AUS"/>
    <x v="17"/>
    <n v="53000000"/>
    <n v="618000000"/>
    <x v="5"/>
    <x v="3"/>
    <n v="-565000000"/>
    <n v="671000000"/>
  </r>
  <r>
    <s v="Austria"/>
    <s v="AUT"/>
    <x v="17"/>
    <n v="67000000"/>
    <n v="269000000"/>
    <x v="1"/>
    <x v="3"/>
    <n v="-202000000"/>
    <n v="336000000"/>
  </r>
  <r>
    <s v="Azerbaijan"/>
    <s v="AZE"/>
    <x v="17"/>
    <n v="0"/>
    <n v="213000000"/>
    <x v="1"/>
    <x v="1"/>
    <n v="-213000000"/>
    <n v="213000000"/>
  </r>
  <r>
    <s v="Bahrain"/>
    <s v="BHR"/>
    <x v="17"/>
    <n v="0"/>
    <n v="27000000"/>
    <x v="2"/>
    <x v="3"/>
    <n v="-27000000"/>
    <n v="27000000"/>
  </r>
  <r>
    <s v="Bangladesh"/>
    <s v="BGD"/>
    <x v="17"/>
    <n v="0"/>
    <n v="82000000"/>
    <x v="6"/>
    <x v="2"/>
    <n v="-82000000"/>
    <n v="82000000"/>
  </r>
  <r>
    <s v="Barbados"/>
    <s v="BRB"/>
    <x v="17"/>
    <n v="0"/>
    <n v="10000000"/>
    <x v="4"/>
    <x v="3"/>
    <n v="-10000000"/>
    <n v="10000000"/>
  </r>
  <r>
    <s v="Belarus"/>
    <s v="BLR"/>
    <x v="17"/>
    <n v="5000000"/>
    <n v="0"/>
    <x v="1"/>
    <x v="1"/>
    <n v="5000000"/>
    <n v="5000000"/>
  </r>
  <r>
    <s v="Belgium"/>
    <s v="BEL"/>
    <x v="17"/>
    <n v="32000000"/>
    <n v="171000000"/>
    <x v="1"/>
    <x v="3"/>
    <n v="-139000000"/>
    <n v="203000000"/>
  </r>
  <r>
    <s v="Benin"/>
    <s v="BEN"/>
    <x v="17"/>
    <n v="0"/>
    <n v="3000000"/>
    <x v="3"/>
    <x v="2"/>
    <n v="-3000000"/>
    <n v="3000000"/>
  </r>
  <r>
    <s v="Bolivia"/>
    <s v="BOL"/>
    <x v="17"/>
    <n v="0"/>
    <n v="2000000"/>
    <x v="4"/>
    <x v="2"/>
    <n v="-2000000"/>
    <n v="2000000"/>
  </r>
  <r>
    <s v="Brazil"/>
    <s v="BRA"/>
    <x v="17"/>
    <n v="54000000"/>
    <n v="188000000"/>
    <x v="4"/>
    <x v="1"/>
    <n v="-134000000"/>
    <n v="242000000"/>
  </r>
  <r>
    <s v="Bulgaria"/>
    <s v="BGR"/>
    <x v="17"/>
    <n v="9000000"/>
    <n v="48000000"/>
    <x v="1"/>
    <x v="3"/>
    <n v="-39000000"/>
    <n v="57000000"/>
  </r>
  <r>
    <s v="Burkina Faso"/>
    <s v="BFA"/>
    <x v="17"/>
    <n v="0"/>
    <n v="4000000"/>
    <x v="3"/>
    <x v="4"/>
    <n v="-4000000"/>
    <n v="4000000"/>
  </r>
  <r>
    <s v="Cambodia"/>
    <s v="KHM"/>
    <x v="17"/>
    <n v="0"/>
    <n v="56000000"/>
    <x v="5"/>
    <x v="2"/>
    <n v="-56000000"/>
    <n v="56000000"/>
  </r>
  <r>
    <s v="Canada"/>
    <s v="CAN"/>
    <x v="17"/>
    <n v="334000000"/>
    <n v="478000000"/>
    <x v="7"/>
    <x v="3"/>
    <n v="-144000000"/>
    <n v="812000000"/>
  </r>
  <r>
    <s v="Central Europe and the Baltics"/>
    <s v="CEB"/>
    <x v="17"/>
    <n v="269000000"/>
    <n v="1419000000"/>
    <x v="0"/>
    <x v="0"/>
    <n v="-1150000000"/>
    <n v="1688000000"/>
  </r>
  <r>
    <s v="Chad"/>
    <s v="TCD"/>
    <x v="17"/>
    <n v="0"/>
    <n v="30000000"/>
    <x v="3"/>
    <x v="4"/>
    <n v="-30000000"/>
    <n v="30000000"/>
  </r>
  <r>
    <s v="Chile"/>
    <s v="CHL"/>
    <x v="17"/>
    <n v="0"/>
    <n v="659000000"/>
    <x v="4"/>
    <x v="3"/>
    <n v="-659000000"/>
    <n v="659000000"/>
  </r>
  <r>
    <s v="China"/>
    <s v="CHN"/>
    <x v="17"/>
    <n v="520000000"/>
    <n v="1699000000"/>
    <x v="5"/>
    <x v="1"/>
    <n v="-1179000000"/>
    <n v="2219000000"/>
  </r>
  <r>
    <s v="Colombia"/>
    <s v="COL"/>
    <x v="17"/>
    <n v="0"/>
    <n v="237000000"/>
    <x v="4"/>
    <x v="1"/>
    <n v="-237000000"/>
    <n v="237000000"/>
  </r>
  <r>
    <s v="Congo, Rep."/>
    <s v="COG"/>
    <x v="17"/>
    <n v="0"/>
    <n v="0"/>
    <x v="3"/>
    <x v="2"/>
    <n v="0"/>
    <n v="0"/>
  </r>
  <r>
    <s v="Croatia"/>
    <s v="HRV"/>
    <x v="17"/>
    <n v="0"/>
    <n v="20000000"/>
    <x v="1"/>
    <x v="3"/>
    <n v="-20000000"/>
    <n v="20000000"/>
  </r>
  <r>
    <s v="Cyprus"/>
    <s v="CYP"/>
    <x v="17"/>
    <n v="0"/>
    <n v="16000000"/>
    <x v="1"/>
    <x v="3"/>
    <n v="-16000000"/>
    <n v="16000000"/>
  </r>
  <r>
    <s v="Czechia"/>
    <s v="CZE"/>
    <x v="17"/>
    <n v="34000000"/>
    <n v="10000000"/>
    <x v="1"/>
    <x v="3"/>
    <n v="24000000"/>
    <n v="44000000"/>
  </r>
  <r>
    <s v="Denmark"/>
    <s v="DNK"/>
    <x v="17"/>
    <n v="6000000"/>
    <n v="133000000"/>
    <x v="1"/>
    <x v="3"/>
    <n v="-127000000"/>
    <n v="139000000"/>
  </r>
  <r>
    <s v="Early-demographic dividend"/>
    <s v="EAR"/>
    <x v="17"/>
    <n v="0"/>
    <n v="9375000000"/>
    <x v="0"/>
    <x v="0"/>
    <n v="-9375000000"/>
    <n v="9375000000"/>
  </r>
  <r>
    <s v="East Asia &amp; Pacific"/>
    <s v="EAS"/>
    <x v="17"/>
    <n v="0"/>
    <n v="6412000000"/>
    <x v="0"/>
    <x v="0"/>
    <n v="-6412000000"/>
    <n v="6412000000"/>
  </r>
  <r>
    <s v="East Asia &amp; Pacific (excluding high income)"/>
    <s v="EAP"/>
    <x v="17"/>
    <n v="539000000"/>
    <n v="3021000000"/>
    <x v="0"/>
    <x v="0"/>
    <n v="-2482000000"/>
    <n v="3560000000"/>
  </r>
  <r>
    <s v="East Asia &amp; Pacific (IDA &amp; IBRD countries)"/>
    <s v="TEA"/>
    <x v="17"/>
    <n v="524000000"/>
    <n v="3016000000"/>
    <x v="0"/>
    <x v="0"/>
    <n v="-2492000000"/>
    <n v="3540000000"/>
  </r>
  <r>
    <s v="Ecuador"/>
    <s v="ECU"/>
    <x v="17"/>
    <n v="0"/>
    <n v="2000000"/>
    <x v="4"/>
    <x v="1"/>
    <n v="-2000000"/>
    <n v="2000000"/>
  </r>
  <r>
    <s v="Egypt, Arab Rep."/>
    <s v="EGY"/>
    <x v="17"/>
    <n v="0"/>
    <n v="660000000"/>
    <x v="2"/>
    <x v="2"/>
    <n v="-660000000"/>
    <n v="660000000"/>
  </r>
  <r>
    <s v="Equatorial Guinea"/>
    <s v="GNQ"/>
    <x v="17"/>
    <n v="0"/>
    <n v="28000000"/>
    <x v="3"/>
    <x v="1"/>
    <n v="-28000000"/>
    <n v="28000000"/>
  </r>
  <r>
    <s v="Eritrea"/>
    <s v="ERI"/>
    <x v="17"/>
    <n v="0"/>
    <n v="4000000"/>
    <x v="3"/>
    <x v="4"/>
    <n v="-4000000"/>
    <n v="4000000"/>
  </r>
  <r>
    <s v="Estonia"/>
    <s v="EST"/>
    <x v="17"/>
    <n v="0"/>
    <n v="18000000"/>
    <x v="1"/>
    <x v="3"/>
    <n v="-18000000"/>
    <n v="18000000"/>
  </r>
  <r>
    <s v="Euro area"/>
    <s v="EMU"/>
    <x v="17"/>
    <n v="8236000000"/>
    <n v="3651000000"/>
    <x v="0"/>
    <x v="0"/>
    <n v="4585000000"/>
    <n v="11887000000"/>
  </r>
  <r>
    <s v="Europe &amp; Central Asia"/>
    <s v="ECS"/>
    <x v="17"/>
    <n v="16544000000"/>
    <n v="7869000000"/>
    <x v="0"/>
    <x v="0"/>
    <n v="8675000000"/>
    <n v="24413000000"/>
  </r>
  <r>
    <s v="Europe &amp; Central Asia (excluding high income)"/>
    <s v="ECA"/>
    <x v="17"/>
    <n v="884000000"/>
    <n v="0"/>
    <x v="0"/>
    <x v="0"/>
    <n v="884000000"/>
    <n v="884000000"/>
  </r>
  <r>
    <s v="Europe &amp; Central Asia (IDA &amp; IBRD countries)"/>
    <s v="TEC"/>
    <x v="17"/>
    <n v="6684000000"/>
    <n v="2373000000"/>
    <x v="0"/>
    <x v="0"/>
    <n v="4311000000"/>
    <n v="9057000000"/>
  </r>
  <r>
    <s v="European Union"/>
    <s v="EUU"/>
    <x v="17"/>
    <n v="8812000000"/>
    <n v="5111000000"/>
    <x v="0"/>
    <x v="0"/>
    <n v="3701000000"/>
    <n v="13923000000"/>
  </r>
  <r>
    <s v="Finland"/>
    <s v="FIN"/>
    <x v="17"/>
    <n v="63000000"/>
    <n v="149000000"/>
    <x v="1"/>
    <x v="3"/>
    <n v="-86000000"/>
    <n v="212000000"/>
  </r>
  <r>
    <s v="France"/>
    <s v="FRA"/>
    <x v="17"/>
    <n v="2145000000"/>
    <n v="75000000"/>
    <x v="1"/>
    <x v="3"/>
    <n v="2070000000"/>
    <n v="2220000000"/>
  </r>
  <r>
    <s v="Gabon"/>
    <s v="GAB"/>
    <x v="17"/>
    <n v="0"/>
    <n v="18000000"/>
    <x v="3"/>
    <x v="1"/>
    <n v="-18000000"/>
    <n v="18000000"/>
  </r>
  <r>
    <s v="Georgia"/>
    <s v="GEO"/>
    <x v="17"/>
    <n v="0"/>
    <n v="161000000"/>
    <x v="1"/>
    <x v="1"/>
    <n v="-161000000"/>
    <n v="161000000"/>
  </r>
  <r>
    <s v="Germany"/>
    <s v="DEU"/>
    <x v="17"/>
    <n v="3291000000"/>
    <n v="46000000"/>
    <x v="1"/>
    <x v="3"/>
    <n v="3245000000"/>
    <n v="3337000000"/>
  </r>
  <r>
    <s v="Ghana"/>
    <s v="GHA"/>
    <x v="17"/>
    <n v="0"/>
    <n v="16000000"/>
    <x v="3"/>
    <x v="2"/>
    <n v="-16000000"/>
    <n v="16000000"/>
  </r>
  <r>
    <s v="Greece"/>
    <s v="GRC"/>
    <x v="17"/>
    <n v="0"/>
    <n v="1665000000"/>
    <x v="1"/>
    <x v="3"/>
    <n v="-1665000000"/>
    <n v="1665000000"/>
  </r>
  <r>
    <s v="Guinea"/>
    <s v="GIN"/>
    <x v="17"/>
    <n v="0"/>
    <n v="0"/>
    <x v="3"/>
    <x v="2"/>
    <n v="0"/>
    <n v="0"/>
  </r>
  <r>
    <s v="High income"/>
    <s v="HIC"/>
    <x v="17"/>
    <n v="24851000000"/>
    <n v="14355000000"/>
    <x v="0"/>
    <x v="0"/>
    <n v="10496000000"/>
    <n v="39206000000"/>
  </r>
  <r>
    <s v="Hungary"/>
    <s v="HUN"/>
    <x v="17"/>
    <n v="9000000"/>
    <n v="196000000"/>
    <x v="1"/>
    <x v="3"/>
    <n v="-187000000"/>
    <n v="205000000"/>
  </r>
  <r>
    <s v="IBRD only"/>
    <s v="IBD"/>
    <x v="17"/>
    <n v="0"/>
    <n v="12570000000"/>
    <x v="0"/>
    <x v="0"/>
    <n v="-12570000000"/>
    <n v="12570000000"/>
  </r>
  <r>
    <s v="IDA &amp; IBRD total"/>
    <s v="IBT"/>
    <x v="17"/>
    <n v="0"/>
    <n v="14058000000"/>
    <x v="0"/>
    <x v="0"/>
    <n v="-14058000000"/>
    <n v="14058000000"/>
  </r>
  <r>
    <s v="IDA blend"/>
    <s v="IDB"/>
    <x v="17"/>
    <n v="0"/>
    <n v="766000000"/>
    <x v="0"/>
    <x v="0"/>
    <n v="-766000000"/>
    <n v="766000000"/>
  </r>
  <r>
    <s v="IDA only"/>
    <s v="IDX"/>
    <x v="17"/>
    <n v="0"/>
    <n v="722000000"/>
    <x v="0"/>
    <x v="0"/>
    <n v="-722000000"/>
    <n v="722000000"/>
  </r>
  <r>
    <s v="IDA total"/>
    <s v="IDA"/>
    <x v="17"/>
    <n v="0"/>
    <n v="1488000000"/>
    <x v="0"/>
    <x v="0"/>
    <n v="-1488000000"/>
    <n v="1488000000"/>
  </r>
  <r>
    <s v="India"/>
    <s v="IND"/>
    <x v="17"/>
    <n v="23000000"/>
    <n v="2300000000"/>
    <x v="6"/>
    <x v="2"/>
    <n v="-2277000000"/>
    <n v="2323000000"/>
  </r>
  <r>
    <s v="Indonesia"/>
    <s v="IDN"/>
    <x v="17"/>
    <n v="0"/>
    <n v="578000000"/>
    <x v="5"/>
    <x v="1"/>
    <n v="-578000000"/>
    <n v="578000000"/>
  </r>
  <r>
    <s v="Iran, Islamic Rep."/>
    <s v="IRN"/>
    <x v="17"/>
    <n v="2000000"/>
    <n v="325000000"/>
    <x v="2"/>
    <x v="1"/>
    <n v="-323000000"/>
    <n v="327000000"/>
  </r>
  <r>
    <s v="Iraq"/>
    <s v="IRQ"/>
    <x v="17"/>
    <n v="0"/>
    <n v="299000000"/>
    <x v="2"/>
    <x v="1"/>
    <n v="-299000000"/>
    <n v="299000000"/>
  </r>
  <r>
    <s v="Ireland"/>
    <s v="IRL"/>
    <x v="17"/>
    <n v="51000000"/>
    <n v="26000000"/>
    <x v="1"/>
    <x v="3"/>
    <n v="25000000"/>
    <n v="77000000"/>
  </r>
  <r>
    <s v="Israel"/>
    <s v="ISR"/>
    <x v="17"/>
    <n v="613000000"/>
    <n v="840000000"/>
    <x v="2"/>
    <x v="3"/>
    <n v="-227000000"/>
    <n v="1453000000"/>
  </r>
  <r>
    <s v="Italy"/>
    <s v="ITA"/>
    <x v="17"/>
    <n v="700000000"/>
    <n v="467000000"/>
    <x v="1"/>
    <x v="3"/>
    <n v="233000000"/>
    <n v="1167000000"/>
  </r>
  <r>
    <s v="Jamaica"/>
    <s v="JAM"/>
    <x v="17"/>
    <n v="0"/>
    <n v="14000000"/>
    <x v="4"/>
    <x v="1"/>
    <n v="-14000000"/>
    <n v="14000000"/>
  </r>
  <r>
    <s v="Japan"/>
    <s v="JPN"/>
    <x v="17"/>
    <n v="40000000"/>
    <n v="553000000"/>
    <x v="5"/>
    <x v="3"/>
    <n v="-513000000"/>
    <n v="593000000"/>
  </r>
  <r>
    <s v="Jordan"/>
    <s v="JOR"/>
    <x v="17"/>
    <n v="13000000"/>
    <n v="180000000"/>
    <x v="2"/>
    <x v="1"/>
    <n v="-167000000"/>
    <n v="193000000"/>
  </r>
  <r>
    <s v="Kazakhstan"/>
    <s v="KAZ"/>
    <x v="17"/>
    <n v="0"/>
    <n v="83000000"/>
    <x v="1"/>
    <x v="1"/>
    <n v="-83000000"/>
    <n v="83000000"/>
  </r>
  <r>
    <s v="Kenya"/>
    <s v="KEN"/>
    <x v="17"/>
    <n v="0"/>
    <n v="11000000"/>
    <x v="3"/>
    <x v="2"/>
    <n v="-11000000"/>
    <n v="11000000"/>
  </r>
  <r>
    <s v="Korea, Dem. People's Rep."/>
    <s v="PRK"/>
    <x v="17"/>
    <n v="15000000"/>
    <n v="5000000"/>
    <x v="5"/>
    <x v="4"/>
    <n v="10000000"/>
    <n v="20000000"/>
  </r>
  <r>
    <s v="Korea, Rep."/>
    <s v="KOR"/>
    <x v="17"/>
    <n v="278000000"/>
    <n v="1730000000"/>
    <x v="5"/>
    <x v="3"/>
    <n v="-1452000000"/>
    <n v="2008000000"/>
  </r>
  <r>
    <s v="Kuwait"/>
    <s v="KWT"/>
    <x v="17"/>
    <n v="0"/>
    <n v="288000000"/>
    <x v="2"/>
    <x v="3"/>
    <n v="-288000000"/>
    <n v="288000000"/>
  </r>
  <r>
    <s v="Kyrgyz Republic"/>
    <s v="KGZ"/>
    <x v="17"/>
    <n v="18000000"/>
    <n v="0"/>
    <x v="1"/>
    <x v="2"/>
    <n v="18000000"/>
    <n v="18000000"/>
  </r>
  <r>
    <s v="Late-demographic dividend"/>
    <s v="LTE"/>
    <x v="17"/>
    <n v="6607000000"/>
    <n v="6328000000"/>
    <x v="0"/>
    <x v="0"/>
    <n v="279000000"/>
    <n v="12935000000"/>
  </r>
  <r>
    <s v="Latvia"/>
    <s v="LVA"/>
    <x v="17"/>
    <n v="0"/>
    <n v="51000000"/>
    <x v="1"/>
    <x v="3"/>
    <n v="-51000000"/>
    <n v="51000000"/>
  </r>
  <r>
    <s v="Least developed countries: UN classification"/>
    <s v="LDC"/>
    <x v="17"/>
    <n v="0"/>
    <n v="614000000"/>
    <x v="0"/>
    <x v="0"/>
    <n v="-614000000"/>
    <n v="614000000"/>
  </r>
  <r>
    <s v="Lebanon"/>
    <s v="LBN"/>
    <x v="17"/>
    <n v="0"/>
    <n v="5000000"/>
    <x v="2"/>
    <x v="2"/>
    <n v="-5000000"/>
    <n v="5000000"/>
  </r>
  <r>
    <s v="Libya"/>
    <s v="LBY"/>
    <x v="17"/>
    <n v="9000000"/>
    <n v="16000000"/>
    <x v="2"/>
    <x v="1"/>
    <n v="-7000000"/>
    <n v="25000000"/>
  </r>
  <r>
    <s v="Lithuania"/>
    <s v="LTU"/>
    <x v="17"/>
    <n v="0"/>
    <n v="4000000"/>
    <x v="1"/>
    <x v="3"/>
    <n v="-4000000"/>
    <n v="4000000"/>
  </r>
  <r>
    <s v="Low &amp; middle income"/>
    <s v="LMY"/>
    <x v="17"/>
    <n v="0"/>
    <n v="12159000000"/>
    <x v="0"/>
    <x v="0"/>
    <n v="-12159000000"/>
    <n v="12159000000"/>
  </r>
  <r>
    <s v="Lower middle income"/>
    <s v="LMC"/>
    <x v="17"/>
    <n v="0"/>
    <n v="4916000000"/>
    <x v="0"/>
    <x v="0"/>
    <n v="-4916000000"/>
    <n v="4916000000"/>
  </r>
  <r>
    <s v="Luxembourg"/>
    <s v="LUX"/>
    <x v="17"/>
    <n v="0"/>
    <n v="0"/>
    <x v="1"/>
    <x v="3"/>
    <n v="0"/>
    <n v="0"/>
  </r>
  <r>
    <s v="Malaysia"/>
    <s v="MYS"/>
    <x v="17"/>
    <n v="0"/>
    <n v="498000000"/>
    <x v="5"/>
    <x v="1"/>
    <n v="-498000000"/>
    <n v="498000000"/>
  </r>
  <r>
    <s v="Mali"/>
    <s v="MLI"/>
    <x v="17"/>
    <n v="0"/>
    <n v="8000000"/>
    <x v="3"/>
    <x v="4"/>
    <n v="-8000000"/>
    <n v="8000000"/>
  </r>
  <r>
    <s v="Middle East, North Africa, Afghanistan &amp; Pakistan"/>
    <s v="MEA"/>
    <x v="17"/>
    <n v="0"/>
    <n v="5077000000"/>
    <x v="0"/>
    <x v="0"/>
    <n v="-5077000000"/>
    <n v="5077000000"/>
  </r>
  <r>
    <s v="Middle East, North Africa, Afghanistan &amp; Pakistan (excluding high income)"/>
    <s v="MNA"/>
    <x v="17"/>
    <n v="0"/>
    <n v="2835000000"/>
    <x v="0"/>
    <x v="0"/>
    <n v="-2835000000"/>
    <n v="2835000000"/>
  </r>
  <r>
    <s v="Middle East, North Africa, Afghanistan &amp; Pakistan (IDA &amp; IBRD)"/>
    <s v="TMN"/>
    <x v="17"/>
    <n v="0"/>
    <n v="2833000000"/>
    <x v="0"/>
    <x v="0"/>
    <n v="-2833000000"/>
    <n v="2833000000"/>
  </r>
  <r>
    <s v="Middle income"/>
    <s v="MIC"/>
    <x v="17"/>
    <n v="0"/>
    <n v="11872000000"/>
    <x v="0"/>
    <x v="0"/>
    <n v="-11872000000"/>
    <n v="11872000000"/>
  </r>
  <r>
    <s v="Moldova"/>
    <s v="MDA"/>
    <x v="17"/>
    <n v="19000000"/>
    <n v="0"/>
    <x v="1"/>
    <x v="1"/>
    <n v="19000000"/>
    <n v="19000000"/>
  </r>
  <r>
    <s v="Montenegro"/>
    <s v="MNE"/>
    <x v="17"/>
    <n v="109000000"/>
    <n v="0"/>
    <x v="1"/>
    <x v="1"/>
    <n v="109000000"/>
    <n v="109000000"/>
  </r>
  <r>
    <s v="Morocco"/>
    <s v="MAR"/>
    <x v="17"/>
    <n v="0"/>
    <n v="27000000"/>
    <x v="2"/>
    <x v="2"/>
    <n v="-27000000"/>
    <n v="27000000"/>
  </r>
  <r>
    <s v="Myanmar"/>
    <s v="MMR"/>
    <x v="17"/>
    <n v="0"/>
    <n v="153000000"/>
    <x v="5"/>
    <x v="2"/>
    <n v="-153000000"/>
    <n v="153000000"/>
  </r>
  <r>
    <s v="Netherlands"/>
    <s v="NLD"/>
    <x v="17"/>
    <n v="1228000000"/>
    <n v="221000000"/>
    <x v="1"/>
    <x v="3"/>
    <n v="1007000000"/>
    <n v="1449000000"/>
  </r>
  <r>
    <s v="New Zealand"/>
    <s v="NZL"/>
    <x v="17"/>
    <n v="0"/>
    <n v="81000000"/>
    <x v="5"/>
    <x v="3"/>
    <n v="-81000000"/>
    <n v="81000000"/>
  </r>
  <r>
    <s v="Nicaragua"/>
    <s v="NIC"/>
    <x v="17"/>
    <n v="0"/>
    <n v="14000000"/>
    <x v="4"/>
    <x v="2"/>
    <n v="-14000000"/>
    <n v="14000000"/>
  </r>
  <r>
    <s v="Nigeria"/>
    <s v="NGA"/>
    <x v="17"/>
    <n v="0"/>
    <n v="62000000"/>
    <x v="3"/>
    <x v="2"/>
    <n v="-62000000"/>
    <n v="62000000"/>
  </r>
  <r>
    <s v="North America"/>
    <s v="NAC"/>
    <x v="17"/>
    <n v="8204000000"/>
    <n v="1320000000"/>
    <x v="0"/>
    <x v="0"/>
    <n v="6884000000"/>
    <n v="9524000000"/>
  </r>
  <r>
    <s v="Norway"/>
    <s v="NOR"/>
    <x v="17"/>
    <n v="3000000"/>
    <n v="598000000"/>
    <x v="1"/>
    <x v="3"/>
    <n v="-595000000"/>
    <n v="601000000"/>
  </r>
  <r>
    <s v="OECD members"/>
    <s v="OED"/>
    <x v="17"/>
    <n v="19299000000"/>
    <n v="13162000000"/>
    <x v="0"/>
    <x v="0"/>
    <n v="6137000000"/>
    <n v="32461000000"/>
  </r>
  <r>
    <s v="Oman"/>
    <s v="OMN"/>
    <x v="17"/>
    <n v="0"/>
    <n v="12000000"/>
    <x v="2"/>
    <x v="3"/>
    <n v="-12000000"/>
    <n v="12000000"/>
  </r>
  <r>
    <s v="Pakistan"/>
    <s v="PAK"/>
    <x v="17"/>
    <n v="0"/>
    <n v="693000000"/>
    <x v="2"/>
    <x v="2"/>
    <n v="-693000000"/>
    <n v="693000000"/>
  </r>
  <r>
    <s v="Peru"/>
    <s v="PER"/>
    <x v="17"/>
    <n v="0"/>
    <n v="172000000"/>
    <x v="4"/>
    <x v="1"/>
    <n v="-172000000"/>
    <n v="172000000"/>
  </r>
  <r>
    <s v="Philippines"/>
    <s v="PHL"/>
    <x v="17"/>
    <n v="4000000"/>
    <n v="16000000"/>
    <x v="5"/>
    <x v="1"/>
    <n v="-12000000"/>
    <n v="20000000"/>
  </r>
  <r>
    <s v="Poland"/>
    <s v="POL"/>
    <x v="17"/>
    <n v="163000000"/>
    <n v="969000000"/>
    <x v="1"/>
    <x v="3"/>
    <n v="-806000000"/>
    <n v="1132000000"/>
  </r>
  <r>
    <s v="Portugal"/>
    <s v="PRT"/>
    <x v="17"/>
    <n v="0"/>
    <n v="60000000"/>
    <x v="1"/>
    <x v="3"/>
    <n v="-60000000"/>
    <n v="60000000"/>
  </r>
  <r>
    <s v="Post-demographic dividend"/>
    <s v="PST"/>
    <x v="17"/>
    <n v="19016000000"/>
    <n v="10161000000"/>
    <x v="0"/>
    <x v="0"/>
    <n v="8855000000"/>
    <n v="29177000000"/>
  </r>
  <r>
    <s v="Pre-demographic dividend"/>
    <s v="PRE"/>
    <x v="17"/>
    <n v="0"/>
    <n v="637000000"/>
    <x v="0"/>
    <x v="0"/>
    <n v="-637000000"/>
    <n v="637000000"/>
  </r>
  <r>
    <s v="Qatar"/>
    <s v="QAT"/>
    <x v="17"/>
    <n v="0"/>
    <n v="27000000"/>
    <x v="2"/>
    <x v="3"/>
    <n v="-27000000"/>
    <n v="27000000"/>
  </r>
  <r>
    <s v="Romania"/>
    <s v="ROU"/>
    <x v="17"/>
    <n v="32000000"/>
    <n v="101000000"/>
    <x v="1"/>
    <x v="3"/>
    <n v="-69000000"/>
    <n v="133000000"/>
  </r>
  <r>
    <s v="Russian Federation"/>
    <s v="RUS"/>
    <x v="17"/>
    <n v="5596000000"/>
    <n v="90000000"/>
    <x v="1"/>
    <x v="3"/>
    <n v="5506000000"/>
    <n v="5686000000"/>
  </r>
  <r>
    <s v="Rwanda"/>
    <s v="RWA"/>
    <x v="17"/>
    <n v="0"/>
    <n v="20000000"/>
    <x v="3"/>
    <x v="4"/>
    <n v="-20000000"/>
    <n v="20000000"/>
  </r>
  <r>
    <s v="Saudi Arabia"/>
    <s v="SAU"/>
    <x v="17"/>
    <n v="0"/>
    <n v="229000000"/>
    <x v="2"/>
    <x v="3"/>
    <n v="-229000000"/>
    <n v="229000000"/>
  </r>
  <r>
    <s v="Senegal"/>
    <s v="SEN"/>
    <x v="17"/>
    <n v="0"/>
    <n v="12000000"/>
    <x v="3"/>
    <x v="2"/>
    <n v="-12000000"/>
    <n v="12000000"/>
  </r>
  <r>
    <s v="Serbia"/>
    <s v="SRB"/>
    <x v="17"/>
    <n v="5000000"/>
    <n v="0"/>
    <x v="1"/>
    <x v="1"/>
    <n v="5000000"/>
    <n v="5000000"/>
  </r>
  <r>
    <s v="Singapore"/>
    <s v="SGP"/>
    <x v="17"/>
    <n v="0"/>
    <n v="396000000"/>
    <x v="5"/>
    <x v="3"/>
    <n v="-396000000"/>
    <n v="396000000"/>
  </r>
  <r>
    <s v="Slovak Republic"/>
    <s v="SVK"/>
    <x v="17"/>
    <n v="22000000"/>
    <n v="0"/>
    <x v="1"/>
    <x v="3"/>
    <n v="22000000"/>
    <n v="22000000"/>
  </r>
  <r>
    <s v="Slovenia"/>
    <s v="SVN"/>
    <x v="17"/>
    <n v="0"/>
    <n v="2000000"/>
    <x v="1"/>
    <x v="3"/>
    <n v="-2000000"/>
    <n v="2000000"/>
  </r>
  <r>
    <s v="South Africa"/>
    <s v="ZAF"/>
    <x v="17"/>
    <n v="137000000"/>
    <n v="910000000"/>
    <x v="3"/>
    <x v="1"/>
    <n v="-773000000"/>
    <n v="1047000000"/>
  </r>
  <r>
    <s v="South Asia"/>
    <s v="SAS"/>
    <x v="17"/>
    <n v="23000000"/>
    <n v="2473000000"/>
    <x v="0"/>
    <x v="0"/>
    <n v="-2450000000"/>
    <n v="2496000000"/>
  </r>
  <r>
    <s v="South Asia (IDA &amp; IBRD)"/>
    <s v="TSA"/>
    <x v="17"/>
    <n v="23000000"/>
    <n v="2473000000"/>
    <x v="0"/>
    <x v="0"/>
    <n v="-2450000000"/>
    <n v="2496000000"/>
  </r>
  <r>
    <s v="South Sudan"/>
    <s v="SSD"/>
    <x v="17"/>
    <n v="0"/>
    <n v="37000000"/>
    <x v="3"/>
    <x v="4"/>
    <n v="-37000000"/>
    <n v="37000000"/>
  </r>
  <r>
    <s v="Spain"/>
    <s v="ESP"/>
    <x v="17"/>
    <n v="628000000"/>
    <n v="343000000"/>
    <x v="1"/>
    <x v="3"/>
    <n v="285000000"/>
    <n v="971000000"/>
  </r>
  <r>
    <s v="Sri Lanka"/>
    <s v="LKA"/>
    <x v="17"/>
    <n v="0"/>
    <n v="91000000"/>
    <x v="6"/>
    <x v="1"/>
    <n v="-91000000"/>
    <n v="91000000"/>
  </r>
  <r>
    <s v="Sub-Saharan Africa"/>
    <s v="SSF"/>
    <x v="17"/>
    <n v="0"/>
    <n v="1262000000"/>
    <x v="0"/>
    <x v="0"/>
    <n v="-1262000000"/>
    <n v="1262000000"/>
  </r>
  <r>
    <s v="Sub-Saharan Africa (excluding high income)"/>
    <s v="SSA"/>
    <x v="17"/>
    <n v="0"/>
    <n v="1262000000"/>
    <x v="0"/>
    <x v="0"/>
    <n v="-1262000000"/>
    <n v="1262000000"/>
  </r>
  <r>
    <s v="Sub-Saharan Africa (IDA &amp; IBRD countries)"/>
    <s v="TSS"/>
    <x v="17"/>
    <n v="0"/>
    <n v="1262000000"/>
    <x v="0"/>
    <x v="0"/>
    <n v="-1262000000"/>
    <n v="1262000000"/>
  </r>
  <r>
    <s v="Sudan"/>
    <s v="SDN"/>
    <x v="17"/>
    <n v="0"/>
    <n v="58000000"/>
    <x v="3"/>
    <x v="4"/>
    <n v="-58000000"/>
    <n v="58000000"/>
  </r>
  <r>
    <s v="Sweden"/>
    <s v="SWE"/>
    <x v="17"/>
    <n v="332000000"/>
    <n v="51000000"/>
    <x v="1"/>
    <x v="3"/>
    <n v="281000000"/>
    <n v="383000000"/>
  </r>
  <r>
    <s v="Switzerland"/>
    <s v="CHE"/>
    <x v="17"/>
    <n v="325000000"/>
    <n v="108000000"/>
    <x v="1"/>
    <x v="3"/>
    <n v="217000000"/>
    <n v="433000000"/>
  </r>
  <r>
    <s v="Syrian Arab Republic"/>
    <s v="SYR"/>
    <x v="17"/>
    <n v="0"/>
    <n v="15000000"/>
    <x v="2"/>
    <x v="4"/>
    <n v="-15000000"/>
    <n v="15000000"/>
  </r>
  <r>
    <s v="Tajikistan"/>
    <s v="TJK"/>
    <x v="17"/>
    <n v="0"/>
    <n v="7000000"/>
    <x v="1"/>
    <x v="2"/>
    <n v="-7000000"/>
    <n v="7000000"/>
  </r>
  <r>
    <s v="Tanzania"/>
    <s v="TZA"/>
    <x v="17"/>
    <n v="0"/>
    <n v="1000000"/>
    <x v="3"/>
    <x v="2"/>
    <n v="-1000000"/>
    <n v="1000000"/>
  </r>
  <r>
    <s v="Thailand"/>
    <s v="THA"/>
    <x v="17"/>
    <n v="0"/>
    <n v="8000000"/>
    <x v="5"/>
    <x v="1"/>
    <n v="-8000000"/>
    <n v="8000000"/>
  </r>
  <r>
    <s v="Trinidad and Tobago"/>
    <s v="TTO"/>
    <x v="17"/>
    <n v="0"/>
    <n v="6000000"/>
    <x v="4"/>
    <x v="3"/>
    <n v="-6000000"/>
    <n v="6000000"/>
  </r>
  <r>
    <s v="Turkiye"/>
    <s v="TUR"/>
    <x v="17"/>
    <n v="88000000"/>
    <n v="675000000"/>
    <x v="1"/>
    <x v="1"/>
    <n v="-587000000"/>
    <n v="763000000"/>
  </r>
  <r>
    <s v="Uganda"/>
    <s v="UGA"/>
    <x v="17"/>
    <n v="0"/>
    <n v="0"/>
    <x v="3"/>
    <x v="4"/>
    <n v="0"/>
    <n v="0"/>
  </r>
  <r>
    <s v="Ukraine"/>
    <s v="UKR"/>
    <x v="17"/>
    <n v="640000000"/>
    <n v="0"/>
    <x v="1"/>
    <x v="1"/>
    <n v="640000000"/>
    <n v="640000000"/>
  </r>
  <r>
    <s v="United Arab Emirates"/>
    <s v="ARE"/>
    <x v="17"/>
    <n v="3000000"/>
    <n v="819000000"/>
    <x v="2"/>
    <x v="3"/>
    <n v="-816000000"/>
    <n v="822000000"/>
  </r>
  <r>
    <s v="United Kingdom"/>
    <s v="GBR"/>
    <x v="17"/>
    <n v="924000000"/>
    <n v="817000000"/>
    <x v="1"/>
    <x v="3"/>
    <n v="107000000"/>
    <n v="1741000000"/>
  </r>
  <r>
    <s v="United States"/>
    <s v="USA"/>
    <x v="17"/>
    <n v="7870000000"/>
    <n v="842000000"/>
    <x v="7"/>
    <x v="3"/>
    <n v="7028000000"/>
    <n v="8712000000"/>
  </r>
  <r>
    <s v="Upper middle income"/>
    <s v="UMC"/>
    <x v="17"/>
    <n v="0"/>
    <n v="6956000000"/>
    <x v="0"/>
    <x v="0"/>
    <n v="-6956000000"/>
    <n v="6956000000"/>
  </r>
  <r>
    <s v="Uruguay"/>
    <s v="URY"/>
    <x v="17"/>
    <n v="0"/>
    <n v="3000000"/>
    <x v="4"/>
    <x v="3"/>
    <n v="-3000000"/>
    <n v="3000000"/>
  </r>
  <r>
    <s v="Venezuela, RB"/>
    <s v="VEN"/>
    <x v="17"/>
    <n v="0"/>
    <n v="770000000"/>
    <x v="4"/>
    <x v="2"/>
    <n v="-770000000"/>
    <n v="770000000"/>
  </r>
  <r>
    <s v="Viet Nam"/>
    <s v="VNM"/>
    <x v="17"/>
    <n v="0"/>
    <n v="8000000"/>
    <x v="5"/>
    <x v="1"/>
    <n v="-8000000"/>
    <n v="8000000"/>
  </r>
  <r>
    <s v="West Bank and Gaza"/>
    <s v="PSE"/>
    <x v="17"/>
    <n v="0"/>
    <n v="2000000"/>
    <x v="2"/>
    <x v="2"/>
    <n v="-2000000"/>
    <n v="2000000"/>
  </r>
  <r>
    <s v="World"/>
    <s v="WLD"/>
    <x v="17"/>
    <n v="26511000000"/>
    <n v="26514000000"/>
    <x v="0"/>
    <x v="0"/>
    <n v="-3000000"/>
    <n v="53025000000"/>
  </r>
  <r>
    <s v="Yemen, Rep."/>
    <s v="YEM"/>
    <x v="17"/>
    <n v="0"/>
    <n v="66000000"/>
    <x v="2"/>
    <x v="4"/>
    <n v="-66000000"/>
    <n v="66000000"/>
  </r>
  <r>
    <s v="Zambia"/>
    <s v="ZMB"/>
    <x v="17"/>
    <n v="0"/>
    <n v="5000000"/>
    <x v="3"/>
    <x v="2"/>
    <n v="-5000000"/>
    <n v="5000000"/>
  </r>
  <r>
    <s v="Afghanistan"/>
    <s v="AFG"/>
    <x v="18"/>
    <n v="0"/>
    <n v="3000000"/>
    <x v="2"/>
    <x v="4"/>
    <n v="-3000000"/>
    <n v="3000000"/>
  </r>
  <r>
    <s v="Africa Eastern and Southern"/>
    <s v="AFE"/>
    <x v="18"/>
    <n v="0"/>
    <n v="1035000000"/>
    <x v="0"/>
    <x v="0"/>
    <n v="-1035000000"/>
    <n v="1035000000"/>
  </r>
  <r>
    <s v="Africa Western and Central"/>
    <s v="AFW"/>
    <x v="18"/>
    <n v="0"/>
    <n v="102000000"/>
    <x v="0"/>
    <x v="0"/>
    <n v="-102000000"/>
    <n v="102000000"/>
  </r>
  <r>
    <s v="Algeria"/>
    <s v="DZA"/>
    <x v="18"/>
    <n v="0"/>
    <n v="340000000"/>
    <x v="2"/>
    <x v="1"/>
    <n v="-340000000"/>
    <n v="340000000"/>
  </r>
  <r>
    <s v="Angola"/>
    <s v="AGO"/>
    <x v="18"/>
    <n v="0"/>
    <n v="7000000"/>
    <x v="3"/>
    <x v="2"/>
    <n v="-7000000"/>
    <n v="7000000"/>
  </r>
  <r>
    <s v="Arab World"/>
    <s v="ARB"/>
    <x v="18"/>
    <n v="0"/>
    <n v="4198000000"/>
    <x v="0"/>
    <x v="0"/>
    <n v="-4198000000"/>
    <n v="4198000000"/>
  </r>
  <r>
    <s v="Argentina"/>
    <s v="ARG"/>
    <x v="18"/>
    <n v="2000000"/>
    <n v="9000000"/>
    <x v="4"/>
    <x v="1"/>
    <n v="-7000000"/>
    <n v="11000000"/>
  </r>
  <r>
    <s v="Armenia"/>
    <s v="ARM"/>
    <x v="18"/>
    <n v="4000000"/>
    <n v="0"/>
    <x v="1"/>
    <x v="1"/>
    <n v="4000000"/>
    <n v="4000000"/>
  </r>
  <r>
    <s v="Australia"/>
    <s v="AUS"/>
    <x v="18"/>
    <n v="26000000"/>
    <n v="721000000"/>
    <x v="5"/>
    <x v="3"/>
    <n v="-695000000"/>
    <n v="747000000"/>
  </r>
  <r>
    <s v="Austria"/>
    <s v="AUT"/>
    <x v="18"/>
    <n v="62000000"/>
    <n v="5000000"/>
    <x v="1"/>
    <x v="3"/>
    <n v="57000000"/>
    <n v="67000000"/>
  </r>
  <r>
    <s v="Azerbaijan"/>
    <s v="AZE"/>
    <x v="18"/>
    <n v="0"/>
    <n v="168000000"/>
    <x v="1"/>
    <x v="1"/>
    <n v="-168000000"/>
    <n v="168000000"/>
  </r>
  <r>
    <s v="Bahrain"/>
    <s v="BHR"/>
    <x v="18"/>
    <n v="0"/>
    <n v="63000000"/>
    <x v="2"/>
    <x v="3"/>
    <n v="-63000000"/>
    <n v="63000000"/>
  </r>
  <r>
    <s v="Bangladesh"/>
    <s v="BGD"/>
    <x v="18"/>
    <n v="0"/>
    <n v="221000000"/>
    <x v="6"/>
    <x v="2"/>
    <n v="-221000000"/>
    <n v="221000000"/>
  </r>
  <r>
    <s v="Belarus"/>
    <s v="BLR"/>
    <x v="18"/>
    <n v="43000000"/>
    <n v="140000000"/>
    <x v="1"/>
    <x v="1"/>
    <n v="-97000000"/>
    <n v="183000000"/>
  </r>
  <r>
    <s v="Belgium"/>
    <s v="BEL"/>
    <x v="18"/>
    <n v="59000000"/>
    <n v="15000000"/>
    <x v="1"/>
    <x v="3"/>
    <n v="44000000"/>
    <n v="74000000"/>
  </r>
  <r>
    <s v="Bolivia"/>
    <s v="BOL"/>
    <x v="18"/>
    <n v="0"/>
    <n v="9000000"/>
    <x v="4"/>
    <x v="2"/>
    <n v="-9000000"/>
    <n v="9000000"/>
  </r>
  <r>
    <s v="Brazil"/>
    <s v="BRA"/>
    <x v="18"/>
    <n v="44000000"/>
    <n v="178000000"/>
    <x v="4"/>
    <x v="1"/>
    <n v="-134000000"/>
    <n v="222000000"/>
  </r>
  <r>
    <s v="Brunei Darussalam"/>
    <s v="BRN"/>
    <x v="18"/>
    <n v="0"/>
    <n v="1000000"/>
    <x v="5"/>
    <x v="3"/>
    <n v="-1000000"/>
    <n v="1000000"/>
  </r>
  <r>
    <s v="Bulgaria"/>
    <s v="BGR"/>
    <x v="18"/>
    <n v="5000000"/>
    <n v="22000000"/>
    <x v="1"/>
    <x v="3"/>
    <n v="-17000000"/>
    <n v="27000000"/>
  </r>
  <r>
    <s v="Burkina Faso"/>
    <s v="BFA"/>
    <x v="18"/>
    <n v="0"/>
    <n v="4000000"/>
    <x v="3"/>
    <x v="4"/>
    <n v="-4000000"/>
    <n v="4000000"/>
  </r>
  <r>
    <s v="Cambodia"/>
    <s v="KHM"/>
    <x v="18"/>
    <n v="0"/>
    <n v="14000000"/>
    <x v="5"/>
    <x v="2"/>
    <n v="-14000000"/>
    <n v="14000000"/>
  </r>
  <r>
    <s v="Cameroon"/>
    <s v="CMR"/>
    <x v="18"/>
    <n v="0"/>
    <n v="3000000"/>
    <x v="3"/>
    <x v="2"/>
    <n v="-3000000"/>
    <n v="3000000"/>
  </r>
  <r>
    <s v="Canada"/>
    <s v="CAN"/>
    <x v="18"/>
    <n v="254000000"/>
    <n v="97000000"/>
    <x v="7"/>
    <x v="3"/>
    <n v="157000000"/>
    <n v="351000000"/>
  </r>
  <r>
    <s v="Central African Republic"/>
    <s v="CAF"/>
    <x v="18"/>
    <n v="0"/>
    <n v="9000000"/>
    <x v="3"/>
    <x v="4"/>
    <n v="-9000000"/>
    <n v="9000000"/>
  </r>
  <r>
    <s v="Central Europe and the Baltics"/>
    <s v="CEB"/>
    <x v="18"/>
    <n v="342000000"/>
    <n v="896000000"/>
    <x v="0"/>
    <x v="0"/>
    <n v="-554000000"/>
    <n v="1238000000"/>
  </r>
  <r>
    <s v="Chad"/>
    <s v="TCD"/>
    <x v="18"/>
    <n v="0"/>
    <n v="18000000"/>
    <x v="3"/>
    <x v="4"/>
    <n v="-18000000"/>
    <n v="18000000"/>
  </r>
  <r>
    <s v="Chile"/>
    <s v="CHL"/>
    <x v="18"/>
    <n v="0"/>
    <n v="1097000000"/>
    <x v="4"/>
    <x v="3"/>
    <n v="-1097000000"/>
    <n v="1097000000"/>
  </r>
  <r>
    <s v="China"/>
    <s v="CHN"/>
    <x v="18"/>
    <n v="769000000"/>
    <n v="2831000000"/>
    <x v="5"/>
    <x v="1"/>
    <n v="-2062000000"/>
    <n v="3600000000"/>
  </r>
  <r>
    <s v="Colombia"/>
    <s v="COL"/>
    <x v="18"/>
    <n v="0"/>
    <n v="54000000"/>
    <x v="4"/>
    <x v="1"/>
    <n v="-54000000"/>
    <n v="54000000"/>
  </r>
  <r>
    <s v="Congo, Dem. Rep."/>
    <s v="COD"/>
    <x v="18"/>
    <n v="0"/>
    <n v="24000000"/>
    <x v="3"/>
    <x v="4"/>
    <n v="-24000000"/>
    <n v="24000000"/>
  </r>
  <r>
    <s v="Congo, Rep."/>
    <s v="COG"/>
    <x v="18"/>
    <n v="0"/>
    <n v="1000000"/>
    <x v="3"/>
    <x v="2"/>
    <n v="-1000000"/>
    <n v="1000000"/>
  </r>
  <r>
    <s v="Cyprus"/>
    <s v="CYP"/>
    <x v="18"/>
    <n v="0"/>
    <n v="22000000"/>
    <x v="1"/>
    <x v="3"/>
    <n v="-22000000"/>
    <n v="22000000"/>
  </r>
  <r>
    <s v="Czechia"/>
    <s v="CZE"/>
    <x v="18"/>
    <n v="44000000"/>
    <n v="46000000"/>
    <x v="1"/>
    <x v="3"/>
    <n v="-2000000"/>
    <n v="90000000"/>
  </r>
  <r>
    <s v="Denmark"/>
    <s v="DNK"/>
    <x v="18"/>
    <n v="5000000"/>
    <n v="86000000"/>
    <x v="1"/>
    <x v="3"/>
    <n v="-81000000"/>
    <n v="91000000"/>
  </r>
  <r>
    <s v="Early-demographic dividend"/>
    <s v="EAR"/>
    <x v="18"/>
    <n v="0"/>
    <n v="7518000000"/>
    <x v="0"/>
    <x v="0"/>
    <n v="-7518000000"/>
    <n v="7518000000"/>
  </r>
  <r>
    <s v="East Asia &amp; Pacific"/>
    <s v="EAS"/>
    <x v="18"/>
    <n v="0"/>
    <n v="6899000000"/>
    <x v="0"/>
    <x v="0"/>
    <n v="-6899000000"/>
    <n v="6899000000"/>
  </r>
  <r>
    <s v="East Asia &amp; Pacific (excluding high income)"/>
    <s v="EAP"/>
    <x v="18"/>
    <n v="886000000"/>
    <n v="3467000000"/>
    <x v="0"/>
    <x v="0"/>
    <n v="-2581000000"/>
    <n v="4353000000"/>
  </r>
  <r>
    <s v="East Asia &amp; Pacific (IDA &amp; IBRD countries)"/>
    <s v="TEA"/>
    <x v="18"/>
    <n v="871000000"/>
    <n v="3462000000"/>
    <x v="0"/>
    <x v="0"/>
    <n v="-2591000000"/>
    <n v="4333000000"/>
  </r>
  <r>
    <s v="Ecuador"/>
    <s v="ECU"/>
    <x v="18"/>
    <n v="0"/>
    <n v="47000000"/>
    <x v="4"/>
    <x v="1"/>
    <n v="-47000000"/>
    <n v="47000000"/>
  </r>
  <r>
    <s v="Egypt, Arab Rep."/>
    <s v="EGY"/>
    <x v="18"/>
    <n v="0"/>
    <n v="695000000"/>
    <x v="2"/>
    <x v="2"/>
    <n v="-695000000"/>
    <n v="695000000"/>
  </r>
  <r>
    <s v="Equatorial Guinea"/>
    <s v="GNQ"/>
    <x v="18"/>
    <n v="0"/>
    <n v="7000000"/>
    <x v="3"/>
    <x v="1"/>
    <n v="-7000000"/>
    <n v="7000000"/>
  </r>
  <r>
    <s v="Eritrea"/>
    <s v="ERI"/>
    <x v="18"/>
    <n v="0"/>
    <n v="0"/>
    <x v="3"/>
    <x v="4"/>
    <n v="0"/>
    <n v="0"/>
  </r>
  <r>
    <s v="Estonia"/>
    <s v="EST"/>
    <x v="18"/>
    <n v="0"/>
    <n v="4000000"/>
    <x v="1"/>
    <x v="3"/>
    <n v="-4000000"/>
    <n v="4000000"/>
  </r>
  <r>
    <s v="Euro area"/>
    <s v="EMU"/>
    <x v="18"/>
    <n v="6878000000"/>
    <n v="2698000000"/>
    <x v="0"/>
    <x v="0"/>
    <n v="4180000000"/>
    <n v="9576000000"/>
  </r>
  <r>
    <s v="Europe &amp; Central Asia"/>
    <s v="ECS"/>
    <x v="18"/>
    <n v="14825000000"/>
    <n v="5717000000"/>
    <x v="0"/>
    <x v="0"/>
    <n v="9108000000"/>
    <n v="20542000000"/>
  </r>
  <r>
    <s v="Europe &amp; Central Asia (excluding high income)"/>
    <s v="ECA"/>
    <x v="18"/>
    <n v="751000000"/>
    <n v="990000000"/>
    <x v="0"/>
    <x v="0"/>
    <n v="-239000000"/>
    <n v="1741000000"/>
  </r>
  <r>
    <s v="Europe &amp; Central Asia (IDA &amp; IBRD countries)"/>
    <s v="TEC"/>
    <x v="18"/>
    <n v="6228000000"/>
    <n v="0"/>
    <x v="0"/>
    <x v="0"/>
    <n v="6228000000"/>
    <n v="6228000000"/>
  </r>
  <r>
    <s v="European Union"/>
    <s v="EUU"/>
    <x v="18"/>
    <n v="7601000000"/>
    <n v="3710000000"/>
    <x v="0"/>
    <x v="0"/>
    <n v="3891000000"/>
    <n v="11311000000"/>
  </r>
  <r>
    <s v="Finland"/>
    <s v="FIN"/>
    <x v="18"/>
    <n v="124000000"/>
    <n v="132000000"/>
    <x v="1"/>
    <x v="3"/>
    <n v="-8000000"/>
    <n v="256000000"/>
  </r>
  <r>
    <s v="France"/>
    <s v="FRA"/>
    <x v="18"/>
    <n v="1484000000"/>
    <n v="68000000"/>
    <x v="1"/>
    <x v="3"/>
    <n v="1416000000"/>
    <n v="1552000000"/>
  </r>
  <r>
    <s v="Gabon"/>
    <s v="GAB"/>
    <x v="18"/>
    <n v="0"/>
    <n v="20000000"/>
    <x v="3"/>
    <x v="1"/>
    <n v="-20000000"/>
    <n v="20000000"/>
  </r>
  <r>
    <s v="Georgia"/>
    <s v="GEO"/>
    <x v="18"/>
    <n v="0"/>
    <n v="97000000"/>
    <x v="1"/>
    <x v="1"/>
    <n v="-97000000"/>
    <n v="97000000"/>
  </r>
  <r>
    <s v="Germany"/>
    <s v="DEU"/>
    <x v="18"/>
    <n v="2482000000"/>
    <n v="413000000"/>
    <x v="1"/>
    <x v="3"/>
    <n v="2069000000"/>
    <n v="2895000000"/>
  </r>
  <r>
    <s v="Greece"/>
    <s v="GRC"/>
    <x v="18"/>
    <n v="23000000"/>
    <n v="719000000"/>
    <x v="1"/>
    <x v="3"/>
    <n v="-696000000"/>
    <n v="742000000"/>
  </r>
  <r>
    <s v="High income"/>
    <s v="HIC"/>
    <x v="18"/>
    <n v="22497000000"/>
    <n v="13689000000"/>
    <x v="0"/>
    <x v="0"/>
    <n v="8808000000"/>
    <n v="36186000000"/>
  </r>
  <r>
    <s v="Hungary"/>
    <s v="HUN"/>
    <x v="18"/>
    <n v="0"/>
    <n v="253000000"/>
    <x v="1"/>
    <x v="3"/>
    <n v="-253000000"/>
    <n v="253000000"/>
  </r>
  <r>
    <s v="IBRD only"/>
    <s v="IBD"/>
    <x v="18"/>
    <n v="7463000000"/>
    <n v="11019000000"/>
    <x v="0"/>
    <x v="0"/>
    <n v="-3556000000"/>
    <n v="18482000000"/>
  </r>
  <r>
    <s v="IDA &amp; IBRD total"/>
    <s v="IBT"/>
    <x v="18"/>
    <n v="7488000000"/>
    <n v="12333000000"/>
    <x v="0"/>
    <x v="0"/>
    <n v="-4845000000"/>
    <n v="19821000000"/>
  </r>
  <r>
    <s v="IDA blend"/>
    <s v="IDB"/>
    <x v="18"/>
    <n v="0"/>
    <n v="369000000"/>
    <x v="0"/>
    <x v="0"/>
    <n v="-369000000"/>
    <n v="369000000"/>
  </r>
  <r>
    <s v="IDA total"/>
    <s v="IDA"/>
    <x v="18"/>
    <n v="0"/>
    <n v="1314000000"/>
    <x v="0"/>
    <x v="0"/>
    <n v="-1314000000"/>
    <n v="1314000000"/>
  </r>
  <r>
    <s v="India"/>
    <s v="IND"/>
    <x v="18"/>
    <n v="33000000"/>
    <n v="1487000000"/>
    <x v="6"/>
    <x v="2"/>
    <n v="-1454000000"/>
    <n v="1520000000"/>
  </r>
  <r>
    <s v="Indonesia"/>
    <s v="IDN"/>
    <x v="18"/>
    <n v="9000000"/>
    <n v="63000000"/>
    <x v="5"/>
    <x v="1"/>
    <n v="-54000000"/>
    <n v="72000000"/>
  </r>
  <r>
    <s v="Iran, Islamic Rep."/>
    <s v="IRN"/>
    <x v="18"/>
    <n v="78000000"/>
    <n v="418000000"/>
    <x v="2"/>
    <x v="1"/>
    <n v="-340000000"/>
    <n v="496000000"/>
  </r>
  <r>
    <s v="Iraq"/>
    <s v="IRQ"/>
    <x v="18"/>
    <n v="0"/>
    <n v="306000000"/>
    <x v="2"/>
    <x v="1"/>
    <n v="-306000000"/>
    <n v="306000000"/>
  </r>
  <r>
    <s v="Ireland"/>
    <s v="IRL"/>
    <x v="18"/>
    <n v="53000000"/>
    <n v="13000000"/>
    <x v="1"/>
    <x v="3"/>
    <n v="40000000"/>
    <n v="66000000"/>
  </r>
  <r>
    <s v="Israel"/>
    <s v="ISR"/>
    <x v="18"/>
    <n v="451000000"/>
    <n v="1125000000"/>
    <x v="2"/>
    <x v="3"/>
    <n v="-674000000"/>
    <n v="1576000000"/>
  </r>
  <r>
    <s v="Italy"/>
    <s v="ITA"/>
    <x v="18"/>
    <n v="538000000"/>
    <n v="384000000"/>
    <x v="1"/>
    <x v="3"/>
    <n v="154000000"/>
    <n v="922000000"/>
  </r>
  <r>
    <s v="Jamaica"/>
    <s v="JAM"/>
    <x v="18"/>
    <n v="0"/>
    <n v="10000000"/>
    <x v="4"/>
    <x v="1"/>
    <n v="-10000000"/>
    <n v="10000000"/>
  </r>
  <r>
    <s v="Japan"/>
    <s v="JPN"/>
    <x v="18"/>
    <n v="0"/>
    <n v="469000000"/>
    <x v="5"/>
    <x v="3"/>
    <n v="-469000000"/>
    <n v="469000000"/>
  </r>
  <r>
    <s v="Jordan"/>
    <s v="JOR"/>
    <x v="18"/>
    <n v="0"/>
    <n v="50000000"/>
    <x v="2"/>
    <x v="1"/>
    <n v="-50000000"/>
    <n v="50000000"/>
  </r>
  <r>
    <s v="Kazakhstan"/>
    <s v="KAZ"/>
    <x v="18"/>
    <n v="6000000"/>
    <n v="46000000"/>
    <x v="1"/>
    <x v="1"/>
    <n v="-40000000"/>
    <n v="52000000"/>
  </r>
  <r>
    <s v="Korea, Dem. People's Rep."/>
    <s v="PRK"/>
    <x v="18"/>
    <n v="15000000"/>
    <n v="5000000"/>
    <x v="5"/>
    <x v="4"/>
    <n v="10000000"/>
    <n v="20000000"/>
  </r>
  <r>
    <s v="Korea, Rep."/>
    <s v="KOR"/>
    <x v="18"/>
    <n v="158000000"/>
    <n v="1658000000"/>
    <x v="5"/>
    <x v="3"/>
    <n v="-1500000000"/>
    <n v="1816000000"/>
  </r>
  <r>
    <s v="Kuwait"/>
    <s v="KWT"/>
    <x v="18"/>
    <n v="0"/>
    <n v="5000000"/>
    <x v="2"/>
    <x v="3"/>
    <n v="-5000000"/>
    <n v="5000000"/>
  </r>
  <r>
    <s v="Kyrgyz Republic"/>
    <s v="KGZ"/>
    <x v="18"/>
    <n v="18000000"/>
    <n v="2000000"/>
    <x v="1"/>
    <x v="2"/>
    <n v="16000000"/>
    <n v="20000000"/>
  </r>
  <r>
    <s v="Late-demographic dividend"/>
    <s v="LTE"/>
    <x v="18"/>
    <n v="6575000000"/>
    <n v="7748000000"/>
    <x v="0"/>
    <x v="0"/>
    <n v="-1173000000"/>
    <n v="14323000000"/>
  </r>
  <r>
    <s v="Latin America &amp; Caribbean"/>
    <s v="LCN"/>
    <x v="18"/>
    <n v="0"/>
    <n v="2063000000"/>
    <x v="0"/>
    <x v="0"/>
    <n v="-2063000000"/>
    <n v="2063000000"/>
  </r>
  <r>
    <s v="Latin America &amp; Caribbean (excluding high income)"/>
    <s v="LAC"/>
    <x v="18"/>
    <n v="0"/>
    <n v="958000000"/>
    <x v="0"/>
    <x v="0"/>
    <n v="-958000000"/>
    <n v="958000000"/>
  </r>
  <r>
    <s v="Latin America &amp; the Caribbean (IDA &amp; IBRD countries)"/>
    <s v="TLA"/>
    <x v="18"/>
    <n v="0"/>
    <n v="2063000000"/>
    <x v="0"/>
    <x v="0"/>
    <n v="-2063000000"/>
    <n v="2063000000"/>
  </r>
  <r>
    <s v="Latvia"/>
    <s v="LVA"/>
    <x v="18"/>
    <n v="0"/>
    <n v="9000000"/>
    <x v="1"/>
    <x v="3"/>
    <n v="-9000000"/>
    <n v="9000000"/>
  </r>
  <r>
    <s v="Least developed countries: UN classification"/>
    <s v="LDC"/>
    <x v="18"/>
    <n v="0"/>
    <n v="731000000"/>
    <x v="0"/>
    <x v="0"/>
    <n v="-731000000"/>
    <n v="731000000"/>
  </r>
  <r>
    <s v="Lesotho"/>
    <s v="LSO"/>
    <x v="18"/>
    <n v="0"/>
    <n v="1000000"/>
    <x v="3"/>
    <x v="2"/>
    <n v="-1000000"/>
    <n v="1000000"/>
  </r>
  <r>
    <s v="Libya"/>
    <s v="LBY"/>
    <x v="18"/>
    <n v="18000000"/>
    <n v="16000000"/>
    <x v="2"/>
    <x v="1"/>
    <n v="2000000"/>
    <n v="34000000"/>
  </r>
  <r>
    <s v="Lithuania"/>
    <s v="LTU"/>
    <x v="18"/>
    <n v="0"/>
    <n v="53000000"/>
    <x v="1"/>
    <x v="3"/>
    <n v="-53000000"/>
    <n v="53000000"/>
  </r>
  <r>
    <s v="Low &amp; middle income"/>
    <s v="LMY"/>
    <x v="18"/>
    <n v="2026000000"/>
    <n v="10705000000"/>
    <x v="0"/>
    <x v="0"/>
    <n v="-8679000000"/>
    <n v="12731000000"/>
  </r>
  <r>
    <s v="Low income"/>
    <s v="LIC"/>
    <x v="18"/>
    <n v="0"/>
    <n v="325000000"/>
    <x v="0"/>
    <x v="0"/>
    <n v="-325000000"/>
    <n v="325000000"/>
  </r>
  <r>
    <s v="Lower middle income"/>
    <s v="LMC"/>
    <x v="18"/>
    <n v="0"/>
    <n v="3585000000"/>
    <x v="0"/>
    <x v="0"/>
    <n v="-3585000000"/>
    <n v="3585000000"/>
  </r>
  <r>
    <s v="Malaysia"/>
    <s v="MYS"/>
    <x v="18"/>
    <n v="0"/>
    <n v="184000000"/>
    <x v="5"/>
    <x v="1"/>
    <n v="-184000000"/>
    <n v="184000000"/>
  </r>
  <r>
    <s v="Maldives"/>
    <s v="MDV"/>
    <x v="18"/>
    <n v="0"/>
    <n v="15000000"/>
    <x v="6"/>
    <x v="1"/>
    <n v="-15000000"/>
    <n v="15000000"/>
  </r>
  <r>
    <s v="Mexico"/>
    <s v="MEX"/>
    <x v="18"/>
    <n v="0"/>
    <n v="78000000"/>
    <x v="4"/>
    <x v="1"/>
    <n v="-78000000"/>
    <n v="78000000"/>
  </r>
  <r>
    <s v="Middle East, North Africa, Afghanistan &amp; Pakistan"/>
    <s v="MEA"/>
    <x v="18"/>
    <n v="0"/>
    <n v="5956000000"/>
    <x v="0"/>
    <x v="0"/>
    <n v="-5956000000"/>
    <n v="5956000000"/>
  </r>
  <r>
    <s v="Middle East, North Africa, Afghanistan &amp; Pakistan (excluding high income)"/>
    <s v="MNA"/>
    <x v="18"/>
    <n v="0"/>
    <n v="2334000000"/>
    <x v="0"/>
    <x v="0"/>
    <n v="-2334000000"/>
    <n v="2334000000"/>
  </r>
  <r>
    <s v="Middle East, North Africa, Afghanistan &amp; Pakistan (IDA &amp; IBRD)"/>
    <s v="TMN"/>
    <x v="18"/>
    <n v="0"/>
    <n v="2334000000"/>
    <x v="0"/>
    <x v="0"/>
    <n v="-2334000000"/>
    <n v="2334000000"/>
  </r>
  <r>
    <s v="Middle income"/>
    <s v="MIC"/>
    <x v="18"/>
    <n v="2008000000"/>
    <n v="10380000000"/>
    <x v="0"/>
    <x v="0"/>
    <n v="-8372000000"/>
    <n v="12388000000"/>
  </r>
  <r>
    <s v="Moldova"/>
    <s v="MDA"/>
    <x v="18"/>
    <n v="3000000"/>
    <n v="0"/>
    <x v="1"/>
    <x v="1"/>
    <n v="3000000"/>
    <n v="3000000"/>
  </r>
  <r>
    <s v="Montenegro"/>
    <s v="MNE"/>
    <x v="18"/>
    <n v="71000000"/>
    <n v="0"/>
    <x v="1"/>
    <x v="1"/>
    <n v="71000000"/>
    <n v="71000000"/>
  </r>
  <r>
    <s v="Morocco"/>
    <s v="MAR"/>
    <x v="18"/>
    <n v="0"/>
    <n v="47000000"/>
    <x v="2"/>
    <x v="2"/>
    <n v="-47000000"/>
    <n v="47000000"/>
  </r>
  <r>
    <s v="Myanmar"/>
    <s v="MMR"/>
    <x v="18"/>
    <n v="0"/>
    <n v="206000000"/>
    <x v="5"/>
    <x v="2"/>
    <n v="-206000000"/>
    <n v="206000000"/>
  </r>
  <r>
    <s v="Namibia"/>
    <s v="NAM"/>
    <x v="18"/>
    <n v="0"/>
    <n v="75000000"/>
    <x v="3"/>
    <x v="2"/>
    <n v="-75000000"/>
    <n v="75000000"/>
  </r>
  <r>
    <s v="Netherlands"/>
    <s v="NLD"/>
    <x v="18"/>
    <n v="1147000000"/>
    <n v="304000000"/>
    <x v="1"/>
    <x v="3"/>
    <n v="843000000"/>
    <n v="1451000000"/>
  </r>
  <r>
    <s v="New Zealand"/>
    <s v="NZL"/>
    <x v="18"/>
    <n v="0"/>
    <n v="6000000"/>
    <x v="5"/>
    <x v="3"/>
    <n v="-6000000"/>
    <n v="6000000"/>
  </r>
  <r>
    <s v="Nigeria"/>
    <s v="NGA"/>
    <x v="18"/>
    <n v="0"/>
    <n v="16000000"/>
    <x v="3"/>
    <x v="2"/>
    <n v="-16000000"/>
    <n v="16000000"/>
  </r>
  <r>
    <s v="North America"/>
    <s v="NAC"/>
    <x v="18"/>
    <n v="7751000000"/>
    <n v="803000000"/>
    <x v="0"/>
    <x v="0"/>
    <n v="6948000000"/>
    <n v="8554000000"/>
  </r>
  <r>
    <s v="North Macedonia"/>
    <s v="MKD"/>
    <x v="18"/>
    <n v="0"/>
    <n v="0"/>
    <x v="1"/>
    <x v="1"/>
    <n v="0"/>
    <n v="0"/>
  </r>
  <r>
    <s v="Norway"/>
    <s v="NOR"/>
    <x v="18"/>
    <n v="14000000"/>
    <n v="559000000"/>
    <x v="1"/>
    <x v="3"/>
    <n v="-545000000"/>
    <n v="573000000"/>
  </r>
  <r>
    <s v="OECD members"/>
    <s v="OED"/>
    <x v="18"/>
    <n v="17333000000"/>
    <n v="11154000000"/>
    <x v="0"/>
    <x v="0"/>
    <n v="6179000000"/>
    <n v="28487000000"/>
  </r>
  <r>
    <s v="Oman"/>
    <s v="OMN"/>
    <x v="18"/>
    <n v="0"/>
    <n v="297000000"/>
    <x v="2"/>
    <x v="3"/>
    <n v="-297000000"/>
    <n v="297000000"/>
  </r>
  <r>
    <s v="Pakistan"/>
    <s v="PAK"/>
    <x v="18"/>
    <n v="4000000"/>
    <n v="324000000"/>
    <x v="2"/>
    <x v="2"/>
    <n v="-320000000"/>
    <n v="328000000"/>
  </r>
  <r>
    <s v="Peru"/>
    <s v="PER"/>
    <x v="18"/>
    <n v="0"/>
    <n v="193000000"/>
    <x v="4"/>
    <x v="1"/>
    <n v="-193000000"/>
    <n v="193000000"/>
  </r>
  <r>
    <s v="Philippines"/>
    <s v="PHL"/>
    <x v="18"/>
    <n v="0"/>
    <n v="23000000"/>
    <x v="5"/>
    <x v="1"/>
    <n v="-23000000"/>
    <n v="23000000"/>
  </r>
  <r>
    <s v="Poland"/>
    <s v="POL"/>
    <x v="18"/>
    <n v="282000000"/>
    <n v="442000000"/>
    <x v="1"/>
    <x v="3"/>
    <n v="-160000000"/>
    <n v="724000000"/>
  </r>
  <r>
    <s v="Portugal"/>
    <s v="PRT"/>
    <x v="18"/>
    <n v="0"/>
    <n v="220000000"/>
    <x v="1"/>
    <x v="3"/>
    <n v="-220000000"/>
    <n v="220000000"/>
  </r>
  <r>
    <s v="Post-demographic dividend"/>
    <s v="PST"/>
    <x v="18"/>
    <n v="17057000000"/>
    <n v="8044000000"/>
    <x v="0"/>
    <x v="0"/>
    <n v="9013000000"/>
    <n v="25101000000"/>
  </r>
  <r>
    <s v="Pre-demographic dividend"/>
    <s v="PRE"/>
    <x v="18"/>
    <n v="0"/>
    <n v="581000000"/>
    <x v="0"/>
    <x v="0"/>
    <n v="-581000000"/>
    <n v="581000000"/>
  </r>
  <r>
    <s v="Qatar"/>
    <s v="QAT"/>
    <x v="18"/>
    <n v="2000000"/>
    <n v="0"/>
    <x v="2"/>
    <x v="3"/>
    <n v="2000000"/>
    <n v="2000000"/>
  </r>
  <r>
    <s v="Romania"/>
    <s v="ROU"/>
    <x v="18"/>
    <n v="8000000"/>
    <n v="64000000"/>
    <x v="1"/>
    <x v="3"/>
    <n v="-56000000"/>
    <n v="72000000"/>
  </r>
  <r>
    <s v="Russian Federation"/>
    <s v="RUS"/>
    <x v="18"/>
    <n v="5182000000"/>
    <n v="0"/>
    <x v="1"/>
    <x v="3"/>
    <n v="5182000000"/>
    <n v="5182000000"/>
  </r>
  <r>
    <s v="Rwanda"/>
    <s v="RWA"/>
    <x v="18"/>
    <n v="0"/>
    <n v="3000000"/>
    <x v="3"/>
    <x v="4"/>
    <n v="-3000000"/>
    <n v="3000000"/>
  </r>
  <r>
    <s v="Saudi Arabia"/>
    <s v="SAU"/>
    <x v="18"/>
    <n v="18000000"/>
    <n v="207000000"/>
    <x v="2"/>
    <x v="3"/>
    <n v="-189000000"/>
    <n v="225000000"/>
  </r>
  <r>
    <s v="Senegal"/>
    <s v="SEN"/>
    <x v="18"/>
    <n v="0"/>
    <n v="15000000"/>
    <x v="3"/>
    <x v="2"/>
    <n v="-15000000"/>
    <n v="15000000"/>
  </r>
  <r>
    <s v="Serbia"/>
    <s v="SRB"/>
    <x v="18"/>
    <n v="5000000"/>
    <n v="0"/>
    <x v="1"/>
    <x v="1"/>
    <n v="5000000"/>
    <n v="5000000"/>
  </r>
  <r>
    <s v="Sierra Leone"/>
    <s v="SLE"/>
    <x v="18"/>
    <n v="0"/>
    <n v="9000000"/>
    <x v="3"/>
    <x v="4"/>
    <n v="-9000000"/>
    <n v="9000000"/>
  </r>
  <r>
    <s v="Singapore"/>
    <s v="SGP"/>
    <x v="18"/>
    <n v="0"/>
    <n v="74000000"/>
    <x v="5"/>
    <x v="3"/>
    <n v="-74000000"/>
    <n v="74000000"/>
  </r>
  <r>
    <s v="Slovak Republic"/>
    <s v="SVK"/>
    <x v="18"/>
    <n v="3000000"/>
    <n v="0"/>
    <x v="1"/>
    <x v="3"/>
    <n v="3000000"/>
    <n v="3000000"/>
  </r>
  <r>
    <s v="Slovenia"/>
    <s v="SVN"/>
    <x v="18"/>
    <n v="0"/>
    <n v="3000000"/>
    <x v="1"/>
    <x v="3"/>
    <n v="-3000000"/>
    <n v="3000000"/>
  </r>
  <r>
    <s v="South Africa"/>
    <s v="ZAF"/>
    <x v="18"/>
    <n v="200000000"/>
    <n v="741000000"/>
    <x v="3"/>
    <x v="1"/>
    <n v="-541000000"/>
    <n v="941000000"/>
  </r>
  <r>
    <s v="South Asia"/>
    <s v="SAS"/>
    <x v="18"/>
    <n v="33000000"/>
    <n v="1819000000"/>
    <x v="0"/>
    <x v="0"/>
    <n v="-1786000000"/>
    <n v="1852000000"/>
  </r>
  <r>
    <s v="South Asia (IDA &amp; IBRD)"/>
    <s v="TSA"/>
    <x v="18"/>
    <n v="33000000"/>
    <n v="1819000000"/>
    <x v="0"/>
    <x v="0"/>
    <n v="-1786000000"/>
    <n v="1852000000"/>
  </r>
  <r>
    <s v="Spain"/>
    <s v="ESP"/>
    <x v="18"/>
    <n v="898000000"/>
    <n v="312000000"/>
    <x v="1"/>
    <x v="3"/>
    <n v="586000000"/>
    <n v="1210000000"/>
  </r>
  <r>
    <s v="Sri Lanka"/>
    <s v="LKA"/>
    <x v="18"/>
    <n v="0"/>
    <n v="96000000"/>
    <x v="6"/>
    <x v="1"/>
    <n v="-96000000"/>
    <n v="96000000"/>
  </r>
  <r>
    <s v="Sub-Saharan Africa"/>
    <s v="SSF"/>
    <x v="18"/>
    <n v="0"/>
    <n v="1137000000"/>
    <x v="0"/>
    <x v="0"/>
    <n v="-1137000000"/>
    <n v="1137000000"/>
  </r>
  <r>
    <s v="Sub-Saharan Africa (excluding high income)"/>
    <s v="SSA"/>
    <x v="18"/>
    <n v="0"/>
    <n v="1137000000"/>
    <x v="0"/>
    <x v="0"/>
    <n v="-1137000000"/>
    <n v="1137000000"/>
  </r>
  <r>
    <s v="Sub-Saharan Africa (IDA &amp; IBRD countries)"/>
    <s v="TSS"/>
    <x v="18"/>
    <n v="0"/>
    <n v="1137000000"/>
    <x v="0"/>
    <x v="0"/>
    <n v="-1137000000"/>
    <n v="1137000000"/>
  </r>
  <r>
    <s v="Sudan"/>
    <s v="SDN"/>
    <x v="18"/>
    <n v="0"/>
    <n v="112000000"/>
    <x v="3"/>
    <x v="4"/>
    <n v="-112000000"/>
    <n v="112000000"/>
  </r>
  <r>
    <s v="Sweden"/>
    <s v="SWE"/>
    <x v="18"/>
    <n v="384000000"/>
    <n v="121000000"/>
    <x v="1"/>
    <x v="3"/>
    <n v="263000000"/>
    <n v="505000000"/>
  </r>
  <r>
    <s v="Switzerland"/>
    <s v="CHE"/>
    <x v="18"/>
    <n v="320000000"/>
    <n v="83000000"/>
    <x v="1"/>
    <x v="3"/>
    <n v="237000000"/>
    <n v="403000000"/>
  </r>
  <r>
    <s v="Syrian Arab Republic"/>
    <s v="SYR"/>
    <x v="18"/>
    <n v="3000000"/>
    <n v="95000000"/>
    <x v="2"/>
    <x v="4"/>
    <n v="-92000000"/>
    <n v="98000000"/>
  </r>
  <r>
    <s v="Tajikistan"/>
    <s v="TJK"/>
    <x v="18"/>
    <n v="0"/>
    <n v="13000000"/>
    <x v="1"/>
    <x v="2"/>
    <n v="-13000000"/>
    <n v="13000000"/>
  </r>
  <r>
    <s v="Tanzania"/>
    <s v="TZA"/>
    <x v="18"/>
    <n v="0"/>
    <n v="12000000"/>
    <x v="3"/>
    <x v="2"/>
    <n v="-12000000"/>
    <n v="12000000"/>
  </r>
  <r>
    <s v="Thailand"/>
    <s v="THA"/>
    <x v="18"/>
    <n v="79000000"/>
    <n v="99000000"/>
    <x v="5"/>
    <x v="1"/>
    <n v="-20000000"/>
    <n v="178000000"/>
  </r>
  <r>
    <s v="Tunisia"/>
    <s v="TUN"/>
    <x v="18"/>
    <n v="0"/>
    <n v="2000000"/>
    <x v="2"/>
    <x v="2"/>
    <n v="-2000000"/>
    <n v="2000000"/>
  </r>
  <r>
    <s v="Turkiye"/>
    <s v="TUR"/>
    <x v="18"/>
    <n v="68000000"/>
    <n v="524000000"/>
    <x v="1"/>
    <x v="1"/>
    <n v="-456000000"/>
    <n v="592000000"/>
  </r>
  <r>
    <s v="Uganda"/>
    <s v="UGA"/>
    <x v="18"/>
    <n v="0"/>
    <n v="5000000"/>
    <x v="3"/>
    <x v="4"/>
    <n v="-5000000"/>
    <n v="5000000"/>
  </r>
  <r>
    <s v="Ukraine"/>
    <s v="UKR"/>
    <x v="18"/>
    <n v="533000000"/>
    <n v="0"/>
    <x v="1"/>
    <x v="1"/>
    <n v="533000000"/>
    <n v="533000000"/>
  </r>
  <r>
    <s v="United Arab Emirates"/>
    <s v="ARE"/>
    <x v="18"/>
    <n v="17000000"/>
    <n v="1925000000"/>
    <x v="2"/>
    <x v="3"/>
    <n v="-1908000000"/>
    <n v="1942000000"/>
  </r>
  <r>
    <s v="United Kingdom"/>
    <s v="GBR"/>
    <x v="18"/>
    <n v="957000000"/>
    <n v="375000000"/>
    <x v="1"/>
    <x v="3"/>
    <n v="582000000"/>
    <n v="1332000000"/>
  </r>
  <r>
    <s v="United States"/>
    <s v="USA"/>
    <x v="18"/>
    <n v="7497000000"/>
    <n v="706000000"/>
    <x v="7"/>
    <x v="3"/>
    <n v="6791000000"/>
    <n v="8203000000"/>
  </r>
  <r>
    <s v="Upper middle income"/>
    <s v="UMC"/>
    <x v="18"/>
    <n v="1946000000"/>
    <n v="6795000000"/>
    <x v="0"/>
    <x v="0"/>
    <n v="-4849000000"/>
    <n v="8741000000"/>
  </r>
  <r>
    <s v="Uruguay"/>
    <s v="URY"/>
    <x v="18"/>
    <n v="0"/>
    <n v="8000000"/>
    <x v="4"/>
    <x v="3"/>
    <n v="-8000000"/>
    <n v="8000000"/>
  </r>
  <r>
    <s v="Venezuela, RB"/>
    <s v="VEN"/>
    <x v="18"/>
    <n v="7000000"/>
    <n v="380000000"/>
    <x v="4"/>
    <x v="2"/>
    <n v="-373000000"/>
    <n v="387000000"/>
  </r>
  <r>
    <s v="Viet Nam"/>
    <s v="VNM"/>
    <x v="18"/>
    <n v="14000000"/>
    <n v="42000000"/>
    <x v="5"/>
    <x v="1"/>
    <n v="-28000000"/>
    <n v="56000000"/>
  </r>
  <r>
    <s v="World"/>
    <s v="WLD"/>
    <x v="18"/>
    <n v="24528000000"/>
    <n v="24394000000"/>
    <x v="0"/>
    <x v="0"/>
    <n v="134000000"/>
    <n v="48922000000"/>
  </r>
  <r>
    <s v="Yemen, Rep."/>
    <s v="YEM"/>
    <x v="18"/>
    <n v="0"/>
    <n v="38000000"/>
    <x v="2"/>
    <x v="4"/>
    <n v="-38000000"/>
    <n v="38000000"/>
  </r>
  <r>
    <s v="Zambia"/>
    <s v="ZMB"/>
    <x v="18"/>
    <n v="0"/>
    <n v="30000000"/>
    <x v="3"/>
    <x v="2"/>
    <n v="-30000000"/>
    <n v="30000000"/>
  </r>
  <r>
    <s v="Zimbabwe"/>
    <s v="ZWE"/>
    <x v="18"/>
    <n v="0"/>
    <n v="25000000"/>
    <x v="3"/>
    <x v="2"/>
    <n v="-25000000"/>
    <n v="25000000"/>
  </r>
  <r>
    <s v="Afghanistan"/>
    <s v="AFG"/>
    <x v="19"/>
    <n v="0"/>
    <n v="33000000"/>
    <x v="2"/>
    <x v="4"/>
    <n v="-33000000"/>
    <n v="33000000"/>
  </r>
  <r>
    <s v="Africa Eastern and Southern"/>
    <s v="AFE"/>
    <x v="19"/>
    <n v="0"/>
    <n v="598000000"/>
    <x v="0"/>
    <x v="0"/>
    <n v="-598000000"/>
    <n v="598000000"/>
  </r>
  <r>
    <s v="Albania"/>
    <s v="ALB"/>
    <x v="19"/>
    <n v="0"/>
    <n v="7000000"/>
    <x v="1"/>
    <x v="1"/>
    <n v="-7000000"/>
    <n v="7000000"/>
  </r>
  <r>
    <s v="Algeria"/>
    <s v="DZA"/>
    <x v="19"/>
    <n v="0"/>
    <n v="159000000"/>
    <x v="2"/>
    <x v="1"/>
    <n v="-159000000"/>
    <n v="159000000"/>
  </r>
  <r>
    <s v="Angola"/>
    <s v="AGO"/>
    <x v="19"/>
    <n v="0"/>
    <n v="38000000"/>
    <x v="3"/>
    <x v="2"/>
    <n v="-38000000"/>
    <n v="38000000"/>
  </r>
  <r>
    <s v="Arab World"/>
    <s v="ARB"/>
    <x v="19"/>
    <n v="0"/>
    <n v="4497000000"/>
    <x v="0"/>
    <x v="0"/>
    <n v="-4497000000"/>
    <n v="4497000000"/>
  </r>
  <r>
    <s v="Argentina"/>
    <s v="ARG"/>
    <x v="19"/>
    <n v="0"/>
    <n v="3000000"/>
    <x v="4"/>
    <x v="1"/>
    <n v="-3000000"/>
    <n v="3000000"/>
  </r>
  <r>
    <s v="Australia"/>
    <s v="AUS"/>
    <x v="19"/>
    <n v="49000000"/>
    <n v="458000000"/>
    <x v="5"/>
    <x v="3"/>
    <n v="-409000000"/>
    <n v="507000000"/>
  </r>
  <r>
    <s v="Austria"/>
    <s v="AUT"/>
    <x v="19"/>
    <n v="3000000"/>
    <n v="26000000"/>
    <x v="1"/>
    <x v="3"/>
    <n v="-23000000"/>
    <n v="29000000"/>
  </r>
  <r>
    <s v="Azerbaijan"/>
    <s v="AZE"/>
    <x v="19"/>
    <n v="0"/>
    <n v="63000000"/>
    <x v="1"/>
    <x v="1"/>
    <n v="-63000000"/>
    <n v="63000000"/>
  </r>
  <r>
    <s v="Bahamas, The"/>
    <s v="BHS"/>
    <x v="19"/>
    <n v="0"/>
    <n v="3000000"/>
    <x v="4"/>
    <x v="3"/>
    <n v="-3000000"/>
    <n v="3000000"/>
  </r>
  <r>
    <s v="Bahrain"/>
    <s v="BHR"/>
    <x v="19"/>
    <n v="0"/>
    <n v="66000000"/>
    <x v="2"/>
    <x v="3"/>
    <n v="-66000000"/>
    <n v="66000000"/>
  </r>
  <r>
    <s v="Bangladesh"/>
    <s v="BGD"/>
    <x v="19"/>
    <n v="0"/>
    <n v="10000000"/>
    <x v="6"/>
    <x v="2"/>
    <n v="-10000000"/>
    <n v="10000000"/>
  </r>
  <r>
    <s v="Belarus"/>
    <s v="BLR"/>
    <x v="19"/>
    <n v="53000000"/>
    <n v="6000000"/>
    <x v="1"/>
    <x v="1"/>
    <n v="47000000"/>
    <n v="59000000"/>
  </r>
  <r>
    <s v="Belgium"/>
    <s v="BEL"/>
    <x v="19"/>
    <n v="160000000"/>
    <n v="3000000"/>
    <x v="1"/>
    <x v="3"/>
    <n v="157000000"/>
    <n v="163000000"/>
  </r>
  <r>
    <s v="Bolivia"/>
    <s v="BOL"/>
    <x v="19"/>
    <n v="0"/>
    <n v="1000000"/>
    <x v="4"/>
    <x v="2"/>
    <n v="-1000000"/>
    <n v="1000000"/>
  </r>
  <r>
    <s v="Brazil"/>
    <s v="BRA"/>
    <x v="19"/>
    <n v="1000000"/>
    <n v="223000000"/>
    <x v="4"/>
    <x v="1"/>
    <n v="-222000000"/>
    <n v="224000000"/>
  </r>
  <r>
    <s v="Brunei Darussalam"/>
    <s v="BRN"/>
    <x v="19"/>
    <n v="0"/>
    <n v="1000000"/>
    <x v="5"/>
    <x v="3"/>
    <n v="-1000000"/>
    <n v="1000000"/>
  </r>
  <r>
    <s v="Bulgaria"/>
    <s v="BGR"/>
    <x v="19"/>
    <n v="87000000"/>
    <n v="132000000"/>
    <x v="1"/>
    <x v="3"/>
    <n v="-45000000"/>
    <n v="219000000"/>
  </r>
  <r>
    <s v="Burkina Faso"/>
    <s v="BFA"/>
    <x v="19"/>
    <n v="0"/>
    <n v="12000000"/>
    <x v="3"/>
    <x v="4"/>
    <n v="-12000000"/>
    <n v="12000000"/>
  </r>
  <r>
    <s v="Cameroon"/>
    <s v="CMR"/>
    <x v="19"/>
    <n v="0"/>
    <n v="5000000"/>
    <x v="3"/>
    <x v="2"/>
    <n v="-5000000"/>
    <n v="5000000"/>
  </r>
  <r>
    <s v="Canada"/>
    <s v="CAN"/>
    <x v="19"/>
    <n v="234000000"/>
    <n v="106000000"/>
    <x v="7"/>
    <x v="3"/>
    <n v="128000000"/>
    <n v="340000000"/>
  </r>
  <r>
    <s v="Central Europe and the Baltics"/>
    <s v="CEB"/>
    <x v="19"/>
    <n v="262000000"/>
    <n v="1330000000"/>
    <x v="0"/>
    <x v="0"/>
    <n v="-1068000000"/>
    <n v="1592000000"/>
  </r>
  <r>
    <s v="Chile"/>
    <s v="CHL"/>
    <x v="19"/>
    <n v="0"/>
    <n v="446000000"/>
    <x v="4"/>
    <x v="3"/>
    <n v="-446000000"/>
    <n v="446000000"/>
  </r>
  <r>
    <s v="China"/>
    <s v="CHN"/>
    <x v="19"/>
    <n v="341000000"/>
    <n v="3467000000"/>
    <x v="5"/>
    <x v="1"/>
    <n v="-3126000000"/>
    <n v="3808000000"/>
  </r>
  <r>
    <s v="Colombia"/>
    <s v="COL"/>
    <x v="19"/>
    <n v="0"/>
    <n v="18000000"/>
    <x v="4"/>
    <x v="1"/>
    <n v="-18000000"/>
    <n v="18000000"/>
  </r>
  <r>
    <s v="Congo, Dem. Rep."/>
    <s v="COD"/>
    <x v="19"/>
    <n v="0"/>
    <n v="26000000"/>
    <x v="3"/>
    <x v="4"/>
    <n v="-26000000"/>
    <n v="26000000"/>
  </r>
  <r>
    <s v="Congo, Rep."/>
    <s v="COG"/>
    <x v="19"/>
    <n v="0"/>
    <n v="4000000"/>
    <x v="3"/>
    <x v="2"/>
    <n v="-4000000"/>
    <n v="4000000"/>
  </r>
  <r>
    <s v="Cyprus"/>
    <s v="CYP"/>
    <x v="19"/>
    <n v="0"/>
    <n v="18000000"/>
    <x v="1"/>
    <x v="3"/>
    <n v="-18000000"/>
    <n v="18000000"/>
  </r>
  <r>
    <s v="Czechia"/>
    <s v="CZE"/>
    <x v="19"/>
    <n v="72000000"/>
    <n v="600000000"/>
    <x v="1"/>
    <x v="3"/>
    <n v="-528000000"/>
    <n v="672000000"/>
  </r>
  <r>
    <s v="Denmark"/>
    <s v="DNK"/>
    <x v="19"/>
    <n v="0"/>
    <n v="117000000"/>
    <x v="1"/>
    <x v="3"/>
    <n v="-117000000"/>
    <n v="117000000"/>
  </r>
  <r>
    <s v="Djibouti"/>
    <s v="DJI"/>
    <x v="19"/>
    <n v="0"/>
    <n v="7000000"/>
    <x v="2"/>
    <x v="2"/>
    <n v="-7000000"/>
    <n v="7000000"/>
  </r>
  <r>
    <s v="Dominican Republic"/>
    <s v="DOM"/>
    <x v="19"/>
    <n v="0"/>
    <n v="2000000"/>
    <x v="4"/>
    <x v="1"/>
    <n v="-2000000"/>
    <n v="2000000"/>
  </r>
  <r>
    <s v="Early-demographic dividend"/>
    <s v="EAR"/>
    <x v="19"/>
    <n v="0"/>
    <n v="6525000000"/>
    <x v="0"/>
    <x v="0"/>
    <n v="-6525000000"/>
    <n v="6525000000"/>
  </r>
  <r>
    <s v="East Asia &amp; Pacific"/>
    <s v="EAS"/>
    <x v="19"/>
    <n v="0"/>
    <n v="6961000000"/>
    <x v="0"/>
    <x v="0"/>
    <n v="-6961000000"/>
    <n v="6961000000"/>
  </r>
  <r>
    <s v="East Asia &amp; Pacific (excluding high income)"/>
    <s v="EAP"/>
    <x v="19"/>
    <n v="365000000"/>
    <n v="4093000000"/>
    <x v="0"/>
    <x v="0"/>
    <n v="-3728000000"/>
    <n v="4458000000"/>
  </r>
  <r>
    <s v="East Asia &amp; Pacific (IDA &amp; IBRD countries)"/>
    <s v="TEA"/>
    <x v="19"/>
    <n v="350000000"/>
    <n v="4088000000"/>
    <x v="0"/>
    <x v="0"/>
    <n v="-3738000000"/>
    <n v="4438000000"/>
  </r>
  <r>
    <s v="Ecuador"/>
    <s v="ECU"/>
    <x v="19"/>
    <n v="0"/>
    <n v="39000000"/>
    <x v="4"/>
    <x v="1"/>
    <n v="-39000000"/>
    <n v="39000000"/>
  </r>
  <r>
    <s v="Egypt, Arab Rep."/>
    <s v="EGY"/>
    <x v="19"/>
    <n v="0"/>
    <n v="833000000"/>
    <x v="2"/>
    <x v="2"/>
    <n v="-833000000"/>
    <n v="833000000"/>
  </r>
  <r>
    <s v="Equatorial Guinea"/>
    <s v="GNQ"/>
    <x v="19"/>
    <n v="0"/>
    <n v="11000000"/>
    <x v="3"/>
    <x v="1"/>
    <n v="-11000000"/>
    <n v="11000000"/>
  </r>
  <r>
    <s v="Eritrea"/>
    <s v="ERI"/>
    <x v="19"/>
    <n v="0"/>
    <n v="99000000"/>
    <x v="3"/>
    <x v="4"/>
    <n v="-99000000"/>
    <n v="99000000"/>
  </r>
  <r>
    <s v="Estonia"/>
    <s v="EST"/>
    <x v="19"/>
    <n v="0"/>
    <n v="26000000"/>
    <x v="1"/>
    <x v="3"/>
    <n v="-26000000"/>
    <n v="26000000"/>
  </r>
  <r>
    <s v="Euro area"/>
    <s v="EMU"/>
    <x v="19"/>
    <n v="5499000000"/>
    <n v="1696000000"/>
    <x v="0"/>
    <x v="0"/>
    <n v="3803000000"/>
    <n v="7195000000"/>
  </r>
  <r>
    <s v="Europe &amp; Central Asia"/>
    <s v="ECS"/>
    <x v="19"/>
    <n v="13079000000"/>
    <n v="4529000000"/>
    <x v="0"/>
    <x v="0"/>
    <n v="8550000000"/>
    <n v="17608000000"/>
  </r>
  <r>
    <s v="Europe &amp; Central Asia (excluding high income)"/>
    <s v="ECA"/>
    <x v="19"/>
    <n v="400000000"/>
    <n v="1294000000"/>
    <x v="0"/>
    <x v="0"/>
    <n v="-894000000"/>
    <n v="1694000000"/>
  </r>
  <r>
    <s v="Europe &amp; Central Asia (IDA &amp; IBRD countries)"/>
    <s v="TEC"/>
    <x v="19"/>
    <n v="5707000000"/>
    <n v="0"/>
    <x v="0"/>
    <x v="0"/>
    <n v="5707000000"/>
    <n v="5707000000"/>
  </r>
  <r>
    <s v="European Union"/>
    <s v="EUU"/>
    <x v="19"/>
    <n v="6210000000"/>
    <n v="3040000000"/>
    <x v="0"/>
    <x v="0"/>
    <n v="3170000000"/>
    <n v="9250000000"/>
  </r>
  <r>
    <s v="Finland"/>
    <s v="FIN"/>
    <x v="19"/>
    <n v="41000000"/>
    <n v="93000000"/>
    <x v="1"/>
    <x v="3"/>
    <n v="-52000000"/>
    <n v="134000000"/>
  </r>
  <r>
    <s v="France"/>
    <s v="FRA"/>
    <x v="19"/>
    <n v="1645000000"/>
    <n v="2000000"/>
    <x v="1"/>
    <x v="3"/>
    <n v="1643000000"/>
    <n v="1647000000"/>
  </r>
  <r>
    <s v="Georgia"/>
    <s v="GEO"/>
    <x v="19"/>
    <n v="0"/>
    <n v="95000000"/>
    <x v="1"/>
    <x v="1"/>
    <n v="-95000000"/>
    <n v="95000000"/>
  </r>
  <r>
    <s v="Germany"/>
    <s v="DEU"/>
    <x v="19"/>
    <n v="2083000000"/>
    <n v="206000000"/>
    <x v="1"/>
    <x v="3"/>
    <n v="1877000000"/>
    <n v="2289000000"/>
  </r>
  <r>
    <s v="Ghana"/>
    <s v="GHA"/>
    <x v="19"/>
    <n v="19000000"/>
    <n v="0"/>
    <x v="3"/>
    <x v="2"/>
    <n v="19000000"/>
    <n v="19000000"/>
  </r>
  <r>
    <s v="Greece"/>
    <s v="GRC"/>
    <x v="19"/>
    <n v="13000000"/>
    <n v="406000000"/>
    <x v="1"/>
    <x v="3"/>
    <n v="-393000000"/>
    <n v="419000000"/>
  </r>
  <r>
    <s v="Guinea"/>
    <s v="GIN"/>
    <x v="19"/>
    <n v="0"/>
    <n v="1000000"/>
    <x v="3"/>
    <x v="2"/>
    <n v="-1000000"/>
    <n v="1000000"/>
  </r>
  <r>
    <s v="High income"/>
    <s v="HIC"/>
    <x v="19"/>
    <n v="20332000000"/>
    <n v="10890000000"/>
    <x v="0"/>
    <x v="0"/>
    <n v="9442000000"/>
    <n v="31222000000"/>
  </r>
  <r>
    <s v="Hungary"/>
    <s v="HUN"/>
    <x v="19"/>
    <n v="82000000"/>
    <n v="13000000"/>
    <x v="1"/>
    <x v="3"/>
    <n v="69000000"/>
    <n v="95000000"/>
  </r>
  <r>
    <s v="IBRD only"/>
    <s v="IBD"/>
    <x v="19"/>
    <n v="0"/>
    <n v="10174000000"/>
    <x v="0"/>
    <x v="0"/>
    <n v="-10174000000"/>
    <n v="10174000000"/>
  </r>
  <r>
    <s v="IDA &amp; IBRD total"/>
    <s v="IBT"/>
    <x v="19"/>
    <n v="0"/>
    <n v="11587000000"/>
    <x v="0"/>
    <x v="0"/>
    <n v="-11587000000"/>
    <n v="11587000000"/>
  </r>
  <r>
    <s v="IDA only"/>
    <s v="IDX"/>
    <x v="19"/>
    <n v="0"/>
    <n v="952000000"/>
    <x v="0"/>
    <x v="0"/>
    <n v="-952000000"/>
    <n v="952000000"/>
  </r>
  <r>
    <s v="India"/>
    <s v="IND"/>
    <x v="19"/>
    <n v="19000000"/>
    <n v="1202000000"/>
    <x v="6"/>
    <x v="2"/>
    <n v="-1183000000"/>
    <n v="1221000000"/>
  </r>
  <r>
    <s v="Indonesia"/>
    <s v="IDN"/>
    <x v="19"/>
    <n v="9000000"/>
    <n v="33000000"/>
    <x v="5"/>
    <x v="1"/>
    <n v="-24000000"/>
    <n v="42000000"/>
  </r>
  <r>
    <s v="Iran, Islamic Rep."/>
    <s v="IRN"/>
    <x v="19"/>
    <n v="4000000"/>
    <n v="53000000"/>
    <x v="2"/>
    <x v="1"/>
    <n v="-49000000"/>
    <n v="57000000"/>
  </r>
  <r>
    <s v="Iraq"/>
    <s v="IRQ"/>
    <x v="19"/>
    <n v="0"/>
    <n v="195000000"/>
    <x v="2"/>
    <x v="1"/>
    <n v="-195000000"/>
    <n v="195000000"/>
  </r>
  <r>
    <s v="Ireland"/>
    <s v="IRL"/>
    <x v="19"/>
    <n v="26000000"/>
    <n v="5000000"/>
    <x v="1"/>
    <x v="3"/>
    <n v="21000000"/>
    <n v="31000000"/>
  </r>
  <r>
    <s v="Israel"/>
    <s v="ISR"/>
    <x v="19"/>
    <n v="521000000"/>
    <n v="1103000000"/>
    <x v="2"/>
    <x v="3"/>
    <n v="-582000000"/>
    <n v="1624000000"/>
  </r>
  <r>
    <s v="Italy"/>
    <s v="ITA"/>
    <x v="19"/>
    <n v="832000000"/>
    <n v="136000000"/>
    <x v="1"/>
    <x v="3"/>
    <n v="696000000"/>
    <n v="968000000"/>
  </r>
  <r>
    <s v="Jamaica"/>
    <s v="JAM"/>
    <x v="19"/>
    <n v="0"/>
    <n v="10000000"/>
    <x v="4"/>
    <x v="1"/>
    <n v="-10000000"/>
    <n v="10000000"/>
  </r>
  <r>
    <s v="Japan"/>
    <s v="JPN"/>
    <x v="19"/>
    <n v="0"/>
    <n v="375000000"/>
    <x v="5"/>
    <x v="3"/>
    <n v="-375000000"/>
    <n v="375000000"/>
  </r>
  <r>
    <s v="Jordan"/>
    <s v="JOR"/>
    <x v="19"/>
    <n v="22000000"/>
    <n v="79000000"/>
    <x v="2"/>
    <x v="1"/>
    <n v="-57000000"/>
    <n v="101000000"/>
  </r>
  <r>
    <s v="Kazakhstan"/>
    <s v="KAZ"/>
    <x v="19"/>
    <n v="0"/>
    <n v="44000000"/>
    <x v="1"/>
    <x v="1"/>
    <n v="-44000000"/>
    <n v="44000000"/>
  </r>
  <r>
    <s v="Korea, Dem. People's Rep."/>
    <s v="PRK"/>
    <x v="19"/>
    <n v="15000000"/>
    <n v="5000000"/>
    <x v="5"/>
    <x v="4"/>
    <n v="10000000"/>
    <n v="20000000"/>
  </r>
  <r>
    <s v="Korea, Rep."/>
    <s v="KOR"/>
    <x v="19"/>
    <n v="109000000"/>
    <n v="801000000"/>
    <x v="5"/>
    <x v="3"/>
    <n v="-692000000"/>
    <n v="910000000"/>
  </r>
  <r>
    <s v="Kuwait"/>
    <s v="KWT"/>
    <x v="19"/>
    <n v="0"/>
    <n v="12000000"/>
    <x v="2"/>
    <x v="3"/>
    <n v="-12000000"/>
    <n v="12000000"/>
  </r>
  <r>
    <s v="Kyrgyz Republic"/>
    <s v="KGZ"/>
    <x v="19"/>
    <n v="0"/>
    <n v="3000000"/>
    <x v="1"/>
    <x v="2"/>
    <n v="-3000000"/>
    <n v="3000000"/>
  </r>
  <r>
    <s v="Lao PDR"/>
    <s v="LAO"/>
    <x v="19"/>
    <n v="0"/>
    <n v="4000000"/>
    <x v="5"/>
    <x v="2"/>
    <n v="-4000000"/>
    <n v="4000000"/>
  </r>
  <r>
    <s v="Late-demographic dividend"/>
    <s v="LTE"/>
    <x v="19"/>
    <n v="5637000000"/>
    <n v="8002000000"/>
    <x v="0"/>
    <x v="0"/>
    <n v="-2365000000"/>
    <n v="13639000000"/>
  </r>
  <r>
    <s v="Latin America &amp; Caribbean"/>
    <s v="LCN"/>
    <x v="19"/>
    <n v="0"/>
    <n v="1195000000"/>
    <x v="0"/>
    <x v="0"/>
    <n v="-1195000000"/>
    <n v="1195000000"/>
  </r>
  <r>
    <s v="Latin America &amp; Caribbean (excluding high income)"/>
    <s v="LAC"/>
    <x v="19"/>
    <n v="0"/>
    <n v="726000000"/>
    <x v="0"/>
    <x v="0"/>
    <n v="-726000000"/>
    <n v="726000000"/>
  </r>
  <r>
    <s v="Latin America &amp; the Caribbean (IDA &amp; IBRD countries)"/>
    <s v="TLA"/>
    <x v="19"/>
    <n v="0"/>
    <n v="1192000000"/>
    <x v="0"/>
    <x v="0"/>
    <n v="-1192000000"/>
    <n v="1192000000"/>
  </r>
  <r>
    <s v="Latvia"/>
    <s v="LVA"/>
    <x v="19"/>
    <n v="0"/>
    <n v="5000000"/>
    <x v="1"/>
    <x v="3"/>
    <n v="-5000000"/>
    <n v="5000000"/>
  </r>
  <r>
    <s v="Least developed countries: UN classification"/>
    <s v="LDC"/>
    <x v="19"/>
    <n v="0"/>
    <n v="894000000"/>
    <x v="0"/>
    <x v="0"/>
    <n v="-894000000"/>
    <n v="894000000"/>
  </r>
  <r>
    <s v="Lebanon"/>
    <s v="LBN"/>
    <x v="19"/>
    <n v="0"/>
    <n v="1000000"/>
    <x v="2"/>
    <x v="2"/>
    <n v="-1000000"/>
    <n v="1000000"/>
  </r>
  <r>
    <s v="Libya"/>
    <s v="LBY"/>
    <x v="19"/>
    <n v="113000000"/>
    <n v="1000000"/>
    <x v="2"/>
    <x v="1"/>
    <n v="112000000"/>
    <n v="114000000"/>
  </r>
  <r>
    <s v="Lithuania"/>
    <s v="LTU"/>
    <x v="19"/>
    <n v="0"/>
    <n v="11000000"/>
    <x v="1"/>
    <x v="3"/>
    <n v="-11000000"/>
    <n v="11000000"/>
  </r>
  <r>
    <s v="Low &amp; middle income"/>
    <s v="LMY"/>
    <x v="19"/>
    <n v="0"/>
    <n v="10443000000"/>
    <x v="0"/>
    <x v="0"/>
    <n v="-10443000000"/>
    <n v="10443000000"/>
  </r>
  <r>
    <s v="Low income"/>
    <s v="LIC"/>
    <x v="19"/>
    <n v="0"/>
    <n v="657000000"/>
    <x v="0"/>
    <x v="0"/>
    <n v="-657000000"/>
    <n v="657000000"/>
  </r>
  <r>
    <s v="Lower middle income"/>
    <s v="LMC"/>
    <x v="19"/>
    <n v="0"/>
    <n v="3063000000"/>
    <x v="0"/>
    <x v="0"/>
    <n v="-3063000000"/>
    <n v="3063000000"/>
  </r>
  <r>
    <s v="Malaysia"/>
    <s v="MYS"/>
    <x v="19"/>
    <n v="0"/>
    <n v="57000000"/>
    <x v="5"/>
    <x v="1"/>
    <n v="-57000000"/>
    <n v="57000000"/>
  </r>
  <r>
    <s v="Mali"/>
    <s v="MLI"/>
    <x v="19"/>
    <n v="0"/>
    <n v="13000000"/>
    <x v="3"/>
    <x v="4"/>
    <n v="-13000000"/>
    <n v="13000000"/>
  </r>
  <r>
    <s v="Malta"/>
    <s v="MLT"/>
    <x v="19"/>
    <n v="0"/>
    <n v="18000000"/>
    <x v="2"/>
    <x v="3"/>
    <n v="-18000000"/>
    <n v="18000000"/>
  </r>
  <r>
    <s v="Mexico"/>
    <s v="MEX"/>
    <x v="19"/>
    <n v="0"/>
    <n v="40000000"/>
    <x v="4"/>
    <x v="1"/>
    <n v="-40000000"/>
    <n v="40000000"/>
  </r>
  <r>
    <s v="Middle East, North Africa, Afghanistan &amp; Pakistan"/>
    <s v="MEA"/>
    <x v="19"/>
    <n v="0"/>
    <n v="6018000000"/>
    <x v="0"/>
    <x v="0"/>
    <n v="-6018000000"/>
    <n v="6018000000"/>
  </r>
  <r>
    <s v="Middle East, North Africa, Afghanistan &amp; Pakistan (excluding high income)"/>
    <s v="MNA"/>
    <x v="19"/>
    <n v="0"/>
    <n v="2403000000"/>
    <x v="0"/>
    <x v="0"/>
    <n v="-2403000000"/>
    <n v="2403000000"/>
  </r>
  <r>
    <s v="Middle East, North Africa, Afghanistan &amp; Pakistan (IDA &amp; IBRD)"/>
    <s v="TMN"/>
    <x v="19"/>
    <n v="0"/>
    <n v="2403000000"/>
    <x v="0"/>
    <x v="0"/>
    <n v="-2403000000"/>
    <n v="2403000000"/>
  </r>
  <r>
    <s v="Middle income"/>
    <s v="MIC"/>
    <x v="19"/>
    <n v="0"/>
    <n v="9786000000"/>
    <x v="0"/>
    <x v="0"/>
    <n v="-9786000000"/>
    <n v="9786000000"/>
  </r>
  <r>
    <s v="Moldova"/>
    <s v="MDA"/>
    <x v="19"/>
    <n v="18000000"/>
    <n v="0"/>
    <x v="1"/>
    <x v="1"/>
    <n v="18000000"/>
    <n v="18000000"/>
  </r>
  <r>
    <s v="Morocco"/>
    <s v="MAR"/>
    <x v="19"/>
    <n v="0"/>
    <n v="101000000"/>
    <x v="2"/>
    <x v="2"/>
    <n v="-101000000"/>
    <n v="101000000"/>
  </r>
  <r>
    <s v="Myanmar"/>
    <s v="MMR"/>
    <x v="19"/>
    <n v="0"/>
    <n v="179000000"/>
    <x v="5"/>
    <x v="2"/>
    <n v="-179000000"/>
    <n v="179000000"/>
  </r>
  <r>
    <s v="Nepal"/>
    <s v="NPL"/>
    <x v="19"/>
    <n v="0"/>
    <n v="7000000"/>
    <x v="6"/>
    <x v="2"/>
    <n v="-7000000"/>
    <n v="7000000"/>
  </r>
  <r>
    <s v="Netherlands"/>
    <s v="NLD"/>
    <x v="19"/>
    <n v="496000000"/>
    <n v="86000000"/>
    <x v="1"/>
    <x v="3"/>
    <n v="410000000"/>
    <n v="582000000"/>
  </r>
  <r>
    <s v="New Zealand"/>
    <s v="NZL"/>
    <x v="19"/>
    <n v="0"/>
    <n v="0"/>
    <x v="5"/>
    <x v="3"/>
    <n v="0"/>
    <n v="0"/>
  </r>
  <r>
    <s v="North America"/>
    <s v="NAC"/>
    <x v="19"/>
    <n v="6958000000"/>
    <n v="688000000"/>
    <x v="0"/>
    <x v="0"/>
    <n v="6270000000"/>
    <n v="7646000000"/>
  </r>
  <r>
    <s v="Norway"/>
    <s v="NOR"/>
    <x v="19"/>
    <n v="6000000"/>
    <n v="14000000"/>
    <x v="1"/>
    <x v="3"/>
    <n v="-8000000"/>
    <n v="20000000"/>
  </r>
  <r>
    <s v="OECD members"/>
    <s v="OED"/>
    <x v="19"/>
    <n v="15053000000"/>
    <n v="7659000000"/>
    <x v="0"/>
    <x v="0"/>
    <n v="7394000000"/>
    <n v="22712000000"/>
  </r>
  <r>
    <s v="Oman"/>
    <s v="OMN"/>
    <x v="19"/>
    <n v="1000000"/>
    <n v="178000000"/>
    <x v="2"/>
    <x v="3"/>
    <n v="-177000000"/>
    <n v="179000000"/>
  </r>
  <r>
    <s v="Other small states"/>
    <s v="OSS"/>
    <x v="19"/>
    <n v="0"/>
    <n v="85000000"/>
    <x v="0"/>
    <x v="0"/>
    <n v="-85000000"/>
    <n v="85000000"/>
  </r>
  <r>
    <s v="Pakistan"/>
    <s v="PAK"/>
    <x v="19"/>
    <n v="26000000"/>
    <n v="427000000"/>
    <x v="2"/>
    <x v="2"/>
    <n v="-401000000"/>
    <n v="453000000"/>
  </r>
  <r>
    <s v="Paraguay"/>
    <s v="PRY"/>
    <x v="19"/>
    <n v="0"/>
    <n v="1000000"/>
    <x v="4"/>
    <x v="1"/>
    <n v="-1000000"/>
    <n v="1000000"/>
  </r>
  <r>
    <s v="Peru"/>
    <s v="PER"/>
    <x v="19"/>
    <n v="0"/>
    <n v="368000000"/>
    <x v="4"/>
    <x v="1"/>
    <n v="-368000000"/>
    <n v="368000000"/>
  </r>
  <r>
    <s v="Philippines"/>
    <s v="PHL"/>
    <x v="19"/>
    <n v="0"/>
    <n v="12000000"/>
    <x v="5"/>
    <x v="1"/>
    <n v="-12000000"/>
    <n v="12000000"/>
  </r>
  <r>
    <s v="Poland"/>
    <s v="POL"/>
    <x v="19"/>
    <n v="18000000"/>
    <n v="105000000"/>
    <x v="1"/>
    <x v="3"/>
    <n v="-87000000"/>
    <n v="123000000"/>
  </r>
  <r>
    <s v="Portugal"/>
    <s v="PRT"/>
    <x v="19"/>
    <n v="0"/>
    <n v="158000000"/>
    <x v="1"/>
    <x v="3"/>
    <n v="-158000000"/>
    <n v="158000000"/>
  </r>
  <r>
    <s v="Post-demographic dividend"/>
    <s v="PST"/>
    <x v="19"/>
    <n v="14901000000"/>
    <n v="5525000000"/>
    <x v="0"/>
    <x v="0"/>
    <n v="9376000000"/>
    <n v="20426000000"/>
  </r>
  <r>
    <s v="Romania"/>
    <s v="ROU"/>
    <x v="19"/>
    <n v="3000000"/>
    <n v="431000000"/>
    <x v="1"/>
    <x v="3"/>
    <n v="-428000000"/>
    <n v="434000000"/>
  </r>
  <r>
    <s v="Russian Federation"/>
    <s v="RUS"/>
    <x v="19"/>
    <n v="5199000000"/>
    <n v="0"/>
    <x v="1"/>
    <x v="3"/>
    <n v="5199000000"/>
    <n v="5199000000"/>
  </r>
  <r>
    <s v="Saudi Arabia"/>
    <s v="SAU"/>
    <x v="19"/>
    <n v="0"/>
    <n v="166000000"/>
    <x v="2"/>
    <x v="3"/>
    <n v="-166000000"/>
    <n v="166000000"/>
  </r>
  <r>
    <s v="Senegal"/>
    <s v="SEN"/>
    <x v="19"/>
    <n v="0"/>
    <n v="16000000"/>
    <x v="3"/>
    <x v="2"/>
    <n v="-16000000"/>
    <n v="16000000"/>
  </r>
  <r>
    <s v="Seychelles"/>
    <s v="SYC"/>
    <x v="19"/>
    <n v="0"/>
    <n v="15000000"/>
    <x v="3"/>
    <x v="3"/>
    <n v="-15000000"/>
    <n v="15000000"/>
  </r>
  <r>
    <s v="Singapore"/>
    <s v="SGP"/>
    <x v="19"/>
    <n v="0"/>
    <n v="538000000"/>
    <x v="5"/>
    <x v="3"/>
    <n v="-538000000"/>
    <n v="538000000"/>
  </r>
  <r>
    <s v="Slovak Republic"/>
    <s v="SVK"/>
    <x v="19"/>
    <n v="0"/>
    <n v="4000000"/>
    <x v="1"/>
    <x v="3"/>
    <n v="-4000000"/>
    <n v="4000000"/>
  </r>
  <r>
    <s v="Slovenia"/>
    <s v="SVN"/>
    <x v="19"/>
    <n v="0"/>
    <n v="3000000"/>
    <x v="1"/>
    <x v="3"/>
    <n v="-3000000"/>
    <n v="3000000"/>
  </r>
  <r>
    <s v="South Africa"/>
    <s v="ZAF"/>
    <x v="19"/>
    <n v="36000000"/>
    <n v="262000000"/>
    <x v="3"/>
    <x v="1"/>
    <n v="-226000000"/>
    <n v="298000000"/>
  </r>
  <r>
    <s v="South Asia"/>
    <s v="SAS"/>
    <x v="19"/>
    <n v="19000000"/>
    <n v="1282000000"/>
    <x v="0"/>
    <x v="0"/>
    <n v="-1263000000"/>
    <n v="1301000000"/>
  </r>
  <r>
    <s v="South Asia (IDA &amp; IBRD)"/>
    <s v="TSA"/>
    <x v="19"/>
    <n v="19000000"/>
    <n v="1282000000"/>
    <x v="0"/>
    <x v="0"/>
    <n v="-1263000000"/>
    <n v="1301000000"/>
  </r>
  <r>
    <s v="Spain"/>
    <s v="ESP"/>
    <x v="19"/>
    <n v="113000000"/>
    <n v="358000000"/>
    <x v="1"/>
    <x v="3"/>
    <n v="-245000000"/>
    <n v="471000000"/>
  </r>
  <r>
    <s v="Sri Lanka"/>
    <s v="LKA"/>
    <x v="19"/>
    <n v="0"/>
    <n v="63000000"/>
    <x v="6"/>
    <x v="1"/>
    <n v="-63000000"/>
    <n v="63000000"/>
  </r>
  <r>
    <s v="Sudan"/>
    <s v="SDN"/>
    <x v="19"/>
    <n v="0"/>
    <n v="113000000"/>
    <x v="3"/>
    <x v="4"/>
    <n v="-113000000"/>
    <n v="113000000"/>
  </r>
  <r>
    <s v="Sweden"/>
    <s v="SWE"/>
    <x v="19"/>
    <n v="536000000"/>
    <n v="78000000"/>
    <x v="1"/>
    <x v="3"/>
    <n v="458000000"/>
    <n v="614000000"/>
  </r>
  <r>
    <s v="Switzerland"/>
    <s v="CHE"/>
    <x v="19"/>
    <n v="274000000"/>
    <n v="168000000"/>
    <x v="1"/>
    <x v="3"/>
    <n v="106000000"/>
    <n v="442000000"/>
  </r>
  <r>
    <s v="Syrian Arab Republic"/>
    <s v="SYR"/>
    <x v="19"/>
    <n v="0"/>
    <n v="30000000"/>
    <x v="2"/>
    <x v="4"/>
    <n v="-30000000"/>
    <n v="30000000"/>
  </r>
  <r>
    <s v="Tanzania"/>
    <s v="TZA"/>
    <x v="19"/>
    <n v="0"/>
    <n v="10000000"/>
    <x v="3"/>
    <x v="2"/>
    <n v="-10000000"/>
    <n v="10000000"/>
  </r>
  <r>
    <s v="Thailand"/>
    <s v="THA"/>
    <x v="19"/>
    <n v="0"/>
    <n v="115000000"/>
    <x v="5"/>
    <x v="1"/>
    <n v="-115000000"/>
    <n v="115000000"/>
  </r>
  <r>
    <s v="Tunisia"/>
    <s v="TUN"/>
    <x v="19"/>
    <n v="0"/>
    <n v="168000000"/>
    <x v="2"/>
    <x v="2"/>
    <n v="-168000000"/>
    <n v="168000000"/>
  </r>
  <r>
    <s v="Turkiye"/>
    <s v="TUR"/>
    <x v="19"/>
    <n v="26000000"/>
    <n v="1076000000"/>
    <x v="1"/>
    <x v="1"/>
    <n v="-1050000000"/>
    <n v="1102000000"/>
  </r>
  <r>
    <s v="Uganda"/>
    <s v="UGA"/>
    <x v="19"/>
    <n v="0"/>
    <n v="10000000"/>
    <x v="3"/>
    <x v="4"/>
    <n v="-10000000"/>
    <n v="10000000"/>
  </r>
  <r>
    <s v="Ukraine"/>
    <s v="UKR"/>
    <x v="19"/>
    <n v="299000000"/>
    <n v="0"/>
    <x v="1"/>
    <x v="1"/>
    <n v="299000000"/>
    <n v="299000000"/>
  </r>
  <r>
    <s v="United Arab Emirates"/>
    <s v="ARE"/>
    <x v="19"/>
    <n v="15000000"/>
    <n v="2072000000"/>
    <x v="2"/>
    <x v="3"/>
    <n v="-2057000000"/>
    <n v="2087000000"/>
  </r>
  <r>
    <s v="United Kingdom"/>
    <s v="GBR"/>
    <x v="19"/>
    <n v="990000000"/>
    <n v="31000000"/>
    <x v="1"/>
    <x v="3"/>
    <n v="959000000"/>
    <n v="1021000000"/>
  </r>
  <r>
    <s v="United States"/>
    <s v="USA"/>
    <x v="19"/>
    <n v="6724000000"/>
    <n v="582000000"/>
    <x v="7"/>
    <x v="3"/>
    <n v="6142000000"/>
    <n v="7306000000"/>
  </r>
  <r>
    <s v="Upper middle income"/>
    <s v="UMC"/>
    <x v="19"/>
    <n v="0"/>
    <n v="6723000000"/>
    <x v="0"/>
    <x v="0"/>
    <n v="-6723000000"/>
    <n v="6723000000"/>
  </r>
  <r>
    <s v="Uruguay"/>
    <s v="URY"/>
    <x v="19"/>
    <n v="0"/>
    <n v="20000000"/>
    <x v="4"/>
    <x v="3"/>
    <n v="-20000000"/>
    <n v="20000000"/>
  </r>
  <r>
    <s v="Uzbekistan"/>
    <s v="UZB"/>
    <x v="19"/>
    <n v="4000000"/>
    <n v="0"/>
    <x v="1"/>
    <x v="2"/>
    <n v="4000000"/>
    <n v="4000000"/>
  </r>
  <r>
    <s v="Venezuela, RB"/>
    <s v="VEN"/>
    <x v="19"/>
    <n v="0"/>
    <n v="21000000"/>
    <x v="4"/>
    <x v="2"/>
    <n v="-21000000"/>
    <n v="21000000"/>
  </r>
  <r>
    <s v="Viet Nam"/>
    <s v="VNM"/>
    <x v="19"/>
    <n v="0"/>
    <n v="221000000"/>
    <x v="5"/>
    <x v="1"/>
    <n v="-221000000"/>
    <n v="221000000"/>
  </r>
  <r>
    <s v="World"/>
    <s v="WLD"/>
    <x v="19"/>
    <n v="21389000000"/>
    <n v="21333000000"/>
    <x v="0"/>
    <x v="0"/>
    <n v="56000000"/>
    <n v="42722000000"/>
  </r>
  <r>
    <s v="Yemen, Rep."/>
    <s v="YEM"/>
    <x v="19"/>
    <n v="0"/>
    <n v="316000000"/>
    <x v="2"/>
    <x v="4"/>
    <n v="-316000000"/>
    <n v="316000000"/>
  </r>
  <r>
    <s v="Zambia"/>
    <s v="ZMB"/>
    <x v="19"/>
    <n v="0"/>
    <n v="0"/>
    <x v="3"/>
    <x v="2"/>
    <n v="0"/>
    <n v="0"/>
  </r>
  <r>
    <s v="Zimbabwe"/>
    <s v="ZWE"/>
    <x v="19"/>
    <n v="0"/>
    <n v="25000000"/>
    <x v="3"/>
    <x v="2"/>
    <n v="-25000000"/>
    <n v="25000000"/>
  </r>
  <r>
    <s v="Africa Western and Central"/>
    <s v="AFW"/>
    <x v="20"/>
    <n v="0"/>
    <n v="83000000"/>
    <x v="0"/>
    <x v="0"/>
    <n v="-83000000"/>
    <n v="83000000"/>
  </r>
  <r>
    <s v="Algeria"/>
    <s v="DZA"/>
    <x v="20"/>
    <n v="0"/>
    <n v="251000000"/>
    <x v="2"/>
    <x v="1"/>
    <n v="-251000000"/>
    <n v="251000000"/>
  </r>
  <r>
    <s v="Angola"/>
    <s v="AGO"/>
    <x v="20"/>
    <n v="0"/>
    <n v="8000000"/>
    <x v="3"/>
    <x v="2"/>
    <n v="-8000000"/>
    <n v="8000000"/>
  </r>
  <r>
    <s v="Arab World"/>
    <s v="ARB"/>
    <x v="20"/>
    <n v="0"/>
    <n v="4076000000"/>
    <x v="0"/>
    <x v="0"/>
    <n v="-4076000000"/>
    <n v="4076000000"/>
  </r>
  <r>
    <s v="Argentina"/>
    <s v="ARG"/>
    <x v="20"/>
    <n v="0"/>
    <n v="161000000"/>
    <x v="4"/>
    <x v="1"/>
    <n v="-161000000"/>
    <n v="161000000"/>
  </r>
  <r>
    <s v="Armenia"/>
    <s v="ARM"/>
    <x v="20"/>
    <n v="0"/>
    <n v="118000000"/>
    <x v="1"/>
    <x v="1"/>
    <n v="-118000000"/>
    <n v="118000000"/>
  </r>
  <r>
    <s v="Australia"/>
    <s v="AUS"/>
    <x v="20"/>
    <n v="2000000"/>
    <n v="447000000"/>
    <x v="5"/>
    <x v="3"/>
    <n v="-445000000"/>
    <n v="449000000"/>
  </r>
  <r>
    <s v="Austria"/>
    <s v="AUT"/>
    <x v="20"/>
    <n v="3000000"/>
    <n v="56000000"/>
    <x v="1"/>
    <x v="3"/>
    <n v="-53000000"/>
    <n v="59000000"/>
  </r>
  <r>
    <s v="Azerbaijan"/>
    <s v="AZE"/>
    <x v="20"/>
    <n v="0"/>
    <n v="4000000"/>
    <x v="1"/>
    <x v="1"/>
    <n v="-4000000"/>
    <n v="4000000"/>
  </r>
  <r>
    <s v="Bahrain"/>
    <s v="BHR"/>
    <x v="20"/>
    <n v="0"/>
    <n v="10000000"/>
    <x v="2"/>
    <x v="3"/>
    <n v="-10000000"/>
    <n v="10000000"/>
  </r>
  <r>
    <s v="Bangladesh"/>
    <s v="BGD"/>
    <x v="20"/>
    <n v="0"/>
    <n v="32000000"/>
    <x v="6"/>
    <x v="2"/>
    <n v="-32000000"/>
    <n v="32000000"/>
  </r>
  <r>
    <s v="Belarus"/>
    <s v="BLR"/>
    <x v="20"/>
    <n v="19000000"/>
    <n v="0"/>
    <x v="1"/>
    <x v="1"/>
    <n v="19000000"/>
    <n v="19000000"/>
  </r>
  <r>
    <s v="Belgium"/>
    <s v="BEL"/>
    <x v="20"/>
    <n v="47000000"/>
    <n v="15000000"/>
    <x v="1"/>
    <x v="3"/>
    <n v="32000000"/>
    <n v="62000000"/>
  </r>
  <r>
    <s v="Bhutan"/>
    <s v="BTN"/>
    <x v="20"/>
    <n v="0"/>
    <n v="0"/>
    <x v="6"/>
    <x v="2"/>
    <n v="0"/>
    <n v="0"/>
  </r>
  <r>
    <s v="Bolivia"/>
    <s v="BOL"/>
    <x v="20"/>
    <n v="0"/>
    <n v="1000000"/>
    <x v="4"/>
    <x v="2"/>
    <n v="-1000000"/>
    <n v="1000000"/>
  </r>
  <r>
    <s v="Botswana"/>
    <s v="BWA"/>
    <x v="20"/>
    <n v="0"/>
    <n v="10000000"/>
    <x v="3"/>
    <x v="1"/>
    <n v="-10000000"/>
    <n v="10000000"/>
  </r>
  <r>
    <s v="Brazil"/>
    <s v="BRA"/>
    <x v="20"/>
    <n v="46000000"/>
    <n v="85000000"/>
    <x v="4"/>
    <x v="1"/>
    <n v="-39000000"/>
    <n v="131000000"/>
  </r>
  <r>
    <s v="Brunei Darussalam"/>
    <s v="BRN"/>
    <x v="20"/>
    <n v="0"/>
    <n v="0"/>
    <x v="5"/>
    <x v="3"/>
    <n v="0"/>
    <n v="0"/>
  </r>
  <r>
    <s v="Bulgaria"/>
    <s v="BGR"/>
    <x v="20"/>
    <n v="20000000"/>
    <n v="13000000"/>
    <x v="1"/>
    <x v="3"/>
    <n v="7000000"/>
    <n v="33000000"/>
  </r>
  <r>
    <s v="Canada"/>
    <s v="CAN"/>
    <x v="20"/>
    <n v="289000000"/>
    <n v="341000000"/>
    <x v="7"/>
    <x v="3"/>
    <n v="-52000000"/>
    <n v="630000000"/>
  </r>
  <r>
    <s v="Central Europe and the Baltics"/>
    <s v="CEB"/>
    <x v="20"/>
    <n v="0"/>
    <n v="694000000"/>
    <x v="0"/>
    <x v="0"/>
    <n v="-694000000"/>
    <n v="694000000"/>
  </r>
  <r>
    <s v="Chile"/>
    <s v="CHL"/>
    <x v="20"/>
    <n v="0"/>
    <n v="64000000"/>
    <x v="4"/>
    <x v="3"/>
    <n v="-64000000"/>
    <n v="64000000"/>
  </r>
  <r>
    <s v="China"/>
    <s v="CHN"/>
    <x v="20"/>
    <n v="408000000"/>
    <n v="3236000000"/>
    <x v="5"/>
    <x v="1"/>
    <n v="-2828000000"/>
    <n v="3644000000"/>
  </r>
  <r>
    <s v="Colombia"/>
    <s v="COL"/>
    <x v="20"/>
    <n v="0"/>
    <n v="18000000"/>
    <x v="4"/>
    <x v="1"/>
    <n v="-18000000"/>
    <n v="18000000"/>
  </r>
  <r>
    <s v="Congo, Rep."/>
    <s v="COG"/>
    <x v="20"/>
    <n v="0"/>
    <n v="7000000"/>
    <x v="3"/>
    <x v="2"/>
    <n v="-7000000"/>
    <n v="7000000"/>
  </r>
  <r>
    <s v="Cote d'Ivoire"/>
    <s v="CIV"/>
    <x v="20"/>
    <n v="0"/>
    <n v="9000000"/>
    <x v="3"/>
    <x v="2"/>
    <n v="-9000000"/>
    <n v="9000000"/>
  </r>
  <r>
    <s v="Croatia"/>
    <s v="HRV"/>
    <x v="20"/>
    <n v="0"/>
    <n v="8000000"/>
    <x v="1"/>
    <x v="3"/>
    <n v="-8000000"/>
    <n v="8000000"/>
  </r>
  <r>
    <s v="Cuba"/>
    <s v="CUB"/>
    <x v="20"/>
    <n v="0"/>
    <n v="8000000"/>
    <x v="4"/>
    <x v="1"/>
    <n v="-8000000"/>
    <n v="8000000"/>
  </r>
  <r>
    <s v="Cyprus"/>
    <s v="CYP"/>
    <x v="20"/>
    <n v="0"/>
    <n v="16000000"/>
    <x v="1"/>
    <x v="3"/>
    <n v="-16000000"/>
    <n v="16000000"/>
  </r>
  <r>
    <s v="Czechia"/>
    <s v="CZE"/>
    <x v="20"/>
    <n v="2000000"/>
    <n v="6000000"/>
    <x v="1"/>
    <x v="3"/>
    <n v="-4000000"/>
    <n v="8000000"/>
  </r>
  <r>
    <s v="Denmark"/>
    <s v="DNK"/>
    <x v="20"/>
    <n v="0"/>
    <n v="232000000"/>
    <x v="1"/>
    <x v="3"/>
    <n v="-232000000"/>
    <n v="232000000"/>
  </r>
  <r>
    <s v="Djibouti"/>
    <s v="DJI"/>
    <x v="20"/>
    <n v="0"/>
    <n v="4000000"/>
    <x v="2"/>
    <x v="2"/>
    <n v="-4000000"/>
    <n v="4000000"/>
  </r>
  <r>
    <s v="Dominican Republic"/>
    <s v="DOM"/>
    <x v="20"/>
    <n v="0"/>
    <n v="36000000"/>
    <x v="4"/>
    <x v="1"/>
    <n v="-36000000"/>
    <n v="36000000"/>
  </r>
  <r>
    <s v="Early-demographic dividend"/>
    <s v="EAR"/>
    <x v="20"/>
    <n v="0"/>
    <n v="7750000000"/>
    <x v="0"/>
    <x v="0"/>
    <n v="-7750000000"/>
    <n v="7750000000"/>
  </r>
  <r>
    <s v="East Asia &amp; Pacific"/>
    <s v="EAS"/>
    <x v="20"/>
    <n v="0"/>
    <n v="6744000000"/>
    <x v="0"/>
    <x v="0"/>
    <n v="-6744000000"/>
    <n v="6744000000"/>
  </r>
  <r>
    <s v="East Asia &amp; Pacific (excluding high income)"/>
    <s v="EAP"/>
    <x v="20"/>
    <n v="484000000"/>
    <n v="4052000000"/>
    <x v="0"/>
    <x v="0"/>
    <n v="-3568000000"/>
    <n v="4536000000"/>
  </r>
  <r>
    <s v="East Asia &amp; Pacific (IDA &amp; IBRD countries)"/>
    <s v="TEA"/>
    <x v="20"/>
    <n v="442000000"/>
    <n v="4044000000"/>
    <x v="0"/>
    <x v="0"/>
    <n v="-3602000000"/>
    <n v="4486000000"/>
  </r>
  <r>
    <s v="Egypt, Arab Rep."/>
    <s v="EGY"/>
    <x v="20"/>
    <n v="0"/>
    <n v="660000000"/>
    <x v="2"/>
    <x v="2"/>
    <n v="-660000000"/>
    <n v="660000000"/>
  </r>
  <r>
    <s v="Equatorial Guinea"/>
    <s v="GNQ"/>
    <x v="20"/>
    <n v="0"/>
    <n v="7000000"/>
    <x v="3"/>
    <x v="1"/>
    <n v="-7000000"/>
    <n v="7000000"/>
  </r>
  <r>
    <s v="Eritrea"/>
    <s v="ERI"/>
    <x v="20"/>
    <n v="0"/>
    <n v="80000000"/>
    <x v="3"/>
    <x v="4"/>
    <n v="-80000000"/>
    <n v="80000000"/>
  </r>
  <r>
    <s v="Estonia"/>
    <s v="EST"/>
    <x v="20"/>
    <n v="0"/>
    <n v="11000000"/>
    <x v="1"/>
    <x v="3"/>
    <n v="-11000000"/>
    <n v="11000000"/>
  </r>
  <r>
    <s v="Ethiopia"/>
    <s v="ETH"/>
    <x v="20"/>
    <n v="0"/>
    <n v="239000000"/>
    <x v="3"/>
    <x v="4"/>
    <n v="-239000000"/>
    <n v="239000000"/>
  </r>
  <r>
    <s v="Euro area"/>
    <s v="EMU"/>
    <x v="20"/>
    <n v="3900000000"/>
    <n v="2709000000"/>
    <x v="0"/>
    <x v="0"/>
    <n v="1191000000"/>
    <n v="6609000000"/>
  </r>
  <r>
    <s v="Europe &amp; Central Asia"/>
    <s v="ECS"/>
    <x v="20"/>
    <n v="12565000000"/>
    <n v="4477000000"/>
    <x v="0"/>
    <x v="0"/>
    <n v="8088000000"/>
    <n v="17042000000"/>
  </r>
  <r>
    <s v="Europe &amp; Central Asia (excluding high income)"/>
    <s v="ECA"/>
    <x v="20"/>
    <n v="393000000"/>
    <n v="488000000"/>
    <x v="0"/>
    <x v="0"/>
    <n v="-95000000"/>
    <n v="881000000"/>
  </r>
  <r>
    <s v="Europe &amp; Central Asia (IDA &amp; IBRD countries)"/>
    <s v="TEC"/>
    <x v="20"/>
    <n v="6813000000"/>
    <n v="0"/>
    <x v="0"/>
    <x v="0"/>
    <n v="6813000000"/>
    <n v="6813000000"/>
  </r>
  <r>
    <s v="European Union"/>
    <s v="EUU"/>
    <x v="20"/>
    <n v="4246000000"/>
    <n v="3572000000"/>
    <x v="0"/>
    <x v="0"/>
    <n v="674000000"/>
    <n v="7818000000"/>
  </r>
  <r>
    <s v="Finland"/>
    <s v="FIN"/>
    <x v="20"/>
    <n v="28000000"/>
    <n v="67000000"/>
    <x v="1"/>
    <x v="3"/>
    <n v="-39000000"/>
    <n v="95000000"/>
  </r>
  <r>
    <s v="France"/>
    <s v="FRA"/>
    <x v="20"/>
    <n v="2117000000"/>
    <n v="93000000"/>
    <x v="1"/>
    <x v="3"/>
    <n v="2024000000"/>
    <n v="2210000000"/>
  </r>
  <r>
    <s v="Gabon"/>
    <s v="GAB"/>
    <x v="20"/>
    <n v="0"/>
    <n v="7000000"/>
    <x v="3"/>
    <x v="1"/>
    <n v="-7000000"/>
    <n v="7000000"/>
  </r>
  <r>
    <s v="Gambia, The"/>
    <s v="GMB"/>
    <x v="20"/>
    <n v="0"/>
    <n v="5000000"/>
    <x v="3"/>
    <x v="4"/>
    <n v="-5000000"/>
    <n v="5000000"/>
  </r>
  <r>
    <s v="Georgia"/>
    <s v="GEO"/>
    <x v="20"/>
    <n v="16000000"/>
    <n v="38000000"/>
    <x v="1"/>
    <x v="1"/>
    <n v="-22000000"/>
    <n v="54000000"/>
  </r>
  <r>
    <s v="Germany"/>
    <s v="DEU"/>
    <x v="20"/>
    <n v="1090000000"/>
    <n v="245000000"/>
    <x v="1"/>
    <x v="3"/>
    <n v="845000000"/>
    <n v="1335000000"/>
  </r>
  <r>
    <s v="Ghana"/>
    <s v="GHA"/>
    <x v="20"/>
    <n v="0"/>
    <n v="37000000"/>
    <x v="3"/>
    <x v="2"/>
    <n v="-37000000"/>
    <n v="37000000"/>
  </r>
  <r>
    <s v="Greece"/>
    <s v="GRC"/>
    <x v="20"/>
    <n v="22000000"/>
    <n v="1098000000"/>
    <x v="1"/>
    <x v="3"/>
    <n v="-1076000000"/>
    <n v="1120000000"/>
  </r>
  <r>
    <s v="Guyana"/>
    <s v="GUY"/>
    <x v="20"/>
    <n v="0"/>
    <n v="0"/>
    <x v="4"/>
    <x v="3"/>
    <n v="0"/>
    <n v="0"/>
  </r>
  <r>
    <s v="High income"/>
    <s v="HIC"/>
    <x v="20"/>
    <n v="20084000000"/>
    <n v="10895000000"/>
    <x v="0"/>
    <x v="0"/>
    <n v="9189000000"/>
    <n v="30979000000"/>
  </r>
  <r>
    <s v="Hungary"/>
    <s v="HUN"/>
    <x v="20"/>
    <n v="0"/>
    <n v="72000000"/>
    <x v="1"/>
    <x v="3"/>
    <n v="-72000000"/>
    <n v="72000000"/>
  </r>
  <r>
    <s v="IBRD only"/>
    <s v="IBD"/>
    <x v="20"/>
    <n v="7421000000"/>
    <n v="9170000000"/>
    <x v="0"/>
    <x v="0"/>
    <n v="-1749000000"/>
    <n v="16591000000"/>
  </r>
  <r>
    <s v="IDA &amp; IBRD total"/>
    <s v="IBT"/>
    <x v="20"/>
    <n v="0"/>
    <n v="10955000000"/>
    <x v="0"/>
    <x v="0"/>
    <n v="-10955000000"/>
    <n v="10955000000"/>
  </r>
  <r>
    <s v="IDA blend"/>
    <s v="IDB"/>
    <x v="20"/>
    <n v="0"/>
    <n v="512000000"/>
    <x v="0"/>
    <x v="0"/>
    <n v="-512000000"/>
    <n v="512000000"/>
  </r>
  <r>
    <s v="India"/>
    <s v="IND"/>
    <x v="20"/>
    <n v="31000000"/>
    <n v="2246000000"/>
    <x v="6"/>
    <x v="2"/>
    <n v="-2215000000"/>
    <n v="2277000000"/>
  </r>
  <r>
    <s v="Indonesia"/>
    <s v="IDN"/>
    <x v="20"/>
    <n v="27000000"/>
    <n v="77000000"/>
    <x v="5"/>
    <x v="1"/>
    <n v="-50000000"/>
    <n v="104000000"/>
  </r>
  <r>
    <s v="Iran, Islamic Rep."/>
    <s v="IRN"/>
    <x v="20"/>
    <n v="3000000"/>
    <n v="117000000"/>
    <x v="2"/>
    <x v="1"/>
    <n v="-114000000"/>
    <n v="120000000"/>
  </r>
  <r>
    <s v="Iraq"/>
    <s v="IRQ"/>
    <x v="20"/>
    <n v="0"/>
    <n v="49000000"/>
    <x v="2"/>
    <x v="1"/>
    <n v="-49000000"/>
    <n v="49000000"/>
  </r>
  <r>
    <s v="Ireland"/>
    <s v="IRL"/>
    <x v="20"/>
    <n v="0"/>
    <n v="27000000"/>
    <x v="1"/>
    <x v="3"/>
    <n v="-27000000"/>
    <n v="27000000"/>
  </r>
  <r>
    <s v="Israel"/>
    <s v="ISR"/>
    <x v="20"/>
    <n v="599000000"/>
    <n v="846000000"/>
    <x v="2"/>
    <x v="3"/>
    <n v="-247000000"/>
    <n v="1445000000"/>
  </r>
  <r>
    <s v="Italy"/>
    <s v="ITA"/>
    <x v="20"/>
    <n v="261000000"/>
    <n v="490000000"/>
    <x v="1"/>
    <x v="3"/>
    <n v="-229000000"/>
    <n v="751000000"/>
  </r>
  <r>
    <s v="Japan"/>
    <s v="JPN"/>
    <x v="20"/>
    <n v="0"/>
    <n v="399000000"/>
    <x v="5"/>
    <x v="3"/>
    <n v="-399000000"/>
    <n v="399000000"/>
  </r>
  <r>
    <s v="Jordan"/>
    <s v="JOR"/>
    <x v="20"/>
    <n v="19000000"/>
    <n v="168000000"/>
    <x v="2"/>
    <x v="1"/>
    <n v="-149000000"/>
    <n v="187000000"/>
  </r>
  <r>
    <s v="Kazakhstan"/>
    <s v="KAZ"/>
    <x v="20"/>
    <n v="6000000"/>
    <n v="49000000"/>
    <x v="1"/>
    <x v="1"/>
    <n v="-43000000"/>
    <n v="55000000"/>
  </r>
  <r>
    <s v="Korea, Dem. People's Rep."/>
    <s v="PRK"/>
    <x v="20"/>
    <n v="42000000"/>
    <n v="8000000"/>
    <x v="5"/>
    <x v="4"/>
    <n v="34000000"/>
    <n v="50000000"/>
  </r>
  <r>
    <s v="Korea, Rep."/>
    <s v="KOR"/>
    <x v="20"/>
    <n v="74000000"/>
    <n v="1061000000"/>
    <x v="5"/>
    <x v="3"/>
    <n v="-987000000"/>
    <n v="1135000000"/>
  </r>
  <r>
    <s v="Kuwait"/>
    <s v="KWT"/>
    <x v="20"/>
    <n v="0"/>
    <n v="2000000"/>
    <x v="2"/>
    <x v="3"/>
    <n v="-2000000"/>
    <n v="2000000"/>
  </r>
  <r>
    <s v="Kyrgyz Republic"/>
    <s v="KGZ"/>
    <x v="20"/>
    <n v="0"/>
    <n v="6000000"/>
    <x v="1"/>
    <x v="2"/>
    <n v="-6000000"/>
    <n v="6000000"/>
  </r>
  <r>
    <s v="Late-demographic dividend"/>
    <s v="LTE"/>
    <x v="20"/>
    <n v="6974000000"/>
    <n v="5963000000"/>
    <x v="0"/>
    <x v="0"/>
    <n v="1011000000"/>
    <n v="12937000000"/>
  </r>
  <r>
    <s v="Latin America &amp; Caribbean"/>
    <s v="LCN"/>
    <x v="20"/>
    <n v="0"/>
    <n v="754000000"/>
    <x v="0"/>
    <x v="0"/>
    <n v="-754000000"/>
    <n v="754000000"/>
  </r>
  <r>
    <s v="Latin America &amp; Caribbean (excluding high income)"/>
    <s v="LAC"/>
    <x v="20"/>
    <n v="0"/>
    <n v="690000000"/>
    <x v="0"/>
    <x v="0"/>
    <n v="-690000000"/>
    <n v="690000000"/>
  </r>
  <r>
    <s v="Latin America &amp; the Caribbean (IDA &amp; IBRD countries)"/>
    <s v="TLA"/>
    <x v="20"/>
    <n v="0"/>
    <n v="746000000"/>
    <x v="0"/>
    <x v="0"/>
    <n v="-746000000"/>
    <n v="746000000"/>
  </r>
  <r>
    <s v="Latvia"/>
    <s v="LVA"/>
    <x v="20"/>
    <n v="0"/>
    <n v="13000000"/>
    <x v="1"/>
    <x v="3"/>
    <n v="-13000000"/>
    <n v="13000000"/>
  </r>
  <r>
    <s v="Lesotho"/>
    <s v="LSO"/>
    <x v="20"/>
    <n v="0"/>
    <n v="1000000"/>
    <x v="3"/>
    <x v="2"/>
    <n v="-1000000"/>
    <n v="1000000"/>
  </r>
  <r>
    <s v="Libya"/>
    <s v="LBY"/>
    <x v="20"/>
    <n v="113000000"/>
    <n v="0"/>
    <x v="2"/>
    <x v="1"/>
    <n v="113000000"/>
    <n v="113000000"/>
  </r>
  <r>
    <s v="Lithuania"/>
    <s v="LTU"/>
    <x v="20"/>
    <n v="0"/>
    <n v="47000000"/>
    <x v="1"/>
    <x v="3"/>
    <n v="-47000000"/>
    <n v="47000000"/>
  </r>
  <r>
    <s v="Low &amp; middle income"/>
    <s v="LMY"/>
    <x v="20"/>
    <n v="0"/>
    <n v="10380000000"/>
    <x v="0"/>
    <x v="0"/>
    <n v="-10380000000"/>
    <n v="10380000000"/>
  </r>
  <r>
    <s v="Low income"/>
    <s v="LIC"/>
    <x v="20"/>
    <n v="0"/>
    <n v="935000000"/>
    <x v="0"/>
    <x v="0"/>
    <n v="-935000000"/>
    <n v="935000000"/>
  </r>
  <r>
    <s v="Lower middle income"/>
    <s v="LMC"/>
    <x v="20"/>
    <n v="0"/>
    <n v="3774000000"/>
    <x v="0"/>
    <x v="0"/>
    <n v="-3774000000"/>
    <n v="3774000000"/>
  </r>
  <r>
    <s v="Malaysia"/>
    <s v="MYS"/>
    <x v="20"/>
    <n v="0"/>
    <n v="68000000"/>
    <x v="5"/>
    <x v="1"/>
    <n v="-68000000"/>
    <n v="68000000"/>
  </r>
  <r>
    <s v="Malta"/>
    <s v="MLT"/>
    <x v="20"/>
    <n v="10000000"/>
    <n v="4000000"/>
    <x v="2"/>
    <x v="3"/>
    <n v="6000000"/>
    <n v="14000000"/>
  </r>
  <r>
    <s v="Mauritius"/>
    <s v="MUS"/>
    <x v="20"/>
    <n v="0"/>
    <n v="10000000"/>
    <x v="3"/>
    <x v="1"/>
    <n v="-10000000"/>
    <n v="10000000"/>
  </r>
  <r>
    <s v="Mexico"/>
    <s v="MEX"/>
    <x v="20"/>
    <n v="0"/>
    <n v="321000000"/>
    <x v="4"/>
    <x v="1"/>
    <n v="-321000000"/>
    <n v="321000000"/>
  </r>
  <r>
    <s v="Middle East, North Africa, Afghanistan &amp; Pakistan"/>
    <s v="MEA"/>
    <x v="20"/>
    <n v="0"/>
    <n v="5220000000"/>
    <x v="0"/>
    <x v="0"/>
    <n v="-5220000000"/>
    <n v="5220000000"/>
  </r>
  <r>
    <s v="Middle income"/>
    <s v="MIC"/>
    <x v="20"/>
    <n v="0"/>
    <n v="9445000000"/>
    <x v="0"/>
    <x v="0"/>
    <n v="-9445000000"/>
    <n v="9445000000"/>
  </r>
  <r>
    <s v="Morocco"/>
    <s v="MAR"/>
    <x v="20"/>
    <n v="0"/>
    <n v="14000000"/>
    <x v="2"/>
    <x v="2"/>
    <n v="-14000000"/>
    <n v="14000000"/>
  </r>
  <r>
    <s v="Myanmar"/>
    <s v="MMR"/>
    <x v="20"/>
    <n v="0"/>
    <n v="192000000"/>
    <x v="5"/>
    <x v="2"/>
    <n v="-192000000"/>
    <n v="192000000"/>
  </r>
  <r>
    <s v="Namibia"/>
    <s v="NAM"/>
    <x v="20"/>
    <n v="0"/>
    <n v="16000000"/>
    <x v="3"/>
    <x v="2"/>
    <n v="-16000000"/>
    <n v="16000000"/>
  </r>
  <r>
    <s v="Nepal"/>
    <s v="NPL"/>
    <x v="20"/>
    <n v="0"/>
    <n v="36000000"/>
    <x v="6"/>
    <x v="2"/>
    <n v="-36000000"/>
    <n v="36000000"/>
  </r>
  <r>
    <s v="Netherlands"/>
    <s v="NLD"/>
    <x v="20"/>
    <n v="202000000"/>
    <n v="130000000"/>
    <x v="1"/>
    <x v="3"/>
    <n v="72000000"/>
    <n v="332000000"/>
  </r>
  <r>
    <s v="New Zealand"/>
    <s v="NZL"/>
    <x v="20"/>
    <n v="1000000"/>
    <n v="95000000"/>
    <x v="5"/>
    <x v="3"/>
    <n v="-94000000"/>
    <n v="96000000"/>
  </r>
  <r>
    <s v="Nigeria"/>
    <s v="NGA"/>
    <x v="20"/>
    <n v="0"/>
    <n v="11000000"/>
    <x v="3"/>
    <x v="2"/>
    <n v="-11000000"/>
    <n v="11000000"/>
  </r>
  <r>
    <s v="North America"/>
    <s v="NAC"/>
    <x v="20"/>
    <n v="7158000000"/>
    <n v="937000000"/>
    <x v="0"/>
    <x v="0"/>
    <n v="6221000000"/>
    <n v="8095000000"/>
  </r>
  <r>
    <s v="Norway"/>
    <s v="NOR"/>
    <x v="20"/>
    <n v="59000000"/>
    <n v="6000000"/>
    <x v="1"/>
    <x v="3"/>
    <n v="53000000"/>
    <n v="65000000"/>
  </r>
  <r>
    <s v="OECD members"/>
    <s v="OED"/>
    <x v="20"/>
    <n v="13663000000"/>
    <n v="8109000000"/>
    <x v="0"/>
    <x v="0"/>
    <n v="5554000000"/>
    <n v="21772000000"/>
  </r>
  <r>
    <s v="Oman"/>
    <s v="OMN"/>
    <x v="20"/>
    <n v="0"/>
    <n v="49000000"/>
    <x v="2"/>
    <x v="3"/>
    <n v="-49000000"/>
    <n v="49000000"/>
  </r>
  <r>
    <s v="Other small states"/>
    <s v="OSS"/>
    <x v="20"/>
    <n v="0"/>
    <n v="45000000"/>
    <x v="0"/>
    <x v="0"/>
    <n v="-45000000"/>
    <n v="45000000"/>
  </r>
  <r>
    <s v="Pakistan"/>
    <s v="PAK"/>
    <x v="20"/>
    <n v="9000000"/>
    <n v="471000000"/>
    <x v="2"/>
    <x v="2"/>
    <n v="-462000000"/>
    <n v="480000000"/>
  </r>
  <r>
    <s v="Paraguay"/>
    <s v="PRY"/>
    <x v="20"/>
    <n v="0"/>
    <n v="4000000"/>
    <x v="4"/>
    <x v="1"/>
    <n v="-4000000"/>
    <n v="4000000"/>
  </r>
  <r>
    <s v="Peru"/>
    <s v="PER"/>
    <x v="20"/>
    <n v="5000000"/>
    <n v="47000000"/>
    <x v="4"/>
    <x v="1"/>
    <n v="-42000000"/>
    <n v="52000000"/>
  </r>
  <r>
    <s v="Philippines"/>
    <s v="PHL"/>
    <x v="20"/>
    <n v="0"/>
    <n v="34000000"/>
    <x v="5"/>
    <x v="1"/>
    <n v="-34000000"/>
    <n v="34000000"/>
  </r>
  <r>
    <s v="Poland"/>
    <s v="POL"/>
    <x v="20"/>
    <n v="47000000"/>
    <n v="223000000"/>
    <x v="1"/>
    <x v="3"/>
    <n v="-176000000"/>
    <n v="270000000"/>
  </r>
  <r>
    <s v="Portugal"/>
    <s v="PRT"/>
    <x v="20"/>
    <n v="0"/>
    <n v="70000000"/>
    <x v="1"/>
    <x v="3"/>
    <n v="-70000000"/>
    <n v="70000000"/>
  </r>
  <r>
    <s v="Post-demographic dividend"/>
    <s v="PST"/>
    <x v="20"/>
    <n v="13251000000"/>
    <n v="6740000000"/>
    <x v="0"/>
    <x v="0"/>
    <n v="6511000000"/>
    <n v="19991000000"/>
  </r>
  <r>
    <s v="Romania"/>
    <s v="ROU"/>
    <x v="20"/>
    <n v="0"/>
    <n v="283000000"/>
    <x v="1"/>
    <x v="3"/>
    <n v="-283000000"/>
    <n v="283000000"/>
  </r>
  <r>
    <s v="Russian Federation"/>
    <s v="RUS"/>
    <x v="20"/>
    <n v="6353000000"/>
    <n v="0"/>
    <x v="1"/>
    <x v="3"/>
    <n v="6353000000"/>
    <n v="6353000000"/>
  </r>
  <r>
    <s v="Saudi Arabia"/>
    <s v="SAU"/>
    <x v="20"/>
    <n v="0"/>
    <n v="1157000000"/>
    <x v="2"/>
    <x v="3"/>
    <n v="-1157000000"/>
    <n v="1157000000"/>
  </r>
  <r>
    <s v="Singapore"/>
    <s v="SGP"/>
    <x v="20"/>
    <n v="65000000"/>
    <n v="374000000"/>
    <x v="5"/>
    <x v="3"/>
    <n v="-309000000"/>
    <n v="439000000"/>
  </r>
  <r>
    <s v="Slovak Republic"/>
    <s v="SVK"/>
    <x v="20"/>
    <n v="46000000"/>
    <n v="1000000"/>
    <x v="1"/>
    <x v="3"/>
    <n v="45000000"/>
    <n v="47000000"/>
  </r>
  <r>
    <s v="Slovenia"/>
    <s v="SVN"/>
    <x v="20"/>
    <n v="0"/>
    <n v="17000000"/>
    <x v="1"/>
    <x v="3"/>
    <n v="-17000000"/>
    <n v="17000000"/>
  </r>
  <r>
    <s v="South Africa"/>
    <s v="ZAF"/>
    <x v="20"/>
    <n v="74000000"/>
    <n v="0"/>
    <x v="3"/>
    <x v="1"/>
    <n v="74000000"/>
    <n v="74000000"/>
  </r>
  <r>
    <s v="South Asia"/>
    <s v="SAS"/>
    <x v="20"/>
    <n v="31000000"/>
    <n v="2352000000"/>
    <x v="0"/>
    <x v="0"/>
    <n v="-2321000000"/>
    <n v="2383000000"/>
  </r>
  <r>
    <s v="South Asia (IDA &amp; IBRD)"/>
    <s v="TSA"/>
    <x v="20"/>
    <n v="31000000"/>
    <n v="2352000000"/>
    <x v="0"/>
    <x v="0"/>
    <n v="-2321000000"/>
    <n v="2383000000"/>
  </r>
  <r>
    <s v="Spain"/>
    <s v="ESP"/>
    <x v="20"/>
    <n v="54000000"/>
    <n v="288000000"/>
    <x v="1"/>
    <x v="3"/>
    <n v="-234000000"/>
    <n v="342000000"/>
  </r>
  <r>
    <s v="Sri Lanka"/>
    <s v="LKA"/>
    <x v="20"/>
    <n v="0"/>
    <n v="38000000"/>
    <x v="6"/>
    <x v="1"/>
    <n v="-38000000"/>
    <n v="38000000"/>
  </r>
  <r>
    <s v="Sudan"/>
    <s v="SDN"/>
    <x v="20"/>
    <n v="0"/>
    <n v="294000000"/>
    <x v="3"/>
    <x v="4"/>
    <n v="-294000000"/>
    <n v="294000000"/>
  </r>
  <r>
    <s v="Sweden"/>
    <s v="SWE"/>
    <x v="20"/>
    <n v="297000000"/>
    <n v="47000000"/>
    <x v="1"/>
    <x v="3"/>
    <n v="250000000"/>
    <n v="344000000"/>
  </r>
  <r>
    <s v="Switzerland"/>
    <s v="CHE"/>
    <x v="20"/>
    <n v="293000000"/>
    <n v="203000000"/>
    <x v="1"/>
    <x v="3"/>
    <n v="90000000"/>
    <n v="496000000"/>
  </r>
  <r>
    <s v="Syrian Arab Republic"/>
    <s v="SYR"/>
    <x v="20"/>
    <n v="0"/>
    <n v="20000000"/>
    <x v="2"/>
    <x v="4"/>
    <n v="-20000000"/>
    <n v="20000000"/>
  </r>
  <r>
    <s v="Thailand"/>
    <s v="THA"/>
    <x v="20"/>
    <n v="7000000"/>
    <n v="138000000"/>
    <x v="5"/>
    <x v="1"/>
    <n v="-131000000"/>
    <n v="145000000"/>
  </r>
  <r>
    <s v="Turkiye"/>
    <s v="TUR"/>
    <x v="20"/>
    <n v="30000000"/>
    <n v="252000000"/>
    <x v="1"/>
    <x v="1"/>
    <n v="-222000000"/>
    <n v="282000000"/>
  </r>
  <r>
    <s v="Turkmenistan"/>
    <s v="TKM"/>
    <x v="20"/>
    <n v="0"/>
    <n v="21000000"/>
    <x v="1"/>
    <x v="1"/>
    <n v="-21000000"/>
    <n v="21000000"/>
  </r>
  <r>
    <s v="Uganda"/>
    <s v="UGA"/>
    <x v="20"/>
    <n v="0"/>
    <n v="36000000"/>
    <x v="3"/>
    <x v="4"/>
    <n v="-36000000"/>
    <n v="36000000"/>
  </r>
  <r>
    <s v="Ukraine"/>
    <s v="UKR"/>
    <x v="20"/>
    <n v="196000000"/>
    <n v="0"/>
    <x v="1"/>
    <x v="1"/>
    <n v="196000000"/>
    <n v="196000000"/>
  </r>
  <r>
    <s v="United Arab Emirates"/>
    <s v="ARE"/>
    <x v="20"/>
    <n v="3000000"/>
    <n v="1145000000"/>
    <x v="2"/>
    <x v="3"/>
    <n v="-1142000000"/>
    <n v="1148000000"/>
  </r>
  <r>
    <s v="United Kingdom"/>
    <s v="GBR"/>
    <x v="20"/>
    <n v="1231000000"/>
    <n v="212000000"/>
    <x v="1"/>
    <x v="3"/>
    <n v="1019000000"/>
    <n v="1443000000"/>
  </r>
  <r>
    <s v="United States"/>
    <s v="USA"/>
    <x v="20"/>
    <n v="6869000000"/>
    <n v="596000000"/>
    <x v="7"/>
    <x v="3"/>
    <n v="6273000000"/>
    <n v="7465000000"/>
  </r>
  <r>
    <s v="Upper middle income"/>
    <s v="UMC"/>
    <x v="20"/>
    <n v="969000000"/>
    <n v="5671000000"/>
    <x v="0"/>
    <x v="0"/>
    <n v="-4702000000"/>
    <n v="6640000000"/>
  </r>
  <r>
    <s v="Uzbekistan"/>
    <s v="UZB"/>
    <x v="20"/>
    <n v="126000000"/>
    <n v="0"/>
    <x v="1"/>
    <x v="2"/>
    <n v="126000000"/>
    <n v="126000000"/>
  </r>
  <r>
    <s v="Venezuela, RB"/>
    <s v="VEN"/>
    <x v="20"/>
    <n v="1000000"/>
    <n v="9000000"/>
    <x v="4"/>
    <x v="2"/>
    <n v="-8000000"/>
    <n v="10000000"/>
  </r>
  <r>
    <s v="Viet Nam"/>
    <s v="VNM"/>
    <x v="20"/>
    <n v="0"/>
    <n v="299000000"/>
    <x v="5"/>
    <x v="1"/>
    <n v="-299000000"/>
    <n v="299000000"/>
  </r>
  <r>
    <s v="World"/>
    <s v="WLD"/>
    <x v="20"/>
    <n v="21275000000"/>
    <n v="21275000000"/>
    <x v="0"/>
    <x v="0"/>
    <n v="0"/>
    <n v="42550000000"/>
  </r>
  <r>
    <s v="Yemen, Rep."/>
    <s v="YEM"/>
    <x v="20"/>
    <n v="0"/>
    <n v="253000000"/>
    <x v="2"/>
    <x v="4"/>
    <n v="-253000000"/>
    <n v="253000000"/>
  </r>
  <r>
    <s v="Zimbabwe"/>
    <s v="ZWE"/>
    <x v="20"/>
    <n v="0"/>
    <n v="14000000"/>
    <x v="3"/>
    <x v="2"/>
    <n v="-14000000"/>
    <n v="14000000"/>
  </r>
  <r>
    <s v="Africa Western and Central"/>
    <s v="AFW"/>
    <x v="21"/>
    <n v="0"/>
    <n v="159000000"/>
    <x v="0"/>
    <x v="0"/>
    <n v="-159000000"/>
    <n v="159000000"/>
  </r>
  <r>
    <s v="Albania"/>
    <s v="ALB"/>
    <x v="21"/>
    <n v="0"/>
    <n v="2000000"/>
    <x v="1"/>
    <x v="1"/>
    <n v="-2000000"/>
    <n v="2000000"/>
  </r>
  <r>
    <s v="Algeria"/>
    <s v="DZA"/>
    <x v="21"/>
    <n v="0"/>
    <n v="204000000"/>
    <x v="2"/>
    <x v="1"/>
    <n v="-204000000"/>
    <n v="204000000"/>
  </r>
  <r>
    <s v="Angola"/>
    <s v="AGO"/>
    <x v="21"/>
    <n v="0"/>
    <n v="48000000"/>
    <x v="3"/>
    <x v="2"/>
    <n v="-48000000"/>
    <n v="48000000"/>
  </r>
  <r>
    <s v="Arab World"/>
    <s v="ARB"/>
    <x v="21"/>
    <n v="0"/>
    <n v="2379000000"/>
    <x v="0"/>
    <x v="0"/>
    <n v="-2379000000"/>
    <n v="2379000000"/>
  </r>
  <r>
    <s v="Argentina"/>
    <s v="ARG"/>
    <x v="21"/>
    <n v="0"/>
    <n v="11000000"/>
    <x v="4"/>
    <x v="1"/>
    <n v="-11000000"/>
    <n v="11000000"/>
  </r>
  <r>
    <s v="Australia"/>
    <s v="AUS"/>
    <x v="21"/>
    <n v="44000000"/>
    <n v="765000000"/>
    <x v="5"/>
    <x v="3"/>
    <n v="-721000000"/>
    <n v="809000000"/>
  </r>
  <r>
    <s v="Austria"/>
    <s v="AUT"/>
    <x v="21"/>
    <n v="2000000"/>
    <n v="41000000"/>
    <x v="1"/>
    <x v="3"/>
    <n v="-39000000"/>
    <n v="43000000"/>
  </r>
  <r>
    <s v="Bahrain"/>
    <s v="BHR"/>
    <x v="21"/>
    <n v="0"/>
    <n v="1000000"/>
    <x v="2"/>
    <x v="3"/>
    <n v="-1000000"/>
    <n v="1000000"/>
  </r>
  <r>
    <s v="Bangladesh"/>
    <s v="BGD"/>
    <x v="21"/>
    <n v="0"/>
    <n v="8000000"/>
    <x v="6"/>
    <x v="2"/>
    <n v="-8000000"/>
    <n v="8000000"/>
  </r>
  <r>
    <s v="Belarus"/>
    <s v="BLR"/>
    <x v="21"/>
    <n v="58000000"/>
    <n v="0"/>
    <x v="1"/>
    <x v="1"/>
    <n v="58000000"/>
    <n v="58000000"/>
  </r>
  <r>
    <s v="Belgium"/>
    <s v="BEL"/>
    <x v="21"/>
    <n v="15000000"/>
    <n v="21000000"/>
    <x v="1"/>
    <x v="3"/>
    <n v="-6000000"/>
    <n v="36000000"/>
  </r>
  <r>
    <s v="Bolivia"/>
    <s v="BOL"/>
    <x v="21"/>
    <n v="0"/>
    <n v="5000000"/>
    <x v="4"/>
    <x v="2"/>
    <n v="-5000000"/>
    <n v="5000000"/>
  </r>
  <r>
    <s v="Botswana"/>
    <s v="BWA"/>
    <x v="21"/>
    <n v="0"/>
    <n v="11000000"/>
    <x v="3"/>
    <x v="1"/>
    <n v="-11000000"/>
    <n v="11000000"/>
  </r>
  <r>
    <s v="Brazil"/>
    <s v="BRA"/>
    <x v="21"/>
    <n v="0"/>
    <n v="110000000"/>
    <x v="4"/>
    <x v="1"/>
    <n v="-110000000"/>
    <n v="110000000"/>
  </r>
  <r>
    <s v="Brunei Darussalam"/>
    <s v="BRN"/>
    <x v="21"/>
    <n v="0"/>
    <n v="0"/>
    <x v="5"/>
    <x v="3"/>
    <n v="0"/>
    <n v="0"/>
  </r>
  <r>
    <s v="Bulgaria"/>
    <s v="BGR"/>
    <x v="21"/>
    <n v="45000000"/>
    <n v="2000000"/>
    <x v="1"/>
    <x v="3"/>
    <n v="43000000"/>
    <n v="47000000"/>
  </r>
  <r>
    <s v="Canada"/>
    <s v="CAN"/>
    <x v="21"/>
    <n v="302000000"/>
    <n v="140000000"/>
    <x v="7"/>
    <x v="3"/>
    <n v="162000000"/>
    <n v="442000000"/>
  </r>
  <r>
    <s v="Central Europe and the Baltics"/>
    <s v="CEB"/>
    <x v="21"/>
    <n v="0"/>
    <n v="541000000"/>
    <x v="0"/>
    <x v="0"/>
    <n v="-541000000"/>
    <n v="541000000"/>
  </r>
  <r>
    <s v="Chile"/>
    <s v="CHL"/>
    <x v="21"/>
    <n v="0"/>
    <n v="188000000"/>
    <x v="4"/>
    <x v="3"/>
    <n v="-188000000"/>
    <n v="188000000"/>
  </r>
  <r>
    <s v="China"/>
    <s v="CHN"/>
    <x v="21"/>
    <n v="701000000"/>
    <n v="2326000000"/>
    <x v="5"/>
    <x v="1"/>
    <n v="-1625000000"/>
    <n v="3027000000"/>
  </r>
  <r>
    <s v="Colombia"/>
    <s v="COL"/>
    <x v="21"/>
    <n v="0"/>
    <n v="145000000"/>
    <x v="4"/>
    <x v="1"/>
    <n v="-145000000"/>
    <n v="145000000"/>
  </r>
  <r>
    <s v="Congo, Rep."/>
    <s v="COG"/>
    <x v="21"/>
    <n v="0"/>
    <n v="8000000"/>
    <x v="3"/>
    <x v="2"/>
    <n v="-8000000"/>
    <n v="8000000"/>
  </r>
  <r>
    <s v="Cote d'Ivoire"/>
    <s v="CIV"/>
    <x v="21"/>
    <n v="0"/>
    <n v="61000000"/>
    <x v="3"/>
    <x v="2"/>
    <n v="-61000000"/>
    <n v="61000000"/>
  </r>
  <r>
    <s v="Croatia"/>
    <s v="HRV"/>
    <x v="21"/>
    <n v="0"/>
    <n v="24000000"/>
    <x v="1"/>
    <x v="3"/>
    <n v="-24000000"/>
    <n v="24000000"/>
  </r>
  <r>
    <s v="Cyprus"/>
    <s v="CYP"/>
    <x v="21"/>
    <n v="0"/>
    <n v="6000000"/>
    <x v="1"/>
    <x v="3"/>
    <n v="-6000000"/>
    <n v="6000000"/>
  </r>
  <r>
    <s v="Czechia"/>
    <s v="CZE"/>
    <x v="21"/>
    <n v="65000000"/>
    <n v="94000000"/>
    <x v="1"/>
    <x v="3"/>
    <n v="-29000000"/>
    <n v="159000000"/>
  </r>
  <r>
    <s v="Denmark"/>
    <s v="DNK"/>
    <x v="21"/>
    <n v="2000000"/>
    <n v="48000000"/>
    <x v="1"/>
    <x v="3"/>
    <n v="-46000000"/>
    <n v="50000000"/>
  </r>
  <r>
    <s v="Dominican Republic"/>
    <s v="DOM"/>
    <x v="21"/>
    <n v="0"/>
    <n v="9000000"/>
    <x v="4"/>
    <x v="1"/>
    <n v="-9000000"/>
    <n v="9000000"/>
  </r>
  <r>
    <s v="Early-demographic dividend"/>
    <s v="EAR"/>
    <x v="21"/>
    <n v="0"/>
    <n v="6439000000"/>
    <x v="0"/>
    <x v="0"/>
    <n v="-6439000000"/>
    <n v="6439000000"/>
  </r>
  <r>
    <s v="East Asia &amp; Pacific"/>
    <s v="EAS"/>
    <x v="21"/>
    <n v="0"/>
    <n v="5502000000"/>
    <x v="0"/>
    <x v="0"/>
    <n v="-5502000000"/>
    <n v="5502000000"/>
  </r>
  <r>
    <s v="East Asia &amp; Pacific (excluding high income)"/>
    <s v="EAP"/>
    <x v="21"/>
    <n v="837000000"/>
    <n v="3167000000"/>
    <x v="0"/>
    <x v="0"/>
    <n v="-2330000000"/>
    <n v="4004000000"/>
  </r>
  <r>
    <s v="East Asia &amp; Pacific (IDA &amp; IBRD countries)"/>
    <s v="TEA"/>
    <x v="21"/>
    <n v="708000000"/>
    <n v="3132000000"/>
    <x v="0"/>
    <x v="0"/>
    <n v="-2424000000"/>
    <n v="3840000000"/>
  </r>
  <r>
    <s v="Egypt, Arab Rep."/>
    <s v="EGY"/>
    <x v="21"/>
    <n v="0"/>
    <n v="633000000"/>
    <x v="2"/>
    <x v="2"/>
    <n v="-633000000"/>
    <n v="633000000"/>
  </r>
  <r>
    <s v="El Salvador"/>
    <s v="SLV"/>
    <x v="21"/>
    <n v="0"/>
    <n v="10000000"/>
    <x v="4"/>
    <x v="1"/>
    <n v="-10000000"/>
    <n v="10000000"/>
  </r>
  <r>
    <s v="Eritrea"/>
    <s v="ERI"/>
    <x v="21"/>
    <n v="0"/>
    <n v="17000000"/>
    <x v="3"/>
    <x v="4"/>
    <n v="-17000000"/>
    <n v="17000000"/>
  </r>
  <r>
    <s v="Estonia"/>
    <s v="EST"/>
    <x v="21"/>
    <n v="0"/>
    <n v="14000000"/>
    <x v="1"/>
    <x v="3"/>
    <n v="-14000000"/>
    <n v="14000000"/>
  </r>
  <r>
    <s v="Ethiopia"/>
    <s v="ETH"/>
    <x v="21"/>
    <n v="0"/>
    <n v="174000000"/>
    <x v="3"/>
    <x v="4"/>
    <n v="-174000000"/>
    <n v="174000000"/>
  </r>
  <r>
    <s v="Euro area"/>
    <s v="EMU"/>
    <x v="21"/>
    <n v="3872000000"/>
    <n v="3696000000"/>
    <x v="0"/>
    <x v="0"/>
    <n v="176000000"/>
    <n v="7568000000"/>
  </r>
  <r>
    <s v="Europe &amp; Central Asia"/>
    <s v="ECS"/>
    <x v="21"/>
    <n v="11668000000"/>
    <n v="5522000000"/>
    <x v="0"/>
    <x v="0"/>
    <n v="6146000000"/>
    <n v="17190000000"/>
  </r>
  <r>
    <s v="Europe &amp; Central Asia (excluding high income)"/>
    <s v="ECA"/>
    <x v="21"/>
    <n v="773000000"/>
    <n v="0"/>
    <x v="0"/>
    <x v="0"/>
    <n v="773000000"/>
    <n v="773000000"/>
  </r>
  <r>
    <s v="Europe &amp; Central Asia (IDA &amp; IBRD countries)"/>
    <s v="TEC"/>
    <x v="21"/>
    <n v="6191000000"/>
    <n v="0"/>
    <x v="0"/>
    <x v="0"/>
    <n v="6191000000"/>
    <n v="6191000000"/>
  </r>
  <r>
    <s v="European Union"/>
    <s v="EUU"/>
    <x v="21"/>
    <n v="4562000000"/>
    <n v="4268000000"/>
    <x v="0"/>
    <x v="0"/>
    <n v="294000000"/>
    <n v="8830000000"/>
  </r>
  <r>
    <s v="Finland"/>
    <s v="FIN"/>
    <x v="21"/>
    <n v="35000000"/>
    <n v="242000000"/>
    <x v="1"/>
    <x v="3"/>
    <n v="-207000000"/>
    <n v="277000000"/>
  </r>
  <r>
    <s v="France"/>
    <s v="FRA"/>
    <x v="21"/>
    <n v="1348000000"/>
    <n v="55000000"/>
    <x v="1"/>
    <x v="3"/>
    <n v="1293000000"/>
    <n v="1403000000"/>
  </r>
  <r>
    <s v="Georgia"/>
    <s v="GEO"/>
    <x v="21"/>
    <n v="0"/>
    <n v="1000000"/>
    <x v="1"/>
    <x v="1"/>
    <n v="-1000000"/>
    <n v="1000000"/>
  </r>
  <r>
    <s v="Germany"/>
    <s v="DEU"/>
    <x v="21"/>
    <n v="1632000000"/>
    <n v="70000000"/>
    <x v="1"/>
    <x v="3"/>
    <n v="1562000000"/>
    <n v="1702000000"/>
  </r>
  <r>
    <s v="Ghana"/>
    <s v="GHA"/>
    <x v="21"/>
    <n v="0"/>
    <n v="6000000"/>
    <x v="3"/>
    <x v="2"/>
    <n v="-6000000"/>
    <n v="6000000"/>
  </r>
  <r>
    <s v="Greece"/>
    <s v="GRC"/>
    <x v="21"/>
    <n v="6000000"/>
    <n v="2164000000"/>
    <x v="1"/>
    <x v="3"/>
    <n v="-2158000000"/>
    <n v="2170000000"/>
  </r>
  <r>
    <s v="Guinea"/>
    <s v="GIN"/>
    <x v="21"/>
    <n v="0"/>
    <n v="2000000"/>
    <x v="3"/>
    <x v="2"/>
    <n v="-2000000"/>
    <n v="2000000"/>
  </r>
  <r>
    <s v="High income"/>
    <s v="HIC"/>
    <x v="21"/>
    <n v="17439000000"/>
    <n v="9560000000"/>
    <x v="0"/>
    <x v="0"/>
    <n v="7879000000"/>
    <n v="26999000000"/>
  </r>
  <r>
    <s v="IBRD only"/>
    <s v="IBD"/>
    <x v="21"/>
    <n v="0"/>
    <n v="8576000000"/>
    <x v="0"/>
    <x v="0"/>
    <n v="-8576000000"/>
    <n v="8576000000"/>
  </r>
  <r>
    <s v="IDA &amp; IBRD total"/>
    <s v="IBT"/>
    <x v="21"/>
    <n v="0"/>
    <n v="10128000000"/>
    <x v="0"/>
    <x v="0"/>
    <n v="-10128000000"/>
    <n v="10128000000"/>
  </r>
  <r>
    <s v="IDA blend"/>
    <s v="IDB"/>
    <x v="21"/>
    <n v="0"/>
    <n v="796000000"/>
    <x v="0"/>
    <x v="0"/>
    <n v="-796000000"/>
    <n v="796000000"/>
  </r>
  <r>
    <s v="IDA total"/>
    <s v="IDA"/>
    <x v="21"/>
    <n v="0"/>
    <n v="1552000000"/>
    <x v="0"/>
    <x v="0"/>
    <n v="-1552000000"/>
    <n v="1552000000"/>
  </r>
  <r>
    <s v="India"/>
    <s v="IND"/>
    <x v="21"/>
    <n v="4000000"/>
    <n v="2798000000"/>
    <x v="6"/>
    <x v="2"/>
    <n v="-2794000000"/>
    <n v="2802000000"/>
  </r>
  <r>
    <s v="Indonesia"/>
    <s v="IDN"/>
    <x v="21"/>
    <n v="0"/>
    <n v="353000000"/>
    <x v="5"/>
    <x v="1"/>
    <n v="-353000000"/>
    <n v="353000000"/>
  </r>
  <r>
    <s v="Iran, Islamic Rep."/>
    <s v="IRN"/>
    <x v="21"/>
    <n v="12000000"/>
    <n v="283000000"/>
    <x v="2"/>
    <x v="1"/>
    <n v="-271000000"/>
    <n v="295000000"/>
  </r>
  <r>
    <s v="Israel"/>
    <s v="ISR"/>
    <x v="21"/>
    <n v="418000000"/>
    <n v="189000000"/>
    <x v="2"/>
    <x v="3"/>
    <n v="229000000"/>
    <n v="607000000"/>
  </r>
  <r>
    <s v="Italy"/>
    <s v="ITA"/>
    <x v="21"/>
    <n v="359000000"/>
    <n v="617000000"/>
    <x v="1"/>
    <x v="3"/>
    <n v="-258000000"/>
    <n v="976000000"/>
  </r>
  <r>
    <s v="Japan"/>
    <s v="JPN"/>
    <x v="21"/>
    <n v="0"/>
    <n v="458000000"/>
    <x v="5"/>
    <x v="3"/>
    <n v="-458000000"/>
    <n v="458000000"/>
  </r>
  <r>
    <s v="Jordan"/>
    <s v="JOR"/>
    <x v="21"/>
    <n v="0"/>
    <n v="281000000"/>
    <x v="2"/>
    <x v="1"/>
    <n v="-281000000"/>
    <n v="281000000"/>
  </r>
  <r>
    <s v="Korea, Dem. People's Rep."/>
    <s v="PRK"/>
    <x v="21"/>
    <n v="129000000"/>
    <n v="35000000"/>
    <x v="5"/>
    <x v="4"/>
    <n v="94000000"/>
    <n v="164000000"/>
  </r>
  <r>
    <s v="Korea, Rep."/>
    <s v="KOR"/>
    <x v="21"/>
    <n v="96000000"/>
    <n v="767000000"/>
    <x v="5"/>
    <x v="3"/>
    <n v="-671000000"/>
    <n v="863000000"/>
  </r>
  <r>
    <s v="Kuwait"/>
    <s v="KWT"/>
    <x v="21"/>
    <n v="0"/>
    <n v="42000000"/>
    <x v="2"/>
    <x v="3"/>
    <n v="-42000000"/>
    <n v="42000000"/>
  </r>
  <r>
    <s v="Kyrgyz Republic"/>
    <s v="KGZ"/>
    <x v="21"/>
    <n v="92000000"/>
    <n v="10000000"/>
    <x v="1"/>
    <x v="2"/>
    <n v="82000000"/>
    <n v="102000000"/>
  </r>
  <r>
    <s v="Lao PDR"/>
    <s v="LAO"/>
    <x v="21"/>
    <n v="0"/>
    <n v="0"/>
    <x v="5"/>
    <x v="2"/>
    <n v="0"/>
    <n v="0"/>
  </r>
  <r>
    <s v="Late-demographic dividend"/>
    <s v="LTE"/>
    <x v="21"/>
    <n v="0"/>
    <n v="4371000000"/>
    <x v="0"/>
    <x v="0"/>
    <n v="-4371000000"/>
    <n v="4371000000"/>
  </r>
  <r>
    <s v="Latin America &amp; Caribbean"/>
    <s v="LCN"/>
    <x v="21"/>
    <n v="0"/>
    <n v="535000000"/>
    <x v="0"/>
    <x v="0"/>
    <n v="-535000000"/>
    <n v="535000000"/>
  </r>
  <r>
    <s v="Latin America &amp; Caribbean (excluding high income)"/>
    <s v="LAC"/>
    <x v="21"/>
    <n v="0"/>
    <n v="347000000"/>
    <x v="0"/>
    <x v="0"/>
    <n v="-347000000"/>
    <n v="347000000"/>
  </r>
  <r>
    <s v="Latin America &amp; the Caribbean (IDA &amp; IBRD countries)"/>
    <s v="TLA"/>
    <x v="21"/>
    <n v="0"/>
    <n v="535000000"/>
    <x v="0"/>
    <x v="0"/>
    <n v="-535000000"/>
    <n v="535000000"/>
  </r>
  <r>
    <s v="Latvia"/>
    <s v="LVA"/>
    <x v="21"/>
    <n v="0"/>
    <n v="25000000"/>
    <x v="1"/>
    <x v="3"/>
    <n v="-25000000"/>
    <n v="25000000"/>
  </r>
  <r>
    <s v="Least developed countries: UN classification"/>
    <s v="LDC"/>
    <x v="21"/>
    <n v="0"/>
    <n v="690000000"/>
    <x v="0"/>
    <x v="0"/>
    <n v="-690000000"/>
    <n v="690000000"/>
  </r>
  <r>
    <s v="Libya"/>
    <s v="LBY"/>
    <x v="21"/>
    <n v="16000000"/>
    <n v="0"/>
    <x v="2"/>
    <x v="1"/>
    <n v="16000000"/>
    <n v="16000000"/>
  </r>
  <r>
    <s v="Lithuania"/>
    <s v="LTU"/>
    <x v="21"/>
    <n v="0"/>
    <n v="1000000"/>
    <x v="1"/>
    <x v="3"/>
    <n v="-1000000"/>
    <n v="1000000"/>
  </r>
  <r>
    <s v="Low &amp; middle income"/>
    <s v="LMY"/>
    <x v="21"/>
    <n v="0"/>
    <n v="9585000000"/>
    <x v="0"/>
    <x v="0"/>
    <n v="-9585000000"/>
    <n v="9585000000"/>
  </r>
  <r>
    <s v="Low income"/>
    <s v="LIC"/>
    <x v="21"/>
    <n v="0"/>
    <n v="563000000"/>
    <x v="0"/>
    <x v="0"/>
    <n v="-563000000"/>
    <n v="563000000"/>
  </r>
  <r>
    <s v="Lower middle income"/>
    <s v="LMC"/>
    <x v="21"/>
    <n v="0"/>
    <n v="4502000000"/>
    <x v="0"/>
    <x v="0"/>
    <n v="-4502000000"/>
    <n v="4502000000"/>
  </r>
  <r>
    <s v="Luxembourg"/>
    <s v="LUX"/>
    <x v="21"/>
    <n v="0"/>
    <n v="1000000"/>
    <x v="1"/>
    <x v="3"/>
    <n v="-1000000"/>
    <n v="1000000"/>
  </r>
  <r>
    <s v="Malaysia"/>
    <s v="MYS"/>
    <x v="21"/>
    <n v="0"/>
    <n v="190000000"/>
    <x v="5"/>
    <x v="1"/>
    <n v="-190000000"/>
    <n v="190000000"/>
  </r>
  <r>
    <s v="Mali"/>
    <s v="MLI"/>
    <x v="21"/>
    <n v="0"/>
    <n v="3000000"/>
    <x v="3"/>
    <x v="4"/>
    <n v="-3000000"/>
    <n v="3000000"/>
  </r>
  <r>
    <s v="Mauritania"/>
    <s v="MRT"/>
    <x v="21"/>
    <n v="0"/>
    <n v="7000000"/>
    <x v="3"/>
    <x v="2"/>
    <n v="-7000000"/>
    <n v="7000000"/>
  </r>
  <r>
    <s v="Mexico"/>
    <s v="MEX"/>
    <x v="21"/>
    <n v="0"/>
    <n v="20000000"/>
    <x v="4"/>
    <x v="1"/>
    <n v="-20000000"/>
    <n v="20000000"/>
  </r>
  <r>
    <s v="Middle East, North Africa, Afghanistan &amp; Pakistan"/>
    <s v="MEA"/>
    <x v="21"/>
    <n v="0"/>
    <n v="3284000000"/>
    <x v="0"/>
    <x v="0"/>
    <n v="-3284000000"/>
    <n v="3284000000"/>
  </r>
  <r>
    <s v="Middle East, North Africa, Afghanistan &amp; Pakistan (excluding high income)"/>
    <s v="MNA"/>
    <x v="21"/>
    <n v="0"/>
    <n v="2181000000"/>
    <x v="0"/>
    <x v="0"/>
    <n v="-2181000000"/>
    <n v="2181000000"/>
  </r>
  <r>
    <s v="Middle East, North Africa, Afghanistan &amp; Pakistan (IDA &amp; IBRD)"/>
    <s v="TMN"/>
    <x v="21"/>
    <n v="0"/>
    <n v="2181000000"/>
    <x v="0"/>
    <x v="0"/>
    <n v="-2181000000"/>
    <n v="2181000000"/>
  </r>
  <r>
    <s v="Middle income"/>
    <s v="MIC"/>
    <x v="21"/>
    <n v="0"/>
    <n v="9022000000"/>
    <x v="0"/>
    <x v="0"/>
    <n v="-9022000000"/>
    <n v="9022000000"/>
  </r>
  <r>
    <s v="Moldova"/>
    <s v="MDA"/>
    <x v="21"/>
    <n v="13000000"/>
    <n v="0"/>
    <x v="1"/>
    <x v="1"/>
    <n v="13000000"/>
    <n v="13000000"/>
  </r>
  <r>
    <s v="Morocco"/>
    <s v="MAR"/>
    <x v="21"/>
    <n v="0"/>
    <n v="12000000"/>
    <x v="2"/>
    <x v="2"/>
    <n v="-12000000"/>
    <n v="12000000"/>
  </r>
  <r>
    <s v="Mozambique"/>
    <s v="MOZ"/>
    <x v="21"/>
    <n v="0"/>
    <n v="1000000"/>
    <x v="3"/>
    <x v="4"/>
    <n v="-1000000"/>
    <n v="1000000"/>
  </r>
  <r>
    <s v="Myanmar"/>
    <s v="MMR"/>
    <x v="21"/>
    <n v="0"/>
    <n v="100000000"/>
    <x v="5"/>
    <x v="2"/>
    <n v="-100000000"/>
    <n v="100000000"/>
  </r>
  <r>
    <s v="Nepal"/>
    <s v="NPL"/>
    <x v="21"/>
    <n v="0"/>
    <n v="10000000"/>
    <x v="6"/>
    <x v="2"/>
    <n v="-10000000"/>
    <n v="10000000"/>
  </r>
  <r>
    <s v="Netherlands"/>
    <s v="NLD"/>
    <x v="21"/>
    <n v="331000000"/>
    <n v="128000000"/>
    <x v="1"/>
    <x v="3"/>
    <n v="203000000"/>
    <n v="459000000"/>
  </r>
  <r>
    <s v="New Zealand"/>
    <s v="NZL"/>
    <x v="21"/>
    <n v="0"/>
    <n v="154000000"/>
    <x v="5"/>
    <x v="3"/>
    <n v="-154000000"/>
    <n v="154000000"/>
  </r>
  <r>
    <s v="Niger"/>
    <s v="NER"/>
    <x v="21"/>
    <n v="0"/>
    <n v="6000000"/>
    <x v="3"/>
    <x v="4"/>
    <n v="-6000000"/>
    <n v="6000000"/>
  </r>
  <r>
    <s v="Nigeria"/>
    <s v="NGA"/>
    <x v="21"/>
    <n v="0"/>
    <n v="66000000"/>
    <x v="3"/>
    <x v="2"/>
    <n v="-66000000"/>
    <n v="66000000"/>
  </r>
  <r>
    <s v="North America"/>
    <s v="NAC"/>
    <x v="21"/>
    <n v="5986000000"/>
    <n v="770000000"/>
    <x v="0"/>
    <x v="0"/>
    <n v="5216000000"/>
    <n v="6756000000"/>
  </r>
  <r>
    <s v="Norway"/>
    <s v="NOR"/>
    <x v="21"/>
    <n v="91000000"/>
    <n v="9000000"/>
    <x v="1"/>
    <x v="3"/>
    <n v="82000000"/>
    <n v="100000000"/>
  </r>
  <r>
    <s v="OECD members"/>
    <s v="OED"/>
    <x v="21"/>
    <n v="12149000000"/>
    <n v="8898000000"/>
    <x v="0"/>
    <x v="0"/>
    <n v="3251000000"/>
    <n v="21047000000"/>
  </r>
  <r>
    <s v="Oman"/>
    <s v="OMN"/>
    <x v="21"/>
    <n v="0"/>
    <n v="37000000"/>
    <x v="2"/>
    <x v="3"/>
    <n v="-37000000"/>
    <n v="37000000"/>
  </r>
  <r>
    <s v="Pakistan"/>
    <s v="PAK"/>
    <x v="21"/>
    <n v="8000000"/>
    <n v="645000000"/>
    <x v="2"/>
    <x v="2"/>
    <n v="-637000000"/>
    <n v="653000000"/>
  </r>
  <r>
    <s v="Peru"/>
    <s v="PER"/>
    <x v="21"/>
    <n v="0"/>
    <n v="22000000"/>
    <x v="4"/>
    <x v="1"/>
    <n v="-22000000"/>
    <n v="22000000"/>
  </r>
  <r>
    <s v="Philippines"/>
    <s v="PHL"/>
    <x v="21"/>
    <n v="0"/>
    <n v="10000000"/>
    <x v="5"/>
    <x v="1"/>
    <n v="-10000000"/>
    <n v="10000000"/>
  </r>
  <r>
    <s v="Poland"/>
    <s v="POL"/>
    <x v="21"/>
    <n v="83000000"/>
    <n v="347000000"/>
    <x v="1"/>
    <x v="3"/>
    <n v="-264000000"/>
    <n v="430000000"/>
  </r>
  <r>
    <s v="Portugal"/>
    <s v="PRT"/>
    <x v="21"/>
    <n v="0"/>
    <n v="29000000"/>
    <x v="1"/>
    <x v="3"/>
    <n v="-29000000"/>
    <n v="29000000"/>
  </r>
  <r>
    <s v="Post-demographic dividend"/>
    <s v="PST"/>
    <x v="21"/>
    <n v="12019000000"/>
    <n v="7748000000"/>
    <x v="0"/>
    <x v="0"/>
    <n v="4271000000"/>
    <n v="19767000000"/>
  </r>
  <r>
    <s v="Pre-demographic dividend"/>
    <s v="PRE"/>
    <x v="21"/>
    <n v="0"/>
    <n v="475000000"/>
    <x v="0"/>
    <x v="0"/>
    <n v="-475000000"/>
    <n v="475000000"/>
  </r>
  <r>
    <s v="Romania"/>
    <s v="ROU"/>
    <x v="21"/>
    <n v="24000000"/>
    <n v="17000000"/>
    <x v="1"/>
    <x v="3"/>
    <n v="7000000"/>
    <n v="41000000"/>
  </r>
  <r>
    <s v="Russian Federation"/>
    <s v="RUS"/>
    <x v="21"/>
    <n v="5266000000"/>
    <n v="0"/>
    <x v="1"/>
    <x v="3"/>
    <n v="5266000000"/>
    <n v="5266000000"/>
  </r>
  <r>
    <s v="Saudi Arabia"/>
    <s v="SAU"/>
    <x v="21"/>
    <n v="0"/>
    <n v="158000000"/>
    <x v="2"/>
    <x v="3"/>
    <n v="-158000000"/>
    <n v="158000000"/>
  </r>
  <r>
    <s v="Singapore"/>
    <s v="SGP"/>
    <x v="21"/>
    <n v="0"/>
    <n v="79000000"/>
    <x v="5"/>
    <x v="3"/>
    <n v="-79000000"/>
    <n v="79000000"/>
  </r>
  <r>
    <s v="Slovenia"/>
    <s v="SVN"/>
    <x v="21"/>
    <n v="0"/>
    <n v="17000000"/>
    <x v="1"/>
    <x v="3"/>
    <n v="-17000000"/>
    <n v="17000000"/>
  </r>
  <r>
    <s v="South Africa"/>
    <s v="ZAF"/>
    <x v="21"/>
    <n v="47000000"/>
    <n v="0"/>
    <x v="3"/>
    <x v="1"/>
    <n v="47000000"/>
    <n v="47000000"/>
  </r>
  <r>
    <s v="South Asia"/>
    <s v="SAS"/>
    <x v="21"/>
    <n v="4000000"/>
    <n v="2850000000"/>
    <x v="0"/>
    <x v="0"/>
    <n v="-2846000000"/>
    <n v="2854000000"/>
  </r>
  <r>
    <s v="South Asia (IDA &amp; IBRD)"/>
    <s v="TSA"/>
    <x v="21"/>
    <n v="4000000"/>
    <n v="2850000000"/>
    <x v="0"/>
    <x v="0"/>
    <n v="-2846000000"/>
    <n v="2854000000"/>
  </r>
  <r>
    <s v="Spain"/>
    <s v="ESP"/>
    <x v="21"/>
    <n v="99000000"/>
    <n v="239000000"/>
    <x v="1"/>
    <x v="3"/>
    <n v="-140000000"/>
    <n v="338000000"/>
  </r>
  <r>
    <s v="Sri Lanka"/>
    <s v="LKA"/>
    <x v="21"/>
    <n v="0"/>
    <n v="34000000"/>
    <x v="6"/>
    <x v="1"/>
    <n v="-34000000"/>
    <n v="34000000"/>
  </r>
  <r>
    <s v="Sudan"/>
    <s v="SDN"/>
    <x v="21"/>
    <n v="0"/>
    <n v="205000000"/>
    <x v="3"/>
    <x v="4"/>
    <n v="-205000000"/>
    <n v="205000000"/>
  </r>
  <r>
    <s v="Sweden"/>
    <s v="SWE"/>
    <x v="21"/>
    <n v="516000000"/>
    <n v="66000000"/>
    <x v="1"/>
    <x v="3"/>
    <n v="450000000"/>
    <n v="582000000"/>
  </r>
  <r>
    <s v="Switzerland"/>
    <s v="CHE"/>
    <x v="21"/>
    <n v="207000000"/>
    <n v="117000000"/>
    <x v="1"/>
    <x v="3"/>
    <n v="90000000"/>
    <n v="324000000"/>
  </r>
  <r>
    <s v="Syrian Arab Republic"/>
    <s v="SYR"/>
    <x v="21"/>
    <n v="0"/>
    <n v="64000000"/>
    <x v="2"/>
    <x v="4"/>
    <n v="-64000000"/>
    <n v="64000000"/>
  </r>
  <r>
    <s v="Tanzania"/>
    <s v="TZA"/>
    <x v="21"/>
    <n v="0"/>
    <n v="51000000"/>
    <x v="3"/>
    <x v="2"/>
    <n v="-51000000"/>
    <n v="51000000"/>
  </r>
  <r>
    <s v="Thailand"/>
    <s v="THA"/>
    <x v="21"/>
    <n v="7000000"/>
    <n v="131000000"/>
    <x v="5"/>
    <x v="1"/>
    <n v="-124000000"/>
    <n v="138000000"/>
  </r>
  <r>
    <s v="Tunisia"/>
    <s v="TUN"/>
    <x v="21"/>
    <n v="0"/>
    <n v="1000000"/>
    <x v="2"/>
    <x v="2"/>
    <n v="-1000000"/>
    <n v="1000000"/>
  </r>
  <r>
    <s v="Turkiye"/>
    <s v="TUR"/>
    <x v="21"/>
    <n v="45000000"/>
    <n v="327000000"/>
    <x v="1"/>
    <x v="1"/>
    <n v="-282000000"/>
    <n v="372000000"/>
  </r>
  <r>
    <s v="Turkmenistan"/>
    <s v="TKM"/>
    <x v="21"/>
    <n v="0"/>
    <n v="18000000"/>
    <x v="1"/>
    <x v="1"/>
    <n v="-18000000"/>
    <n v="18000000"/>
  </r>
  <r>
    <s v="Ukraine"/>
    <s v="UKR"/>
    <x v="21"/>
    <n v="313000000"/>
    <n v="0"/>
    <x v="1"/>
    <x v="1"/>
    <n v="313000000"/>
    <n v="313000000"/>
  </r>
  <r>
    <s v="United Arab Emirates"/>
    <s v="ARE"/>
    <x v="21"/>
    <n v="0"/>
    <n v="676000000"/>
    <x v="2"/>
    <x v="3"/>
    <n v="-676000000"/>
    <n v="676000000"/>
  </r>
  <r>
    <s v="United Kingdom"/>
    <s v="GBR"/>
    <x v="21"/>
    <n v="769000000"/>
    <n v="770000000"/>
    <x v="1"/>
    <x v="3"/>
    <n v="-1000000"/>
    <n v="1539000000"/>
  </r>
  <r>
    <s v="United States"/>
    <s v="USA"/>
    <x v="21"/>
    <n v="5684000000"/>
    <n v="630000000"/>
    <x v="7"/>
    <x v="3"/>
    <n v="5054000000"/>
    <n v="6314000000"/>
  </r>
  <r>
    <s v="Upper middle income"/>
    <s v="UMC"/>
    <x v="21"/>
    <n v="0"/>
    <n v="4520000000"/>
    <x v="0"/>
    <x v="0"/>
    <n v="-4520000000"/>
    <n v="4520000000"/>
  </r>
  <r>
    <s v="Uzbekistan"/>
    <s v="UZB"/>
    <x v="21"/>
    <n v="252000000"/>
    <n v="0"/>
    <x v="1"/>
    <x v="2"/>
    <n v="252000000"/>
    <n v="252000000"/>
  </r>
  <r>
    <s v="Venezuela, RB"/>
    <s v="VEN"/>
    <x v="21"/>
    <n v="0"/>
    <n v="15000000"/>
    <x v="4"/>
    <x v="2"/>
    <n v="-15000000"/>
    <n v="15000000"/>
  </r>
  <r>
    <s v="Viet Nam"/>
    <s v="VNM"/>
    <x v="21"/>
    <n v="0"/>
    <n v="22000000"/>
    <x v="5"/>
    <x v="1"/>
    <n v="-22000000"/>
    <n v="22000000"/>
  </r>
  <r>
    <s v="World"/>
    <s v="WLD"/>
    <x v="21"/>
    <n v="19146000000"/>
    <n v="19145000000"/>
    <x v="0"/>
    <x v="0"/>
    <n v="1000000"/>
    <n v="38291000000"/>
  </r>
  <r>
    <s v="Yemen, Rep."/>
    <s v="YEM"/>
    <x v="21"/>
    <n v="0"/>
    <n v="58000000"/>
    <x v="2"/>
    <x v="4"/>
    <n v="-58000000"/>
    <n v="58000000"/>
  </r>
  <r>
    <s v="Zimbabwe"/>
    <s v="ZWE"/>
    <x v="21"/>
    <n v="0"/>
    <n v="16000000"/>
    <x v="3"/>
    <x v="2"/>
    <n v="-16000000"/>
    <n v="16000000"/>
  </r>
  <r>
    <s v="Afghanistan"/>
    <s v="AFG"/>
    <x v="22"/>
    <n v="0"/>
    <n v="34000000"/>
    <x v="2"/>
    <x v="4"/>
    <n v="-34000000"/>
    <n v="34000000"/>
  </r>
  <r>
    <s v="Africa Eastern and Southern"/>
    <s v="AFE"/>
    <x v="22"/>
    <n v="24000000"/>
    <n v="0"/>
    <x v="0"/>
    <x v="0"/>
    <n v="24000000"/>
    <n v="24000000"/>
  </r>
  <r>
    <s v="Africa Western and Central"/>
    <s v="AFW"/>
    <x v="22"/>
    <n v="0"/>
    <n v="84000000"/>
    <x v="0"/>
    <x v="0"/>
    <n v="-84000000"/>
    <n v="84000000"/>
  </r>
  <r>
    <s v="Algeria"/>
    <s v="DZA"/>
    <x v="22"/>
    <n v="0"/>
    <n v="252000000"/>
    <x v="2"/>
    <x v="1"/>
    <n v="-252000000"/>
    <n v="252000000"/>
  </r>
  <r>
    <s v="Angola"/>
    <s v="AGO"/>
    <x v="22"/>
    <n v="2000000"/>
    <n v="148000000"/>
    <x v="3"/>
    <x v="2"/>
    <n v="-146000000"/>
    <n v="150000000"/>
  </r>
  <r>
    <s v="Arab World"/>
    <s v="ARB"/>
    <x v="22"/>
    <n v="0"/>
    <n v="2901000000"/>
    <x v="0"/>
    <x v="0"/>
    <n v="-2901000000"/>
    <n v="2901000000"/>
  </r>
  <r>
    <s v="Argentina"/>
    <s v="ARG"/>
    <x v="22"/>
    <n v="2000000"/>
    <n v="15000000"/>
    <x v="4"/>
    <x v="1"/>
    <n v="-13000000"/>
    <n v="17000000"/>
  </r>
  <r>
    <s v="Australia"/>
    <s v="AUS"/>
    <x v="22"/>
    <n v="47000000"/>
    <n v="638000000"/>
    <x v="5"/>
    <x v="3"/>
    <n v="-591000000"/>
    <n v="685000000"/>
  </r>
  <r>
    <s v="Austria"/>
    <s v="AUT"/>
    <x v="22"/>
    <n v="83000000"/>
    <n v="81000000"/>
    <x v="1"/>
    <x v="3"/>
    <n v="2000000"/>
    <n v="164000000"/>
  </r>
  <r>
    <s v="Azerbaijan"/>
    <s v="AZE"/>
    <x v="22"/>
    <n v="0"/>
    <n v="89000000"/>
    <x v="1"/>
    <x v="1"/>
    <n v="-89000000"/>
    <n v="89000000"/>
  </r>
  <r>
    <s v="Bahrain"/>
    <s v="BHR"/>
    <x v="22"/>
    <n v="0"/>
    <n v="52000000"/>
    <x v="2"/>
    <x v="3"/>
    <n v="-52000000"/>
    <n v="52000000"/>
  </r>
  <r>
    <s v="Bangladesh"/>
    <s v="BGD"/>
    <x v="22"/>
    <n v="0"/>
    <n v="37000000"/>
    <x v="6"/>
    <x v="2"/>
    <n v="-37000000"/>
    <n v="37000000"/>
  </r>
  <r>
    <s v="Belarus"/>
    <s v="BLR"/>
    <x v="22"/>
    <n v="64000000"/>
    <n v="0"/>
    <x v="1"/>
    <x v="1"/>
    <n v="64000000"/>
    <n v="64000000"/>
  </r>
  <r>
    <s v="Belgium"/>
    <s v="BEL"/>
    <x v="22"/>
    <n v="32000000"/>
    <n v="48000000"/>
    <x v="1"/>
    <x v="3"/>
    <n v="-16000000"/>
    <n v="80000000"/>
  </r>
  <r>
    <s v="Benin"/>
    <s v="BEN"/>
    <x v="22"/>
    <n v="0"/>
    <n v="7000000"/>
    <x v="3"/>
    <x v="2"/>
    <n v="-7000000"/>
    <n v="7000000"/>
  </r>
  <r>
    <s v="Bosnia and Herzegovina"/>
    <s v="BIH"/>
    <x v="22"/>
    <n v="9000000"/>
    <n v="0"/>
    <x v="1"/>
    <x v="1"/>
    <n v="9000000"/>
    <n v="9000000"/>
  </r>
  <r>
    <s v="Botswana"/>
    <s v="BWA"/>
    <x v="22"/>
    <n v="0"/>
    <n v="1000000"/>
    <x v="3"/>
    <x v="1"/>
    <n v="-1000000"/>
    <n v="1000000"/>
  </r>
  <r>
    <s v="Brazil"/>
    <s v="BRA"/>
    <x v="22"/>
    <n v="21000000"/>
    <n v="221000000"/>
    <x v="4"/>
    <x v="1"/>
    <n v="-200000000"/>
    <n v="242000000"/>
  </r>
  <r>
    <s v="Brunei Darussalam"/>
    <s v="BRN"/>
    <x v="22"/>
    <n v="0"/>
    <n v="1000000"/>
    <x v="5"/>
    <x v="3"/>
    <n v="-1000000"/>
    <n v="1000000"/>
  </r>
  <r>
    <s v="Bulgaria"/>
    <s v="BGR"/>
    <x v="22"/>
    <n v="37000000"/>
    <n v="0"/>
    <x v="1"/>
    <x v="3"/>
    <n v="37000000"/>
    <n v="37000000"/>
  </r>
  <r>
    <s v="Burundi"/>
    <s v="BDI"/>
    <x v="22"/>
    <n v="0"/>
    <n v="3000000"/>
    <x v="3"/>
    <x v="4"/>
    <n v="-3000000"/>
    <n v="3000000"/>
  </r>
  <r>
    <s v="Cameroon"/>
    <s v="CMR"/>
    <x v="22"/>
    <n v="0"/>
    <n v="10000000"/>
    <x v="3"/>
    <x v="2"/>
    <n v="-10000000"/>
    <n v="10000000"/>
  </r>
  <r>
    <s v="Canada"/>
    <s v="CAN"/>
    <x v="22"/>
    <n v="177000000"/>
    <n v="418000000"/>
    <x v="7"/>
    <x v="3"/>
    <n v="-241000000"/>
    <n v="595000000"/>
  </r>
  <r>
    <s v="Central Europe and the Baltics"/>
    <s v="CEB"/>
    <x v="22"/>
    <n v="223000000"/>
    <n v="369000000"/>
    <x v="0"/>
    <x v="0"/>
    <n v="-146000000"/>
    <n v="592000000"/>
  </r>
  <r>
    <s v="Chile"/>
    <s v="CHL"/>
    <x v="22"/>
    <n v="1000000"/>
    <n v="75000000"/>
    <x v="4"/>
    <x v="3"/>
    <n v="-74000000"/>
    <n v="76000000"/>
  </r>
  <r>
    <s v="China"/>
    <s v="CHN"/>
    <x v="22"/>
    <n v="524000000"/>
    <n v="2830000000"/>
    <x v="5"/>
    <x v="1"/>
    <n v="-2306000000"/>
    <n v="3354000000"/>
  </r>
  <r>
    <s v="Colombia"/>
    <s v="COL"/>
    <x v="22"/>
    <n v="6000000"/>
    <n v="173000000"/>
    <x v="4"/>
    <x v="1"/>
    <n v="-167000000"/>
    <n v="179000000"/>
  </r>
  <r>
    <s v="Congo, Dem. Rep."/>
    <s v="COD"/>
    <x v="22"/>
    <n v="0"/>
    <n v="18000000"/>
    <x v="3"/>
    <x v="4"/>
    <n v="-18000000"/>
    <n v="18000000"/>
  </r>
  <r>
    <s v="Cote d'Ivoire"/>
    <s v="CIV"/>
    <x v="22"/>
    <n v="0"/>
    <n v="32000000"/>
    <x v="3"/>
    <x v="2"/>
    <n v="-32000000"/>
    <n v="32000000"/>
  </r>
  <r>
    <s v="Croatia"/>
    <s v="HRV"/>
    <x v="22"/>
    <n v="0"/>
    <n v="2000000"/>
    <x v="1"/>
    <x v="3"/>
    <n v="-2000000"/>
    <n v="2000000"/>
  </r>
  <r>
    <s v="Cyprus"/>
    <s v="CYP"/>
    <x v="22"/>
    <n v="0"/>
    <n v="66000000"/>
    <x v="1"/>
    <x v="3"/>
    <n v="-66000000"/>
    <n v="66000000"/>
  </r>
  <r>
    <s v="Czechia"/>
    <s v="CZE"/>
    <x v="22"/>
    <n v="60000000"/>
    <n v="42000000"/>
    <x v="1"/>
    <x v="3"/>
    <n v="18000000"/>
    <n v="102000000"/>
  </r>
  <r>
    <s v="Denmark"/>
    <s v="DNK"/>
    <x v="22"/>
    <n v="10000000"/>
    <n v="39000000"/>
    <x v="1"/>
    <x v="3"/>
    <n v="-29000000"/>
    <n v="49000000"/>
  </r>
  <r>
    <s v="Djibouti"/>
    <s v="DJI"/>
    <x v="22"/>
    <n v="0"/>
    <n v="3000000"/>
    <x v="2"/>
    <x v="2"/>
    <n v="-3000000"/>
    <n v="3000000"/>
  </r>
  <r>
    <s v="Dominican Republic"/>
    <s v="DOM"/>
    <x v="22"/>
    <n v="0"/>
    <n v="0"/>
    <x v="4"/>
    <x v="1"/>
    <n v="0"/>
    <n v="0"/>
  </r>
  <r>
    <s v="Early-demographic dividend"/>
    <s v="EAR"/>
    <x v="22"/>
    <n v="0"/>
    <n v="6980000000"/>
    <x v="0"/>
    <x v="0"/>
    <n v="-6980000000"/>
    <n v="6980000000"/>
  </r>
  <r>
    <s v="East Asia &amp; Pacific"/>
    <s v="EAS"/>
    <x v="22"/>
    <n v="0"/>
    <n v="5613000000"/>
    <x v="0"/>
    <x v="0"/>
    <n v="-5613000000"/>
    <n v="5613000000"/>
  </r>
  <r>
    <s v="East Asia &amp; Pacific (excluding high income)"/>
    <s v="EAP"/>
    <x v="22"/>
    <n v="0"/>
    <n v="3476000000"/>
    <x v="0"/>
    <x v="0"/>
    <n v="-3476000000"/>
    <n v="3476000000"/>
  </r>
  <r>
    <s v="East Asia &amp; Pacific (IDA &amp; IBRD countries)"/>
    <s v="TEA"/>
    <x v="22"/>
    <n v="0"/>
    <n v="3422000000"/>
    <x v="0"/>
    <x v="0"/>
    <n v="-3422000000"/>
    <n v="3422000000"/>
  </r>
  <r>
    <s v="Ecuador"/>
    <s v="ECU"/>
    <x v="22"/>
    <n v="0"/>
    <n v="1000000"/>
    <x v="4"/>
    <x v="1"/>
    <n v="-1000000"/>
    <n v="1000000"/>
  </r>
  <r>
    <s v="Egypt, Arab Rep."/>
    <s v="EGY"/>
    <x v="22"/>
    <n v="0"/>
    <n v="717000000"/>
    <x v="2"/>
    <x v="2"/>
    <n v="-717000000"/>
    <n v="717000000"/>
  </r>
  <r>
    <s v="El Salvador"/>
    <s v="SLV"/>
    <x v="22"/>
    <n v="0"/>
    <n v="19000000"/>
    <x v="4"/>
    <x v="1"/>
    <n v="-19000000"/>
    <n v="19000000"/>
  </r>
  <r>
    <s v="Eritrea"/>
    <s v="ERI"/>
    <x v="22"/>
    <n v="0"/>
    <n v="18000000"/>
    <x v="3"/>
    <x v="4"/>
    <n v="-18000000"/>
    <n v="18000000"/>
  </r>
  <r>
    <s v="Estonia"/>
    <s v="EST"/>
    <x v="22"/>
    <n v="0"/>
    <n v="2000000"/>
    <x v="1"/>
    <x v="3"/>
    <n v="-2000000"/>
    <n v="2000000"/>
  </r>
  <r>
    <s v="Ethiopia"/>
    <s v="ETH"/>
    <x v="22"/>
    <n v="0"/>
    <n v="20000000"/>
    <x v="3"/>
    <x v="4"/>
    <n v="-20000000"/>
    <n v="20000000"/>
  </r>
  <r>
    <s v="Euro area"/>
    <s v="EMU"/>
    <x v="22"/>
    <n v="3212000000"/>
    <n v="1552000000"/>
    <x v="0"/>
    <x v="0"/>
    <n v="1660000000"/>
    <n v="4764000000"/>
  </r>
  <r>
    <s v="Europe &amp; Central Asia"/>
    <s v="ECS"/>
    <x v="22"/>
    <n v="11162000000"/>
    <n v="3849000000"/>
    <x v="0"/>
    <x v="0"/>
    <n v="7313000000"/>
    <n v="15011000000"/>
  </r>
  <r>
    <s v="Europe &amp; Central Asia (excluding high income)"/>
    <s v="ECA"/>
    <x v="22"/>
    <n v="557000000"/>
    <n v="0"/>
    <x v="0"/>
    <x v="0"/>
    <n v="557000000"/>
    <n v="557000000"/>
  </r>
  <r>
    <s v="Europe &amp; Central Asia (IDA &amp; IBRD countries)"/>
    <s v="TEC"/>
    <x v="22"/>
    <n v="6385000000"/>
    <n v="0"/>
    <x v="0"/>
    <x v="0"/>
    <n v="6385000000"/>
    <n v="6385000000"/>
  </r>
  <r>
    <s v="European Union"/>
    <s v="EUU"/>
    <x v="22"/>
    <n v="3536000000"/>
    <n v="1981000000"/>
    <x v="0"/>
    <x v="0"/>
    <n v="1555000000"/>
    <n v="5517000000"/>
  </r>
  <r>
    <s v="Finland"/>
    <s v="FIN"/>
    <x v="22"/>
    <n v="35000000"/>
    <n v="15000000"/>
    <x v="1"/>
    <x v="3"/>
    <n v="20000000"/>
    <n v="50000000"/>
  </r>
  <r>
    <s v="France"/>
    <s v="FRA"/>
    <x v="22"/>
    <n v="1375000000"/>
    <n v="38000000"/>
    <x v="1"/>
    <x v="3"/>
    <n v="1337000000"/>
    <n v="1413000000"/>
  </r>
  <r>
    <s v="Georgia"/>
    <s v="GEO"/>
    <x v="22"/>
    <n v="69000000"/>
    <n v="0"/>
    <x v="1"/>
    <x v="1"/>
    <n v="69000000"/>
    <n v="69000000"/>
  </r>
  <r>
    <s v="Germany"/>
    <s v="DEU"/>
    <x v="22"/>
    <n v="889000000"/>
    <n v="71000000"/>
    <x v="1"/>
    <x v="3"/>
    <n v="818000000"/>
    <n v="960000000"/>
  </r>
  <r>
    <s v="Ghana"/>
    <s v="GHA"/>
    <x v="22"/>
    <n v="0"/>
    <n v="1000000"/>
    <x v="3"/>
    <x v="2"/>
    <n v="-1000000"/>
    <n v="1000000"/>
  </r>
  <r>
    <s v="Greece"/>
    <s v="GRC"/>
    <x v="22"/>
    <n v="0"/>
    <n v="402000000"/>
    <x v="1"/>
    <x v="3"/>
    <n v="-402000000"/>
    <n v="402000000"/>
  </r>
  <r>
    <s v="Guyana"/>
    <s v="GUY"/>
    <x v="22"/>
    <n v="0"/>
    <n v="3000000"/>
    <x v="4"/>
    <x v="3"/>
    <n v="-3000000"/>
    <n v="3000000"/>
  </r>
  <r>
    <s v="High income"/>
    <s v="HIC"/>
    <x v="22"/>
    <n v="16239000000"/>
    <n v="7264000000"/>
    <x v="0"/>
    <x v="0"/>
    <n v="8975000000"/>
    <n v="23503000000"/>
  </r>
  <r>
    <s v="Hungary"/>
    <s v="HUN"/>
    <x v="22"/>
    <n v="34000000"/>
    <n v="0"/>
    <x v="1"/>
    <x v="3"/>
    <n v="34000000"/>
    <n v="34000000"/>
  </r>
  <r>
    <s v="IBRD only"/>
    <s v="IBD"/>
    <x v="22"/>
    <n v="0"/>
    <n v="9004000000"/>
    <x v="0"/>
    <x v="0"/>
    <n v="-9004000000"/>
    <n v="9004000000"/>
  </r>
  <r>
    <s v="IDA &amp; IBRD total"/>
    <s v="IBT"/>
    <x v="22"/>
    <n v="0"/>
    <n v="10719000000"/>
    <x v="0"/>
    <x v="0"/>
    <n v="-10719000000"/>
    <n v="10719000000"/>
  </r>
  <r>
    <s v="IDA blend"/>
    <s v="IDB"/>
    <x v="22"/>
    <n v="0"/>
    <n v="623000000"/>
    <x v="0"/>
    <x v="0"/>
    <n v="-623000000"/>
    <n v="623000000"/>
  </r>
  <r>
    <s v="IDA only"/>
    <s v="IDX"/>
    <x v="22"/>
    <n v="0"/>
    <n v="1092000000"/>
    <x v="0"/>
    <x v="0"/>
    <n v="-1092000000"/>
    <n v="1092000000"/>
  </r>
  <r>
    <s v="IDA total"/>
    <s v="IDA"/>
    <x v="22"/>
    <n v="0"/>
    <n v="1715000000"/>
    <x v="0"/>
    <x v="0"/>
    <n v="-1715000000"/>
    <n v="1715000000"/>
  </r>
  <r>
    <s v="India"/>
    <s v="IND"/>
    <x v="22"/>
    <n v="0"/>
    <n v="1902000000"/>
    <x v="6"/>
    <x v="2"/>
    <n v="-1902000000"/>
    <n v="1902000000"/>
  </r>
  <r>
    <s v="Indonesia"/>
    <s v="IDN"/>
    <x v="22"/>
    <n v="54000000"/>
    <n v="67000000"/>
    <x v="5"/>
    <x v="1"/>
    <n v="-13000000"/>
    <n v="121000000"/>
  </r>
  <r>
    <s v="Iran, Islamic Rep."/>
    <s v="IRN"/>
    <x v="22"/>
    <n v="9000000"/>
    <n v="435000000"/>
    <x v="2"/>
    <x v="1"/>
    <n v="-426000000"/>
    <n v="444000000"/>
  </r>
  <r>
    <s v="Ireland"/>
    <s v="IRL"/>
    <x v="22"/>
    <n v="0"/>
    <n v="21000000"/>
    <x v="1"/>
    <x v="3"/>
    <n v="-21000000"/>
    <n v="21000000"/>
  </r>
  <r>
    <s v="Israel"/>
    <s v="ISR"/>
    <x v="22"/>
    <n v="532000000"/>
    <n v="350000000"/>
    <x v="2"/>
    <x v="3"/>
    <n v="182000000"/>
    <n v="882000000"/>
  </r>
  <r>
    <s v="Italy"/>
    <s v="ITA"/>
    <x v="22"/>
    <n v="474000000"/>
    <n v="240000000"/>
    <x v="1"/>
    <x v="3"/>
    <n v="234000000"/>
    <n v="714000000"/>
  </r>
  <r>
    <s v="Japan"/>
    <s v="JPN"/>
    <x v="22"/>
    <n v="0"/>
    <n v="442000000"/>
    <x v="5"/>
    <x v="3"/>
    <n v="-442000000"/>
    <n v="442000000"/>
  </r>
  <r>
    <s v="Jordan"/>
    <s v="JOR"/>
    <x v="22"/>
    <n v="0"/>
    <n v="132000000"/>
    <x v="2"/>
    <x v="1"/>
    <n v="-132000000"/>
    <n v="132000000"/>
  </r>
  <r>
    <s v="Kazakhstan"/>
    <s v="KAZ"/>
    <x v="22"/>
    <n v="0"/>
    <n v="22000000"/>
    <x v="1"/>
    <x v="1"/>
    <n v="-22000000"/>
    <n v="22000000"/>
  </r>
  <r>
    <s v="Korea, Dem. People's Rep."/>
    <s v="PRK"/>
    <x v="22"/>
    <n v="150000000"/>
    <n v="54000000"/>
    <x v="5"/>
    <x v="4"/>
    <n v="96000000"/>
    <n v="204000000"/>
  </r>
  <r>
    <s v="Korea, Rep."/>
    <s v="KOR"/>
    <x v="22"/>
    <n v="0"/>
    <n v="519000000"/>
    <x v="5"/>
    <x v="3"/>
    <n v="-519000000"/>
    <n v="519000000"/>
  </r>
  <r>
    <s v="Kuwait"/>
    <s v="KWT"/>
    <x v="22"/>
    <n v="0"/>
    <n v="22000000"/>
    <x v="2"/>
    <x v="3"/>
    <n v="-22000000"/>
    <n v="22000000"/>
  </r>
  <r>
    <s v="Late-demographic dividend"/>
    <s v="LTE"/>
    <x v="22"/>
    <n v="0"/>
    <n v="4770000000"/>
    <x v="0"/>
    <x v="0"/>
    <n v="-4770000000"/>
    <n v="4770000000"/>
  </r>
  <r>
    <s v="Latin America &amp; Caribbean"/>
    <s v="LCN"/>
    <x v="22"/>
    <n v="0"/>
    <n v="679000000"/>
    <x v="0"/>
    <x v="0"/>
    <n v="-679000000"/>
    <n v="679000000"/>
  </r>
  <r>
    <s v="Latin America &amp; Caribbean (excluding high income)"/>
    <s v="LAC"/>
    <x v="22"/>
    <n v="0"/>
    <n v="586000000"/>
    <x v="0"/>
    <x v="0"/>
    <n v="-586000000"/>
    <n v="586000000"/>
  </r>
  <r>
    <s v="Latin America &amp; the Caribbean (IDA &amp; IBRD countries)"/>
    <s v="TLA"/>
    <x v="22"/>
    <n v="0"/>
    <n v="679000000"/>
    <x v="0"/>
    <x v="0"/>
    <n v="-679000000"/>
    <n v="679000000"/>
  </r>
  <r>
    <s v="Latvia"/>
    <s v="LVA"/>
    <x v="22"/>
    <n v="0"/>
    <n v="4000000"/>
    <x v="1"/>
    <x v="3"/>
    <n v="-4000000"/>
    <n v="4000000"/>
  </r>
  <r>
    <s v="Least developed countries: UN classification"/>
    <s v="LDC"/>
    <x v="22"/>
    <n v="0"/>
    <n v="1153000000"/>
    <x v="0"/>
    <x v="0"/>
    <n v="-1153000000"/>
    <n v="1153000000"/>
  </r>
  <r>
    <s v="Lebanon"/>
    <s v="LBN"/>
    <x v="22"/>
    <n v="48000000"/>
    <n v="0"/>
    <x v="2"/>
    <x v="2"/>
    <n v="48000000"/>
    <n v="48000000"/>
  </r>
  <r>
    <s v="Libya"/>
    <s v="LBY"/>
    <x v="22"/>
    <n v="21000000"/>
    <n v="0"/>
    <x v="2"/>
    <x v="1"/>
    <n v="21000000"/>
    <n v="21000000"/>
  </r>
  <r>
    <s v="Lithuania"/>
    <s v="LTU"/>
    <x v="22"/>
    <n v="3000000"/>
    <n v="14000000"/>
    <x v="1"/>
    <x v="3"/>
    <n v="-11000000"/>
    <n v="17000000"/>
  </r>
  <r>
    <s v="Low &amp; middle income"/>
    <s v="LMY"/>
    <x v="22"/>
    <n v="0"/>
    <n v="10404000000"/>
    <x v="0"/>
    <x v="0"/>
    <n v="-10404000000"/>
    <n v="10404000000"/>
  </r>
  <r>
    <s v="Low income"/>
    <s v="LIC"/>
    <x v="22"/>
    <n v="0"/>
    <n v="856000000"/>
    <x v="0"/>
    <x v="0"/>
    <n v="-856000000"/>
    <n v="856000000"/>
  </r>
  <r>
    <s v="Lower middle income"/>
    <s v="LMC"/>
    <x v="22"/>
    <n v="0"/>
    <n v="3888000000"/>
    <x v="0"/>
    <x v="0"/>
    <n v="-3888000000"/>
    <n v="3888000000"/>
  </r>
  <r>
    <s v="Malaysia"/>
    <s v="MYS"/>
    <x v="22"/>
    <n v="0"/>
    <n v="154000000"/>
    <x v="5"/>
    <x v="1"/>
    <n v="-154000000"/>
    <n v="154000000"/>
  </r>
  <r>
    <s v="Mali"/>
    <s v="MLI"/>
    <x v="22"/>
    <n v="0"/>
    <n v="1000000"/>
    <x v="3"/>
    <x v="4"/>
    <n v="-1000000"/>
    <n v="1000000"/>
  </r>
  <r>
    <s v="Malta"/>
    <s v="MLT"/>
    <x v="22"/>
    <n v="0"/>
    <n v="4000000"/>
    <x v="2"/>
    <x v="3"/>
    <n v="-4000000"/>
    <n v="4000000"/>
  </r>
  <r>
    <s v="Mauritania"/>
    <s v="MRT"/>
    <x v="22"/>
    <n v="0"/>
    <n v="27000000"/>
    <x v="3"/>
    <x v="2"/>
    <n v="-27000000"/>
    <n v="27000000"/>
  </r>
  <r>
    <s v="Mexico"/>
    <s v="MEX"/>
    <x v="22"/>
    <n v="0"/>
    <n v="97000000"/>
    <x v="4"/>
    <x v="1"/>
    <n v="-97000000"/>
    <n v="97000000"/>
  </r>
  <r>
    <s v="Middle East, North Africa, Afghanistan &amp; Pakistan"/>
    <s v="MEA"/>
    <x v="22"/>
    <n v="0"/>
    <n v="4213000000"/>
    <x v="0"/>
    <x v="0"/>
    <n v="-4213000000"/>
    <n v="4213000000"/>
  </r>
  <r>
    <s v="Middle East, North Africa, Afghanistan &amp; Pakistan (excluding high income)"/>
    <s v="MNA"/>
    <x v="22"/>
    <n v="0"/>
    <n v="2963000000"/>
    <x v="0"/>
    <x v="0"/>
    <n v="-2963000000"/>
    <n v="2963000000"/>
  </r>
  <r>
    <s v="Middle East, North Africa, Afghanistan &amp; Pakistan (IDA &amp; IBRD)"/>
    <s v="TMN"/>
    <x v="22"/>
    <n v="0"/>
    <n v="2963000000"/>
    <x v="0"/>
    <x v="0"/>
    <n v="-2963000000"/>
    <n v="2963000000"/>
  </r>
  <r>
    <s v="Middle income"/>
    <s v="MIC"/>
    <x v="22"/>
    <n v="0"/>
    <n v="9548000000"/>
    <x v="0"/>
    <x v="0"/>
    <n v="-9548000000"/>
    <n v="9548000000"/>
  </r>
  <r>
    <s v="Moldova"/>
    <s v="MDA"/>
    <x v="22"/>
    <n v="60000000"/>
    <n v="0"/>
    <x v="1"/>
    <x v="1"/>
    <n v="60000000"/>
    <n v="60000000"/>
  </r>
  <r>
    <s v="Morocco"/>
    <s v="MAR"/>
    <x v="22"/>
    <n v="0"/>
    <n v="155000000"/>
    <x v="2"/>
    <x v="2"/>
    <n v="-155000000"/>
    <n v="155000000"/>
  </r>
  <r>
    <s v="Myanmar"/>
    <s v="MMR"/>
    <x v="22"/>
    <n v="0"/>
    <n v="156000000"/>
    <x v="5"/>
    <x v="2"/>
    <n v="-156000000"/>
    <n v="156000000"/>
  </r>
  <r>
    <s v="Namibia"/>
    <s v="NAM"/>
    <x v="22"/>
    <n v="0"/>
    <n v="11000000"/>
    <x v="3"/>
    <x v="2"/>
    <n v="-11000000"/>
    <n v="11000000"/>
  </r>
  <r>
    <s v="Nepal"/>
    <s v="NPL"/>
    <x v="22"/>
    <n v="0"/>
    <n v="10000000"/>
    <x v="6"/>
    <x v="2"/>
    <n v="-10000000"/>
    <n v="10000000"/>
  </r>
  <r>
    <s v="Netherlands"/>
    <s v="NLD"/>
    <x v="22"/>
    <n v="233000000"/>
    <n v="247000000"/>
    <x v="1"/>
    <x v="3"/>
    <n v="-14000000"/>
    <n v="480000000"/>
  </r>
  <r>
    <s v="New Zealand"/>
    <s v="NZL"/>
    <x v="22"/>
    <n v="1000000"/>
    <n v="17000000"/>
    <x v="5"/>
    <x v="3"/>
    <n v="-16000000"/>
    <n v="18000000"/>
  </r>
  <r>
    <s v="Nigeria"/>
    <s v="NGA"/>
    <x v="22"/>
    <n v="0"/>
    <n v="6000000"/>
    <x v="3"/>
    <x v="2"/>
    <n v="-6000000"/>
    <n v="6000000"/>
  </r>
  <r>
    <s v="North America"/>
    <s v="NAC"/>
    <x v="22"/>
    <n v="5049000000"/>
    <n v="933000000"/>
    <x v="0"/>
    <x v="0"/>
    <n v="4116000000"/>
    <n v="5982000000"/>
  </r>
  <r>
    <s v="Norway"/>
    <s v="NOR"/>
    <x v="22"/>
    <n v="78000000"/>
    <n v="95000000"/>
    <x v="1"/>
    <x v="3"/>
    <n v="-17000000"/>
    <n v="173000000"/>
  </r>
  <r>
    <s v="OECD members"/>
    <s v="OED"/>
    <x v="22"/>
    <n v="10497000000"/>
    <n v="6884000000"/>
    <x v="0"/>
    <x v="0"/>
    <n v="3613000000"/>
    <n v="17381000000"/>
  </r>
  <r>
    <s v="Oman"/>
    <s v="OMN"/>
    <x v="22"/>
    <n v="0"/>
    <n v="40000000"/>
    <x v="2"/>
    <x v="3"/>
    <n v="-40000000"/>
    <n v="40000000"/>
  </r>
  <r>
    <s v="Other small states"/>
    <s v="OSS"/>
    <x v="22"/>
    <n v="0"/>
    <n v="76000000"/>
    <x v="0"/>
    <x v="0"/>
    <n v="-76000000"/>
    <n v="76000000"/>
  </r>
  <r>
    <s v="Pakistan"/>
    <s v="PAK"/>
    <x v="22"/>
    <n v="9000000"/>
    <n v="566000000"/>
    <x v="2"/>
    <x v="2"/>
    <n v="-557000000"/>
    <n v="575000000"/>
  </r>
  <r>
    <s v="Peru"/>
    <s v="PER"/>
    <x v="22"/>
    <n v="0"/>
    <n v="16000000"/>
    <x v="4"/>
    <x v="1"/>
    <n v="-16000000"/>
    <n v="16000000"/>
  </r>
  <r>
    <s v="Philippines"/>
    <s v="PHL"/>
    <x v="22"/>
    <n v="0"/>
    <n v="5000000"/>
    <x v="5"/>
    <x v="1"/>
    <n v="-5000000"/>
    <n v="5000000"/>
  </r>
  <r>
    <s v="Poland"/>
    <s v="POL"/>
    <x v="22"/>
    <n v="56000000"/>
    <n v="253000000"/>
    <x v="1"/>
    <x v="3"/>
    <n v="-197000000"/>
    <n v="309000000"/>
  </r>
  <r>
    <s v="Post-demographic dividend"/>
    <s v="PST"/>
    <x v="22"/>
    <n v="10282000000"/>
    <n v="5237000000"/>
    <x v="0"/>
    <x v="0"/>
    <n v="5045000000"/>
    <n v="15519000000"/>
  </r>
  <r>
    <s v="Pre-demographic dividend"/>
    <s v="PRE"/>
    <x v="22"/>
    <n v="0"/>
    <n v="390000000"/>
    <x v="0"/>
    <x v="0"/>
    <n v="-390000000"/>
    <n v="390000000"/>
  </r>
  <r>
    <s v="Romania"/>
    <s v="ROU"/>
    <x v="22"/>
    <n v="0"/>
    <n v="21000000"/>
    <x v="1"/>
    <x v="3"/>
    <n v="-21000000"/>
    <n v="21000000"/>
  </r>
  <r>
    <s v="Russian Federation"/>
    <s v="RUS"/>
    <x v="22"/>
    <n v="5735000000"/>
    <n v="0"/>
    <x v="1"/>
    <x v="3"/>
    <n v="5735000000"/>
    <n v="5735000000"/>
  </r>
  <r>
    <s v="Saudi Arabia"/>
    <s v="SAU"/>
    <x v="22"/>
    <n v="0"/>
    <n v="559000000"/>
    <x v="2"/>
    <x v="3"/>
    <n v="-559000000"/>
    <n v="559000000"/>
  </r>
  <r>
    <s v="Singapore"/>
    <s v="SGP"/>
    <x v="22"/>
    <n v="4000000"/>
    <n v="229000000"/>
    <x v="5"/>
    <x v="3"/>
    <n v="-225000000"/>
    <n v="233000000"/>
  </r>
  <r>
    <s v="Slovak Republic"/>
    <s v="SVK"/>
    <x v="22"/>
    <n v="33000000"/>
    <n v="29000000"/>
    <x v="1"/>
    <x v="3"/>
    <n v="4000000"/>
    <n v="62000000"/>
  </r>
  <r>
    <s v="Slovenia"/>
    <s v="SVN"/>
    <x v="22"/>
    <n v="0"/>
    <n v="2000000"/>
    <x v="1"/>
    <x v="3"/>
    <n v="-2000000"/>
    <n v="2000000"/>
  </r>
  <r>
    <s v="South Africa"/>
    <s v="ZAF"/>
    <x v="22"/>
    <n v="22000000"/>
    <n v="0"/>
    <x v="3"/>
    <x v="1"/>
    <n v="22000000"/>
    <n v="22000000"/>
  </r>
  <r>
    <s v="South Asia"/>
    <s v="SAS"/>
    <x v="22"/>
    <n v="0"/>
    <n v="1992000000"/>
    <x v="0"/>
    <x v="0"/>
    <n v="-1992000000"/>
    <n v="1992000000"/>
  </r>
  <r>
    <s v="South Asia (IDA &amp; IBRD)"/>
    <s v="TSA"/>
    <x v="22"/>
    <n v="0"/>
    <n v="1992000000"/>
    <x v="0"/>
    <x v="0"/>
    <n v="-1992000000"/>
    <n v="1992000000"/>
  </r>
  <r>
    <s v="Spain"/>
    <s v="ESP"/>
    <x v="22"/>
    <n v="18000000"/>
    <n v="266000000"/>
    <x v="1"/>
    <x v="3"/>
    <n v="-248000000"/>
    <n v="284000000"/>
  </r>
  <r>
    <s v="Sri Lanka"/>
    <s v="LKA"/>
    <x v="22"/>
    <n v="0"/>
    <n v="43000000"/>
    <x v="6"/>
    <x v="1"/>
    <n v="-43000000"/>
    <n v="43000000"/>
  </r>
  <r>
    <s v="Sudan"/>
    <s v="SDN"/>
    <x v="22"/>
    <n v="0"/>
    <n v="50000000"/>
    <x v="3"/>
    <x v="4"/>
    <n v="-50000000"/>
    <n v="50000000"/>
  </r>
  <r>
    <s v="Sweden"/>
    <s v="SWE"/>
    <x v="22"/>
    <n v="164000000"/>
    <n v="74000000"/>
    <x v="1"/>
    <x v="3"/>
    <n v="90000000"/>
    <n v="238000000"/>
  </r>
  <r>
    <s v="Switzerland"/>
    <s v="CHE"/>
    <x v="22"/>
    <n v="178000000"/>
    <n v="58000000"/>
    <x v="1"/>
    <x v="3"/>
    <n v="120000000"/>
    <n v="236000000"/>
  </r>
  <r>
    <s v="Syrian Arab Republic"/>
    <s v="SYR"/>
    <x v="22"/>
    <n v="0"/>
    <n v="40000000"/>
    <x v="2"/>
    <x v="4"/>
    <n v="-40000000"/>
    <n v="40000000"/>
  </r>
  <r>
    <s v="Tanzania"/>
    <s v="TZA"/>
    <x v="22"/>
    <n v="0"/>
    <n v="1000000"/>
    <x v="3"/>
    <x v="2"/>
    <n v="-1000000"/>
    <n v="1000000"/>
  </r>
  <r>
    <s v="Thailand"/>
    <s v="THA"/>
    <x v="22"/>
    <n v="0"/>
    <n v="152000000"/>
    <x v="5"/>
    <x v="1"/>
    <n v="-152000000"/>
    <n v="152000000"/>
  </r>
  <r>
    <s v="Trinidad and Tobago"/>
    <s v="TTO"/>
    <x v="22"/>
    <n v="0"/>
    <n v="2000000"/>
    <x v="4"/>
    <x v="3"/>
    <n v="-2000000"/>
    <n v="2000000"/>
  </r>
  <r>
    <s v="Tunisia"/>
    <s v="TUN"/>
    <x v="22"/>
    <n v="0"/>
    <n v="44000000"/>
    <x v="2"/>
    <x v="2"/>
    <n v="-44000000"/>
    <n v="44000000"/>
  </r>
  <r>
    <s v="Turkiye"/>
    <s v="TUR"/>
    <x v="22"/>
    <n v="28000000"/>
    <n v="878000000"/>
    <x v="1"/>
    <x v="1"/>
    <n v="-850000000"/>
    <n v="906000000"/>
  </r>
  <r>
    <s v="Uganda"/>
    <s v="UGA"/>
    <x v="22"/>
    <n v="0"/>
    <n v="33000000"/>
    <x v="3"/>
    <x v="4"/>
    <n v="-33000000"/>
    <n v="33000000"/>
  </r>
  <r>
    <s v="Ukraine"/>
    <s v="UKR"/>
    <x v="22"/>
    <n v="327000000"/>
    <n v="0"/>
    <x v="1"/>
    <x v="1"/>
    <n v="327000000"/>
    <n v="327000000"/>
  </r>
  <r>
    <s v="United Arab Emirates"/>
    <s v="ARE"/>
    <x v="22"/>
    <n v="0"/>
    <n v="223000000"/>
    <x v="2"/>
    <x v="3"/>
    <n v="-223000000"/>
    <n v="223000000"/>
  </r>
  <r>
    <s v="United Kingdom"/>
    <s v="GBR"/>
    <x v="22"/>
    <n v="1078000000"/>
    <n v="721000000"/>
    <x v="1"/>
    <x v="3"/>
    <n v="357000000"/>
    <n v="1799000000"/>
  </r>
  <r>
    <s v="United States"/>
    <s v="USA"/>
    <x v="22"/>
    <n v="4872000000"/>
    <n v="515000000"/>
    <x v="7"/>
    <x v="3"/>
    <n v="4357000000"/>
    <n v="5387000000"/>
  </r>
  <r>
    <s v="Upper middle income"/>
    <s v="UMC"/>
    <x v="22"/>
    <n v="0"/>
    <n v="5660000000"/>
    <x v="0"/>
    <x v="0"/>
    <n v="-5660000000"/>
    <n v="5660000000"/>
  </r>
  <r>
    <s v="Uruguay"/>
    <s v="URY"/>
    <x v="22"/>
    <n v="0"/>
    <n v="13000000"/>
    <x v="4"/>
    <x v="3"/>
    <n v="-13000000"/>
    <n v="13000000"/>
  </r>
  <r>
    <s v="Uzbekistan"/>
    <s v="UZB"/>
    <x v="22"/>
    <n v="0"/>
    <n v="9000000"/>
    <x v="1"/>
    <x v="2"/>
    <n v="-9000000"/>
    <n v="9000000"/>
  </r>
  <r>
    <s v="Venezuela, RB"/>
    <s v="VEN"/>
    <x v="22"/>
    <n v="0"/>
    <n v="44000000"/>
    <x v="4"/>
    <x v="2"/>
    <n v="-44000000"/>
    <n v="44000000"/>
  </r>
  <r>
    <s v="Viet Nam"/>
    <s v="VNM"/>
    <x v="22"/>
    <n v="0"/>
    <n v="58000000"/>
    <x v="5"/>
    <x v="1"/>
    <n v="-58000000"/>
    <n v="58000000"/>
  </r>
  <r>
    <s v="World"/>
    <s v="WLD"/>
    <x v="22"/>
    <n v="17681000000"/>
    <n v="17668000000"/>
    <x v="0"/>
    <x v="0"/>
    <n v="13000000"/>
    <n v="35349000000"/>
  </r>
  <r>
    <s v="Yemen, Rep."/>
    <s v="YEM"/>
    <x v="22"/>
    <n v="0"/>
    <n v="585000000"/>
    <x v="2"/>
    <x v="4"/>
    <n v="-585000000"/>
    <n v="585000000"/>
  </r>
  <r>
    <s v="Zambia"/>
    <s v="ZMB"/>
    <x v="22"/>
    <n v="0"/>
    <n v="2000000"/>
    <x v="3"/>
    <x v="2"/>
    <n v="-2000000"/>
    <n v="2000000"/>
  </r>
  <r>
    <s v="Africa Eastern and Southern"/>
    <s v="AFE"/>
    <x v="23"/>
    <n v="0"/>
    <n v="403000000"/>
    <x v="0"/>
    <x v="0"/>
    <n v="-403000000"/>
    <n v="403000000"/>
  </r>
  <r>
    <s v="Africa Western and Central"/>
    <s v="AFW"/>
    <x v="23"/>
    <n v="0"/>
    <n v="56000000"/>
    <x v="0"/>
    <x v="0"/>
    <n v="-56000000"/>
    <n v="56000000"/>
  </r>
  <r>
    <s v="Algeria"/>
    <s v="DZA"/>
    <x v="23"/>
    <n v="0"/>
    <n v="539000000"/>
    <x v="2"/>
    <x v="1"/>
    <n v="-539000000"/>
    <n v="539000000"/>
  </r>
  <r>
    <s v="Angola"/>
    <s v="AGO"/>
    <x v="23"/>
    <n v="0"/>
    <n v="157000000"/>
    <x v="3"/>
    <x v="2"/>
    <n v="-157000000"/>
    <n v="157000000"/>
  </r>
  <r>
    <s v="Arab World"/>
    <s v="ARB"/>
    <x v="23"/>
    <n v="0"/>
    <n v="2105000000"/>
    <x v="0"/>
    <x v="0"/>
    <n v="-2105000000"/>
    <n v="2105000000"/>
  </r>
  <r>
    <s v="Argentina"/>
    <s v="ARG"/>
    <x v="23"/>
    <n v="0"/>
    <n v="6000000"/>
    <x v="4"/>
    <x v="1"/>
    <n v="-6000000"/>
    <n v="6000000"/>
  </r>
  <r>
    <s v="Australia"/>
    <s v="AUS"/>
    <x v="23"/>
    <n v="43000000"/>
    <n v="1215000000"/>
    <x v="5"/>
    <x v="3"/>
    <n v="-1172000000"/>
    <n v="1258000000"/>
  </r>
  <r>
    <s v="Austria"/>
    <s v="AUT"/>
    <x v="23"/>
    <n v="17000000"/>
    <n v="15000000"/>
    <x v="1"/>
    <x v="3"/>
    <n v="2000000"/>
    <n v="32000000"/>
  </r>
  <r>
    <s v="Bahrain"/>
    <s v="BHR"/>
    <x v="23"/>
    <n v="2000000"/>
    <n v="28000000"/>
    <x v="2"/>
    <x v="3"/>
    <n v="-26000000"/>
    <n v="30000000"/>
  </r>
  <r>
    <s v="Bangladesh"/>
    <s v="BGD"/>
    <x v="23"/>
    <n v="0"/>
    <n v="274000000"/>
    <x v="6"/>
    <x v="2"/>
    <n v="-274000000"/>
    <n v="274000000"/>
  </r>
  <r>
    <s v="Belarus"/>
    <s v="BLR"/>
    <x v="23"/>
    <n v="49000000"/>
    <n v="0"/>
    <x v="1"/>
    <x v="1"/>
    <n v="49000000"/>
    <n v="49000000"/>
  </r>
  <r>
    <s v="Belgium"/>
    <s v="BEL"/>
    <x v="23"/>
    <n v="37000000"/>
    <n v="30000000"/>
    <x v="1"/>
    <x v="3"/>
    <n v="7000000"/>
    <n v="67000000"/>
  </r>
  <r>
    <s v="Botswana"/>
    <s v="BWA"/>
    <x v="23"/>
    <n v="0"/>
    <n v="15000000"/>
    <x v="3"/>
    <x v="1"/>
    <n v="-15000000"/>
    <n v="15000000"/>
  </r>
  <r>
    <s v="Brazil"/>
    <s v="BRA"/>
    <x v="23"/>
    <n v="0"/>
    <n v="573000000"/>
    <x v="4"/>
    <x v="1"/>
    <n v="-573000000"/>
    <n v="573000000"/>
  </r>
  <r>
    <s v="Brunei Darussalam"/>
    <s v="BRN"/>
    <x v="23"/>
    <n v="0"/>
    <n v="5000000"/>
    <x v="5"/>
    <x v="3"/>
    <n v="-5000000"/>
    <n v="5000000"/>
  </r>
  <r>
    <s v="Bulgaria"/>
    <s v="BGR"/>
    <x v="23"/>
    <n v="10000000"/>
    <n v="0"/>
    <x v="1"/>
    <x v="3"/>
    <n v="10000000"/>
    <n v="10000000"/>
  </r>
  <r>
    <s v="Burundi"/>
    <s v="BDI"/>
    <x v="23"/>
    <n v="0"/>
    <n v="1000000"/>
    <x v="3"/>
    <x v="4"/>
    <n v="-1000000"/>
    <n v="1000000"/>
  </r>
  <r>
    <s v="Cameroon"/>
    <s v="CMR"/>
    <x v="23"/>
    <n v="0"/>
    <n v="6000000"/>
    <x v="3"/>
    <x v="2"/>
    <n v="-6000000"/>
    <n v="6000000"/>
  </r>
  <r>
    <s v="Canada"/>
    <s v="CAN"/>
    <x v="23"/>
    <n v="124000000"/>
    <n v="520000000"/>
    <x v="7"/>
    <x v="3"/>
    <n v="-396000000"/>
    <n v="644000000"/>
  </r>
  <r>
    <s v="Central Europe and the Baltics"/>
    <s v="CEB"/>
    <x v="23"/>
    <n v="0"/>
    <n v="254000000"/>
    <x v="0"/>
    <x v="0"/>
    <n v="-254000000"/>
    <n v="254000000"/>
  </r>
  <r>
    <s v="Chad"/>
    <s v="TCD"/>
    <x v="23"/>
    <n v="0"/>
    <n v="16000000"/>
    <x v="3"/>
    <x v="4"/>
    <n v="-16000000"/>
    <n v="16000000"/>
  </r>
  <r>
    <s v="Chile"/>
    <s v="CHL"/>
    <x v="23"/>
    <n v="0"/>
    <n v="60000000"/>
    <x v="4"/>
    <x v="3"/>
    <n v="-60000000"/>
    <n v="60000000"/>
  </r>
  <r>
    <s v="China"/>
    <s v="CHN"/>
    <x v="23"/>
    <n v="510000000"/>
    <n v="2755000000"/>
    <x v="5"/>
    <x v="1"/>
    <n v="-2245000000"/>
    <n v="3265000000"/>
  </r>
  <r>
    <s v="Colombia"/>
    <s v="COL"/>
    <x v="23"/>
    <n v="0"/>
    <n v="268000000"/>
    <x v="4"/>
    <x v="1"/>
    <n v="-268000000"/>
    <n v="268000000"/>
  </r>
  <r>
    <s v="Congo, Dem. Rep."/>
    <s v="COD"/>
    <x v="23"/>
    <n v="0"/>
    <n v="11000000"/>
    <x v="3"/>
    <x v="4"/>
    <n v="-11000000"/>
    <n v="11000000"/>
  </r>
  <r>
    <s v="Croatia"/>
    <s v="HRV"/>
    <x v="23"/>
    <n v="0"/>
    <n v="57000000"/>
    <x v="1"/>
    <x v="3"/>
    <n v="-57000000"/>
    <n v="57000000"/>
  </r>
  <r>
    <s v="Cyprus"/>
    <s v="CYP"/>
    <x v="23"/>
    <n v="0"/>
    <n v="180000000"/>
    <x v="1"/>
    <x v="3"/>
    <n v="-180000000"/>
    <n v="180000000"/>
  </r>
  <r>
    <s v="Czechia"/>
    <s v="CZE"/>
    <x v="23"/>
    <n v="89000000"/>
    <n v="57000000"/>
    <x v="1"/>
    <x v="3"/>
    <n v="32000000"/>
    <n v="146000000"/>
  </r>
  <r>
    <s v="Denmark"/>
    <s v="DNK"/>
    <x v="23"/>
    <n v="0"/>
    <n v="148000000"/>
    <x v="1"/>
    <x v="3"/>
    <n v="-148000000"/>
    <n v="148000000"/>
  </r>
  <r>
    <s v="Dominican Republic"/>
    <s v="DOM"/>
    <x v="23"/>
    <n v="0"/>
    <n v="5000000"/>
    <x v="4"/>
    <x v="1"/>
    <n v="-5000000"/>
    <n v="5000000"/>
  </r>
  <r>
    <s v="Early-demographic dividend"/>
    <s v="EAR"/>
    <x v="23"/>
    <n v="0"/>
    <n v="5193000000"/>
    <x v="0"/>
    <x v="0"/>
    <n v="-5193000000"/>
    <n v="5193000000"/>
  </r>
  <r>
    <s v="East Asia &amp; Pacific"/>
    <s v="EAS"/>
    <x v="23"/>
    <n v="0"/>
    <n v="6293000000"/>
    <x v="0"/>
    <x v="0"/>
    <n v="-6293000000"/>
    <n v="6293000000"/>
  </r>
  <r>
    <s v="East Asia &amp; Pacific (excluding high income)"/>
    <s v="EAP"/>
    <x v="23"/>
    <n v="0"/>
    <n v="3245000000"/>
    <x v="0"/>
    <x v="0"/>
    <n v="-3245000000"/>
    <n v="3245000000"/>
  </r>
  <r>
    <s v="East Asia &amp; Pacific (IDA &amp; IBRD countries)"/>
    <s v="TEA"/>
    <x v="23"/>
    <n v="0"/>
    <n v="3172000000"/>
    <x v="0"/>
    <x v="0"/>
    <n v="-3172000000"/>
    <n v="3172000000"/>
  </r>
  <r>
    <s v="Ecuador"/>
    <s v="ECU"/>
    <x v="23"/>
    <n v="0"/>
    <n v="41000000"/>
    <x v="4"/>
    <x v="1"/>
    <n v="-41000000"/>
    <n v="41000000"/>
  </r>
  <r>
    <s v="Egypt, Arab Rep."/>
    <s v="EGY"/>
    <x v="23"/>
    <n v="0"/>
    <n v="824000000"/>
    <x v="2"/>
    <x v="2"/>
    <n v="-824000000"/>
    <n v="824000000"/>
  </r>
  <r>
    <s v="Equatorial Guinea"/>
    <s v="GNQ"/>
    <x v="23"/>
    <n v="0"/>
    <n v="7000000"/>
    <x v="3"/>
    <x v="1"/>
    <n v="-7000000"/>
    <n v="7000000"/>
  </r>
  <r>
    <s v="Eritrea"/>
    <s v="ERI"/>
    <x v="23"/>
    <n v="0"/>
    <n v="57000000"/>
    <x v="3"/>
    <x v="4"/>
    <n v="-57000000"/>
    <n v="57000000"/>
  </r>
  <r>
    <s v="Eswatini"/>
    <s v="SWZ"/>
    <x v="23"/>
    <n v="0"/>
    <n v="1000000"/>
    <x v="3"/>
    <x v="2"/>
    <n v="-1000000"/>
    <n v="1000000"/>
  </r>
  <r>
    <s v="Euro area"/>
    <s v="EMU"/>
    <x v="23"/>
    <n v="2785000000"/>
    <n v="1947000000"/>
    <x v="0"/>
    <x v="0"/>
    <n v="838000000"/>
    <n v="4732000000"/>
  </r>
  <r>
    <s v="Europe &amp; Central Asia"/>
    <s v="ECS"/>
    <x v="23"/>
    <n v="11383000000"/>
    <n v="4712000000"/>
    <x v="0"/>
    <x v="0"/>
    <n v="6671000000"/>
    <n v="16095000000"/>
  </r>
  <r>
    <s v="Europe &amp; Central Asia (excluding high income)"/>
    <s v="ECA"/>
    <x v="23"/>
    <n v="684000000"/>
    <n v="0"/>
    <x v="0"/>
    <x v="0"/>
    <n v="684000000"/>
    <n v="684000000"/>
  </r>
  <r>
    <s v="Europe &amp; Central Asia (IDA &amp; IBRD countries)"/>
    <s v="TEC"/>
    <x v="23"/>
    <n v="6025000000"/>
    <n v="992000000"/>
    <x v="0"/>
    <x v="0"/>
    <n v="5033000000"/>
    <n v="7017000000"/>
  </r>
  <r>
    <s v="European Union"/>
    <s v="EUU"/>
    <x v="23"/>
    <n v="3847000000"/>
    <n v="2386000000"/>
    <x v="0"/>
    <x v="0"/>
    <n v="1461000000"/>
    <n v="6233000000"/>
  </r>
  <r>
    <s v="Finland"/>
    <s v="FIN"/>
    <x v="23"/>
    <n v="29000000"/>
    <n v="7000000"/>
    <x v="1"/>
    <x v="3"/>
    <n v="22000000"/>
    <n v="36000000"/>
  </r>
  <r>
    <s v="France"/>
    <s v="FRA"/>
    <x v="23"/>
    <n v="1311000000"/>
    <n v="61000000"/>
    <x v="1"/>
    <x v="3"/>
    <n v="1250000000"/>
    <n v="1372000000"/>
  </r>
  <r>
    <s v="Georgia"/>
    <s v="GEO"/>
    <x v="23"/>
    <n v="0"/>
    <n v="85000000"/>
    <x v="1"/>
    <x v="1"/>
    <n v="-85000000"/>
    <n v="85000000"/>
  </r>
  <r>
    <s v="Germany"/>
    <s v="DEU"/>
    <x v="23"/>
    <n v="851000000"/>
    <n v="133000000"/>
    <x v="1"/>
    <x v="3"/>
    <n v="718000000"/>
    <n v="984000000"/>
  </r>
  <r>
    <s v="Ghana"/>
    <s v="GHA"/>
    <x v="23"/>
    <n v="0"/>
    <n v="12000000"/>
    <x v="3"/>
    <x v="2"/>
    <n v="-12000000"/>
    <n v="12000000"/>
  </r>
  <r>
    <s v="Greece"/>
    <s v="GRC"/>
    <x v="23"/>
    <n v="2000000"/>
    <n v="793000000"/>
    <x v="1"/>
    <x v="3"/>
    <n v="-791000000"/>
    <n v="795000000"/>
  </r>
  <r>
    <s v="Guinea"/>
    <s v="GIN"/>
    <x v="23"/>
    <n v="0"/>
    <n v="6000000"/>
    <x v="3"/>
    <x v="2"/>
    <n v="-6000000"/>
    <n v="6000000"/>
  </r>
  <r>
    <s v="Guyana"/>
    <s v="GUY"/>
    <x v="23"/>
    <n v="0"/>
    <n v="7000000"/>
    <x v="4"/>
    <x v="3"/>
    <n v="-7000000"/>
    <n v="7000000"/>
  </r>
  <r>
    <s v="High income"/>
    <s v="HIC"/>
    <x v="23"/>
    <n v="17162000000"/>
    <n v="8465000000"/>
    <x v="0"/>
    <x v="0"/>
    <n v="8697000000"/>
    <n v="25627000000"/>
  </r>
  <r>
    <s v="Hungary"/>
    <s v="HUN"/>
    <x v="23"/>
    <n v="0"/>
    <n v="14000000"/>
    <x v="1"/>
    <x v="3"/>
    <n v="-14000000"/>
    <n v="14000000"/>
  </r>
  <r>
    <s v="IBRD only"/>
    <s v="IBD"/>
    <x v="23"/>
    <n v="0"/>
    <n v="8555000000"/>
    <x v="0"/>
    <x v="0"/>
    <n v="-8555000000"/>
    <n v="8555000000"/>
  </r>
  <r>
    <s v="IDA &amp; IBRD total"/>
    <s v="IBT"/>
    <x v="23"/>
    <n v="0"/>
    <n v="9909000000"/>
    <x v="0"/>
    <x v="0"/>
    <n v="-9909000000"/>
    <n v="9909000000"/>
  </r>
  <r>
    <s v="IDA blend"/>
    <s v="IDB"/>
    <x v="23"/>
    <n v="0"/>
    <n v="446000000"/>
    <x v="0"/>
    <x v="0"/>
    <n v="-446000000"/>
    <n v="446000000"/>
  </r>
  <r>
    <s v="India"/>
    <s v="IND"/>
    <x v="23"/>
    <n v="2000000"/>
    <n v="1050000000"/>
    <x v="6"/>
    <x v="2"/>
    <n v="-1048000000"/>
    <n v="1052000000"/>
  </r>
  <r>
    <s v="Indonesia"/>
    <s v="IDN"/>
    <x v="23"/>
    <n v="18000000"/>
    <n v="22000000"/>
    <x v="5"/>
    <x v="1"/>
    <n v="-4000000"/>
    <n v="40000000"/>
  </r>
  <r>
    <s v="Iran, Islamic Rep."/>
    <s v="IRN"/>
    <x v="23"/>
    <n v="0"/>
    <n v="526000000"/>
    <x v="2"/>
    <x v="1"/>
    <n v="-526000000"/>
    <n v="526000000"/>
  </r>
  <r>
    <s v="Ireland"/>
    <s v="IRL"/>
    <x v="23"/>
    <n v="0"/>
    <n v="44000000"/>
    <x v="1"/>
    <x v="3"/>
    <n v="-44000000"/>
    <n v="44000000"/>
  </r>
  <r>
    <s v="Israel"/>
    <s v="ISR"/>
    <x v="23"/>
    <n v="467000000"/>
    <n v="116000000"/>
    <x v="2"/>
    <x v="3"/>
    <n v="351000000"/>
    <n v="583000000"/>
  </r>
  <r>
    <s v="Italy"/>
    <s v="ITA"/>
    <x v="23"/>
    <n v="267000000"/>
    <n v="234000000"/>
    <x v="1"/>
    <x v="3"/>
    <n v="33000000"/>
    <n v="501000000"/>
  </r>
  <r>
    <s v="Japan"/>
    <s v="JPN"/>
    <x v="23"/>
    <n v="0"/>
    <n v="427000000"/>
    <x v="5"/>
    <x v="3"/>
    <n v="-427000000"/>
    <n v="427000000"/>
  </r>
  <r>
    <s v="Jordan"/>
    <s v="JOR"/>
    <x v="23"/>
    <n v="0"/>
    <n v="160000000"/>
    <x v="2"/>
    <x v="1"/>
    <n v="-160000000"/>
    <n v="160000000"/>
  </r>
  <r>
    <s v="Kazakhstan"/>
    <s v="KAZ"/>
    <x v="23"/>
    <n v="13000000"/>
    <n v="139000000"/>
    <x v="1"/>
    <x v="1"/>
    <n v="-126000000"/>
    <n v="152000000"/>
  </r>
  <r>
    <s v="Korea, Dem. People's Rep."/>
    <s v="PRK"/>
    <x v="23"/>
    <n v="53000000"/>
    <n v="73000000"/>
    <x v="5"/>
    <x v="4"/>
    <n v="-20000000"/>
    <n v="126000000"/>
  </r>
  <r>
    <s v="Korea, Rep."/>
    <s v="KOR"/>
    <x v="23"/>
    <n v="230000000"/>
    <n v="768000000"/>
    <x v="5"/>
    <x v="3"/>
    <n v="-538000000"/>
    <n v="998000000"/>
  </r>
  <r>
    <s v="Kuwait"/>
    <s v="KWT"/>
    <x v="23"/>
    <n v="0"/>
    <n v="67000000"/>
    <x v="2"/>
    <x v="3"/>
    <n v="-67000000"/>
    <n v="67000000"/>
  </r>
  <r>
    <s v="Late-demographic dividend"/>
    <s v="LTE"/>
    <x v="23"/>
    <n v="0"/>
    <n v="5087000000"/>
    <x v="0"/>
    <x v="0"/>
    <n v="-5087000000"/>
    <n v="5087000000"/>
  </r>
  <r>
    <s v="Latin America &amp; Caribbean"/>
    <s v="LCN"/>
    <x v="23"/>
    <n v="0"/>
    <n v="1231000000"/>
    <x v="0"/>
    <x v="0"/>
    <n v="-1231000000"/>
    <n v="1231000000"/>
  </r>
  <r>
    <s v="Latin America &amp; Caribbean (excluding high income)"/>
    <s v="LAC"/>
    <x v="23"/>
    <n v="0"/>
    <n v="1164000000"/>
    <x v="0"/>
    <x v="0"/>
    <n v="-1164000000"/>
    <n v="1164000000"/>
  </r>
  <r>
    <s v="Latin America &amp; the Caribbean (IDA &amp; IBRD countries)"/>
    <s v="TLA"/>
    <x v="23"/>
    <n v="0"/>
    <n v="1231000000"/>
    <x v="0"/>
    <x v="0"/>
    <n v="-1231000000"/>
    <n v="1231000000"/>
  </r>
  <r>
    <s v="Latvia"/>
    <s v="LVA"/>
    <x v="23"/>
    <n v="0"/>
    <n v="14000000"/>
    <x v="1"/>
    <x v="3"/>
    <n v="-14000000"/>
    <n v="14000000"/>
  </r>
  <r>
    <s v="Lesotho"/>
    <s v="LSO"/>
    <x v="23"/>
    <n v="0"/>
    <n v="6000000"/>
    <x v="3"/>
    <x v="2"/>
    <n v="-6000000"/>
    <n v="6000000"/>
  </r>
  <r>
    <s v="Lithuania"/>
    <s v="LTU"/>
    <x v="23"/>
    <n v="0"/>
    <n v="16000000"/>
    <x v="1"/>
    <x v="3"/>
    <n v="-16000000"/>
    <n v="16000000"/>
  </r>
  <r>
    <s v="Low &amp; middle income"/>
    <s v="LMY"/>
    <x v="23"/>
    <n v="0"/>
    <n v="9801000000"/>
    <x v="0"/>
    <x v="0"/>
    <n v="-9801000000"/>
    <n v="9801000000"/>
  </r>
  <r>
    <s v="Lower middle income"/>
    <s v="LMC"/>
    <x v="23"/>
    <n v="0"/>
    <n v="3078000000"/>
    <x v="0"/>
    <x v="0"/>
    <n v="-3078000000"/>
    <n v="3078000000"/>
  </r>
  <r>
    <s v="Malaysia"/>
    <s v="MYS"/>
    <x v="23"/>
    <n v="0"/>
    <n v="26000000"/>
    <x v="5"/>
    <x v="1"/>
    <n v="-26000000"/>
    <n v="26000000"/>
  </r>
  <r>
    <s v="Malta"/>
    <s v="MLT"/>
    <x v="23"/>
    <n v="0"/>
    <n v="0"/>
    <x v="2"/>
    <x v="3"/>
    <n v="0"/>
    <n v="0"/>
  </r>
  <r>
    <s v="Mexico"/>
    <s v="MEX"/>
    <x v="23"/>
    <n v="0"/>
    <n v="149000000"/>
    <x v="4"/>
    <x v="1"/>
    <n v="-149000000"/>
    <n v="149000000"/>
  </r>
  <r>
    <s v="Middle East, North Africa, Afghanistan &amp; Pakistan"/>
    <s v="MEA"/>
    <x v="23"/>
    <n v="0"/>
    <n v="3053000000"/>
    <x v="0"/>
    <x v="0"/>
    <n v="-3053000000"/>
    <n v="3053000000"/>
  </r>
  <r>
    <s v="Middle East, North Africa, Afghanistan &amp; Pakistan (excluding high income)"/>
    <s v="MNA"/>
    <x v="23"/>
    <n v="0"/>
    <n v="2565000000"/>
    <x v="0"/>
    <x v="0"/>
    <n v="-2565000000"/>
    <n v="2565000000"/>
  </r>
  <r>
    <s v="Middle East, North Africa, Afghanistan &amp; Pakistan (IDA &amp; IBRD)"/>
    <s v="TMN"/>
    <x v="23"/>
    <n v="0"/>
    <n v="2565000000"/>
    <x v="0"/>
    <x v="0"/>
    <n v="-2565000000"/>
    <n v="2565000000"/>
  </r>
  <r>
    <s v="Middle income"/>
    <s v="MIC"/>
    <x v="23"/>
    <n v="0"/>
    <n v="9444000000"/>
    <x v="0"/>
    <x v="0"/>
    <n v="-9444000000"/>
    <n v="9444000000"/>
  </r>
  <r>
    <s v="Moldova"/>
    <s v="MDA"/>
    <x v="23"/>
    <n v="42000000"/>
    <n v="0"/>
    <x v="1"/>
    <x v="1"/>
    <n v="42000000"/>
    <n v="42000000"/>
  </r>
  <r>
    <s v="Morocco"/>
    <s v="MAR"/>
    <x v="23"/>
    <n v="0"/>
    <n v="11000000"/>
    <x v="2"/>
    <x v="2"/>
    <n v="-11000000"/>
    <n v="11000000"/>
  </r>
  <r>
    <s v="Myanmar"/>
    <s v="MMR"/>
    <x v="23"/>
    <n v="0"/>
    <n v="153000000"/>
    <x v="5"/>
    <x v="2"/>
    <n v="-153000000"/>
    <n v="153000000"/>
  </r>
  <r>
    <s v="Namibia"/>
    <s v="NAM"/>
    <x v="23"/>
    <n v="0"/>
    <n v="21000000"/>
    <x v="3"/>
    <x v="2"/>
    <n v="-21000000"/>
    <n v="21000000"/>
  </r>
  <r>
    <s v="Nepal"/>
    <s v="NPL"/>
    <x v="23"/>
    <n v="0"/>
    <n v="12000000"/>
    <x v="6"/>
    <x v="2"/>
    <n v="-12000000"/>
    <n v="12000000"/>
  </r>
  <r>
    <s v="Netherlands"/>
    <s v="NLD"/>
    <x v="23"/>
    <n v="199000000"/>
    <n v="164000000"/>
    <x v="1"/>
    <x v="3"/>
    <n v="35000000"/>
    <n v="363000000"/>
  </r>
  <r>
    <s v="New Zealand"/>
    <s v="NZL"/>
    <x v="23"/>
    <n v="0"/>
    <n v="45000000"/>
    <x v="5"/>
    <x v="3"/>
    <n v="-45000000"/>
    <n v="45000000"/>
  </r>
  <r>
    <s v="Nigeria"/>
    <s v="NGA"/>
    <x v="23"/>
    <n v="0"/>
    <n v="9000000"/>
    <x v="3"/>
    <x v="2"/>
    <n v="-9000000"/>
    <n v="9000000"/>
  </r>
  <r>
    <s v="North America"/>
    <s v="NAC"/>
    <x v="23"/>
    <n v="5715000000"/>
    <n v="1028000000"/>
    <x v="0"/>
    <x v="0"/>
    <n v="4687000000"/>
    <n v="6743000000"/>
  </r>
  <r>
    <s v="North Macedonia"/>
    <s v="MKD"/>
    <x v="23"/>
    <n v="0"/>
    <n v="118000000"/>
    <x v="1"/>
    <x v="1"/>
    <n v="-118000000"/>
    <n v="118000000"/>
  </r>
  <r>
    <s v="Norway"/>
    <s v="NOR"/>
    <x v="23"/>
    <n v="31000000"/>
    <n v="99000000"/>
    <x v="1"/>
    <x v="3"/>
    <n v="-68000000"/>
    <n v="130000000"/>
  </r>
  <r>
    <s v="OECD members"/>
    <s v="OED"/>
    <x v="23"/>
    <n v="11899000000"/>
    <n v="8148000000"/>
    <x v="0"/>
    <x v="0"/>
    <n v="3751000000"/>
    <n v="20047000000"/>
  </r>
  <r>
    <s v="Oman"/>
    <s v="OMN"/>
    <x v="23"/>
    <n v="0"/>
    <n v="32000000"/>
    <x v="2"/>
    <x v="3"/>
    <n v="-32000000"/>
    <n v="32000000"/>
  </r>
  <r>
    <s v="Pakistan"/>
    <s v="PAK"/>
    <x v="23"/>
    <n v="0"/>
    <n v="412000000"/>
    <x v="2"/>
    <x v="2"/>
    <n v="-412000000"/>
    <n v="412000000"/>
  </r>
  <r>
    <s v="Paraguay"/>
    <s v="PRY"/>
    <x v="23"/>
    <n v="0"/>
    <n v="6000000"/>
    <x v="4"/>
    <x v="1"/>
    <n v="-6000000"/>
    <n v="6000000"/>
  </r>
  <r>
    <s v="Peru"/>
    <s v="PER"/>
    <x v="23"/>
    <n v="14000000"/>
    <n v="10000000"/>
    <x v="4"/>
    <x v="1"/>
    <n v="4000000"/>
    <n v="24000000"/>
  </r>
  <r>
    <s v="Philippines"/>
    <s v="PHL"/>
    <x v="23"/>
    <n v="0"/>
    <n v="10000000"/>
    <x v="5"/>
    <x v="1"/>
    <n v="-10000000"/>
    <n v="10000000"/>
  </r>
  <r>
    <s v="Poland"/>
    <s v="POL"/>
    <x v="23"/>
    <n v="81000000"/>
    <n v="31000000"/>
    <x v="1"/>
    <x v="3"/>
    <n v="50000000"/>
    <n v="112000000"/>
  </r>
  <r>
    <s v="Portugal"/>
    <s v="PRT"/>
    <x v="23"/>
    <n v="0"/>
    <n v="18000000"/>
    <x v="1"/>
    <x v="3"/>
    <n v="-18000000"/>
    <n v="18000000"/>
  </r>
  <r>
    <s v="Post-demographic dividend"/>
    <s v="PST"/>
    <x v="23"/>
    <n v="11906000000"/>
    <n v="7268000000"/>
    <x v="0"/>
    <x v="0"/>
    <n v="4638000000"/>
    <n v="19174000000"/>
  </r>
  <r>
    <s v="Romania"/>
    <s v="ROU"/>
    <x v="23"/>
    <n v="0"/>
    <n v="24000000"/>
    <x v="1"/>
    <x v="3"/>
    <n v="-24000000"/>
    <n v="24000000"/>
  </r>
  <r>
    <s v="Russian Federation"/>
    <s v="RUS"/>
    <x v="23"/>
    <n v="5250000000"/>
    <n v="2000000"/>
    <x v="1"/>
    <x v="3"/>
    <n v="5248000000"/>
    <n v="5252000000"/>
  </r>
  <r>
    <s v="Saudi Arabia"/>
    <s v="SAU"/>
    <x v="23"/>
    <n v="0"/>
    <n v="59000000"/>
    <x v="2"/>
    <x v="3"/>
    <n v="-59000000"/>
    <n v="59000000"/>
  </r>
  <r>
    <s v="Serbia"/>
    <s v="SRB"/>
    <x v="23"/>
    <n v="20000000"/>
    <n v="27000000"/>
    <x v="1"/>
    <x v="1"/>
    <n v="-7000000"/>
    <n v="47000000"/>
  </r>
  <r>
    <s v="Singapore"/>
    <s v="SGP"/>
    <x v="23"/>
    <n v="0"/>
    <n v="246000000"/>
    <x v="5"/>
    <x v="3"/>
    <n v="-246000000"/>
    <n v="246000000"/>
  </r>
  <r>
    <s v="Slovak Republic"/>
    <s v="SVK"/>
    <x v="23"/>
    <n v="54000000"/>
    <n v="0"/>
    <x v="1"/>
    <x v="3"/>
    <n v="54000000"/>
    <n v="54000000"/>
  </r>
  <r>
    <s v="Slovenia"/>
    <s v="SVN"/>
    <x v="23"/>
    <n v="0"/>
    <n v="41000000"/>
    <x v="1"/>
    <x v="3"/>
    <n v="-41000000"/>
    <n v="41000000"/>
  </r>
  <r>
    <s v="South Africa"/>
    <s v="ZAF"/>
    <x v="23"/>
    <n v="32000000"/>
    <n v="18000000"/>
    <x v="3"/>
    <x v="1"/>
    <n v="14000000"/>
    <n v="50000000"/>
  </r>
  <r>
    <s v="South Asia"/>
    <s v="SAS"/>
    <x v="23"/>
    <n v="2000000"/>
    <n v="1490000000"/>
    <x v="0"/>
    <x v="0"/>
    <n v="-1488000000"/>
    <n v="1492000000"/>
  </r>
  <r>
    <s v="South Asia (IDA &amp; IBRD)"/>
    <s v="TSA"/>
    <x v="23"/>
    <n v="2000000"/>
    <n v="1490000000"/>
    <x v="0"/>
    <x v="0"/>
    <n v="-1488000000"/>
    <n v="1492000000"/>
  </r>
  <r>
    <s v="Spain"/>
    <s v="ESP"/>
    <x v="23"/>
    <n v="8000000"/>
    <n v="140000000"/>
    <x v="1"/>
    <x v="3"/>
    <n v="-132000000"/>
    <n v="148000000"/>
  </r>
  <r>
    <s v="Sri Lanka"/>
    <s v="LKA"/>
    <x v="23"/>
    <n v="0"/>
    <n v="154000000"/>
    <x v="6"/>
    <x v="1"/>
    <n v="-154000000"/>
    <n v="154000000"/>
  </r>
  <r>
    <s v="Sub-Saharan Africa"/>
    <s v="SSF"/>
    <x v="23"/>
    <n v="0"/>
    <n v="459000000"/>
    <x v="0"/>
    <x v="0"/>
    <n v="-459000000"/>
    <n v="459000000"/>
  </r>
  <r>
    <s v="Sub-Saharan Africa (excluding high income)"/>
    <s v="SSA"/>
    <x v="23"/>
    <n v="0"/>
    <n v="459000000"/>
    <x v="0"/>
    <x v="0"/>
    <n v="-459000000"/>
    <n v="459000000"/>
  </r>
  <r>
    <s v="Sub-Saharan Africa (IDA &amp; IBRD countries)"/>
    <s v="TSS"/>
    <x v="23"/>
    <n v="0"/>
    <n v="459000000"/>
    <x v="0"/>
    <x v="0"/>
    <n v="-459000000"/>
    <n v="459000000"/>
  </r>
  <r>
    <s v="Sudan"/>
    <s v="SDN"/>
    <x v="23"/>
    <n v="0"/>
    <n v="106000000"/>
    <x v="3"/>
    <x v="4"/>
    <n v="-106000000"/>
    <n v="106000000"/>
  </r>
  <r>
    <s v="Sweden"/>
    <s v="SWE"/>
    <x v="23"/>
    <n v="892000000"/>
    <n v="165000000"/>
    <x v="1"/>
    <x v="3"/>
    <n v="727000000"/>
    <n v="1057000000"/>
  </r>
  <r>
    <s v="Switzerland"/>
    <s v="CHE"/>
    <x v="23"/>
    <n v="219000000"/>
    <n v="60000000"/>
    <x v="1"/>
    <x v="3"/>
    <n v="159000000"/>
    <n v="279000000"/>
  </r>
  <r>
    <s v="Syrian Arab Republic"/>
    <s v="SYR"/>
    <x v="23"/>
    <n v="0"/>
    <n v="23000000"/>
    <x v="2"/>
    <x v="4"/>
    <n v="-23000000"/>
    <n v="23000000"/>
  </r>
  <r>
    <s v="Thailand"/>
    <s v="THA"/>
    <x v="23"/>
    <n v="0"/>
    <n v="109000000"/>
    <x v="5"/>
    <x v="1"/>
    <n v="-109000000"/>
    <n v="109000000"/>
  </r>
  <r>
    <s v="Trinidad and Tobago"/>
    <s v="TTO"/>
    <x v="23"/>
    <n v="0"/>
    <n v="0"/>
    <x v="4"/>
    <x v="3"/>
    <n v="0"/>
    <n v="0"/>
  </r>
  <r>
    <s v="Turkiye"/>
    <s v="TUR"/>
    <x v="23"/>
    <n v="5000000"/>
    <n v="501000000"/>
    <x v="1"/>
    <x v="1"/>
    <n v="-496000000"/>
    <n v="506000000"/>
  </r>
  <r>
    <s v="Ukraine"/>
    <s v="UKR"/>
    <x v="23"/>
    <n v="555000000"/>
    <n v="0"/>
    <x v="1"/>
    <x v="1"/>
    <n v="555000000"/>
    <n v="555000000"/>
  </r>
  <r>
    <s v="United Arab Emirates"/>
    <s v="ARE"/>
    <x v="23"/>
    <n v="0"/>
    <n v="186000000"/>
    <x v="2"/>
    <x v="3"/>
    <n v="-186000000"/>
    <n v="186000000"/>
  </r>
  <r>
    <s v="United Kingdom"/>
    <s v="GBR"/>
    <x v="23"/>
    <n v="1352000000"/>
    <n v="1287000000"/>
    <x v="1"/>
    <x v="3"/>
    <n v="65000000"/>
    <n v="2639000000"/>
  </r>
  <r>
    <s v="United States"/>
    <s v="USA"/>
    <x v="23"/>
    <n v="5591000000"/>
    <n v="508000000"/>
    <x v="7"/>
    <x v="3"/>
    <n v="5083000000"/>
    <n v="6099000000"/>
  </r>
  <r>
    <s v="Upper middle income"/>
    <s v="UMC"/>
    <x v="23"/>
    <n v="0"/>
    <n v="6366000000"/>
    <x v="0"/>
    <x v="0"/>
    <n v="-6366000000"/>
    <n v="6366000000"/>
  </r>
  <r>
    <s v="Uzbekistan"/>
    <s v="UZB"/>
    <x v="23"/>
    <n v="0"/>
    <n v="8000000"/>
    <x v="1"/>
    <x v="2"/>
    <n v="-8000000"/>
    <n v="8000000"/>
  </r>
  <r>
    <s v="Venezuela, RB"/>
    <s v="VEN"/>
    <x v="23"/>
    <n v="0"/>
    <n v="106000000"/>
    <x v="4"/>
    <x v="2"/>
    <n v="-106000000"/>
    <n v="106000000"/>
  </r>
  <r>
    <s v="Viet Nam"/>
    <s v="VNM"/>
    <x v="23"/>
    <n v="0"/>
    <n v="97000000"/>
    <x v="5"/>
    <x v="1"/>
    <n v="-97000000"/>
    <n v="97000000"/>
  </r>
  <r>
    <s v="World"/>
    <s v="WLD"/>
    <x v="23"/>
    <n v="18495000000"/>
    <n v="18266000000"/>
    <x v="0"/>
    <x v="0"/>
    <n v="229000000"/>
    <n v="36761000000"/>
  </r>
  <r>
    <s v="Yemen, Rep."/>
    <s v="YEM"/>
    <x v="23"/>
    <n v="0"/>
    <n v="70000000"/>
    <x v="2"/>
    <x v="4"/>
    <n v="-70000000"/>
    <n v="70000000"/>
  </r>
  <r>
    <s v="Zimbabwe"/>
    <s v="ZWE"/>
    <x v="23"/>
    <n v="4000000"/>
    <n v="10000000"/>
    <x v="3"/>
    <x v="2"/>
    <n v="-6000000"/>
    <n v="14000000"/>
  </r>
  <r>
    <s v="Africa Eastern and Southern"/>
    <s v="AFE"/>
    <x v="24"/>
    <n v="0"/>
    <n v="522000000"/>
    <x v="0"/>
    <x v="0"/>
    <n v="-522000000"/>
    <n v="522000000"/>
  </r>
  <r>
    <s v="Africa Western and Central"/>
    <s v="AFW"/>
    <x v="24"/>
    <n v="0"/>
    <n v="111000000"/>
    <x v="0"/>
    <x v="0"/>
    <n v="-111000000"/>
    <n v="111000000"/>
  </r>
  <r>
    <s v="Algeria"/>
    <s v="DZA"/>
    <x v="24"/>
    <n v="0"/>
    <n v="405000000"/>
    <x v="2"/>
    <x v="1"/>
    <n v="-405000000"/>
    <n v="405000000"/>
  </r>
  <r>
    <s v="Angola"/>
    <s v="AGO"/>
    <x v="24"/>
    <n v="0"/>
    <n v="149000000"/>
    <x v="3"/>
    <x v="2"/>
    <n v="-149000000"/>
    <n v="149000000"/>
  </r>
  <r>
    <s v="Arab World"/>
    <s v="ARB"/>
    <x v="24"/>
    <n v="0"/>
    <n v="2744000000"/>
    <x v="0"/>
    <x v="0"/>
    <n v="-2744000000"/>
    <n v="2744000000"/>
  </r>
  <r>
    <s v="Argentina"/>
    <s v="ARG"/>
    <x v="24"/>
    <n v="2000000"/>
    <n v="208000000"/>
    <x v="4"/>
    <x v="1"/>
    <n v="-206000000"/>
    <n v="210000000"/>
  </r>
  <r>
    <s v="Australia"/>
    <s v="AUS"/>
    <x v="24"/>
    <n v="0"/>
    <n v="326000000"/>
    <x v="5"/>
    <x v="3"/>
    <n v="-326000000"/>
    <n v="326000000"/>
  </r>
  <r>
    <s v="Austria"/>
    <s v="AUT"/>
    <x v="24"/>
    <n v="23000000"/>
    <n v="25000000"/>
    <x v="1"/>
    <x v="3"/>
    <n v="-2000000"/>
    <n v="48000000"/>
  </r>
  <r>
    <s v="Azerbaijan"/>
    <s v="AZE"/>
    <x v="24"/>
    <n v="0"/>
    <n v="3000000"/>
    <x v="1"/>
    <x v="1"/>
    <n v="-3000000"/>
    <n v="3000000"/>
  </r>
  <r>
    <s v="Bahamas, The"/>
    <s v="BHS"/>
    <x v="24"/>
    <n v="0"/>
    <n v="33000000"/>
    <x v="4"/>
    <x v="3"/>
    <n v="-33000000"/>
    <n v="33000000"/>
  </r>
  <r>
    <s v="Bahrain"/>
    <s v="BHR"/>
    <x v="24"/>
    <n v="0"/>
    <n v="299000000"/>
    <x v="2"/>
    <x v="3"/>
    <n v="-299000000"/>
    <n v="299000000"/>
  </r>
  <r>
    <s v="Bangladesh"/>
    <s v="BGD"/>
    <x v="24"/>
    <n v="0"/>
    <n v="200000000"/>
    <x v="6"/>
    <x v="2"/>
    <n v="-200000000"/>
    <n v="200000000"/>
  </r>
  <r>
    <s v="Belarus"/>
    <s v="BLR"/>
    <x v="24"/>
    <n v="293000000"/>
    <n v="0"/>
    <x v="1"/>
    <x v="1"/>
    <n v="293000000"/>
    <n v="293000000"/>
  </r>
  <r>
    <s v="Belgium"/>
    <s v="BEL"/>
    <x v="24"/>
    <n v="46000000"/>
    <n v="36000000"/>
    <x v="1"/>
    <x v="3"/>
    <n v="10000000"/>
    <n v="82000000"/>
  </r>
  <r>
    <s v="Belize"/>
    <s v="BLZ"/>
    <x v="24"/>
    <n v="0"/>
    <n v="1000000"/>
    <x v="4"/>
    <x v="1"/>
    <n v="-1000000"/>
    <n v="1000000"/>
  </r>
  <r>
    <s v="Bolivia"/>
    <s v="BOL"/>
    <x v="24"/>
    <n v="0"/>
    <n v="19000000"/>
    <x v="4"/>
    <x v="2"/>
    <n v="-19000000"/>
    <n v="19000000"/>
  </r>
  <r>
    <s v="Botswana"/>
    <s v="BWA"/>
    <x v="24"/>
    <n v="0"/>
    <n v="54000000"/>
    <x v="3"/>
    <x v="1"/>
    <n v="-54000000"/>
    <n v="54000000"/>
  </r>
  <r>
    <s v="Brazil"/>
    <s v="BRA"/>
    <x v="24"/>
    <n v="0"/>
    <n v="86000000"/>
    <x v="4"/>
    <x v="1"/>
    <n v="-86000000"/>
    <n v="86000000"/>
  </r>
  <r>
    <s v="Bulgaria"/>
    <s v="BGR"/>
    <x v="24"/>
    <n v="6000000"/>
    <n v="0"/>
    <x v="1"/>
    <x v="3"/>
    <n v="6000000"/>
    <n v="6000000"/>
  </r>
  <r>
    <s v="Cabo Verde"/>
    <s v="CPV"/>
    <x v="24"/>
    <n v="0"/>
    <n v="1000000"/>
    <x v="3"/>
    <x v="1"/>
    <n v="-1000000"/>
    <n v="1000000"/>
  </r>
  <r>
    <s v="Cambodia"/>
    <s v="KHM"/>
    <x v="24"/>
    <n v="1000000"/>
    <n v="0"/>
    <x v="5"/>
    <x v="2"/>
    <n v="1000000"/>
    <n v="1000000"/>
  </r>
  <r>
    <s v="Canada"/>
    <s v="CAN"/>
    <x v="24"/>
    <n v="69000000"/>
    <n v="529000000"/>
    <x v="7"/>
    <x v="3"/>
    <n v="-460000000"/>
    <n v="598000000"/>
  </r>
  <r>
    <s v="Central Europe and the Baltics"/>
    <s v="CEB"/>
    <x v="24"/>
    <n v="186000000"/>
    <n v="233000000"/>
    <x v="0"/>
    <x v="0"/>
    <n v="-47000000"/>
    <n v="419000000"/>
  </r>
  <r>
    <s v="Chile"/>
    <s v="CHL"/>
    <x v="24"/>
    <n v="1000000"/>
    <n v="230000000"/>
    <x v="4"/>
    <x v="3"/>
    <n v="-229000000"/>
    <n v="231000000"/>
  </r>
  <r>
    <s v="China"/>
    <s v="CHN"/>
    <x v="24"/>
    <n v="309000000"/>
    <n v="2473000000"/>
    <x v="5"/>
    <x v="1"/>
    <n v="-2164000000"/>
    <n v="2782000000"/>
  </r>
  <r>
    <s v="Colombia"/>
    <s v="COL"/>
    <x v="24"/>
    <n v="0"/>
    <n v="68000000"/>
    <x v="4"/>
    <x v="1"/>
    <n v="-68000000"/>
    <n v="68000000"/>
  </r>
  <r>
    <s v="Congo, Dem. Rep."/>
    <s v="COD"/>
    <x v="24"/>
    <n v="0"/>
    <n v="89000000"/>
    <x v="3"/>
    <x v="4"/>
    <n v="-89000000"/>
    <n v="89000000"/>
  </r>
  <r>
    <s v="Congo, Rep."/>
    <s v="COG"/>
    <x v="24"/>
    <n v="0"/>
    <n v="0"/>
    <x v="3"/>
    <x v="2"/>
    <n v="0"/>
    <n v="0"/>
  </r>
  <r>
    <s v="Cote d'Ivoire"/>
    <s v="CIV"/>
    <x v="24"/>
    <n v="0"/>
    <n v="0"/>
    <x v="3"/>
    <x v="2"/>
    <n v="0"/>
    <n v="0"/>
  </r>
  <r>
    <s v="Croatia"/>
    <s v="HRV"/>
    <x v="24"/>
    <n v="10000000"/>
    <n v="0"/>
    <x v="1"/>
    <x v="3"/>
    <n v="10000000"/>
    <n v="10000000"/>
  </r>
  <r>
    <s v="Cyprus"/>
    <s v="CYP"/>
    <x v="24"/>
    <n v="0"/>
    <n v="4000000"/>
    <x v="1"/>
    <x v="3"/>
    <n v="-4000000"/>
    <n v="4000000"/>
  </r>
  <r>
    <s v="Czechia"/>
    <s v="CZE"/>
    <x v="24"/>
    <n v="83000000"/>
    <n v="13000000"/>
    <x v="1"/>
    <x v="3"/>
    <n v="70000000"/>
    <n v="96000000"/>
  </r>
  <r>
    <s v="Denmark"/>
    <s v="DNK"/>
    <x v="24"/>
    <n v="18000000"/>
    <n v="50000000"/>
    <x v="1"/>
    <x v="3"/>
    <n v="-32000000"/>
    <n v="68000000"/>
  </r>
  <r>
    <s v="Djibouti"/>
    <s v="DJI"/>
    <x v="24"/>
    <n v="0"/>
    <n v="1000000"/>
    <x v="2"/>
    <x v="2"/>
    <n v="-1000000"/>
    <n v="1000000"/>
  </r>
  <r>
    <s v="Dominican Republic"/>
    <s v="DOM"/>
    <x v="24"/>
    <n v="0"/>
    <n v="13000000"/>
    <x v="4"/>
    <x v="1"/>
    <n v="-13000000"/>
    <n v="13000000"/>
  </r>
  <r>
    <s v="Early-demographic dividend"/>
    <s v="EAR"/>
    <x v="24"/>
    <n v="0"/>
    <n v="6325000000"/>
    <x v="0"/>
    <x v="0"/>
    <n v="-6325000000"/>
    <n v="6325000000"/>
  </r>
  <r>
    <s v="East Asia &amp; Pacific"/>
    <s v="EAS"/>
    <x v="24"/>
    <n v="0"/>
    <n v="6434000000"/>
    <x v="0"/>
    <x v="0"/>
    <n v="-6434000000"/>
    <n v="6434000000"/>
  </r>
  <r>
    <s v="East Asia &amp; Pacific (excluding high income)"/>
    <s v="EAP"/>
    <x v="24"/>
    <n v="0"/>
    <n v="2844000000"/>
    <x v="0"/>
    <x v="0"/>
    <n v="-2844000000"/>
    <n v="2844000000"/>
  </r>
  <r>
    <s v="East Asia &amp; Pacific (IDA &amp; IBRD countries)"/>
    <s v="TEA"/>
    <x v="24"/>
    <n v="0"/>
    <n v="2781000000"/>
    <x v="0"/>
    <x v="0"/>
    <n v="-2781000000"/>
    <n v="2781000000"/>
  </r>
  <r>
    <s v="Ecuador"/>
    <s v="ECU"/>
    <x v="24"/>
    <n v="0"/>
    <n v="9000000"/>
    <x v="4"/>
    <x v="1"/>
    <n v="-9000000"/>
    <n v="9000000"/>
  </r>
  <r>
    <s v="Egypt, Arab Rep."/>
    <s v="EGY"/>
    <x v="24"/>
    <n v="0"/>
    <n v="833000000"/>
    <x v="2"/>
    <x v="2"/>
    <n v="-833000000"/>
    <n v="833000000"/>
  </r>
  <r>
    <s v="Eritrea"/>
    <s v="ERI"/>
    <x v="24"/>
    <n v="0"/>
    <n v="20000000"/>
    <x v="3"/>
    <x v="4"/>
    <n v="-20000000"/>
    <n v="20000000"/>
  </r>
  <r>
    <s v="Estonia"/>
    <s v="EST"/>
    <x v="24"/>
    <n v="0"/>
    <n v="27000000"/>
    <x v="1"/>
    <x v="3"/>
    <n v="-27000000"/>
    <n v="27000000"/>
  </r>
  <r>
    <s v="Eswatini"/>
    <s v="SWZ"/>
    <x v="24"/>
    <n v="0"/>
    <n v="1000000"/>
    <x v="3"/>
    <x v="2"/>
    <n v="-1000000"/>
    <n v="1000000"/>
  </r>
  <r>
    <s v="Ethiopia"/>
    <s v="ETH"/>
    <x v="24"/>
    <n v="0"/>
    <n v="114000000"/>
    <x v="3"/>
    <x v="4"/>
    <n v="-114000000"/>
    <n v="114000000"/>
  </r>
  <r>
    <s v="Euro area"/>
    <s v="EMU"/>
    <x v="24"/>
    <n v="3307000000"/>
    <n v="2236000000"/>
    <x v="0"/>
    <x v="0"/>
    <n v="1071000000"/>
    <n v="5543000000"/>
  </r>
  <r>
    <s v="Europe &amp; Central Asia"/>
    <s v="ECS"/>
    <x v="24"/>
    <n v="11901000000"/>
    <n v="6338000000"/>
    <x v="0"/>
    <x v="0"/>
    <n v="5563000000"/>
    <n v="18239000000"/>
  </r>
  <r>
    <s v="Europe &amp; Central Asia (excluding high income)"/>
    <s v="ECA"/>
    <x v="24"/>
    <n v="1831000000"/>
    <n v="1329000000"/>
    <x v="0"/>
    <x v="0"/>
    <n v="502000000"/>
    <n v="3160000000"/>
  </r>
  <r>
    <s v="Europe &amp; Central Asia (IDA &amp; IBRD countries)"/>
    <s v="TEC"/>
    <x v="24"/>
    <n v="6393000000"/>
    <n v="2643000000"/>
    <x v="0"/>
    <x v="0"/>
    <n v="3750000000"/>
    <n v="9036000000"/>
  </r>
  <r>
    <s v="European Union"/>
    <s v="EUU"/>
    <x v="24"/>
    <n v="3813000000"/>
    <n v="2676000000"/>
    <x v="0"/>
    <x v="0"/>
    <n v="1137000000"/>
    <n v="6489000000"/>
  </r>
  <r>
    <s v="Finland"/>
    <s v="FIN"/>
    <x v="24"/>
    <n v="12000000"/>
    <n v="472000000"/>
    <x v="1"/>
    <x v="3"/>
    <n v="-460000000"/>
    <n v="484000000"/>
  </r>
  <r>
    <s v="Fragility, Conflict, and Violence (FCV) situations"/>
    <s v="FCV"/>
    <x v="24"/>
    <n v="1424000000"/>
    <n v="0"/>
    <x v="0"/>
    <x v="0"/>
    <n v="1424000000"/>
    <n v="1424000000"/>
  </r>
  <r>
    <s v="France"/>
    <s v="FRA"/>
    <x v="24"/>
    <n v="966000000"/>
    <n v="98000000"/>
    <x v="1"/>
    <x v="3"/>
    <n v="868000000"/>
    <n v="1064000000"/>
  </r>
  <r>
    <s v="Georgia"/>
    <s v="GEO"/>
    <x v="24"/>
    <n v="69000000"/>
    <n v="6000000"/>
    <x v="1"/>
    <x v="1"/>
    <n v="63000000"/>
    <n v="75000000"/>
  </r>
  <r>
    <s v="Germany"/>
    <s v="DEU"/>
    <x v="24"/>
    <n v="1672000000"/>
    <n v="113000000"/>
    <x v="1"/>
    <x v="3"/>
    <n v="1559000000"/>
    <n v="1785000000"/>
  </r>
  <r>
    <s v="Ghana"/>
    <s v="GHA"/>
    <x v="24"/>
    <n v="0"/>
    <n v="1000000"/>
    <x v="3"/>
    <x v="2"/>
    <n v="-1000000"/>
    <n v="1000000"/>
  </r>
  <r>
    <s v="Greece"/>
    <s v="GRC"/>
    <x v="24"/>
    <n v="2000000"/>
    <n v="731000000"/>
    <x v="1"/>
    <x v="3"/>
    <n v="-729000000"/>
    <n v="733000000"/>
  </r>
  <r>
    <s v="Guinea"/>
    <s v="GIN"/>
    <x v="24"/>
    <n v="0"/>
    <n v="26000000"/>
    <x v="3"/>
    <x v="2"/>
    <n v="-26000000"/>
    <n v="26000000"/>
  </r>
  <r>
    <s v="High income"/>
    <s v="HIC"/>
    <x v="24"/>
    <n v="18275000000"/>
    <n v="11125000000"/>
    <x v="0"/>
    <x v="0"/>
    <n v="7150000000"/>
    <n v="29400000000"/>
  </r>
  <r>
    <s v="Hungary"/>
    <s v="HUN"/>
    <x v="24"/>
    <n v="0"/>
    <n v="14000000"/>
    <x v="1"/>
    <x v="3"/>
    <n v="-14000000"/>
    <n v="14000000"/>
  </r>
  <r>
    <s v="IBRD only"/>
    <s v="IBD"/>
    <x v="24"/>
    <n v="0"/>
    <n v="9512000000"/>
    <x v="0"/>
    <x v="0"/>
    <n v="-9512000000"/>
    <n v="9512000000"/>
  </r>
  <r>
    <s v="IDA &amp; IBRD total"/>
    <s v="IBT"/>
    <x v="24"/>
    <n v="0"/>
    <n v="10839000000"/>
    <x v="0"/>
    <x v="0"/>
    <n v="-10839000000"/>
    <n v="10839000000"/>
  </r>
  <r>
    <s v="IDA blend"/>
    <s v="IDB"/>
    <x v="24"/>
    <n v="4000000"/>
    <n v="239000000"/>
    <x v="0"/>
    <x v="0"/>
    <n v="-235000000"/>
    <n v="243000000"/>
  </r>
  <r>
    <s v="IDA total"/>
    <s v="IDA"/>
    <x v="24"/>
    <n v="0"/>
    <n v="1327000000"/>
    <x v="0"/>
    <x v="0"/>
    <n v="-1327000000"/>
    <n v="1327000000"/>
  </r>
  <r>
    <s v="India"/>
    <s v="IND"/>
    <x v="24"/>
    <n v="21000000"/>
    <n v="988000000"/>
    <x v="6"/>
    <x v="2"/>
    <n v="-967000000"/>
    <n v="1009000000"/>
  </r>
  <r>
    <s v="Indonesia"/>
    <s v="IDN"/>
    <x v="24"/>
    <n v="0"/>
    <n v="171000000"/>
    <x v="5"/>
    <x v="1"/>
    <n v="-171000000"/>
    <n v="171000000"/>
  </r>
  <r>
    <s v="Iran, Islamic Rep."/>
    <s v="IRN"/>
    <x v="24"/>
    <n v="0"/>
    <n v="417000000"/>
    <x v="2"/>
    <x v="1"/>
    <n v="-417000000"/>
    <n v="417000000"/>
  </r>
  <r>
    <s v="Ireland"/>
    <s v="IRL"/>
    <x v="24"/>
    <n v="0"/>
    <n v="0"/>
    <x v="1"/>
    <x v="3"/>
    <n v="0"/>
    <n v="0"/>
  </r>
  <r>
    <s v="Israel"/>
    <s v="ISR"/>
    <x v="24"/>
    <n v="407000000"/>
    <n v="389000000"/>
    <x v="2"/>
    <x v="3"/>
    <n v="18000000"/>
    <n v="796000000"/>
  </r>
  <r>
    <s v="Italy"/>
    <s v="ITA"/>
    <x v="24"/>
    <n v="205000000"/>
    <n v="278000000"/>
    <x v="1"/>
    <x v="3"/>
    <n v="-73000000"/>
    <n v="483000000"/>
  </r>
  <r>
    <s v="Japan"/>
    <s v="JPN"/>
    <x v="24"/>
    <n v="0"/>
    <n v="497000000"/>
    <x v="5"/>
    <x v="3"/>
    <n v="-497000000"/>
    <n v="497000000"/>
  </r>
  <r>
    <s v="Jordan"/>
    <s v="JOR"/>
    <x v="24"/>
    <n v="0"/>
    <n v="139000000"/>
    <x v="2"/>
    <x v="1"/>
    <n v="-139000000"/>
    <n v="139000000"/>
  </r>
  <r>
    <s v="Kazakhstan"/>
    <s v="KAZ"/>
    <x v="24"/>
    <n v="19000000"/>
    <n v="121000000"/>
    <x v="1"/>
    <x v="1"/>
    <n v="-102000000"/>
    <n v="140000000"/>
  </r>
  <r>
    <s v="Kenya"/>
    <s v="KEN"/>
    <x v="24"/>
    <n v="0"/>
    <n v="15000000"/>
    <x v="3"/>
    <x v="2"/>
    <n v="-15000000"/>
    <n v="15000000"/>
  </r>
  <r>
    <s v="Korea, Dem. People's Rep."/>
    <s v="PRK"/>
    <x v="24"/>
    <n v="40000000"/>
    <n v="63000000"/>
    <x v="5"/>
    <x v="4"/>
    <n v="-23000000"/>
    <n v="103000000"/>
  </r>
  <r>
    <s v="Korea, Rep."/>
    <s v="KOR"/>
    <x v="24"/>
    <n v="36000000"/>
    <n v="1393000000"/>
    <x v="5"/>
    <x v="3"/>
    <n v="-1357000000"/>
    <n v="1429000000"/>
  </r>
  <r>
    <s v="Kuwait"/>
    <s v="KWT"/>
    <x v="24"/>
    <n v="0"/>
    <n v="226000000"/>
    <x v="2"/>
    <x v="3"/>
    <n v="-226000000"/>
    <n v="226000000"/>
  </r>
  <r>
    <s v="Lao PDR"/>
    <s v="LAO"/>
    <x v="24"/>
    <n v="0"/>
    <n v="7000000"/>
    <x v="5"/>
    <x v="2"/>
    <n v="-7000000"/>
    <n v="7000000"/>
  </r>
  <r>
    <s v="Late-demographic dividend"/>
    <s v="LTE"/>
    <x v="24"/>
    <n v="0"/>
    <n v="5598000000"/>
    <x v="0"/>
    <x v="0"/>
    <n v="-5598000000"/>
    <n v="5598000000"/>
  </r>
  <r>
    <s v="Latin America &amp; Caribbean"/>
    <s v="LCN"/>
    <x v="24"/>
    <n v="0"/>
    <n v="1025000000"/>
    <x v="0"/>
    <x v="0"/>
    <n v="-1025000000"/>
    <n v="1025000000"/>
  </r>
  <r>
    <s v="Latin America &amp; Caribbean (excluding high income)"/>
    <s v="LAC"/>
    <x v="24"/>
    <n v="0"/>
    <n v="747000000"/>
    <x v="0"/>
    <x v="0"/>
    <n v="-747000000"/>
    <n v="747000000"/>
  </r>
  <r>
    <s v="Latin America &amp; the Caribbean (IDA &amp; IBRD countries)"/>
    <s v="TLA"/>
    <x v="24"/>
    <n v="0"/>
    <n v="992000000"/>
    <x v="0"/>
    <x v="0"/>
    <n v="-992000000"/>
    <n v="992000000"/>
  </r>
  <r>
    <s v="Latvia"/>
    <s v="LVA"/>
    <x v="24"/>
    <n v="0"/>
    <n v="3000000"/>
    <x v="1"/>
    <x v="3"/>
    <n v="-3000000"/>
    <n v="3000000"/>
  </r>
  <r>
    <s v="Lebanon"/>
    <s v="LBN"/>
    <x v="24"/>
    <n v="0"/>
    <n v="4000000"/>
    <x v="2"/>
    <x v="2"/>
    <n v="-4000000"/>
    <n v="4000000"/>
  </r>
  <r>
    <s v="Liberia"/>
    <s v="LBR"/>
    <x v="24"/>
    <n v="0"/>
    <n v="9000000"/>
    <x v="3"/>
    <x v="4"/>
    <n v="-9000000"/>
    <n v="9000000"/>
  </r>
  <r>
    <s v="Lithuania"/>
    <s v="LTU"/>
    <x v="24"/>
    <n v="0"/>
    <n v="6000000"/>
    <x v="1"/>
    <x v="3"/>
    <n v="-6000000"/>
    <n v="6000000"/>
  </r>
  <r>
    <s v="Low &amp; middle income"/>
    <s v="LMY"/>
    <x v="24"/>
    <n v="0"/>
    <n v="9343000000"/>
    <x v="0"/>
    <x v="0"/>
    <n v="-9343000000"/>
    <n v="9343000000"/>
  </r>
  <r>
    <s v="Low income"/>
    <s v="LIC"/>
    <x v="24"/>
    <n v="0"/>
    <n v="530000000"/>
    <x v="0"/>
    <x v="0"/>
    <n v="-530000000"/>
    <n v="530000000"/>
  </r>
  <r>
    <s v="Lower middle income"/>
    <s v="LMC"/>
    <x v="24"/>
    <n v="0"/>
    <n v="2790000000"/>
    <x v="0"/>
    <x v="0"/>
    <n v="-2790000000"/>
    <n v="2790000000"/>
  </r>
  <r>
    <s v="Malawi"/>
    <s v="MWI"/>
    <x v="24"/>
    <n v="1000000"/>
    <n v="0"/>
    <x v="3"/>
    <x v="4"/>
    <n v="1000000"/>
    <n v="1000000"/>
  </r>
  <r>
    <s v="Malaysia"/>
    <s v="MYS"/>
    <x v="24"/>
    <n v="0"/>
    <n v="26000000"/>
    <x v="5"/>
    <x v="1"/>
    <n v="-26000000"/>
    <n v="26000000"/>
  </r>
  <r>
    <s v="Mali"/>
    <s v="MLI"/>
    <x v="24"/>
    <n v="0"/>
    <n v="7000000"/>
    <x v="3"/>
    <x v="4"/>
    <n v="-7000000"/>
    <n v="7000000"/>
  </r>
  <r>
    <s v="Malta"/>
    <s v="MLT"/>
    <x v="24"/>
    <n v="0"/>
    <n v="0"/>
    <x v="2"/>
    <x v="3"/>
    <n v="0"/>
    <n v="0"/>
  </r>
  <r>
    <s v="Mauritania"/>
    <s v="MRT"/>
    <x v="24"/>
    <n v="0"/>
    <n v="31000000"/>
    <x v="3"/>
    <x v="2"/>
    <n v="-31000000"/>
    <n v="31000000"/>
  </r>
  <r>
    <s v="Mexico"/>
    <s v="MEX"/>
    <x v="24"/>
    <n v="0"/>
    <n v="215000000"/>
    <x v="4"/>
    <x v="1"/>
    <n v="-215000000"/>
    <n v="215000000"/>
  </r>
  <r>
    <s v="Middle East, North Africa, Afghanistan &amp; Pakistan"/>
    <s v="MEA"/>
    <x v="24"/>
    <n v="0"/>
    <n v="3694000000"/>
    <x v="0"/>
    <x v="0"/>
    <n v="-3694000000"/>
    <n v="3694000000"/>
  </r>
  <r>
    <s v="Middle East, North Africa, Afghanistan &amp; Pakistan (excluding high income)"/>
    <s v="MNA"/>
    <x v="24"/>
    <n v="0"/>
    <n v="2308000000"/>
    <x v="0"/>
    <x v="0"/>
    <n v="-2308000000"/>
    <n v="2308000000"/>
  </r>
  <r>
    <s v="Middle East, North Africa, Afghanistan &amp; Pakistan (IDA &amp; IBRD)"/>
    <s v="TMN"/>
    <x v="24"/>
    <n v="0"/>
    <n v="2308000000"/>
    <x v="0"/>
    <x v="0"/>
    <n v="-2308000000"/>
    <n v="2308000000"/>
  </r>
  <r>
    <s v="Middle income"/>
    <s v="MIC"/>
    <x v="24"/>
    <n v="0"/>
    <n v="8813000000"/>
    <x v="0"/>
    <x v="0"/>
    <n v="-8813000000"/>
    <n v="8813000000"/>
  </r>
  <r>
    <s v="Moldova"/>
    <s v="MDA"/>
    <x v="24"/>
    <n v="5000000"/>
    <n v="0"/>
    <x v="1"/>
    <x v="1"/>
    <n v="5000000"/>
    <n v="5000000"/>
  </r>
  <r>
    <s v="Morocco"/>
    <s v="MAR"/>
    <x v="24"/>
    <n v="0"/>
    <n v="127000000"/>
    <x v="2"/>
    <x v="2"/>
    <n v="-127000000"/>
    <n v="127000000"/>
  </r>
  <r>
    <s v="Myanmar"/>
    <s v="MMR"/>
    <x v="24"/>
    <n v="0"/>
    <n v="16000000"/>
    <x v="5"/>
    <x v="2"/>
    <n v="-16000000"/>
    <n v="16000000"/>
  </r>
  <r>
    <s v="Netherlands"/>
    <s v="NLD"/>
    <x v="24"/>
    <n v="281000000"/>
    <n v="123000000"/>
    <x v="1"/>
    <x v="3"/>
    <n v="158000000"/>
    <n v="404000000"/>
  </r>
  <r>
    <s v="New Zealand"/>
    <s v="NZL"/>
    <x v="24"/>
    <n v="1000000"/>
    <n v="0"/>
    <x v="5"/>
    <x v="3"/>
    <n v="1000000"/>
    <n v="1000000"/>
  </r>
  <r>
    <s v="Nigeria"/>
    <s v="NGA"/>
    <x v="24"/>
    <n v="0"/>
    <n v="36000000"/>
    <x v="3"/>
    <x v="2"/>
    <n v="-36000000"/>
    <n v="36000000"/>
  </r>
  <r>
    <s v="North America"/>
    <s v="NAC"/>
    <x v="24"/>
    <n v="7747000000"/>
    <n v="862000000"/>
    <x v="0"/>
    <x v="0"/>
    <n v="6885000000"/>
    <n v="8609000000"/>
  </r>
  <r>
    <s v="North Macedonia"/>
    <s v="MKD"/>
    <x v="24"/>
    <n v="0"/>
    <n v="17000000"/>
    <x v="1"/>
    <x v="1"/>
    <n v="-17000000"/>
    <n v="17000000"/>
  </r>
  <r>
    <s v="Norway"/>
    <s v="NOR"/>
    <x v="24"/>
    <n v="2000000"/>
    <n v="234000000"/>
    <x v="1"/>
    <x v="3"/>
    <n v="-232000000"/>
    <n v="236000000"/>
  </r>
  <r>
    <s v="OECD members"/>
    <s v="OED"/>
    <x v="24"/>
    <n v="13768000000"/>
    <n v="8998000000"/>
    <x v="0"/>
    <x v="0"/>
    <n v="4770000000"/>
    <n v="22766000000"/>
  </r>
  <r>
    <s v="Oman"/>
    <s v="OMN"/>
    <x v="24"/>
    <n v="0"/>
    <n v="121000000"/>
    <x v="2"/>
    <x v="3"/>
    <n v="-121000000"/>
    <n v="121000000"/>
  </r>
  <r>
    <s v="Other small states"/>
    <s v="OSS"/>
    <x v="24"/>
    <n v="0"/>
    <n v="34000000"/>
    <x v="0"/>
    <x v="0"/>
    <n v="-34000000"/>
    <n v="34000000"/>
  </r>
  <r>
    <s v="Pakistan"/>
    <s v="PAK"/>
    <x v="24"/>
    <n v="4000000"/>
    <n v="175000000"/>
    <x v="2"/>
    <x v="2"/>
    <n v="-171000000"/>
    <n v="179000000"/>
  </r>
  <r>
    <s v="Peru"/>
    <s v="PER"/>
    <x v="24"/>
    <n v="0"/>
    <n v="18000000"/>
    <x v="4"/>
    <x v="1"/>
    <n v="-18000000"/>
    <n v="18000000"/>
  </r>
  <r>
    <s v="Poland"/>
    <s v="POL"/>
    <x v="24"/>
    <n v="47000000"/>
    <n v="146000000"/>
    <x v="1"/>
    <x v="3"/>
    <n v="-99000000"/>
    <n v="193000000"/>
  </r>
  <r>
    <s v="Portugal"/>
    <s v="PRT"/>
    <x v="24"/>
    <n v="0"/>
    <n v="2000000"/>
    <x v="1"/>
    <x v="3"/>
    <n v="-2000000"/>
    <n v="2000000"/>
  </r>
  <r>
    <s v="Post-demographic dividend"/>
    <s v="PST"/>
    <x v="24"/>
    <n v="15000000000"/>
    <n v="7520000000"/>
    <x v="0"/>
    <x v="0"/>
    <n v="7480000000"/>
    <n v="22520000000"/>
  </r>
  <r>
    <s v="Pre-demographic dividend"/>
    <s v="PRE"/>
    <x v="24"/>
    <n v="0"/>
    <n v="433000000"/>
    <x v="0"/>
    <x v="0"/>
    <n v="-433000000"/>
    <n v="433000000"/>
  </r>
  <r>
    <s v="Qatar"/>
    <s v="QAT"/>
    <x v="24"/>
    <n v="0"/>
    <n v="3000000"/>
    <x v="2"/>
    <x v="3"/>
    <n v="-3000000"/>
    <n v="3000000"/>
  </r>
  <r>
    <s v="Romania"/>
    <s v="ROU"/>
    <x v="24"/>
    <n v="3000000"/>
    <n v="21000000"/>
    <x v="1"/>
    <x v="3"/>
    <n v="-18000000"/>
    <n v="24000000"/>
  </r>
  <r>
    <s v="Russian Federation"/>
    <s v="RUS"/>
    <x v="24"/>
    <n v="4496000000"/>
    <n v="1147000000"/>
    <x v="1"/>
    <x v="3"/>
    <n v="3349000000"/>
    <n v="5643000000"/>
  </r>
  <r>
    <s v="Rwanda"/>
    <s v="RWA"/>
    <x v="24"/>
    <n v="0"/>
    <n v="15000000"/>
    <x v="3"/>
    <x v="4"/>
    <n v="-15000000"/>
    <n v="15000000"/>
  </r>
  <r>
    <s v="Saudi Arabia"/>
    <s v="SAU"/>
    <x v="24"/>
    <n v="0"/>
    <n v="104000000"/>
    <x v="2"/>
    <x v="3"/>
    <n v="-104000000"/>
    <n v="104000000"/>
  </r>
  <r>
    <s v="Serbia"/>
    <s v="SRB"/>
    <x v="24"/>
    <n v="0"/>
    <n v="1000000"/>
    <x v="1"/>
    <x v="1"/>
    <n v="-1000000"/>
    <n v="1000000"/>
  </r>
  <r>
    <s v="Singapore"/>
    <s v="SGP"/>
    <x v="24"/>
    <n v="12000000"/>
    <n v="782000000"/>
    <x v="5"/>
    <x v="3"/>
    <n v="-770000000"/>
    <n v="794000000"/>
  </r>
  <r>
    <s v="Slovak Republic"/>
    <s v="SVK"/>
    <x v="24"/>
    <n v="37000000"/>
    <n v="1000000"/>
    <x v="1"/>
    <x v="3"/>
    <n v="36000000"/>
    <n v="38000000"/>
  </r>
  <r>
    <s v="Slovenia"/>
    <s v="SVN"/>
    <x v="24"/>
    <n v="0"/>
    <n v="2000000"/>
    <x v="1"/>
    <x v="3"/>
    <n v="-2000000"/>
    <n v="2000000"/>
  </r>
  <r>
    <s v="South Africa"/>
    <s v="ZAF"/>
    <x v="24"/>
    <n v="21000000"/>
    <n v="6000000"/>
    <x v="3"/>
    <x v="1"/>
    <n v="15000000"/>
    <n v="27000000"/>
  </r>
  <r>
    <s v="South Asia"/>
    <s v="SAS"/>
    <x v="24"/>
    <n v="21000000"/>
    <n v="1482000000"/>
    <x v="0"/>
    <x v="0"/>
    <n v="-1461000000"/>
    <n v="1503000000"/>
  </r>
  <r>
    <s v="South Asia (IDA &amp; IBRD)"/>
    <s v="TSA"/>
    <x v="24"/>
    <n v="21000000"/>
    <n v="1482000000"/>
    <x v="0"/>
    <x v="0"/>
    <n v="-1461000000"/>
    <n v="1503000000"/>
  </r>
  <r>
    <s v="Spain"/>
    <s v="ESP"/>
    <x v="24"/>
    <n v="47000000"/>
    <n v="315000000"/>
    <x v="1"/>
    <x v="3"/>
    <n v="-268000000"/>
    <n v="362000000"/>
  </r>
  <r>
    <s v="Sri Lanka"/>
    <s v="LKA"/>
    <x v="24"/>
    <n v="0"/>
    <n v="294000000"/>
    <x v="6"/>
    <x v="1"/>
    <n v="-294000000"/>
    <n v="294000000"/>
  </r>
  <r>
    <s v="Sub-Saharan Africa"/>
    <s v="SSF"/>
    <x v="24"/>
    <n v="0"/>
    <n v="633000000"/>
    <x v="0"/>
    <x v="0"/>
    <n v="-633000000"/>
    <n v="633000000"/>
  </r>
  <r>
    <s v="Sub-Saharan Africa (excluding high income)"/>
    <s v="SSA"/>
    <x v="24"/>
    <n v="0"/>
    <n v="633000000"/>
    <x v="0"/>
    <x v="0"/>
    <n v="-633000000"/>
    <n v="633000000"/>
  </r>
  <r>
    <s v="Sub-Saharan Africa (IDA &amp; IBRD countries)"/>
    <s v="TSS"/>
    <x v="24"/>
    <n v="0"/>
    <n v="633000000"/>
    <x v="0"/>
    <x v="0"/>
    <n v="-633000000"/>
    <n v="633000000"/>
  </r>
  <r>
    <s v="Suriname"/>
    <s v="SUR"/>
    <x v="24"/>
    <n v="0"/>
    <n v="2000000"/>
    <x v="4"/>
    <x v="1"/>
    <n v="-2000000"/>
    <n v="2000000"/>
  </r>
  <r>
    <s v="Sweden"/>
    <s v="SWE"/>
    <x v="24"/>
    <n v="355000000"/>
    <n v="196000000"/>
    <x v="1"/>
    <x v="3"/>
    <n v="159000000"/>
    <n v="551000000"/>
  </r>
  <r>
    <s v="Switzerland"/>
    <s v="CHE"/>
    <x v="24"/>
    <n v="140000000"/>
    <n v="15000000"/>
    <x v="1"/>
    <x v="3"/>
    <n v="125000000"/>
    <n v="155000000"/>
  </r>
  <r>
    <s v="Syrian Arab Republic"/>
    <s v="SYR"/>
    <x v="24"/>
    <n v="0"/>
    <n v="49000000"/>
    <x v="2"/>
    <x v="4"/>
    <n v="-49000000"/>
    <n v="49000000"/>
  </r>
  <r>
    <s v="Tanzania"/>
    <s v="TZA"/>
    <x v="24"/>
    <n v="0"/>
    <n v="2000000"/>
    <x v="3"/>
    <x v="2"/>
    <n v="-2000000"/>
    <n v="2000000"/>
  </r>
  <r>
    <s v="Thailand"/>
    <s v="THA"/>
    <x v="24"/>
    <n v="0"/>
    <n v="77000000"/>
    <x v="5"/>
    <x v="1"/>
    <n v="-77000000"/>
    <n v="77000000"/>
  </r>
  <r>
    <s v="Trinidad and Tobago"/>
    <s v="TTO"/>
    <x v="24"/>
    <n v="0"/>
    <n v="11000000"/>
    <x v="4"/>
    <x v="3"/>
    <n v="-11000000"/>
    <n v="11000000"/>
  </r>
  <r>
    <s v="Turkiye"/>
    <s v="TUR"/>
    <x v="24"/>
    <n v="21000000"/>
    <n v="1181000000"/>
    <x v="1"/>
    <x v="1"/>
    <n v="-1160000000"/>
    <n v="1202000000"/>
  </r>
  <r>
    <s v="Uganda"/>
    <s v="UGA"/>
    <x v="24"/>
    <n v="0"/>
    <n v="6000000"/>
    <x v="3"/>
    <x v="4"/>
    <n v="-6000000"/>
    <n v="6000000"/>
  </r>
  <r>
    <s v="Ukraine"/>
    <s v="UKR"/>
    <x v="24"/>
    <n v="1424000000"/>
    <n v="0"/>
    <x v="1"/>
    <x v="1"/>
    <n v="1424000000"/>
    <n v="1424000000"/>
  </r>
  <r>
    <s v="United Arab Emirates"/>
    <s v="ARE"/>
    <x v="24"/>
    <n v="0"/>
    <n v="244000000"/>
    <x v="2"/>
    <x v="3"/>
    <n v="-244000000"/>
    <n v="244000000"/>
  </r>
  <r>
    <s v="United Kingdom"/>
    <s v="GBR"/>
    <x v="24"/>
    <n v="1619000000"/>
    <n v="937000000"/>
    <x v="1"/>
    <x v="3"/>
    <n v="682000000"/>
    <n v="2556000000"/>
  </r>
  <r>
    <s v="United States"/>
    <s v="USA"/>
    <x v="24"/>
    <n v="7678000000"/>
    <n v="333000000"/>
    <x v="7"/>
    <x v="3"/>
    <n v="7345000000"/>
    <n v="8011000000"/>
  </r>
  <r>
    <s v="Upper middle income"/>
    <s v="UMC"/>
    <x v="24"/>
    <n v="0"/>
    <n v="6023000000"/>
    <x v="0"/>
    <x v="0"/>
    <n v="-6023000000"/>
    <n v="6023000000"/>
  </r>
  <r>
    <s v="Uruguay"/>
    <s v="URY"/>
    <x v="24"/>
    <n v="1000000"/>
    <n v="4000000"/>
    <x v="4"/>
    <x v="3"/>
    <n v="-3000000"/>
    <n v="5000000"/>
  </r>
  <r>
    <s v="Venezuela, RB"/>
    <s v="VEN"/>
    <x v="24"/>
    <n v="0"/>
    <n v="108000000"/>
    <x v="4"/>
    <x v="2"/>
    <n v="-108000000"/>
    <n v="108000000"/>
  </r>
  <r>
    <s v="Viet Nam"/>
    <s v="VNM"/>
    <x v="24"/>
    <n v="0"/>
    <n v="11000000"/>
    <x v="5"/>
    <x v="1"/>
    <n v="-11000000"/>
    <n v="11000000"/>
  </r>
  <r>
    <s v="World"/>
    <s v="WLD"/>
    <x v="24"/>
    <n v="20518000000"/>
    <n v="20468000000"/>
    <x v="0"/>
    <x v="0"/>
    <n v="50000000"/>
    <n v="40986000000"/>
  </r>
  <r>
    <s v="Yemen, Rep."/>
    <s v="YEM"/>
    <x v="24"/>
    <n v="0"/>
    <n v="158000000"/>
    <x v="2"/>
    <x v="4"/>
    <n v="-158000000"/>
    <n v="158000000"/>
  </r>
  <r>
    <s v="Zambia"/>
    <s v="ZMB"/>
    <x v="24"/>
    <n v="0"/>
    <n v="43000000"/>
    <x v="3"/>
    <x v="2"/>
    <n v="-43000000"/>
    <n v="43000000"/>
  </r>
  <r>
    <s v="Zimbabwe"/>
    <s v="ZWE"/>
    <x v="24"/>
    <n v="0"/>
    <n v="8000000"/>
    <x v="3"/>
    <x v="2"/>
    <n v="-8000000"/>
    <n v="8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CCEAF7-6AE2-4CB9-A601-230361F150B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A10" firstHeaderRow="1" firstDataRow="3" firstDataCol="1" rowPageCount="1" colPageCount="1"/>
  <pivotFields count="9">
    <pivotField showAll="0"/>
    <pivotField showAll="0"/>
    <pivotField axis="axisCol" showAll="0">
      <items count="26">
        <item x="24"/>
        <item x="23"/>
        <item x="22"/>
        <item x="21"/>
        <item x="20"/>
        <item x="19"/>
        <item x="18"/>
        <item x="17"/>
        <item x="16"/>
        <item x="15"/>
        <item x="14"/>
        <item x="13"/>
        <item x="12"/>
        <item x="11"/>
        <item x="10"/>
        <item x="9"/>
        <item x="8"/>
        <item x="7"/>
        <item x="6"/>
        <item x="5"/>
        <item x="4"/>
        <item x="3"/>
        <item x="2"/>
        <item x="1"/>
        <item x="0"/>
        <item t="default"/>
      </items>
    </pivotField>
    <pivotField numFmtId="3" showAll="0"/>
    <pivotField numFmtId="3" showAll="0"/>
    <pivotField axis="axisPage" multipleItemSelectionAllowed="1" showAll="0">
      <items count="9">
        <item x="5"/>
        <item x="1"/>
        <item x="4"/>
        <item x="2"/>
        <item x="7"/>
        <item h="1" x="0"/>
        <item x="6"/>
        <item x="3"/>
        <item t="default"/>
      </items>
    </pivotField>
    <pivotField axis="axisRow" showAll="0">
      <items count="6">
        <item x="3"/>
        <item x="4"/>
        <item x="2"/>
        <item x="0"/>
        <item x="1"/>
        <item t="default"/>
      </items>
    </pivotField>
    <pivotField dataField="1" numFmtId="3" showAll="0"/>
    <pivotField dataField="1" numFmtId="3" showAll="0"/>
  </pivotFields>
  <rowFields count="1">
    <field x="6"/>
  </rowFields>
  <rowItems count="5">
    <i>
      <x/>
    </i>
    <i>
      <x v="1"/>
    </i>
    <i>
      <x v="2"/>
    </i>
    <i>
      <x v="4"/>
    </i>
    <i t="grand">
      <x/>
    </i>
  </rowItems>
  <colFields count="2">
    <field x="2"/>
    <field x="-2"/>
  </colFields>
  <colItems count="52">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x v="12"/>
      <x/>
    </i>
    <i r="1" i="1">
      <x v="1"/>
    </i>
    <i>
      <x v="13"/>
      <x/>
    </i>
    <i r="1" i="1">
      <x v="1"/>
    </i>
    <i>
      <x v="14"/>
      <x/>
    </i>
    <i r="1" i="1">
      <x v="1"/>
    </i>
    <i>
      <x v="15"/>
      <x/>
    </i>
    <i r="1" i="1">
      <x v="1"/>
    </i>
    <i>
      <x v="16"/>
      <x/>
    </i>
    <i r="1" i="1">
      <x v="1"/>
    </i>
    <i>
      <x v="17"/>
      <x/>
    </i>
    <i r="1" i="1">
      <x v="1"/>
    </i>
    <i>
      <x v="18"/>
      <x/>
    </i>
    <i r="1" i="1">
      <x v="1"/>
    </i>
    <i>
      <x v="19"/>
      <x/>
    </i>
    <i r="1" i="1">
      <x v="1"/>
    </i>
    <i>
      <x v="20"/>
      <x/>
    </i>
    <i r="1" i="1">
      <x v="1"/>
    </i>
    <i>
      <x v="21"/>
      <x/>
    </i>
    <i r="1" i="1">
      <x v="1"/>
    </i>
    <i>
      <x v="22"/>
      <x/>
    </i>
    <i r="1" i="1">
      <x v="1"/>
    </i>
    <i>
      <x v="23"/>
      <x/>
    </i>
    <i r="1" i="1">
      <x v="1"/>
    </i>
    <i>
      <x v="24"/>
      <x/>
    </i>
    <i r="1" i="1">
      <x v="1"/>
    </i>
    <i t="grand">
      <x/>
    </i>
    <i t="grand" i="1">
      <x/>
    </i>
  </colItems>
  <pageFields count="1">
    <pageField fld="5" hier="-1"/>
  </pageFields>
  <dataFields count="2">
    <dataField name="Net Trade (TIV)" fld="7" baseField="6" baseItem="0" numFmtId="3"/>
    <dataField name="Total Volume (TIV)" fld="8" baseField="6"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056A93C-BA3F-4977-A951-FDB07657DE3C}" autoFormatId="16" applyNumberFormats="0" applyBorderFormats="0" applyFontFormats="0" applyPatternFormats="0" applyAlignmentFormats="0" applyWidthHeightFormats="0">
  <queryTableRefresh nextId="5">
    <queryTableFields count="4">
      <queryTableField id="1" name="Country Name" tableColumnId="1"/>
      <queryTableField id="2" name="Country Code" tableColumnId="2"/>
      <queryTableField id="3" name="Year" tableColumnId="3"/>
      <queryTableField id="4" name="Imports_TIV"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9B84FD2-9F3F-44AD-9B09-09BDF9D258E9}" autoFormatId="16" applyNumberFormats="0" applyBorderFormats="0" applyFontFormats="0" applyPatternFormats="0" applyAlignmentFormats="0" applyWidthHeightFormats="0">
  <queryTableRefresh nextId="10" unboundColumnsRight="4">
    <queryTableFields count="9">
      <queryTableField id="1" name="Country_Name" tableColumnId="1"/>
      <queryTableField id="2" name="Country_Code" tableColumnId="2"/>
      <queryTableField id="3" name="Year" tableColumnId="3"/>
      <queryTableField id="4" name="Exports_TIV" tableColumnId="4"/>
      <queryTableField id="5" name="Imports_TIV" tableColumnId="5"/>
      <queryTableField id="6" dataBound="0" tableColumnId="6"/>
      <queryTableField id="7" dataBound="0" tableColumnId="7"/>
      <queryTableField id="8" dataBound="0"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559514-9222-4CED-8B1C-97C6F8C54BA3}" sourceName="Region">
  <pivotTables>
    <pivotTable tabId="10" name="PivotTable1"/>
  </pivotTables>
  <data>
    <tabular pivotCacheId="704635736">
      <items count="8">
        <i x="5" s="1"/>
        <i x="1" s="1"/>
        <i x="4" s="1"/>
        <i x="2" s="1"/>
        <i x="7" s="1"/>
        <i x="0"/>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7A1BB2D9-9EED-434E-98EC-C10AC1A3835D}" sourceName="Income_Group">
  <pivotTables>
    <pivotTable tabId="10" name="PivotTable1"/>
  </pivotTables>
  <data>
    <tabular pivotCacheId="704635736">
      <items count="5">
        <i x="3" s="1"/>
        <i x="4" s="1"/>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B40866-1879-4EE9-994F-FB583A85F078}" cache="Slicer_Region" caption="Region" rowHeight="247650"/>
  <slicer name="Income_Group" xr10:uid="{80BF63B5-BE6E-4188-8C83-A87FBC3D8DCC}" cache="Slicer_Income_Group" caption="Income_Group"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7FE292-3169-4C0C-B41D-7172943FDA91}" name="Table1" displayName="Table1" ref="A5:BR271" totalsRowShown="0">
  <autoFilter ref="A5:BR271" xr:uid="{127FE292-3169-4C0C-B41D-7172943FDA91}"/>
  <tableColumns count="70">
    <tableColumn id="1" xr3:uid="{F3EFEB37-D0CB-4897-854B-A687E5D235AF}" name="Country Name"/>
    <tableColumn id="2" xr3:uid="{8D7C6FA5-0434-40D0-831E-596E0F327BA4}" name="Country Code"/>
    <tableColumn id="3" xr3:uid="{64FF6EA1-660E-4932-91BB-0A2BD4278DEB}" name="Indicator Name"/>
    <tableColumn id="4" xr3:uid="{5A41C3C6-8952-43F0-A914-B924DAE5AC2E}" name="Indicator Code"/>
    <tableColumn id="5" xr3:uid="{CEE210E5-5292-49AF-8101-8DCBDF6ADB08}" name="1960"/>
    <tableColumn id="6" xr3:uid="{FB873AE3-D368-4F46-A3EC-19F237F4DD0B}" name="1961"/>
    <tableColumn id="7" xr3:uid="{CEA65411-7317-448D-B08B-97983542AD09}" name="1962"/>
    <tableColumn id="8" xr3:uid="{09C12A63-953C-4157-9DEE-ACACC270AC08}" name="1963"/>
    <tableColumn id="9" xr3:uid="{EE42CE15-10A0-4A7A-8988-52B5E4485FE6}" name="1964"/>
    <tableColumn id="10" xr3:uid="{B276096A-25F7-46FB-A66E-7DB4314FABD8}" name="1965"/>
    <tableColumn id="11" xr3:uid="{599EC5A6-A30E-42D0-BF69-CC374E36EECB}" name="1966"/>
    <tableColumn id="12" xr3:uid="{60543E9F-7566-43B1-9E98-DEFEC3380286}" name="1967"/>
    <tableColumn id="13" xr3:uid="{D5F5A254-D933-43F5-A5E3-E3C4B6483106}" name="1968"/>
    <tableColumn id="14" xr3:uid="{BD7BB343-A52F-4852-A94E-E97FB4ABF6BB}" name="1969"/>
    <tableColumn id="15" xr3:uid="{A4EA1449-429E-4252-BECA-551A6319D5B6}" name="1970"/>
    <tableColumn id="16" xr3:uid="{94173BBE-F2D3-4AF2-8E23-E108A11E2C35}" name="1971"/>
    <tableColumn id="17" xr3:uid="{8011E26C-8484-4E1C-A60B-3AAE90030E83}" name="1972"/>
    <tableColumn id="18" xr3:uid="{A8320122-AD4F-40D5-A3D7-4C1E17A52871}" name="1973"/>
    <tableColumn id="19" xr3:uid="{86CC0A21-63F1-462A-A9E7-89FF9270CB2A}" name="1974"/>
    <tableColumn id="20" xr3:uid="{C90A395C-3CEF-470D-B2D0-54B09C2488C9}" name="1975"/>
    <tableColumn id="21" xr3:uid="{34999B21-CCEE-46B6-BB12-275A03F25D0B}" name="1976"/>
    <tableColumn id="22" xr3:uid="{EA617BE2-E799-47B0-9B43-44D9A29EDD25}" name="1977"/>
    <tableColumn id="23" xr3:uid="{37018E70-7CAC-4134-8201-202E0994517B}" name="1978"/>
    <tableColumn id="24" xr3:uid="{230882A7-6678-480D-AD5F-3407BACFCF43}" name="1979"/>
    <tableColumn id="25" xr3:uid="{520437B7-89F6-4CD5-8409-089875B80D8E}" name="1980"/>
    <tableColumn id="26" xr3:uid="{C3E430B6-2054-49C9-AB2A-64B8E7053559}" name="1981"/>
    <tableColumn id="27" xr3:uid="{C62AFEE1-966A-42FC-B682-8877E6813853}" name="1982"/>
    <tableColumn id="28" xr3:uid="{C8C49D9A-2796-4812-BF73-5E718C1FAFE2}" name="1983"/>
    <tableColumn id="29" xr3:uid="{B5084E28-3C1C-4767-83C8-99477D10F85A}" name="1984"/>
    <tableColumn id="30" xr3:uid="{74E3AF39-FE4F-4136-A91B-0F2E9DE8B8C4}" name="1985"/>
    <tableColumn id="31" xr3:uid="{606AB830-E9D4-4F60-AD2F-C62A055D867B}" name="1986"/>
    <tableColumn id="32" xr3:uid="{085D593B-4624-4C50-AB34-67921535BAA1}" name="1987"/>
    <tableColumn id="33" xr3:uid="{509D1BD3-5BE9-42C4-8069-DDE940F9D29C}" name="1988"/>
    <tableColumn id="34" xr3:uid="{2E7A7230-6FA4-4D4C-9509-4242DB24FCF5}" name="1989"/>
    <tableColumn id="35" xr3:uid="{431F7B2F-ABFD-4B4A-990D-1DF857FE7AE9}" name="1990"/>
    <tableColumn id="36" xr3:uid="{29B286DA-48AE-4C57-9E7C-A9400CC26F98}" name="1991"/>
    <tableColumn id="37" xr3:uid="{7C092B3E-EAE2-4364-B298-3DED2B58689A}" name="1992"/>
    <tableColumn id="38" xr3:uid="{F38224C4-F7D6-4E94-BB07-AA0982E49351}" name="1993"/>
    <tableColumn id="39" xr3:uid="{D4083177-B2BA-4E92-979B-524E24736F38}" name="1994"/>
    <tableColumn id="40" xr3:uid="{1DD94A62-7F35-4C05-B361-D6F00CBA866C}" name="1995"/>
    <tableColumn id="41" xr3:uid="{78948808-C3A9-49C9-9ACA-E16EF6B730D1}" name="1996"/>
    <tableColumn id="42" xr3:uid="{0F40DE26-D94B-4AFE-B95A-5259DDE383F5}" name="1997"/>
    <tableColumn id="43" xr3:uid="{B7A227BD-FD6E-4889-9A03-A662455F7770}" name="1998"/>
    <tableColumn id="44" xr3:uid="{D218FBA3-7240-4687-9A72-492B9D063C95}" name="1999"/>
    <tableColumn id="45" xr3:uid="{C884CF58-DF39-4128-948E-DE0F1F4E6AAD}" name="2000"/>
    <tableColumn id="46" xr3:uid="{4C8D42EF-150A-4BAE-AC15-618D896895BC}" name="2001"/>
    <tableColumn id="47" xr3:uid="{BE14B352-2386-4629-9BF8-29E7700E2728}" name="2002"/>
    <tableColumn id="48" xr3:uid="{CA9B64FD-FE72-4256-9A32-C616575D311F}" name="2003"/>
    <tableColumn id="49" xr3:uid="{174C8306-C4BB-4F4C-B6CC-457AA1A7FEF1}" name="2004"/>
    <tableColumn id="50" xr3:uid="{46E7ED11-64A7-4A10-B85D-AC3684216B57}" name="2005"/>
    <tableColumn id="51" xr3:uid="{FBC8CD84-C226-4DFF-918F-4DA8DA53A8B7}" name="2006"/>
    <tableColumn id="52" xr3:uid="{93E6714C-3F81-4E66-89E7-89EA6B63F4E6}" name="2007"/>
    <tableColumn id="53" xr3:uid="{001EF7F1-547B-49CE-A704-CE7778119223}" name="2008"/>
    <tableColumn id="54" xr3:uid="{1FD9A859-283F-4C9A-9822-4CCD67614B5C}" name="2009"/>
    <tableColumn id="55" xr3:uid="{B2196CEF-3461-4CA5-9818-16327BAB546D}" name="2010"/>
    <tableColumn id="56" xr3:uid="{816C3D82-31CA-4971-A7CE-4C14D9132AA7}" name="2011"/>
    <tableColumn id="57" xr3:uid="{D79D29A0-A9CF-4F23-8D70-F52E4BB5B518}" name="2012"/>
    <tableColumn id="58" xr3:uid="{16FAA3CC-0F94-4D40-84B9-A0222123FDA5}" name="2013"/>
    <tableColumn id="59" xr3:uid="{26E2B470-D71A-4461-81AD-FC48B6D95866}" name="2014"/>
    <tableColumn id="60" xr3:uid="{112F4529-8EF5-48F9-A578-D0776DE9EA7F}" name="2015"/>
    <tableColumn id="61" xr3:uid="{7754A0F8-9B67-4BC9-9B4A-19B4D2903955}" name="2016"/>
    <tableColumn id="62" xr3:uid="{0DC33CAD-5940-4FEB-B1FE-077E718ECD72}" name="2017"/>
    <tableColumn id="63" xr3:uid="{6EC037AB-A8FF-4FB6-BA00-B234F289744D}" name="2018"/>
    <tableColumn id="64" xr3:uid="{DA591E47-F952-4694-8047-D0E72ADDB6E8}" name="2019"/>
    <tableColumn id="65" xr3:uid="{C340DE59-F11C-4BBA-82E2-FDA6AEFEB6DD}" name="2020"/>
    <tableColumn id="66" xr3:uid="{C72D7088-DF95-4F59-B935-0601A4D9404A}" name="2021"/>
    <tableColumn id="67" xr3:uid="{706F47A0-A6AC-4113-A133-E53CF66FE6A5}" name="2022"/>
    <tableColumn id="68" xr3:uid="{71BF5ABC-617F-46B5-932F-5EF1CE6D8C9C}" name="2023"/>
    <tableColumn id="69" xr3:uid="{92AFCAF8-8633-4043-8D9C-AA0A0F11A286}" name="2024"/>
    <tableColumn id="70" xr3:uid="{6B300F1B-D3EA-4C38-ADE3-404C2ABEB9A6}" name="2025"/>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0413DC-DE6C-4FD6-A480-81690E6C41DC}" name="Table2" displayName="Table2" ref="A5:BR271" totalsRowShown="0">
  <autoFilter ref="A5:BR271" xr:uid="{6F0413DC-DE6C-4FD6-A480-81690E6C41DC}"/>
  <tableColumns count="70">
    <tableColumn id="1" xr3:uid="{3CC853E5-2D51-4526-BE51-418AE7FF130D}" name="Country Name"/>
    <tableColumn id="2" xr3:uid="{C8CD16C6-E2C0-4604-83D3-3C89762D1A98}" name="Country Code"/>
    <tableColumn id="3" xr3:uid="{11B913E4-1D95-4D0A-8E21-F9352522C7F0}" name="Indicator Name"/>
    <tableColumn id="4" xr3:uid="{C0DE79DC-2687-4AB1-9C86-16B9666B0188}" name="Indicator Code"/>
    <tableColumn id="5" xr3:uid="{6D0B5CCA-857B-4D09-82AC-1327C8925AB5}" name="1960"/>
    <tableColumn id="6" xr3:uid="{84F606ED-E373-4814-9755-D3369DDE7646}" name="1961"/>
    <tableColumn id="7" xr3:uid="{82B4F1D0-70EB-45D6-AD88-BEC73DEAB60C}" name="1962"/>
    <tableColumn id="8" xr3:uid="{8380ABB7-5BED-451B-BD28-F781039441C6}" name="1963"/>
    <tableColumn id="9" xr3:uid="{742EA5AA-31CF-438C-A63F-BEF0D82CB7F5}" name="1964"/>
    <tableColumn id="10" xr3:uid="{C9AAAACB-4959-450B-B5D0-E80FC420808F}" name="1965"/>
    <tableColumn id="11" xr3:uid="{EED6CC26-2353-4CD0-9D30-3D36915C1711}" name="1966"/>
    <tableColumn id="12" xr3:uid="{47B38460-1BE6-420C-A956-32BCE3D680F5}" name="1967"/>
    <tableColumn id="13" xr3:uid="{AA956D07-BFC1-4157-A026-4CA6323C3A26}" name="1968"/>
    <tableColumn id="14" xr3:uid="{7F686824-6778-4013-9525-DEA06BA7FF11}" name="1969"/>
    <tableColumn id="15" xr3:uid="{7DA44C7E-3A18-4B90-9951-F813BC647E2B}" name="1970"/>
    <tableColumn id="16" xr3:uid="{410D4C84-F7FA-4D16-B272-2C9FFDACA0E1}" name="1971"/>
    <tableColumn id="17" xr3:uid="{7A55CCB9-6955-4BDF-874A-1AD00F7BCBDB}" name="1972"/>
    <tableColumn id="18" xr3:uid="{61F5DC35-4465-4891-985E-2FA21DA64C2B}" name="1973"/>
    <tableColumn id="19" xr3:uid="{6E8404AD-2F2B-49B2-A473-CE2CE8B664F6}" name="1974"/>
    <tableColumn id="20" xr3:uid="{8C873738-DD1A-4B55-A01D-FC0E80A6D197}" name="1975"/>
    <tableColumn id="21" xr3:uid="{1D0AE81B-4E15-4EDB-A040-3A06EFBF6CBE}" name="1976"/>
    <tableColumn id="22" xr3:uid="{0A57557A-458B-475F-A4AF-14BCF000B12A}" name="1977"/>
    <tableColumn id="23" xr3:uid="{86A2F1E2-12C1-41E3-AEC1-6ECDF7440878}" name="1978"/>
    <tableColumn id="24" xr3:uid="{9D2D78F6-84FB-4D11-8AFC-EB2C2549BB4C}" name="1979"/>
    <tableColumn id="25" xr3:uid="{07EFF63F-D6FE-4953-87AA-5C636395EF85}" name="1980"/>
    <tableColumn id="26" xr3:uid="{EECC9562-DB02-461A-9904-5951289301B7}" name="1981"/>
    <tableColumn id="27" xr3:uid="{983470EF-62DF-443E-9CF4-D3B107442EF3}" name="1982"/>
    <tableColumn id="28" xr3:uid="{C5EE49A3-A041-482A-B900-653A8A399101}" name="1983"/>
    <tableColumn id="29" xr3:uid="{D816A435-6B50-42F4-85EA-9A803FA599B8}" name="1984"/>
    <tableColumn id="30" xr3:uid="{8FBA9F76-3177-42B2-BEF1-C21DCA2647BF}" name="1985"/>
    <tableColumn id="31" xr3:uid="{80A07F67-A18D-41A4-BE9A-381E0218BDBF}" name="1986"/>
    <tableColumn id="32" xr3:uid="{F76AD5D8-055C-4B4A-9C3E-1CC0C27BB800}" name="1987"/>
    <tableColumn id="33" xr3:uid="{BF9C8376-2631-4B62-A3BF-B57425E0950B}" name="1988"/>
    <tableColumn id="34" xr3:uid="{CEE75857-13B2-4273-A04E-2EA26882567A}" name="1989"/>
    <tableColumn id="35" xr3:uid="{19AFE7C1-AC5F-4C13-9161-F040A39C8F96}" name="1990"/>
    <tableColumn id="36" xr3:uid="{2BCE5190-A04D-44E1-AF5F-50E708022912}" name="1991"/>
    <tableColumn id="37" xr3:uid="{0F159E79-7173-4201-B3DB-E2EDC58DEE0D}" name="1992"/>
    <tableColumn id="38" xr3:uid="{630260AA-6A3C-42FF-9D29-134648A24953}" name="1993"/>
    <tableColumn id="39" xr3:uid="{B7ED17C1-5B12-4577-B126-B9118E016057}" name="1994"/>
    <tableColumn id="40" xr3:uid="{31A89FF5-071C-4076-A9F6-6A9283E8C54B}" name="1995"/>
    <tableColumn id="41" xr3:uid="{B260C376-1DA7-444D-BB74-A0B53994E79D}" name="1996"/>
    <tableColumn id="42" xr3:uid="{6956F160-565D-464A-8866-7283C783FBC3}" name="1997"/>
    <tableColumn id="43" xr3:uid="{23EDA2DB-034A-4FA4-9927-63D33D949FAD}" name="1998"/>
    <tableColumn id="44" xr3:uid="{8CD57FD9-63AE-4EA0-AFB0-45E5203314EC}" name="1999"/>
    <tableColumn id="45" xr3:uid="{44D7BD39-0294-4BD9-955E-7A9C101AC510}" name="2000"/>
    <tableColumn id="46" xr3:uid="{21B5B748-8996-4E53-8BBB-04E18C1553E1}" name="2001"/>
    <tableColumn id="47" xr3:uid="{9104B705-AB26-4E0D-93EC-FF2A3D14F99E}" name="2002"/>
    <tableColumn id="48" xr3:uid="{03A7081D-CE53-4CA4-B333-8D6221245E9D}" name="2003"/>
    <tableColumn id="49" xr3:uid="{AE0B70C7-C226-44B3-B2F5-58D2F5CC61AE}" name="2004"/>
    <tableColumn id="50" xr3:uid="{2BCEEE32-E77A-4B40-AE89-9C0445E6B740}" name="2005"/>
    <tableColumn id="51" xr3:uid="{6725111E-6A18-4C36-9477-4596993A8AC5}" name="2006"/>
    <tableColumn id="52" xr3:uid="{3FE9D1C3-8EF7-4B53-8CB1-965DA0F762FF}" name="2007"/>
    <tableColumn id="53" xr3:uid="{456A53B4-3F6C-4875-8332-A2ED1B915079}" name="2008"/>
    <tableColumn id="54" xr3:uid="{97FA8804-ACC7-48C4-83C2-A3E9A90BB6DD}" name="2009"/>
    <tableColumn id="55" xr3:uid="{8786C999-C25A-4BCF-925E-C97158F832CB}" name="2010"/>
    <tableColumn id="56" xr3:uid="{2F31ADA0-78E7-4027-A256-0BF90EA2A76C}" name="2011"/>
    <tableColumn id="57" xr3:uid="{CC6EBF9A-DED4-479A-B3BC-3170DE295E5A}" name="2012"/>
    <tableColumn id="58" xr3:uid="{C7B23FBC-B92A-43F3-B0F3-541DAD4FB93D}" name="2013"/>
    <tableColumn id="59" xr3:uid="{D98A05F9-EDBA-4840-8AC5-3FA6EE2C0613}" name="2014"/>
    <tableColumn id="60" xr3:uid="{14A9B6BC-C651-49FB-9FEF-E0DB0416F53E}" name="2015"/>
    <tableColumn id="61" xr3:uid="{940D0113-9044-4149-8259-9030E88E7592}" name="2016"/>
    <tableColumn id="62" xr3:uid="{A1330943-C8F9-4282-A52A-E0E4C62AB124}" name="2017"/>
    <tableColumn id="63" xr3:uid="{05B15F6C-E3CC-47E0-99C5-E9D216A1EF92}" name="2018"/>
    <tableColumn id="64" xr3:uid="{412990CE-FDE1-4E03-ABC7-078F28973B7B}" name="2019"/>
    <tableColumn id="65" xr3:uid="{7CEF99AE-2E30-4AC2-B59D-0891E5AE3256}" name="2020"/>
    <tableColumn id="66" xr3:uid="{6C9C6250-8C46-46BB-A093-DE2476B794B5}" name="2021"/>
    <tableColumn id="67" xr3:uid="{D5518FC6-A464-44AB-8A35-29419B9A190F}" name="2022"/>
    <tableColumn id="68" xr3:uid="{170B9E2D-EB93-4A55-88B5-48879B97B93E}" name="2023"/>
    <tableColumn id="69" xr3:uid="{05111525-0913-43CF-850A-B0C090A193A6}" name="2024"/>
    <tableColumn id="70" xr3:uid="{7A0FF865-436C-4909-8DD1-85DC7F393E7E}" name="2025"/>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21783C-7F6F-4373-A685-6954A0FBBABF}" name="Imports_Clean" displayName="Imports_Clean" ref="A1:D3833" tableType="queryTable" totalsRowShown="0">
  <autoFilter ref="A1:D3833" xr:uid="{F221783C-7F6F-4373-A685-6954A0FBBABF}"/>
  <tableColumns count="4">
    <tableColumn id="1" xr3:uid="{F3A0B233-5D69-4212-A3B8-060931587297}" uniqueName="1" name="Country Name" queryTableFieldId="1" dataDxfId="12"/>
    <tableColumn id="2" xr3:uid="{6AFA4CCE-9220-40E5-9E60-D79267C5D157}" uniqueName="2" name="Country Code" queryTableFieldId="2" dataDxfId="11"/>
    <tableColumn id="3" xr3:uid="{0B10E3A3-D966-40CF-B1F8-5B3CF5E23D59}" uniqueName="3" name="Year" queryTableFieldId="3"/>
    <tableColumn id="4" xr3:uid="{B2FC0677-5524-40DE-A82A-33EC7D12E0EC}" uniqueName="4" name="Imports_TIV"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95C6ED-0068-4BBF-A5FE-EA834577D951}" name="Clean_Data" displayName="Clean_Data" ref="A1:I3986" tableType="queryTable" totalsRowShown="0" headerRowDxfId="6" dataDxfId="5">
  <autoFilter ref="A1:I3986" xr:uid="{CC95C6ED-0068-4BBF-A5FE-EA834577D951}"/>
  <sortState xmlns:xlrd2="http://schemas.microsoft.com/office/spreadsheetml/2017/richdata2" ref="A2:I3986">
    <sortCondition descending="1" ref="C1:C3986"/>
  </sortState>
  <tableColumns count="9">
    <tableColumn id="1" xr3:uid="{332B5E5E-FA67-405E-96DC-03D89DBA78C2}" uniqueName="1" name="Country_Name" queryTableFieldId="1" dataDxfId="10"/>
    <tableColumn id="2" xr3:uid="{B6C090E5-32DD-4043-9CBF-D7F9E2A52886}" uniqueName="2" name="Country_Code" queryTableFieldId="2" dataDxfId="2"/>
    <tableColumn id="3" xr3:uid="{C9B9E3EE-AABC-4329-BCC5-94ED67293857}" uniqueName="3" name="Year" queryTableFieldId="3" dataDxfId="0" dataCellStyle="Comma"/>
    <tableColumn id="4" xr3:uid="{948DB30A-25C2-486A-93F3-8D45B355D6F8}" uniqueName="4" name="Exports_TIV" queryTableFieldId="4" dataDxfId="1"/>
    <tableColumn id="5" xr3:uid="{4D9B60BB-E8A8-4071-8E1B-ABE3F20F328D}" uniqueName="5" name="Imports_TIV" queryTableFieldId="5" dataDxfId="9"/>
    <tableColumn id="6" xr3:uid="{DD2F03EE-C153-489D-8225-20430CD0AACA}" uniqueName="6" name="Region" queryTableFieldId="6" dataDxfId="8">
      <calculatedColumnFormula>_xlfn.LET(_xlpm.r, _xlfn.XLOOKUP(Clean_Data[[#This Row],[Country_Code]], Metadata_Country!$A:$A, Metadata_Country!$B:$B, "Unknown"), IF(OR(_xlpm.r=0, _xlpm.r=""), "Regional Aggregate", _xlpm.r))</calculatedColumnFormula>
    </tableColumn>
    <tableColumn id="7" xr3:uid="{82B1DC84-1EC8-4755-A23E-35F945CB19F9}" uniqueName="7" name="Income_Group" queryTableFieldId="7" dataDxfId="7">
      <calculatedColumnFormula>_xlfn.LET(_xlpm.ig, _xlfn.XLOOKUP(Clean_Data[[#This Row],[Country_Code]], Metadata_Country!$A:$A, Metadata_Country!$C:$C, "Unknown"), IF(OR(_xlpm.ig=0, _xlpm.ig=""), "Regional Aggregate", _xlpm.ig))</calculatedColumnFormula>
    </tableColumn>
    <tableColumn id="8" xr3:uid="{60C083FE-5E7A-4F9C-98AF-3623FE396A7F}" uniqueName="8" name="Net_Trade_TIV" queryTableFieldId="8" dataDxfId="4">
      <calculatedColumnFormula>Clean_Data[[#This Row],[Exports_TIV]] - Clean_Data[[#This Row],[Imports_TIV]]</calculatedColumnFormula>
    </tableColumn>
    <tableColumn id="9" xr3:uid="{42B8580C-4EC5-4E19-9B18-F12FFD6AA7E3}" uniqueName="9" name="Total_Volume_TIV" queryTableFieldId="9" dataDxfId="3">
      <calculatedColumnFormula>Clean_Data[[#This Row],[Exports_TIV]] + Clean_Data[[#This Row],[Imports_TIV]]</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8529-C292-4233-9FC0-F194048B1121}">
  <dimension ref="B2:I12"/>
  <sheetViews>
    <sheetView showGridLines="0" topLeftCell="A3" workbookViewId="0">
      <selection activeCell="B12" sqref="B12"/>
    </sheetView>
  </sheetViews>
  <sheetFormatPr defaultRowHeight="14.4"/>
  <cols>
    <col min="2" max="2" width="14.88671875" customWidth="1"/>
    <col min="3" max="3" width="13.109375" customWidth="1"/>
    <col min="4" max="4" width="12.5546875" customWidth="1"/>
    <col min="8" max="8" width="7.6640625" customWidth="1"/>
    <col min="9" max="9" width="0.33203125" customWidth="1"/>
  </cols>
  <sheetData>
    <row r="2" spans="2:9" ht="21">
      <c r="B2" s="21" t="s">
        <v>792</v>
      </c>
      <c r="C2" s="21"/>
      <c r="D2" s="21"/>
      <c r="E2" s="21"/>
      <c r="F2" s="21"/>
      <c r="G2" s="21"/>
      <c r="H2" s="21"/>
      <c r="I2" s="21"/>
    </row>
    <row r="3" spans="2:9">
      <c r="B3" s="22" t="s">
        <v>793</v>
      </c>
      <c r="C3" s="22"/>
      <c r="D3" s="22"/>
      <c r="E3" s="22"/>
      <c r="F3" s="22"/>
      <c r="G3" s="22"/>
      <c r="H3" s="22"/>
      <c r="I3" s="15"/>
    </row>
    <row r="5" spans="2:9">
      <c r="B5" s="6" t="s">
        <v>785</v>
      </c>
      <c r="C5" s="6" t="s">
        <v>786</v>
      </c>
      <c r="D5" s="15"/>
      <c r="E5" s="15"/>
      <c r="F5" s="15"/>
      <c r="G5" s="15"/>
      <c r="H5" s="15"/>
    </row>
    <row r="6" spans="2:9">
      <c r="B6" s="23" t="s">
        <v>787</v>
      </c>
      <c r="C6" t="s">
        <v>794</v>
      </c>
    </row>
    <row r="7" spans="2:9">
      <c r="B7" s="23" t="s">
        <v>789</v>
      </c>
      <c r="C7" t="s">
        <v>795</v>
      </c>
    </row>
    <row r="8" spans="2:9">
      <c r="B8" s="23" t="s">
        <v>678</v>
      </c>
      <c r="C8" t="s">
        <v>796</v>
      </c>
    </row>
    <row r="9" spans="2:9">
      <c r="B9" s="23" t="s">
        <v>790</v>
      </c>
      <c r="C9" t="s">
        <v>797</v>
      </c>
    </row>
    <row r="10" spans="2:9">
      <c r="B10" s="23" t="s">
        <v>791</v>
      </c>
      <c r="C10" t="s">
        <v>798</v>
      </c>
    </row>
    <row r="11" spans="2:9">
      <c r="B11" s="23" t="s">
        <v>799</v>
      </c>
      <c r="C11" t="s">
        <v>800</v>
      </c>
    </row>
    <row r="12" spans="2:9">
      <c r="B12" s="23" t="s">
        <v>801</v>
      </c>
      <c r="C12" t="s">
        <v>802</v>
      </c>
    </row>
  </sheetData>
  <mergeCells count="1">
    <mergeCell ref="B2:I2"/>
  </mergeCells>
  <hyperlinks>
    <hyperlink ref="B6" location="Imports_Raw!A1" display="Imports_Raw" xr:uid="{669698E8-EC85-484C-965F-F3A70638B5BD}"/>
    <hyperlink ref="B7" location="Exports_Raw!A1" display="Exports_Raw" xr:uid="{EEB47108-6BD8-40EC-8259-73A5C6A1FD6A}"/>
    <hyperlink ref="B8" location="'Clean_Data'!A1" display="Clean_Data" xr:uid="{67E87749-CF6E-4F83-A7AE-866F630882A5}"/>
    <hyperlink ref="B9" location="Analysis!A1" display="Analysis" xr:uid="{CB63E06F-FC75-4C1F-A982-1172D711E521}"/>
    <hyperlink ref="B10" location="Dashboard!A1" display="Dashboard" xr:uid="{109D2AF1-8E04-44EE-9D2C-24AE12ACC0D2}"/>
    <hyperlink ref="B11" location="Pivot_Table!A1" display="Pivot_Table" xr:uid="{290A909B-FABC-4D59-98D8-4CD4A5BDEF19}"/>
    <hyperlink ref="B12" location="Data_Dictionary!A1" display="Data_Dictionary" xr:uid="{E40080CF-87FA-4466-82F2-AF2CE82809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547E-1D1E-45AC-93A0-D7425F3E3885}">
  <dimension ref="A1:BR271"/>
  <sheetViews>
    <sheetView zoomScale="55" zoomScaleNormal="55" workbookViewId="0"/>
  </sheetViews>
  <sheetFormatPr defaultRowHeight="14.4"/>
  <cols>
    <col min="1" max="1" width="71" bestFit="1" customWidth="1"/>
    <col min="2" max="2" width="25.44140625" bestFit="1" customWidth="1"/>
    <col min="3" max="3" width="20" customWidth="1"/>
    <col min="4" max="4" width="19.5546875" customWidth="1"/>
  </cols>
  <sheetData>
    <row r="1" spans="1:70">
      <c r="A1" t="s">
        <v>0</v>
      </c>
      <c r="B1" t="s">
        <v>1</v>
      </c>
    </row>
    <row r="3" spans="1:70">
      <c r="A3" t="s">
        <v>2</v>
      </c>
      <c r="B3" s="1">
        <v>46303</v>
      </c>
    </row>
    <row r="5" spans="1:70">
      <c r="A5" t="s">
        <v>3</v>
      </c>
      <c r="B5" t="s">
        <v>4</v>
      </c>
      <c r="C5" t="s">
        <v>5</v>
      </c>
      <c r="D5" t="s">
        <v>6</v>
      </c>
      <c r="E5" t="s">
        <v>687</v>
      </c>
      <c r="F5" t="s">
        <v>688</v>
      </c>
      <c r="G5" t="s">
        <v>689</v>
      </c>
      <c r="H5" t="s">
        <v>690</v>
      </c>
      <c r="I5" t="s">
        <v>691</v>
      </c>
      <c r="J5" t="s">
        <v>692</v>
      </c>
      <c r="K5" t="s">
        <v>693</v>
      </c>
      <c r="L5" t="s">
        <v>694</v>
      </c>
      <c r="M5" t="s">
        <v>695</v>
      </c>
      <c r="N5" t="s">
        <v>696</v>
      </c>
      <c r="O5" t="s">
        <v>697</v>
      </c>
      <c r="P5" t="s">
        <v>698</v>
      </c>
      <c r="Q5" t="s">
        <v>699</v>
      </c>
      <c r="R5" t="s">
        <v>700</v>
      </c>
      <c r="S5" t="s">
        <v>701</v>
      </c>
      <c r="T5" t="s">
        <v>702</v>
      </c>
      <c r="U5" t="s">
        <v>703</v>
      </c>
      <c r="V5" t="s">
        <v>704</v>
      </c>
      <c r="W5" t="s">
        <v>705</v>
      </c>
      <c r="X5" t="s">
        <v>706</v>
      </c>
      <c r="Y5" t="s">
        <v>707</v>
      </c>
      <c r="Z5" t="s">
        <v>708</v>
      </c>
      <c r="AA5" t="s">
        <v>709</v>
      </c>
      <c r="AB5" t="s">
        <v>710</v>
      </c>
      <c r="AC5" t="s">
        <v>711</v>
      </c>
      <c r="AD5" t="s">
        <v>712</v>
      </c>
      <c r="AE5" t="s">
        <v>713</v>
      </c>
      <c r="AF5" t="s">
        <v>714</v>
      </c>
      <c r="AG5" t="s">
        <v>715</v>
      </c>
      <c r="AH5" t="s">
        <v>716</v>
      </c>
      <c r="AI5" t="s">
        <v>717</v>
      </c>
      <c r="AJ5" t="s">
        <v>718</v>
      </c>
      <c r="AK5" t="s">
        <v>719</v>
      </c>
      <c r="AL5" t="s">
        <v>720</v>
      </c>
      <c r="AM5" t="s">
        <v>721</v>
      </c>
      <c r="AN5" t="s">
        <v>722</v>
      </c>
      <c r="AO5" t="s">
        <v>723</v>
      </c>
      <c r="AP5" t="s">
        <v>724</v>
      </c>
      <c r="AQ5" t="s">
        <v>725</v>
      </c>
      <c r="AR5" t="s">
        <v>726</v>
      </c>
      <c r="AS5" t="s">
        <v>727</v>
      </c>
      <c r="AT5" t="s">
        <v>728</v>
      </c>
      <c r="AU5" t="s">
        <v>729</v>
      </c>
      <c r="AV5" t="s">
        <v>730</v>
      </c>
      <c r="AW5" t="s">
        <v>731</v>
      </c>
      <c r="AX5" t="s">
        <v>732</v>
      </c>
      <c r="AY5" t="s">
        <v>733</v>
      </c>
      <c r="AZ5" t="s">
        <v>734</v>
      </c>
      <c r="BA5" t="s">
        <v>735</v>
      </c>
      <c r="BB5" t="s">
        <v>736</v>
      </c>
      <c r="BC5" t="s">
        <v>737</v>
      </c>
      <c r="BD5" t="s">
        <v>738</v>
      </c>
      <c r="BE5" t="s">
        <v>739</v>
      </c>
      <c r="BF5" t="s">
        <v>740</v>
      </c>
      <c r="BG5" t="s">
        <v>741</v>
      </c>
      <c r="BH5" t="s">
        <v>742</v>
      </c>
      <c r="BI5" t="s">
        <v>743</v>
      </c>
      <c r="BJ5" t="s">
        <v>744</v>
      </c>
      <c r="BK5" t="s">
        <v>745</v>
      </c>
      <c r="BL5" t="s">
        <v>746</v>
      </c>
      <c r="BM5" t="s">
        <v>747</v>
      </c>
      <c r="BN5" t="s">
        <v>748</v>
      </c>
      <c r="BO5" t="s">
        <v>749</v>
      </c>
      <c r="BP5" t="s">
        <v>750</v>
      </c>
      <c r="BQ5" t="s">
        <v>751</v>
      </c>
      <c r="BR5" t="s">
        <v>752</v>
      </c>
    </row>
    <row r="6" spans="1:70">
      <c r="A6" t="s">
        <v>7</v>
      </c>
      <c r="B6" t="s">
        <v>8</v>
      </c>
      <c r="C6" t="s">
        <v>9</v>
      </c>
      <c r="D6" t="s">
        <v>10</v>
      </c>
    </row>
    <row r="7" spans="1:70">
      <c r="A7" t="s">
        <v>11</v>
      </c>
      <c r="B7" t="s">
        <v>12</v>
      </c>
      <c r="C7" t="s">
        <v>9</v>
      </c>
      <c r="D7" t="s">
        <v>10</v>
      </c>
      <c r="E7">
        <v>71000000</v>
      </c>
      <c r="G7">
        <v>327000000</v>
      </c>
      <c r="H7">
        <v>628000000</v>
      </c>
      <c r="I7">
        <v>431000000</v>
      </c>
      <c r="J7">
        <v>503000000</v>
      </c>
      <c r="K7">
        <v>768000000</v>
      </c>
      <c r="L7">
        <v>466000000</v>
      </c>
      <c r="M7">
        <v>305000000</v>
      </c>
      <c r="N7">
        <v>471000000</v>
      </c>
      <c r="O7">
        <v>1236000000</v>
      </c>
      <c r="P7">
        <v>874000000</v>
      </c>
      <c r="Q7">
        <v>582000000</v>
      </c>
      <c r="R7">
        <v>728000000</v>
      </c>
      <c r="S7">
        <v>799000000</v>
      </c>
      <c r="T7">
        <v>1427000000</v>
      </c>
      <c r="U7">
        <v>1260000000</v>
      </c>
      <c r="V7">
        <v>2173000000</v>
      </c>
      <c r="W7">
        <v>2628000000</v>
      </c>
      <c r="X7">
        <v>1048000000</v>
      </c>
      <c r="Y7">
        <v>1181000000</v>
      </c>
      <c r="Z7">
        <v>1650000000</v>
      </c>
      <c r="AA7">
        <v>1372000000</v>
      </c>
      <c r="AB7">
        <v>1386000000</v>
      </c>
      <c r="AC7">
        <v>1132000000</v>
      </c>
      <c r="AD7">
        <v>1077000000</v>
      </c>
      <c r="AE7">
        <v>1552000000</v>
      </c>
      <c r="AF7">
        <v>1877000000</v>
      </c>
      <c r="AG7">
        <v>1269000000</v>
      </c>
      <c r="AH7">
        <v>323000000</v>
      </c>
      <c r="AI7">
        <v>273000000</v>
      </c>
      <c r="AJ7">
        <v>224000000</v>
      </c>
      <c r="AL7">
        <v>401000000</v>
      </c>
      <c r="AM7">
        <v>413000000</v>
      </c>
      <c r="AN7">
        <v>97000000</v>
      </c>
      <c r="AO7">
        <v>312000000</v>
      </c>
      <c r="AP7">
        <v>350000000</v>
      </c>
      <c r="AS7">
        <v>522000000</v>
      </c>
      <c r="AT7">
        <v>403000000</v>
      </c>
      <c r="AX7">
        <v>598000000</v>
      </c>
      <c r="AY7">
        <v>1035000000</v>
      </c>
      <c r="AZ7">
        <v>1081000000</v>
      </c>
      <c r="BA7">
        <v>768000000</v>
      </c>
      <c r="BB7">
        <v>420000000</v>
      </c>
      <c r="BD7">
        <v>1131000000</v>
      </c>
      <c r="BE7">
        <v>988000000</v>
      </c>
      <c r="BF7">
        <v>563000000</v>
      </c>
      <c r="BG7">
        <v>308000000</v>
      </c>
      <c r="BH7">
        <v>330000000</v>
      </c>
      <c r="BO7">
        <v>259000000</v>
      </c>
      <c r="BP7">
        <v>166000000</v>
      </c>
      <c r="BR7">
        <v>420000000</v>
      </c>
    </row>
    <row r="8" spans="1:70">
      <c r="A8" t="s">
        <v>13</v>
      </c>
      <c r="B8" t="s">
        <v>14</v>
      </c>
      <c r="C8" t="s">
        <v>9</v>
      </c>
      <c r="D8" t="s">
        <v>10</v>
      </c>
      <c r="E8">
        <v>39000000</v>
      </c>
      <c r="F8">
        <v>55000000</v>
      </c>
      <c r="G8">
        <v>64000000</v>
      </c>
      <c r="H8">
        <v>40000000</v>
      </c>
      <c r="I8">
        <v>56000000</v>
      </c>
      <c r="J8">
        <v>91000000</v>
      </c>
      <c r="K8">
        <v>198000000</v>
      </c>
      <c r="L8">
        <v>230000000</v>
      </c>
      <c r="M8">
        <v>145000000</v>
      </c>
      <c r="N8">
        <v>166000000</v>
      </c>
      <c r="O8">
        <v>120000000</v>
      </c>
      <c r="P8">
        <v>25000000</v>
      </c>
      <c r="S8">
        <v>47000000</v>
      </c>
      <c r="T8">
        <v>137000000</v>
      </c>
      <c r="U8">
        <v>230000000</v>
      </c>
      <c r="V8">
        <v>75000000</v>
      </c>
      <c r="W8">
        <v>156000000</v>
      </c>
      <c r="X8">
        <v>449000000</v>
      </c>
      <c r="Y8">
        <v>632000000</v>
      </c>
      <c r="Z8">
        <v>553000000</v>
      </c>
      <c r="AA8">
        <v>455000000</v>
      </c>
      <c r="AB8">
        <v>269000000</v>
      </c>
      <c r="AC8">
        <v>394000000</v>
      </c>
      <c r="AD8">
        <v>158000000</v>
      </c>
      <c r="AE8">
        <v>210000000</v>
      </c>
      <c r="AF8">
        <v>489000000</v>
      </c>
      <c r="AG8">
        <v>927000000</v>
      </c>
      <c r="AH8">
        <v>1820000000</v>
      </c>
      <c r="AI8">
        <v>1612000000</v>
      </c>
      <c r="AJ8">
        <v>1236000000</v>
      </c>
      <c r="AU8">
        <v>34000000</v>
      </c>
      <c r="AX8">
        <v>33000000</v>
      </c>
      <c r="AY8">
        <v>3000000</v>
      </c>
      <c r="AZ8">
        <v>40000000</v>
      </c>
      <c r="BA8">
        <v>148000000</v>
      </c>
      <c r="BB8">
        <v>326000000</v>
      </c>
      <c r="BC8">
        <v>365000000</v>
      </c>
      <c r="BD8">
        <v>632000000</v>
      </c>
      <c r="BE8">
        <v>518000000</v>
      </c>
      <c r="BF8">
        <v>253000000</v>
      </c>
      <c r="BG8">
        <v>323000000</v>
      </c>
      <c r="BH8">
        <v>131000000</v>
      </c>
      <c r="BI8">
        <v>170000000</v>
      </c>
      <c r="BJ8">
        <v>235000000</v>
      </c>
      <c r="BK8">
        <v>312000000</v>
      </c>
      <c r="BL8">
        <v>379000000</v>
      </c>
      <c r="BM8">
        <v>231000000</v>
      </c>
      <c r="BN8">
        <v>65000000</v>
      </c>
    </row>
    <row r="9" spans="1:70">
      <c r="A9" t="s">
        <v>15</v>
      </c>
      <c r="B9" t="s">
        <v>16</v>
      </c>
      <c r="C9" t="s">
        <v>9</v>
      </c>
      <c r="D9" t="s">
        <v>10</v>
      </c>
      <c r="E9">
        <v>51000000</v>
      </c>
      <c r="F9">
        <v>136000000</v>
      </c>
      <c r="G9">
        <v>41000000</v>
      </c>
      <c r="H9">
        <v>28000000</v>
      </c>
      <c r="I9">
        <v>56000000</v>
      </c>
      <c r="J9">
        <v>119000000</v>
      </c>
      <c r="K9">
        <v>195000000</v>
      </c>
      <c r="L9">
        <v>92000000</v>
      </c>
      <c r="M9">
        <v>89000000</v>
      </c>
      <c r="N9">
        <v>113000000</v>
      </c>
      <c r="O9">
        <v>57000000</v>
      </c>
      <c r="P9">
        <v>155000000</v>
      </c>
      <c r="Q9">
        <v>135000000</v>
      </c>
      <c r="R9">
        <v>93000000</v>
      </c>
      <c r="S9">
        <v>162000000</v>
      </c>
      <c r="U9">
        <v>442000000</v>
      </c>
      <c r="V9">
        <v>304000000</v>
      </c>
      <c r="W9">
        <v>427000000</v>
      </c>
      <c r="X9">
        <v>416000000</v>
      </c>
      <c r="Y9">
        <v>709000000</v>
      </c>
      <c r="Z9">
        <v>609000000</v>
      </c>
      <c r="AA9">
        <v>854000000</v>
      </c>
      <c r="AB9">
        <v>226000000</v>
      </c>
      <c r="AC9">
        <v>673000000</v>
      </c>
      <c r="AD9">
        <v>611000000</v>
      </c>
      <c r="AE9">
        <v>372000000</v>
      </c>
      <c r="AF9">
        <v>217000000</v>
      </c>
      <c r="AG9">
        <v>159000000</v>
      </c>
      <c r="AH9">
        <v>194000000</v>
      </c>
      <c r="AI9">
        <v>146000000</v>
      </c>
      <c r="AM9">
        <v>136000000</v>
      </c>
      <c r="AP9">
        <v>85000000</v>
      </c>
      <c r="AS9">
        <v>111000000</v>
      </c>
      <c r="AT9">
        <v>56000000</v>
      </c>
      <c r="AU9">
        <v>84000000</v>
      </c>
      <c r="AV9">
        <v>159000000</v>
      </c>
      <c r="AW9">
        <v>83000000</v>
      </c>
      <c r="AY9">
        <v>102000000</v>
      </c>
      <c r="AZ9">
        <v>181000000</v>
      </c>
      <c r="BA9">
        <v>164000000</v>
      </c>
      <c r="BB9">
        <v>219000000</v>
      </c>
      <c r="BC9">
        <v>367000000</v>
      </c>
      <c r="BD9">
        <v>253000000</v>
      </c>
      <c r="BE9">
        <v>224000000</v>
      </c>
      <c r="BF9">
        <v>342000000</v>
      </c>
      <c r="BG9">
        <v>580000000</v>
      </c>
      <c r="BH9">
        <v>265000000</v>
      </c>
      <c r="BI9">
        <v>223000000</v>
      </c>
      <c r="BJ9">
        <v>157000000</v>
      </c>
      <c r="BK9">
        <v>159000000</v>
      </c>
      <c r="BL9">
        <v>189000000</v>
      </c>
      <c r="BM9">
        <v>205000000</v>
      </c>
      <c r="BN9">
        <v>499000000</v>
      </c>
      <c r="BO9">
        <v>324000000</v>
      </c>
      <c r="BP9">
        <v>587000000</v>
      </c>
      <c r="BQ9">
        <v>433000000</v>
      </c>
      <c r="BR9">
        <v>163000000</v>
      </c>
    </row>
    <row r="10" spans="1:70">
      <c r="A10" t="s">
        <v>17</v>
      </c>
      <c r="B10" t="s">
        <v>18</v>
      </c>
      <c r="C10" t="s">
        <v>9</v>
      </c>
      <c r="D10" t="s">
        <v>10</v>
      </c>
      <c r="S10">
        <v>1000000</v>
      </c>
      <c r="T10">
        <v>233000000</v>
      </c>
      <c r="U10">
        <v>192000000</v>
      </c>
      <c r="V10">
        <v>134000000</v>
      </c>
      <c r="W10">
        <v>133000000</v>
      </c>
      <c r="X10">
        <v>116000000</v>
      </c>
      <c r="Y10">
        <v>116000000</v>
      </c>
      <c r="Z10">
        <v>264000000</v>
      </c>
      <c r="AA10">
        <v>344000000</v>
      </c>
      <c r="AB10">
        <v>589000000</v>
      </c>
      <c r="AC10">
        <v>501000000</v>
      </c>
      <c r="AD10">
        <v>536000000</v>
      </c>
      <c r="AE10">
        <v>710000000</v>
      </c>
      <c r="AF10">
        <v>1193000000</v>
      </c>
      <c r="AG10">
        <v>971000000</v>
      </c>
      <c r="AH10">
        <v>152000000</v>
      </c>
      <c r="AI10">
        <v>140000000</v>
      </c>
      <c r="AL10">
        <v>123000000</v>
      </c>
      <c r="AM10">
        <v>113000000</v>
      </c>
      <c r="AN10">
        <v>1000000</v>
      </c>
      <c r="AO10">
        <v>44000000</v>
      </c>
      <c r="AP10">
        <v>7000000</v>
      </c>
      <c r="AQ10">
        <v>150000000</v>
      </c>
      <c r="AR10">
        <v>360000000</v>
      </c>
      <c r="AS10">
        <v>149000000</v>
      </c>
      <c r="AT10">
        <v>157000000</v>
      </c>
      <c r="AU10">
        <v>148000000</v>
      </c>
      <c r="AV10">
        <v>48000000</v>
      </c>
      <c r="AW10">
        <v>8000000</v>
      </c>
      <c r="AX10">
        <v>38000000</v>
      </c>
      <c r="AY10">
        <v>7000000</v>
      </c>
      <c r="AZ10">
        <v>35000000</v>
      </c>
      <c r="BA10">
        <v>29000000</v>
      </c>
      <c r="BB10">
        <v>20000000</v>
      </c>
      <c r="BF10">
        <v>31000000</v>
      </c>
      <c r="BG10">
        <v>2000000</v>
      </c>
      <c r="BH10">
        <v>49000000</v>
      </c>
      <c r="BI10">
        <v>156000000</v>
      </c>
      <c r="BJ10">
        <v>113000000</v>
      </c>
      <c r="BK10">
        <v>274000000</v>
      </c>
      <c r="BL10">
        <v>170000000</v>
      </c>
      <c r="BM10">
        <v>51000000</v>
      </c>
      <c r="BO10">
        <v>46000000</v>
      </c>
      <c r="BP10">
        <v>15000000</v>
      </c>
      <c r="BQ10">
        <v>16000000</v>
      </c>
      <c r="BR10">
        <v>84000000</v>
      </c>
    </row>
    <row r="11" spans="1:70">
      <c r="A11" t="s">
        <v>19</v>
      </c>
      <c r="B11" t="s">
        <v>20</v>
      </c>
      <c r="C11" t="s">
        <v>9</v>
      </c>
      <c r="D11" t="s">
        <v>10</v>
      </c>
      <c r="E11">
        <v>69000000</v>
      </c>
      <c r="F11">
        <v>74000000</v>
      </c>
      <c r="G11">
        <v>42000000</v>
      </c>
      <c r="H11">
        <v>12000000</v>
      </c>
      <c r="I11">
        <v>8000000</v>
      </c>
      <c r="J11">
        <v>140000000</v>
      </c>
      <c r="K11">
        <v>74000000</v>
      </c>
      <c r="L11">
        <v>163000000</v>
      </c>
      <c r="M11">
        <v>265000000</v>
      </c>
      <c r="N11">
        <v>297000000</v>
      </c>
      <c r="O11">
        <v>250000000</v>
      </c>
      <c r="P11">
        <v>332000000</v>
      </c>
      <c r="Q11">
        <v>134000000</v>
      </c>
      <c r="R11">
        <v>106000000</v>
      </c>
      <c r="S11">
        <v>137000000</v>
      </c>
      <c r="T11">
        <v>53000000</v>
      </c>
      <c r="U11">
        <v>5000000</v>
      </c>
      <c r="V11">
        <v>7000000</v>
      </c>
      <c r="W11">
        <v>5000000</v>
      </c>
      <c r="AN11">
        <v>26000000</v>
      </c>
      <c r="AV11">
        <v>2000000</v>
      </c>
      <c r="AX11">
        <v>7000000</v>
      </c>
      <c r="AZ11">
        <v>5000000</v>
      </c>
      <c r="BE11">
        <v>15000000</v>
      </c>
      <c r="BF11">
        <v>7000000</v>
      </c>
      <c r="BG11">
        <v>7000000</v>
      </c>
      <c r="BH11">
        <v>7000000</v>
      </c>
      <c r="BJ11">
        <v>1000000</v>
      </c>
      <c r="BK11">
        <v>1000000</v>
      </c>
      <c r="BL11">
        <v>5000000</v>
      </c>
      <c r="BM11">
        <v>12000000</v>
      </c>
      <c r="BN11">
        <v>1000000</v>
      </c>
      <c r="BP11">
        <v>1000000</v>
      </c>
      <c r="BQ11">
        <v>38000000</v>
      </c>
      <c r="BR11">
        <v>23000000</v>
      </c>
    </row>
    <row r="12" spans="1:70">
      <c r="A12" t="s">
        <v>21</v>
      </c>
      <c r="B12" t="s">
        <v>22</v>
      </c>
      <c r="C12" t="s">
        <v>9</v>
      </c>
      <c r="D12" t="s">
        <v>10</v>
      </c>
    </row>
    <row r="13" spans="1:70">
      <c r="A13" t="s">
        <v>23</v>
      </c>
      <c r="B13" t="s">
        <v>24</v>
      </c>
      <c r="C13" t="s">
        <v>9</v>
      </c>
      <c r="D13" t="s">
        <v>10</v>
      </c>
      <c r="E13">
        <v>581000000</v>
      </c>
      <c r="F13">
        <v>831000000</v>
      </c>
      <c r="G13">
        <v>1302000000</v>
      </c>
      <c r="H13">
        <v>1244000000</v>
      </c>
      <c r="I13">
        <v>1585000000</v>
      </c>
      <c r="J13">
        <v>1994000000</v>
      </c>
      <c r="K13">
        <v>3500000000</v>
      </c>
      <c r="L13">
        <v>4714000000</v>
      </c>
      <c r="M13">
        <v>3360000000</v>
      </c>
      <c r="N13">
        <v>3774000000</v>
      </c>
      <c r="O13">
        <v>4563000000</v>
      </c>
      <c r="P13">
        <v>3880000000</v>
      </c>
      <c r="Q13">
        <v>6573000000</v>
      </c>
      <c r="R13">
        <v>9290000000</v>
      </c>
      <c r="S13">
        <v>9119000000</v>
      </c>
      <c r="T13">
        <v>6348000000</v>
      </c>
      <c r="U13">
        <v>5998000000</v>
      </c>
      <c r="V13">
        <v>9678000000</v>
      </c>
      <c r="W13">
        <v>11448000000</v>
      </c>
      <c r="X13">
        <v>11375000000</v>
      </c>
      <c r="Y13">
        <v>11924000000</v>
      </c>
      <c r="Z13">
        <v>13660000000</v>
      </c>
      <c r="AA13">
        <v>16619000000</v>
      </c>
      <c r="AB13">
        <v>13760000000</v>
      </c>
      <c r="AC13">
        <v>12620000000</v>
      </c>
      <c r="AD13">
        <v>10621000000</v>
      </c>
      <c r="AE13">
        <v>10284000000</v>
      </c>
      <c r="AF13">
        <v>10073000000</v>
      </c>
      <c r="AG13">
        <v>5539000000</v>
      </c>
      <c r="AH13">
        <v>5810000000</v>
      </c>
      <c r="AI13">
        <v>6492000000</v>
      </c>
      <c r="AJ13">
        <v>4401000000</v>
      </c>
      <c r="AK13">
        <v>3752000000</v>
      </c>
      <c r="AL13">
        <v>5286000000</v>
      </c>
      <c r="AM13">
        <v>4188000000</v>
      </c>
      <c r="AN13">
        <v>4778000000</v>
      </c>
      <c r="AO13">
        <v>5332000000</v>
      </c>
      <c r="AP13">
        <v>6086000000</v>
      </c>
      <c r="AQ13">
        <v>4929000000</v>
      </c>
      <c r="AR13">
        <v>3466000000</v>
      </c>
      <c r="AS13">
        <v>2744000000</v>
      </c>
      <c r="AT13">
        <v>2105000000</v>
      </c>
      <c r="AU13">
        <v>2901000000</v>
      </c>
      <c r="AV13">
        <v>2379000000</v>
      </c>
      <c r="AW13">
        <v>4076000000</v>
      </c>
      <c r="AX13">
        <v>4497000000</v>
      </c>
      <c r="AY13">
        <v>4198000000</v>
      </c>
      <c r="AZ13">
        <v>3237000000</v>
      </c>
      <c r="BA13">
        <v>4160000000</v>
      </c>
      <c r="BB13">
        <v>4126000000</v>
      </c>
      <c r="BC13">
        <v>5446000000</v>
      </c>
      <c r="BD13">
        <v>7377000000</v>
      </c>
      <c r="BE13">
        <v>6034000000</v>
      </c>
      <c r="BF13">
        <v>7185000000</v>
      </c>
      <c r="BG13">
        <v>7631000000</v>
      </c>
      <c r="BH13">
        <v>10490000000</v>
      </c>
      <c r="BI13">
        <v>12782000000</v>
      </c>
      <c r="BJ13">
        <v>11766000000</v>
      </c>
      <c r="BK13">
        <v>9651000000</v>
      </c>
      <c r="BL13">
        <v>8120000000</v>
      </c>
      <c r="BM13">
        <v>6474000000</v>
      </c>
      <c r="BN13">
        <v>8071000000</v>
      </c>
      <c r="BO13">
        <v>10869000000</v>
      </c>
      <c r="BP13">
        <v>7241000000</v>
      </c>
      <c r="BQ13">
        <v>5605000000</v>
      </c>
      <c r="BR13">
        <v>6625000000</v>
      </c>
    </row>
    <row r="14" spans="1:70">
      <c r="A14" t="s">
        <v>25</v>
      </c>
      <c r="B14" t="s">
        <v>26</v>
      </c>
      <c r="C14" t="s">
        <v>9</v>
      </c>
      <c r="D14" t="s">
        <v>10</v>
      </c>
      <c r="M14">
        <v>13000000</v>
      </c>
      <c r="N14">
        <v>12000000</v>
      </c>
      <c r="O14">
        <v>67000000</v>
      </c>
      <c r="P14">
        <v>24000000</v>
      </c>
      <c r="Q14">
        <v>28000000</v>
      </c>
      <c r="R14">
        <v>88000000</v>
      </c>
      <c r="S14">
        <v>100000000</v>
      </c>
      <c r="T14">
        <v>145000000</v>
      </c>
      <c r="U14">
        <v>275000000</v>
      </c>
      <c r="V14">
        <v>310000000</v>
      </c>
      <c r="W14">
        <v>230000000</v>
      </c>
      <c r="X14">
        <v>39000000</v>
      </c>
      <c r="Y14">
        <v>213000000</v>
      </c>
      <c r="Z14">
        <v>420000000</v>
      </c>
      <c r="AA14">
        <v>155000000</v>
      </c>
      <c r="AB14">
        <v>163000000</v>
      </c>
      <c r="AC14">
        <v>310000000</v>
      </c>
      <c r="AD14">
        <v>145000000</v>
      </c>
      <c r="AE14">
        <v>132000000</v>
      </c>
      <c r="AF14">
        <v>195000000</v>
      </c>
      <c r="AG14">
        <v>45000000</v>
      </c>
      <c r="AH14">
        <v>663000000</v>
      </c>
      <c r="AI14">
        <v>561000000</v>
      </c>
      <c r="AJ14">
        <v>237000000</v>
      </c>
      <c r="AK14">
        <v>205000000</v>
      </c>
      <c r="AL14">
        <v>582000000</v>
      </c>
      <c r="AM14">
        <v>571000000</v>
      </c>
      <c r="AN14">
        <v>426000000</v>
      </c>
      <c r="AO14">
        <v>481000000</v>
      </c>
      <c r="AP14">
        <v>690000000</v>
      </c>
      <c r="AQ14">
        <v>757000000</v>
      </c>
      <c r="AR14">
        <v>441000000</v>
      </c>
      <c r="AS14">
        <v>244000000</v>
      </c>
      <c r="AT14">
        <v>186000000</v>
      </c>
      <c r="AU14">
        <v>223000000</v>
      </c>
      <c r="AV14">
        <v>676000000</v>
      </c>
      <c r="AW14">
        <v>1145000000</v>
      </c>
      <c r="AX14">
        <v>2072000000</v>
      </c>
      <c r="AY14">
        <v>1925000000</v>
      </c>
      <c r="AZ14">
        <v>819000000</v>
      </c>
      <c r="BA14">
        <v>730000000</v>
      </c>
      <c r="BB14">
        <v>604000000</v>
      </c>
      <c r="BC14">
        <v>650000000</v>
      </c>
      <c r="BD14">
        <v>1217000000</v>
      </c>
      <c r="BE14">
        <v>1139000000</v>
      </c>
      <c r="BF14">
        <v>2324000000</v>
      </c>
      <c r="BG14">
        <v>736000000</v>
      </c>
      <c r="BH14">
        <v>1691000000</v>
      </c>
      <c r="BI14">
        <v>1491000000</v>
      </c>
      <c r="BJ14">
        <v>909000000</v>
      </c>
      <c r="BK14">
        <v>1165000000</v>
      </c>
      <c r="BL14">
        <v>750000000</v>
      </c>
      <c r="BM14">
        <v>660000000</v>
      </c>
      <c r="BN14">
        <v>577000000</v>
      </c>
      <c r="BO14">
        <v>756000000</v>
      </c>
      <c r="BP14">
        <v>918000000</v>
      </c>
      <c r="BQ14">
        <v>1086000000</v>
      </c>
      <c r="BR14">
        <v>868000000</v>
      </c>
    </row>
    <row r="15" spans="1:70">
      <c r="A15" t="s">
        <v>27</v>
      </c>
      <c r="B15" t="s">
        <v>28</v>
      </c>
      <c r="C15" t="s">
        <v>9</v>
      </c>
      <c r="D15" t="s">
        <v>10</v>
      </c>
      <c r="E15">
        <v>111000000</v>
      </c>
      <c r="F15">
        <v>205000000</v>
      </c>
      <c r="G15">
        <v>47000000</v>
      </c>
      <c r="H15">
        <v>29000000</v>
      </c>
      <c r="I15">
        <v>19000000</v>
      </c>
      <c r="J15">
        <v>7000000</v>
      </c>
      <c r="K15">
        <v>93000000</v>
      </c>
      <c r="L15">
        <v>143000000</v>
      </c>
      <c r="M15">
        <v>430000000</v>
      </c>
      <c r="N15">
        <v>230000000</v>
      </c>
      <c r="O15">
        <v>257000000</v>
      </c>
      <c r="P15">
        <v>363000000</v>
      </c>
      <c r="Q15">
        <v>402000000</v>
      </c>
      <c r="R15">
        <v>248000000</v>
      </c>
      <c r="S15">
        <v>450000000</v>
      </c>
      <c r="T15">
        <v>268000000</v>
      </c>
      <c r="U15">
        <v>499000000</v>
      </c>
      <c r="V15">
        <v>204000000</v>
      </c>
      <c r="W15">
        <v>434000000</v>
      </c>
      <c r="X15">
        <v>451000000</v>
      </c>
      <c r="Y15">
        <v>445000000</v>
      </c>
      <c r="Z15">
        <v>833000000</v>
      </c>
      <c r="AA15">
        <v>406000000</v>
      </c>
      <c r="AB15">
        <v>1309000000</v>
      </c>
      <c r="AC15">
        <v>724000000</v>
      </c>
      <c r="AD15">
        <v>485000000</v>
      </c>
      <c r="AE15">
        <v>219000000</v>
      </c>
      <c r="AF15">
        <v>217000000</v>
      </c>
      <c r="AG15">
        <v>71000000</v>
      </c>
      <c r="AH15">
        <v>6000000</v>
      </c>
      <c r="AI15">
        <v>159000000</v>
      </c>
      <c r="AK15">
        <v>27000000</v>
      </c>
      <c r="AM15">
        <v>209000000</v>
      </c>
      <c r="AN15">
        <v>43000000</v>
      </c>
      <c r="AO15">
        <v>21000000</v>
      </c>
      <c r="AP15">
        <v>105000000</v>
      </c>
      <c r="AQ15">
        <v>171000000</v>
      </c>
      <c r="AR15">
        <v>276000000</v>
      </c>
      <c r="AS15">
        <v>208000000</v>
      </c>
      <c r="AT15">
        <v>6000000</v>
      </c>
      <c r="AU15">
        <v>15000000</v>
      </c>
      <c r="AV15">
        <v>11000000</v>
      </c>
      <c r="AW15">
        <v>161000000</v>
      </c>
      <c r="AX15">
        <v>3000000</v>
      </c>
      <c r="AY15">
        <v>9000000</v>
      </c>
      <c r="AZ15">
        <v>24000000</v>
      </c>
      <c r="BA15">
        <v>21000000</v>
      </c>
      <c r="BB15">
        <v>15000000</v>
      </c>
      <c r="BC15">
        <v>11000000</v>
      </c>
      <c r="BD15">
        <v>16000000</v>
      </c>
      <c r="BE15">
        <v>5000000</v>
      </c>
      <c r="BF15">
        <v>13000000</v>
      </c>
      <c r="BG15">
        <v>6000000</v>
      </c>
      <c r="BH15">
        <v>18000000</v>
      </c>
      <c r="BI15">
        <v>17000000</v>
      </c>
      <c r="BJ15">
        <v>47000000</v>
      </c>
      <c r="BK15">
        <v>19000000</v>
      </c>
      <c r="BL15">
        <v>51000000</v>
      </c>
      <c r="BM15">
        <v>7000000</v>
      </c>
      <c r="BN15">
        <v>77000000</v>
      </c>
      <c r="BO15">
        <v>50000000</v>
      </c>
      <c r="BP15">
        <v>22000000</v>
      </c>
      <c r="BQ15">
        <v>45000000</v>
      </c>
      <c r="BR15">
        <v>108000000</v>
      </c>
    </row>
    <row r="16" spans="1:70">
      <c r="A16" t="s">
        <v>29</v>
      </c>
      <c r="B16" t="s">
        <v>30</v>
      </c>
      <c r="C16" t="s">
        <v>9</v>
      </c>
      <c r="D16" t="s">
        <v>10</v>
      </c>
      <c r="AL16">
        <v>2000000</v>
      </c>
      <c r="AM16">
        <v>181000000</v>
      </c>
      <c r="AN16">
        <v>47000000</v>
      </c>
      <c r="AO16">
        <v>68000000</v>
      </c>
      <c r="AR16">
        <v>2000000</v>
      </c>
      <c r="AW16">
        <v>118000000</v>
      </c>
      <c r="AZ16">
        <v>1000000</v>
      </c>
      <c r="BB16">
        <v>46000000</v>
      </c>
      <c r="BC16">
        <v>52000000</v>
      </c>
      <c r="BD16">
        <v>5000000</v>
      </c>
      <c r="BF16">
        <v>52000000</v>
      </c>
      <c r="BI16">
        <v>112000000</v>
      </c>
      <c r="BJ16">
        <v>22000000</v>
      </c>
      <c r="BL16">
        <v>248000000</v>
      </c>
      <c r="BN16">
        <v>32000000</v>
      </c>
      <c r="BO16">
        <v>29000000</v>
      </c>
      <c r="BP16">
        <v>7000000</v>
      </c>
      <c r="BQ16">
        <v>32000000</v>
      </c>
      <c r="BR16">
        <v>21000000</v>
      </c>
    </row>
    <row r="17" spans="1:70">
      <c r="A17" t="s">
        <v>31</v>
      </c>
      <c r="B17" t="s">
        <v>32</v>
      </c>
      <c r="C17" t="s">
        <v>9</v>
      </c>
      <c r="D17" t="s">
        <v>10</v>
      </c>
    </row>
    <row r="18" spans="1:70">
      <c r="A18" t="s">
        <v>33</v>
      </c>
      <c r="B18" t="s">
        <v>34</v>
      </c>
      <c r="C18" t="s">
        <v>9</v>
      </c>
      <c r="D18" t="s">
        <v>10</v>
      </c>
      <c r="BO18">
        <v>0</v>
      </c>
      <c r="BP18">
        <v>0</v>
      </c>
    </row>
    <row r="19" spans="1:70">
      <c r="A19" t="s">
        <v>35</v>
      </c>
      <c r="B19" t="s">
        <v>36</v>
      </c>
      <c r="C19" t="s">
        <v>9</v>
      </c>
      <c r="D19" t="s">
        <v>10</v>
      </c>
      <c r="E19">
        <v>116000000</v>
      </c>
      <c r="F19">
        <v>155000000</v>
      </c>
      <c r="G19">
        <v>460000000</v>
      </c>
      <c r="H19">
        <v>369000000</v>
      </c>
      <c r="I19">
        <v>539000000</v>
      </c>
      <c r="J19">
        <v>920000000</v>
      </c>
      <c r="K19">
        <v>707000000</v>
      </c>
      <c r="L19">
        <v>770000000</v>
      </c>
      <c r="M19">
        <v>557000000</v>
      </c>
      <c r="N19">
        <v>702000000</v>
      </c>
      <c r="O19">
        <v>230000000</v>
      </c>
      <c r="P19">
        <v>310000000</v>
      </c>
      <c r="Q19">
        <v>63000000</v>
      </c>
      <c r="R19">
        <v>713000000</v>
      </c>
      <c r="S19">
        <v>898000000</v>
      </c>
      <c r="T19">
        <v>108000000</v>
      </c>
      <c r="U19">
        <v>91000000</v>
      </c>
      <c r="V19">
        <v>278000000</v>
      </c>
      <c r="W19">
        <v>1029000000</v>
      </c>
      <c r="X19">
        <v>197000000</v>
      </c>
      <c r="Y19">
        <v>409000000</v>
      </c>
      <c r="Z19">
        <v>449000000</v>
      </c>
      <c r="AA19">
        <v>134000000</v>
      </c>
      <c r="AB19">
        <v>637000000</v>
      </c>
      <c r="AC19">
        <v>635000000</v>
      </c>
      <c r="AD19">
        <v>510000000</v>
      </c>
      <c r="AE19">
        <v>815000000</v>
      </c>
      <c r="AF19">
        <v>594000000</v>
      </c>
      <c r="AG19">
        <v>745000000</v>
      </c>
      <c r="AH19">
        <v>695000000</v>
      </c>
      <c r="AI19">
        <v>356000000</v>
      </c>
      <c r="AJ19">
        <v>219000000</v>
      </c>
      <c r="AK19">
        <v>364000000</v>
      </c>
      <c r="AL19">
        <v>448000000</v>
      </c>
      <c r="AM19">
        <v>262000000</v>
      </c>
      <c r="AN19">
        <v>64000000</v>
      </c>
      <c r="AO19">
        <v>597000000</v>
      </c>
      <c r="AP19">
        <v>35000000</v>
      </c>
      <c r="AQ19">
        <v>542000000</v>
      </c>
      <c r="AR19">
        <v>678000000</v>
      </c>
      <c r="AS19">
        <v>326000000</v>
      </c>
      <c r="AT19">
        <v>1215000000</v>
      </c>
      <c r="AU19">
        <v>638000000</v>
      </c>
      <c r="AV19">
        <v>765000000</v>
      </c>
      <c r="AW19">
        <v>447000000</v>
      </c>
      <c r="AX19">
        <v>458000000</v>
      </c>
      <c r="AY19">
        <v>721000000</v>
      </c>
      <c r="AZ19">
        <v>618000000</v>
      </c>
      <c r="BA19">
        <v>430000000</v>
      </c>
      <c r="BB19">
        <v>805000000</v>
      </c>
      <c r="BC19">
        <v>1558000000</v>
      </c>
      <c r="BD19">
        <v>1582000000</v>
      </c>
      <c r="BE19">
        <v>787000000</v>
      </c>
      <c r="BF19">
        <v>220000000</v>
      </c>
      <c r="BG19">
        <v>848000000</v>
      </c>
      <c r="BH19">
        <v>1445000000</v>
      </c>
      <c r="BI19">
        <v>1012000000</v>
      </c>
      <c r="BJ19">
        <v>1664000000</v>
      </c>
      <c r="BK19">
        <v>1553000000</v>
      </c>
      <c r="BL19">
        <v>1159000000</v>
      </c>
      <c r="BM19">
        <v>1632000000</v>
      </c>
      <c r="BN19">
        <v>1218000000</v>
      </c>
      <c r="BO19">
        <v>809000000</v>
      </c>
      <c r="BP19">
        <v>376000000</v>
      </c>
      <c r="BQ19">
        <v>1077000000</v>
      </c>
      <c r="BR19">
        <v>826000000</v>
      </c>
    </row>
    <row r="20" spans="1:70">
      <c r="A20" t="s">
        <v>37</v>
      </c>
      <c r="B20" t="s">
        <v>38</v>
      </c>
      <c r="C20" t="s">
        <v>9</v>
      </c>
      <c r="D20" t="s">
        <v>10</v>
      </c>
      <c r="E20">
        <v>16000000</v>
      </c>
      <c r="F20">
        <v>27000000</v>
      </c>
      <c r="G20">
        <v>56000000</v>
      </c>
      <c r="H20">
        <v>201000000</v>
      </c>
      <c r="I20">
        <v>74000000</v>
      </c>
      <c r="J20">
        <v>78000000</v>
      </c>
      <c r="K20">
        <v>61000000</v>
      </c>
      <c r="L20">
        <v>48000000</v>
      </c>
      <c r="M20">
        <v>1000000</v>
      </c>
      <c r="N20">
        <v>12000000</v>
      </c>
      <c r="O20">
        <v>99000000</v>
      </c>
      <c r="P20">
        <v>123000000</v>
      </c>
      <c r="Q20">
        <v>93000000</v>
      </c>
      <c r="R20">
        <v>38000000</v>
      </c>
      <c r="S20">
        <v>32000000</v>
      </c>
      <c r="T20">
        <v>12000000</v>
      </c>
      <c r="U20">
        <v>12000000</v>
      </c>
      <c r="W20">
        <v>8000000</v>
      </c>
      <c r="X20">
        <v>72000000</v>
      </c>
      <c r="Y20">
        <v>177000000</v>
      </c>
      <c r="Z20">
        <v>73000000</v>
      </c>
      <c r="AA20">
        <v>97000000</v>
      </c>
      <c r="AB20">
        <v>145000000</v>
      </c>
      <c r="AC20">
        <v>13000000</v>
      </c>
      <c r="AD20">
        <v>28000000</v>
      </c>
      <c r="AE20">
        <v>19000000</v>
      </c>
      <c r="AF20">
        <v>7000000</v>
      </c>
      <c r="AG20">
        <v>117000000</v>
      </c>
      <c r="AH20">
        <v>84000000</v>
      </c>
      <c r="AI20">
        <v>5000000</v>
      </c>
      <c r="AJ20">
        <v>6000000</v>
      </c>
      <c r="AK20">
        <v>5000000</v>
      </c>
      <c r="AL20">
        <v>8000000</v>
      </c>
      <c r="AM20">
        <v>52000000</v>
      </c>
      <c r="AN20">
        <v>30000000</v>
      </c>
      <c r="AO20">
        <v>9000000</v>
      </c>
      <c r="AP20">
        <v>190000000</v>
      </c>
      <c r="AQ20">
        <v>247000000</v>
      </c>
      <c r="AR20">
        <v>48000000</v>
      </c>
      <c r="AS20">
        <v>25000000</v>
      </c>
      <c r="AT20">
        <v>15000000</v>
      </c>
      <c r="AU20">
        <v>81000000</v>
      </c>
      <c r="AV20">
        <v>41000000</v>
      </c>
      <c r="AW20">
        <v>56000000</v>
      </c>
      <c r="AX20">
        <v>26000000</v>
      </c>
      <c r="AY20">
        <v>5000000</v>
      </c>
      <c r="AZ20">
        <v>269000000</v>
      </c>
      <c r="BA20">
        <v>190000000</v>
      </c>
      <c r="BB20">
        <v>286000000</v>
      </c>
      <c r="BC20">
        <v>5000000</v>
      </c>
      <c r="BD20">
        <v>6000000</v>
      </c>
      <c r="BE20">
        <v>6000000</v>
      </c>
      <c r="BF20">
        <v>5000000</v>
      </c>
      <c r="BG20">
        <v>2000000</v>
      </c>
      <c r="BH20">
        <v>1000000</v>
      </c>
      <c r="BI20">
        <v>13000000</v>
      </c>
      <c r="BJ20">
        <v>10000000</v>
      </c>
      <c r="BK20">
        <v>6000000</v>
      </c>
      <c r="BL20">
        <v>18000000</v>
      </c>
      <c r="BM20">
        <v>14000000</v>
      </c>
      <c r="BN20">
        <v>34000000</v>
      </c>
      <c r="BO20">
        <v>5000000</v>
      </c>
      <c r="BP20">
        <v>17000000</v>
      </c>
      <c r="BQ20">
        <v>13000000</v>
      </c>
      <c r="BR20">
        <v>29000000</v>
      </c>
    </row>
    <row r="21" spans="1:70">
      <c r="A21" t="s">
        <v>39</v>
      </c>
      <c r="B21" t="s">
        <v>40</v>
      </c>
      <c r="C21" t="s">
        <v>9</v>
      </c>
      <c r="D21" t="s">
        <v>10</v>
      </c>
      <c r="AL21">
        <v>50000000</v>
      </c>
      <c r="AM21">
        <v>25000000</v>
      </c>
      <c r="AS21">
        <v>3000000</v>
      </c>
      <c r="AU21">
        <v>89000000</v>
      </c>
      <c r="AW21">
        <v>4000000</v>
      </c>
      <c r="AX21">
        <v>63000000</v>
      </c>
      <c r="AY21">
        <v>168000000</v>
      </c>
      <c r="AZ21">
        <v>213000000</v>
      </c>
      <c r="BA21">
        <v>34000000</v>
      </c>
      <c r="BB21">
        <v>147000000</v>
      </c>
      <c r="BC21">
        <v>163000000</v>
      </c>
      <c r="BD21">
        <v>569000000</v>
      </c>
      <c r="BE21">
        <v>397000000</v>
      </c>
      <c r="BF21">
        <v>398000000</v>
      </c>
      <c r="BG21">
        <v>642000000</v>
      </c>
      <c r="BH21">
        <v>351000000</v>
      </c>
      <c r="BI21">
        <v>287000000</v>
      </c>
      <c r="BJ21">
        <v>290000000</v>
      </c>
      <c r="BK21">
        <v>375000000</v>
      </c>
      <c r="BL21">
        <v>44000000</v>
      </c>
      <c r="BM21">
        <v>51000000</v>
      </c>
      <c r="BO21">
        <v>9000000</v>
      </c>
      <c r="BP21">
        <v>3000000</v>
      </c>
      <c r="BQ21">
        <v>75000000</v>
      </c>
      <c r="BR21">
        <v>463000000</v>
      </c>
    </row>
    <row r="22" spans="1:70">
      <c r="A22" t="s">
        <v>41</v>
      </c>
      <c r="B22" t="s">
        <v>42</v>
      </c>
      <c r="C22" t="s">
        <v>9</v>
      </c>
      <c r="D22" t="s">
        <v>10</v>
      </c>
      <c r="K22">
        <v>9000000</v>
      </c>
      <c r="L22">
        <v>2000000</v>
      </c>
      <c r="N22">
        <v>3000000</v>
      </c>
      <c r="R22">
        <v>0</v>
      </c>
      <c r="Y22">
        <v>1000000</v>
      </c>
      <c r="Z22">
        <v>5000000</v>
      </c>
      <c r="AA22">
        <v>3000000</v>
      </c>
      <c r="AB22">
        <v>11000000</v>
      </c>
      <c r="AC22">
        <v>2000000</v>
      </c>
      <c r="AH22">
        <v>6000000</v>
      </c>
      <c r="AI22">
        <v>6000000</v>
      </c>
      <c r="AQ22">
        <v>12000000</v>
      </c>
      <c r="AT22">
        <v>1000000</v>
      </c>
      <c r="AU22">
        <v>3000000</v>
      </c>
      <c r="BB22">
        <v>1000000</v>
      </c>
      <c r="BC22">
        <v>2000000</v>
      </c>
      <c r="BE22">
        <v>5000000</v>
      </c>
      <c r="BH22">
        <v>1000000</v>
      </c>
      <c r="BI22">
        <v>3000000</v>
      </c>
      <c r="BL22">
        <v>2000000</v>
      </c>
    </row>
    <row r="23" spans="1:70">
      <c r="A23" t="s">
        <v>43</v>
      </c>
      <c r="B23" t="s">
        <v>44</v>
      </c>
      <c r="C23" t="s">
        <v>9</v>
      </c>
      <c r="D23" t="s">
        <v>10</v>
      </c>
      <c r="E23">
        <v>92000000</v>
      </c>
      <c r="F23">
        <v>132000000</v>
      </c>
      <c r="G23">
        <v>188000000</v>
      </c>
      <c r="H23">
        <v>575000000</v>
      </c>
      <c r="I23">
        <v>652000000</v>
      </c>
      <c r="J23">
        <v>521000000</v>
      </c>
      <c r="K23">
        <v>116000000</v>
      </c>
      <c r="L23">
        <v>39000000</v>
      </c>
      <c r="M23">
        <v>220000000</v>
      </c>
      <c r="N23">
        <v>240000000</v>
      </c>
      <c r="O23">
        <v>514000000</v>
      </c>
      <c r="P23">
        <v>499000000</v>
      </c>
      <c r="Q23">
        <v>492000000</v>
      </c>
      <c r="R23">
        <v>562000000</v>
      </c>
      <c r="S23">
        <v>113000000</v>
      </c>
      <c r="T23">
        <v>130000000</v>
      </c>
      <c r="U23">
        <v>184000000</v>
      </c>
      <c r="V23">
        <v>187000000</v>
      </c>
      <c r="W23">
        <v>409000000</v>
      </c>
      <c r="X23">
        <v>779000000</v>
      </c>
      <c r="Y23">
        <v>565000000</v>
      </c>
      <c r="Z23">
        <v>515000000</v>
      </c>
      <c r="AA23">
        <v>433000000</v>
      </c>
      <c r="AB23">
        <v>580000000</v>
      </c>
      <c r="AC23">
        <v>575000000</v>
      </c>
      <c r="AD23">
        <v>287000000</v>
      </c>
      <c r="AE23">
        <v>91000000</v>
      </c>
      <c r="AF23">
        <v>91000000</v>
      </c>
      <c r="AG23">
        <v>407000000</v>
      </c>
      <c r="AH23">
        <v>203000000</v>
      </c>
      <c r="AI23">
        <v>314000000</v>
      </c>
      <c r="AJ23">
        <v>125000000</v>
      </c>
      <c r="AK23">
        <v>48000000</v>
      </c>
      <c r="AL23">
        <v>73000000</v>
      </c>
      <c r="AM23">
        <v>47000000</v>
      </c>
      <c r="AN23">
        <v>16000000</v>
      </c>
      <c r="AO23">
        <v>3000000</v>
      </c>
      <c r="AP23">
        <v>50000000</v>
      </c>
      <c r="AQ23">
        <v>55000000</v>
      </c>
      <c r="AR23">
        <v>58000000</v>
      </c>
      <c r="AS23">
        <v>36000000</v>
      </c>
      <c r="AT23">
        <v>30000000</v>
      </c>
      <c r="AU23">
        <v>48000000</v>
      </c>
      <c r="AV23">
        <v>21000000</v>
      </c>
      <c r="AW23">
        <v>15000000</v>
      </c>
      <c r="AX23">
        <v>3000000</v>
      </c>
      <c r="AY23">
        <v>15000000</v>
      </c>
      <c r="AZ23">
        <v>171000000</v>
      </c>
      <c r="BA23">
        <v>191000000</v>
      </c>
      <c r="BB23">
        <v>87000000</v>
      </c>
      <c r="BC23">
        <v>40000000</v>
      </c>
      <c r="BD23">
        <v>27000000</v>
      </c>
      <c r="BE23">
        <v>33000000</v>
      </c>
      <c r="BF23">
        <v>48000000</v>
      </c>
      <c r="BG23">
        <v>99000000</v>
      </c>
      <c r="BH23">
        <v>52000000</v>
      </c>
      <c r="BI23">
        <v>4000000</v>
      </c>
      <c r="BJ23">
        <v>7000000</v>
      </c>
      <c r="BK23">
        <v>1000000</v>
      </c>
      <c r="BL23">
        <v>9000000</v>
      </c>
      <c r="BM23">
        <v>90000000</v>
      </c>
      <c r="BN23">
        <v>255000000</v>
      </c>
      <c r="BO23">
        <v>170000000</v>
      </c>
      <c r="BP23">
        <v>12000000</v>
      </c>
      <c r="BQ23">
        <v>508000000</v>
      </c>
      <c r="BR23">
        <v>430000000</v>
      </c>
    </row>
    <row r="24" spans="1:70">
      <c r="A24" t="s">
        <v>45</v>
      </c>
      <c r="B24" t="s">
        <v>46</v>
      </c>
      <c r="C24" t="s">
        <v>9</v>
      </c>
      <c r="D24" t="s">
        <v>10</v>
      </c>
      <c r="F24">
        <v>2000000</v>
      </c>
      <c r="G24">
        <v>1000000</v>
      </c>
      <c r="I24">
        <v>2000000</v>
      </c>
      <c r="K24">
        <v>1000000</v>
      </c>
      <c r="O24">
        <v>0</v>
      </c>
      <c r="P24">
        <v>2000000</v>
      </c>
      <c r="R24">
        <v>1000000</v>
      </c>
      <c r="W24">
        <v>26000000</v>
      </c>
      <c r="X24">
        <v>6000000</v>
      </c>
      <c r="AA24">
        <v>10000000</v>
      </c>
      <c r="AB24">
        <v>3000000</v>
      </c>
      <c r="AC24">
        <v>1000000</v>
      </c>
      <c r="AD24">
        <v>3000000</v>
      </c>
      <c r="AF24">
        <v>1000000</v>
      </c>
      <c r="AG24">
        <v>0</v>
      </c>
      <c r="AH24">
        <v>0</v>
      </c>
      <c r="AU24">
        <v>7000000</v>
      </c>
      <c r="AZ24">
        <v>3000000</v>
      </c>
      <c r="BB24">
        <v>1000000</v>
      </c>
      <c r="BC24">
        <v>0</v>
      </c>
      <c r="BD24">
        <v>0</v>
      </c>
      <c r="BE24">
        <v>20000000</v>
      </c>
      <c r="BF24">
        <v>3000000</v>
      </c>
      <c r="BI24">
        <v>1000000</v>
      </c>
      <c r="BM24">
        <v>1000000</v>
      </c>
      <c r="BO24">
        <v>3000000</v>
      </c>
      <c r="BP24">
        <v>12000000</v>
      </c>
      <c r="BQ24">
        <v>7000000</v>
      </c>
      <c r="BR24">
        <v>4000000</v>
      </c>
    </row>
    <row r="25" spans="1:70">
      <c r="A25" t="s">
        <v>47</v>
      </c>
      <c r="B25" t="s">
        <v>48</v>
      </c>
      <c r="C25" t="s">
        <v>9</v>
      </c>
      <c r="D25" t="s">
        <v>10</v>
      </c>
      <c r="F25">
        <v>1000000</v>
      </c>
      <c r="I25">
        <v>1000000</v>
      </c>
      <c r="J25">
        <v>0</v>
      </c>
      <c r="K25">
        <v>0</v>
      </c>
      <c r="M25">
        <v>0</v>
      </c>
      <c r="N25">
        <v>1000000</v>
      </c>
      <c r="O25">
        <v>1000000</v>
      </c>
      <c r="P25">
        <v>1000000</v>
      </c>
      <c r="T25">
        <v>14000000</v>
      </c>
      <c r="U25">
        <v>8000000</v>
      </c>
      <c r="V25">
        <v>9000000</v>
      </c>
      <c r="Y25">
        <v>0</v>
      </c>
      <c r="Z25">
        <v>9000000</v>
      </c>
      <c r="AA25">
        <v>1000000</v>
      </c>
      <c r="AB25">
        <v>16000000</v>
      </c>
      <c r="AC25">
        <v>9000000</v>
      </c>
      <c r="AD25">
        <v>2000000</v>
      </c>
      <c r="AE25">
        <v>3000000</v>
      </c>
      <c r="AG25">
        <v>12000000</v>
      </c>
      <c r="AJ25">
        <v>4000000</v>
      </c>
      <c r="AL25">
        <v>7000000</v>
      </c>
      <c r="AR25">
        <v>0</v>
      </c>
      <c r="AX25">
        <v>12000000</v>
      </c>
      <c r="AY25">
        <v>4000000</v>
      </c>
      <c r="AZ25">
        <v>4000000</v>
      </c>
      <c r="BB25">
        <v>3000000</v>
      </c>
      <c r="BC25">
        <v>0</v>
      </c>
      <c r="BD25">
        <v>16000000</v>
      </c>
      <c r="BE25">
        <v>3000000</v>
      </c>
      <c r="BH25">
        <v>5000000</v>
      </c>
      <c r="BI25">
        <v>7000000</v>
      </c>
      <c r="BJ25">
        <v>2000000</v>
      </c>
      <c r="BK25">
        <v>24000000</v>
      </c>
      <c r="BL25">
        <v>7000000</v>
      </c>
      <c r="BM25">
        <v>3000000</v>
      </c>
      <c r="BN25">
        <v>26000000</v>
      </c>
      <c r="BO25">
        <v>12000000</v>
      </c>
      <c r="BP25">
        <v>19000000</v>
      </c>
      <c r="BQ25">
        <v>37000000</v>
      </c>
      <c r="BR25">
        <v>34000000</v>
      </c>
    </row>
    <row r="26" spans="1:70">
      <c r="A26" t="s">
        <v>49</v>
      </c>
      <c r="B26" t="s">
        <v>50</v>
      </c>
      <c r="C26" t="s">
        <v>9</v>
      </c>
      <c r="D26" t="s">
        <v>10</v>
      </c>
      <c r="P26">
        <v>10000000</v>
      </c>
      <c r="Q26">
        <v>2000000</v>
      </c>
      <c r="R26">
        <v>76000000</v>
      </c>
      <c r="S26">
        <v>44000000</v>
      </c>
      <c r="T26">
        <v>39000000</v>
      </c>
      <c r="U26">
        <v>70000000</v>
      </c>
      <c r="V26">
        <v>62000000</v>
      </c>
      <c r="W26">
        <v>45000000</v>
      </c>
      <c r="X26">
        <v>1000000</v>
      </c>
      <c r="Y26">
        <v>55000000</v>
      </c>
      <c r="Z26">
        <v>72000000</v>
      </c>
      <c r="AA26">
        <v>128000000</v>
      </c>
      <c r="AB26">
        <v>109000000</v>
      </c>
      <c r="AC26">
        <v>9000000</v>
      </c>
      <c r="AD26">
        <v>124000000</v>
      </c>
      <c r="AE26">
        <v>4000000</v>
      </c>
      <c r="AF26">
        <v>1000000</v>
      </c>
      <c r="AG26">
        <v>242000000</v>
      </c>
      <c r="AH26">
        <v>302000000</v>
      </c>
      <c r="AI26">
        <v>199000000</v>
      </c>
      <c r="AJ26">
        <v>79000000</v>
      </c>
      <c r="AK26">
        <v>113000000</v>
      </c>
      <c r="AL26">
        <v>49000000</v>
      </c>
      <c r="AM26">
        <v>61000000</v>
      </c>
      <c r="AN26">
        <v>123000000</v>
      </c>
      <c r="AO26">
        <v>7000000</v>
      </c>
      <c r="AP26">
        <v>26000000</v>
      </c>
      <c r="AQ26">
        <v>1000000</v>
      </c>
      <c r="AR26">
        <v>184000000</v>
      </c>
      <c r="AS26">
        <v>200000000</v>
      </c>
      <c r="AT26">
        <v>274000000</v>
      </c>
      <c r="AU26">
        <v>37000000</v>
      </c>
      <c r="AV26">
        <v>8000000</v>
      </c>
      <c r="AW26">
        <v>32000000</v>
      </c>
      <c r="AX26">
        <v>10000000</v>
      </c>
      <c r="AY26">
        <v>221000000</v>
      </c>
      <c r="AZ26">
        <v>82000000</v>
      </c>
      <c r="BA26">
        <v>12000000</v>
      </c>
      <c r="BC26">
        <v>36000000</v>
      </c>
      <c r="BD26">
        <v>120000000</v>
      </c>
      <c r="BE26">
        <v>199000000</v>
      </c>
      <c r="BF26">
        <v>648000000</v>
      </c>
      <c r="BG26">
        <v>207000000</v>
      </c>
      <c r="BH26">
        <v>638000000</v>
      </c>
      <c r="BI26">
        <v>455000000</v>
      </c>
      <c r="BJ26">
        <v>334000000</v>
      </c>
      <c r="BK26">
        <v>161000000</v>
      </c>
      <c r="BL26">
        <v>713000000</v>
      </c>
      <c r="BM26">
        <v>70000000</v>
      </c>
      <c r="BN26">
        <v>60000000</v>
      </c>
      <c r="BO26">
        <v>331000000</v>
      </c>
      <c r="BP26">
        <v>74000000</v>
      </c>
      <c r="BQ26">
        <v>70000000</v>
      </c>
      <c r="BR26">
        <v>32000000</v>
      </c>
    </row>
    <row r="27" spans="1:70">
      <c r="A27" t="s">
        <v>51</v>
      </c>
      <c r="B27" t="s">
        <v>52</v>
      </c>
      <c r="C27" t="s">
        <v>9</v>
      </c>
      <c r="D27" t="s">
        <v>10</v>
      </c>
      <c r="E27">
        <v>482000000</v>
      </c>
      <c r="F27">
        <v>522000000</v>
      </c>
      <c r="G27">
        <v>493000000</v>
      </c>
      <c r="H27">
        <v>553000000</v>
      </c>
      <c r="I27">
        <v>326000000</v>
      </c>
      <c r="J27">
        <v>372000000</v>
      </c>
      <c r="K27">
        <v>218000000</v>
      </c>
      <c r="L27">
        <v>329000000</v>
      </c>
      <c r="M27">
        <v>256000000</v>
      </c>
      <c r="N27">
        <v>533000000</v>
      </c>
      <c r="O27">
        <v>771000000</v>
      </c>
      <c r="P27">
        <v>407000000</v>
      </c>
      <c r="Q27">
        <v>460000000</v>
      </c>
      <c r="R27">
        <v>274000000</v>
      </c>
      <c r="S27">
        <v>302000000</v>
      </c>
      <c r="T27">
        <v>390000000</v>
      </c>
      <c r="U27">
        <v>368000000</v>
      </c>
      <c r="V27">
        <v>492000000</v>
      </c>
      <c r="W27">
        <v>876000000</v>
      </c>
      <c r="X27">
        <v>323000000</v>
      </c>
      <c r="Y27">
        <v>580000000</v>
      </c>
      <c r="Z27">
        <v>984000000</v>
      </c>
      <c r="AA27">
        <v>610000000</v>
      </c>
      <c r="AB27">
        <v>754000000</v>
      </c>
      <c r="AC27">
        <v>945000000</v>
      </c>
      <c r="AD27">
        <v>619000000</v>
      </c>
      <c r="AE27">
        <v>932000000</v>
      </c>
      <c r="AF27">
        <v>449000000</v>
      </c>
      <c r="AG27">
        <v>253000000</v>
      </c>
      <c r="AH27">
        <v>314000000</v>
      </c>
      <c r="AI27">
        <v>755000000</v>
      </c>
      <c r="AJ27">
        <v>339000000</v>
      </c>
      <c r="AK27">
        <v>42000000</v>
      </c>
      <c r="AL27">
        <v>1000000</v>
      </c>
      <c r="AM27">
        <v>1000000</v>
      </c>
      <c r="AN27">
        <v>1000000</v>
      </c>
      <c r="AO27">
        <v>122000000</v>
      </c>
      <c r="AR27">
        <v>7000000</v>
      </c>
      <c r="AV27">
        <v>2000000</v>
      </c>
      <c r="AW27">
        <v>13000000</v>
      </c>
      <c r="AX27">
        <v>132000000</v>
      </c>
      <c r="AY27">
        <v>22000000</v>
      </c>
      <c r="AZ27">
        <v>48000000</v>
      </c>
      <c r="BA27">
        <v>117000000</v>
      </c>
      <c r="BB27">
        <v>119000000</v>
      </c>
      <c r="BC27">
        <v>8000000</v>
      </c>
      <c r="BD27">
        <v>29000000</v>
      </c>
      <c r="BE27">
        <v>5000000</v>
      </c>
      <c r="BH27">
        <v>4000000</v>
      </c>
      <c r="BL27">
        <v>2000000</v>
      </c>
      <c r="BM27">
        <v>44000000</v>
      </c>
      <c r="BN27">
        <v>1000000</v>
      </c>
      <c r="BO27">
        <v>3000000</v>
      </c>
      <c r="BR27">
        <v>540000000</v>
      </c>
    </row>
    <row r="28" spans="1:70">
      <c r="A28" t="s">
        <v>53</v>
      </c>
      <c r="B28" t="s">
        <v>54</v>
      </c>
      <c r="C28" t="s">
        <v>9</v>
      </c>
      <c r="D28" t="s">
        <v>10</v>
      </c>
      <c r="P28">
        <v>0</v>
      </c>
      <c r="Q28">
        <v>7000000</v>
      </c>
      <c r="R28">
        <v>0</v>
      </c>
      <c r="S28">
        <v>1000000</v>
      </c>
      <c r="V28">
        <v>2000000</v>
      </c>
      <c r="W28">
        <v>12000000</v>
      </c>
      <c r="X28">
        <v>10000000</v>
      </c>
      <c r="Y28">
        <v>22000000</v>
      </c>
      <c r="Z28">
        <v>40000000</v>
      </c>
      <c r="AA28">
        <v>55000000</v>
      </c>
      <c r="AB28">
        <v>10000000</v>
      </c>
      <c r="AC28">
        <v>129000000</v>
      </c>
      <c r="AD28">
        <v>55000000</v>
      </c>
      <c r="AE28">
        <v>133000000</v>
      </c>
      <c r="AF28">
        <v>249000000</v>
      </c>
      <c r="AG28">
        <v>135000000</v>
      </c>
      <c r="AH28">
        <v>66000000</v>
      </c>
      <c r="AI28">
        <v>362000000</v>
      </c>
      <c r="AJ28">
        <v>68000000</v>
      </c>
      <c r="AK28">
        <v>51000000</v>
      </c>
      <c r="AL28">
        <v>1000000</v>
      </c>
      <c r="AM28">
        <v>8000000</v>
      </c>
      <c r="AN28">
        <v>71000000</v>
      </c>
      <c r="AO28">
        <v>51000000</v>
      </c>
      <c r="AP28">
        <v>197000000</v>
      </c>
      <c r="AQ28">
        <v>8000000</v>
      </c>
      <c r="AS28">
        <v>299000000</v>
      </c>
      <c r="AT28">
        <v>28000000</v>
      </c>
      <c r="AU28">
        <v>52000000</v>
      </c>
      <c r="AV28">
        <v>1000000</v>
      </c>
      <c r="AW28">
        <v>10000000</v>
      </c>
      <c r="AX28">
        <v>66000000</v>
      </c>
      <c r="AY28">
        <v>63000000</v>
      </c>
      <c r="AZ28">
        <v>27000000</v>
      </c>
      <c r="BA28">
        <v>21000000</v>
      </c>
      <c r="BC28">
        <v>98000000</v>
      </c>
      <c r="BD28">
        <v>4000000</v>
      </c>
      <c r="BE28">
        <v>24000000</v>
      </c>
      <c r="BF28">
        <v>69000000</v>
      </c>
      <c r="BG28">
        <v>1000000</v>
      </c>
      <c r="BH28">
        <v>17000000</v>
      </c>
      <c r="BI28">
        <v>30000000</v>
      </c>
      <c r="BJ28">
        <v>27000000</v>
      </c>
      <c r="BK28">
        <v>72000000</v>
      </c>
      <c r="BL28">
        <v>21000000</v>
      </c>
      <c r="BM28">
        <v>27000000</v>
      </c>
      <c r="BN28">
        <v>184000000</v>
      </c>
      <c r="BO28">
        <v>259000000</v>
      </c>
      <c r="BP28">
        <v>294000000</v>
      </c>
      <c r="BQ28">
        <v>850000000</v>
      </c>
      <c r="BR28">
        <v>30000000</v>
      </c>
    </row>
    <row r="29" spans="1:70">
      <c r="A29" t="s">
        <v>55</v>
      </c>
      <c r="B29" t="s">
        <v>56</v>
      </c>
      <c r="C29" t="s">
        <v>9</v>
      </c>
      <c r="D29" t="s">
        <v>10</v>
      </c>
      <c r="W29">
        <v>11000000</v>
      </c>
      <c r="AE29">
        <v>33000000</v>
      </c>
      <c r="AI29">
        <v>2000000</v>
      </c>
      <c r="AJ29">
        <v>3000000</v>
      </c>
      <c r="AS29">
        <v>33000000</v>
      </c>
      <c r="AX29">
        <v>3000000</v>
      </c>
      <c r="BB29">
        <v>1000000</v>
      </c>
      <c r="BG29">
        <v>30000000</v>
      </c>
      <c r="BH29">
        <v>16000000</v>
      </c>
      <c r="BI29">
        <v>20000000</v>
      </c>
      <c r="BJ29">
        <v>12000000</v>
      </c>
    </row>
    <row r="30" spans="1:70">
      <c r="A30" t="s">
        <v>57</v>
      </c>
      <c r="B30" t="s">
        <v>58</v>
      </c>
      <c r="C30" t="s">
        <v>9</v>
      </c>
      <c r="D30" t="s">
        <v>10</v>
      </c>
      <c r="AL30">
        <v>6000000</v>
      </c>
      <c r="AM30">
        <v>6000000</v>
      </c>
      <c r="AO30">
        <v>58000000</v>
      </c>
      <c r="AP30">
        <v>78000000</v>
      </c>
      <c r="AQ30">
        <v>2000000</v>
      </c>
      <c r="AR30">
        <v>25000000</v>
      </c>
      <c r="BJ30">
        <v>0</v>
      </c>
      <c r="BL30">
        <v>0</v>
      </c>
      <c r="BM30">
        <v>0</v>
      </c>
      <c r="BN30">
        <v>12000000</v>
      </c>
      <c r="BR30">
        <v>1000000</v>
      </c>
    </row>
    <row r="31" spans="1:70">
      <c r="A31" t="s">
        <v>59</v>
      </c>
      <c r="B31" t="s">
        <v>60</v>
      </c>
      <c r="C31" t="s">
        <v>9</v>
      </c>
      <c r="D31" t="s">
        <v>10</v>
      </c>
      <c r="AQ31">
        <v>41000000</v>
      </c>
      <c r="AR31">
        <v>41000000</v>
      </c>
      <c r="AX31">
        <v>6000000</v>
      </c>
      <c r="AY31">
        <v>140000000</v>
      </c>
      <c r="BB31">
        <v>3000000</v>
      </c>
      <c r="BD31">
        <v>75000000</v>
      </c>
      <c r="BE31">
        <v>75000000</v>
      </c>
      <c r="BF31">
        <v>75000000</v>
      </c>
      <c r="BG31">
        <v>66000000</v>
      </c>
      <c r="BH31">
        <v>98000000</v>
      </c>
      <c r="BI31">
        <v>120000000</v>
      </c>
      <c r="BJ31">
        <v>158000000</v>
      </c>
      <c r="BK31">
        <v>142000000</v>
      </c>
      <c r="BL31">
        <v>333000000</v>
      </c>
      <c r="BM31">
        <v>13000000</v>
      </c>
      <c r="BN31">
        <v>69000000</v>
      </c>
      <c r="BO31">
        <v>215000000</v>
      </c>
      <c r="BP31">
        <v>178000000</v>
      </c>
      <c r="BQ31">
        <v>399000000</v>
      </c>
      <c r="BR31">
        <v>466000000</v>
      </c>
    </row>
    <row r="32" spans="1:70">
      <c r="A32" t="s">
        <v>61</v>
      </c>
      <c r="B32" t="s">
        <v>62</v>
      </c>
      <c r="C32" t="s">
        <v>9</v>
      </c>
      <c r="D32" t="s">
        <v>10</v>
      </c>
      <c r="AC32">
        <v>0</v>
      </c>
      <c r="AO32">
        <v>0</v>
      </c>
      <c r="AS32">
        <v>1000000</v>
      </c>
      <c r="BI32">
        <v>2000000</v>
      </c>
      <c r="BP32">
        <v>1000000</v>
      </c>
    </row>
    <row r="33" spans="1:70">
      <c r="A33" t="s">
        <v>63</v>
      </c>
      <c r="B33" t="s">
        <v>64</v>
      </c>
      <c r="C33" t="s">
        <v>9</v>
      </c>
      <c r="D33" t="s">
        <v>10</v>
      </c>
    </row>
    <row r="34" spans="1:70">
      <c r="A34" t="s">
        <v>65</v>
      </c>
      <c r="B34" t="s">
        <v>66</v>
      </c>
      <c r="C34" t="s">
        <v>9</v>
      </c>
      <c r="D34" t="s">
        <v>10</v>
      </c>
      <c r="E34">
        <v>6000000</v>
      </c>
      <c r="F34">
        <v>4000000</v>
      </c>
      <c r="G34">
        <v>2000000</v>
      </c>
      <c r="H34">
        <v>4000000</v>
      </c>
      <c r="I34">
        <v>2000000</v>
      </c>
      <c r="J34">
        <v>2000000</v>
      </c>
      <c r="K34">
        <v>1000000</v>
      </c>
      <c r="L34">
        <v>14000000</v>
      </c>
      <c r="M34">
        <v>17000000</v>
      </c>
      <c r="N34">
        <v>1000000</v>
      </c>
      <c r="O34">
        <v>2000000</v>
      </c>
      <c r="P34">
        <v>2000000</v>
      </c>
      <c r="Q34">
        <v>12000000</v>
      </c>
      <c r="R34">
        <v>16000000</v>
      </c>
      <c r="S34">
        <v>23000000</v>
      </c>
      <c r="T34">
        <v>17000000</v>
      </c>
      <c r="U34">
        <v>16000000</v>
      </c>
      <c r="V34">
        <v>1000000</v>
      </c>
      <c r="W34">
        <v>11000000</v>
      </c>
      <c r="X34">
        <v>53000000</v>
      </c>
      <c r="Y34">
        <v>40000000</v>
      </c>
      <c r="Z34">
        <v>28000000</v>
      </c>
      <c r="AA34">
        <v>2000000</v>
      </c>
      <c r="AD34">
        <v>18000000</v>
      </c>
      <c r="AE34">
        <v>15000000</v>
      </c>
      <c r="AG34">
        <v>56000000</v>
      </c>
      <c r="AH34">
        <v>66000000</v>
      </c>
      <c r="AJ34">
        <v>11000000</v>
      </c>
      <c r="AK34">
        <v>25000000</v>
      </c>
      <c r="AL34">
        <v>16000000</v>
      </c>
      <c r="AM34">
        <v>9000000</v>
      </c>
      <c r="AN34">
        <v>2000000</v>
      </c>
      <c r="AR34">
        <v>9000000</v>
      </c>
      <c r="AS34">
        <v>19000000</v>
      </c>
      <c r="AV34">
        <v>5000000</v>
      </c>
      <c r="AW34">
        <v>1000000</v>
      </c>
      <c r="AX34">
        <v>1000000</v>
      </c>
      <c r="AY34">
        <v>9000000</v>
      </c>
      <c r="AZ34">
        <v>2000000</v>
      </c>
      <c r="BA34">
        <v>3000000</v>
      </c>
      <c r="BB34">
        <v>6000000</v>
      </c>
      <c r="BC34">
        <v>1000000</v>
      </c>
      <c r="BD34">
        <v>25000000</v>
      </c>
      <c r="BE34">
        <v>12000000</v>
      </c>
      <c r="BF34">
        <v>1000000</v>
      </c>
      <c r="BG34">
        <v>46000000</v>
      </c>
      <c r="BI34">
        <v>27000000</v>
      </c>
      <c r="BJ34">
        <v>7000000</v>
      </c>
      <c r="BK34">
        <v>2000000</v>
      </c>
      <c r="BL34">
        <v>34000000</v>
      </c>
      <c r="BM34">
        <v>26000000</v>
      </c>
      <c r="BQ34">
        <v>0</v>
      </c>
    </row>
    <row r="35" spans="1:70">
      <c r="A35" t="s">
        <v>67</v>
      </c>
      <c r="B35" t="s">
        <v>68</v>
      </c>
      <c r="C35" t="s">
        <v>9</v>
      </c>
      <c r="D35" t="s">
        <v>10</v>
      </c>
      <c r="E35">
        <v>236000000</v>
      </c>
      <c r="F35">
        <v>212000000</v>
      </c>
      <c r="G35">
        <v>62000000</v>
      </c>
      <c r="H35">
        <v>127000000</v>
      </c>
      <c r="I35">
        <v>25000000</v>
      </c>
      <c r="J35">
        <v>149000000</v>
      </c>
      <c r="K35">
        <v>57000000</v>
      </c>
      <c r="L35">
        <v>218000000</v>
      </c>
      <c r="M35">
        <v>236000000</v>
      </c>
      <c r="N35">
        <v>108000000</v>
      </c>
      <c r="O35">
        <v>217000000</v>
      </c>
      <c r="P35">
        <v>171000000</v>
      </c>
      <c r="Q35">
        <v>520000000</v>
      </c>
      <c r="R35">
        <v>598000000</v>
      </c>
      <c r="S35">
        <v>256000000</v>
      </c>
      <c r="T35">
        <v>538000000</v>
      </c>
      <c r="U35">
        <v>551000000</v>
      </c>
      <c r="V35">
        <v>525000000</v>
      </c>
      <c r="W35">
        <v>832000000</v>
      </c>
      <c r="X35">
        <v>375000000</v>
      </c>
      <c r="Y35">
        <v>338000000</v>
      </c>
      <c r="Z35">
        <v>61000000</v>
      </c>
      <c r="AA35">
        <v>72000000</v>
      </c>
      <c r="AB35">
        <v>88000000</v>
      </c>
      <c r="AC35">
        <v>123000000</v>
      </c>
      <c r="AD35">
        <v>82000000</v>
      </c>
      <c r="AE35">
        <v>139000000</v>
      </c>
      <c r="AF35">
        <v>234000000</v>
      </c>
      <c r="AG35">
        <v>125000000</v>
      </c>
      <c r="AH35">
        <v>742000000</v>
      </c>
      <c r="AI35">
        <v>140000000</v>
      </c>
      <c r="AJ35">
        <v>161000000</v>
      </c>
      <c r="AK35">
        <v>98000000</v>
      </c>
      <c r="AL35">
        <v>66000000</v>
      </c>
      <c r="AM35">
        <v>311000000</v>
      </c>
      <c r="AN35">
        <v>267000000</v>
      </c>
      <c r="AO35">
        <v>547000000</v>
      </c>
      <c r="AP35">
        <v>476000000</v>
      </c>
      <c r="AQ35">
        <v>200000000</v>
      </c>
      <c r="AR35">
        <v>308000000</v>
      </c>
      <c r="AS35">
        <v>86000000</v>
      </c>
      <c r="AT35">
        <v>573000000</v>
      </c>
      <c r="AU35">
        <v>221000000</v>
      </c>
      <c r="AV35">
        <v>110000000</v>
      </c>
      <c r="AW35">
        <v>85000000</v>
      </c>
      <c r="AX35">
        <v>223000000</v>
      </c>
      <c r="AY35">
        <v>178000000</v>
      </c>
      <c r="AZ35">
        <v>188000000</v>
      </c>
      <c r="BA35">
        <v>178000000</v>
      </c>
      <c r="BB35">
        <v>135000000</v>
      </c>
      <c r="BC35">
        <v>256000000</v>
      </c>
      <c r="BD35">
        <v>231000000</v>
      </c>
      <c r="BE35">
        <v>317000000</v>
      </c>
      <c r="BF35">
        <v>217000000</v>
      </c>
      <c r="BG35">
        <v>201000000</v>
      </c>
      <c r="BH35">
        <v>202000000</v>
      </c>
      <c r="BI35">
        <v>111000000</v>
      </c>
      <c r="BJ35">
        <v>96000000</v>
      </c>
      <c r="BK35">
        <v>258000000</v>
      </c>
      <c r="BL35">
        <v>125000000</v>
      </c>
      <c r="BM35">
        <v>134000000</v>
      </c>
      <c r="BN35">
        <v>240000000</v>
      </c>
      <c r="BO35">
        <v>469000000</v>
      </c>
      <c r="BP35">
        <v>193000000</v>
      </c>
      <c r="BQ35">
        <v>450000000</v>
      </c>
      <c r="BR35">
        <v>462000000</v>
      </c>
    </row>
    <row r="36" spans="1:70">
      <c r="A36" t="s">
        <v>69</v>
      </c>
      <c r="B36" t="s">
        <v>70</v>
      </c>
      <c r="C36" t="s">
        <v>9</v>
      </c>
      <c r="D36" t="s">
        <v>10</v>
      </c>
      <c r="Z36">
        <v>9000000</v>
      </c>
      <c r="AC36">
        <v>1000000</v>
      </c>
      <c r="AZ36">
        <v>10000000</v>
      </c>
      <c r="BA36">
        <v>10000000</v>
      </c>
      <c r="BB36">
        <v>10000000</v>
      </c>
    </row>
    <row r="37" spans="1:70">
      <c r="A37" t="s">
        <v>71</v>
      </c>
      <c r="B37" t="s">
        <v>72</v>
      </c>
      <c r="C37" t="s">
        <v>9</v>
      </c>
      <c r="D37" t="s">
        <v>10</v>
      </c>
      <c r="J37">
        <v>5000000</v>
      </c>
      <c r="K37">
        <v>1000000</v>
      </c>
      <c r="L37">
        <v>18000000</v>
      </c>
      <c r="M37">
        <v>1000000</v>
      </c>
      <c r="O37">
        <v>5000000</v>
      </c>
      <c r="P37">
        <v>18000000</v>
      </c>
      <c r="Q37">
        <v>1000000</v>
      </c>
      <c r="R37">
        <v>1000000</v>
      </c>
      <c r="S37">
        <v>15000000</v>
      </c>
      <c r="T37">
        <v>1000000</v>
      </c>
      <c r="U37">
        <v>0</v>
      </c>
      <c r="W37">
        <v>46000000</v>
      </c>
      <c r="X37">
        <v>64000000</v>
      </c>
      <c r="Z37">
        <v>8000000</v>
      </c>
      <c r="AA37">
        <v>12000000</v>
      </c>
      <c r="AB37">
        <v>85000000</v>
      </c>
      <c r="AC37">
        <v>60000000</v>
      </c>
      <c r="AE37">
        <v>13000000</v>
      </c>
      <c r="AI37">
        <v>4000000</v>
      </c>
      <c r="AJ37">
        <v>4000000</v>
      </c>
      <c r="AO37">
        <v>17000000</v>
      </c>
      <c r="AP37">
        <v>31000000</v>
      </c>
      <c r="AQ37">
        <v>7000000</v>
      </c>
      <c r="AR37">
        <v>4000000</v>
      </c>
      <c r="AT37">
        <v>5000000</v>
      </c>
      <c r="AU37">
        <v>1000000</v>
      </c>
      <c r="AV37">
        <v>0</v>
      </c>
      <c r="AW37">
        <v>0</v>
      </c>
      <c r="AX37">
        <v>1000000</v>
      </c>
      <c r="AY37">
        <v>1000000</v>
      </c>
      <c r="BB37">
        <v>33000000</v>
      </c>
      <c r="BC37">
        <v>33000000</v>
      </c>
      <c r="BD37">
        <v>229000000</v>
      </c>
      <c r="BE37">
        <v>20000000</v>
      </c>
      <c r="BF37">
        <v>15000000</v>
      </c>
      <c r="BG37">
        <v>121000000</v>
      </c>
      <c r="BH37">
        <v>36000000</v>
      </c>
      <c r="BP37">
        <v>11000000</v>
      </c>
      <c r="BQ37">
        <v>28000000</v>
      </c>
    </row>
    <row r="38" spans="1:70">
      <c r="A38" t="s">
        <v>73</v>
      </c>
      <c r="B38" t="s">
        <v>74</v>
      </c>
      <c r="C38" t="s">
        <v>9</v>
      </c>
      <c r="D38" t="s">
        <v>10</v>
      </c>
      <c r="M38">
        <v>1000000</v>
      </c>
      <c r="AW38">
        <v>0</v>
      </c>
      <c r="BH38">
        <v>1000000</v>
      </c>
      <c r="BI38">
        <v>1000000</v>
      </c>
      <c r="BN38">
        <v>5000000</v>
      </c>
    </row>
    <row r="39" spans="1:70">
      <c r="A39" t="s">
        <v>75</v>
      </c>
      <c r="B39" t="s">
        <v>76</v>
      </c>
      <c r="C39" t="s">
        <v>9</v>
      </c>
      <c r="D39" t="s">
        <v>10</v>
      </c>
      <c r="V39">
        <v>1000000</v>
      </c>
      <c r="W39">
        <v>1000000</v>
      </c>
      <c r="X39">
        <v>7000000</v>
      </c>
      <c r="Y39">
        <v>2000000</v>
      </c>
      <c r="Z39">
        <v>11000000</v>
      </c>
      <c r="AD39">
        <v>5000000</v>
      </c>
      <c r="AF39">
        <v>26000000</v>
      </c>
      <c r="AG39">
        <v>40000000</v>
      </c>
      <c r="AH39">
        <v>4000000</v>
      </c>
      <c r="AI39">
        <v>22000000</v>
      </c>
      <c r="AJ39">
        <v>2000000</v>
      </c>
      <c r="AK39">
        <v>2000000</v>
      </c>
      <c r="AL39">
        <v>11000000</v>
      </c>
      <c r="AN39">
        <v>12000000</v>
      </c>
      <c r="AO39">
        <v>32000000</v>
      </c>
      <c r="AP39">
        <v>71000000</v>
      </c>
      <c r="AQ39">
        <v>2000000</v>
      </c>
      <c r="AS39">
        <v>54000000</v>
      </c>
      <c r="AT39">
        <v>15000000</v>
      </c>
      <c r="AU39">
        <v>1000000</v>
      </c>
      <c r="AV39">
        <v>11000000</v>
      </c>
      <c r="AW39">
        <v>10000000</v>
      </c>
      <c r="BB39">
        <v>10000000</v>
      </c>
      <c r="BC39">
        <v>10000000</v>
      </c>
      <c r="BE39">
        <v>6000000</v>
      </c>
      <c r="BF39">
        <v>8000000</v>
      </c>
      <c r="BI39">
        <v>5000000</v>
      </c>
      <c r="BK39">
        <v>5000000</v>
      </c>
      <c r="BL39">
        <v>7000000</v>
      </c>
      <c r="BM39">
        <v>76000000</v>
      </c>
      <c r="BN39">
        <v>16000000</v>
      </c>
      <c r="BO39">
        <v>11000000</v>
      </c>
      <c r="BP39">
        <v>1000000</v>
      </c>
      <c r="BQ39">
        <v>11000000</v>
      </c>
    </row>
    <row r="40" spans="1:70">
      <c r="A40" t="s">
        <v>77</v>
      </c>
      <c r="B40" t="s">
        <v>78</v>
      </c>
      <c r="C40" t="s">
        <v>9</v>
      </c>
      <c r="D40" t="s">
        <v>10</v>
      </c>
      <c r="F40">
        <v>2000000</v>
      </c>
      <c r="J40">
        <v>1000000</v>
      </c>
      <c r="K40">
        <v>2000000</v>
      </c>
      <c r="M40">
        <v>3000000</v>
      </c>
      <c r="P40">
        <v>2000000</v>
      </c>
      <c r="R40">
        <v>0</v>
      </c>
      <c r="W40">
        <v>0</v>
      </c>
      <c r="Y40">
        <v>0</v>
      </c>
      <c r="Z40">
        <v>1000000</v>
      </c>
      <c r="AA40">
        <v>3000000</v>
      </c>
      <c r="AB40">
        <v>6000000</v>
      </c>
      <c r="AC40">
        <v>1000000</v>
      </c>
      <c r="AD40">
        <v>6000000</v>
      </c>
      <c r="AG40">
        <v>2000000</v>
      </c>
      <c r="AK40">
        <v>1000000</v>
      </c>
      <c r="AY40">
        <v>9000000</v>
      </c>
      <c r="BA40">
        <v>0</v>
      </c>
      <c r="BD40">
        <v>7000000</v>
      </c>
      <c r="BK40">
        <v>2000000</v>
      </c>
      <c r="BM40">
        <v>1000000</v>
      </c>
      <c r="BN40">
        <v>44000000</v>
      </c>
      <c r="BO40">
        <v>2000000</v>
      </c>
      <c r="BP40">
        <v>43000000</v>
      </c>
    </row>
    <row r="41" spans="1:70">
      <c r="A41" t="s">
        <v>79</v>
      </c>
      <c r="B41" t="s">
        <v>80</v>
      </c>
      <c r="C41" t="s">
        <v>9</v>
      </c>
      <c r="D41" t="s">
        <v>10</v>
      </c>
      <c r="E41">
        <v>171000000</v>
      </c>
      <c r="F41">
        <v>1576000000</v>
      </c>
      <c r="G41">
        <v>1220000000</v>
      </c>
      <c r="H41">
        <v>1012000000</v>
      </c>
      <c r="I41">
        <v>742000000</v>
      </c>
      <c r="J41">
        <v>563000000</v>
      </c>
      <c r="K41">
        <v>306000000</v>
      </c>
      <c r="L41">
        <v>237000000</v>
      </c>
      <c r="M41">
        <v>336000000</v>
      </c>
      <c r="N41">
        <v>516000000</v>
      </c>
      <c r="O41">
        <v>623000000</v>
      </c>
      <c r="P41">
        <v>457000000</v>
      </c>
      <c r="Q41">
        <v>376000000</v>
      </c>
      <c r="R41">
        <v>78000000</v>
      </c>
      <c r="S41">
        <v>229000000</v>
      </c>
      <c r="T41">
        <v>195000000</v>
      </c>
      <c r="U41">
        <v>53000000</v>
      </c>
      <c r="V41">
        <v>90000000</v>
      </c>
      <c r="W41">
        <v>130000000</v>
      </c>
      <c r="X41">
        <v>193000000</v>
      </c>
      <c r="Y41">
        <v>442000000</v>
      </c>
      <c r="Z41">
        <v>453000000</v>
      </c>
      <c r="AA41">
        <v>277000000</v>
      </c>
      <c r="AB41">
        <v>649000000</v>
      </c>
      <c r="AC41">
        <v>654000000</v>
      </c>
      <c r="AD41">
        <v>848000000</v>
      </c>
      <c r="AE41">
        <v>849000000</v>
      </c>
      <c r="AF41">
        <v>787000000</v>
      </c>
      <c r="AG41">
        <v>712000000</v>
      </c>
      <c r="AH41">
        <v>37000000</v>
      </c>
      <c r="AI41">
        <v>157000000</v>
      </c>
      <c r="AJ41">
        <v>767000000</v>
      </c>
      <c r="AK41">
        <v>407000000</v>
      </c>
      <c r="AL41">
        <v>196000000</v>
      </c>
      <c r="AM41">
        <v>473000000</v>
      </c>
      <c r="AN41">
        <v>405000000</v>
      </c>
      <c r="AO41">
        <v>419000000</v>
      </c>
      <c r="AP41">
        <v>353000000</v>
      </c>
      <c r="AQ41">
        <v>111000000</v>
      </c>
      <c r="AR41">
        <v>143000000</v>
      </c>
      <c r="AS41">
        <v>529000000</v>
      </c>
      <c r="AT41">
        <v>520000000</v>
      </c>
      <c r="AU41">
        <v>418000000</v>
      </c>
      <c r="AV41">
        <v>140000000</v>
      </c>
      <c r="AW41">
        <v>341000000</v>
      </c>
      <c r="AX41">
        <v>106000000</v>
      </c>
      <c r="AY41">
        <v>97000000</v>
      </c>
      <c r="AZ41">
        <v>478000000</v>
      </c>
      <c r="BA41">
        <v>423000000</v>
      </c>
      <c r="BB41">
        <v>104000000</v>
      </c>
      <c r="BC41">
        <v>242000000</v>
      </c>
      <c r="BD41">
        <v>356000000</v>
      </c>
      <c r="BE41">
        <v>207000000</v>
      </c>
      <c r="BF41">
        <v>202000000</v>
      </c>
      <c r="BG41">
        <v>316000000</v>
      </c>
      <c r="BH41">
        <v>408000000</v>
      </c>
      <c r="BI41">
        <v>246000000</v>
      </c>
      <c r="BJ41">
        <v>354000000</v>
      </c>
      <c r="BK41">
        <v>185000000</v>
      </c>
      <c r="BL41">
        <v>187000000</v>
      </c>
      <c r="BM41">
        <v>248000000</v>
      </c>
      <c r="BN41">
        <v>357000000</v>
      </c>
      <c r="BO41">
        <v>214000000</v>
      </c>
      <c r="BP41">
        <v>73000000</v>
      </c>
      <c r="BQ41">
        <v>198000000</v>
      </c>
      <c r="BR41">
        <v>83000000</v>
      </c>
    </row>
    <row r="42" spans="1:70">
      <c r="A42" t="s">
        <v>81</v>
      </c>
      <c r="B42" t="s">
        <v>82</v>
      </c>
      <c r="C42" t="s">
        <v>9</v>
      </c>
      <c r="D42" t="s">
        <v>10</v>
      </c>
      <c r="E42">
        <v>2091000000</v>
      </c>
      <c r="F42">
        <v>1996000000</v>
      </c>
      <c r="G42">
        <v>1652000000</v>
      </c>
      <c r="H42">
        <v>2179000000</v>
      </c>
      <c r="I42">
        <v>3066000000</v>
      </c>
      <c r="J42">
        <v>2721000000</v>
      </c>
      <c r="K42">
        <v>1773000000</v>
      </c>
      <c r="L42">
        <v>1839000000</v>
      </c>
      <c r="M42">
        <v>2045000000</v>
      </c>
      <c r="N42">
        <v>2373000000</v>
      </c>
      <c r="O42">
        <v>2215000000</v>
      </c>
      <c r="P42">
        <v>2126000000</v>
      </c>
      <c r="Q42">
        <v>2038000000</v>
      </c>
      <c r="R42">
        <v>2316000000</v>
      </c>
      <c r="S42">
        <v>2589000000</v>
      </c>
      <c r="T42">
        <v>2409000000</v>
      </c>
      <c r="U42">
        <v>2142000000</v>
      </c>
      <c r="V42">
        <v>2257000000</v>
      </c>
      <c r="W42">
        <v>3051000000</v>
      </c>
      <c r="X42">
        <v>2607000000</v>
      </c>
      <c r="Y42">
        <v>2603000000</v>
      </c>
      <c r="Z42">
        <v>2405000000</v>
      </c>
      <c r="AA42">
        <v>1946000000</v>
      </c>
      <c r="AB42">
        <v>1750000000</v>
      </c>
      <c r="AC42">
        <v>1961000000</v>
      </c>
      <c r="AD42">
        <v>2103000000</v>
      </c>
      <c r="AE42">
        <v>2856000000</v>
      </c>
      <c r="AF42">
        <v>1776000000</v>
      </c>
      <c r="AG42">
        <v>1435000000</v>
      </c>
      <c r="AH42">
        <v>1179000000</v>
      </c>
      <c r="AI42">
        <v>1595000000</v>
      </c>
      <c r="AJ42">
        <v>505000000</v>
      </c>
      <c r="AK42">
        <v>440000000</v>
      </c>
      <c r="AL42">
        <v>1165000000</v>
      </c>
      <c r="AM42">
        <v>226000000</v>
      </c>
      <c r="AN42">
        <v>522000000</v>
      </c>
      <c r="AO42">
        <v>541000000</v>
      </c>
      <c r="AR42">
        <v>360000000</v>
      </c>
      <c r="AS42">
        <v>233000000</v>
      </c>
      <c r="AT42">
        <v>254000000</v>
      </c>
      <c r="AU42">
        <v>369000000</v>
      </c>
      <c r="AV42">
        <v>541000000</v>
      </c>
      <c r="AW42">
        <v>694000000</v>
      </c>
      <c r="AX42">
        <v>1330000000</v>
      </c>
      <c r="AY42">
        <v>896000000</v>
      </c>
      <c r="AZ42">
        <v>1419000000</v>
      </c>
      <c r="BA42">
        <v>1064000000</v>
      </c>
      <c r="BB42">
        <v>505000000</v>
      </c>
      <c r="BC42">
        <v>453000000</v>
      </c>
      <c r="BD42">
        <v>443000000</v>
      </c>
      <c r="BE42">
        <v>328000000</v>
      </c>
      <c r="BF42">
        <v>287000000</v>
      </c>
      <c r="BG42">
        <v>327000000</v>
      </c>
      <c r="BI42">
        <v>357000000</v>
      </c>
      <c r="BJ42">
        <v>352000000</v>
      </c>
      <c r="BK42">
        <v>205000000</v>
      </c>
      <c r="BL42">
        <v>354000000</v>
      </c>
      <c r="BM42">
        <v>607000000</v>
      </c>
      <c r="BN42">
        <v>378000000</v>
      </c>
      <c r="BO42">
        <v>868000000</v>
      </c>
      <c r="BP42">
        <v>2461000000</v>
      </c>
      <c r="BQ42">
        <v>3002000000</v>
      </c>
      <c r="BR42">
        <v>4370000000</v>
      </c>
    </row>
    <row r="43" spans="1:70">
      <c r="A43" t="s">
        <v>83</v>
      </c>
      <c r="B43" t="s">
        <v>84</v>
      </c>
      <c r="C43" t="s">
        <v>9</v>
      </c>
      <c r="D43" t="s">
        <v>10</v>
      </c>
      <c r="E43">
        <v>218000000</v>
      </c>
      <c r="F43">
        <v>37000000</v>
      </c>
      <c r="G43">
        <v>4000000</v>
      </c>
      <c r="H43">
        <v>52000000</v>
      </c>
      <c r="I43">
        <v>263000000</v>
      </c>
      <c r="J43">
        <v>228000000</v>
      </c>
      <c r="K43">
        <v>373000000</v>
      </c>
      <c r="L43">
        <v>177000000</v>
      </c>
      <c r="M43">
        <v>199000000</v>
      </c>
      <c r="N43">
        <v>166000000</v>
      </c>
      <c r="O43">
        <v>142000000</v>
      </c>
      <c r="P43">
        <v>153000000</v>
      </c>
      <c r="Q43">
        <v>192000000</v>
      </c>
      <c r="R43">
        <v>123000000</v>
      </c>
      <c r="S43">
        <v>64000000</v>
      </c>
      <c r="T43">
        <v>136000000</v>
      </c>
      <c r="U43">
        <v>142000000</v>
      </c>
      <c r="V43">
        <v>4000000</v>
      </c>
      <c r="W43">
        <v>217000000</v>
      </c>
      <c r="X43">
        <v>226000000</v>
      </c>
      <c r="Y43">
        <v>272000000</v>
      </c>
      <c r="Z43">
        <v>289000000</v>
      </c>
      <c r="AA43">
        <v>175000000</v>
      </c>
      <c r="AB43">
        <v>442000000</v>
      </c>
      <c r="AC43">
        <v>404000000</v>
      </c>
      <c r="AD43">
        <v>341000000</v>
      </c>
      <c r="AE43">
        <v>108000000</v>
      </c>
      <c r="AF43">
        <v>151000000</v>
      </c>
      <c r="AG43">
        <v>179000000</v>
      </c>
      <c r="AH43">
        <v>318000000</v>
      </c>
      <c r="AI43">
        <v>433000000</v>
      </c>
      <c r="AJ43">
        <v>469000000</v>
      </c>
      <c r="AK43">
        <v>381000000</v>
      </c>
      <c r="AL43">
        <v>98000000</v>
      </c>
      <c r="AM43">
        <v>114000000</v>
      </c>
      <c r="AN43">
        <v>93000000</v>
      </c>
      <c r="AO43">
        <v>187000000</v>
      </c>
      <c r="AP43">
        <v>375000000</v>
      </c>
      <c r="AQ43">
        <v>428000000</v>
      </c>
      <c r="AR43">
        <v>499000000</v>
      </c>
      <c r="AS43">
        <v>15000000</v>
      </c>
      <c r="AT43">
        <v>60000000</v>
      </c>
      <c r="AU43">
        <v>58000000</v>
      </c>
      <c r="AV43">
        <v>117000000</v>
      </c>
      <c r="AW43">
        <v>203000000</v>
      </c>
      <c r="AX43">
        <v>168000000</v>
      </c>
      <c r="AY43">
        <v>83000000</v>
      </c>
      <c r="AZ43">
        <v>108000000</v>
      </c>
      <c r="BA43">
        <v>15000000</v>
      </c>
      <c r="BB43">
        <v>36000000</v>
      </c>
      <c r="BC43">
        <v>38000000</v>
      </c>
      <c r="BD43">
        <v>24000000</v>
      </c>
      <c r="BE43">
        <v>2000000</v>
      </c>
      <c r="BG43">
        <v>5000000</v>
      </c>
      <c r="BH43">
        <v>10000000</v>
      </c>
      <c r="BI43">
        <v>70000000</v>
      </c>
      <c r="BO43">
        <v>15000000</v>
      </c>
      <c r="BP43">
        <v>33000000</v>
      </c>
    </row>
    <row r="44" spans="1:70">
      <c r="A44" t="s">
        <v>85</v>
      </c>
      <c r="B44" t="s">
        <v>86</v>
      </c>
      <c r="C44" t="s">
        <v>9</v>
      </c>
      <c r="D44" t="s">
        <v>10</v>
      </c>
    </row>
    <row r="45" spans="1:70">
      <c r="A45" t="s">
        <v>87</v>
      </c>
      <c r="B45" t="s">
        <v>88</v>
      </c>
      <c r="C45" t="s">
        <v>9</v>
      </c>
      <c r="D45" t="s">
        <v>10</v>
      </c>
      <c r="E45">
        <v>308000000</v>
      </c>
      <c r="F45">
        <v>38000000</v>
      </c>
      <c r="G45">
        <v>19000000</v>
      </c>
      <c r="H45">
        <v>123000000</v>
      </c>
      <c r="I45">
        <v>38000000</v>
      </c>
      <c r="J45">
        <v>49000000</v>
      </c>
      <c r="K45">
        <v>74000000</v>
      </c>
      <c r="L45">
        <v>150000000</v>
      </c>
      <c r="M45">
        <v>62000000</v>
      </c>
      <c r="N45">
        <v>13000000</v>
      </c>
      <c r="O45">
        <v>77000000</v>
      </c>
      <c r="P45">
        <v>185000000</v>
      </c>
      <c r="Q45">
        <v>51000000</v>
      </c>
      <c r="R45">
        <v>278000000</v>
      </c>
      <c r="S45">
        <v>272000000</v>
      </c>
      <c r="T45">
        <v>196000000</v>
      </c>
      <c r="U45">
        <v>387000000</v>
      </c>
      <c r="V45">
        <v>72000000</v>
      </c>
      <c r="W45">
        <v>192000000</v>
      </c>
      <c r="X45">
        <v>147000000</v>
      </c>
      <c r="Y45">
        <v>150000000</v>
      </c>
      <c r="Z45">
        <v>147000000</v>
      </c>
      <c r="AA45">
        <v>339000000</v>
      </c>
      <c r="AB45">
        <v>135000000</v>
      </c>
      <c r="AC45">
        <v>513000000</v>
      </c>
      <c r="AD45">
        <v>28000000</v>
      </c>
      <c r="AE45">
        <v>173000000</v>
      </c>
      <c r="AF45">
        <v>155000000</v>
      </c>
      <c r="AG45">
        <v>84000000</v>
      </c>
      <c r="AH45">
        <v>133000000</v>
      </c>
      <c r="AI45">
        <v>132000000</v>
      </c>
      <c r="AJ45">
        <v>102000000</v>
      </c>
      <c r="AK45">
        <v>179000000</v>
      </c>
      <c r="AL45">
        <v>84000000</v>
      </c>
      <c r="AM45">
        <v>81000000</v>
      </c>
      <c r="AN45">
        <v>330000000</v>
      </c>
      <c r="AO45">
        <v>163000000</v>
      </c>
      <c r="AP45">
        <v>280000000</v>
      </c>
      <c r="AQ45">
        <v>80000000</v>
      </c>
      <c r="AR45">
        <v>206000000</v>
      </c>
      <c r="AS45">
        <v>230000000</v>
      </c>
      <c r="AT45">
        <v>60000000</v>
      </c>
      <c r="AU45">
        <v>75000000</v>
      </c>
      <c r="AV45">
        <v>188000000</v>
      </c>
      <c r="AW45">
        <v>64000000</v>
      </c>
      <c r="AX45">
        <v>446000000</v>
      </c>
      <c r="AY45">
        <v>1097000000</v>
      </c>
      <c r="AZ45">
        <v>659000000</v>
      </c>
      <c r="BA45">
        <v>395000000</v>
      </c>
      <c r="BB45">
        <v>329000000</v>
      </c>
      <c r="BC45">
        <v>474000000</v>
      </c>
      <c r="BD45">
        <v>326000000</v>
      </c>
      <c r="BE45">
        <v>61000000</v>
      </c>
      <c r="BF45">
        <v>55000000</v>
      </c>
      <c r="BG45">
        <v>135000000</v>
      </c>
      <c r="BH45">
        <v>135000000</v>
      </c>
      <c r="BI45">
        <v>70000000</v>
      </c>
      <c r="BJ45">
        <v>49000000</v>
      </c>
      <c r="BK45">
        <v>74000000</v>
      </c>
      <c r="BL45">
        <v>16000000</v>
      </c>
      <c r="BM45">
        <v>304000000</v>
      </c>
      <c r="BN45">
        <v>66000000</v>
      </c>
      <c r="BO45">
        <v>207000000</v>
      </c>
      <c r="BP45">
        <v>9000000</v>
      </c>
      <c r="BQ45">
        <v>14000000</v>
      </c>
      <c r="BR45">
        <v>14000000</v>
      </c>
    </row>
    <row r="46" spans="1:70">
      <c r="A46" t="s">
        <v>89</v>
      </c>
      <c r="B46" t="s">
        <v>90</v>
      </c>
      <c r="C46" t="s">
        <v>9</v>
      </c>
      <c r="D46" t="s">
        <v>10</v>
      </c>
      <c r="E46">
        <v>2357000000</v>
      </c>
      <c r="F46">
        <v>952000000</v>
      </c>
      <c r="G46">
        <v>415000000</v>
      </c>
      <c r="H46">
        <v>450000000</v>
      </c>
      <c r="I46">
        <v>485000000</v>
      </c>
      <c r="J46">
        <v>257000000</v>
      </c>
      <c r="K46">
        <v>225000000</v>
      </c>
      <c r="L46">
        <v>144000000</v>
      </c>
      <c r="M46">
        <v>180000000</v>
      </c>
      <c r="O46">
        <v>1000000</v>
      </c>
      <c r="P46">
        <v>1000000</v>
      </c>
      <c r="Q46">
        <v>1000000</v>
      </c>
      <c r="R46">
        <v>1000000</v>
      </c>
      <c r="S46">
        <v>1000000</v>
      </c>
      <c r="T46">
        <v>1000000</v>
      </c>
      <c r="U46">
        <v>1000000</v>
      </c>
      <c r="V46">
        <v>72000000</v>
      </c>
      <c r="W46">
        <v>83000000</v>
      </c>
      <c r="X46">
        <v>8000000</v>
      </c>
      <c r="Y46">
        <v>4000000</v>
      </c>
      <c r="AA46">
        <v>5000000</v>
      </c>
      <c r="AB46">
        <v>16000000</v>
      </c>
      <c r="AC46">
        <v>62000000</v>
      </c>
      <c r="AD46">
        <v>104000000</v>
      </c>
      <c r="AE46">
        <v>11000000</v>
      </c>
      <c r="AF46">
        <v>47000000</v>
      </c>
      <c r="AG46">
        <v>97000000</v>
      </c>
      <c r="AH46">
        <v>163000000</v>
      </c>
      <c r="AI46">
        <v>267000000</v>
      </c>
      <c r="AJ46">
        <v>439000000</v>
      </c>
      <c r="AK46">
        <v>1184000000</v>
      </c>
      <c r="AL46">
        <v>1230000000</v>
      </c>
      <c r="AM46">
        <v>304000000</v>
      </c>
      <c r="AN46">
        <v>701000000</v>
      </c>
      <c r="AO46">
        <v>1496000000</v>
      </c>
      <c r="AP46">
        <v>940000000</v>
      </c>
      <c r="AQ46">
        <v>375000000</v>
      </c>
      <c r="AR46">
        <v>1722000000</v>
      </c>
      <c r="AS46">
        <v>2473000000</v>
      </c>
      <c r="AT46">
        <v>2755000000</v>
      </c>
      <c r="AU46">
        <v>2830000000</v>
      </c>
      <c r="AV46">
        <v>2326000000</v>
      </c>
      <c r="AW46">
        <v>3236000000</v>
      </c>
      <c r="AX46">
        <v>3467000000</v>
      </c>
      <c r="AY46">
        <v>2831000000</v>
      </c>
      <c r="AZ46">
        <v>1699000000</v>
      </c>
      <c r="BA46">
        <v>1784000000</v>
      </c>
      <c r="BB46">
        <v>1382000000</v>
      </c>
      <c r="BC46">
        <v>940000000</v>
      </c>
      <c r="BD46">
        <v>1033000000</v>
      </c>
      <c r="BE46">
        <v>1542000000</v>
      </c>
      <c r="BF46">
        <v>1221000000</v>
      </c>
      <c r="BG46">
        <v>1033000000</v>
      </c>
      <c r="BH46">
        <v>1190000000</v>
      </c>
      <c r="BI46">
        <v>1209000000</v>
      </c>
      <c r="BJ46">
        <v>1546000000</v>
      </c>
      <c r="BK46">
        <v>2254000000</v>
      </c>
      <c r="BL46">
        <v>1571000000</v>
      </c>
      <c r="BM46">
        <v>775000000</v>
      </c>
      <c r="BN46">
        <v>685000000</v>
      </c>
      <c r="BO46">
        <v>646000000</v>
      </c>
      <c r="BP46">
        <v>428000000</v>
      </c>
      <c r="BQ46">
        <v>71000000</v>
      </c>
      <c r="BR46">
        <v>207000000</v>
      </c>
    </row>
    <row r="47" spans="1:70">
      <c r="A47" t="s">
        <v>91</v>
      </c>
      <c r="B47" t="s">
        <v>92</v>
      </c>
      <c r="C47" t="s">
        <v>9</v>
      </c>
      <c r="D47" t="s">
        <v>10</v>
      </c>
      <c r="F47">
        <v>3000000</v>
      </c>
      <c r="G47">
        <v>1000000</v>
      </c>
      <c r="H47">
        <v>1000000</v>
      </c>
      <c r="K47">
        <v>2000000</v>
      </c>
      <c r="L47">
        <v>3000000</v>
      </c>
      <c r="M47">
        <v>26000000</v>
      </c>
      <c r="N47">
        <v>2000000</v>
      </c>
      <c r="O47">
        <v>7000000</v>
      </c>
      <c r="P47">
        <v>17000000</v>
      </c>
      <c r="Q47">
        <v>1000000</v>
      </c>
      <c r="S47">
        <v>18000000</v>
      </c>
      <c r="V47">
        <v>22000000</v>
      </c>
      <c r="W47">
        <v>15000000</v>
      </c>
      <c r="X47">
        <v>38000000</v>
      </c>
      <c r="Y47">
        <v>56000000</v>
      </c>
      <c r="Z47">
        <v>19000000</v>
      </c>
      <c r="AC47">
        <v>9000000</v>
      </c>
      <c r="AH47">
        <v>2000000</v>
      </c>
      <c r="AK47">
        <v>0</v>
      </c>
      <c r="AN47">
        <v>2000000</v>
      </c>
      <c r="AP47">
        <v>0</v>
      </c>
      <c r="AR47">
        <v>2000000</v>
      </c>
      <c r="AS47">
        <v>0</v>
      </c>
      <c r="AU47">
        <v>32000000</v>
      </c>
      <c r="AV47">
        <v>61000000</v>
      </c>
      <c r="AW47">
        <v>9000000</v>
      </c>
      <c r="BG47">
        <v>6000000</v>
      </c>
      <c r="BH47">
        <v>5000000</v>
      </c>
      <c r="BI47">
        <v>5000000</v>
      </c>
      <c r="BJ47">
        <v>14000000</v>
      </c>
      <c r="BK47">
        <v>10000000</v>
      </c>
      <c r="BL47">
        <v>15000000</v>
      </c>
      <c r="BM47">
        <v>3000000</v>
      </c>
      <c r="BN47">
        <v>7000000</v>
      </c>
      <c r="BO47">
        <v>22000000</v>
      </c>
      <c r="BP47">
        <v>70000000</v>
      </c>
      <c r="BQ47">
        <v>7000000</v>
      </c>
      <c r="BR47">
        <v>15000000</v>
      </c>
    </row>
    <row r="48" spans="1:70">
      <c r="A48" t="s">
        <v>93</v>
      </c>
      <c r="B48" t="s">
        <v>94</v>
      </c>
      <c r="C48" t="s">
        <v>9</v>
      </c>
      <c r="D48" t="s">
        <v>10</v>
      </c>
      <c r="F48">
        <v>0</v>
      </c>
      <c r="H48">
        <v>2000000</v>
      </c>
      <c r="I48">
        <v>0</v>
      </c>
      <c r="J48">
        <v>2000000</v>
      </c>
      <c r="K48">
        <v>2000000</v>
      </c>
      <c r="L48">
        <v>3000000</v>
      </c>
      <c r="M48">
        <v>3000000</v>
      </c>
      <c r="P48">
        <v>8000000</v>
      </c>
      <c r="Q48">
        <v>1000000</v>
      </c>
      <c r="R48">
        <v>15000000</v>
      </c>
      <c r="U48">
        <v>29000000</v>
      </c>
      <c r="V48">
        <v>73000000</v>
      </c>
      <c r="X48">
        <v>1000000</v>
      </c>
      <c r="Z48">
        <v>28000000</v>
      </c>
      <c r="AA48">
        <v>113000000</v>
      </c>
      <c r="AB48">
        <v>5000000</v>
      </c>
      <c r="AC48">
        <v>125000000</v>
      </c>
      <c r="AD48">
        <v>16000000</v>
      </c>
      <c r="AE48">
        <v>11000000</v>
      </c>
      <c r="AF48">
        <v>5000000</v>
      </c>
      <c r="AG48">
        <v>2000000</v>
      </c>
      <c r="AH48">
        <v>3000000</v>
      </c>
      <c r="AI48">
        <v>8000000</v>
      </c>
      <c r="AK48">
        <v>3000000</v>
      </c>
      <c r="AO48">
        <v>5000000</v>
      </c>
      <c r="AP48">
        <v>6000000</v>
      </c>
      <c r="AQ48">
        <v>9000000</v>
      </c>
      <c r="AR48">
        <v>4000000</v>
      </c>
      <c r="AT48">
        <v>6000000</v>
      </c>
      <c r="AU48">
        <v>10000000</v>
      </c>
      <c r="AX48">
        <v>5000000</v>
      </c>
      <c r="AY48">
        <v>3000000</v>
      </c>
      <c r="BA48">
        <v>1000000</v>
      </c>
      <c r="BC48">
        <v>10000000</v>
      </c>
      <c r="BE48">
        <v>9000000</v>
      </c>
      <c r="BF48">
        <v>139000000</v>
      </c>
      <c r="BG48">
        <v>124000000</v>
      </c>
      <c r="BH48">
        <v>10000000</v>
      </c>
      <c r="BI48">
        <v>23000000</v>
      </c>
      <c r="BJ48">
        <v>8000000</v>
      </c>
      <c r="BK48">
        <v>2000000</v>
      </c>
      <c r="BL48">
        <v>4000000</v>
      </c>
      <c r="BM48">
        <v>2000000</v>
      </c>
      <c r="BN48">
        <v>4000000</v>
      </c>
      <c r="BO48">
        <v>2000000</v>
      </c>
      <c r="BP48">
        <v>2000000</v>
      </c>
    </row>
    <row r="49" spans="1:70">
      <c r="A49" t="s">
        <v>95</v>
      </c>
      <c r="B49" t="s">
        <v>96</v>
      </c>
      <c r="C49" t="s">
        <v>9</v>
      </c>
      <c r="D49" t="s">
        <v>10</v>
      </c>
      <c r="E49">
        <v>2000000</v>
      </c>
      <c r="F49">
        <v>9000000</v>
      </c>
      <c r="G49">
        <v>13000000</v>
      </c>
      <c r="H49">
        <v>32000000</v>
      </c>
      <c r="I49">
        <v>64000000</v>
      </c>
      <c r="J49">
        <v>23000000</v>
      </c>
      <c r="K49">
        <v>27000000</v>
      </c>
      <c r="L49">
        <v>16000000</v>
      </c>
      <c r="M49">
        <v>7000000</v>
      </c>
      <c r="N49">
        <v>28000000</v>
      </c>
      <c r="O49">
        <v>19000000</v>
      </c>
      <c r="P49">
        <v>165000000</v>
      </c>
      <c r="Q49">
        <v>15000000</v>
      </c>
      <c r="R49">
        <v>5000000</v>
      </c>
      <c r="S49">
        <v>9000000</v>
      </c>
      <c r="T49">
        <v>445000000</v>
      </c>
      <c r="U49">
        <v>134000000</v>
      </c>
      <c r="V49">
        <v>28000000</v>
      </c>
      <c r="W49">
        <v>38000000</v>
      </c>
      <c r="X49">
        <v>15000000</v>
      </c>
      <c r="Y49">
        <v>10000000</v>
      </c>
      <c r="Z49">
        <v>12000000</v>
      </c>
      <c r="AA49">
        <v>15000000</v>
      </c>
      <c r="AB49">
        <v>5000000</v>
      </c>
      <c r="AC49">
        <v>16000000</v>
      </c>
      <c r="AD49">
        <v>1000000</v>
      </c>
      <c r="AE49">
        <v>1000000</v>
      </c>
      <c r="AF49">
        <v>36000000</v>
      </c>
      <c r="AG49">
        <v>1000000</v>
      </c>
      <c r="AI49">
        <v>4000000</v>
      </c>
      <c r="AK49">
        <v>2000000</v>
      </c>
      <c r="AN49">
        <v>0</v>
      </c>
      <c r="AO49">
        <v>61000000</v>
      </c>
      <c r="AP49">
        <v>6000000</v>
      </c>
      <c r="AQ49">
        <v>10000000</v>
      </c>
      <c r="AR49">
        <v>46000000</v>
      </c>
      <c r="AS49">
        <v>89000000</v>
      </c>
      <c r="AT49">
        <v>11000000</v>
      </c>
      <c r="AU49">
        <v>18000000</v>
      </c>
      <c r="AX49">
        <v>26000000</v>
      </c>
      <c r="AY49">
        <v>24000000</v>
      </c>
      <c r="BA49">
        <v>18000000</v>
      </c>
      <c r="BB49">
        <v>37000000</v>
      </c>
      <c r="BC49">
        <v>156000000</v>
      </c>
      <c r="BE49">
        <v>15000000</v>
      </c>
      <c r="BF49">
        <v>1000000</v>
      </c>
      <c r="BH49">
        <v>3000000</v>
      </c>
      <c r="BI49">
        <v>43000000</v>
      </c>
      <c r="BK49">
        <v>1000000</v>
      </c>
      <c r="BM49">
        <v>9000000</v>
      </c>
      <c r="BP49">
        <v>27000000</v>
      </c>
      <c r="BQ49">
        <v>40000000</v>
      </c>
      <c r="BR49">
        <v>44000000</v>
      </c>
    </row>
    <row r="50" spans="1:70">
      <c r="A50" t="s">
        <v>97</v>
      </c>
      <c r="B50" t="s">
        <v>98</v>
      </c>
      <c r="C50" t="s">
        <v>9</v>
      </c>
      <c r="D50" t="s">
        <v>10</v>
      </c>
      <c r="E50">
        <v>1000000</v>
      </c>
      <c r="F50">
        <v>1000000</v>
      </c>
      <c r="H50">
        <v>0</v>
      </c>
      <c r="J50">
        <v>0</v>
      </c>
      <c r="L50">
        <v>1000000</v>
      </c>
      <c r="M50">
        <v>1000000</v>
      </c>
      <c r="N50">
        <v>23000000</v>
      </c>
      <c r="O50">
        <v>9000000</v>
      </c>
      <c r="P50">
        <v>27000000</v>
      </c>
      <c r="Q50">
        <v>2000000</v>
      </c>
      <c r="S50">
        <v>7000000</v>
      </c>
      <c r="T50">
        <v>2000000</v>
      </c>
      <c r="U50">
        <v>4000000</v>
      </c>
      <c r="W50">
        <v>35000000</v>
      </c>
      <c r="X50">
        <v>26000000</v>
      </c>
      <c r="Y50">
        <v>17000000</v>
      </c>
      <c r="Z50">
        <v>3000000</v>
      </c>
      <c r="AA50">
        <v>11000000</v>
      </c>
      <c r="AB50">
        <v>25000000</v>
      </c>
      <c r="AC50">
        <v>25000000</v>
      </c>
      <c r="AD50">
        <v>3000000</v>
      </c>
      <c r="AG50">
        <v>28000000</v>
      </c>
      <c r="AH50">
        <v>44000000</v>
      </c>
      <c r="AI50">
        <v>44000000</v>
      </c>
      <c r="AJ50">
        <v>18000000</v>
      </c>
      <c r="AP50">
        <v>27000000</v>
      </c>
      <c r="AQ50">
        <v>2000000</v>
      </c>
      <c r="AR50">
        <v>2000000</v>
      </c>
      <c r="AS50">
        <v>0</v>
      </c>
      <c r="AV50">
        <v>8000000</v>
      </c>
      <c r="AW50">
        <v>7000000</v>
      </c>
      <c r="AX50">
        <v>4000000</v>
      </c>
      <c r="AY50">
        <v>1000000</v>
      </c>
      <c r="AZ50">
        <v>0</v>
      </c>
      <c r="BB50">
        <v>4000000</v>
      </c>
      <c r="BC50">
        <v>32000000</v>
      </c>
      <c r="BD50">
        <v>5000000</v>
      </c>
      <c r="BE50">
        <v>26000000</v>
      </c>
      <c r="BF50">
        <v>35000000</v>
      </c>
      <c r="BG50">
        <v>6000000</v>
      </c>
      <c r="BH50">
        <v>2000000</v>
      </c>
      <c r="BK50">
        <v>0</v>
      </c>
      <c r="BL50">
        <v>3000000</v>
      </c>
      <c r="BN50">
        <v>3000000</v>
      </c>
      <c r="BQ50">
        <v>9000000</v>
      </c>
    </row>
    <row r="51" spans="1:70">
      <c r="A51" t="s">
        <v>99</v>
      </c>
      <c r="B51" t="s">
        <v>100</v>
      </c>
      <c r="C51" t="s">
        <v>9</v>
      </c>
      <c r="D51" t="s">
        <v>10</v>
      </c>
      <c r="E51">
        <v>5000000</v>
      </c>
      <c r="F51">
        <v>66000000</v>
      </c>
      <c r="G51">
        <v>6000000</v>
      </c>
      <c r="H51">
        <v>32000000</v>
      </c>
      <c r="I51">
        <v>9000000</v>
      </c>
      <c r="J51">
        <v>18000000</v>
      </c>
      <c r="K51">
        <v>32000000</v>
      </c>
      <c r="L51">
        <v>15000000</v>
      </c>
      <c r="M51">
        <v>32000000</v>
      </c>
      <c r="N51">
        <v>121000000</v>
      </c>
      <c r="O51">
        <v>8000000</v>
      </c>
      <c r="P51">
        <v>40000000</v>
      </c>
      <c r="Q51">
        <v>171000000</v>
      </c>
      <c r="R51">
        <v>163000000</v>
      </c>
      <c r="S51">
        <v>5000000</v>
      </c>
      <c r="T51">
        <v>291000000</v>
      </c>
      <c r="U51">
        <v>10000000</v>
      </c>
      <c r="V51">
        <v>8000000</v>
      </c>
      <c r="W51">
        <v>12000000</v>
      </c>
      <c r="X51">
        <v>36000000</v>
      </c>
      <c r="Y51">
        <v>12000000</v>
      </c>
      <c r="Z51">
        <v>28000000</v>
      </c>
      <c r="AA51">
        <v>18000000</v>
      </c>
      <c r="AB51">
        <v>300000000</v>
      </c>
      <c r="AC51">
        <v>660000000</v>
      </c>
      <c r="AD51">
        <v>7000000</v>
      </c>
      <c r="AE51">
        <v>6000000</v>
      </c>
      <c r="AF51">
        <v>4000000</v>
      </c>
      <c r="AG51">
        <v>37000000</v>
      </c>
      <c r="AH51">
        <v>218000000</v>
      </c>
      <c r="AI51">
        <v>13000000</v>
      </c>
      <c r="AJ51">
        <v>72000000</v>
      </c>
      <c r="AK51">
        <v>36000000</v>
      </c>
      <c r="AL51">
        <v>68000000</v>
      </c>
      <c r="AM51">
        <v>42000000</v>
      </c>
      <c r="AN51">
        <v>35000000</v>
      </c>
      <c r="AO51">
        <v>49000000</v>
      </c>
      <c r="AP51">
        <v>193000000</v>
      </c>
      <c r="AQ51">
        <v>160000000</v>
      </c>
      <c r="AR51">
        <v>44000000</v>
      </c>
      <c r="AS51">
        <v>68000000</v>
      </c>
      <c r="AT51">
        <v>268000000</v>
      </c>
      <c r="AU51">
        <v>173000000</v>
      </c>
      <c r="AV51">
        <v>145000000</v>
      </c>
      <c r="AW51">
        <v>18000000</v>
      </c>
      <c r="AX51">
        <v>18000000</v>
      </c>
      <c r="AY51">
        <v>54000000</v>
      </c>
      <c r="AZ51">
        <v>237000000</v>
      </c>
      <c r="BA51">
        <v>110000000</v>
      </c>
      <c r="BB51">
        <v>263000000</v>
      </c>
      <c r="BC51">
        <v>259000000</v>
      </c>
      <c r="BD51">
        <v>145000000</v>
      </c>
      <c r="BE51">
        <v>200000000</v>
      </c>
      <c r="BF51">
        <v>173000000</v>
      </c>
      <c r="BG51">
        <v>170000000</v>
      </c>
      <c r="BH51">
        <v>193000000</v>
      </c>
      <c r="BI51">
        <v>18000000</v>
      </c>
      <c r="BJ51">
        <v>91000000</v>
      </c>
      <c r="BK51">
        <v>16000000</v>
      </c>
      <c r="BL51">
        <v>22000000</v>
      </c>
      <c r="BM51">
        <v>80000000</v>
      </c>
      <c r="BN51">
        <v>45000000</v>
      </c>
      <c r="BO51">
        <v>50000000</v>
      </c>
      <c r="BP51">
        <v>3000000</v>
      </c>
      <c r="BQ51">
        <v>12000000</v>
      </c>
      <c r="BR51">
        <v>22000000</v>
      </c>
    </row>
    <row r="52" spans="1:70">
      <c r="A52" t="s">
        <v>101</v>
      </c>
      <c r="B52" t="s">
        <v>102</v>
      </c>
      <c r="C52" t="s">
        <v>9</v>
      </c>
      <c r="D52" t="s">
        <v>10</v>
      </c>
      <c r="U52">
        <v>1000000</v>
      </c>
      <c r="V52">
        <v>1000000</v>
      </c>
      <c r="AF52">
        <v>1000000</v>
      </c>
      <c r="BA52">
        <v>6000000</v>
      </c>
      <c r="BE52">
        <v>1000000</v>
      </c>
      <c r="BR52">
        <v>0</v>
      </c>
    </row>
    <row r="53" spans="1:70">
      <c r="A53" t="s">
        <v>103</v>
      </c>
      <c r="B53" t="s">
        <v>104</v>
      </c>
      <c r="C53" t="s">
        <v>9</v>
      </c>
      <c r="D53" t="s">
        <v>10</v>
      </c>
      <c r="U53">
        <v>2000000</v>
      </c>
      <c r="X53">
        <v>18000000</v>
      </c>
      <c r="AA53">
        <v>26000000</v>
      </c>
      <c r="AK53">
        <v>7000000</v>
      </c>
      <c r="AQ53">
        <v>9000000</v>
      </c>
      <c r="AS53">
        <v>1000000</v>
      </c>
      <c r="BB53">
        <v>2000000</v>
      </c>
      <c r="BE53">
        <v>10000000</v>
      </c>
      <c r="BL53">
        <v>3000000</v>
      </c>
    </row>
    <row r="54" spans="1:70">
      <c r="A54" t="s">
        <v>105</v>
      </c>
      <c r="B54" t="s">
        <v>106</v>
      </c>
      <c r="C54" t="s">
        <v>9</v>
      </c>
      <c r="D54" t="s">
        <v>10</v>
      </c>
      <c r="H54">
        <v>1000000</v>
      </c>
      <c r="K54">
        <v>0</v>
      </c>
      <c r="R54">
        <v>1000000</v>
      </c>
      <c r="T54">
        <v>3000000</v>
      </c>
      <c r="W54">
        <v>6000000</v>
      </c>
      <c r="X54">
        <v>2000000</v>
      </c>
      <c r="Y54">
        <v>0</v>
      </c>
      <c r="AC54">
        <v>0</v>
      </c>
      <c r="AD54">
        <v>1000000</v>
      </c>
      <c r="AE54">
        <v>1000000</v>
      </c>
      <c r="AH54">
        <v>2000000</v>
      </c>
      <c r="AL54">
        <v>3000000</v>
      </c>
      <c r="BK54">
        <v>0</v>
      </c>
      <c r="BL54">
        <v>8000000</v>
      </c>
    </row>
    <row r="55" spans="1:70">
      <c r="A55" t="s">
        <v>107</v>
      </c>
      <c r="B55" t="s">
        <v>108</v>
      </c>
      <c r="C55" t="s">
        <v>9</v>
      </c>
      <c r="D55" t="s">
        <v>10</v>
      </c>
      <c r="J55">
        <v>11000000</v>
      </c>
      <c r="K55">
        <v>0</v>
      </c>
      <c r="Z55">
        <v>29000000</v>
      </c>
    </row>
    <row r="56" spans="1:70">
      <c r="A56" t="s">
        <v>109</v>
      </c>
      <c r="B56" t="s">
        <v>110</v>
      </c>
      <c r="C56" t="s">
        <v>9</v>
      </c>
      <c r="D56" t="s">
        <v>10</v>
      </c>
      <c r="E56">
        <v>153000000</v>
      </c>
      <c r="F56">
        <v>524000000</v>
      </c>
      <c r="G56">
        <v>1337000000</v>
      </c>
      <c r="H56">
        <v>288000000</v>
      </c>
      <c r="I56">
        <v>252000000</v>
      </c>
      <c r="J56">
        <v>135000000</v>
      </c>
      <c r="K56">
        <v>232000000</v>
      </c>
      <c r="L56">
        <v>163000000</v>
      </c>
      <c r="M56">
        <v>155000000</v>
      </c>
      <c r="N56">
        <v>155000000</v>
      </c>
      <c r="O56">
        <v>155000000</v>
      </c>
      <c r="P56">
        <v>162000000</v>
      </c>
      <c r="Q56">
        <v>452000000</v>
      </c>
      <c r="R56">
        <v>420000000</v>
      </c>
      <c r="S56">
        <v>408000000</v>
      </c>
      <c r="T56">
        <v>200000000</v>
      </c>
      <c r="U56">
        <v>316000000</v>
      </c>
      <c r="V56">
        <v>609000000</v>
      </c>
      <c r="W56">
        <v>503000000</v>
      </c>
      <c r="X56">
        <v>410000000</v>
      </c>
      <c r="Y56">
        <v>349000000</v>
      </c>
      <c r="Z56">
        <v>960000000</v>
      </c>
      <c r="AA56">
        <v>960000000</v>
      </c>
      <c r="AB56">
        <v>778000000</v>
      </c>
      <c r="AC56">
        <v>426000000</v>
      </c>
      <c r="AD56">
        <v>352000000</v>
      </c>
      <c r="AE56">
        <v>281000000</v>
      </c>
      <c r="AF56">
        <v>75000000</v>
      </c>
      <c r="AG56">
        <v>167000000</v>
      </c>
      <c r="AH56">
        <v>94000000</v>
      </c>
      <c r="AI56">
        <v>169000000</v>
      </c>
      <c r="AJ56">
        <v>159000000</v>
      </c>
      <c r="AW56">
        <v>8000000</v>
      </c>
    </row>
    <row r="57" spans="1:70">
      <c r="A57" t="s">
        <v>111</v>
      </c>
      <c r="B57" t="s">
        <v>112</v>
      </c>
      <c r="C57" t="s">
        <v>9</v>
      </c>
      <c r="D57" t="s">
        <v>10</v>
      </c>
    </row>
    <row r="58" spans="1:70">
      <c r="A58" t="s">
        <v>113</v>
      </c>
      <c r="B58" t="s">
        <v>114</v>
      </c>
      <c r="C58" t="s">
        <v>9</v>
      </c>
      <c r="D58" t="s">
        <v>10</v>
      </c>
    </row>
    <row r="59" spans="1:70">
      <c r="A59" t="s">
        <v>115</v>
      </c>
      <c r="B59" t="s">
        <v>116</v>
      </c>
      <c r="C59" t="s">
        <v>9</v>
      </c>
      <c r="D59" t="s">
        <v>10</v>
      </c>
      <c r="I59">
        <v>18000000</v>
      </c>
      <c r="J59">
        <v>22000000</v>
      </c>
      <c r="R59">
        <v>9000000</v>
      </c>
      <c r="AA59">
        <v>5000000</v>
      </c>
      <c r="AB59">
        <v>19000000</v>
      </c>
      <c r="AC59">
        <v>24000000</v>
      </c>
      <c r="AD59">
        <v>34000000</v>
      </c>
      <c r="AE59">
        <v>41000000</v>
      </c>
      <c r="AF59">
        <v>33000000</v>
      </c>
      <c r="AG59">
        <v>123000000</v>
      </c>
      <c r="AH59">
        <v>28000000</v>
      </c>
      <c r="AI59">
        <v>82000000</v>
      </c>
      <c r="AJ59">
        <v>94000000</v>
      </c>
      <c r="AK59">
        <v>26000000</v>
      </c>
      <c r="AL59">
        <v>10000000</v>
      </c>
      <c r="AM59">
        <v>37000000</v>
      </c>
      <c r="AN59">
        <v>34000000</v>
      </c>
      <c r="AO59">
        <v>171000000</v>
      </c>
      <c r="AP59">
        <v>98000000</v>
      </c>
      <c r="AQ59">
        <v>7000000</v>
      </c>
      <c r="AR59">
        <v>113000000</v>
      </c>
      <c r="AS59">
        <v>4000000</v>
      </c>
      <c r="AT59">
        <v>180000000</v>
      </c>
      <c r="AU59">
        <v>66000000</v>
      </c>
      <c r="AV59">
        <v>6000000</v>
      </c>
      <c r="AW59">
        <v>16000000</v>
      </c>
      <c r="AX59">
        <v>18000000</v>
      </c>
      <c r="AY59">
        <v>22000000</v>
      </c>
      <c r="AZ59">
        <v>16000000</v>
      </c>
      <c r="BC59">
        <v>44000000</v>
      </c>
      <c r="BD59">
        <v>41000000</v>
      </c>
      <c r="BE59">
        <v>6000000</v>
      </c>
      <c r="BJ59">
        <v>30000000</v>
      </c>
      <c r="BL59">
        <v>20000000</v>
      </c>
      <c r="BM59">
        <v>31000000</v>
      </c>
      <c r="BN59">
        <v>12000000</v>
      </c>
      <c r="BP59">
        <v>8000000</v>
      </c>
      <c r="BQ59">
        <v>120000000</v>
      </c>
      <c r="BR59">
        <v>28000000</v>
      </c>
    </row>
    <row r="60" spans="1:70">
      <c r="A60" t="s">
        <v>117</v>
      </c>
      <c r="B60" t="s">
        <v>118</v>
      </c>
      <c r="C60" t="s">
        <v>9</v>
      </c>
      <c r="D60" t="s">
        <v>10</v>
      </c>
      <c r="AN60">
        <v>1000000</v>
      </c>
      <c r="AO60">
        <v>35000000</v>
      </c>
      <c r="AP60">
        <v>9000000</v>
      </c>
      <c r="AQ60">
        <v>0</v>
      </c>
      <c r="AR60">
        <v>1000000</v>
      </c>
      <c r="AS60">
        <v>13000000</v>
      </c>
      <c r="AT60">
        <v>57000000</v>
      </c>
      <c r="AU60">
        <v>42000000</v>
      </c>
      <c r="AV60">
        <v>94000000</v>
      </c>
      <c r="AW60">
        <v>6000000</v>
      </c>
      <c r="AX60">
        <v>600000000</v>
      </c>
      <c r="AY60">
        <v>46000000</v>
      </c>
      <c r="AZ60">
        <v>10000000</v>
      </c>
      <c r="BA60">
        <v>25000000</v>
      </c>
      <c r="BB60">
        <v>26000000</v>
      </c>
      <c r="BC60">
        <v>50000000</v>
      </c>
      <c r="BD60">
        <v>112000000</v>
      </c>
      <c r="BE60">
        <v>44000000</v>
      </c>
      <c r="BF60">
        <v>18000000</v>
      </c>
      <c r="BI60">
        <v>7000000</v>
      </c>
      <c r="BK60">
        <v>7000000</v>
      </c>
      <c r="BL60">
        <v>1000000</v>
      </c>
      <c r="BM60">
        <v>8000000</v>
      </c>
      <c r="BN60">
        <v>32000000</v>
      </c>
      <c r="BO60">
        <v>69000000</v>
      </c>
      <c r="BP60">
        <v>148000000</v>
      </c>
      <c r="BQ60">
        <v>58000000</v>
      </c>
      <c r="BR60">
        <v>19000000</v>
      </c>
    </row>
    <row r="61" spans="1:70">
      <c r="A61" t="s">
        <v>119</v>
      </c>
      <c r="B61" t="s">
        <v>120</v>
      </c>
      <c r="C61" t="s">
        <v>9</v>
      </c>
      <c r="D61" t="s">
        <v>10</v>
      </c>
      <c r="E61">
        <v>2036000000</v>
      </c>
      <c r="F61">
        <v>2093000000</v>
      </c>
      <c r="G61">
        <v>2501000000</v>
      </c>
      <c r="H61">
        <v>3312000000</v>
      </c>
      <c r="I61">
        <v>3828000000</v>
      </c>
      <c r="J61">
        <v>3515000000</v>
      </c>
      <c r="K61">
        <v>3387000000</v>
      </c>
      <c r="L61">
        <v>1385000000</v>
      </c>
      <c r="M61">
        <v>1249000000</v>
      </c>
      <c r="N61">
        <v>1233000000</v>
      </c>
      <c r="O61">
        <v>1257000000</v>
      </c>
      <c r="P61">
        <v>2240000000</v>
      </c>
      <c r="Q61">
        <v>796000000</v>
      </c>
      <c r="R61">
        <v>1721000000</v>
      </c>
      <c r="S61">
        <v>2141000000</v>
      </c>
      <c r="T61">
        <v>1831000000</v>
      </c>
      <c r="U61">
        <v>1357000000</v>
      </c>
      <c r="V61">
        <v>1012000000</v>
      </c>
      <c r="W61">
        <v>661000000</v>
      </c>
      <c r="X61">
        <v>65000000</v>
      </c>
      <c r="Y61">
        <v>150000000</v>
      </c>
      <c r="Z61">
        <v>261000000</v>
      </c>
      <c r="AA61">
        <v>453000000</v>
      </c>
      <c r="AB61">
        <v>434000000</v>
      </c>
      <c r="AC61">
        <v>412000000</v>
      </c>
      <c r="AD61">
        <v>130000000</v>
      </c>
      <c r="AE61">
        <v>322000000</v>
      </c>
      <c r="AF61">
        <v>340000000</v>
      </c>
      <c r="AG61">
        <v>447000000</v>
      </c>
      <c r="AH61">
        <v>701000000</v>
      </c>
      <c r="AI61">
        <v>757000000</v>
      </c>
      <c r="AJ61">
        <v>750000000</v>
      </c>
      <c r="AK61">
        <v>716000000</v>
      </c>
      <c r="AL61">
        <v>529000000</v>
      </c>
      <c r="AM61">
        <v>417000000</v>
      </c>
      <c r="AN61">
        <v>222000000</v>
      </c>
      <c r="AO61">
        <v>244000000</v>
      </c>
      <c r="AP61">
        <v>60000000</v>
      </c>
      <c r="AQ61">
        <v>618000000</v>
      </c>
      <c r="AR61">
        <v>129000000</v>
      </c>
      <c r="AS61">
        <v>113000000</v>
      </c>
      <c r="AT61">
        <v>133000000</v>
      </c>
      <c r="AU61">
        <v>71000000</v>
      </c>
      <c r="AV61">
        <v>70000000</v>
      </c>
      <c r="AW61">
        <v>245000000</v>
      </c>
      <c r="AX61">
        <v>206000000</v>
      </c>
      <c r="AY61">
        <v>413000000</v>
      </c>
      <c r="AZ61">
        <v>46000000</v>
      </c>
      <c r="BA61">
        <v>277000000</v>
      </c>
      <c r="BB61">
        <v>329000000</v>
      </c>
      <c r="BC61">
        <v>301000000</v>
      </c>
      <c r="BD61">
        <v>79000000</v>
      </c>
      <c r="BE61">
        <v>140000000</v>
      </c>
      <c r="BF61">
        <v>103000000</v>
      </c>
      <c r="BG61">
        <v>77000000</v>
      </c>
      <c r="BH61">
        <v>119000000</v>
      </c>
      <c r="BI61">
        <v>55000000</v>
      </c>
      <c r="BJ61">
        <v>43000000</v>
      </c>
      <c r="BK61">
        <v>14000000</v>
      </c>
      <c r="BL61">
        <v>38000000</v>
      </c>
      <c r="BM61">
        <v>105000000</v>
      </c>
      <c r="BN61">
        <v>235000000</v>
      </c>
      <c r="BO61">
        <v>269000000</v>
      </c>
      <c r="BP61">
        <v>203000000</v>
      </c>
      <c r="BQ61">
        <v>240000000</v>
      </c>
      <c r="BR61">
        <v>1632000000</v>
      </c>
    </row>
    <row r="62" spans="1:70">
      <c r="A62" t="s">
        <v>121</v>
      </c>
      <c r="B62" t="s">
        <v>122</v>
      </c>
      <c r="C62" t="s">
        <v>9</v>
      </c>
      <c r="D62" t="s">
        <v>10</v>
      </c>
      <c r="V62">
        <v>3000000</v>
      </c>
      <c r="W62">
        <v>6000000</v>
      </c>
      <c r="X62">
        <v>36000000</v>
      </c>
      <c r="Y62">
        <v>5000000</v>
      </c>
      <c r="Z62">
        <v>6000000</v>
      </c>
      <c r="AA62">
        <v>3000000</v>
      </c>
      <c r="AB62">
        <v>3000000</v>
      </c>
      <c r="AD62">
        <v>1000000</v>
      </c>
      <c r="AE62">
        <v>8000000</v>
      </c>
      <c r="AF62">
        <v>1000000</v>
      </c>
      <c r="AJ62">
        <v>1000000</v>
      </c>
      <c r="AK62">
        <v>19000000</v>
      </c>
      <c r="AL62">
        <v>6000000</v>
      </c>
      <c r="AN62">
        <v>2000000</v>
      </c>
      <c r="AS62">
        <v>1000000</v>
      </c>
      <c r="AU62">
        <v>3000000</v>
      </c>
      <c r="AW62">
        <v>4000000</v>
      </c>
      <c r="AX62">
        <v>7000000</v>
      </c>
      <c r="BE62">
        <v>6000000</v>
      </c>
      <c r="BF62">
        <v>5000000</v>
      </c>
      <c r="BG62">
        <v>15000000</v>
      </c>
      <c r="BH62">
        <v>4000000</v>
      </c>
      <c r="BI62">
        <v>11000000</v>
      </c>
      <c r="BL62">
        <v>11000000</v>
      </c>
      <c r="BM62">
        <v>1000000</v>
      </c>
      <c r="BN62">
        <v>46000000</v>
      </c>
      <c r="BO62">
        <v>19000000</v>
      </c>
      <c r="BP62">
        <v>0</v>
      </c>
    </row>
    <row r="63" spans="1:70">
      <c r="A63" t="s">
        <v>123</v>
      </c>
      <c r="B63" t="s">
        <v>124</v>
      </c>
      <c r="C63" t="s">
        <v>9</v>
      </c>
      <c r="D63" t="s">
        <v>10</v>
      </c>
    </row>
    <row r="64" spans="1:70">
      <c r="A64" t="s">
        <v>125</v>
      </c>
      <c r="B64" t="s">
        <v>126</v>
      </c>
      <c r="C64" t="s">
        <v>9</v>
      </c>
      <c r="D64" t="s">
        <v>10</v>
      </c>
      <c r="E64">
        <v>142000000</v>
      </c>
      <c r="F64">
        <v>335000000</v>
      </c>
      <c r="G64">
        <v>61000000</v>
      </c>
      <c r="H64">
        <v>137000000</v>
      </c>
      <c r="I64">
        <v>491000000</v>
      </c>
      <c r="J64">
        <v>455000000</v>
      </c>
      <c r="K64">
        <v>66000000</v>
      </c>
      <c r="L64">
        <v>72000000</v>
      </c>
      <c r="M64">
        <v>77000000</v>
      </c>
      <c r="N64">
        <v>19000000</v>
      </c>
      <c r="O64">
        <v>212000000</v>
      </c>
      <c r="P64">
        <v>384000000</v>
      </c>
      <c r="Q64">
        <v>156000000</v>
      </c>
      <c r="S64">
        <v>39000000</v>
      </c>
      <c r="T64">
        <v>89000000</v>
      </c>
      <c r="U64">
        <v>389000000</v>
      </c>
      <c r="V64">
        <v>391000000</v>
      </c>
      <c r="W64">
        <v>360000000</v>
      </c>
      <c r="X64">
        <v>55000000</v>
      </c>
      <c r="Y64">
        <v>480000000</v>
      </c>
      <c r="Z64">
        <v>477000000</v>
      </c>
      <c r="AA64">
        <v>470000000</v>
      </c>
      <c r="AB64">
        <v>231000000</v>
      </c>
      <c r="AC64">
        <v>70000000</v>
      </c>
      <c r="AD64">
        <v>88000000</v>
      </c>
      <c r="AE64">
        <v>16000000</v>
      </c>
      <c r="AF64">
        <v>99000000</v>
      </c>
      <c r="AG64">
        <v>98000000</v>
      </c>
      <c r="AH64">
        <v>187000000</v>
      </c>
      <c r="AI64">
        <v>131000000</v>
      </c>
      <c r="AJ64">
        <v>156000000</v>
      </c>
      <c r="AK64">
        <v>72000000</v>
      </c>
      <c r="AL64">
        <v>51000000</v>
      </c>
      <c r="AM64">
        <v>88000000</v>
      </c>
      <c r="AN64">
        <v>134000000</v>
      </c>
      <c r="AO64">
        <v>75000000</v>
      </c>
      <c r="AP64">
        <v>77000000</v>
      </c>
      <c r="AQ64">
        <v>120000000</v>
      </c>
      <c r="AR64">
        <v>74000000</v>
      </c>
      <c r="AS64">
        <v>50000000</v>
      </c>
      <c r="AT64">
        <v>148000000</v>
      </c>
      <c r="AU64">
        <v>39000000</v>
      </c>
      <c r="AV64">
        <v>48000000</v>
      </c>
      <c r="AW64">
        <v>232000000</v>
      </c>
      <c r="AX64">
        <v>117000000</v>
      </c>
      <c r="AY64">
        <v>86000000</v>
      </c>
      <c r="AZ64">
        <v>133000000</v>
      </c>
      <c r="BA64">
        <v>98000000</v>
      </c>
      <c r="BB64">
        <v>134000000</v>
      </c>
      <c r="BC64">
        <v>22000000</v>
      </c>
      <c r="BD64">
        <v>6000000</v>
      </c>
      <c r="BE64">
        <v>103000000</v>
      </c>
      <c r="BF64">
        <v>34000000</v>
      </c>
      <c r="BG64">
        <v>176000000</v>
      </c>
      <c r="BH64">
        <v>42000000</v>
      </c>
      <c r="BI64">
        <v>103000000</v>
      </c>
      <c r="BJ64">
        <v>53000000</v>
      </c>
      <c r="BK64">
        <v>54000000</v>
      </c>
      <c r="BL64">
        <v>55000000</v>
      </c>
      <c r="BM64">
        <v>63000000</v>
      </c>
      <c r="BN64">
        <v>264000000</v>
      </c>
      <c r="BO64">
        <v>214000000</v>
      </c>
      <c r="BP64">
        <v>280000000</v>
      </c>
      <c r="BQ64">
        <v>440000000</v>
      </c>
      <c r="BR64">
        <v>278000000</v>
      </c>
    </row>
    <row r="65" spans="1:70">
      <c r="A65" t="s">
        <v>127</v>
      </c>
      <c r="B65" t="s">
        <v>128</v>
      </c>
      <c r="C65" t="s">
        <v>9</v>
      </c>
      <c r="D65" t="s">
        <v>10</v>
      </c>
      <c r="E65">
        <v>9000000</v>
      </c>
      <c r="F65">
        <v>15000000</v>
      </c>
      <c r="G65">
        <v>0</v>
      </c>
      <c r="H65">
        <v>7000000</v>
      </c>
      <c r="I65">
        <v>5000000</v>
      </c>
      <c r="J65">
        <v>10000000</v>
      </c>
      <c r="K65">
        <v>9000000</v>
      </c>
      <c r="L65">
        <v>1000000</v>
      </c>
      <c r="M65">
        <v>1000000</v>
      </c>
      <c r="N65">
        <v>0</v>
      </c>
      <c r="O65">
        <v>1000000</v>
      </c>
      <c r="P65">
        <v>2000000</v>
      </c>
      <c r="Q65">
        <v>7000000</v>
      </c>
      <c r="R65">
        <v>0</v>
      </c>
      <c r="T65">
        <v>2000000</v>
      </c>
      <c r="U65">
        <v>12000000</v>
      </c>
      <c r="Y65">
        <v>9000000</v>
      </c>
      <c r="Z65">
        <v>5000000</v>
      </c>
      <c r="AA65">
        <v>36000000</v>
      </c>
      <c r="AC65">
        <v>25000000</v>
      </c>
      <c r="AD65">
        <v>2000000</v>
      </c>
      <c r="AE65">
        <v>0</v>
      </c>
      <c r="AG65">
        <v>3000000</v>
      </c>
      <c r="AO65">
        <v>4000000</v>
      </c>
      <c r="AQ65">
        <v>6000000</v>
      </c>
      <c r="AR65">
        <v>1000000</v>
      </c>
      <c r="AS65">
        <v>13000000</v>
      </c>
      <c r="AT65">
        <v>5000000</v>
      </c>
      <c r="AU65">
        <v>0</v>
      </c>
      <c r="AV65">
        <v>9000000</v>
      </c>
      <c r="AW65">
        <v>36000000</v>
      </c>
      <c r="AX65">
        <v>2000000</v>
      </c>
      <c r="BB65">
        <v>10000000</v>
      </c>
      <c r="BC65">
        <v>51000000</v>
      </c>
      <c r="BD65">
        <v>12000000</v>
      </c>
      <c r="BH65">
        <v>1000000</v>
      </c>
      <c r="BI65">
        <v>0</v>
      </c>
      <c r="BM65">
        <v>4000000</v>
      </c>
      <c r="BO65">
        <v>5000000</v>
      </c>
      <c r="BP65">
        <v>9000000</v>
      </c>
      <c r="BQ65">
        <v>10000000</v>
      </c>
      <c r="BR65">
        <v>13000000</v>
      </c>
    </row>
    <row r="66" spans="1:70">
      <c r="A66" t="s">
        <v>129</v>
      </c>
      <c r="B66" t="s">
        <v>130</v>
      </c>
      <c r="C66" t="s">
        <v>9</v>
      </c>
      <c r="D66" t="s">
        <v>10</v>
      </c>
      <c r="F66">
        <v>7000000</v>
      </c>
      <c r="G66">
        <v>63000000</v>
      </c>
      <c r="H66">
        <v>90000000</v>
      </c>
      <c r="I66">
        <v>181000000</v>
      </c>
      <c r="J66">
        <v>354000000</v>
      </c>
      <c r="K66">
        <v>439000000</v>
      </c>
      <c r="L66">
        <v>525000000</v>
      </c>
      <c r="M66">
        <v>58000000</v>
      </c>
      <c r="N66">
        <v>79000000</v>
      </c>
      <c r="O66">
        <v>14000000</v>
      </c>
      <c r="P66">
        <v>14000000</v>
      </c>
      <c r="Q66">
        <v>180000000</v>
      </c>
      <c r="R66">
        <v>110000000</v>
      </c>
      <c r="S66">
        <v>13000000</v>
      </c>
      <c r="T66">
        <v>56000000</v>
      </c>
      <c r="U66">
        <v>130000000</v>
      </c>
      <c r="V66">
        <v>1052000000</v>
      </c>
      <c r="W66">
        <v>1267000000</v>
      </c>
      <c r="X66">
        <v>1823000000</v>
      </c>
      <c r="Y66">
        <v>1337000000</v>
      </c>
      <c r="Z66">
        <v>1381000000</v>
      </c>
      <c r="AA66">
        <v>1352000000</v>
      </c>
      <c r="AB66">
        <v>700000000</v>
      </c>
      <c r="AC66">
        <v>660000000</v>
      </c>
      <c r="AD66">
        <v>368000000</v>
      </c>
      <c r="AE66">
        <v>163000000</v>
      </c>
      <c r="AF66">
        <v>384000000</v>
      </c>
      <c r="AG66">
        <v>319000000</v>
      </c>
      <c r="AH66">
        <v>455000000</v>
      </c>
      <c r="AI66">
        <v>737000000</v>
      </c>
      <c r="AJ66">
        <v>1039000000</v>
      </c>
      <c r="AK66">
        <v>23000000</v>
      </c>
      <c r="AL66">
        <v>22000000</v>
      </c>
      <c r="AM66">
        <v>197000000</v>
      </c>
      <c r="AN66">
        <v>312000000</v>
      </c>
      <c r="AO66">
        <v>83000000</v>
      </c>
      <c r="AP66">
        <v>37000000</v>
      </c>
      <c r="AQ66">
        <v>98000000</v>
      </c>
      <c r="AR66">
        <v>388000000</v>
      </c>
      <c r="AS66">
        <v>405000000</v>
      </c>
      <c r="AT66">
        <v>539000000</v>
      </c>
      <c r="AU66">
        <v>252000000</v>
      </c>
      <c r="AV66">
        <v>204000000</v>
      </c>
      <c r="AW66">
        <v>251000000</v>
      </c>
      <c r="AX66">
        <v>159000000</v>
      </c>
      <c r="AY66">
        <v>340000000</v>
      </c>
      <c r="AZ66">
        <v>507000000</v>
      </c>
      <c r="BA66">
        <v>1522000000</v>
      </c>
      <c r="BB66">
        <v>1076000000</v>
      </c>
      <c r="BC66">
        <v>831000000</v>
      </c>
      <c r="BD66">
        <v>1133000000</v>
      </c>
      <c r="BE66">
        <v>662000000</v>
      </c>
      <c r="BF66">
        <v>361000000</v>
      </c>
      <c r="BG66">
        <v>715000000</v>
      </c>
      <c r="BH66">
        <v>897000000</v>
      </c>
      <c r="BI66">
        <v>2916000000</v>
      </c>
      <c r="BJ66">
        <v>1158000000</v>
      </c>
      <c r="BK66">
        <v>1278000000</v>
      </c>
      <c r="BL66">
        <v>167000000</v>
      </c>
      <c r="BM66">
        <v>601000000</v>
      </c>
      <c r="BN66">
        <v>164000000</v>
      </c>
      <c r="BO66">
        <v>450000000</v>
      </c>
      <c r="BP66">
        <v>394000000</v>
      </c>
      <c r="BQ66">
        <v>205000000</v>
      </c>
      <c r="BR66">
        <v>108000000</v>
      </c>
    </row>
    <row r="67" spans="1:70">
      <c r="A67" t="s">
        <v>131</v>
      </c>
      <c r="B67" t="s">
        <v>132</v>
      </c>
      <c r="C67" t="s">
        <v>9</v>
      </c>
      <c r="D67" t="s">
        <v>10</v>
      </c>
      <c r="E67">
        <v>3416000000</v>
      </c>
      <c r="F67">
        <v>2083000000</v>
      </c>
      <c r="G67">
        <v>1952000000</v>
      </c>
      <c r="H67">
        <v>1290000000</v>
      </c>
      <c r="I67">
        <v>1884000000</v>
      </c>
      <c r="J67">
        <v>1745000000</v>
      </c>
      <c r="K67">
        <v>2584000000</v>
      </c>
      <c r="L67">
        <v>2516000000</v>
      </c>
      <c r="M67">
        <v>2902000000</v>
      </c>
      <c r="N67">
        <v>1825000000</v>
      </c>
      <c r="O67">
        <v>2233000000</v>
      </c>
      <c r="S67">
        <v>2076000000</v>
      </c>
      <c r="T67">
        <v>1692000000</v>
      </c>
      <c r="U67">
        <v>1556000000</v>
      </c>
      <c r="V67">
        <v>1104000000</v>
      </c>
      <c r="W67">
        <v>1338000000</v>
      </c>
      <c r="X67">
        <v>2716000000</v>
      </c>
      <c r="Y67">
        <v>3095000000</v>
      </c>
      <c r="Z67">
        <v>2783000000</v>
      </c>
      <c r="AA67">
        <v>1742000000</v>
      </c>
      <c r="AB67">
        <v>2358000000</v>
      </c>
      <c r="AC67">
        <v>1983000000</v>
      </c>
      <c r="AD67">
        <v>2225000000</v>
      </c>
      <c r="AE67">
        <v>2080000000</v>
      </c>
      <c r="AF67">
        <v>1878000000</v>
      </c>
      <c r="AG67">
        <v>1989000000</v>
      </c>
      <c r="AH67">
        <v>1613000000</v>
      </c>
      <c r="AI67">
        <v>1552000000</v>
      </c>
      <c r="AJ67">
        <v>1610000000</v>
      </c>
      <c r="AK67">
        <v>1947000000</v>
      </c>
      <c r="AL67">
        <v>2177000000</v>
      </c>
      <c r="AM67">
        <v>2033000000</v>
      </c>
      <c r="AN67">
        <v>3067000000</v>
      </c>
      <c r="AO67">
        <v>3165000000</v>
      </c>
      <c r="AP67">
        <v>3050000000</v>
      </c>
      <c r="AQ67">
        <v>1066000000</v>
      </c>
      <c r="AR67">
        <v>3157000000</v>
      </c>
      <c r="AS67">
        <v>2844000000</v>
      </c>
      <c r="AT67">
        <v>3245000000</v>
      </c>
      <c r="AU67">
        <v>3476000000</v>
      </c>
      <c r="AV67">
        <v>3167000000</v>
      </c>
      <c r="AW67">
        <v>4052000000</v>
      </c>
      <c r="AX67">
        <v>4093000000</v>
      </c>
      <c r="AY67">
        <v>3467000000</v>
      </c>
      <c r="AZ67">
        <v>3021000000</v>
      </c>
      <c r="BA67">
        <v>2835000000</v>
      </c>
      <c r="BB67">
        <v>3333000000</v>
      </c>
      <c r="BC67">
        <v>1777000000</v>
      </c>
      <c r="BD67">
        <v>3325000000</v>
      </c>
      <c r="BE67">
        <v>3377000000</v>
      </c>
      <c r="BF67">
        <v>3301000000</v>
      </c>
      <c r="BG67">
        <v>3762000000</v>
      </c>
      <c r="BH67">
        <v>3290000000</v>
      </c>
      <c r="BI67">
        <v>3613000000</v>
      </c>
      <c r="BJ67">
        <v>4505000000</v>
      </c>
      <c r="BK67">
        <v>4313000000</v>
      </c>
      <c r="BL67">
        <v>2807000000</v>
      </c>
      <c r="BM67">
        <v>1921000000</v>
      </c>
      <c r="BN67">
        <v>2100000000</v>
      </c>
      <c r="BO67">
        <v>1717000000</v>
      </c>
      <c r="BP67">
        <v>1479000000</v>
      </c>
      <c r="BQ67">
        <v>944000000</v>
      </c>
      <c r="BR67">
        <v>2610000000</v>
      </c>
    </row>
    <row r="68" spans="1:70">
      <c r="A68" t="s">
        <v>133</v>
      </c>
      <c r="B68" t="s">
        <v>134</v>
      </c>
      <c r="C68" t="s">
        <v>9</v>
      </c>
      <c r="D68" t="s">
        <v>10</v>
      </c>
      <c r="E68">
        <v>2823000000</v>
      </c>
      <c r="G68">
        <v>3598000000</v>
      </c>
      <c r="H68">
        <v>3952000000</v>
      </c>
      <c r="I68">
        <v>4556000000</v>
      </c>
      <c r="J68">
        <v>5348000000</v>
      </c>
      <c r="K68">
        <v>7047000000</v>
      </c>
      <c r="L68">
        <v>7564000000</v>
      </c>
      <c r="M68">
        <v>7759000000</v>
      </c>
      <c r="N68">
        <v>8487000000</v>
      </c>
      <c r="O68">
        <v>8447000000</v>
      </c>
      <c r="P68">
        <v>11913000000</v>
      </c>
      <c r="Q68">
        <v>13318000000</v>
      </c>
      <c r="R68">
        <v>15852000000</v>
      </c>
      <c r="S68">
        <v>15570000000</v>
      </c>
      <c r="T68">
        <v>15331000000</v>
      </c>
      <c r="U68">
        <v>15593000000</v>
      </c>
      <c r="V68">
        <v>20765000000</v>
      </c>
      <c r="W68">
        <v>19382000000</v>
      </c>
      <c r="X68">
        <v>14810000000</v>
      </c>
      <c r="Y68">
        <v>17012000000</v>
      </c>
      <c r="Z68">
        <v>19361000000</v>
      </c>
      <c r="AA68">
        <v>20416000000</v>
      </c>
      <c r="AB68">
        <v>17060000000</v>
      </c>
      <c r="AC68">
        <v>13626000000</v>
      </c>
      <c r="AD68">
        <v>13090000000</v>
      </c>
      <c r="AE68">
        <v>15748000000</v>
      </c>
      <c r="AF68">
        <v>15877000000</v>
      </c>
      <c r="AG68">
        <v>11765000000</v>
      </c>
      <c r="AH68">
        <v>10212000000</v>
      </c>
      <c r="AI68">
        <v>11244000000</v>
      </c>
      <c r="AJ68">
        <v>10545000000</v>
      </c>
      <c r="AK68">
        <v>8622000000</v>
      </c>
      <c r="AL68">
        <v>10731000000</v>
      </c>
      <c r="AM68">
        <v>9697000000</v>
      </c>
      <c r="AN68">
        <v>8153000000</v>
      </c>
      <c r="AO68">
        <v>7438000000</v>
      </c>
      <c r="AP68">
        <v>10087000000</v>
      </c>
      <c r="AQ68">
        <v>10432000000</v>
      </c>
      <c r="AR68">
        <v>9463000000</v>
      </c>
      <c r="AS68">
        <v>6325000000</v>
      </c>
      <c r="AT68">
        <v>5193000000</v>
      </c>
      <c r="AU68">
        <v>6980000000</v>
      </c>
      <c r="AV68">
        <v>6439000000</v>
      </c>
      <c r="AW68">
        <v>7750000000</v>
      </c>
      <c r="AX68">
        <v>6525000000</v>
      </c>
      <c r="AY68">
        <v>7518000000</v>
      </c>
      <c r="AZ68">
        <v>9375000000</v>
      </c>
      <c r="BA68">
        <v>8654000000</v>
      </c>
      <c r="BB68">
        <v>8027000000</v>
      </c>
      <c r="BC68">
        <v>10523000000</v>
      </c>
      <c r="BD68">
        <v>12247000000</v>
      </c>
      <c r="BE68">
        <v>12356000000</v>
      </c>
      <c r="BF68">
        <v>14258000000</v>
      </c>
      <c r="BG68">
        <v>12661000000</v>
      </c>
      <c r="BH68">
        <v>13382000000</v>
      </c>
      <c r="BI68">
        <v>15366000000</v>
      </c>
      <c r="BJ68">
        <v>15043000000</v>
      </c>
      <c r="BK68">
        <v>11364000000</v>
      </c>
      <c r="BL68">
        <v>11568000000</v>
      </c>
      <c r="BM68">
        <v>9916000000</v>
      </c>
      <c r="BN68">
        <v>10767000000</v>
      </c>
      <c r="BO68">
        <v>11082000000</v>
      </c>
      <c r="BP68">
        <v>9609000000</v>
      </c>
      <c r="BQ68">
        <v>6906000000</v>
      </c>
      <c r="BR68">
        <v>11091000000</v>
      </c>
    </row>
    <row r="69" spans="1:70">
      <c r="A69" t="s">
        <v>135</v>
      </c>
      <c r="B69" t="s">
        <v>136</v>
      </c>
      <c r="C69" t="s">
        <v>9</v>
      </c>
      <c r="D69" t="s">
        <v>10</v>
      </c>
      <c r="E69">
        <v>5035000000</v>
      </c>
      <c r="F69">
        <v>2905000000</v>
      </c>
      <c r="G69">
        <v>2894000000</v>
      </c>
      <c r="H69">
        <v>2437000000</v>
      </c>
      <c r="I69">
        <v>4818000000</v>
      </c>
      <c r="J69">
        <v>4962000000</v>
      </c>
      <c r="K69">
        <v>4934000000</v>
      </c>
      <c r="L69">
        <v>4532000000</v>
      </c>
      <c r="M69">
        <v>4731000000</v>
      </c>
      <c r="N69">
        <v>4328000000</v>
      </c>
      <c r="O69">
        <v>3918000000</v>
      </c>
      <c r="P69">
        <v>5236000000</v>
      </c>
      <c r="Q69">
        <v>3660000000</v>
      </c>
      <c r="R69">
        <v>4656000000</v>
      </c>
      <c r="S69">
        <v>4844000000</v>
      </c>
      <c r="T69">
        <v>4707000000</v>
      </c>
      <c r="U69">
        <v>4421000000</v>
      </c>
      <c r="V69">
        <v>4366000000</v>
      </c>
      <c r="W69">
        <v>4542000000</v>
      </c>
      <c r="X69">
        <v>6055000000</v>
      </c>
      <c r="Y69">
        <v>6294000000</v>
      </c>
      <c r="Z69">
        <v>6396000000</v>
      </c>
      <c r="AA69">
        <v>5026000000</v>
      </c>
      <c r="AB69">
        <v>6333000000</v>
      </c>
      <c r="AC69">
        <v>5810000000</v>
      </c>
      <c r="AD69">
        <v>6239000000</v>
      </c>
      <c r="AE69">
        <v>6731000000</v>
      </c>
      <c r="AF69">
        <v>6079000000</v>
      </c>
      <c r="AG69">
        <v>7217000000</v>
      </c>
      <c r="AH69">
        <v>7035000000</v>
      </c>
      <c r="AI69">
        <v>6798000000</v>
      </c>
      <c r="AJ69">
        <v>6747000000</v>
      </c>
      <c r="AK69">
        <v>6256000000</v>
      </c>
      <c r="AL69">
        <v>7129000000</v>
      </c>
      <c r="AM69">
        <v>5369000000</v>
      </c>
      <c r="AN69">
        <v>7965000000</v>
      </c>
      <c r="AO69">
        <v>8203000000</v>
      </c>
      <c r="AP69">
        <v>10846000000</v>
      </c>
      <c r="AQ69">
        <v>9301000000</v>
      </c>
      <c r="AR69">
        <v>9077000000</v>
      </c>
      <c r="AS69">
        <v>6434000000</v>
      </c>
      <c r="AT69">
        <v>6293000000</v>
      </c>
      <c r="AU69">
        <v>5613000000</v>
      </c>
      <c r="AV69">
        <v>5502000000</v>
      </c>
      <c r="AW69">
        <v>6744000000</v>
      </c>
      <c r="AX69">
        <v>6961000000</v>
      </c>
      <c r="AY69">
        <v>6899000000</v>
      </c>
      <c r="AZ69">
        <v>6412000000</v>
      </c>
      <c r="BA69">
        <v>7066000000</v>
      </c>
      <c r="BB69">
        <v>7454000000</v>
      </c>
      <c r="BC69">
        <v>6411000000</v>
      </c>
      <c r="BD69">
        <v>8084000000</v>
      </c>
      <c r="BE69">
        <v>6687000000</v>
      </c>
      <c r="BF69">
        <v>5459000000</v>
      </c>
      <c r="BG69">
        <v>7021000000</v>
      </c>
      <c r="BH69">
        <v>6158000000</v>
      </c>
      <c r="BI69">
        <v>6730000000</v>
      </c>
      <c r="BJ69">
        <v>8472000000</v>
      </c>
      <c r="BK69">
        <v>8320000000</v>
      </c>
      <c r="BL69">
        <v>7108000000</v>
      </c>
      <c r="BM69">
        <v>6195000000</v>
      </c>
      <c r="BN69">
        <v>5559000000</v>
      </c>
      <c r="BO69">
        <v>5264000000</v>
      </c>
      <c r="BP69">
        <v>4042000000</v>
      </c>
      <c r="BQ69">
        <v>5068000000</v>
      </c>
      <c r="BR69">
        <v>5828000000</v>
      </c>
    </row>
    <row r="70" spans="1:70">
      <c r="A70" t="s">
        <v>137</v>
      </c>
      <c r="B70" t="s">
        <v>138</v>
      </c>
      <c r="C70" t="s">
        <v>9</v>
      </c>
      <c r="D70" t="s">
        <v>10</v>
      </c>
      <c r="E70">
        <v>650000000</v>
      </c>
      <c r="F70">
        <v>396000000</v>
      </c>
      <c r="G70">
        <v>308000000</v>
      </c>
      <c r="H70">
        <v>598000000</v>
      </c>
      <c r="I70">
        <v>847000000</v>
      </c>
      <c r="J70">
        <v>743000000</v>
      </c>
      <c r="K70">
        <v>599000000</v>
      </c>
      <c r="L70">
        <v>756000000</v>
      </c>
      <c r="M70">
        <v>683000000</v>
      </c>
      <c r="N70">
        <v>925000000</v>
      </c>
      <c r="O70">
        <v>646000000</v>
      </c>
      <c r="P70">
        <v>1273000000</v>
      </c>
      <c r="Q70">
        <v>1228000000</v>
      </c>
      <c r="R70">
        <v>896000000</v>
      </c>
      <c r="S70">
        <v>1416000000</v>
      </c>
      <c r="T70">
        <v>693000000</v>
      </c>
      <c r="U70">
        <v>363000000</v>
      </c>
      <c r="V70">
        <v>300000000</v>
      </c>
      <c r="W70">
        <v>989000000</v>
      </c>
      <c r="X70">
        <v>917000000</v>
      </c>
      <c r="Y70">
        <v>486000000</v>
      </c>
      <c r="Z70">
        <v>726000000</v>
      </c>
      <c r="AA70">
        <v>478000000</v>
      </c>
      <c r="AB70">
        <v>503000000</v>
      </c>
      <c r="AC70">
        <v>549000000</v>
      </c>
      <c r="AD70">
        <v>678000000</v>
      </c>
      <c r="AE70">
        <v>472000000</v>
      </c>
      <c r="AF70">
        <v>1429000000</v>
      </c>
      <c r="AG70">
        <v>1628000000</v>
      </c>
      <c r="AH70">
        <v>1026000000</v>
      </c>
      <c r="AI70">
        <v>1241000000</v>
      </c>
      <c r="AJ70">
        <v>1285000000</v>
      </c>
      <c r="AK70">
        <v>1884000000</v>
      </c>
      <c r="AL70">
        <v>2390000000</v>
      </c>
      <c r="AN70">
        <v>1755000000</v>
      </c>
      <c r="AQ70">
        <v>2712000000</v>
      </c>
      <c r="AR70">
        <v>1979000000</v>
      </c>
      <c r="AS70">
        <v>1329000000</v>
      </c>
      <c r="AW70">
        <v>488000000</v>
      </c>
      <c r="AX70">
        <v>1294000000</v>
      </c>
      <c r="AY70">
        <v>990000000</v>
      </c>
      <c r="BB70">
        <v>1079000000</v>
      </c>
      <c r="BC70">
        <v>821000000</v>
      </c>
      <c r="BD70">
        <v>1745000000</v>
      </c>
      <c r="BE70">
        <v>2186000000</v>
      </c>
      <c r="BF70">
        <v>1523000000</v>
      </c>
      <c r="BG70">
        <v>2421000000</v>
      </c>
      <c r="BH70">
        <v>1644000000</v>
      </c>
      <c r="BI70">
        <v>1632000000</v>
      </c>
      <c r="BJ70">
        <v>1339000000</v>
      </c>
      <c r="BK70">
        <v>1530000000</v>
      </c>
      <c r="BL70">
        <v>1823000000</v>
      </c>
      <c r="BM70">
        <v>721000000</v>
      </c>
      <c r="BN70">
        <v>1130000000</v>
      </c>
      <c r="BO70">
        <v>3807000000</v>
      </c>
      <c r="BP70">
        <v>5858000000</v>
      </c>
      <c r="BQ70">
        <v>6954000000</v>
      </c>
      <c r="BR70">
        <v>3913000000</v>
      </c>
    </row>
    <row r="71" spans="1:70">
      <c r="A71" t="s">
        <v>139</v>
      </c>
      <c r="B71" t="s">
        <v>140</v>
      </c>
      <c r="C71" t="s">
        <v>9</v>
      </c>
      <c r="D71" t="s">
        <v>10</v>
      </c>
      <c r="E71">
        <v>7432000000</v>
      </c>
      <c r="F71">
        <v>6743000000</v>
      </c>
      <c r="G71">
        <v>6818000000</v>
      </c>
      <c r="H71">
        <v>10339000000</v>
      </c>
      <c r="I71">
        <v>14338000000</v>
      </c>
      <c r="J71">
        <v>12069000000</v>
      </c>
      <c r="K71">
        <v>9202000000</v>
      </c>
      <c r="L71">
        <v>8757000000</v>
      </c>
      <c r="M71">
        <v>8568000000</v>
      </c>
      <c r="N71">
        <v>10456000000</v>
      </c>
      <c r="O71">
        <v>7799000000</v>
      </c>
      <c r="P71">
        <v>10578000000</v>
      </c>
      <c r="Q71">
        <v>9482000000</v>
      </c>
      <c r="R71">
        <v>8472000000</v>
      </c>
      <c r="S71">
        <v>9513000000</v>
      </c>
      <c r="T71">
        <v>9712000000</v>
      </c>
      <c r="U71">
        <v>8528000000</v>
      </c>
      <c r="V71">
        <v>7274000000</v>
      </c>
      <c r="W71">
        <v>9745000000</v>
      </c>
      <c r="X71">
        <v>8187000000</v>
      </c>
      <c r="Y71">
        <v>8775000000</v>
      </c>
      <c r="Z71">
        <v>9252000000</v>
      </c>
      <c r="AA71">
        <v>8359000000</v>
      </c>
      <c r="AB71">
        <v>7826000000</v>
      </c>
      <c r="AC71">
        <v>7348000000</v>
      </c>
      <c r="AD71">
        <v>6242000000</v>
      </c>
      <c r="AE71">
        <v>6969000000</v>
      </c>
      <c r="AF71">
        <v>6524000000</v>
      </c>
      <c r="AG71">
        <v>8655000000</v>
      </c>
      <c r="AH71">
        <v>7988000000</v>
      </c>
      <c r="AI71">
        <v>7482000000</v>
      </c>
      <c r="AJ71">
        <v>7898000000</v>
      </c>
      <c r="AK71">
        <v>8754000000</v>
      </c>
      <c r="AL71">
        <v>7740000000</v>
      </c>
      <c r="AM71">
        <v>7227000000</v>
      </c>
      <c r="AN71">
        <v>5423000000</v>
      </c>
      <c r="AO71">
        <v>5535000000</v>
      </c>
      <c r="AP71">
        <v>5849000000</v>
      </c>
      <c r="AQ71">
        <v>8565000000</v>
      </c>
      <c r="AR71">
        <v>6544000000</v>
      </c>
      <c r="AS71">
        <v>6338000000</v>
      </c>
      <c r="AT71">
        <v>4712000000</v>
      </c>
      <c r="AU71">
        <v>3849000000</v>
      </c>
      <c r="AV71">
        <v>5522000000</v>
      </c>
      <c r="AW71">
        <v>4477000000</v>
      </c>
      <c r="AX71">
        <v>4529000000</v>
      </c>
      <c r="AY71">
        <v>5717000000</v>
      </c>
      <c r="AZ71">
        <v>7869000000</v>
      </c>
      <c r="BA71">
        <v>5352000000</v>
      </c>
      <c r="BB71">
        <v>5717000000</v>
      </c>
      <c r="BC71">
        <v>4578000000</v>
      </c>
      <c r="BD71">
        <v>4478000000</v>
      </c>
      <c r="BE71">
        <v>4672000000</v>
      </c>
      <c r="BF71">
        <v>3914000000</v>
      </c>
      <c r="BG71">
        <v>4285000000</v>
      </c>
      <c r="BH71">
        <v>4287000000</v>
      </c>
      <c r="BI71">
        <v>4294000000</v>
      </c>
      <c r="BJ71">
        <v>4331000000</v>
      </c>
      <c r="BK71">
        <v>3771000000</v>
      </c>
      <c r="BL71">
        <v>4192000000</v>
      </c>
      <c r="BM71">
        <v>4130000000</v>
      </c>
      <c r="BN71">
        <v>5032000000</v>
      </c>
      <c r="BO71">
        <v>9008000000</v>
      </c>
      <c r="BP71">
        <v>11378000000</v>
      </c>
      <c r="BQ71">
        <v>14482000000</v>
      </c>
      <c r="BR71">
        <v>14574000000</v>
      </c>
    </row>
    <row r="72" spans="1:70">
      <c r="A72" t="s">
        <v>141</v>
      </c>
      <c r="B72" t="s">
        <v>142</v>
      </c>
      <c r="C72" t="s">
        <v>9</v>
      </c>
      <c r="D72" t="s">
        <v>10</v>
      </c>
      <c r="E72">
        <v>66000000</v>
      </c>
      <c r="H72">
        <v>3000000</v>
      </c>
      <c r="I72">
        <v>3000000</v>
      </c>
      <c r="J72">
        <v>29000000</v>
      </c>
      <c r="K72">
        <v>9000000</v>
      </c>
      <c r="L72">
        <v>21000000</v>
      </c>
      <c r="M72">
        <v>5000000</v>
      </c>
      <c r="N72">
        <v>1000000</v>
      </c>
      <c r="O72">
        <v>5000000</v>
      </c>
      <c r="P72">
        <v>85000000</v>
      </c>
      <c r="Q72">
        <v>41000000</v>
      </c>
      <c r="R72">
        <v>15000000</v>
      </c>
      <c r="S72">
        <v>22000000</v>
      </c>
      <c r="T72">
        <v>42000000</v>
      </c>
      <c r="U72">
        <v>226000000</v>
      </c>
      <c r="V72">
        <v>582000000</v>
      </c>
      <c r="W72">
        <v>224000000</v>
      </c>
      <c r="X72">
        <v>110000000</v>
      </c>
      <c r="Y72">
        <v>289000000</v>
      </c>
      <c r="Z72">
        <v>122000000</v>
      </c>
      <c r="AA72">
        <v>291000000</v>
      </c>
      <c r="AB72">
        <v>360000000</v>
      </c>
      <c r="AC72">
        <v>322000000</v>
      </c>
      <c r="AD72">
        <v>23000000</v>
      </c>
      <c r="AE72">
        <v>30000000</v>
      </c>
      <c r="AF72">
        <v>26000000</v>
      </c>
      <c r="AG72">
        <v>26000000</v>
      </c>
      <c r="AH72">
        <v>20000000</v>
      </c>
      <c r="AI72">
        <v>3000000</v>
      </c>
      <c r="AJ72">
        <v>136000000</v>
      </c>
      <c r="AK72">
        <v>4000000</v>
      </c>
      <c r="AL72">
        <v>18000000</v>
      </c>
      <c r="AM72">
        <v>17000000</v>
      </c>
      <c r="AN72">
        <v>39000000</v>
      </c>
      <c r="AO72">
        <v>29000000</v>
      </c>
      <c r="AP72">
        <v>103000000</v>
      </c>
      <c r="AQ72">
        <v>31000000</v>
      </c>
      <c r="AR72">
        <v>27000000</v>
      </c>
      <c r="AS72">
        <v>9000000</v>
      </c>
      <c r="AT72">
        <v>41000000</v>
      </c>
      <c r="AU72">
        <v>1000000</v>
      </c>
      <c r="AX72">
        <v>39000000</v>
      </c>
      <c r="AY72">
        <v>47000000</v>
      </c>
      <c r="AZ72">
        <v>2000000</v>
      </c>
      <c r="BA72">
        <v>102000000</v>
      </c>
      <c r="BB72">
        <v>77000000</v>
      </c>
      <c r="BC72">
        <v>90000000</v>
      </c>
      <c r="BD72">
        <v>70000000</v>
      </c>
      <c r="BE72">
        <v>89000000</v>
      </c>
      <c r="BF72">
        <v>12000000</v>
      </c>
      <c r="BG72">
        <v>56000000</v>
      </c>
      <c r="BH72">
        <v>27000000</v>
      </c>
      <c r="BI72">
        <v>26000000</v>
      </c>
      <c r="BJ72">
        <v>20000000</v>
      </c>
      <c r="BK72">
        <v>5000000</v>
      </c>
      <c r="BL72">
        <v>3000000</v>
      </c>
      <c r="BM72">
        <v>21000000</v>
      </c>
      <c r="BN72">
        <v>16000000</v>
      </c>
      <c r="BO72">
        <v>9000000</v>
      </c>
      <c r="BP72">
        <v>7000000</v>
      </c>
      <c r="BQ72">
        <v>19000000</v>
      </c>
      <c r="BR72">
        <v>30000000</v>
      </c>
    </row>
    <row r="73" spans="1:70">
      <c r="A73" t="s">
        <v>143</v>
      </c>
      <c r="B73" t="s">
        <v>144</v>
      </c>
      <c r="C73" t="s">
        <v>9</v>
      </c>
      <c r="D73" t="s">
        <v>10</v>
      </c>
      <c r="E73">
        <v>164000000</v>
      </c>
      <c r="F73">
        <v>544000000</v>
      </c>
      <c r="G73">
        <v>685000000</v>
      </c>
      <c r="H73">
        <v>741000000</v>
      </c>
      <c r="I73">
        <v>851000000</v>
      </c>
      <c r="J73">
        <v>962000000</v>
      </c>
      <c r="K73">
        <v>1540000000</v>
      </c>
      <c r="L73">
        <v>2241000000</v>
      </c>
      <c r="M73">
        <v>1276000000</v>
      </c>
      <c r="N73">
        <v>1242000000</v>
      </c>
      <c r="O73">
        <v>1983000000</v>
      </c>
      <c r="P73">
        <v>1982000000</v>
      </c>
      <c r="Q73">
        <v>3255000000</v>
      </c>
      <c r="R73">
        <v>2607000000</v>
      </c>
      <c r="S73">
        <v>1108000000</v>
      </c>
      <c r="T73">
        <v>566000000</v>
      </c>
      <c r="U73">
        <v>159000000</v>
      </c>
      <c r="V73">
        <v>410000000</v>
      </c>
      <c r="W73">
        <v>136000000</v>
      </c>
      <c r="X73">
        <v>631000000</v>
      </c>
      <c r="Y73">
        <v>1016000000</v>
      </c>
      <c r="Z73">
        <v>1195000000</v>
      </c>
      <c r="AA73">
        <v>2508000000</v>
      </c>
      <c r="AB73">
        <v>1695000000</v>
      </c>
      <c r="AC73">
        <v>1506000000</v>
      </c>
      <c r="AD73">
        <v>955000000</v>
      </c>
      <c r="AE73">
        <v>1465000000</v>
      </c>
      <c r="AF73">
        <v>1634000000</v>
      </c>
      <c r="AG73">
        <v>449000000</v>
      </c>
      <c r="AH73">
        <v>319000000</v>
      </c>
      <c r="AI73">
        <v>563000000</v>
      </c>
      <c r="AJ73">
        <v>887000000</v>
      </c>
      <c r="AK73">
        <v>973000000</v>
      </c>
      <c r="AL73">
        <v>1258000000</v>
      </c>
      <c r="AM73">
        <v>2027000000</v>
      </c>
      <c r="AN73">
        <v>1704000000</v>
      </c>
      <c r="AO73">
        <v>969000000</v>
      </c>
      <c r="AP73">
        <v>1051000000</v>
      </c>
      <c r="AQ73">
        <v>483000000</v>
      </c>
      <c r="AR73">
        <v>517000000</v>
      </c>
      <c r="AS73">
        <v>833000000</v>
      </c>
      <c r="AT73">
        <v>824000000</v>
      </c>
      <c r="AU73">
        <v>717000000</v>
      </c>
      <c r="AV73">
        <v>633000000</v>
      </c>
      <c r="AW73">
        <v>660000000</v>
      </c>
      <c r="AX73">
        <v>833000000</v>
      </c>
      <c r="AY73">
        <v>695000000</v>
      </c>
      <c r="AZ73">
        <v>660000000</v>
      </c>
      <c r="BA73">
        <v>326000000</v>
      </c>
      <c r="BB73">
        <v>95000000</v>
      </c>
      <c r="BC73">
        <v>689000000</v>
      </c>
      <c r="BD73">
        <v>653000000</v>
      </c>
      <c r="BE73">
        <v>308000000</v>
      </c>
      <c r="BF73">
        <v>719000000</v>
      </c>
      <c r="BG73">
        <v>430000000</v>
      </c>
      <c r="BH73">
        <v>1443000000</v>
      </c>
      <c r="BI73">
        <v>1653000000</v>
      </c>
      <c r="BJ73">
        <v>2480000000</v>
      </c>
      <c r="BK73">
        <v>1637000000</v>
      </c>
      <c r="BL73">
        <v>1088000000</v>
      </c>
      <c r="BM73">
        <v>1398000000</v>
      </c>
      <c r="BN73">
        <v>1299000000</v>
      </c>
      <c r="BO73">
        <v>742000000</v>
      </c>
      <c r="BP73">
        <v>1152000000</v>
      </c>
      <c r="BQ73">
        <v>128000000</v>
      </c>
      <c r="BR73">
        <v>697000000</v>
      </c>
    </row>
    <row r="74" spans="1:70">
      <c r="A74" t="s">
        <v>145</v>
      </c>
      <c r="B74" t="s">
        <v>146</v>
      </c>
      <c r="C74" t="s">
        <v>9</v>
      </c>
      <c r="D74" t="s">
        <v>10</v>
      </c>
      <c r="E74">
        <v>4387000000</v>
      </c>
      <c r="F74">
        <v>4209000000</v>
      </c>
      <c r="G74">
        <v>5011000000</v>
      </c>
      <c r="H74">
        <v>7205000000</v>
      </c>
      <c r="I74">
        <v>9204000000</v>
      </c>
      <c r="J74">
        <v>7436000000</v>
      </c>
      <c r="K74">
        <v>5309000000</v>
      </c>
      <c r="L74">
        <v>3795000000</v>
      </c>
      <c r="M74">
        <v>2967000000</v>
      </c>
      <c r="N74">
        <v>4095000000</v>
      </c>
      <c r="O74">
        <v>4994000000</v>
      </c>
      <c r="P74">
        <v>6631000000</v>
      </c>
      <c r="Q74">
        <v>5842000000</v>
      </c>
      <c r="R74">
        <v>4878000000</v>
      </c>
      <c r="S74">
        <v>5077000000</v>
      </c>
      <c r="T74">
        <v>6070000000</v>
      </c>
      <c r="U74">
        <v>5360000000</v>
      </c>
      <c r="V74">
        <v>4411000000</v>
      </c>
      <c r="W74">
        <v>5568000000</v>
      </c>
      <c r="X74">
        <v>4193000000</v>
      </c>
      <c r="Y74">
        <v>4413000000</v>
      </c>
      <c r="Z74">
        <v>4597000000</v>
      </c>
      <c r="AA74">
        <v>4524000000</v>
      </c>
      <c r="AB74">
        <v>4815000000</v>
      </c>
      <c r="AC74">
        <v>4182000000</v>
      </c>
      <c r="AD74">
        <v>3090000000</v>
      </c>
      <c r="AE74">
        <v>3917000000</v>
      </c>
      <c r="AF74">
        <v>2994000000</v>
      </c>
      <c r="AG74">
        <v>4823000000</v>
      </c>
      <c r="AH74">
        <v>4656000000</v>
      </c>
      <c r="AI74">
        <v>4178000000</v>
      </c>
      <c r="AJ74">
        <v>4496000000</v>
      </c>
      <c r="AK74">
        <v>4643000000</v>
      </c>
      <c r="AL74">
        <v>3233000000</v>
      </c>
      <c r="AM74">
        <v>3936000000</v>
      </c>
      <c r="AN74">
        <v>2519000000</v>
      </c>
      <c r="AO74">
        <v>2509000000</v>
      </c>
      <c r="AP74">
        <v>2692000000</v>
      </c>
      <c r="AQ74">
        <v>3825000000</v>
      </c>
      <c r="AR74">
        <v>2799000000</v>
      </c>
      <c r="AS74">
        <v>2236000000</v>
      </c>
      <c r="AT74">
        <v>1947000000</v>
      </c>
      <c r="AU74">
        <v>1552000000</v>
      </c>
      <c r="AV74">
        <v>3696000000</v>
      </c>
      <c r="AW74">
        <v>2709000000</v>
      </c>
      <c r="AX74">
        <v>1696000000</v>
      </c>
      <c r="AY74">
        <v>2698000000</v>
      </c>
      <c r="AZ74">
        <v>3651000000</v>
      </c>
      <c r="BA74">
        <v>2433000000</v>
      </c>
      <c r="BB74">
        <v>3213000000</v>
      </c>
      <c r="BC74">
        <v>2712000000</v>
      </c>
      <c r="BD74">
        <v>1171000000</v>
      </c>
      <c r="BE74">
        <v>1061000000</v>
      </c>
      <c r="BF74">
        <v>1368000000</v>
      </c>
      <c r="BG74">
        <v>925000000</v>
      </c>
      <c r="BH74">
        <v>1748000000</v>
      </c>
      <c r="BI74">
        <v>1625000000</v>
      </c>
      <c r="BJ74">
        <v>1247000000</v>
      </c>
      <c r="BK74">
        <v>1015000000</v>
      </c>
      <c r="BL74">
        <v>1268000000</v>
      </c>
      <c r="BM74">
        <v>1864000000</v>
      </c>
      <c r="BN74">
        <v>1908000000</v>
      </c>
      <c r="BO74">
        <v>2347000000</v>
      </c>
      <c r="BP74">
        <v>2241000000</v>
      </c>
      <c r="BQ74">
        <v>3351000000</v>
      </c>
      <c r="BR74">
        <v>6081000000</v>
      </c>
    </row>
    <row r="75" spans="1:70">
      <c r="A75" t="s">
        <v>147</v>
      </c>
      <c r="B75" t="s">
        <v>148</v>
      </c>
      <c r="C75" t="s">
        <v>9</v>
      </c>
      <c r="D75" t="s">
        <v>10</v>
      </c>
      <c r="AL75">
        <v>21000000</v>
      </c>
      <c r="AM75">
        <v>20000000</v>
      </c>
      <c r="AN75">
        <v>7000000</v>
      </c>
      <c r="AO75">
        <v>43000000</v>
      </c>
      <c r="AP75">
        <v>53000000</v>
      </c>
      <c r="AQ75">
        <v>212000000</v>
      </c>
      <c r="AR75">
        <v>31000000</v>
      </c>
      <c r="AS75">
        <v>20000000</v>
      </c>
      <c r="AT75">
        <v>57000000</v>
      </c>
      <c r="AU75">
        <v>18000000</v>
      </c>
      <c r="AV75">
        <v>17000000</v>
      </c>
      <c r="AW75">
        <v>80000000</v>
      </c>
      <c r="AX75">
        <v>99000000</v>
      </c>
      <c r="AZ75">
        <v>4000000</v>
      </c>
    </row>
    <row r="76" spans="1:70">
      <c r="A76" t="s">
        <v>149</v>
      </c>
      <c r="B76" t="s">
        <v>150</v>
      </c>
      <c r="C76" t="s">
        <v>9</v>
      </c>
      <c r="D76" t="s">
        <v>10</v>
      </c>
      <c r="E76">
        <v>214000000</v>
      </c>
      <c r="F76">
        <v>103000000</v>
      </c>
      <c r="G76">
        <v>55000000</v>
      </c>
      <c r="H76">
        <v>15000000</v>
      </c>
      <c r="I76">
        <v>51000000</v>
      </c>
      <c r="J76">
        <v>382000000</v>
      </c>
      <c r="K76">
        <v>307000000</v>
      </c>
      <c r="L76">
        <v>303000000</v>
      </c>
      <c r="M76">
        <v>133000000</v>
      </c>
      <c r="N76">
        <v>181000000</v>
      </c>
      <c r="O76">
        <v>234000000</v>
      </c>
      <c r="P76">
        <v>637000000</v>
      </c>
      <c r="Q76">
        <v>793000000</v>
      </c>
      <c r="R76">
        <v>895000000</v>
      </c>
      <c r="S76">
        <v>557000000</v>
      </c>
      <c r="T76">
        <v>1161000000</v>
      </c>
      <c r="U76">
        <v>831000000</v>
      </c>
      <c r="V76">
        <v>312000000</v>
      </c>
      <c r="W76">
        <v>432000000</v>
      </c>
      <c r="X76">
        <v>650000000</v>
      </c>
      <c r="Y76">
        <v>689000000</v>
      </c>
      <c r="Z76">
        <v>636000000</v>
      </c>
      <c r="AA76">
        <v>512000000</v>
      </c>
      <c r="AB76">
        <v>614000000</v>
      </c>
      <c r="AC76">
        <v>81000000</v>
      </c>
      <c r="AD76">
        <v>327000000</v>
      </c>
      <c r="AE76">
        <v>1081000000</v>
      </c>
      <c r="AF76">
        <v>1082000000</v>
      </c>
      <c r="AG76">
        <v>1954000000</v>
      </c>
      <c r="AH76">
        <v>835000000</v>
      </c>
      <c r="AI76">
        <v>691000000</v>
      </c>
      <c r="AJ76">
        <v>109000000</v>
      </c>
      <c r="AK76">
        <v>207000000</v>
      </c>
      <c r="AL76">
        <v>299000000</v>
      </c>
      <c r="AM76">
        <v>838000000</v>
      </c>
      <c r="AN76">
        <v>355000000</v>
      </c>
      <c r="AO76">
        <v>395000000</v>
      </c>
      <c r="AP76">
        <v>192000000</v>
      </c>
      <c r="AQ76">
        <v>82000000</v>
      </c>
      <c r="AR76">
        <v>357000000</v>
      </c>
      <c r="AS76">
        <v>315000000</v>
      </c>
      <c r="AT76">
        <v>140000000</v>
      </c>
      <c r="AU76">
        <v>266000000</v>
      </c>
      <c r="AV76">
        <v>239000000</v>
      </c>
      <c r="AW76">
        <v>288000000</v>
      </c>
      <c r="AX76">
        <v>358000000</v>
      </c>
      <c r="AY76">
        <v>312000000</v>
      </c>
      <c r="AZ76">
        <v>343000000</v>
      </c>
      <c r="BA76">
        <v>347000000</v>
      </c>
      <c r="BB76">
        <v>228000000</v>
      </c>
      <c r="BC76">
        <v>272000000</v>
      </c>
      <c r="BD76">
        <v>166000000</v>
      </c>
      <c r="BE76">
        <v>219000000</v>
      </c>
      <c r="BF76">
        <v>155000000</v>
      </c>
      <c r="BG76">
        <v>109000000</v>
      </c>
      <c r="BH76">
        <v>152000000</v>
      </c>
      <c r="BI76">
        <v>104000000</v>
      </c>
      <c r="BJ76">
        <v>82000000</v>
      </c>
      <c r="BK76">
        <v>149000000</v>
      </c>
      <c r="BL76">
        <v>35000000</v>
      </c>
      <c r="BM76">
        <v>70000000</v>
      </c>
      <c r="BN76">
        <v>134000000</v>
      </c>
      <c r="BO76">
        <v>198000000</v>
      </c>
      <c r="BP76">
        <v>159000000</v>
      </c>
      <c r="BQ76">
        <v>159000000</v>
      </c>
      <c r="BR76">
        <v>237000000</v>
      </c>
    </row>
    <row r="77" spans="1:70">
      <c r="A77" t="s">
        <v>151</v>
      </c>
      <c r="B77" t="s">
        <v>152</v>
      </c>
      <c r="C77" t="s">
        <v>9</v>
      </c>
      <c r="D77" t="s">
        <v>10</v>
      </c>
      <c r="AK77">
        <v>2000000</v>
      </c>
      <c r="AL77">
        <v>3000000</v>
      </c>
      <c r="AM77">
        <v>15000000</v>
      </c>
      <c r="AN77">
        <v>17000000</v>
      </c>
      <c r="AO77">
        <v>1000000</v>
      </c>
      <c r="AP77">
        <v>13000000</v>
      </c>
      <c r="AQ77">
        <v>4000000</v>
      </c>
      <c r="AR77">
        <v>1000000</v>
      </c>
      <c r="AS77">
        <v>27000000</v>
      </c>
      <c r="AU77">
        <v>2000000</v>
      </c>
      <c r="AV77">
        <v>14000000</v>
      </c>
      <c r="AW77">
        <v>11000000</v>
      </c>
      <c r="AX77">
        <v>26000000</v>
      </c>
      <c r="AY77">
        <v>4000000</v>
      </c>
      <c r="AZ77">
        <v>18000000</v>
      </c>
      <c r="BA77">
        <v>28000000</v>
      </c>
      <c r="BB77">
        <v>42000000</v>
      </c>
      <c r="BC77">
        <v>13000000</v>
      </c>
      <c r="BD77">
        <v>1000000</v>
      </c>
      <c r="BE77">
        <v>2000000</v>
      </c>
      <c r="BF77">
        <v>18000000</v>
      </c>
      <c r="BG77">
        <v>2000000</v>
      </c>
      <c r="BH77">
        <v>18000000</v>
      </c>
      <c r="BI77">
        <v>32000000</v>
      </c>
      <c r="BJ77">
        <v>36000000</v>
      </c>
      <c r="BK77">
        <v>19000000</v>
      </c>
      <c r="BL77">
        <v>20000000</v>
      </c>
      <c r="BM77">
        <v>25000000</v>
      </c>
      <c r="BN77">
        <v>20000000</v>
      </c>
      <c r="BO77">
        <v>15000000</v>
      </c>
      <c r="BP77">
        <v>23000000</v>
      </c>
      <c r="BQ77">
        <v>115000000</v>
      </c>
      <c r="BR77">
        <v>204000000</v>
      </c>
    </row>
    <row r="78" spans="1:70">
      <c r="A78" t="s">
        <v>153</v>
      </c>
      <c r="B78" t="s">
        <v>154</v>
      </c>
      <c r="C78" t="s">
        <v>9</v>
      </c>
      <c r="D78" t="s">
        <v>10</v>
      </c>
      <c r="E78">
        <v>24000000</v>
      </c>
      <c r="F78">
        <v>4000000</v>
      </c>
      <c r="G78">
        <v>21000000</v>
      </c>
      <c r="H78">
        <v>27000000</v>
      </c>
      <c r="I78">
        <v>4000000</v>
      </c>
      <c r="J78">
        <v>14000000</v>
      </c>
      <c r="K78">
        <v>99000000</v>
      </c>
      <c r="L78">
        <v>31000000</v>
      </c>
      <c r="M78">
        <v>34000000</v>
      </c>
      <c r="N78">
        <v>24000000</v>
      </c>
      <c r="O78">
        <v>90000000</v>
      </c>
      <c r="P78">
        <v>54000000</v>
      </c>
      <c r="Q78">
        <v>53000000</v>
      </c>
      <c r="R78">
        <v>5000000</v>
      </c>
      <c r="S78">
        <v>36000000</v>
      </c>
      <c r="T78">
        <v>58000000</v>
      </c>
      <c r="U78">
        <v>113000000</v>
      </c>
      <c r="V78">
        <v>1133000000</v>
      </c>
      <c r="W78">
        <v>965000000</v>
      </c>
      <c r="X78">
        <v>113000000</v>
      </c>
      <c r="Y78">
        <v>330000000</v>
      </c>
      <c r="Z78">
        <v>328000000</v>
      </c>
      <c r="AA78">
        <v>516000000</v>
      </c>
      <c r="AB78">
        <v>403000000</v>
      </c>
      <c r="AC78">
        <v>228000000</v>
      </c>
      <c r="AD78">
        <v>268000000</v>
      </c>
      <c r="AE78">
        <v>348000000</v>
      </c>
      <c r="AF78">
        <v>239000000</v>
      </c>
      <c r="AG78">
        <v>155000000</v>
      </c>
      <c r="AH78">
        <v>47000000</v>
      </c>
      <c r="AI78">
        <v>2000000</v>
      </c>
      <c r="AJ78">
        <v>80000000</v>
      </c>
      <c r="AP78">
        <v>69000000</v>
      </c>
      <c r="AQ78">
        <v>208000000</v>
      </c>
      <c r="AR78">
        <v>152000000</v>
      </c>
      <c r="AS78">
        <v>114000000</v>
      </c>
      <c r="AU78">
        <v>20000000</v>
      </c>
      <c r="AV78">
        <v>174000000</v>
      </c>
      <c r="AW78">
        <v>239000000</v>
      </c>
      <c r="BC78">
        <v>58000000</v>
      </c>
      <c r="BD78">
        <v>76000000</v>
      </c>
      <c r="BE78">
        <v>193000000</v>
      </c>
      <c r="BF78">
        <v>154000000</v>
      </c>
      <c r="BG78">
        <v>33000000</v>
      </c>
      <c r="BH78">
        <v>10000000</v>
      </c>
      <c r="BI78">
        <v>55000000</v>
      </c>
      <c r="BJ78">
        <v>51000000</v>
      </c>
      <c r="BK78">
        <v>14000000</v>
      </c>
      <c r="BL78">
        <v>76000000</v>
      </c>
      <c r="BM78">
        <v>25000000</v>
      </c>
      <c r="BN78">
        <v>16000000</v>
      </c>
      <c r="BO78">
        <v>45000000</v>
      </c>
      <c r="BP78">
        <v>2000000</v>
      </c>
      <c r="BQ78">
        <v>48000000</v>
      </c>
      <c r="BR78">
        <v>63000000</v>
      </c>
    </row>
    <row r="79" spans="1:70">
      <c r="A79" t="s">
        <v>155</v>
      </c>
      <c r="B79" t="s">
        <v>156</v>
      </c>
      <c r="C79" t="s">
        <v>9</v>
      </c>
      <c r="D79" t="s">
        <v>10</v>
      </c>
      <c r="E79">
        <v>6365000000</v>
      </c>
      <c r="F79">
        <v>6183000000</v>
      </c>
      <c r="G79">
        <v>6408000000</v>
      </c>
      <c r="H79">
        <v>9303000000</v>
      </c>
      <c r="I79">
        <v>12835000000</v>
      </c>
      <c r="J79">
        <v>10564000000</v>
      </c>
      <c r="K79">
        <v>7229000000</v>
      </c>
      <c r="L79">
        <v>5695000000</v>
      </c>
      <c r="M79">
        <v>5022000000</v>
      </c>
      <c r="N79">
        <v>6126000000</v>
      </c>
      <c r="O79">
        <v>6787000000</v>
      </c>
      <c r="P79">
        <v>8894000000</v>
      </c>
      <c r="Q79">
        <v>7772000000</v>
      </c>
      <c r="R79">
        <v>7151000000</v>
      </c>
      <c r="S79">
        <v>7659000000</v>
      </c>
      <c r="T79">
        <v>8470000000</v>
      </c>
      <c r="U79">
        <v>7737000000</v>
      </c>
      <c r="V79">
        <v>6681000000</v>
      </c>
      <c r="W79">
        <v>8332000000</v>
      </c>
      <c r="X79">
        <v>6765000000</v>
      </c>
      <c r="Y79">
        <v>7207000000</v>
      </c>
      <c r="Z79">
        <v>6990000000</v>
      </c>
      <c r="AA79">
        <v>6483000000</v>
      </c>
      <c r="AB79">
        <v>6148000000</v>
      </c>
      <c r="AC79">
        <v>5376000000</v>
      </c>
      <c r="AD79">
        <v>4746000000</v>
      </c>
      <c r="AE79">
        <v>5975000000</v>
      </c>
      <c r="AF79">
        <v>4545000000</v>
      </c>
      <c r="AG79">
        <v>6255000000</v>
      </c>
      <c r="AH79">
        <v>5835000000</v>
      </c>
      <c r="AI79">
        <v>5243000000</v>
      </c>
      <c r="AJ79">
        <v>4870000000</v>
      </c>
      <c r="AK79">
        <v>5062000000</v>
      </c>
      <c r="AL79">
        <v>4276000000</v>
      </c>
      <c r="AM79">
        <v>4436000000</v>
      </c>
      <c r="AN79">
        <v>3013000000</v>
      </c>
      <c r="AO79">
        <v>3013000000</v>
      </c>
      <c r="AP79">
        <v>3134000000</v>
      </c>
      <c r="AQ79">
        <v>4497000000</v>
      </c>
      <c r="AR79">
        <v>3415000000</v>
      </c>
      <c r="AS79">
        <v>2676000000</v>
      </c>
      <c r="AT79">
        <v>2386000000</v>
      </c>
      <c r="AU79">
        <v>1981000000</v>
      </c>
      <c r="AV79">
        <v>4268000000</v>
      </c>
      <c r="AW79">
        <v>3572000000</v>
      </c>
      <c r="AX79">
        <v>3040000000</v>
      </c>
      <c r="AY79">
        <v>3710000000</v>
      </c>
      <c r="AZ79">
        <v>5111000000</v>
      </c>
      <c r="BA79">
        <v>3326000000</v>
      </c>
      <c r="BB79">
        <v>3644000000</v>
      </c>
      <c r="BC79">
        <v>3083000000</v>
      </c>
      <c r="BD79">
        <v>1703000000</v>
      </c>
      <c r="BE79">
        <v>1658000000</v>
      </c>
      <c r="BF79">
        <v>1646000000</v>
      </c>
      <c r="BG79">
        <v>1431000000</v>
      </c>
      <c r="BH79">
        <v>1963000000</v>
      </c>
      <c r="BI79">
        <v>2041000000</v>
      </c>
      <c r="BJ79">
        <v>1551000000</v>
      </c>
      <c r="BK79">
        <v>1196000000</v>
      </c>
      <c r="BL79">
        <v>1573000000</v>
      </c>
      <c r="BM79">
        <v>2314000000</v>
      </c>
      <c r="BN79">
        <v>2507000000</v>
      </c>
      <c r="BO79">
        <v>3588000000</v>
      </c>
      <c r="BP79">
        <v>4768000000</v>
      </c>
      <c r="BQ79">
        <v>6348000000</v>
      </c>
      <c r="BR79">
        <v>9516000000</v>
      </c>
    </row>
    <row r="80" spans="1:70">
      <c r="A80" t="s">
        <v>157</v>
      </c>
      <c r="B80" t="s">
        <v>158</v>
      </c>
      <c r="C80" t="s">
        <v>9</v>
      </c>
      <c r="D80" t="s">
        <v>10</v>
      </c>
      <c r="E80">
        <v>464000000</v>
      </c>
      <c r="F80">
        <v>366000000</v>
      </c>
      <c r="G80">
        <v>575000000</v>
      </c>
      <c r="H80">
        <v>586000000</v>
      </c>
      <c r="I80">
        <v>723000000</v>
      </c>
      <c r="J80">
        <v>1130000000</v>
      </c>
      <c r="K80">
        <v>2119000000</v>
      </c>
      <c r="L80">
        <v>2345000000</v>
      </c>
      <c r="M80">
        <v>2461000000</v>
      </c>
      <c r="N80">
        <v>2865000000</v>
      </c>
      <c r="O80">
        <v>3172000000</v>
      </c>
      <c r="R80">
        <v>8192000000</v>
      </c>
      <c r="S80">
        <v>9908000000</v>
      </c>
      <c r="U80">
        <v>9106000000</v>
      </c>
      <c r="V80">
        <v>12178000000</v>
      </c>
      <c r="W80">
        <v>12713000000</v>
      </c>
      <c r="X80">
        <v>8061000000</v>
      </c>
      <c r="Y80">
        <v>9035000000</v>
      </c>
      <c r="Z80">
        <v>9298000000</v>
      </c>
      <c r="AA80">
        <v>10551000000</v>
      </c>
      <c r="AB80">
        <v>8492000000</v>
      </c>
      <c r="AC80">
        <v>9261000000</v>
      </c>
      <c r="AD80">
        <v>8157000000</v>
      </c>
      <c r="AE80">
        <v>6701000000</v>
      </c>
      <c r="AF80">
        <v>6934000000</v>
      </c>
      <c r="AG80">
        <v>4952000000</v>
      </c>
      <c r="AH80">
        <v>4529000000</v>
      </c>
      <c r="AI80">
        <v>4037000000</v>
      </c>
      <c r="AJ80">
        <v>3051000000</v>
      </c>
      <c r="AK80">
        <v>835000000</v>
      </c>
      <c r="AL80">
        <v>1545000000</v>
      </c>
      <c r="BB80">
        <v>1465000000</v>
      </c>
      <c r="BC80">
        <v>2426000000</v>
      </c>
      <c r="BE80">
        <v>2532000000</v>
      </c>
      <c r="BF80">
        <v>2084000000</v>
      </c>
      <c r="BG80">
        <v>1625000000</v>
      </c>
      <c r="BH80">
        <v>2394000000</v>
      </c>
      <c r="BI80">
        <v>3136000000</v>
      </c>
      <c r="BJ80">
        <v>1709000000</v>
      </c>
      <c r="BK80">
        <v>1466000000</v>
      </c>
      <c r="BL80">
        <v>1138000000</v>
      </c>
      <c r="BM80">
        <v>793000000</v>
      </c>
      <c r="BN80">
        <v>687000000</v>
      </c>
      <c r="BO80">
        <v>3510000000</v>
      </c>
      <c r="BP80">
        <v>4836000000</v>
      </c>
      <c r="BQ80">
        <v>6001000000</v>
      </c>
      <c r="BR80">
        <v>2695000000</v>
      </c>
    </row>
    <row r="81" spans="1:70">
      <c r="A81" t="s">
        <v>159</v>
      </c>
      <c r="B81" t="s">
        <v>160</v>
      </c>
      <c r="C81" t="s">
        <v>9</v>
      </c>
      <c r="D81" t="s">
        <v>10</v>
      </c>
      <c r="E81">
        <v>60000000</v>
      </c>
      <c r="F81">
        <v>52000000</v>
      </c>
      <c r="G81">
        <v>48000000</v>
      </c>
      <c r="H81">
        <v>252000000</v>
      </c>
      <c r="I81">
        <v>103000000</v>
      </c>
      <c r="J81">
        <v>81000000</v>
      </c>
      <c r="K81">
        <v>42000000</v>
      </c>
      <c r="L81">
        <v>76000000</v>
      </c>
      <c r="M81">
        <v>23000000</v>
      </c>
      <c r="N81">
        <v>21000000</v>
      </c>
      <c r="O81">
        <v>15000000</v>
      </c>
      <c r="P81">
        <v>4000000</v>
      </c>
      <c r="Q81">
        <v>26000000</v>
      </c>
      <c r="R81">
        <v>13000000</v>
      </c>
      <c r="S81">
        <v>172000000</v>
      </c>
      <c r="T81">
        <v>129000000</v>
      </c>
      <c r="U81">
        <v>74000000</v>
      </c>
      <c r="V81">
        <v>12000000</v>
      </c>
      <c r="W81">
        <v>105000000</v>
      </c>
      <c r="X81">
        <v>47000000</v>
      </c>
      <c r="Y81">
        <v>328000000</v>
      </c>
      <c r="Z81">
        <v>118000000</v>
      </c>
      <c r="AA81">
        <v>132000000</v>
      </c>
      <c r="AB81">
        <v>112000000</v>
      </c>
      <c r="AC81">
        <v>127000000</v>
      </c>
      <c r="AD81">
        <v>203000000</v>
      </c>
      <c r="AE81">
        <v>98000000</v>
      </c>
      <c r="AF81">
        <v>66000000</v>
      </c>
      <c r="AG81">
        <v>141000000</v>
      </c>
      <c r="AH81">
        <v>86000000</v>
      </c>
      <c r="AI81">
        <v>88000000</v>
      </c>
      <c r="AJ81">
        <v>65000000</v>
      </c>
      <c r="AK81">
        <v>442000000</v>
      </c>
      <c r="AL81">
        <v>406000000</v>
      </c>
      <c r="AM81">
        <v>234000000</v>
      </c>
      <c r="AN81">
        <v>195000000</v>
      </c>
      <c r="AO81">
        <v>552000000</v>
      </c>
      <c r="AP81">
        <v>397000000</v>
      </c>
      <c r="AQ81">
        <v>560000000</v>
      </c>
      <c r="AR81">
        <v>768000000</v>
      </c>
      <c r="AS81">
        <v>472000000</v>
      </c>
      <c r="AT81">
        <v>7000000</v>
      </c>
      <c r="AU81">
        <v>15000000</v>
      </c>
      <c r="AV81">
        <v>242000000</v>
      </c>
      <c r="AW81">
        <v>67000000</v>
      </c>
      <c r="AX81">
        <v>93000000</v>
      </c>
      <c r="AY81">
        <v>132000000</v>
      </c>
      <c r="AZ81">
        <v>149000000</v>
      </c>
      <c r="BA81">
        <v>134000000</v>
      </c>
      <c r="BB81">
        <v>37000000</v>
      </c>
      <c r="BC81">
        <v>41000000</v>
      </c>
      <c r="BD81">
        <v>60000000</v>
      </c>
      <c r="BE81">
        <v>87000000</v>
      </c>
      <c r="BF81">
        <v>254000000</v>
      </c>
      <c r="BG81">
        <v>182000000</v>
      </c>
      <c r="BH81">
        <v>268000000</v>
      </c>
      <c r="BI81">
        <v>122000000</v>
      </c>
      <c r="BJ81">
        <v>47000000</v>
      </c>
      <c r="BK81">
        <v>82000000</v>
      </c>
      <c r="BL81">
        <v>86000000</v>
      </c>
      <c r="BM81">
        <v>96000000</v>
      </c>
      <c r="BN81">
        <v>20000000</v>
      </c>
      <c r="BO81">
        <v>12000000</v>
      </c>
      <c r="BP81">
        <v>37000000</v>
      </c>
      <c r="BQ81">
        <v>105000000</v>
      </c>
      <c r="BR81">
        <v>51000000</v>
      </c>
    </row>
    <row r="82" spans="1:70">
      <c r="A82" t="s">
        <v>161</v>
      </c>
      <c r="B82" t="s">
        <v>162</v>
      </c>
      <c r="C82" t="s">
        <v>9</v>
      </c>
      <c r="D82" t="s">
        <v>10</v>
      </c>
      <c r="T82">
        <v>8000000</v>
      </c>
      <c r="U82">
        <v>4000000</v>
      </c>
      <c r="AI82">
        <v>1000000</v>
      </c>
      <c r="AK82">
        <v>3000000</v>
      </c>
      <c r="AM82">
        <v>6000000</v>
      </c>
      <c r="AN82">
        <v>12000000</v>
      </c>
      <c r="BJ82">
        <v>1000000</v>
      </c>
      <c r="BM82">
        <v>7000000</v>
      </c>
      <c r="BQ82">
        <v>16000000</v>
      </c>
    </row>
    <row r="83" spans="1:70">
      <c r="A83" t="s">
        <v>163</v>
      </c>
      <c r="B83" t="s">
        <v>164</v>
      </c>
      <c r="C83" t="s">
        <v>9</v>
      </c>
      <c r="D83" t="s">
        <v>10</v>
      </c>
      <c r="E83">
        <v>526000000</v>
      </c>
      <c r="F83">
        <v>321000000</v>
      </c>
      <c r="G83">
        <v>122000000</v>
      </c>
      <c r="H83">
        <v>162000000</v>
      </c>
      <c r="I83">
        <v>1300000000</v>
      </c>
      <c r="J83">
        <v>378000000</v>
      </c>
      <c r="K83">
        <v>106000000</v>
      </c>
      <c r="L83">
        <v>98000000</v>
      </c>
      <c r="M83">
        <v>123000000</v>
      </c>
      <c r="N83">
        <v>64000000</v>
      </c>
      <c r="O83">
        <v>44000000</v>
      </c>
      <c r="P83">
        <v>57000000</v>
      </c>
      <c r="Q83">
        <v>33000000</v>
      </c>
      <c r="R83">
        <v>51000000</v>
      </c>
      <c r="S83">
        <v>46000000</v>
      </c>
      <c r="T83">
        <v>45000000</v>
      </c>
      <c r="U83">
        <v>186000000</v>
      </c>
      <c r="V83">
        <v>194000000</v>
      </c>
      <c r="W83">
        <v>231000000</v>
      </c>
      <c r="X83">
        <v>107000000</v>
      </c>
      <c r="Y83">
        <v>70000000</v>
      </c>
      <c r="Z83">
        <v>106000000</v>
      </c>
      <c r="AA83">
        <v>142000000</v>
      </c>
      <c r="AB83">
        <v>108000000</v>
      </c>
      <c r="AC83">
        <v>73000000</v>
      </c>
      <c r="AD83">
        <v>20000000</v>
      </c>
      <c r="AE83">
        <v>100000000</v>
      </c>
      <c r="AF83">
        <v>84000000</v>
      </c>
      <c r="AG83">
        <v>134000000</v>
      </c>
      <c r="AH83">
        <v>107000000</v>
      </c>
      <c r="AI83">
        <v>77000000</v>
      </c>
      <c r="AJ83">
        <v>963000000</v>
      </c>
      <c r="AK83">
        <v>439000000</v>
      </c>
      <c r="AL83">
        <v>102000000</v>
      </c>
      <c r="AM83">
        <v>84000000</v>
      </c>
      <c r="AN83">
        <v>99000000</v>
      </c>
      <c r="AO83">
        <v>64000000</v>
      </c>
      <c r="AP83">
        <v>223000000</v>
      </c>
      <c r="AQ83">
        <v>171000000</v>
      </c>
      <c r="AR83">
        <v>105000000</v>
      </c>
      <c r="AS83">
        <v>98000000</v>
      </c>
      <c r="AT83">
        <v>61000000</v>
      </c>
      <c r="AU83">
        <v>38000000</v>
      </c>
      <c r="AV83">
        <v>55000000</v>
      </c>
      <c r="AW83">
        <v>93000000</v>
      </c>
      <c r="AX83">
        <v>2000000</v>
      </c>
      <c r="AY83">
        <v>68000000</v>
      </c>
      <c r="AZ83">
        <v>75000000</v>
      </c>
      <c r="BA83">
        <v>2000000</v>
      </c>
      <c r="BB83">
        <v>72000000</v>
      </c>
      <c r="BC83">
        <v>103000000</v>
      </c>
      <c r="BD83">
        <v>41000000</v>
      </c>
      <c r="BE83">
        <v>86000000</v>
      </c>
      <c r="BF83">
        <v>104000000</v>
      </c>
      <c r="BG83">
        <v>17000000</v>
      </c>
      <c r="BH83">
        <v>36000000</v>
      </c>
      <c r="BI83">
        <v>38000000</v>
      </c>
      <c r="BJ83">
        <v>84000000</v>
      </c>
      <c r="BK83">
        <v>201000000</v>
      </c>
      <c r="BL83">
        <v>104000000</v>
      </c>
      <c r="BM83">
        <v>225000000</v>
      </c>
      <c r="BN83">
        <v>105000000</v>
      </c>
      <c r="BO83">
        <v>130000000</v>
      </c>
      <c r="BP83">
        <v>114000000</v>
      </c>
      <c r="BQ83">
        <v>183000000</v>
      </c>
      <c r="BR83">
        <v>236000000</v>
      </c>
    </row>
    <row r="84" spans="1:70">
      <c r="A84" t="s">
        <v>165</v>
      </c>
      <c r="B84" t="s">
        <v>166</v>
      </c>
      <c r="C84" t="s">
        <v>9</v>
      </c>
      <c r="D84" t="s">
        <v>10</v>
      </c>
    </row>
    <row r="85" spans="1:70">
      <c r="A85" t="s">
        <v>167</v>
      </c>
      <c r="B85" t="s">
        <v>168</v>
      </c>
      <c r="C85" t="s">
        <v>9</v>
      </c>
      <c r="D85" t="s">
        <v>10</v>
      </c>
      <c r="AH85">
        <v>2000000</v>
      </c>
      <c r="AI85">
        <v>14000000</v>
      </c>
      <c r="AP85">
        <v>6000000</v>
      </c>
      <c r="BO85">
        <v>7000000</v>
      </c>
      <c r="BP85">
        <v>7000000</v>
      </c>
    </row>
    <row r="86" spans="1:70">
      <c r="A86" t="s">
        <v>169</v>
      </c>
      <c r="B86" t="s">
        <v>170</v>
      </c>
      <c r="C86" t="s">
        <v>9</v>
      </c>
      <c r="D86" t="s">
        <v>10</v>
      </c>
      <c r="F86">
        <v>3000000</v>
      </c>
      <c r="I86">
        <v>3000000</v>
      </c>
      <c r="J86">
        <v>0</v>
      </c>
      <c r="K86">
        <v>2000000</v>
      </c>
      <c r="M86">
        <v>4000000</v>
      </c>
      <c r="N86">
        <v>4000000</v>
      </c>
      <c r="O86">
        <v>1000000</v>
      </c>
      <c r="P86">
        <v>24000000</v>
      </c>
      <c r="R86">
        <v>2000000</v>
      </c>
      <c r="S86">
        <v>11000000</v>
      </c>
      <c r="T86">
        <v>34000000</v>
      </c>
      <c r="U86">
        <v>47000000</v>
      </c>
      <c r="V86">
        <v>28000000</v>
      </c>
      <c r="W86">
        <v>76000000</v>
      </c>
      <c r="Y86">
        <v>33000000</v>
      </c>
      <c r="Z86">
        <v>36000000</v>
      </c>
      <c r="AA86">
        <v>5000000</v>
      </c>
      <c r="AB86">
        <v>11000000</v>
      </c>
      <c r="AC86">
        <v>100000000</v>
      </c>
      <c r="AD86">
        <v>3000000</v>
      </c>
      <c r="AE86">
        <v>8000000</v>
      </c>
      <c r="AF86">
        <v>10000000</v>
      </c>
      <c r="AG86">
        <v>22000000</v>
      </c>
      <c r="AI86">
        <v>29000000</v>
      </c>
      <c r="AW86">
        <v>7000000</v>
      </c>
      <c r="AY86">
        <v>20000000</v>
      </c>
      <c r="AZ86">
        <v>18000000</v>
      </c>
      <c r="BC86">
        <v>27000000</v>
      </c>
      <c r="BD86">
        <v>5000000</v>
      </c>
      <c r="BE86">
        <v>1000000</v>
      </c>
      <c r="BF86">
        <v>2000000</v>
      </c>
      <c r="BH86">
        <v>5000000</v>
      </c>
      <c r="BI86">
        <v>3000000</v>
      </c>
      <c r="BL86">
        <v>26000000</v>
      </c>
      <c r="BN86">
        <v>2000000</v>
      </c>
      <c r="BP86">
        <v>16000000</v>
      </c>
      <c r="BQ86">
        <v>6000000</v>
      </c>
    </row>
    <row r="87" spans="1:70">
      <c r="A87" t="s">
        <v>171</v>
      </c>
      <c r="B87" t="s">
        <v>172</v>
      </c>
      <c r="C87" t="s">
        <v>9</v>
      </c>
      <c r="D87" t="s">
        <v>10</v>
      </c>
      <c r="E87">
        <v>26000000</v>
      </c>
      <c r="F87">
        <v>34000000</v>
      </c>
      <c r="G87">
        <v>38000000</v>
      </c>
      <c r="H87">
        <v>159000000</v>
      </c>
      <c r="I87">
        <v>133000000</v>
      </c>
      <c r="J87">
        <v>166000000</v>
      </c>
      <c r="K87">
        <v>242000000</v>
      </c>
      <c r="L87">
        <v>1444000000</v>
      </c>
      <c r="M87">
        <v>2348000000</v>
      </c>
      <c r="N87">
        <v>2701000000</v>
      </c>
      <c r="O87">
        <v>70000000</v>
      </c>
      <c r="P87">
        <v>176000000</v>
      </c>
      <c r="Q87">
        <v>222000000</v>
      </c>
      <c r="R87">
        <v>239000000</v>
      </c>
      <c r="S87">
        <v>319000000</v>
      </c>
      <c r="T87">
        <v>337000000</v>
      </c>
      <c r="U87">
        <v>251000000</v>
      </c>
      <c r="V87">
        <v>262000000</v>
      </c>
      <c r="W87">
        <v>191000000</v>
      </c>
      <c r="X87">
        <v>232000000</v>
      </c>
      <c r="Y87">
        <v>557000000</v>
      </c>
      <c r="Z87">
        <v>812000000</v>
      </c>
      <c r="AA87">
        <v>766000000</v>
      </c>
      <c r="AB87">
        <v>292000000</v>
      </c>
      <c r="AC87">
        <v>682000000</v>
      </c>
      <c r="AD87">
        <v>355000000</v>
      </c>
      <c r="AE87">
        <v>273000000</v>
      </c>
      <c r="AF87">
        <v>207000000</v>
      </c>
      <c r="AG87">
        <v>285000000</v>
      </c>
      <c r="AH87">
        <v>209000000</v>
      </c>
      <c r="AI87">
        <v>130000000</v>
      </c>
      <c r="AJ87">
        <v>953000000</v>
      </c>
      <c r="AK87">
        <v>1147000000</v>
      </c>
      <c r="AL87">
        <v>796000000</v>
      </c>
      <c r="AM87">
        <v>421000000</v>
      </c>
      <c r="AN87">
        <v>496000000</v>
      </c>
      <c r="AO87">
        <v>568000000</v>
      </c>
      <c r="AP87">
        <v>513000000</v>
      </c>
      <c r="AQ87">
        <v>770000000</v>
      </c>
      <c r="AR87">
        <v>132000000</v>
      </c>
      <c r="AS87">
        <v>937000000</v>
      </c>
      <c r="AT87">
        <v>1287000000</v>
      </c>
      <c r="AU87">
        <v>721000000</v>
      </c>
      <c r="AV87">
        <v>770000000</v>
      </c>
      <c r="AW87">
        <v>212000000</v>
      </c>
      <c r="AX87">
        <v>31000000</v>
      </c>
      <c r="AY87">
        <v>375000000</v>
      </c>
      <c r="AZ87">
        <v>817000000</v>
      </c>
      <c r="BA87">
        <v>575000000</v>
      </c>
      <c r="BB87">
        <v>381000000</v>
      </c>
      <c r="BC87">
        <v>461000000</v>
      </c>
      <c r="BD87">
        <v>347000000</v>
      </c>
      <c r="BE87">
        <v>566000000</v>
      </c>
      <c r="BF87">
        <v>509000000</v>
      </c>
      <c r="BG87">
        <v>217000000</v>
      </c>
      <c r="BH87">
        <v>424000000</v>
      </c>
      <c r="BI87">
        <v>288000000</v>
      </c>
      <c r="BJ87">
        <v>1002000000</v>
      </c>
      <c r="BK87">
        <v>463000000</v>
      </c>
      <c r="BL87">
        <v>402000000</v>
      </c>
      <c r="BM87">
        <v>635000000</v>
      </c>
      <c r="BN87">
        <v>886000000</v>
      </c>
      <c r="BO87">
        <v>859000000</v>
      </c>
      <c r="BP87">
        <v>469000000</v>
      </c>
      <c r="BQ87">
        <v>486000000</v>
      </c>
      <c r="BR87">
        <v>609000000</v>
      </c>
    </row>
    <row r="88" spans="1:70">
      <c r="A88" t="s">
        <v>173</v>
      </c>
      <c r="B88" t="s">
        <v>174</v>
      </c>
      <c r="C88" t="s">
        <v>9</v>
      </c>
      <c r="D88" t="s">
        <v>10</v>
      </c>
      <c r="AL88">
        <v>4000000</v>
      </c>
      <c r="AP88">
        <v>4000000</v>
      </c>
      <c r="AQ88">
        <v>28000000</v>
      </c>
      <c r="AR88">
        <v>23000000</v>
      </c>
      <c r="AS88">
        <v>6000000</v>
      </c>
      <c r="AT88">
        <v>85000000</v>
      </c>
      <c r="AV88">
        <v>1000000</v>
      </c>
      <c r="AW88">
        <v>38000000</v>
      </c>
      <c r="AX88">
        <v>95000000</v>
      </c>
      <c r="AY88">
        <v>97000000</v>
      </c>
      <c r="AZ88">
        <v>161000000</v>
      </c>
      <c r="BA88">
        <v>132000000</v>
      </c>
      <c r="BB88">
        <v>38000000</v>
      </c>
      <c r="BD88">
        <v>2000000</v>
      </c>
      <c r="BE88">
        <v>9000000</v>
      </c>
      <c r="BF88">
        <v>5000000</v>
      </c>
      <c r="BG88">
        <v>1000000</v>
      </c>
      <c r="BJ88">
        <v>7000000</v>
      </c>
      <c r="BK88">
        <v>41000000</v>
      </c>
      <c r="BL88">
        <v>6000000</v>
      </c>
      <c r="BO88">
        <v>2000000</v>
      </c>
      <c r="BP88">
        <v>0</v>
      </c>
      <c r="BQ88">
        <v>15000000</v>
      </c>
    </row>
    <row r="89" spans="1:70">
      <c r="A89" t="s">
        <v>175</v>
      </c>
      <c r="B89" t="s">
        <v>176</v>
      </c>
      <c r="C89" t="s">
        <v>9</v>
      </c>
      <c r="D89" t="s">
        <v>10</v>
      </c>
      <c r="E89">
        <v>12000000</v>
      </c>
      <c r="F89">
        <v>107000000</v>
      </c>
      <c r="G89">
        <v>20000000</v>
      </c>
      <c r="H89">
        <v>6000000</v>
      </c>
      <c r="I89">
        <v>40000000</v>
      </c>
      <c r="J89">
        <v>40000000</v>
      </c>
      <c r="K89">
        <v>24000000</v>
      </c>
      <c r="L89">
        <v>1000000</v>
      </c>
      <c r="Q89">
        <v>12000000</v>
      </c>
      <c r="R89">
        <v>13000000</v>
      </c>
      <c r="S89">
        <v>19000000</v>
      </c>
      <c r="T89">
        <v>28000000</v>
      </c>
      <c r="U89">
        <v>39000000</v>
      </c>
      <c r="W89">
        <v>18000000</v>
      </c>
      <c r="X89">
        <v>7000000</v>
      </c>
      <c r="Y89">
        <v>38000000</v>
      </c>
      <c r="Z89">
        <v>48000000</v>
      </c>
      <c r="AD89">
        <v>5000000</v>
      </c>
      <c r="AF89">
        <v>13000000</v>
      </c>
      <c r="AH89">
        <v>2000000</v>
      </c>
      <c r="AI89">
        <v>4000000</v>
      </c>
      <c r="AJ89">
        <v>1000000</v>
      </c>
      <c r="AM89">
        <v>11000000</v>
      </c>
      <c r="AO89">
        <v>7000000</v>
      </c>
      <c r="AP89">
        <v>5000000</v>
      </c>
      <c r="AR89">
        <v>8000000</v>
      </c>
      <c r="AS89">
        <v>1000000</v>
      </c>
      <c r="AT89">
        <v>12000000</v>
      </c>
      <c r="AU89">
        <v>1000000</v>
      </c>
      <c r="AV89">
        <v>6000000</v>
      </c>
      <c r="AW89">
        <v>37000000</v>
      </c>
      <c r="AX89">
        <v>0</v>
      </c>
      <c r="AZ89">
        <v>16000000</v>
      </c>
      <c r="BB89">
        <v>6000000</v>
      </c>
      <c r="BC89">
        <v>2000000</v>
      </c>
      <c r="BD89">
        <v>76000000</v>
      </c>
      <c r="BE89">
        <v>39000000</v>
      </c>
      <c r="BF89">
        <v>52000000</v>
      </c>
      <c r="BG89">
        <v>17000000</v>
      </c>
      <c r="BH89">
        <v>13000000</v>
      </c>
      <c r="BI89">
        <v>22000000</v>
      </c>
      <c r="BK89">
        <v>0</v>
      </c>
      <c r="BL89">
        <v>2000000</v>
      </c>
      <c r="BM89">
        <v>12000000</v>
      </c>
      <c r="BO89">
        <v>40000000</v>
      </c>
      <c r="BP89">
        <v>8000000</v>
      </c>
      <c r="BQ89">
        <v>11000000</v>
      </c>
      <c r="BR89">
        <v>5000000</v>
      </c>
    </row>
    <row r="90" spans="1:70">
      <c r="A90" t="s">
        <v>177</v>
      </c>
      <c r="B90" t="s">
        <v>178</v>
      </c>
      <c r="C90" t="s">
        <v>9</v>
      </c>
      <c r="D90" t="s">
        <v>10</v>
      </c>
    </row>
    <row r="91" spans="1:70">
      <c r="A91" t="s">
        <v>179</v>
      </c>
      <c r="B91" t="s">
        <v>180</v>
      </c>
      <c r="C91" t="s">
        <v>9</v>
      </c>
      <c r="D91" t="s">
        <v>10</v>
      </c>
      <c r="E91">
        <v>33000000</v>
      </c>
      <c r="F91">
        <v>2000000</v>
      </c>
      <c r="H91">
        <v>0</v>
      </c>
      <c r="I91">
        <v>0</v>
      </c>
      <c r="J91">
        <v>18000000</v>
      </c>
      <c r="L91">
        <v>7000000</v>
      </c>
      <c r="N91">
        <v>0</v>
      </c>
      <c r="O91">
        <v>1000000</v>
      </c>
      <c r="P91">
        <v>4000000</v>
      </c>
      <c r="Q91">
        <v>5000000</v>
      </c>
      <c r="R91">
        <v>18000000</v>
      </c>
      <c r="S91">
        <v>24000000</v>
      </c>
      <c r="T91">
        <v>2000000</v>
      </c>
      <c r="U91">
        <v>18000000</v>
      </c>
      <c r="V91">
        <v>8000000</v>
      </c>
      <c r="W91">
        <v>45000000</v>
      </c>
      <c r="X91">
        <v>69000000</v>
      </c>
      <c r="Z91">
        <v>1000000</v>
      </c>
      <c r="AA91">
        <v>1000000</v>
      </c>
      <c r="AB91">
        <v>1000000</v>
      </c>
      <c r="AE91">
        <v>39000000</v>
      </c>
      <c r="AH91">
        <v>40000000</v>
      </c>
      <c r="AI91">
        <v>1000000</v>
      </c>
      <c r="AJ91">
        <v>1000000</v>
      </c>
      <c r="AQ91">
        <v>4000000</v>
      </c>
      <c r="AS91">
        <v>26000000</v>
      </c>
      <c r="AT91">
        <v>6000000</v>
      </c>
      <c r="AV91">
        <v>2000000</v>
      </c>
      <c r="AX91">
        <v>1000000</v>
      </c>
      <c r="AZ91">
        <v>0</v>
      </c>
      <c r="BC91">
        <v>5000000</v>
      </c>
      <c r="BD91">
        <v>1000000</v>
      </c>
      <c r="BE91">
        <v>4000000</v>
      </c>
      <c r="BG91">
        <v>5000000</v>
      </c>
      <c r="BJ91">
        <v>2000000</v>
      </c>
      <c r="BK91">
        <v>1000000</v>
      </c>
      <c r="BL91">
        <v>4000000</v>
      </c>
      <c r="BN91">
        <v>1000000</v>
      </c>
      <c r="BP91">
        <v>1000000</v>
      </c>
      <c r="BQ91">
        <v>6000000</v>
      </c>
      <c r="BR91">
        <v>6000000</v>
      </c>
    </row>
    <row r="92" spans="1:70">
      <c r="A92" t="s">
        <v>181</v>
      </c>
      <c r="B92" t="s">
        <v>182</v>
      </c>
      <c r="C92" t="s">
        <v>9</v>
      </c>
      <c r="D92" t="s">
        <v>10</v>
      </c>
      <c r="N92">
        <v>0</v>
      </c>
      <c r="Z92">
        <v>3000000</v>
      </c>
      <c r="AH92">
        <v>12000000</v>
      </c>
      <c r="AW92">
        <v>5000000</v>
      </c>
      <c r="BB92">
        <v>16000000</v>
      </c>
      <c r="BO92">
        <v>1000000</v>
      </c>
      <c r="BP92">
        <v>0</v>
      </c>
      <c r="BR92">
        <v>1000000</v>
      </c>
    </row>
    <row r="93" spans="1:70">
      <c r="A93" t="s">
        <v>183</v>
      </c>
      <c r="B93" t="s">
        <v>184</v>
      </c>
      <c r="C93" t="s">
        <v>9</v>
      </c>
      <c r="D93" t="s">
        <v>10</v>
      </c>
      <c r="S93">
        <v>21000000</v>
      </c>
      <c r="T93">
        <v>12000000</v>
      </c>
      <c r="U93">
        <v>14000000</v>
      </c>
      <c r="W93">
        <v>14000000</v>
      </c>
      <c r="X93">
        <v>24000000</v>
      </c>
      <c r="Y93">
        <v>2000000</v>
      </c>
      <c r="Z93">
        <v>1000000</v>
      </c>
      <c r="AC93">
        <v>11000000</v>
      </c>
      <c r="AE93">
        <v>35000000</v>
      </c>
      <c r="AG93">
        <v>20000000</v>
      </c>
      <c r="AI93">
        <v>22000000</v>
      </c>
      <c r="AJ93">
        <v>6000000</v>
      </c>
      <c r="AL93">
        <v>5000000</v>
      </c>
    </row>
    <row r="94" spans="1:70">
      <c r="A94" t="s">
        <v>185</v>
      </c>
      <c r="B94" t="s">
        <v>186</v>
      </c>
      <c r="C94" t="s">
        <v>9</v>
      </c>
      <c r="D94" t="s">
        <v>10</v>
      </c>
      <c r="W94">
        <v>5000000</v>
      </c>
      <c r="Y94">
        <v>1000000</v>
      </c>
      <c r="AA94">
        <v>5000000</v>
      </c>
      <c r="AR94">
        <v>3000000</v>
      </c>
      <c r="AT94">
        <v>7000000</v>
      </c>
      <c r="AW94">
        <v>7000000</v>
      </c>
      <c r="AX94">
        <v>11000000</v>
      </c>
      <c r="AY94">
        <v>7000000</v>
      </c>
      <c r="AZ94">
        <v>28000000</v>
      </c>
      <c r="BA94">
        <v>30000000</v>
      </c>
      <c r="BB94">
        <v>68000000</v>
      </c>
      <c r="BC94">
        <v>3000000</v>
      </c>
      <c r="BD94">
        <v>56000000</v>
      </c>
      <c r="BE94">
        <v>60000000</v>
      </c>
      <c r="BF94">
        <v>2000000</v>
      </c>
      <c r="BG94">
        <v>92000000</v>
      </c>
      <c r="BK94">
        <v>20000000</v>
      </c>
      <c r="BN94">
        <v>0</v>
      </c>
      <c r="BQ94">
        <v>12000000</v>
      </c>
    </row>
    <row r="95" spans="1:70">
      <c r="A95" t="s">
        <v>187</v>
      </c>
      <c r="B95" t="s">
        <v>188</v>
      </c>
      <c r="C95" t="s">
        <v>9</v>
      </c>
      <c r="D95" t="s">
        <v>10</v>
      </c>
      <c r="E95">
        <v>261000000</v>
      </c>
      <c r="F95">
        <v>148000000</v>
      </c>
      <c r="G95">
        <v>340000000</v>
      </c>
      <c r="H95">
        <v>106000000</v>
      </c>
      <c r="I95">
        <v>639000000</v>
      </c>
      <c r="J95">
        <v>497000000</v>
      </c>
      <c r="K95">
        <v>212000000</v>
      </c>
      <c r="L95">
        <v>373000000</v>
      </c>
      <c r="M95">
        <v>107000000</v>
      </c>
      <c r="N95">
        <v>292000000</v>
      </c>
      <c r="O95">
        <v>305000000</v>
      </c>
      <c r="P95">
        <v>581000000</v>
      </c>
      <c r="Q95">
        <v>689000000</v>
      </c>
      <c r="R95">
        <v>246000000</v>
      </c>
      <c r="S95">
        <v>428000000</v>
      </c>
      <c r="T95">
        <v>912000000</v>
      </c>
      <c r="U95">
        <v>1288000000</v>
      </c>
      <c r="V95">
        <v>980000000</v>
      </c>
      <c r="W95">
        <v>1281000000</v>
      </c>
      <c r="X95">
        <v>734000000</v>
      </c>
      <c r="Y95">
        <v>660000000</v>
      </c>
      <c r="Z95">
        <v>951000000</v>
      </c>
      <c r="AA95">
        <v>462000000</v>
      </c>
      <c r="AB95">
        <v>403000000</v>
      </c>
      <c r="AC95">
        <v>366000000</v>
      </c>
      <c r="AD95">
        <v>189000000</v>
      </c>
      <c r="AE95">
        <v>202000000</v>
      </c>
      <c r="AF95">
        <v>36000000</v>
      </c>
      <c r="AG95">
        <v>561000000</v>
      </c>
      <c r="AH95">
        <v>1248000000</v>
      </c>
      <c r="AI95">
        <v>907000000</v>
      </c>
      <c r="AJ95">
        <v>487000000</v>
      </c>
      <c r="AK95">
        <v>2146000000</v>
      </c>
      <c r="AL95">
        <v>892000000</v>
      </c>
      <c r="AM95">
        <v>1227000000</v>
      </c>
      <c r="AN95">
        <v>874000000</v>
      </c>
      <c r="AO95">
        <v>380000000</v>
      </c>
      <c r="AP95">
        <v>807000000</v>
      </c>
      <c r="AQ95">
        <v>1717000000</v>
      </c>
      <c r="AR95">
        <v>837000000</v>
      </c>
      <c r="AS95">
        <v>731000000</v>
      </c>
      <c r="AT95">
        <v>793000000</v>
      </c>
      <c r="AU95">
        <v>402000000</v>
      </c>
      <c r="AV95">
        <v>2164000000</v>
      </c>
      <c r="AW95">
        <v>1098000000</v>
      </c>
      <c r="AX95">
        <v>406000000</v>
      </c>
      <c r="AY95">
        <v>719000000</v>
      </c>
      <c r="AZ95">
        <v>1665000000</v>
      </c>
      <c r="BA95">
        <v>482000000</v>
      </c>
      <c r="BB95">
        <v>1216000000</v>
      </c>
      <c r="BC95">
        <v>630000000</v>
      </c>
      <c r="BD95">
        <v>70000000</v>
      </c>
      <c r="BE95">
        <v>19000000</v>
      </c>
      <c r="BF95">
        <v>28000000</v>
      </c>
      <c r="BG95">
        <v>204000000</v>
      </c>
      <c r="BH95">
        <v>728000000</v>
      </c>
      <c r="BI95">
        <v>302000000</v>
      </c>
      <c r="BJ95">
        <v>51000000</v>
      </c>
      <c r="BK95">
        <v>39000000</v>
      </c>
      <c r="BL95">
        <v>93000000</v>
      </c>
      <c r="BM95">
        <v>92000000</v>
      </c>
      <c r="BN95">
        <v>231000000</v>
      </c>
      <c r="BO95">
        <v>441000000</v>
      </c>
      <c r="BP95">
        <v>404000000</v>
      </c>
      <c r="BQ95">
        <v>631000000</v>
      </c>
      <c r="BR95">
        <v>574000000</v>
      </c>
    </row>
    <row r="96" spans="1:70">
      <c r="A96" t="s">
        <v>189</v>
      </c>
      <c r="B96" t="s">
        <v>190</v>
      </c>
      <c r="C96" t="s">
        <v>9</v>
      </c>
      <c r="D96" t="s">
        <v>10</v>
      </c>
      <c r="AA96">
        <v>1000000</v>
      </c>
    </row>
    <row r="97" spans="1:70">
      <c r="A97" t="s">
        <v>191</v>
      </c>
      <c r="B97" t="s">
        <v>192</v>
      </c>
      <c r="C97" t="s">
        <v>9</v>
      </c>
      <c r="D97" t="s">
        <v>10</v>
      </c>
    </row>
    <row r="98" spans="1:70">
      <c r="A98" t="s">
        <v>193</v>
      </c>
      <c r="B98" t="s">
        <v>194</v>
      </c>
      <c r="C98" t="s">
        <v>9</v>
      </c>
      <c r="D98" t="s">
        <v>10</v>
      </c>
      <c r="E98">
        <v>16000000</v>
      </c>
      <c r="G98">
        <v>1000000</v>
      </c>
      <c r="H98">
        <v>7000000</v>
      </c>
      <c r="I98">
        <v>8000000</v>
      </c>
      <c r="J98">
        <v>5000000</v>
      </c>
      <c r="L98">
        <v>1000000</v>
      </c>
      <c r="M98">
        <v>16000000</v>
      </c>
      <c r="N98">
        <v>1000000</v>
      </c>
      <c r="P98">
        <v>46000000</v>
      </c>
      <c r="Q98">
        <v>1000000</v>
      </c>
      <c r="R98">
        <v>0</v>
      </c>
      <c r="S98">
        <v>15000000</v>
      </c>
      <c r="T98">
        <v>47000000</v>
      </c>
      <c r="U98">
        <v>15000000</v>
      </c>
      <c r="V98">
        <v>1000000</v>
      </c>
      <c r="W98">
        <v>1000000</v>
      </c>
      <c r="X98">
        <v>5000000</v>
      </c>
      <c r="Y98">
        <v>8000000</v>
      </c>
      <c r="Z98">
        <v>49000000</v>
      </c>
      <c r="AA98">
        <v>16000000</v>
      </c>
      <c r="AB98">
        <v>1000000</v>
      </c>
      <c r="AC98">
        <v>7000000</v>
      </c>
      <c r="AD98">
        <v>25000000</v>
      </c>
      <c r="AE98">
        <v>2000000</v>
      </c>
      <c r="AH98">
        <v>4000000</v>
      </c>
      <c r="AL98">
        <v>13000000</v>
      </c>
      <c r="AM98">
        <v>4000000</v>
      </c>
      <c r="AN98">
        <v>4000000</v>
      </c>
      <c r="AO98">
        <v>2000000</v>
      </c>
      <c r="AQ98">
        <v>1000000</v>
      </c>
      <c r="BA98">
        <v>0</v>
      </c>
      <c r="BE98">
        <v>2000000</v>
      </c>
      <c r="BH98">
        <v>33000000</v>
      </c>
      <c r="BK98">
        <v>4000000</v>
      </c>
      <c r="BL98">
        <v>14000000</v>
      </c>
      <c r="BO98">
        <v>10000000</v>
      </c>
      <c r="BP98">
        <v>6000000</v>
      </c>
    </row>
    <row r="99" spans="1:70">
      <c r="A99" t="s">
        <v>195</v>
      </c>
      <c r="B99" t="s">
        <v>196</v>
      </c>
      <c r="C99" t="s">
        <v>9</v>
      </c>
      <c r="D99" t="s">
        <v>10</v>
      </c>
    </row>
    <row r="100" spans="1:70">
      <c r="A100" t="s">
        <v>197</v>
      </c>
      <c r="B100" t="s">
        <v>198</v>
      </c>
      <c r="C100" t="s">
        <v>9</v>
      </c>
      <c r="D100" t="s">
        <v>10</v>
      </c>
      <c r="M100">
        <v>0</v>
      </c>
      <c r="P100">
        <v>2000000</v>
      </c>
      <c r="S100">
        <v>3000000</v>
      </c>
      <c r="T100">
        <v>0</v>
      </c>
      <c r="U100">
        <v>16000000</v>
      </c>
      <c r="V100">
        <v>5000000</v>
      </c>
      <c r="W100">
        <v>1000000</v>
      </c>
      <c r="X100">
        <v>5000000</v>
      </c>
      <c r="Y100">
        <v>4000000</v>
      </c>
      <c r="Z100">
        <v>14000000</v>
      </c>
      <c r="AB100">
        <v>3000000</v>
      </c>
      <c r="AC100">
        <v>7000000</v>
      </c>
      <c r="AD100">
        <v>23000000</v>
      </c>
      <c r="AT100">
        <v>7000000</v>
      </c>
      <c r="AU100">
        <v>3000000</v>
      </c>
      <c r="AW100">
        <v>0</v>
      </c>
      <c r="BA100">
        <v>0</v>
      </c>
      <c r="BK100">
        <v>0</v>
      </c>
      <c r="BL100">
        <v>2000000</v>
      </c>
      <c r="BN100">
        <v>5000000</v>
      </c>
      <c r="BP100">
        <v>5000000</v>
      </c>
      <c r="BQ100">
        <v>9000000</v>
      </c>
      <c r="BR100">
        <v>5000000</v>
      </c>
    </row>
    <row r="101" spans="1:70">
      <c r="A101" t="s">
        <v>199</v>
      </c>
      <c r="B101" t="s">
        <v>200</v>
      </c>
      <c r="C101" t="s">
        <v>9</v>
      </c>
      <c r="D101" t="s">
        <v>10</v>
      </c>
      <c r="E101">
        <v>9293000000</v>
      </c>
      <c r="F101">
        <v>9081000000</v>
      </c>
      <c r="G101">
        <v>9338000000</v>
      </c>
      <c r="H101">
        <v>12681000000</v>
      </c>
      <c r="I101">
        <v>18042000000</v>
      </c>
      <c r="J101">
        <v>15863000000</v>
      </c>
      <c r="K101">
        <v>12128000000</v>
      </c>
      <c r="L101">
        <v>10950000000</v>
      </c>
      <c r="M101">
        <v>11682000000</v>
      </c>
      <c r="N101">
        <v>14586000000</v>
      </c>
      <c r="O101">
        <v>11035000000</v>
      </c>
      <c r="P101">
        <v>14034000000</v>
      </c>
      <c r="Q101">
        <v>12075000000</v>
      </c>
      <c r="R101">
        <v>13052000000</v>
      </c>
      <c r="S101">
        <v>13712000000</v>
      </c>
      <c r="T101">
        <v>14853000000</v>
      </c>
      <c r="U101">
        <v>15431000000</v>
      </c>
      <c r="V101">
        <v>14142000000</v>
      </c>
      <c r="W101">
        <v>15771000000</v>
      </c>
      <c r="X101">
        <v>13042000000</v>
      </c>
      <c r="Y101">
        <v>15195000000</v>
      </c>
      <c r="Z101">
        <v>17475000000</v>
      </c>
      <c r="AA101">
        <v>15829000000</v>
      </c>
      <c r="AB101">
        <v>16113000000</v>
      </c>
      <c r="AC101">
        <v>14629000000</v>
      </c>
      <c r="AD101">
        <v>13676000000</v>
      </c>
      <c r="AE101">
        <v>17141000000</v>
      </c>
      <c r="AF101">
        <v>15917000000</v>
      </c>
      <c r="AG101">
        <v>16541000000</v>
      </c>
      <c r="AH101">
        <v>16776000000</v>
      </c>
      <c r="AI101">
        <v>15614000000</v>
      </c>
      <c r="AJ101">
        <v>16286000000</v>
      </c>
      <c r="AK101">
        <v>16043000000</v>
      </c>
      <c r="AL101">
        <v>15982000000</v>
      </c>
      <c r="AM101">
        <v>12433000000</v>
      </c>
      <c r="AN101">
        <v>12910000000</v>
      </c>
      <c r="AO101">
        <v>14206000000</v>
      </c>
      <c r="AP101">
        <v>17866000000</v>
      </c>
      <c r="AQ101">
        <v>19894000000</v>
      </c>
      <c r="AR101">
        <v>14619000000</v>
      </c>
      <c r="AS101">
        <v>11125000000</v>
      </c>
      <c r="AT101">
        <v>8465000000</v>
      </c>
      <c r="AU101">
        <v>7264000000</v>
      </c>
      <c r="AV101">
        <v>9560000000</v>
      </c>
      <c r="AW101">
        <v>10895000000</v>
      </c>
      <c r="AX101">
        <v>10890000000</v>
      </c>
      <c r="AY101">
        <v>13689000000</v>
      </c>
      <c r="AZ101">
        <v>14355000000</v>
      </c>
      <c r="BA101">
        <v>12488000000</v>
      </c>
      <c r="BB101">
        <v>12154000000</v>
      </c>
      <c r="BC101">
        <v>12201000000</v>
      </c>
      <c r="BD101">
        <v>11949000000</v>
      </c>
      <c r="BE101">
        <v>9850000000</v>
      </c>
      <c r="BF101">
        <v>10472000000</v>
      </c>
      <c r="BG101">
        <v>11687000000</v>
      </c>
      <c r="BH101">
        <v>13456000000</v>
      </c>
      <c r="BI101">
        <v>12853000000</v>
      </c>
      <c r="BJ101">
        <v>14394000000</v>
      </c>
      <c r="BK101">
        <v>12569000000</v>
      </c>
      <c r="BL101">
        <v>14458000000</v>
      </c>
      <c r="BM101">
        <v>13607000000</v>
      </c>
      <c r="BN101">
        <v>15588000000</v>
      </c>
      <c r="BO101">
        <v>19835000000</v>
      </c>
      <c r="BP101">
        <v>15014000000</v>
      </c>
      <c r="BQ101">
        <v>17932000000</v>
      </c>
      <c r="BR101">
        <v>20569000000</v>
      </c>
    </row>
    <row r="102" spans="1:70">
      <c r="A102" t="s">
        <v>201</v>
      </c>
      <c r="B102" t="s">
        <v>202</v>
      </c>
      <c r="C102" t="s">
        <v>9</v>
      </c>
      <c r="D102" t="s">
        <v>10</v>
      </c>
    </row>
    <row r="103" spans="1:70">
      <c r="A103" t="s">
        <v>203</v>
      </c>
      <c r="B103" t="s">
        <v>204</v>
      </c>
      <c r="C103" t="s">
        <v>9</v>
      </c>
      <c r="D103" t="s">
        <v>10</v>
      </c>
      <c r="G103">
        <v>14000000</v>
      </c>
      <c r="J103">
        <v>1000000</v>
      </c>
      <c r="K103">
        <v>6000000</v>
      </c>
      <c r="N103">
        <v>20000000</v>
      </c>
      <c r="R103">
        <v>2000000</v>
      </c>
      <c r="T103">
        <v>31000000</v>
      </c>
      <c r="U103">
        <v>30000000</v>
      </c>
      <c r="V103">
        <v>34000000</v>
      </c>
      <c r="W103">
        <v>33000000</v>
      </c>
      <c r="X103">
        <v>9000000</v>
      </c>
      <c r="Y103">
        <v>13000000</v>
      </c>
      <c r="Z103">
        <v>31000000</v>
      </c>
      <c r="AA103">
        <v>34000000</v>
      </c>
      <c r="AB103">
        <v>37000000</v>
      </c>
      <c r="AC103">
        <v>23000000</v>
      </c>
      <c r="AD103">
        <v>34000000</v>
      </c>
      <c r="AE103">
        <v>75000000</v>
      </c>
      <c r="AF103">
        <v>13000000</v>
      </c>
      <c r="AG103">
        <v>44000000</v>
      </c>
      <c r="AH103">
        <v>17000000</v>
      </c>
      <c r="BA103">
        <v>0</v>
      </c>
      <c r="BD103">
        <v>0</v>
      </c>
      <c r="BE103">
        <v>0</v>
      </c>
      <c r="BF103">
        <v>20000000</v>
      </c>
      <c r="BG103">
        <v>13000000</v>
      </c>
      <c r="BH103">
        <v>8000000</v>
      </c>
      <c r="BJ103">
        <v>10000000</v>
      </c>
      <c r="BK103">
        <v>1000000</v>
      </c>
      <c r="BL103">
        <v>23000000</v>
      </c>
      <c r="BM103">
        <v>0</v>
      </c>
      <c r="BN103">
        <v>4000000</v>
      </c>
      <c r="BQ103">
        <v>7000000</v>
      </c>
    </row>
    <row r="104" spans="1:70">
      <c r="A104" t="s">
        <v>205</v>
      </c>
      <c r="B104" t="s">
        <v>206</v>
      </c>
      <c r="C104" t="s">
        <v>9</v>
      </c>
      <c r="D104" t="s">
        <v>10</v>
      </c>
      <c r="E104">
        <v>147000000</v>
      </c>
      <c r="F104">
        <v>234000000</v>
      </c>
      <c r="G104">
        <v>198000000</v>
      </c>
      <c r="H104">
        <v>157000000</v>
      </c>
      <c r="I104">
        <v>235000000</v>
      </c>
      <c r="J104">
        <v>259000000</v>
      </c>
      <c r="K104">
        <v>494000000</v>
      </c>
      <c r="L104">
        <v>433000000</v>
      </c>
      <c r="M104">
        <v>283000000</v>
      </c>
      <c r="N104">
        <v>522000000</v>
      </c>
      <c r="O104">
        <v>889000000</v>
      </c>
      <c r="R104">
        <v>474000000</v>
      </c>
      <c r="T104">
        <v>1177000000</v>
      </c>
      <c r="U104">
        <v>1202000000</v>
      </c>
      <c r="V104">
        <v>1794000000</v>
      </c>
      <c r="W104">
        <v>2305000000</v>
      </c>
      <c r="X104">
        <v>1517000000</v>
      </c>
      <c r="Y104">
        <v>1633000000</v>
      </c>
      <c r="Z104">
        <v>2009000000</v>
      </c>
      <c r="AA104">
        <v>1555000000</v>
      </c>
      <c r="AB104">
        <v>1074000000</v>
      </c>
      <c r="AC104">
        <v>1291000000</v>
      </c>
      <c r="AD104">
        <v>848000000</v>
      </c>
      <c r="AH104">
        <v>2197000000</v>
      </c>
      <c r="BD104">
        <v>1600000000</v>
      </c>
      <c r="BE104">
        <v>1383000000</v>
      </c>
      <c r="BF104">
        <v>1072000000</v>
      </c>
      <c r="BG104">
        <v>799000000</v>
      </c>
      <c r="BH104">
        <v>455000000</v>
      </c>
      <c r="BI104">
        <v>766000000</v>
      </c>
      <c r="BK104">
        <v>490000000</v>
      </c>
      <c r="BL104">
        <v>789000000</v>
      </c>
      <c r="BM104">
        <v>507000000</v>
      </c>
      <c r="BP104">
        <v>583000000</v>
      </c>
      <c r="BQ104">
        <v>484000000</v>
      </c>
      <c r="BR104">
        <v>337000000</v>
      </c>
    </row>
    <row r="105" spans="1:70">
      <c r="A105" t="s">
        <v>207</v>
      </c>
      <c r="B105" t="s">
        <v>208</v>
      </c>
      <c r="C105" t="s">
        <v>9</v>
      </c>
      <c r="D105" t="s">
        <v>10</v>
      </c>
      <c r="AJ105">
        <v>1000000</v>
      </c>
      <c r="AK105">
        <v>29000000</v>
      </c>
      <c r="AL105">
        <v>29000000</v>
      </c>
      <c r="AM105">
        <v>53000000</v>
      </c>
      <c r="AN105">
        <v>1000000</v>
      </c>
      <c r="AO105">
        <v>12000000</v>
      </c>
      <c r="AP105">
        <v>45000000</v>
      </c>
      <c r="AT105">
        <v>57000000</v>
      </c>
      <c r="AU105">
        <v>2000000</v>
      </c>
      <c r="AV105">
        <v>24000000</v>
      </c>
      <c r="AW105">
        <v>8000000</v>
      </c>
      <c r="AZ105">
        <v>20000000</v>
      </c>
      <c r="BA105">
        <v>103000000</v>
      </c>
      <c r="BB105">
        <v>4000000</v>
      </c>
      <c r="BC105">
        <v>10000000</v>
      </c>
      <c r="BD105">
        <v>18000000</v>
      </c>
      <c r="BE105">
        <v>18000000</v>
      </c>
      <c r="BG105">
        <v>27000000</v>
      </c>
      <c r="BH105">
        <v>11000000</v>
      </c>
      <c r="BI105">
        <v>20000000</v>
      </c>
      <c r="BJ105">
        <v>13000000</v>
      </c>
      <c r="BK105">
        <v>3000000</v>
      </c>
      <c r="BL105">
        <v>5000000</v>
      </c>
      <c r="BO105">
        <v>29000000</v>
      </c>
      <c r="BP105">
        <v>89000000</v>
      </c>
      <c r="BQ105">
        <v>90000000</v>
      </c>
      <c r="BR105">
        <v>141000000</v>
      </c>
    </row>
    <row r="106" spans="1:70">
      <c r="A106" t="s">
        <v>209</v>
      </c>
      <c r="B106" t="s">
        <v>210</v>
      </c>
      <c r="C106" t="s">
        <v>9</v>
      </c>
      <c r="D106" t="s">
        <v>10</v>
      </c>
      <c r="E106">
        <v>6000000</v>
      </c>
      <c r="I106">
        <v>1000000</v>
      </c>
      <c r="N106">
        <v>8000000</v>
      </c>
      <c r="R106">
        <v>5000000</v>
      </c>
      <c r="S106">
        <v>5000000</v>
      </c>
      <c r="T106">
        <v>1000000</v>
      </c>
      <c r="U106">
        <v>1000000</v>
      </c>
      <c r="V106">
        <v>0</v>
      </c>
      <c r="W106">
        <v>9000000</v>
      </c>
      <c r="Z106">
        <v>3000000</v>
      </c>
      <c r="AA106">
        <v>4000000</v>
      </c>
      <c r="AB106">
        <v>3000000</v>
      </c>
      <c r="AD106">
        <v>10000000</v>
      </c>
      <c r="BR106">
        <v>1000000</v>
      </c>
    </row>
    <row r="107" spans="1:70">
      <c r="A107" t="s">
        <v>211</v>
      </c>
      <c r="B107" t="s">
        <v>212</v>
      </c>
      <c r="C107" t="s">
        <v>9</v>
      </c>
      <c r="D107" t="s">
        <v>10</v>
      </c>
      <c r="E107">
        <v>604000000</v>
      </c>
      <c r="F107">
        <v>580000000</v>
      </c>
      <c r="G107">
        <v>295000000</v>
      </c>
      <c r="H107">
        <v>376000000</v>
      </c>
      <c r="I107">
        <v>747000000</v>
      </c>
      <c r="J107">
        <v>667000000</v>
      </c>
      <c r="K107">
        <v>150000000</v>
      </c>
      <c r="L107">
        <v>287000000</v>
      </c>
      <c r="M107">
        <v>271000000</v>
      </c>
      <c r="N107">
        <v>449000000</v>
      </c>
      <c r="O107">
        <v>24000000</v>
      </c>
      <c r="P107">
        <v>239000000</v>
      </c>
      <c r="Q107">
        <v>123000000</v>
      </c>
      <c r="R107">
        <v>394000000</v>
      </c>
      <c r="S107">
        <v>554000000</v>
      </c>
      <c r="T107">
        <v>495000000</v>
      </c>
      <c r="U107">
        <v>378000000</v>
      </c>
      <c r="V107">
        <v>394000000</v>
      </c>
      <c r="W107">
        <v>660000000</v>
      </c>
      <c r="X107">
        <v>485000000</v>
      </c>
      <c r="Y107">
        <v>388000000</v>
      </c>
      <c r="Z107">
        <v>147000000</v>
      </c>
      <c r="AA107">
        <v>183000000</v>
      </c>
      <c r="AB107">
        <v>176000000</v>
      </c>
      <c r="AC107">
        <v>307000000</v>
      </c>
      <c r="AD107">
        <v>229000000</v>
      </c>
      <c r="AE107">
        <v>80000000</v>
      </c>
      <c r="AF107">
        <v>77000000</v>
      </c>
      <c r="AG107">
        <v>42000000</v>
      </c>
      <c r="AH107">
        <v>68000000</v>
      </c>
      <c r="AI107">
        <v>15000000</v>
      </c>
      <c r="AJ107">
        <v>22000000</v>
      </c>
      <c r="AL107">
        <v>928000000</v>
      </c>
      <c r="AM107">
        <v>2000000</v>
      </c>
      <c r="AN107">
        <v>1000000</v>
      </c>
      <c r="AO107">
        <v>156000000</v>
      </c>
      <c r="AP107">
        <v>99000000</v>
      </c>
      <c r="AQ107">
        <v>88000000</v>
      </c>
      <c r="AR107">
        <v>152000000</v>
      </c>
      <c r="AS107">
        <v>14000000</v>
      </c>
      <c r="AT107">
        <v>14000000</v>
      </c>
      <c r="AW107">
        <v>72000000</v>
      </c>
      <c r="AX107">
        <v>13000000</v>
      </c>
      <c r="AY107">
        <v>253000000</v>
      </c>
      <c r="AZ107">
        <v>196000000</v>
      </c>
      <c r="BA107">
        <v>5000000</v>
      </c>
      <c r="BB107">
        <v>4000000</v>
      </c>
      <c r="BC107">
        <v>18000000</v>
      </c>
      <c r="BD107">
        <v>8000000</v>
      </c>
      <c r="BF107">
        <v>2000000</v>
      </c>
      <c r="BG107">
        <v>7000000</v>
      </c>
      <c r="BI107">
        <v>14000000</v>
      </c>
      <c r="BJ107">
        <v>5000000</v>
      </c>
      <c r="BK107">
        <v>27000000</v>
      </c>
      <c r="BL107">
        <v>16000000</v>
      </c>
      <c r="BM107">
        <v>55000000</v>
      </c>
      <c r="BN107">
        <v>20000000</v>
      </c>
      <c r="BO107">
        <v>40000000</v>
      </c>
      <c r="BP107">
        <v>246000000</v>
      </c>
      <c r="BQ107">
        <v>581000000</v>
      </c>
      <c r="BR107">
        <v>402000000</v>
      </c>
    </row>
    <row r="108" spans="1:70">
      <c r="A108" t="s">
        <v>213</v>
      </c>
      <c r="B108" t="s">
        <v>214</v>
      </c>
      <c r="C108" t="s">
        <v>9</v>
      </c>
      <c r="D108" t="s">
        <v>10</v>
      </c>
      <c r="E108">
        <v>7367000000</v>
      </c>
      <c r="G108">
        <v>5719000000</v>
      </c>
      <c r="H108">
        <v>6327000000</v>
      </c>
      <c r="I108">
        <v>7656000000</v>
      </c>
      <c r="J108">
        <v>8380000000</v>
      </c>
      <c r="K108">
        <v>9091000000</v>
      </c>
      <c r="L108">
        <v>10233000000</v>
      </c>
      <c r="M108">
        <v>9516000000</v>
      </c>
      <c r="N108">
        <v>9275000000</v>
      </c>
      <c r="O108">
        <v>10326000000</v>
      </c>
      <c r="P108">
        <v>13529000000</v>
      </c>
      <c r="Q108">
        <v>14928000000</v>
      </c>
      <c r="R108">
        <v>16662000000</v>
      </c>
      <c r="S108">
        <v>15743000000</v>
      </c>
      <c r="T108">
        <v>17256000000</v>
      </c>
      <c r="U108">
        <v>16711000000</v>
      </c>
      <c r="V108">
        <v>20480000000</v>
      </c>
      <c r="W108">
        <v>20845000000</v>
      </c>
      <c r="X108">
        <v>17380000000</v>
      </c>
      <c r="Y108">
        <v>18601000000</v>
      </c>
      <c r="Z108">
        <v>21267000000</v>
      </c>
      <c r="AA108">
        <v>21074000000</v>
      </c>
      <c r="AB108">
        <v>19237000000</v>
      </c>
      <c r="AC108">
        <v>19219000000</v>
      </c>
      <c r="AD108">
        <v>16115000000</v>
      </c>
      <c r="AE108">
        <v>16801000000</v>
      </c>
      <c r="AF108">
        <v>17442000000</v>
      </c>
      <c r="AG108">
        <v>13493000000</v>
      </c>
      <c r="AH108">
        <v>11239000000</v>
      </c>
      <c r="AI108">
        <v>10266000000</v>
      </c>
      <c r="AJ108">
        <v>8818000000</v>
      </c>
      <c r="AK108">
        <v>7665000000</v>
      </c>
      <c r="AL108">
        <v>8159000000</v>
      </c>
      <c r="AM108">
        <v>9128000000</v>
      </c>
      <c r="AN108">
        <v>9361000000</v>
      </c>
      <c r="AO108">
        <v>8773000000</v>
      </c>
      <c r="AP108">
        <v>9930000000</v>
      </c>
      <c r="AQ108">
        <v>6666000000</v>
      </c>
      <c r="AR108">
        <v>9628000000</v>
      </c>
      <c r="AS108">
        <v>9512000000</v>
      </c>
      <c r="AT108">
        <v>8555000000</v>
      </c>
      <c r="AU108">
        <v>9004000000</v>
      </c>
      <c r="AV108">
        <v>8576000000</v>
      </c>
      <c r="AW108">
        <v>9170000000</v>
      </c>
      <c r="AX108">
        <v>10174000000</v>
      </c>
      <c r="AY108">
        <v>11019000000</v>
      </c>
      <c r="AZ108">
        <v>12570000000</v>
      </c>
      <c r="BA108">
        <v>10903000000</v>
      </c>
      <c r="BB108">
        <v>10235000000</v>
      </c>
      <c r="BC108">
        <v>10082000000</v>
      </c>
      <c r="BD108">
        <v>14311000000</v>
      </c>
      <c r="BE108">
        <v>14758000000</v>
      </c>
      <c r="BF108">
        <v>13535000000</v>
      </c>
      <c r="BG108">
        <v>13711000000</v>
      </c>
      <c r="BH108">
        <v>13143000000</v>
      </c>
      <c r="BI108">
        <v>16439000000</v>
      </c>
      <c r="BJ108">
        <v>15019000000</v>
      </c>
      <c r="BK108">
        <v>12582000000</v>
      </c>
      <c r="BL108">
        <v>9961000000</v>
      </c>
      <c r="BM108">
        <v>8699000000</v>
      </c>
      <c r="BN108">
        <v>9465000000</v>
      </c>
      <c r="BO108">
        <v>11397000000</v>
      </c>
      <c r="BP108">
        <v>13176000000</v>
      </c>
      <c r="BQ108">
        <v>12908000000</v>
      </c>
      <c r="BR108">
        <v>14750000000</v>
      </c>
    </row>
    <row r="109" spans="1:70">
      <c r="A109" t="s">
        <v>215</v>
      </c>
      <c r="B109" t="s">
        <v>216</v>
      </c>
      <c r="C109" t="s">
        <v>9</v>
      </c>
      <c r="D109" t="s">
        <v>10</v>
      </c>
      <c r="E109">
        <v>7621000000</v>
      </c>
      <c r="G109">
        <v>6096000000</v>
      </c>
      <c r="H109">
        <v>6877000000</v>
      </c>
      <c r="I109">
        <v>8124000000</v>
      </c>
      <c r="J109">
        <v>9101000000</v>
      </c>
      <c r="K109">
        <v>10933000000</v>
      </c>
      <c r="L109">
        <v>11826000000</v>
      </c>
      <c r="M109">
        <v>11104000000</v>
      </c>
      <c r="N109">
        <v>11307000000</v>
      </c>
      <c r="O109">
        <v>12562000000</v>
      </c>
      <c r="P109">
        <v>15663000000</v>
      </c>
      <c r="Q109">
        <v>17714000000</v>
      </c>
      <c r="R109">
        <v>20827000000</v>
      </c>
      <c r="S109">
        <v>20275000000</v>
      </c>
      <c r="T109">
        <v>20726000000</v>
      </c>
      <c r="U109">
        <v>18959000000</v>
      </c>
      <c r="V109">
        <v>23866000000</v>
      </c>
      <c r="W109">
        <v>25188000000</v>
      </c>
      <c r="X109">
        <v>21835000000</v>
      </c>
      <c r="Y109">
        <v>23744000000</v>
      </c>
      <c r="Z109">
        <v>25713000000</v>
      </c>
      <c r="AA109">
        <v>26171000000</v>
      </c>
      <c r="AB109">
        <v>23648000000</v>
      </c>
      <c r="AC109">
        <v>23757000000</v>
      </c>
      <c r="AD109">
        <v>20179000000</v>
      </c>
      <c r="AE109">
        <v>19927000000</v>
      </c>
      <c r="AF109">
        <v>21230000000</v>
      </c>
      <c r="AG109">
        <v>16935000000</v>
      </c>
      <c r="AH109">
        <v>15558000000</v>
      </c>
      <c r="AI109">
        <v>14222000000</v>
      </c>
      <c r="AJ109">
        <v>11780000000</v>
      </c>
      <c r="AK109">
        <v>8672000000</v>
      </c>
      <c r="AL109">
        <v>9817000000</v>
      </c>
      <c r="AM109">
        <v>10560000000</v>
      </c>
      <c r="AN109">
        <v>10420000000</v>
      </c>
      <c r="AO109">
        <v>9845000000</v>
      </c>
      <c r="AP109">
        <v>11380000000</v>
      </c>
      <c r="AQ109">
        <v>8232000000</v>
      </c>
      <c r="AR109">
        <v>11425000000</v>
      </c>
      <c r="AS109">
        <v>10839000000</v>
      </c>
      <c r="AT109">
        <v>9909000000</v>
      </c>
      <c r="AU109">
        <v>10719000000</v>
      </c>
      <c r="AV109">
        <v>10128000000</v>
      </c>
      <c r="AW109">
        <v>10955000000</v>
      </c>
      <c r="AX109">
        <v>11587000000</v>
      </c>
      <c r="AY109">
        <v>12333000000</v>
      </c>
      <c r="AZ109">
        <v>14058000000</v>
      </c>
      <c r="BA109">
        <v>13024000000</v>
      </c>
      <c r="BB109">
        <v>12571000000</v>
      </c>
      <c r="BC109">
        <v>14434000000</v>
      </c>
      <c r="BD109">
        <v>18600000000</v>
      </c>
      <c r="BE109">
        <v>18531000000</v>
      </c>
      <c r="BF109">
        <v>17313000000</v>
      </c>
      <c r="BG109">
        <v>16015000000</v>
      </c>
      <c r="BH109">
        <v>15685000000</v>
      </c>
      <c r="BI109">
        <v>19011000000</v>
      </c>
      <c r="BJ109">
        <v>17200000000</v>
      </c>
      <c r="BK109">
        <v>14978000000</v>
      </c>
      <c r="BL109">
        <v>12697000000</v>
      </c>
      <c r="BM109">
        <v>10458000000</v>
      </c>
      <c r="BN109">
        <v>11557000000</v>
      </c>
      <c r="BO109">
        <v>14086000000</v>
      </c>
      <c r="BP109">
        <v>16443000000</v>
      </c>
      <c r="BQ109">
        <v>14962000000</v>
      </c>
      <c r="BR109">
        <v>16178000000</v>
      </c>
    </row>
    <row r="110" spans="1:70">
      <c r="A110" t="s">
        <v>217</v>
      </c>
      <c r="B110" t="s">
        <v>218</v>
      </c>
      <c r="C110" t="s">
        <v>9</v>
      </c>
      <c r="D110" t="s">
        <v>10</v>
      </c>
      <c r="E110">
        <v>254000000</v>
      </c>
      <c r="F110">
        <v>322000000</v>
      </c>
      <c r="G110">
        <v>377000000</v>
      </c>
      <c r="H110">
        <v>550000000</v>
      </c>
      <c r="I110">
        <v>468000000</v>
      </c>
      <c r="J110">
        <v>721000000</v>
      </c>
      <c r="K110">
        <v>1842000000</v>
      </c>
      <c r="L110">
        <v>1593000000</v>
      </c>
      <c r="M110">
        <v>1588000000</v>
      </c>
      <c r="N110">
        <v>2032000000</v>
      </c>
      <c r="O110">
        <v>2236000000</v>
      </c>
      <c r="R110">
        <v>4165000000</v>
      </c>
      <c r="T110">
        <v>3470000000</v>
      </c>
      <c r="U110">
        <v>2248000000</v>
      </c>
      <c r="V110">
        <v>3386000000</v>
      </c>
      <c r="W110">
        <v>4343000000</v>
      </c>
      <c r="X110">
        <v>4455000000</v>
      </c>
      <c r="Y110">
        <v>5143000000</v>
      </c>
      <c r="Z110">
        <v>4446000000</v>
      </c>
      <c r="AA110">
        <v>5097000000</v>
      </c>
      <c r="AB110">
        <v>4411000000</v>
      </c>
      <c r="AC110">
        <v>4538000000</v>
      </c>
      <c r="AD110">
        <v>4064000000</v>
      </c>
      <c r="AE110">
        <v>3126000000</v>
      </c>
      <c r="AF110">
        <v>3788000000</v>
      </c>
      <c r="AG110">
        <v>3442000000</v>
      </c>
      <c r="AH110">
        <v>4319000000</v>
      </c>
      <c r="AI110">
        <v>3956000000</v>
      </c>
      <c r="AJ110">
        <v>2962000000</v>
      </c>
      <c r="AK110">
        <v>1007000000</v>
      </c>
      <c r="AM110">
        <v>1432000000</v>
      </c>
      <c r="AP110">
        <v>1450000000</v>
      </c>
      <c r="AS110">
        <v>1327000000</v>
      </c>
      <c r="AU110">
        <v>1715000000</v>
      </c>
      <c r="AV110">
        <v>1552000000</v>
      </c>
      <c r="AY110">
        <v>1314000000</v>
      </c>
      <c r="AZ110">
        <v>1488000000</v>
      </c>
      <c r="BA110">
        <v>2121000000</v>
      </c>
      <c r="BC110">
        <v>4352000000</v>
      </c>
      <c r="BD110">
        <v>4289000000</v>
      </c>
      <c r="BE110">
        <v>3773000000</v>
      </c>
      <c r="BF110">
        <v>3778000000</v>
      </c>
      <c r="BG110">
        <v>2304000000</v>
      </c>
      <c r="BH110">
        <v>2542000000</v>
      </c>
      <c r="BI110">
        <v>2572000000</v>
      </c>
      <c r="BJ110">
        <v>2181000000</v>
      </c>
      <c r="BK110">
        <v>2396000000</v>
      </c>
      <c r="BL110">
        <v>2736000000</v>
      </c>
      <c r="BM110">
        <v>1759000000</v>
      </c>
      <c r="BN110">
        <v>2092000000</v>
      </c>
      <c r="BO110">
        <v>2689000000</v>
      </c>
      <c r="BP110">
        <v>3267000000</v>
      </c>
      <c r="BQ110">
        <v>2054000000</v>
      </c>
      <c r="BR110">
        <v>1428000000</v>
      </c>
    </row>
    <row r="111" spans="1:70">
      <c r="A111" t="s">
        <v>219</v>
      </c>
      <c r="B111" t="s">
        <v>220</v>
      </c>
      <c r="C111" t="s">
        <v>9</v>
      </c>
      <c r="D111" t="s">
        <v>10</v>
      </c>
      <c r="E111">
        <v>62000000</v>
      </c>
      <c r="F111">
        <v>46000000</v>
      </c>
      <c r="G111">
        <v>109000000</v>
      </c>
      <c r="H111">
        <v>257000000</v>
      </c>
      <c r="I111">
        <v>104000000</v>
      </c>
      <c r="J111">
        <v>295000000</v>
      </c>
      <c r="K111">
        <v>774000000</v>
      </c>
      <c r="L111">
        <v>228000000</v>
      </c>
      <c r="M111">
        <v>497000000</v>
      </c>
      <c r="N111">
        <v>609000000</v>
      </c>
      <c r="O111">
        <v>452000000</v>
      </c>
      <c r="P111">
        <v>648000000</v>
      </c>
      <c r="Q111">
        <v>811000000</v>
      </c>
      <c r="R111">
        <v>201000000</v>
      </c>
      <c r="T111">
        <v>756000000</v>
      </c>
      <c r="U111">
        <v>461000000</v>
      </c>
      <c r="V111">
        <v>531000000</v>
      </c>
      <c r="W111">
        <v>1076000000</v>
      </c>
      <c r="X111">
        <v>950000000</v>
      </c>
      <c r="Y111">
        <v>1566000000</v>
      </c>
      <c r="Z111">
        <v>1033000000</v>
      </c>
      <c r="AA111">
        <v>1509000000</v>
      </c>
      <c r="AB111">
        <v>906000000</v>
      </c>
      <c r="AC111">
        <v>1436000000</v>
      </c>
      <c r="AD111">
        <v>1373000000</v>
      </c>
      <c r="AE111">
        <v>753000000</v>
      </c>
      <c r="AF111">
        <v>962000000</v>
      </c>
      <c r="AG111">
        <v>512000000</v>
      </c>
      <c r="AH111">
        <v>1091000000</v>
      </c>
      <c r="AI111">
        <v>755000000</v>
      </c>
      <c r="AJ111">
        <v>604000000</v>
      </c>
      <c r="AK111">
        <v>497000000</v>
      </c>
      <c r="AM111">
        <v>994000000</v>
      </c>
      <c r="AO111">
        <v>527000000</v>
      </c>
      <c r="AP111">
        <v>793000000</v>
      </c>
      <c r="AS111">
        <v>239000000</v>
      </c>
      <c r="AT111">
        <v>446000000</v>
      </c>
      <c r="AU111">
        <v>623000000</v>
      </c>
      <c r="AV111">
        <v>796000000</v>
      </c>
      <c r="AW111">
        <v>512000000</v>
      </c>
      <c r="AY111">
        <v>369000000</v>
      </c>
      <c r="AZ111">
        <v>766000000</v>
      </c>
      <c r="BA111">
        <v>1106000000</v>
      </c>
      <c r="BB111">
        <v>1300000000</v>
      </c>
      <c r="BC111">
        <v>2641000000</v>
      </c>
      <c r="BD111">
        <v>1295000000</v>
      </c>
      <c r="BE111">
        <v>1165000000</v>
      </c>
      <c r="BF111">
        <v>1324000000</v>
      </c>
      <c r="BG111">
        <v>1288000000</v>
      </c>
      <c r="BH111">
        <v>1109000000</v>
      </c>
      <c r="BI111">
        <v>1053000000</v>
      </c>
      <c r="BJ111">
        <v>957000000</v>
      </c>
      <c r="BK111">
        <v>1093000000</v>
      </c>
      <c r="BL111">
        <v>793000000</v>
      </c>
      <c r="BM111">
        <v>885000000</v>
      </c>
      <c r="BN111">
        <v>1303000000</v>
      </c>
      <c r="BO111">
        <v>1629000000</v>
      </c>
      <c r="BP111">
        <v>2411000000</v>
      </c>
      <c r="BQ111">
        <v>1271000000</v>
      </c>
      <c r="BR111">
        <v>891000000</v>
      </c>
    </row>
    <row r="112" spans="1:70">
      <c r="A112" t="s">
        <v>221</v>
      </c>
      <c r="B112" t="s">
        <v>222</v>
      </c>
      <c r="C112" t="s">
        <v>9</v>
      </c>
      <c r="D112" t="s">
        <v>10</v>
      </c>
      <c r="E112">
        <v>448000000</v>
      </c>
      <c r="F112">
        <v>780000000</v>
      </c>
      <c r="G112">
        <v>1026000000</v>
      </c>
      <c r="H112">
        <v>206000000</v>
      </c>
      <c r="I112">
        <v>596000000</v>
      </c>
      <c r="J112">
        <v>317000000</v>
      </c>
      <c r="K112">
        <v>17000000</v>
      </c>
      <c r="L112">
        <v>1000000</v>
      </c>
      <c r="M112">
        <v>0</v>
      </c>
      <c r="N112">
        <v>9000000</v>
      </c>
      <c r="O112">
        <v>27000000</v>
      </c>
      <c r="P112">
        <v>92000000</v>
      </c>
      <c r="Q112">
        <v>5000000</v>
      </c>
      <c r="R112">
        <v>73000000</v>
      </c>
      <c r="S112">
        <v>73000000</v>
      </c>
      <c r="T112">
        <v>4000000</v>
      </c>
      <c r="U112">
        <v>156000000</v>
      </c>
      <c r="V112">
        <v>62000000</v>
      </c>
      <c r="W112">
        <v>124000000</v>
      </c>
      <c r="X112">
        <v>370000000</v>
      </c>
      <c r="Y112">
        <v>898000000</v>
      </c>
      <c r="Z112">
        <v>790000000</v>
      </c>
      <c r="AA112">
        <v>356000000</v>
      </c>
      <c r="AB112">
        <v>224000000</v>
      </c>
      <c r="AC112">
        <v>102000000</v>
      </c>
      <c r="AD112">
        <v>291000000</v>
      </c>
      <c r="AE112">
        <v>433000000</v>
      </c>
      <c r="AF112">
        <v>265000000</v>
      </c>
      <c r="AG112">
        <v>285000000</v>
      </c>
      <c r="AH112">
        <v>249000000</v>
      </c>
      <c r="AI112">
        <v>202000000</v>
      </c>
      <c r="AJ112">
        <v>11000000</v>
      </c>
      <c r="AK112">
        <v>51000000</v>
      </c>
      <c r="AL112">
        <v>210000000</v>
      </c>
      <c r="AM112">
        <v>472000000</v>
      </c>
      <c r="AN112">
        <v>284000000</v>
      </c>
      <c r="AO112">
        <v>378000000</v>
      </c>
      <c r="AP112">
        <v>101000000</v>
      </c>
      <c r="AQ112">
        <v>85000000</v>
      </c>
      <c r="AR112">
        <v>161000000</v>
      </c>
      <c r="AS112">
        <v>171000000</v>
      </c>
      <c r="AT112">
        <v>22000000</v>
      </c>
      <c r="AU112">
        <v>67000000</v>
      </c>
      <c r="AV112">
        <v>353000000</v>
      </c>
      <c r="AW112">
        <v>77000000</v>
      </c>
      <c r="AX112">
        <v>33000000</v>
      </c>
      <c r="AY112">
        <v>63000000</v>
      </c>
      <c r="AZ112">
        <v>578000000</v>
      </c>
      <c r="BA112">
        <v>239000000</v>
      </c>
      <c r="BB112">
        <v>443000000</v>
      </c>
      <c r="BC112">
        <v>221000000</v>
      </c>
      <c r="BD112">
        <v>257000000</v>
      </c>
      <c r="BE112">
        <v>162000000</v>
      </c>
      <c r="BF112">
        <v>833000000</v>
      </c>
      <c r="BG112">
        <v>1195000000</v>
      </c>
      <c r="BH112">
        <v>438000000</v>
      </c>
      <c r="BI112">
        <v>352000000</v>
      </c>
      <c r="BJ112">
        <v>1171000000</v>
      </c>
      <c r="BK112">
        <v>357000000</v>
      </c>
      <c r="BL112">
        <v>239000000</v>
      </c>
      <c r="BM112">
        <v>283000000</v>
      </c>
      <c r="BN112">
        <v>366000000</v>
      </c>
      <c r="BO112">
        <v>86000000</v>
      </c>
      <c r="BP112">
        <v>390000000</v>
      </c>
      <c r="BQ112">
        <v>185000000</v>
      </c>
      <c r="BR112">
        <v>1277000000</v>
      </c>
    </row>
    <row r="113" spans="1:70">
      <c r="A113" t="s">
        <v>223</v>
      </c>
      <c r="B113" t="s">
        <v>224</v>
      </c>
      <c r="C113" t="s">
        <v>9</v>
      </c>
      <c r="D113" t="s">
        <v>10</v>
      </c>
      <c r="E113">
        <v>192000000</v>
      </c>
      <c r="F113">
        <v>276000000</v>
      </c>
      <c r="G113">
        <v>268000000</v>
      </c>
      <c r="H113">
        <v>293000000</v>
      </c>
      <c r="I113">
        <v>364000000</v>
      </c>
      <c r="J113">
        <v>426000000</v>
      </c>
      <c r="K113">
        <v>1068000000</v>
      </c>
      <c r="L113">
        <v>1365000000</v>
      </c>
      <c r="M113">
        <v>1091000000</v>
      </c>
      <c r="N113">
        <v>1423000000</v>
      </c>
      <c r="O113">
        <v>1784000000</v>
      </c>
      <c r="R113">
        <v>3964000000</v>
      </c>
      <c r="T113">
        <v>2714000000</v>
      </c>
      <c r="U113">
        <v>1787000000</v>
      </c>
      <c r="V113">
        <v>2855000000</v>
      </c>
      <c r="W113">
        <v>3267000000</v>
      </c>
      <c r="X113">
        <v>3505000000</v>
      </c>
      <c r="Y113">
        <v>3577000000</v>
      </c>
      <c r="Z113">
        <v>3413000000</v>
      </c>
      <c r="AA113">
        <v>3588000000</v>
      </c>
      <c r="AB113">
        <v>3505000000</v>
      </c>
      <c r="AC113">
        <v>3102000000</v>
      </c>
      <c r="AD113">
        <v>2691000000</v>
      </c>
      <c r="AE113">
        <v>2373000000</v>
      </c>
      <c r="AF113">
        <v>2826000000</v>
      </c>
      <c r="AH113">
        <v>3228000000</v>
      </c>
      <c r="AU113">
        <v>1092000000</v>
      </c>
      <c r="AX113">
        <v>952000000</v>
      </c>
      <c r="AZ113">
        <v>722000000</v>
      </c>
      <c r="BC113">
        <v>1711000000</v>
      </c>
      <c r="BD113">
        <v>2994000000</v>
      </c>
      <c r="BE113">
        <v>2608000000</v>
      </c>
      <c r="BF113">
        <v>2454000000</v>
      </c>
      <c r="BG113">
        <v>1016000000</v>
      </c>
      <c r="BH113">
        <v>1433000000</v>
      </c>
      <c r="BI113">
        <v>1519000000</v>
      </c>
      <c r="BJ113">
        <v>1224000000</v>
      </c>
      <c r="BK113">
        <v>1303000000</v>
      </c>
      <c r="BL113">
        <v>1943000000</v>
      </c>
      <c r="BN113">
        <v>789000000</v>
      </c>
      <c r="BO113">
        <v>1060000000</v>
      </c>
      <c r="BP113">
        <v>856000000</v>
      </c>
      <c r="BQ113">
        <v>783000000</v>
      </c>
      <c r="BR113">
        <v>537000000</v>
      </c>
    </row>
    <row r="114" spans="1:70">
      <c r="A114" t="s">
        <v>225</v>
      </c>
      <c r="B114" t="s">
        <v>226</v>
      </c>
      <c r="C114" t="s">
        <v>9</v>
      </c>
      <c r="D114" t="s">
        <v>10</v>
      </c>
    </row>
    <row r="115" spans="1:70">
      <c r="A115" t="s">
        <v>227</v>
      </c>
      <c r="B115" t="s">
        <v>228</v>
      </c>
      <c r="C115" t="s">
        <v>9</v>
      </c>
      <c r="D115" t="s">
        <v>10</v>
      </c>
      <c r="E115">
        <v>544000000</v>
      </c>
      <c r="F115">
        <v>1148000000</v>
      </c>
      <c r="G115">
        <v>402000000</v>
      </c>
      <c r="H115">
        <v>695000000</v>
      </c>
      <c r="I115">
        <v>794000000</v>
      </c>
      <c r="J115">
        <v>1004000000</v>
      </c>
      <c r="K115">
        <v>961000000</v>
      </c>
      <c r="L115">
        <v>1132000000</v>
      </c>
      <c r="M115">
        <v>1372000000</v>
      </c>
      <c r="N115">
        <v>1366000000</v>
      </c>
      <c r="O115">
        <v>963000000</v>
      </c>
      <c r="P115">
        <v>2019000000</v>
      </c>
      <c r="Q115">
        <v>2093000000</v>
      </c>
      <c r="R115">
        <v>1511000000</v>
      </c>
      <c r="S115">
        <v>1331000000</v>
      </c>
      <c r="T115">
        <v>1528000000</v>
      </c>
      <c r="U115">
        <v>1942000000</v>
      </c>
      <c r="V115">
        <v>2375000000</v>
      </c>
      <c r="W115">
        <v>1195000000</v>
      </c>
      <c r="X115">
        <v>1200000000</v>
      </c>
      <c r="Y115">
        <v>1768000000</v>
      </c>
      <c r="Z115">
        <v>2124000000</v>
      </c>
      <c r="AA115">
        <v>2649000000</v>
      </c>
      <c r="AB115">
        <v>2641000000</v>
      </c>
      <c r="AC115">
        <v>2434000000</v>
      </c>
      <c r="AD115">
        <v>2996000000</v>
      </c>
      <c r="AE115">
        <v>4240000000</v>
      </c>
      <c r="AF115">
        <v>3919000000</v>
      </c>
      <c r="AG115">
        <v>3854000000</v>
      </c>
      <c r="AH115">
        <v>3676000000</v>
      </c>
      <c r="AI115">
        <v>2832000000</v>
      </c>
      <c r="AJ115">
        <v>1875000000</v>
      </c>
      <c r="AK115">
        <v>1189000000</v>
      </c>
      <c r="AL115">
        <v>737000000</v>
      </c>
      <c r="AM115">
        <v>873000000</v>
      </c>
      <c r="AN115">
        <v>1358000000</v>
      </c>
      <c r="AO115">
        <v>831000000</v>
      </c>
      <c r="AP115">
        <v>1683000000</v>
      </c>
      <c r="AQ115">
        <v>797000000</v>
      </c>
      <c r="AR115">
        <v>1216000000</v>
      </c>
      <c r="AS115">
        <v>988000000</v>
      </c>
      <c r="AT115">
        <v>1050000000</v>
      </c>
      <c r="AU115">
        <v>1902000000</v>
      </c>
      <c r="AV115">
        <v>2798000000</v>
      </c>
      <c r="AW115">
        <v>2246000000</v>
      </c>
      <c r="AX115">
        <v>1202000000</v>
      </c>
      <c r="AY115">
        <v>1487000000</v>
      </c>
      <c r="AZ115">
        <v>2300000000</v>
      </c>
      <c r="BA115">
        <v>1643000000</v>
      </c>
      <c r="BB115">
        <v>1958000000</v>
      </c>
      <c r="BC115">
        <v>2897000000</v>
      </c>
      <c r="BD115">
        <v>3625000000</v>
      </c>
      <c r="BE115">
        <v>4506000000</v>
      </c>
      <c r="BF115">
        <v>5302000000</v>
      </c>
      <c r="BG115">
        <v>3282000000</v>
      </c>
      <c r="BH115">
        <v>2733000000</v>
      </c>
      <c r="BI115">
        <v>2651000000</v>
      </c>
      <c r="BJ115">
        <v>2682000000</v>
      </c>
      <c r="BK115">
        <v>1982000000</v>
      </c>
      <c r="BL115">
        <v>3202000000</v>
      </c>
      <c r="BM115">
        <v>2670000000</v>
      </c>
      <c r="BN115">
        <v>3958000000</v>
      </c>
      <c r="BO115">
        <v>2701000000</v>
      </c>
      <c r="BP115">
        <v>1540000000</v>
      </c>
      <c r="BQ115">
        <v>1603000000</v>
      </c>
      <c r="BR115">
        <v>2863000000</v>
      </c>
    </row>
    <row r="116" spans="1:70">
      <c r="A116" t="s">
        <v>229</v>
      </c>
      <c r="B116" t="s">
        <v>230</v>
      </c>
      <c r="C116" t="s">
        <v>9</v>
      </c>
      <c r="D116" t="s">
        <v>10</v>
      </c>
    </row>
    <row r="117" spans="1:70">
      <c r="A117" t="s">
        <v>231</v>
      </c>
      <c r="B117" t="s">
        <v>232</v>
      </c>
      <c r="C117" t="s">
        <v>9</v>
      </c>
      <c r="D117" t="s">
        <v>10</v>
      </c>
      <c r="E117">
        <v>1000000</v>
      </c>
      <c r="H117">
        <v>2000000</v>
      </c>
      <c r="I117">
        <v>12000000</v>
      </c>
      <c r="P117">
        <v>14000000</v>
      </c>
      <c r="Q117">
        <v>27000000</v>
      </c>
      <c r="R117">
        <v>8000000</v>
      </c>
      <c r="S117">
        <v>6000000</v>
      </c>
      <c r="T117">
        <v>9000000</v>
      </c>
      <c r="V117">
        <v>5000000</v>
      </c>
      <c r="W117">
        <v>28000000</v>
      </c>
      <c r="X117">
        <v>26000000</v>
      </c>
      <c r="Y117">
        <v>44000000</v>
      </c>
      <c r="Z117">
        <v>12000000</v>
      </c>
      <c r="AA117">
        <v>3000000</v>
      </c>
      <c r="AC117">
        <v>11000000</v>
      </c>
      <c r="AD117">
        <v>2000000</v>
      </c>
      <c r="AE117">
        <v>38000000</v>
      </c>
      <c r="AG117">
        <v>24000000</v>
      </c>
      <c r="AJ117">
        <v>11000000</v>
      </c>
      <c r="AM117">
        <v>41000000</v>
      </c>
      <c r="AQ117">
        <v>3000000</v>
      </c>
      <c r="AR117">
        <v>35000000</v>
      </c>
      <c r="AS117">
        <v>0</v>
      </c>
      <c r="AT117">
        <v>44000000</v>
      </c>
      <c r="AU117">
        <v>21000000</v>
      </c>
      <c r="AW117">
        <v>27000000</v>
      </c>
      <c r="AX117">
        <v>5000000</v>
      </c>
      <c r="AY117">
        <v>13000000</v>
      </c>
      <c r="AZ117">
        <v>26000000</v>
      </c>
      <c r="BA117">
        <v>38000000</v>
      </c>
      <c r="BC117">
        <v>4000000</v>
      </c>
      <c r="BG117">
        <v>40000000</v>
      </c>
      <c r="BH117">
        <v>43000000</v>
      </c>
      <c r="BI117">
        <v>43000000</v>
      </c>
      <c r="BJ117">
        <v>2000000</v>
      </c>
      <c r="BK117">
        <v>5000000</v>
      </c>
      <c r="BL117">
        <v>35000000</v>
      </c>
      <c r="BM117">
        <v>9000000</v>
      </c>
      <c r="BO117">
        <v>1000000</v>
      </c>
      <c r="BP117">
        <v>63000000</v>
      </c>
      <c r="BR117">
        <v>14000000</v>
      </c>
    </row>
    <row r="118" spans="1:70">
      <c r="A118" t="s">
        <v>233</v>
      </c>
      <c r="B118" t="s">
        <v>234</v>
      </c>
      <c r="C118" t="s">
        <v>9</v>
      </c>
      <c r="D118" t="s">
        <v>10</v>
      </c>
      <c r="E118">
        <v>141000000</v>
      </c>
      <c r="F118">
        <v>75000000</v>
      </c>
      <c r="G118">
        <v>83000000</v>
      </c>
      <c r="H118">
        <v>105000000</v>
      </c>
      <c r="I118">
        <v>139000000</v>
      </c>
      <c r="J118">
        <v>496000000</v>
      </c>
      <c r="K118">
        <v>601000000</v>
      </c>
      <c r="L118">
        <v>553000000</v>
      </c>
      <c r="M118">
        <v>917000000</v>
      </c>
      <c r="N118">
        <v>950000000</v>
      </c>
      <c r="O118">
        <v>899000000</v>
      </c>
      <c r="P118">
        <v>2099000000</v>
      </c>
      <c r="Q118">
        <v>1375000000</v>
      </c>
      <c r="R118">
        <v>2051000000</v>
      </c>
      <c r="S118">
        <v>2855000000</v>
      </c>
      <c r="T118">
        <v>5229000000</v>
      </c>
      <c r="U118">
        <v>4653000000</v>
      </c>
      <c r="V118">
        <v>5482000000</v>
      </c>
      <c r="W118">
        <v>3724000000</v>
      </c>
      <c r="X118">
        <v>526000000</v>
      </c>
      <c r="Y118">
        <v>278000000</v>
      </c>
      <c r="Z118">
        <v>487000000</v>
      </c>
      <c r="AA118">
        <v>499000000</v>
      </c>
      <c r="AB118">
        <v>466000000</v>
      </c>
      <c r="AC118">
        <v>562000000</v>
      </c>
      <c r="AD118">
        <v>639000000</v>
      </c>
      <c r="AE118">
        <v>805000000</v>
      </c>
      <c r="AF118">
        <v>807000000</v>
      </c>
      <c r="AG118">
        <v>469000000</v>
      </c>
      <c r="AH118">
        <v>194000000</v>
      </c>
      <c r="AI118">
        <v>444000000</v>
      </c>
      <c r="AJ118">
        <v>990000000</v>
      </c>
      <c r="AK118">
        <v>406000000</v>
      </c>
      <c r="AL118">
        <v>960000000</v>
      </c>
      <c r="AM118">
        <v>451000000</v>
      </c>
      <c r="AN118">
        <v>289000000</v>
      </c>
      <c r="AO118">
        <v>608000000</v>
      </c>
      <c r="AP118">
        <v>172000000</v>
      </c>
      <c r="AQ118">
        <v>374000000</v>
      </c>
      <c r="AR118">
        <v>321000000</v>
      </c>
      <c r="AS118">
        <v>417000000</v>
      </c>
      <c r="AT118">
        <v>526000000</v>
      </c>
      <c r="AU118">
        <v>435000000</v>
      </c>
      <c r="AV118">
        <v>283000000</v>
      </c>
      <c r="AW118">
        <v>117000000</v>
      </c>
      <c r="AX118">
        <v>53000000</v>
      </c>
      <c r="AY118">
        <v>418000000</v>
      </c>
      <c r="AZ118">
        <v>325000000</v>
      </c>
      <c r="BA118">
        <v>57000000</v>
      </c>
      <c r="BB118">
        <v>92000000</v>
      </c>
      <c r="BC118">
        <v>87000000</v>
      </c>
      <c r="BD118">
        <v>89000000</v>
      </c>
      <c r="BE118">
        <v>39000000</v>
      </c>
      <c r="BF118">
        <v>14000000</v>
      </c>
      <c r="BG118">
        <v>14000000</v>
      </c>
      <c r="BH118">
        <v>11000000</v>
      </c>
      <c r="BI118">
        <v>413000000</v>
      </c>
      <c r="BJ118">
        <v>3000000</v>
      </c>
      <c r="BK118">
        <v>3000000</v>
      </c>
      <c r="BL118">
        <v>3000000</v>
      </c>
      <c r="BM118">
        <v>2000000</v>
      </c>
      <c r="BP118">
        <v>21000000</v>
      </c>
      <c r="BQ118">
        <v>42000000</v>
      </c>
    </row>
    <row r="119" spans="1:70">
      <c r="A119" t="s">
        <v>235</v>
      </c>
      <c r="B119" t="s">
        <v>236</v>
      </c>
      <c r="C119" t="s">
        <v>9</v>
      </c>
      <c r="D119" t="s">
        <v>10</v>
      </c>
      <c r="E119">
        <v>176000000</v>
      </c>
      <c r="F119">
        <v>130000000</v>
      </c>
      <c r="G119">
        <v>278000000</v>
      </c>
      <c r="H119">
        <v>201000000</v>
      </c>
      <c r="I119">
        <v>321000000</v>
      </c>
      <c r="J119">
        <v>248000000</v>
      </c>
      <c r="K119">
        <v>341000000</v>
      </c>
      <c r="L119">
        <v>364000000</v>
      </c>
      <c r="M119">
        <v>392000000</v>
      </c>
      <c r="N119">
        <v>418000000</v>
      </c>
      <c r="O119">
        <v>185000000</v>
      </c>
      <c r="P119">
        <v>187000000</v>
      </c>
      <c r="Q119">
        <v>645000000</v>
      </c>
      <c r="R119">
        <v>1846000000</v>
      </c>
      <c r="S119">
        <v>1425000000</v>
      </c>
      <c r="T119">
        <v>1113000000</v>
      </c>
      <c r="U119">
        <v>1137000000</v>
      </c>
      <c r="V119">
        <v>1073000000</v>
      </c>
      <c r="W119">
        <v>1796000000</v>
      </c>
      <c r="X119">
        <v>1395000000</v>
      </c>
      <c r="Y119">
        <v>2252000000</v>
      </c>
      <c r="Z119">
        <v>2580000000</v>
      </c>
      <c r="AA119">
        <v>3259000000</v>
      </c>
      <c r="AB119">
        <v>3375000000</v>
      </c>
      <c r="AC119">
        <v>4581000000</v>
      </c>
      <c r="AD119">
        <v>3909000000</v>
      </c>
      <c r="AE119">
        <v>3393000000</v>
      </c>
      <c r="AF119">
        <v>3474000000</v>
      </c>
      <c r="AG119">
        <v>1918000000</v>
      </c>
      <c r="AH119">
        <v>1513000000</v>
      </c>
      <c r="AI119">
        <v>818000000</v>
      </c>
      <c r="AW119">
        <v>49000000</v>
      </c>
      <c r="AX119">
        <v>195000000</v>
      </c>
      <c r="AY119">
        <v>306000000</v>
      </c>
      <c r="AZ119">
        <v>299000000</v>
      </c>
      <c r="BA119">
        <v>379000000</v>
      </c>
      <c r="BB119">
        <v>418000000</v>
      </c>
      <c r="BC119">
        <v>480000000</v>
      </c>
      <c r="BD119">
        <v>623000000</v>
      </c>
      <c r="BE119">
        <v>523000000</v>
      </c>
      <c r="BF119">
        <v>375000000</v>
      </c>
      <c r="BG119">
        <v>629000000</v>
      </c>
      <c r="BH119">
        <v>1488000000</v>
      </c>
      <c r="BI119">
        <v>1831000000</v>
      </c>
      <c r="BJ119">
        <v>945000000</v>
      </c>
      <c r="BK119">
        <v>454000000</v>
      </c>
      <c r="BL119">
        <v>144000000</v>
      </c>
      <c r="BM119">
        <v>5000000</v>
      </c>
      <c r="BO119">
        <v>55000000</v>
      </c>
      <c r="BP119">
        <v>30000000</v>
      </c>
      <c r="BQ119">
        <v>80000000</v>
      </c>
      <c r="BR119">
        <v>55000000</v>
      </c>
    </row>
    <row r="120" spans="1:70">
      <c r="A120" t="s">
        <v>237</v>
      </c>
      <c r="B120" t="s">
        <v>238</v>
      </c>
      <c r="C120" t="s">
        <v>9</v>
      </c>
      <c r="D120" t="s">
        <v>10</v>
      </c>
      <c r="E120">
        <v>20000000</v>
      </c>
      <c r="M120">
        <v>27000000</v>
      </c>
      <c r="T120">
        <v>27000000</v>
      </c>
      <c r="BD120">
        <v>50000000</v>
      </c>
    </row>
    <row r="121" spans="1:70">
      <c r="A121" t="s">
        <v>239</v>
      </c>
      <c r="B121" t="s">
        <v>240</v>
      </c>
      <c r="C121" t="s">
        <v>9</v>
      </c>
      <c r="D121" t="s">
        <v>10</v>
      </c>
      <c r="E121">
        <v>164000000</v>
      </c>
      <c r="F121">
        <v>88000000</v>
      </c>
      <c r="G121">
        <v>279000000</v>
      </c>
      <c r="H121">
        <v>368000000</v>
      </c>
      <c r="I121">
        <v>415000000</v>
      </c>
      <c r="J121">
        <v>447000000</v>
      </c>
      <c r="K121">
        <v>460000000</v>
      </c>
      <c r="L121">
        <v>229000000</v>
      </c>
      <c r="M121">
        <v>926000000</v>
      </c>
      <c r="N121">
        <v>1365000000</v>
      </c>
      <c r="O121">
        <v>1189000000</v>
      </c>
      <c r="P121">
        <v>1413000000</v>
      </c>
      <c r="Q121">
        <v>963000000</v>
      </c>
      <c r="R121">
        <v>2182000000</v>
      </c>
      <c r="S121">
        <v>1032000000</v>
      </c>
      <c r="T121">
        <v>1184000000</v>
      </c>
      <c r="U121">
        <v>2004000000</v>
      </c>
      <c r="V121">
        <v>1227000000</v>
      </c>
      <c r="W121">
        <v>1224000000</v>
      </c>
      <c r="X121">
        <v>709000000</v>
      </c>
      <c r="Y121">
        <v>1253000000</v>
      </c>
      <c r="Z121">
        <v>1663000000</v>
      </c>
      <c r="AA121">
        <v>866000000</v>
      </c>
      <c r="AB121">
        <v>475000000</v>
      </c>
      <c r="AC121">
        <v>270000000</v>
      </c>
      <c r="AD121">
        <v>295000000</v>
      </c>
      <c r="AE121">
        <v>1178000000</v>
      </c>
      <c r="AF121">
        <v>1080000000</v>
      </c>
      <c r="AG121">
        <v>582000000</v>
      </c>
      <c r="AH121">
        <v>24000000</v>
      </c>
      <c r="AI121">
        <v>81000000</v>
      </c>
      <c r="AJ121">
        <v>1210000000</v>
      </c>
      <c r="AK121">
        <v>1335000000</v>
      </c>
      <c r="AL121">
        <v>716000000</v>
      </c>
      <c r="AM121">
        <v>767000000</v>
      </c>
      <c r="AN121">
        <v>372000000</v>
      </c>
      <c r="AO121">
        <v>105000000</v>
      </c>
      <c r="AP121">
        <v>67000000</v>
      </c>
      <c r="AQ121">
        <v>1302000000</v>
      </c>
      <c r="AR121">
        <v>1277000000</v>
      </c>
      <c r="AS121">
        <v>389000000</v>
      </c>
      <c r="AT121">
        <v>116000000</v>
      </c>
      <c r="AU121">
        <v>350000000</v>
      </c>
      <c r="AV121">
        <v>189000000</v>
      </c>
      <c r="AW121">
        <v>846000000</v>
      </c>
      <c r="AX121">
        <v>1103000000</v>
      </c>
      <c r="AY121">
        <v>1125000000</v>
      </c>
      <c r="AZ121">
        <v>840000000</v>
      </c>
      <c r="BA121">
        <v>680000000</v>
      </c>
      <c r="BB121">
        <v>162000000</v>
      </c>
      <c r="BC121">
        <v>76000000</v>
      </c>
      <c r="BD121">
        <v>86000000</v>
      </c>
      <c r="BE121">
        <v>137000000</v>
      </c>
      <c r="BF121">
        <v>160000000</v>
      </c>
      <c r="BG121">
        <v>549000000</v>
      </c>
      <c r="BH121">
        <v>694000000</v>
      </c>
      <c r="BI121">
        <v>652000000</v>
      </c>
      <c r="BJ121">
        <v>565000000</v>
      </c>
      <c r="BK121">
        <v>491000000</v>
      </c>
      <c r="BL121">
        <v>516000000</v>
      </c>
      <c r="BM121">
        <v>379000000</v>
      </c>
      <c r="BN121">
        <v>458000000</v>
      </c>
      <c r="BO121">
        <v>833000000</v>
      </c>
      <c r="BP121">
        <v>863000000</v>
      </c>
      <c r="BQ121">
        <v>237000000</v>
      </c>
      <c r="BR121">
        <v>537000000</v>
      </c>
    </row>
    <row r="122" spans="1:70">
      <c r="A122" t="s">
        <v>241</v>
      </c>
      <c r="B122" t="s">
        <v>242</v>
      </c>
      <c r="C122" t="s">
        <v>9</v>
      </c>
      <c r="D122" t="s">
        <v>10</v>
      </c>
      <c r="E122">
        <v>409000000</v>
      </c>
      <c r="F122">
        <v>427000000</v>
      </c>
      <c r="G122">
        <v>886000000</v>
      </c>
      <c r="H122">
        <v>1219000000</v>
      </c>
      <c r="I122">
        <v>1141000000</v>
      </c>
      <c r="J122">
        <v>736000000</v>
      </c>
      <c r="K122">
        <v>412000000</v>
      </c>
      <c r="L122">
        <v>107000000</v>
      </c>
      <c r="M122">
        <v>196000000</v>
      </c>
      <c r="N122">
        <v>611000000</v>
      </c>
      <c r="O122">
        <v>685000000</v>
      </c>
      <c r="P122">
        <v>1104000000</v>
      </c>
      <c r="Q122">
        <v>1766000000</v>
      </c>
      <c r="R122">
        <v>1023000000</v>
      </c>
      <c r="S122">
        <v>1121000000</v>
      </c>
      <c r="T122">
        <v>1016000000</v>
      </c>
      <c r="U122">
        <v>711000000</v>
      </c>
      <c r="V122">
        <v>517000000</v>
      </c>
      <c r="W122">
        <v>682000000</v>
      </c>
      <c r="X122">
        <v>591000000</v>
      </c>
      <c r="Y122">
        <v>468000000</v>
      </c>
      <c r="Z122">
        <v>129000000</v>
      </c>
      <c r="AA122">
        <v>241000000</v>
      </c>
      <c r="AB122">
        <v>303000000</v>
      </c>
      <c r="AC122">
        <v>273000000</v>
      </c>
      <c r="AD122">
        <v>205000000</v>
      </c>
      <c r="AE122">
        <v>198000000</v>
      </c>
      <c r="AF122">
        <v>183000000</v>
      </c>
      <c r="AG122">
        <v>179000000</v>
      </c>
      <c r="AH122">
        <v>196000000</v>
      </c>
      <c r="AI122">
        <v>155000000</v>
      </c>
      <c r="AJ122">
        <v>210000000</v>
      </c>
      <c r="AK122">
        <v>192000000</v>
      </c>
      <c r="AL122">
        <v>205000000</v>
      </c>
      <c r="AM122">
        <v>180000000</v>
      </c>
      <c r="AN122">
        <v>322000000</v>
      </c>
      <c r="AO122">
        <v>265000000</v>
      </c>
      <c r="AP122">
        <v>474000000</v>
      </c>
      <c r="AQ122">
        <v>56000000</v>
      </c>
      <c r="AR122">
        <v>25000000</v>
      </c>
      <c r="AS122">
        <v>278000000</v>
      </c>
      <c r="AT122">
        <v>234000000</v>
      </c>
      <c r="AU122">
        <v>240000000</v>
      </c>
      <c r="AV122">
        <v>617000000</v>
      </c>
      <c r="AW122">
        <v>490000000</v>
      </c>
      <c r="AX122">
        <v>136000000</v>
      </c>
      <c r="AY122">
        <v>384000000</v>
      </c>
      <c r="AZ122">
        <v>467000000</v>
      </c>
      <c r="BA122">
        <v>159000000</v>
      </c>
      <c r="BB122">
        <v>94000000</v>
      </c>
      <c r="BC122">
        <v>98000000</v>
      </c>
      <c r="BD122">
        <v>286000000</v>
      </c>
      <c r="BE122">
        <v>189000000</v>
      </c>
      <c r="BF122">
        <v>71000000</v>
      </c>
      <c r="BG122">
        <v>127000000</v>
      </c>
      <c r="BH122">
        <v>237000000</v>
      </c>
      <c r="BI122">
        <v>734000000</v>
      </c>
      <c r="BJ122">
        <v>709000000</v>
      </c>
      <c r="BK122">
        <v>275000000</v>
      </c>
      <c r="BL122">
        <v>178000000</v>
      </c>
      <c r="BM122">
        <v>201000000</v>
      </c>
      <c r="BN122">
        <v>211000000</v>
      </c>
      <c r="BO122">
        <v>237000000</v>
      </c>
      <c r="BP122">
        <v>425000000</v>
      </c>
      <c r="BQ122">
        <v>494000000</v>
      </c>
      <c r="BR122">
        <v>566000000</v>
      </c>
    </row>
    <row r="123" spans="1:70">
      <c r="A123" t="s">
        <v>243</v>
      </c>
      <c r="B123" t="s">
        <v>244</v>
      </c>
      <c r="C123" t="s">
        <v>9</v>
      </c>
      <c r="D123" t="s">
        <v>10</v>
      </c>
      <c r="G123">
        <v>1000000</v>
      </c>
      <c r="H123">
        <v>1000000</v>
      </c>
      <c r="I123">
        <v>0</v>
      </c>
      <c r="L123">
        <v>3000000</v>
      </c>
      <c r="P123">
        <v>1000000</v>
      </c>
      <c r="R123">
        <v>13000000</v>
      </c>
      <c r="S123">
        <v>8000000</v>
      </c>
      <c r="T123">
        <v>4000000</v>
      </c>
      <c r="U123">
        <v>1000000</v>
      </c>
      <c r="V123">
        <v>3000000</v>
      </c>
      <c r="W123">
        <v>4000000</v>
      </c>
      <c r="Z123">
        <v>0</v>
      </c>
      <c r="AD123">
        <v>5000000</v>
      </c>
      <c r="AE123">
        <v>3000000</v>
      </c>
      <c r="AH123">
        <v>4000000</v>
      </c>
      <c r="AQ123">
        <v>10000000</v>
      </c>
      <c r="AR123">
        <v>10000000</v>
      </c>
      <c r="AX123">
        <v>10000000</v>
      </c>
      <c r="AY123">
        <v>10000000</v>
      </c>
      <c r="AZ123">
        <v>14000000</v>
      </c>
      <c r="BA123">
        <v>2000000</v>
      </c>
      <c r="BC123">
        <v>1000000</v>
      </c>
      <c r="BF123">
        <v>1000000</v>
      </c>
      <c r="BH123">
        <v>2000000</v>
      </c>
      <c r="BI123">
        <v>22000000</v>
      </c>
      <c r="BK123">
        <v>19000000</v>
      </c>
      <c r="BL123">
        <v>3000000</v>
      </c>
      <c r="BM123">
        <v>10000000</v>
      </c>
      <c r="BN123">
        <v>29000000</v>
      </c>
      <c r="BP123">
        <v>10000000</v>
      </c>
      <c r="BQ123">
        <v>10000000</v>
      </c>
    </row>
    <row r="124" spans="1:70">
      <c r="A124" t="s">
        <v>245</v>
      </c>
      <c r="B124" t="s">
        <v>246</v>
      </c>
      <c r="C124" t="s">
        <v>9</v>
      </c>
      <c r="D124" t="s">
        <v>10</v>
      </c>
      <c r="E124">
        <v>53000000</v>
      </c>
      <c r="F124">
        <v>26000000</v>
      </c>
      <c r="G124">
        <v>66000000</v>
      </c>
      <c r="H124">
        <v>39000000</v>
      </c>
      <c r="I124">
        <v>33000000</v>
      </c>
      <c r="J124">
        <v>56000000</v>
      </c>
      <c r="K124">
        <v>95000000</v>
      </c>
      <c r="L124">
        <v>126000000</v>
      </c>
      <c r="M124">
        <v>48000000</v>
      </c>
      <c r="N124">
        <v>173000000</v>
      </c>
      <c r="O124">
        <v>147000000</v>
      </c>
      <c r="P124">
        <v>90000000</v>
      </c>
      <c r="Q124">
        <v>87000000</v>
      </c>
      <c r="R124">
        <v>56000000</v>
      </c>
      <c r="S124">
        <v>132000000</v>
      </c>
      <c r="T124">
        <v>372000000</v>
      </c>
      <c r="U124">
        <v>383000000</v>
      </c>
      <c r="V124">
        <v>457000000</v>
      </c>
      <c r="W124">
        <v>576000000</v>
      </c>
      <c r="X124">
        <v>256000000</v>
      </c>
      <c r="Y124">
        <v>359000000</v>
      </c>
      <c r="Z124">
        <v>401000000</v>
      </c>
      <c r="AA124">
        <v>1061000000</v>
      </c>
      <c r="AB124">
        <v>634000000</v>
      </c>
      <c r="AC124">
        <v>629000000</v>
      </c>
      <c r="AD124">
        <v>292000000</v>
      </c>
      <c r="AE124">
        <v>206000000</v>
      </c>
      <c r="AF124">
        <v>133000000</v>
      </c>
      <c r="AG124">
        <v>243000000</v>
      </c>
      <c r="AH124">
        <v>74000000</v>
      </c>
      <c r="AI124">
        <v>16000000</v>
      </c>
      <c r="AJ124">
        <v>24000000</v>
      </c>
      <c r="AL124">
        <v>1000000</v>
      </c>
      <c r="AM124">
        <v>5000000</v>
      </c>
      <c r="AN124">
        <v>19000000</v>
      </c>
      <c r="AO124">
        <v>75000000</v>
      </c>
      <c r="AP124">
        <v>77000000</v>
      </c>
      <c r="AQ124">
        <v>248000000</v>
      </c>
      <c r="AR124">
        <v>63000000</v>
      </c>
      <c r="AS124">
        <v>139000000</v>
      </c>
      <c r="AT124">
        <v>160000000</v>
      </c>
      <c r="AU124">
        <v>132000000</v>
      </c>
      <c r="AV124">
        <v>281000000</v>
      </c>
      <c r="AW124">
        <v>168000000</v>
      </c>
      <c r="AX124">
        <v>79000000</v>
      </c>
      <c r="AY124">
        <v>50000000</v>
      </c>
      <c r="AZ124">
        <v>180000000</v>
      </c>
      <c r="BA124">
        <v>157000000</v>
      </c>
      <c r="BB124">
        <v>230000000</v>
      </c>
      <c r="BC124">
        <v>87000000</v>
      </c>
      <c r="BD124">
        <v>211000000</v>
      </c>
      <c r="BE124">
        <v>185000000</v>
      </c>
      <c r="BF124">
        <v>72000000</v>
      </c>
      <c r="BG124">
        <v>194000000</v>
      </c>
      <c r="BH124">
        <v>228000000</v>
      </c>
      <c r="BI124">
        <v>243000000</v>
      </c>
      <c r="BJ124">
        <v>363000000</v>
      </c>
      <c r="BK124">
        <v>170000000</v>
      </c>
      <c r="BL124">
        <v>213000000</v>
      </c>
      <c r="BM124">
        <v>148000000</v>
      </c>
      <c r="BN124">
        <v>67000000</v>
      </c>
      <c r="BO124">
        <v>50000000</v>
      </c>
      <c r="BP124">
        <v>22000000</v>
      </c>
      <c r="BQ124">
        <v>34000000</v>
      </c>
    </row>
    <row r="125" spans="1:70">
      <c r="A125" t="s">
        <v>247</v>
      </c>
      <c r="B125" t="s">
        <v>248</v>
      </c>
      <c r="C125" t="s">
        <v>9</v>
      </c>
      <c r="D125" t="s">
        <v>10</v>
      </c>
      <c r="E125">
        <v>790000000</v>
      </c>
      <c r="F125">
        <v>335000000</v>
      </c>
      <c r="G125">
        <v>263000000</v>
      </c>
      <c r="H125">
        <v>239000000</v>
      </c>
      <c r="I125">
        <v>1716000000</v>
      </c>
      <c r="J125">
        <v>1155000000</v>
      </c>
      <c r="K125">
        <v>324000000</v>
      </c>
      <c r="L125">
        <v>610000000</v>
      </c>
      <c r="M125">
        <v>557000000</v>
      </c>
      <c r="N125">
        <v>488000000</v>
      </c>
      <c r="O125">
        <v>502000000</v>
      </c>
      <c r="P125">
        <v>605000000</v>
      </c>
      <c r="Q125">
        <v>493000000</v>
      </c>
      <c r="R125">
        <v>468000000</v>
      </c>
      <c r="S125">
        <v>733000000</v>
      </c>
      <c r="T125">
        <v>1597000000</v>
      </c>
      <c r="U125">
        <v>1475000000</v>
      </c>
      <c r="V125">
        <v>788000000</v>
      </c>
      <c r="W125">
        <v>901000000</v>
      </c>
      <c r="X125">
        <v>920000000</v>
      </c>
      <c r="Y125">
        <v>1029000000</v>
      </c>
      <c r="Z125">
        <v>1308000000</v>
      </c>
      <c r="AA125">
        <v>1444000000</v>
      </c>
      <c r="AB125">
        <v>1692000000</v>
      </c>
      <c r="AC125">
        <v>2051000000</v>
      </c>
      <c r="AD125">
        <v>1966000000</v>
      </c>
      <c r="AE125">
        <v>1893000000</v>
      </c>
      <c r="AF125">
        <v>1942000000</v>
      </c>
      <c r="AG125">
        <v>1998000000</v>
      </c>
      <c r="AH125">
        <v>2283000000</v>
      </c>
      <c r="AI125">
        <v>2682000000</v>
      </c>
      <c r="AJ125">
        <v>2940000000</v>
      </c>
      <c r="AK125">
        <v>2519000000</v>
      </c>
      <c r="AL125">
        <v>2130000000</v>
      </c>
      <c r="AM125">
        <v>1016000000</v>
      </c>
      <c r="AN125">
        <v>1255000000</v>
      </c>
      <c r="AO125">
        <v>876000000</v>
      </c>
      <c r="AP125">
        <v>843000000</v>
      </c>
      <c r="AQ125">
        <v>1489000000</v>
      </c>
      <c r="AR125">
        <v>1257000000</v>
      </c>
      <c r="AS125">
        <v>497000000</v>
      </c>
      <c r="AT125">
        <v>427000000</v>
      </c>
      <c r="AU125">
        <v>442000000</v>
      </c>
      <c r="AV125">
        <v>458000000</v>
      </c>
      <c r="AW125">
        <v>399000000</v>
      </c>
      <c r="AX125">
        <v>375000000</v>
      </c>
      <c r="AY125">
        <v>469000000</v>
      </c>
      <c r="AZ125">
        <v>553000000</v>
      </c>
      <c r="BA125">
        <v>990000000</v>
      </c>
      <c r="BB125">
        <v>990000000</v>
      </c>
      <c r="BC125">
        <v>658000000</v>
      </c>
      <c r="BD125">
        <v>300000000</v>
      </c>
      <c r="BE125">
        <v>239000000</v>
      </c>
      <c r="BF125">
        <v>341000000</v>
      </c>
      <c r="BG125">
        <v>316000000</v>
      </c>
      <c r="BH125">
        <v>343000000</v>
      </c>
      <c r="BI125">
        <v>332000000</v>
      </c>
      <c r="BJ125">
        <v>446000000</v>
      </c>
      <c r="BK125">
        <v>764000000</v>
      </c>
      <c r="BL125">
        <v>992000000</v>
      </c>
      <c r="BM125">
        <v>929000000</v>
      </c>
      <c r="BN125">
        <v>1009000000</v>
      </c>
      <c r="BO125">
        <v>1466000000</v>
      </c>
      <c r="BP125">
        <v>852000000</v>
      </c>
      <c r="BQ125">
        <v>1043000000</v>
      </c>
      <c r="BR125">
        <v>1715000000</v>
      </c>
    </row>
    <row r="126" spans="1:70">
      <c r="A126" t="s">
        <v>249</v>
      </c>
      <c r="B126" t="s">
        <v>250</v>
      </c>
      <c r="C126" t="s">
        <v>9</v>
      </c>
      <c r="D126" t="s">
        <v>10</v>
      </c>
      <c r="AN126">
        <v>99000000</v>
      </c>
      <c r="AO126">
        <v>2000000</v>
      </c>
      <c r="AP126">
        <v>64000000</v>
      </c>
      <c r="AR126">
        <v>72000000</v>
      </c>
      <c r="AS126">
        <v>121000000</v>
      </c>
      <c r="AT126">
        <v>139000000</v>
      </c>
      <c r="AU126">
        <v>22000000</v>
      </c>
      <c r="AW126">
        <v>49000000</v>
      </c>
      <c r="AX126">
        <v>44000000</v>
      </c>
      <c r="AY126">
        <v>46000000</v>
      </c>
      <c r="AZ126">
        <v>83000000</v>
      </c>
      <c r="BA126">
        <v>38000000</v>
      </c>
      <c r="BB126">
        <v>53000000</v>
      </c>
      <c r="BC126">
        <v>59000000</v>
      </c>
      <c r="BD126">
        <v>63000000</v>
      </c>
      <c r="BE126">
        <v>96000000</v>
      </c>
      <c r="BF126">
        <v>143000000</v>
      </c>
      <c r="BG126">
        <v>83000000</v>
      </c>
      <c r="BH126">
        <v>446000000</v>
      </c>
      <c r="BI126">
        <v>255000000</v>
      </c>
      <c r="BJ126">
        <v>221000000</v>
      </c>
      <c r="BK126">
        <v>279000000</v>
      </c>
      <c r="BL126">
        <v>232000000</v>
      </c>
      <c r="BM126">
        <v>270000000</v>
      </c>
      <c r="BN126">
        <v>195000000</v>
      </c>
      <c r="BO126">
        <v>191000000</v>
      </c>
      <c r="BP126">
        <v>223000000</v>
      </c>
      <c r="BQ126">
        <v>460000000</v>
      </c>
      <c r="BR126">
        <v>18000000</v>
      </c>
    </row>
    <row r="127" spans="1:70">
      <c r="A127" t="s">
        <v>251</v>
      </c>
      <c r="B127" t="s">
        <v>252</v>
      </c>
      <c r="C127" t="s">
        <v>9</v>
      </c>
      <c r="D127" t="s">
        <v>10</v>
      </c>
      <c r="I127">
        <v>6000000</v>
      </c>
      <c r="J127">
        <v>15000000</v>
      </c>
      <c r="K127">
        <v>19000000</v>
      </c>
      <c r="L127">
        <v>2000000</v>
      </c>
      <c r="M127">
        <v>2000000</v>
      </c>
      <c r="N127">
        <v>3000000</v>
      </c>
      <c r="O127">
        <v>0</v>
      </c>
      <c r="P127">
        <v>26000000</v>
      </c>
      <c r="Q127">
        <v>9000000</v>
      </c>
      <c r="R127">
        <v>2000000</v>
      </c>
      <c r="S127">
        <v>28000000</v>
      </c>
      <c r="T127">
        <v>25000000</v>
      </c>
      <c r="U127">
        <v>17000000</v>
      </c>
      <c r="V127">
        <v>58000000</v>
      </c>
      <c r="W127">
        <v>211000000</v>
      </c>
      <c r="X127">
        <v>56000000</v>
      </c>
      <c r="Y127">
        <v>119000000</v>
      </c>
      <c r="Z127">
        <v>144000000</v>
      </c>
      <c r="AA127">
        <v>85000000</v>
      </c>
      <c r="AB127">
        <v>17000000</v>
      </c>
      <c r="AC127">
        <v>12000000</v>
      </c>
      <c r="AD127">
        <v>6000000</v>
      </c>
      <c r="AE127">
        <v>26000000</v>
      </c>
      <c r="AF127">
        <v>178000000</v>
      </c>
      <c r="AH127">
        <v>47000000</v>
      </c>
      <c r="AI127">
        <v>43000000</v>
      </c>
      <c r="AJ127">
        <v>14000000</v>
      </c>
      <c r="AM127">
        <v>30000000</v>
      </c>
      <c r="AP127">
        <v>61000000</v>
      </c>
      <c r="AS127">
        <v>15000000</v>
      </c>
      <c r="AZ127">
        <v>11000000</v>
      </c>
      <c r="BB127">
        <v>34000000</v>
      </c>
      <c r="BC127">
        <v>96000000</v>
      </c>
      <c r="BD127">
        <v>35000000</v>
      </c>
      <c r="BE127">
        <v>68000000</v>
      </c>
      <c r="BF127">
        <v>1000000</v>
      </c>
      <c r="BG127">
        <v>17000000</v>
      </c>
      <c r="BH127">
        <v>30000000</v>
      </c>
      <c r="BI127">
        <v>32000000</v>
      </c>
      <c r="BJ127">
        <v>17000000</v>
      </c>
      <c r="BK127">
        <v>7000000</v>
      </c>
      <c r="BL127">
        <v>18000000</v>
      </c>
      <c r="BM127">
        <v>71000000</v>
      </c>
      <c r="BN127">
        <v>4000000</v>
      </c>
      <c r="BO127">
        <v>1000000</v>
      </c>
      <c r="BQ127">
        <v>19000000</v>
      </c>
      <c r="BR127">
        <v>117000000</v>
      </c>
    </row>
    <row r="128" spans="1:70">
      <c r="A128" t="s">
        <v>253</v>
      </c>
      <c r="B128" t="s">
        <v>254</v>
      </c>
      <c r="C128" t="s">
        <v>9</v>
      </c>
      <c r="D128" t="s">
        <v>10</v>
      </c>
      <c r="AV128">
        <v>10000000</v>
      </c>
      <c r="AW128">
        <v>6000000</v>
      </c>
      <c r="AX128">
        <v>3000000</v>
      </c>
      <c r="AY128">
        <v>2000000</v>
      </c>
      <c r="BH128">
        <v>4000000</v>
      </c>
      <c r="BI128">
        <v>8000000</v>
      </c>
      <c r="BJ128">
        <v>12000000</v>
      </c>
      <c r="BK128">
        <v>1000000</v>
      </c>
      <c r="BL128">
        <v>15000000</v>
      </c>
      <c r="BN128">
        <v>5000000</v>
      </c>
      <c r="BO128">
        <v>14000000</v>
      </c>
      <c r="BP128">
        <v>54000000</v>
      </c>
    </row>
    <row r="129" spans="1:70">
      <c r="A129" t="s">
        <v>255</v>
      </c>
      <c r="B129" t="s">
        <v>256</v>
      </c>
      <c r="C129" t="s">
        <v>9</v>
      </c>
      <c r="D129" t="s">
        <v>10</v>
      </c>
      <c r="E129">
        <v>1000000</v>
      </c>
      <c r="F129">
        <v>2000000</v>
      </c>
      <c r="G129">
        <v>5000000</v>
      </c>
      <c r="H129">
        <v>11000000</v>
      </c>
      <c r="I129">
        <v>41000000</v>
      </c>
      <c r="J129">
        <v>43000000</v>
      </c>
      <c r="K129">
        <v>37000000</v>
      </c>
      <c r="L129">
        <v>20000000</v>
      </c>
      <c r="M129">
        <v>15000000</v>
      </c>
      <c r="N129">
        <v>18000000</v>
      </c>
      <c r="O129">
        <v>8000000</v>
      </c>
      <c r="P129">
        <v>22000000</v>
      </c>
      <c r="Q129">
        <v>104000000</v>
      </c>
      <c r="R129">
        <v>114000000</v>
      </c>
      <c r="S129">
        <v>25000000</v>
      </c>
      <c r="W129">
        <v>43000000</v>
      </c>
      <c r="Y129">
        <v>34000000</v>
      </c>
      <c r="AB129">
        <v>13000000</v>
      </c>
      <c r="AC129">
        <v>67000000</v>
      </c>
      <c r="AD129">
        <v>69000000</v>
      </c>
      <c r="AE129">
        <v>136000000</v>
      </c>
      <c r="AF129">
        <v>50000000</v>
      </c>
      <c r="AG129">
        <v>10000000</v>
      </c>
      <c r="AH129">
        <v>124000000</v>
      </c>
      <c r="AI129">
        <v>48000000</v>
      </c>
      <c r="AL129">
        <v>3000000</v>
      </c>
      <c r="AM129">
        <v>74000000</v>
      </c>
      <c r="AN129">
        <v>1000000</v>
      </c>
      <c r="AO129">
        <v>27000000</v>
      </c>
      <c r="AP129">
        <v>22000000</v>
      </c>
      <c r="AY129">
        <v>14000000</v>
      </c>
      <c r="AZ129">
        <v>56000000</v>
      </c>
      <c r="BB129">
        <v>4000000</v>
      </c>
      <c r="BC129">
        <v>34000000</v>
      </c>
      <c r="BE129">
        <v>78000000</v>
      </c>
      <c r="BF129">
        <v>68000000</v>
      </c>
      <c r="BK129">
        <v>5000000</v>
      </c>
      <c r="BL129">
        <v>1000000</v>
      </c>
      <c r="BN129">
        <v>35000000</v>
      </c>
      <c r="BO129">
        <v>38000000</v>
      </c>
      <c r="BP129">
        <v>56000000</v>
      </c>
    </row>
    <row r="130" spans="1:70">
      <c r="A130" t="s">
        <v>257</v>
      </c>
      <c r="B130" t="s">
        <v>258</v>
      </c>
      <c r="C130" t="s">
        <v>9</v>
      </c>
      <c r="D130" t="s">
        <v>10</v>
      </c>
      <c r="AM130">
        <v>6000000</v>
      </c>
      <c r="BN130">
        <v>7000000</v>
      </c>
    </row>
    <row r="131" spans="1:70">
      <c r="A131" t="s">
        <v>259</v>
      </c>
      <c r="B131" t="s">
        <v>260</v>
      </c>
      <c r="C131" t="s">
        <v>9</v>
      </c>
      <c r="D131" t="s">
        <v>10</v>
      </c>
      <c r="AD131">
        <v>6000000</v>
      </c>
    </row>
    <row r="132" spans="1:70">
      <c r="A132" t="s">
        <v>261</v>
      </c>
      <c r="B132" t="s">
        <v>262</v>
      </c>
      <c r="C132" t="s">
        <v>9</v>
      </c>
      <c r="D132" t="s">
        <v>10</v>
      </c>
      <c r="E132">
        <v>122000000</v>
      </c>
      <c r="F132">
        <v>113000000</v>
      </c>
      <c r="G132">
        <v>65000000</v>
      </c>
      <c r="H132">
        <v>214000000</v>
      </c>
      <c r="I132">
        <v>332000000</v>
      </c>
      <c r="J132">
        <v>632000000</v>
      </c>
      <c r="K132">
        <v>578000000</v>
      </c>
      <c r="L132">
        <v>137000000</v>
      </c>
      <c r="M132">
        <v>359000000</v>
      </c>
      <c r="N132">
        <v>586000000</v>
      </c>
      <c r="O132">
        <v>100000000</v>
      </c>
      <c r="P132">
        <v>250000000</v>
      </c>
      <c r="Q132">
        <v>413000000</v>
      </c>
      <c r="R132">
        <v>269000000</v>
      </c>
      <c r="S132">
        <v>458000000</v>
      </c>
      <c r="T132">
        <v>661000000</v>
      </c>
      <c r="U132">
        <v>556000000</v>
      </c>
      <c r="V132">
        <v>1199000000</v>
      </c>
      <c r="W132">
        <v>399000000</v>
      </c>
      <c r="X132">
        <v>1323000000</v>
      </c>
      <c r="Y132">
        <v>877000000</v>
      </c>
      <c r="Z132">
        <v>872000000</v>
      </c>
      <c r="AA132">
        <v>673000000</v>
      </c>
      <c r="AB132">
        <v>496000000</v>
      </c>
      <c r="AC132">
        <v>524000000</v>
      </c>
      <c r="AD132">
        <v>760000000</v>
      </c>
      <c r="AE132">
        <v>857000000</v>
      </c>
      <c r="AF132">
        <v>773000000</v>
      </c>
      <c r="AG132">
        <v>1237000000</v>
      </c>
      <c r="AH132">
        <v>1835000000</v>
      </c>
      <c r="AI132">
        <v>1201000000</v>
      </c>
      <c r="AJ132">
        <v>908000000</v>
      </c>
      <c r="AK132">
        <v>782000000</v>
      </c>
      <c r="AL132">
        <v>1011000000</v>
      </c>
      <c r="AM132">
        <v>1005000000</v>
      </c>
      <c r="AN132">
        <v>1952000000</v>
      </c>
      <c r="AO132">
        <v>1971000000</v>
      </c>
      <c r="AP132">
        <v>1219000000</v>
      </c>
      <c r="AQ132">
        <v>1417000000</v>
      </c>
      <c r="AR132">
        <v>1638000000</v>
      </c>
      <c r="AS132">
        <v>1393000000</v>
      </c>
      <c r="AT132">
        <v>768000000</v>
      </c>
      <c r="AU132">
        <v>519000000</v>
      </c>
      <c r="AV132">
        <v>767000000</v>
      </c>
      <c r="AW132">
        <v>1061000000</v>
      </c>
      <c r="AX132">
        <v>801000000</v>
      </c>
      <c r="AY132">
        <v>1658000000</v>
      </c>
      <c r="AZ132">
        <v>1730000000</v>
      </c>
      <c r="BA132">
        <v>1691000000</v>
      </c>
      <c r="BB132">
        <v>798000000</v>
      </c>
      <c r="BC132">
        <v>1299000000</v>
      </c>
      <c r="BD132">
        <v>1568000000</v>
      </c>
      <c r="BE132">
        <v>1077000000</v>
      </c>
      <c r="BF132">
        <v>189000000</v>
      </c>
      <c r="BG132">
        <v>742000000</v>
      </c>
      <c r="BH132">
        <v>268000000</v>
      </c>
      <c r="BI132">
        <v>1038000000</v>
      </c>
      <c r="BJ132">
        <v>962000000</v>
      </c>
      <c r="BK132">
        <v>1030000000</v>
      </c>
      <c r="BL132">
        <v>1605000000</v>
      </c>
      <c r="BM132">
        <v>1273000000</v>
      </c>
      <c r="BN132">
        <v>812000000</v>
      </c>
      <c r="BO132">
        <v>423000000</v>
      </c>
      <c r="BP132">
        <v>218000000</v>
      </c>
      <c r="BQ132">
        <v>1031000000</v>
      </c>
      <c r="BR132">
        <v>222000000</v>
      </c>
    </row>
    <row r="133" spans="1:70">
      <c r="A133" t="s">
        <v>263</v>
      </c>
      <c r="B133" t="s">
        <v>264</v>
      </c>
      <c r="C133" t="s">
        <v>9</v>
      </c>
      <c r="D133" t="s">
        <v>10</v>
      </c>
      <c r="E133">
        <v>44000000</v>
      </c>
      <c r="F133">
        <v>4000000</v>
      </c>
      <c r="G133">
        <v>10000000</v>
      </c>
      <c r="H133">
        <v>5000000</v>
      </c>
      <c r="I133">
        <v>56000000</v>
      </c>
      <c r="J133">
        <v>23000000</v>
      </c>
      <c r="K133">
        <v>11000000</v>
      </c>
      <c r="M133">
        <v>104000000</v>
      </c>
      <c r="N133">
        <v>126000000</v>
      </c>
      <c r="O133">
        <v>59000000</v>
      </c>
      <c r="P133">
        <v>109000000</v>
      </c>
      <c r="Q133">
        <v>30000000</v>
      </c>
      <c r="R133">
        <v>4000000</v>
      </c>
      <c r="S133">
        <v>5000000</v>
      </c>
      <c r="T133">
        <v>77000000</v>
      </c>
      <c r="U133">
        <v>230000000</v>
      </c>
      <c r="V133">
        <v>485000000</v>
      </c>
      <c r="W133">
        <v>504000000</v>
      </c>
      <c r="X133">
        <v>223000000</v>
      </c>
      <c r="Y133">
        <v>35000000</v>
      </c>
      <c r="Z133">
        <v>13000000</v>
      </c>
      <c r="AA133">
        <v>173000000</v>
      </c>
      <c r="AB133">
        <v>251000000</v>
      </c>
      <c r="AC133">
        <v>454000000</v>
      </c>
      <c r="AD133">
        <v>619000000</v>
      </c>
      <c r="AE133">
        <v>167000000</v>
      </c>
      <c r="AF133">
        <v>50000000</v>
      </c>
      <c r="AG133">
        <v>6000000</v>
      </c>
      <c r="AH133">
        <v>132000000</v>
      </c>
      <c r="AI133">
        <v>324000000</v>
      </c>
      <c r="AJ133">
        <v>515000000</v>
      </c>
      <c r="AK133">
        <v>896000000</v>
      </c>
      <c r="AL133">
        <v>694000000</v>
      </c>
      <c r="AM133">
        <v>36000000</v>
      </c>
      <c r="AN133">
        <v>646000000</v>
      </c>
      <c r="AO133">
        <v>1209000000</v>
      </c>
      <c r="AP133">
        <v>482000000</v>
      </c>
      <c r="AQ133">
        <v>46000000</v>
      </c>
      <c r="AR133">
        <v>198000000</v>
      </c>
      <c r="AS133">
        <v>226000000</v>
      </c>
      <c r="AT133">
        <v>67000000</v>
      </c>
      <c r="AU133">
        <v>22000000</v>
      </c>
      <c r="AV133">
        <v>42000000</v>
      </c>
      <c r="AW133">
        <v>2000000</v>
      </c>
      <c r="AX133">
        <v>12000000</v>
      </c>
      <c r="AY133">
        <v>5000000</v>
      </c>
      <c r="AZ133">
        <v>288000000</v>
      </c>
      <c r="BA133">
        <v>5000000</v>
      </c>
      <c r="BB133">
        <v>8000000</v>
      </c>
      <c r="BC133">
        <v>87000000</v>
      </c>
      <c r="BD133">
        <v>116000000</v>
      </c>
      <c r="BE133">
        <v>31000000</v>
      </c>
      <c r="BF133">
        <v>73000000</v>
      </c>
      <c r="BG133">
        <v>701000000</v>
      </c>
      <c r="BH133">
        <v>317000000</v>
      </c>
      <c r="BI133">
        <v>147000000</v>
      </c>
      <c r="BJ133">
        <v>113000000</v>
      </c>
      <c r="BK133">
        <v>96000000</v>
      </c>
      <c r="BL133">
        <v>55000000</v>
      </c>
      <c r="BM133">
        <v>67000000</v>
      </c>
      <c r="BN133">
        <v>1565000000</v>
      </c>
      <c r="BO133">
        <v>1569000000</v>
      </c>
      <c r="BP133">
        <v>497000000</v>
      </c>
      <c r="BQ133">
        <v>388000000</v>
      </c>
      <c r="BR133">
        <v>311000000</v>
      </c>
    </row>
    <row r="134" spans="1:70">
      <c r="A134" t="s">
        <v>265</v>
      </c>
      <c r="B134" t="s">
        <v>266</v>
      </c>
      <c r="C134" t="s">
        <v>9</v>
      </c>
      <c r="D134" t="s">
        <v>10</v>
      </c>
      <c r="E134">
        <v>894000000</v>
      </c>
      <c r="F134">
        <v>1192000000</v>
      </c>
      <c r="G134">
        <v>1642000000</v>
      </c>
      <c r="H134">
        <v>622000000</v>
      </c>
      <c r="I134">
        <v>396000000</v>
      </c>
      <c r="J134">
        <v>422000000</v>
      </c>
      <c r="K134">
        <v>599000000</v>
      </c>
      <c r="L134">
        <v>830000000</v>
      </c>
      <c r="M134">
        <v>1121000000</v>
      </c>
      <c r="N134">
        <v>756000000</v>
      </c>
      <c r="O134">
        <v>790000000</v>
      </c>
      <c r="P134">
        <v>1214000000</v>
      </c>
      <c r="Q134">
        <v>2001000000</v>
      </c>
      <c r="R134">
        <v>2520000000</v>
      </c>
      <c r="S134">
        <v>2096000000</v>
      </c>
      <c r="T134">
        <v>2396000000</v>
      </c>
      <c r="U134">
        <v>2324000000</v>
      </c>
      <c r="V134">
        <v>3194000000</v>
      </c>
      <c r="W134">
        <v>2969000000</v>
      </c>
      <c r="X134">
        <v>2184000000</v>
      </c>
      <c r="Y134">
        <v>2646000000</v>
      </c>
      <c r="Z134">
        <v>4054000000</v>
      </c>
      <c r="AA134">
        <v>3258000000</v>
      </c>
      <c r="AB134">
        <v>3624000000</v>
      </c>
      <c r="AC134">
        <v>3148000000</v>
      </c>
      <c r="AD134">
        <v>1951000000</v>
      </c>
      <c r="AE134">
        <v>1356000000</v>
      </c>
      <c r="AF134">
        <v>1570000000</v>
      </c>
      <c r="AG134">
        <v>1054000000</v>
      </c>
      <c r="AH134">
        <v>1379000000</v>
      </c>
      <c r="AI134">
        <v>922000000</v>
      </c>
      <c r="AJ134">
        <v>1030000000</v>
      </c>
      <c r="AK134">
        <v>416000000</v>
      </c>
      <c r="AL134">
        <v>423000000</v>
      </c>
      <c r="AM134">
        <v>904000000</v>
      </c>
      <c r="AN134">
        <v>501000000</v>
      </c>
      <c r="AO134">
        <v>908000000</v>
      </c>
      <c r="AP134">
        <v>1784000000</v>
      </c>
      <c r="AQ134">
        <v>660000000</v>
      </c>
      <c r="AR134">
        <v>1014000000</v>
      </c>
      <c r="AS134">
        <v>747000000</v>
      </c>
      <c r="AT134">
        <v>1164000000</v>
      </c>
      <c r="AU134">
        <v>586000000</v>
      </c>
      <c r="AV134">
        <v>347000000</v>
      </c>
      <c r="AW134">
        <v>690000000</v>
      </c>
      <c r="AX134">
        <v>726000000</v>
      </c>
      <c r="AY134">
        <v>958000000</v>
      </c>
      <c r="BA134">
        <v>1183000000</v>
      </c>
      <c r="BB134">
        <v>991000000</v>
      </c>
      <c r="BC134">
        <v>1040000000</v>
      </c>
      <c r="BD134">
        <v>1405000000</v>
      </c>
      <c r="BE134">
        <v>1593000000</v>
      </c>
      <c r="BF134">
        <v>1518000000</v>
      </c>
      <c r="BG134">
        <v>954000000</v>
      </c>
      <c r="BH134">
        <v>1174000000</v>
      </c>
      <c r="BI134">
        <v>900000000</v>
      </c>
      <c r="BJ134">
        <v>522000000</v>
      </c>
      <c r="BK134">
        <v>458000000</v>
      </c>
      <c r="BM134">
        <v>670000000</v>
      </c>
      <c r="BN134">
        <v>485000000</v>
      </c>
      <c r="BP134">
        <v>379000000</v>
      </c>
      <c r="BQ134">
        <v>612000000</v>
      </c>
      <c r="BR134">
        <v>762000000</v>
      </c>
    </row>
    <row r="135" spans="1:70">
      <c r="A135" t="s">
        <v>267</v>
      </c>
      <c r="B135" t="s">
        <v>268</v>
      </c>
      <c r="C135" t="s">
        <v>9</v>
      </c>
      <c r="D135" t="s">
        <v>10</v>
      </c>
      <c r="E135">
        <v>3000000</v>
      </c>
      <c r="F135">
        <v>4000000</v>
      </c>
      <c r="G135">
        <v>19000000</v>
      </c>
      <c r="H135">
        <v>15000000</v>
      </c>
      <c r="I135">
        <v>7000000</v>
      </c>
      <c r="J135">
        <v>7000000</v>
      </c>
      <c r="K135">
        <v>14000000</v>
      </c>
      <c r="L135">
        <v>14000000</v>
      </c>
      <c r="M135">
        <v>4000000</v>
      </c>
      <c r="N135">
        <v>10000000</v>
      </c>
      <c r="O135">
        <v>23000000</v>
      </c>
      <c r="P135">
        <v>17000000</v>
      </c>
      <c r="Q135">
        <v>14000000</v>
      </c>
      <c r="R135">
        <v>44000000</v>
      </c>
      <c r="S135">
        <v>1000000</v>
      </c>
      <c r="T135">
        <v>37000000</v>
      </c>
      <c r="U135">
        <v>21000000</v>
      </c>
      <c r="V135">
        <v>134000000</v>
      </c>
      <c r="W135">
        <v>26000000</v>
      </c>
      <c r="Y135">
        <v>35000000</v>
      </c>
      <c r="Z135">
        <v>54000000</v>
      </c>
      <c r="AA135">
        <v>1000000</v>
      </c>
      <c r="AB135">
        <v>94000000</v>
      </c>
      <c r="AC135">
        <v>26000000</v>
      </c>
      <c r="AD135">
        <v>59000000</v>
      </c>
      <c r="AF135">
        <v>29000000</v>
      </c>
      <c r="AG135">
        <v>18000000</v>
      </c>
      <c r="AI135">
        <v>8000000</v>
      </c>
      <c r="AP135">
        <v>43000000</v>
      </c>
      <c r="AQ135">
        <v>22000000</v>
      </c>
      <c r="AR135">
        <v>30000000</v>
      </c>
      <c r="AS135">
        <v>7000000</v>
      </c>
      <c r="AV135">
        <v>0</v>
      </c>
      <c r="AX135">
        <v>4000000</v>
      </c>
      <c r="BA135">
        <v>7000000</v>
      </c>
      <c r="BB135">
        <v>26000000</v>
      </c>
      <c r="BD135">
        <v>15000000</v>
      </c>
      <c r="BE135">
        <v>19000000</v>
      </c>
      <c r="BF135">
        <v>19000000</v>
      </c>
      <c r="BH135">
        <v>7000000</v>
      </c>
      <c r="BJ135">
        <v>2000000</v>
      </c>
      <c r="BK135">
        <v>136000000</v>
      </c>
      <c r="BL135">
        <v>27000000</v>
      </c>
      <c r="BM135">
        <v>17000000</v>
      </c>
      <c r="BN135">
        <v>3000000</v>
      </c>
      <c r="BP135">
        <v>3000000</v>
      </c>
      <c r="BQ135">
        <v>7000000</v>
      </c>
    </row>
    <row r="136" spans="1:70">
      <c r="A136" t="s">
        <v>269</v>
      </c>
      <c r="B136" t="s">
        <v>270</v>
      </c>
      <c r="C136" t="s">
        <v>9</v>
      </c>
      <c r="D136" t="s">
        <v>10</v>
      </c>
      <c r="F136">
        <v>5000000</v>
      </c>
      <c r="G136">
        <v>13000000</v>
      </c>
      <c r="H136">
        <v>18000000</v>
      </c>
      <c r="J136">
        <v>34000000</v>
      </c>
      <c r="K136">
        <v>72000000</v>
      </c>
      <c r="L136">
        <v>80000000</v>
      </c>
      <c r="M136">
        <v>1000000</v>
      </c>
      <c r="P136">
        <v>10000000</v>
      </c>
      <c r="Q136">
        <v>52000000</v>
      </c>
      <c r="R136">
        <v>55000000</v>
      </c>
      <c r="S136">
        <v>41000000</v>
      </c>
      <c r="T136">
        <v>11000000</v>
      </c>
      <c r="U136">
        <v>4000000</v>
      </c>
      <c r="V136">
        <v>8000000</v>
      </c>
      <c r="W136">
        <v>2000000</v>
      </c>
      <c r="X136">
        <v>19000000</v>
      </c>
      <c r="Y136">
        <v>37000000</v>
      </c>
      <c r="Z136">
        <v>9000000</v>
      </c>
      <c r="AA136">
        <v>36000000</v>
      </c>
      <c r="AB136">
        <v>93000000</v>
      </c>
      <c r="AC136">
        <v>206000000</v>
      </c>
      <c r="AD136">
        <v>71000000</v>
      </c>
      <c r="AK136">
        <v>40000000</v>
      </c>
      <c r="AL136">
        <v>40000000</v>
      </c>
      <c r="AM136">
        <v>18000000</v>
      </c>
      <c r="AN136">
        <v>42000000</v>
      </c>
      <c r="AO136">
        <v>27000000</v>
      </c>
      <c r="AP136">
        <v>9000000</v>
      </c>
      <c r="AQ136">
        <v>8000000</v>
      </c>
      <c r="AR136">
        <v>4000000</v>
      </c>
      <c r="AS136">
        <v>4000000</v>
      </c>
      <c r="AX136">
        <v>1000000</v>
      </c>
      <c r="AZ136">
        <v>5000000</v>
      </c>
      <c r="BA136">
        <v>1000000</v>
      </c>
      <c r="BB136">
        <v>52000000</v>
      </c>
      <c r="BC136">
        <v>64000000</v>
      </c>
      <c r="BD136">
        <v>1000000</v>
      </c>
      <c r="BE136">
        <v>31000000</v>
      </c>
      <c r="BF136">
        <v>27000000</v>
      </c>
      <c r="BG136">
        <v>6000000</v>
      </c>
      <c r="BH136">
        <v>48000000</v>
      </c>
      <c r="BI136">
        <v>28000000</v>
      </c>
      <c r="BJ136">
        <v>48000000</v>
      </c>
      <c r="BK136">
        <v>53000000</v>
      </c>
      <c r="BL136">
        <v>56000000</v>
      </c>
      <c r="BM136">
        <v>45000000</v>
      </c>
      <c r="BN136">
        <v>43000000</v>
      </c>
      <c r="BO136">
        <v>30000000</v>
      </c>
      <c r="BP136">
        <v>14000000</v>
      </c>
      <c r="BQ136">
        <v>9000000</v>
      </c>
    </row>
    <row r="137" spans="1:70">
      <c r="A137" t="s">
        <v>271</v>
      </c>
      <c r="B137" t="s">
        <v>272</v>
      </c>
      <c r="C137" t="s">
        <v>9</v>
      </c>
      <c r="D137" t="s">
        <v>10</v>
      </c>
      <c r="I137">
        <v>2000000</v>
      </c>
      <c r="L137">
        <v>18000000</v>
      </c>
      <c r="N137">
        <v>1000000</v>
      </c>
      <c r="P137">
        <v>1000000</v>
      </c>
      <c r="Q137">
        <v>1000000</v>
      </c>
      <c r="U137">
        <v>2000000</v>
      </c>
      <c r="W137">
        <v>1000000</v>
      </c>
      <c r="AC137">
        <v>1000000</v>
      </c>
      <c r="AE137">
        <v>3000000</v>
      </c>
      <c r="AF137">
        <v>9000000</v>
      </c>
      <c r="AH137">
        <v>12000000</v>
      </c>
      <c r="AI137">
        <v>3000000</v>
      </c>
      <c r="AR137">
        <v>1000000</v>
      </c>
      <c r="AS137">
        <v>9000000</v>
      </c>
      <c r="BL137">
        <v>1000000</v>
      </c>
      <c r="BP137">
        <v>14000000</v>
      </c>
      <c r="BR137">
        <v>0</v>
      </c>
    </row>
    <row r="138" spans="1:70">
      <c r="A138" t="s">
        <v>273</v>
      </c>
      <c r="B138" t="s">
        <v>274</v>
      </c>
      <c r="C138" t="s">
        <v>9</v>
      </c>
      <c r="D138" t="s">
        <v>10</v>
      </c>
      <c r="E138">
        <v>14000000</v>
      </c>
      <c r="F138">
        <v>17000000</v>
      </c>
      <c r="G138">
        <v>2000000</v>
      </c>
      <c r="H138">
        <v>3000000</v>
      </c>
      <c r="I138">
        <v>15000000</v>
      </c>
      <c r="J138">
        <v>9000000</v>
      </c>
      <c r="K138">
        <v>26000000</v>
      </c>
      <c r="L138">
        <v>12000000</v>
      </c>
      <c r="M138">
        <v>57000000</v>
      </c>
      <c r="N138">
        <v>152000000</v>
      </c>
      <c r="O138">
        <v>371000000</v>
      </c>
      <c r="P138">
        <v>540000000</v>
      </c>
      <c r="Q138">
        <v>534000000</v>
      </c>
      <c r="R138">
        <v>733000000</v>
      </c>
      <c r="S138">
        <v>1767000000</v>
      </c>
      <c r="T138">
        <v>1647000000</v>
      </c>
      <c r="U138">
        <v>1848000000</v>
      </c>
      <c r="V138">
        <v>3054000000</v>
      </c>
      <c r="W138">
        <v>4222000000</v>
      </c>
      <c r="X138">
        <v>3067000000</v>
      </c>
      <c r="Y138">
        <v>2951000000</v>
      </c>
      <c r="Z138">
        <v>3155000000</v>
      </c>
      <c r="AA138">
        <v>2752000000</v>
      </c>
      <c r="AB138">
        <v>1422000000</v>
      </c>
      <c r="AC138">
        <v>730000000</v>
      </c>
      <c r="AD138">
        <v>746000000</v>
      </c>
      <c r="AE138">
        <v>401000000</v>
      </c>
      <c r="AF138">
        <v>184000000</v>
      </c>
      <c r="AG138">
        <v>9000000</v>
      </c>
      <c r="AH138">
        <v>218000000</v>
      </c>
      <c r="AI138">
        <v>11000000</v>
      </c>
      <c r="AR138">
        <v>6000000</v>
      </c>
      <c r="AX138">
        <v>1000000</v>
      </c>
      <c r="AY138">
        <v>16000000</v>
      </c>
      <c r="AZ138">
        <v>16000000</v>
      </c>
      <c r="BA138">
        <v>16000000</v>
      </c>
      <c r="BB138">
        <v>22000000</v>
      </c>
      <c r="BC138">
        <v>37000000</v>
      </c>
      <c r="BD138">
        <v>8000000</v>
      </c>
      <c r="BE138">
        <v>75000000</v>
      </c>
      <c r="BF138">
        <v>119000000</v>
      </c>
      <c r="BI138">
        <v>2000000</v>
      </c>
      <c r="BL138">
        <v>34000000</v>
      </c>
      <c r="BM138">
        <v>0</v>
      </c>
      <c r="BP138">
        <v>34000000</v>
      </c>
      <c r="BQ138">
        <v>5000000</v>
      </c>
    </row>
    <row r="139" spans="1:70">
      <c r="A139" t="s">
        <v>275</v>
      </c>
      <c r="B139" t="s">
        <v>276</v>
      </c>
      <c r="C139" t="s">
        <v>9</v>
      </c>
      <c r="D139" t="s">
        <v>10</v>
      </c>
    </row>
    <row r="140" spans="1:70">
      <c r="A140" t="s">
        <v>277</v>
      </c>
      <c r="B140" t="s">
        <v>278</v>
      </c>
      <c r="C140" t="s">
        <v>9</v>
      </c>
      <c r="D140" t="s">
        <v>10</v>
      </c>
      <c r="E140">
        <v>1219000000</v>
      </c>
      <c r="F140">
        <v>1230000000</v>
      </c>
      <c r="G140">
        <v>1761000000</v>
      </c>
      <c r="H140">
        <v>746000000</v>
      </c>
      <c r="I140">
        <v>436000000</v>
      </c>
      <c r="J140">
        <v>490000000</v>
      </c>
      <c r="K140">
        <v>679000000</v>
      </c>
      <c r="M140">
        <v>1193000000</v>
      </c>
      <c r="N140">
        <v>784000000</v>
      </c>
      <c r="O140">
        <v>892000000</v>
      </c>
      <c r="P140">
        <v>1435000000</v>
      </c>
      <c r="Q140">
        <v>2089000000</v>
      </c>
      <c r="R140">
        <v>2823000000</v>
      </c>
      <c r="S140">
        <v>2376000000</v>
      </c>
      <c r="T140">
        <v>2635000000</v>
      </c>
      <c r="U140">
        <v>2786000000</v>
      </c>
      <c r="V140">
        <v>3277000000</v>
      </c>
      <c r="W140">
        <v>3192000000</v>
      </c>
      <c r="X140">
        <v>2347000000</v>
      </c>
      <c r="Y140">
        <v>2847000000</v>
      </c>
      <c r="Z140">
        <v>4334000000</v>
      </c>
      <c r="AA140">
        <v>3625000000</v>
      </c>
      <c r="AB140">
        <v>3787000000</v>
      </c>
      <c r="AC140">
        <v>3669000000</v>
      </c>
      <c r="AD140">
        <v>2028000000</v>
      </c>
      <c r="AE140">
        <v>1563000000</v>
      </c>
      <c r="AF140">
        <v>1725000000</v>
      </c>
      <c r="AG140">
        <v>1177000000</v>
      </c>
      <c r="AH140">
        <v>1557000000</v>
      </c>
      <c r="AI140">
        <v>1095000000</v>
      </c>
      <c r="AJ140">
        <v>1198000000</v>
      </c>
      <c r="AK140">
        <v>620000000</v>
      </c>
      <c r="AL140">
        <v>528000000</v>
      </c>
      <c r="AM140">
        <v>996000000</v>
      </c>
      <c r="AN140">
        <v>843000000</v>
      </c>
      <c r="AO140">
        <v>1075000000</v>
      </c>
      <c r="AP140">
        <v>2083000000</v>
      </c>
      <c r="AQ140">
        <v>767000000</v>
      </c>
      <c r="AR140">
        <v>1229000000</v>
      </c>
      <c r="AS140">
        <v>1025000000</v>
      </c>
      <c r="AT140">
        <v>1231000000</v>
      </c>
      <c r="AU140">
        <v>679000000</v>
      </c>
      <c r="AV140">
        <v>535000000</v>
      </c>
      <c r="AW140">
        <v>754000000</v>
      </c>
      <c r="AX140">
        <v>1195000000</v>
      </c>
      <c r="AY140">
        <v>2063000000</v>
      </c>
      <c r="BA140">
        <v>1666000000</v>
      </c>
      <c r="BB140">
        <v>1360000000</v>
      </c>
      <c r="BC140">
        <v>1558000000</v>
      </c>
      <c r="BD140">
        <v>1743000000</v>
      </c>
      <c r="BE140">
        <v>1666000000</v>
      </c>
      <c r="BF140">
        <v>1576000000</v>
      </c>
      <c r="BG140">
        <v>1128000000</v>
      </c>
      <c r="BH140">
        <v>1384000000</v>
      </c>
      <c r="BI140">
        <v>1020000000</v>
      </c>
      <c r="BJ140">
        <v>583000000</v>
      </c>
      <c r="BK140">
        <v>542000000</v>
      </c>
      <c r="BM140">
        <v>999000000</v>
      </c>
      <c r="BN140">
        <v>591000000</v>
      </c>
      <c r="BP140">
        <v>393000000</v>
      </c>
      <c r="BQ140">
        <v>648000000</v>
      </c>
      <c r="BR140">
        <v>782000000</v>
      </c>
    </row>
    <row r="141" spans="1:70">
      <c r="A141" t="s">
        <v>279</v>
      </c>
      <c r="B141" t="s">
        <v>280</v>
      </c>
      <c r="C141" t="s">
        <v>9</v>
      </c>
      <c r="D141" t="s">
        <v>10</v>
      </c>
      <c r="E141">
        <v>136000000</v>
      </c>
      <c r="F141">
        <v>134000000</v>
      </c>
      <c r="G141">
        <v>193000000</v>
      </c>
      <c r="H141">
        <v>192000000</v>
      </c>
      <c r="I141">
        <v>257000000</v>
      </c>
      <c r="J141">
        <v>285000000</v>
      </c>
      <c r="K141">
        <v>511000000</v>
      </c>
      <c r="L141">
        <v>459000000</v>
      </c>
      <c r="M141">
        <v>261000000</v>
      </c>
      <c r="N141">
        <v>526000000</v>
      </c>
      <c r="O141">
        <v>914000000</v>
      </c>
      <c r="R141">
        <v>657000000</v>
      </c>
      <c r="S141">
        <v>797000000</v>
      </c>
      <c r="V141">
        <v>1983000000</v>
      </c>
      <c r="W141">
        <v>2457000000</v>
      </c>
      <c r="X141">
        <v>1555000000</v>
      </c>
      <c r="Y141">
        <v>1753000000</v>
      </c>
      <c r="Z141">
        <v>2191000000</v>
      </c>
      <c r="AA141">
        <v>1840000000</v>
      </c>
      <c r="AB141">
        <v>1763000000</v>
      </c>
      <c r="AC141">
        <v>1541000000</v>
      </c>
      <c r="AD141">
        <v>1452000000</v>
      </c>
      <c r="AE141">
        <v>1622000000</v>
      </c>
      <c r="AH141">
        <v>2670000000</v>
      </c>
      <c r="AU141">
        <v>1153000000</v>
      </c>
      <c r="AV141">
        <v>690000000</v>
      </c>
      <c r="AX141">
        <v>894000000</v>
      </c>
      <c r="AY141">
        <v>731000000</v>
      </c>
      <c r="AZ141">
        <v>614000000</v>
      </c>
      <c r="BA141">
        <v>639000000</v>
      </c>
      <c r="BE141">
        <v>2037000000</v>
      </c>
      <c r="BF141">
        <v>1884000000</v>
      </c>
      <c r="BG141">
        <v>962000000</v>
      </c>
      <c r="BH141">
        <v>1426000000</v>
      </c>
      <c r="BI141">
        <v>1533000000</v>
      </c>
      <c r="BJ141">
        <v>1192000000</v>
      </c>
      <c r="BK141">
        <v>1271000000</v>
      </c>
      <c r="BL141">
        <v>1874000000</v>
      </c>
      <c r="BM141">
        <v>820000000</v>
      </c>
      <c r="BN141">
        <v>691000000</v>
      </c>
      <c r="BO141">
        <v>1038000000</v>
      </c>
      <c r="BP141">
        <v>778000000</v>
      </c>
      <c r="BQ141">
        <v>756000000</v>
      </c>
      <c r="BR141">
        <v>504000000</v>
      </c>
    </row>
    <row r="142" spans="1:70">
      <c r="A142" t="s">
        <v>281</v>
      </c>
      <c r="B142" t="s">
        <v>282</v>
      </c>
      <c r="C142" t="s">
        <v>9</v>
      </c>
      <c r="D142" t="s">
        <v>10</v>
      </c>
      <c r="E142">
        <v>527000000</v>
      </c>
      <c r="F142">
        <v>194000000</v>
      </c>
      <c r="G142">
        <v>369000000</v>
      </c>
      <c r="H142">
        <v>418000000</v>
      </c>
      <c r="I142">
        <v>405000000</v>
      </c>
      <c r="J142">
        <v>393000000</v>
      </c>
      <c r="K142">
        <v>1772000000</v>
      </c>
      <c r="L142">
        <v>2154000000</v>
      </c>
      <c r="M142">
        <v>2371000000</v>
      </c>
      <c r="N142">
        <v>1906000000</v>
      </c>
      <c r="O142">
        <v>2351000000</v>
      </c>
      <c r="P142">
        <v>2606000000</v>
      </c>
      <c r="Q142">
        <v>2181000000</v>
      </c>
      <c r="R142">
        <v>4065000000</v>
      </c>
      <c r="S142">
        <v>4682000000</v>
      </c>
      <c r="T142">
        <v>2952000000</v>
      </c>
      <c r="V142">
        <v>2700000000</v>
      </c>
      <c r="W142">
        <v>3169000000</v>
      </c>
      <c r="X142">
        <v>3335000000</v>
      </c>
      <c r="Y142">
        <v>3602000000</v>
      </c>
      <c r="Z142">
        <v>3074000000</v>
      </c>
      <c r="AA142">
        <v>3748000000</v>
      </c>
      <c r="AB142">
        <v>3487000000</v>
      </c>
      <c r="AC142">
        <v>2841000000</v>
      </c>
      <c r="AD142">
        <v>3187000000</v>
      </c>
      <c r="AE142">
        <v>3017000000</v>
      </c>
      <c r="AF142">
        <v>3238000000</v>
      </c>
      <c r="AG142">
        <v>3338000000</v>
      </c>
      <c r="AH142">
        <v>3220000000</v>
      </c>
      <c r="AI142">
        <v>2841000000</v>
      </c>
      <c r="AP142">
        <v>301000000</v>
      </c>
      <c r="AQ142">
        <v>617000000</v>
      </c>
      <c r="AR142">
        <v>503000000</v>
      </c>
      <c r="AS142">
        <v>530000000</v>
      </c>
      <c r="AU142">
        <v>856000000</v>
      </c>
      <c r="AV142">
        <v>563000000</v>
      </c>
      <c r="AW142">
        <v>935000000</v>
      </c>
      <c r="AX142">
        <v>657000000</v>
      </c>
      <c r="AY142">
        <v>325000000</v>
      </c>
      <c r="BA142">
        <v>827000000</v>
      </c>
      <c r="BB142">
        <v>833000000</v>
      </c>
      <c r="BC142">
        <v>1541000000</v>
      </c>
      <c r="BD142">
        <v>1990000000</v>
      </c>
      <c r="BE142">
        <v>1657000000</v>
      </c>
      <c r="BF142">
        <v>1226000000</v>
      </c>
      <c r="BG142">
        <v>577000000</v>
      </c>
      <c r="BH142">
        <v>411000000</v>
      </c>
      <c r="BI142">
        <v>496000000</v>
      </c>
      <c r="BK142">
        <v>649000000</v>
      </c>
      <c r="BL142">
        <v>670000000</v>
      </c>
      <c r="BM142">
        <v>504000000</v>
      </c>
      <c r="BO142">
        <v>283000000</v>
      </c>
      <c r="BP142">
        <v>304000000</v>
      </c>
      <c r="BQ142">
        <v>221000000</v>
      </c>
      <c r="BR142">
        <v>294000000</v>
      </c>
    </row>
    <row r="143" spans="1:70">
      <c r="A143" t="s">
        <v>283</v>
      </c>
      <c r="B143" t="s">
        <v>284</v>
      </c>
      <c r="C143" t="s">
        <v>9</v>
      </c>
      <c r="D143" t="s">
        <v>10</v>
      </c>
    </row>
    <row r="144" spans="1:70">
      <c r="A144" t="s">
        <v>285</v>
      </c>
      <c r="B144" t="s">
        <v>286</v>
      </c>
      <c r="C144" t="s">
        <v>9</v>
      </c>
      <c r="D144" t="s">
        <v>10</v>
      </c>
      <c r="E144">
        <v>4000000</v>
      </c>
      <c r="I144">
        <v>0</v>
      </c>
      <c r="N144">
        <v>2000000</v>
      </c>
      <c r="P144">
        <v>33000000</v>
      </c>
      <c r="Q144">
        <v>47000000</v>
      </c>
      <c r="T144">
        <v>1000000</v>
      </c>
      <c r="U144">
        <v>0</v>
      </c>
      <c r="V144">
        <v>17000000</v>
      </c>
      <c r="W144">
        <v>7000000</v>
      </c>
      <c r="Y144">
        <v>18000000</v>
      </c>
      <c r="AC144">
        <v>48000000</v>
      </c>
      <c r="AD144">
        <v>42000000</v>
      </c>
      <c r="AE144">
        <v>28000000</v>
      </c>
      <c r="AF144">
        <v>111000000</v>
      </c>
      <c r="AG144">
        <v>19000000</v>
      </c>
      <c r="AH144">
        <v>6000000</v>
      </c>
      <c r="AI144">
        <v>19000000</v>
      </c>
      <c r="AJ144">
        <v>168000000</v>
      </c>
      <c r="AK144">
        <v>22000000</v>
      </c>
      <c r="AL144">
        <v>37000000</v>
      </c>
      <c r="AM144">
        <v>77000000</v>
      </c>
      <c r="AN144">
        <v>63000000</v>
      </c>
      <c r="AO144">
        <v>196000000</v>
      </c>
      <c r="AP144">
        <v>59000000</v>
      </c>
      <c r="AQ144">
        <v>83000000</v>
      </c>
      <c r="AR144">
        <v>62000000</v>
      </c>
      <c r="AS144">
        <v>294000000</v>
      </c>
      <c r="AT144">
        <v>154000000</v>
      </c>
      <c r="AU144">
        <v>43000000</v>
      </c>
      <c r="AV144">
        <v>34000000</v>
      </c>
      <c r="AW144">
        <v>38000000</v>
      </c>
      <c r="AX144">
        <v>63000000</v>
      </c>
      <c r="AY144">
        <v>96000000</v>
      </c>
      <c r="AZ144">
        <v>91000000</v>
      </c>
      <c r="BA144">
        <v>79000000</v>
      </c>
      <c r="BB144">
        <v>21000000</v>
      </c>
      <c r="BC144">
        <v>5000000</v>
      </c>
      <c r="BD144">
        <v>21000000</v>
      </c>
      <c r="BF144">
        <v>22000000</v>
      </c>
      <c r="BG144">
        <v>5000000</v>
      </c>
      <c r="BJ144">
        <v>45000000</v>
      </c>
      <c r="BK144">
        <v>100000000</v>
      </c>
      <c r="BL144">
        <v>59000000</v>
      </c>
      <c r="BN144">
        <v>54000000</v>
      </c>
      <c r="BO144">
        <v>3000000</v>
      </c>
      <c r="BP144">
        <v>5000000</v>
      </c>
      <c r="BQ144">
        <v>9000000</v>
      </c>
      <c r="BR144">
        <v>11000000</v>
      </c>
    </row>
    <row r="145" spans="1:70">
      <c r="A145" t="s">
        <v>287</v>
      </c>
      <c r="B145" t="s">
        <v>288</v>
      </c>
      <c r="C145" t="s">
        <v>9</v>
      </c>
      <c r="D145" t="s">
        <v>10</v>
      </c>
      <c r="E145">
        <v>972000000</v>
      </c>
      <c r="F145">
        <v>1973000000</v>
      </c>
      <c r="G145">
        <v>1416000000</v>
      </c>
      <c r="H145">
        <v>1844000000</v>
      </c>
      <c r="I145">
        <v>1904000000</v>
      </c>
      <c r="J145">
        <v>2570000000</v>
      </c>
      <c r="K145">
        <v>3704000000</v>
      </c>
      <c r="L145">
        <v>4111000000</v>
      </c>
      <c r="M145">
        <v>3321000000</v>
      </c>
      <c r="N145">
        <v>3414000000</v>
      </c>
      <c r="O145">
        <v>3626000000</v>
      </c>
      <c r="P145">
        <v>5139000000</v>
      </c>
      <c r="Q145">
        <v>6621000000</v>
      </c>
      <c r="R145">
        <v>5266000000</v>
      </c>
      <c r="S145">
        <v>3608000000</v>
      </c>
      <c r="T145">
        <v>3876000000</v>
      </c>
      <c r="U145">
        <v>3549000000</v>
      </c>
      <c r="V145">
        <v>4576000000</v>
      </c>
      <c r="W145">
        <v>3489000000</v>
      </c>
      <c r="X145">
        <v>4290000000</v>
      </c>
      <c r="Y145">
        <v>5916000000</v>
      </c>
      <c r="Z145">
        <v>7089000000</v>
      </c>
      <c r="AA145">
        <v>8673000000</v>
      </c>
      <c r="AB145">
        <v>7018000000</v>
      </c>
      <c r="AC145">
        <v>6820000000</v>
      </c>
      <c r="AD145">
        <v>7232000000</v>
      </c>
      <c r="AE145">
        <v>7704000000</v>
      </c>
      <c r="AF145">
        <v>8153000000</v>
      </c>
      <c r="AG145">
        <v>6464000000</v>
      </c>
      <c r="AH145">
        <v>6153000000</v>
      </c>
      <c r="AI145">
        <v>5280000000</v>
      </c>
      <c r="AJ145">
        <v>4136000000</v>
      </c>
      <c r="AK145">
        <v>3029000000</v>
      </c>
      <c r="AL145">
        <v>3731000000</v>
      </c>
      <c r="AM145">
        <v>4491000000</v>
      </c>
      <c r="AN145">
        <v>3936000000</v>
      </c>
      <c r="AO145">
        <v>2772000000</v>
      </c>
      <c r="AP145">
        <v>4193000000</v>
      </c>
      <c r="AQ145">
        <v>2372000000</v>
      </c>
      <c r="AR145">
        <v>3526000000</v>
      </c>
      <c r="AS145">
        <v>2790000000</v>
      </c>
      <c r="AT145">
        <v>3078000000</v>
      </c>
      <c r="AU145">
        <v>3888000000</v>
      </c>
      <c r="AV145">
        <v>4502000000</v>
      </c>
      <c r="AW145">
        <v>3774000000</v>
      </c>
      <c r="AX145">
        <v>3063000000</v>
      </c>
      <c r="AY145">
        <v>3585000000</v>
      </c>
      <c r="AZ145">
        <v>4916000000</v>
      </c>
      <c r="BA145">
        <v>4037000000</v>
      </c>
      <c r="BB145">
        <v>4050000000</v>
      </c>
      <c r="BC145">
        <v>7026000000</v>
      </c>
      <c r="BD145">
        <v>8479000000</v>
      </c>
      <c r="BE145">
        <v>8764000000</v>
      </c>
      <c r="BF145">
        <v>9715000000</v>
      </c>
      <c r="BG145">
        <v>6297000000</v>
      </c>
      <c r="BH145">
        <v>6593000000</v>
      </c>
      <c r="BI145">
        <v>7018000000</v>
      </c>
      <c r="BJ145">
        <v>7718000000</v>
      </c>
      <c r="BK145">
        <v>6251000000</v>
      </c>
      <c r="BL145">
        <v>6593000000</v>
      </c>
      <c r="BM145">
        <v>5536000000</v>
      </c>
      <c r="BN145">
        <v>7032000000</v>
      </c>
      <c r="BO145">
        <v>6456000000</v>
      </c>
      <c r="BP145">
        <v>6288000000</v>
      </c>
      <c r="BQ145">
        <v>3800000000</v>
      </c>
      <c r="BR145">
        <v>5142000000</v>
      </c>
    </row>
    <row r="146" spans="1:70">
      <c r="A146" t="s">
        <v>289</v>
      </c>
      <c r="B146" t="s">
        <v>290</v>
      </c>
      <c r="C146" t="s">
        <v>9</v>
      </c>
      <c r="D146" t="s">
        <v>10</v>
      </c>
      <c r="E146">
        <v>6367000000</v>
      </c>
      <c r="G146">
        <v>6138000000</v>
      </c>
      <c r="H146">
        <v>5435000000</v>
      </c>
      <c r="I146">
        <v>6185000000</v>
      </c>
      <c r="J146">
        <v>7232000000</v>
      </c>
      <c r="K146">
        <v>10294000000</v>
      </c>
      <c r="L146">
        <v>11133000000</v>
      </c>
      <c r="M146">
        <v>10721000000</v>
      </c>
      <c r="N146">
        <v>10119000000</v>
      </c>
      <c r="O146">
        <v>11073000000</v>
      </c>
      <c r="P146">
        <v>15219000000</v>
      </c>
      <c r="Q146">
        <v>16645000000</v>
      </c>
      <c r="R146">
        <v>19557000000</v>
      </c>
      <c r="S146">
        <v>19161000000</v>
      </c>
      <c r="T146">
        <v>19334000000</v>
      </c>
      <c r="U146">
        <v>17536000000</v>
      </c>
      <c r="V146">
        <v>22825000000</v>
      </c>
      <c r="W146">
        <v>23442000000</v>
      </c>
      <c r="X146">
        <v>20254000000</v>
      </c>
      <c r="Y146">
        <v>22158000000</v>
      </c>
      <c r="Z146">
        <v>24482000000</v>
      </c>
      <c r="AA146">
        <v>25525000000</v>
      </c>
      <c r="AB146">
        <v>23013000000</v>
      </c>
      <c r="AC146">
        <v>22120000000</v>
      </c>
      <c r="AD146">
        <v>19543000000</v>
      </c>
      <c r="AE146">
        <v>18323000000</v>
      </c>
      <c r="AF146">
        <v>20264000000</v>
      </c>
      <c r="AG146">
        <v>16403000000</v>
      </c>
      <c r="AH146">
        <v>14924000000</v>
      </c>
      <c r="AI146">
        <v>12978000000</v>
      </c>
      <c r="AJ146">
        <v>11544000000</v>
      </c>
      <c r="AK146">
        <v>8253000000</v>
      </c>
      <c r="AL146">
        <v>9810000000</v>
      </c>
      <c r="AM146">
        <v>10395000000</v>
      </c>
      <c r="AN146">
        <v>10009000000</v>
      </c>
      <c r="AO146">
        <v>9525000000</v>
      </c>
      <c r="AP146">
        <v>11029000000</v>
      </c>
      <c r="AQ146">
        <v>8009000000</v>
      </c>
      <c r="AR146">
        <v>10724000000</v>
      </c>
      <c r="AS146">
        <v>9343000000</v>
      </c>
      <c r="AT146">
        <v>9801000000</v>
      </c>
      <c r="AU146">
        <v>10404000000</v>
      </c>
      <c r="AV146">
        <v>9585000000</v>
      </c>
      <c r="AW146">
        <v>10380000000</v>
      </c>
      <c r="AX146">
        <v>10443000000</v>
      </c>
      <c r="AY146">
        <v>10705000000</v>
      </c>
      <c r="AZ146">
        <v>12159000000</v>
      </c>
      <c r="BA146">
        <v>11613000000</v>
      </c>
      <c r="BB146">
        <v>11839000000</v>
      </c>
      <c r="BC146">
        <v>13598000000</v>
      </c>
      <c r="BD146">
        <v>17976000000</v>
      </c>
      <c r="BE146">
        <v>18066000000</v>
      </c>
      <c r="BF146">
        <v>16894000000</v>
      </c>
      <c r="BG146">
        <v>15346000000</v>
      </c>
      <c r="BH146">
        <v>15214000000</v>
      </c>
      <c r="BI146">
        <v>18535000000</v>
      </c>
      <c r="BJ146">
        <v>16830000000</v>
      </c>
      <c r="BK146">
        <v>14733000000</v>
      </c>
      <c r="BL146">
        <v>12434000000</v>
      </c>
      <c r="BM146">
        <v>9756000000</v>
      </c>
      <c r="BN146">
        <v>11252000000</v>
      </c>
      <c r="BO146">
        <v>13198000000</v>
      </c>
      <c r="BP146">
        <v>14492000000</v>
      </c>
      <c r="BQ146">
        <v>12659000000</v>
      </c>
      <c r="BR146">
        <v>12758000000</v>
      </c>
    </row>
    <row r="147" spans="1:70">
      <c r="A147" t="s">
        <v>291</v>
      </c>
      <c r="B147" t="s">
        <v>292</v>
      </c>
      <c r="C147" t="s">
        <v>9</v>
      </c>
      <c r="D147" t="s">
        <v>10</v>
      </c>
      <c r="V147">
        <v>1000000</v>
      </c>
      <c r="X147">
        <v>5000000</v>
      </c>
      <c r="Y147">
        <v>3000000</v>
      </c>
      <c r="AB147">
        <v>1000000</v>
      </c>
      <c r="AD147">
        <v>0</v>
      </c>
      <c r="AE147">
        <v>10000000</v>
      </c>
      <c r="AH147">
        <v>8000000</v>
      </c>
      <c r="AJ147">
        <v>4000000</v>
      </c>
      <c r="AQ147">
        <v>5000000</v>
      </c>
      <c r="AT147">
        <v>6000000</v>
      </c>
      <c r="AW147">
        <v>1000000</v>
      </c>
      <c r="AY147">
        <v>1000000</v>
      </c>
      <c r="BJ147">
        <v>1000000</v>
      </c>
      <c r="BK147">
        <v>1000000</v>
      </c>
      <c r="BL147">
        <v>1000000</v>
      </c>
    </row>
    <row r="148" spans="1:70">
      <c r="A148" t="s">
        <v>293</v>
      </c>
      <c r="B148" t="s">
        <v>294</v>
      </c>
      <c r="C148" t="s">
        <v>9</v>
      </c>
      <c r="D148" t="s">
        <v>10</v>
      </c>
      <c r="E148">
        <v>4684000000</v>
      </c>
      <c r="F148">
        <v>2572000000</v>
      </c>
      <c r="G148">
        <v>2087000000</v>
      </c>
      <c r="H148">
        <v>2621000000</v>
      </c>
      <c r="I148">
        <v>3402000000</v>
      </c>
      <c r="J148">
        <v>3524000000</v>
      </c>
      <c r="K148">
        <v>4320000000</v>
      </c>
      <c r="L148">
        <v>4455000000</v>
      </c>
      <c r="M148">
        <v>5247000000</v>
      </c>
      <c r="N148">
        <v>3925000000</v>
      </c>
      <c r="O148">
        <v>4436000000</v>
      </c>
      <c r="P148">
        <v>5662000000</v>
      </c>
      <c r="Q148">
        <v>4630000000</v>
      </c>
      <c r="R148">
        <v>5525000000</v>
      </c>
      <c r="S148">
        <v>4784000000</v>
      </c>
      <c r="T148">
        <v>4766000000</v>
      </c>
      <c r="U148">
        <v>4443000000</v>
      </c>
      <c r="V148">
        <v>4303000000</v>
      </c>
      <c r="W148">
        <v>4908000000</v>
      </c>
      <c r="X148">
        <v>5905000000</v>
      </c>
      <c r="Y148">
        <v>5190000000</v>
      </c>
      <c r="Z148">
        <v>4966000000</v>
      </c>
      <c r="AA148">
        <v>4196000000</v>
      </c>
      <c r="AB148">
        <v>5206000000</v>
      </c>
      <c r="AC148">
        <v>5526000000</v>
      </c>
      <c r="AD148">
        <v>4564000000</v>
      </c>
      <c r="AE148">
        <v>4204000000</v>
      </c>
      <c r="AF148">
        <v>3711000000</v>
      </c>
      <c r="AG148">
        <v>3508000000</v>
      </c>
      <c r="AH148">
        <v>4240000000</v>
      </c>
      <c r="AI148">
        <v>3316000000</v>
      </c>
      <c r="AJ148">
        <v>2968000000</v>
      </c>
      <c r="AK148">
        <v>3792000000</v>
      </c>
      <c r="AL148">
        <v>3577000000</v>
      </c>
      <c r="AM148">
        <v>3235000000</v>
      </c>
      <c r="AN148">
        <v>5439000000</v>
      </c>
      <c r="AO148">
        <v>6385000000</v>
      </c>
      <c r="AP148">
        <v>5718000000</v>
      </c>
      <c r="AQ148">
        <v>2689000000</v>
      </c>
      <c r="AR148">
        <v>5109000000</v>
      </c>
      <c r="AS148">
        <v>5598000000</v>
      </c>
      <c r="AT148">
        <v>5087000000</v>
      </c>
      <c r="AU148">
        <v>4770000000</v>
      </c>
      <c r="AV148">
        <v>4371000000</v>
      </c>
      <c r="AW148">
        <v>5963000000</v>
      </c>
      <c r="AX148">
        <v>8002000000</v>
      </c>
      <c r="AY148">
        <v>7748000000</v>
      </c>
      <c r="AZ148">
        <v>6328000000</v>
      </c>
      <c r="BA148">
        <v>5227000000</v>
      </c>
      <c r="BB148">
        <v>5302000000</v>
      </c>
      <c r="BC148">
        <v>4409000000</v>
      </c>
      <c r="BD148">
        <v>7110000000</v>
      </c>
      <c r="BE148">
        <v>6929000000</v>
      </c>
      <c r="BF148">
        <v>6627000000</v>
      </c>
      <c r="BG148">
        <v>7256000000</v>
      </c>
      <c r="BH148">
        <v>6964000000</v>
      </c>
      <c r="BI148">
        <v>7207000000</v>
      </c>
      <c r="BJ148">
        <v>7042000000</v>
      </c>
      <c r="BK148">
        <v>7869000000</v>
      </c>
      <c r="BL148">
        <v>6578000000</v>
      </c>
      <c r="BM148">
        <v>4443000000</v>
      </c>
      <c r="BN148">
        <v>6850000000</v>
      </c>
      <c r="BO148">
        <v>9161000000</v>
      </c>
      <c r="BP148">
        <v>7682000000</v>
      </c>
      <c r="BQ148">
        <v>7053000000</v>
      </c>
      <c r="BR148">
        <v>7660000000</v>
      </c>
    </row>
    <row r="149" spans="1:70">
      <c r="A149" t="s">
        <v>295</v>
      </c>
      <c r="B149" t="s">
        <v>296</v>
      </c>
      <c r="C149" t="s">
        <v>9</v>
      </c>
      <c r="D149" t="s">
        <v>10</v>
      </c>
      <c r="AK149">
        <v>70000000</v>
      </c>
      <c r="AL149">
        <v>10000000</v>
      </c>
      <c r="AN149">
        <v>5000000</v>
      </c>
      <c r="AO149">
        <v>15000000</v>
      </c>
      <c r="AQ149">
        <v>15000000</v>
      </c>
      <c r="AR149">
        <v>9000000</v>
      </c>
      <c r="AS149">
        <v>6000000</v>
      </c>
      <c r="AT149">
        <v>16000000</v>
      </c>
      <c r="AU149">
        <v>14000000</v>
      </c>
      <c r="AV149">
        <v>1000000</v>
      </c>
      <c r="AW149">
        <v>47000000</v>
      </c>
      <c r="AX149">
        <v>11000000</v>
      </c>
      <c r="AY149">
        <v>53000000</v>
      </c>
      <c r="AZ149">
        <v>4000000</v>
      </c>
      <c r="BA149">
        <v>27000000</v>
      </c>
      <c r="BB149">
        <v>27000000</v>
      </c>
      <c r="BC149">
        <v>8000000</v>
      </c>
      <c r="BF149">
        <v>73000000</v>
      </c>
      <c r="BG149">
        <v>10000000</v>
      </c>
      <c r="BH149">
        <v>14000000</v>
      </c>
      <c r="BI149">
        <v>34000000</v>
      </c>
      <c r="BJ149">
        <v>7000000</v>
      </c>
      <c r="BK149">
        <v>8000000</v>
      </c>
      <c r="BL149">
        <v>38000000</v>
      </c>
      <c r="BM149">
        <v>119000000</v>
      </c>
      <c r="BN149">
        <v>109000000</v>
      </c>
      <c r="BO149">
        <v>75000000</v>
      </c>
      <c r="BP149">
        <v>97000000</v>
      </c>
      <c r="BQ149">
        <v>77000000</v>
      </c>
      <c r="BR149">
        <v>29000000</v>
      </c>
    </row>
    <row r="150" spans="1:70">
      <c r="A150" t="s">
        <v>297</v>
      </c>
      <c r="B150" t="s">
        <v>298</v>
      </c>
      <c r="C150" t="s">
        <v>9</v>
      </c>
      <c r="D150" t="s">
        <v>10</v>
      </c>
      <c r="S150">
        <v>1000000</v>
      </c>
      <c r="AA150">
        <v>1000000</v>
      </c>
      <c r="AO150">
        <v>3000000</v>
      </c>
      <c r="AR150">
        <v>1000000</v>
      </c>
      <c r="AV150">
        <v>1000000</v>
      </c>
      <c r="BB150">
        <v>8000000</v>
      </c>
      <c r="BC150">
        <v>8000000</v>
      </c>
      <c r="BL150">
        <v>3000000</v>
      </c>
      <c r="BM150">
        <v>88000000</v>
      </c>
      <c r="BP150">
        <v>1000000</v>
      </c>
      <c r="BQ150">
        <v>3000000</v>
      </c>
      <c r="BR150">
        <v>11000000</v>
      </c>
    </row>
    <row r="151" spans="1:70">
      <c r="A151" t="s">
        <v>299</v>
      </c>
      <c r="B151" t="s">
        <v>300</v>
      </c>
      <c r="C151" t="s">
        <v>9</v>
      </c>
      <c r="D151" t="s">
        <v>10</v>
      </c>
      <c r="AK151">
        <v>0</v>
      </c>
      <c r="AL151">
        <v>8000000</v>
      </c>
      <c r="AM151">
        <v>12000000</v>
      </c>
      <c r="AN151">
        <v>16000000</v>
      </c>
      <c r="AO151">
        <v>0</v>
      </c>
      <c r="AP151">
        <v>0</v>
      </c>
      <c r="AQ151">
        <v>0</v>
      </c>
      <c r="AR151">
        <v>4000000</v>
      </c>
      <c r="AS151">
        <v>3000000</v>
      </c>
      <c r="AT151">
        <v>14000000</v>
      </c>
      <c r="AU151">
        <v>4000000</v>
      </c>
      <c r="AV151">
        <v>25000000</v>
      </c>
      <c r="AW151">
        <v>13000000</v>
      </c>
      <c r="AX151">
        <v>5000000</v>
      </c>
      <c r="AY151">
        <v>9000000</v>
      </c>
      <c r="AZ151">
        <v>51000000</v>
      </c>
      <c r="BA151">
        <v>46000000</v>
      </c>
      <c r="BB151">
        <v>11000000</v>
      </c>
      <c r="BC151">
        <v>16000000</v>
      </c>
      <c r="BD151">
        <v>27000000</v>
      </c>
      <c r="BE151">
        <v>9000000</v>
      </c>
      <c r="BF151">
        <v>5000000</v>
      </c>
      <c r="BG151">
        <v>5000000</v>
      </c>
      <c r="BH151">
        <v>3000000</v>
      </c>
      <c r="BI151">
        <v>28000000</v>
      </c>
      <c r="BJ151">
        <v>30000000</v>
      </c>
      <c r="BK151">
        <v>21000000</v>
      </c>
      <c r="BL151">
        <v>31000000</v>
      </c>
      <c r="BM151">
        <v>10000000</v>
      </c>
      <c r="BN151">
        <v>15000000</v>
      </c>
      <c r="BO151">
        <v>34000000</v>
      </c>
      <c r="BP151">
        <v>47000000</v>
      </c>
      <c r="BQ151">
        <v>19000000</v>
      </c>
    </row>
    <row r="152" spans="1:70">
      <c r="A152" t="s">
        <v>301</v>
      </c>
      <c r="B152" t="s">
        <v>302</v>
      </c>
      <c r="C152" t="s">
        <v>9</v>
      </c>
      <c r="D152" t="s">
        <v>10</v>
      </c>
    </row>
    <row r="153" spans="1:70">
      <c r="A153" t="s">
        <v>303</v>
      </c>
      <c r="B153" t="s">
        <v>304</v>
      </c>
      <c r="C153" t="s">
        <v>9</v>
      </c>
      <c r="D153" t="s">
        <v>10</v>
      </c>
    </row>
    <row r="154" spans="1:70">
      <c r="A154" t="s">
        <v>305</v>
      </c>
      <c r="B154" t="s">
        <v>306</v>
      </c>
      <c r="C154" t="s">
        <v>9</v>
      </c>
      <c r="D154" t="s">
        <v>10</v>
      </c>
      <c r="E154">
        <v>22000000</v>
      </c>
      <c r="F154">
        <v>37000000</v>
      </c>
      <c r="G154">
        <v>93000000</v>
      </c>
      <c r="H154">
        <v>16000000</v>
      </c>
      <c r="I154">
        <v>16000000</v>
      </c>
      <c r="J154">
        <v>82000000</v>
      </c>
      <c r="K154">
        <v>159000000</v>
      </c>
      <c r="L154">
        <v>149000000</v>
      </c>
      <c r="M154">
        <v>93000000</v>
      </c>
      <c r="N154">
        <v>41000000</v>
      </c>
      <c r="O154">
        <v>80000000</v>
      </c>
      <c r="P154">
        <v>1000000</v>
      </c>
      <c r="R154">
        <v>21000000</v>
      </c>
      <c r="S154">
        <v>198000000</v>
      </c>
      <c r="T154">
        <v>207000000</v>
      </c>
      <c r="U154">
        <v>216000000</v>
      </c>
      <c r="V154">
        <v>408000000</v>
      </c>
      <c r="W154">
        <v>419000000</v>
      </c>
      <c r="X154">
        <v>725000000</v>
      </c>
      <c r="Y154">
        <v>469000000</v>
      </c>
      <c r="Z154">
        <v>800000000</v>
      </c>
      <c r="AA154">
        <v>529000000</v>
      </c>
      <c r="AB154">
        <v>396000000</v>
      </c>
      <c r="AC154">
        <v>74000000</v>
      </c>
      <c r="AD154">
        <v>50000000</v>
      </c>
      <c r="AE154">
        <v>31000000</v>
      </c>
      <c r="AF154">
        <v>32000000</v>
      </c>
      <c r="AG154">
        <v>117000000</v>
      </c>
      <c r="AH154">
        <v>126000000</v>
      </c>
      <c r="AI154">
        <v>137000000</v>
      </c>
      <c r="AJ154">
        <v>62000000</v>
      </c>
      <c r="AK154">
        <v>17000000</v>
      </c>
      <c r="AL154">
        <v>98000000</v>
      </c>
      <c r="AM154">
        <v>117000000</v>
      </c>
      <c r="AN154">
        <v>28000000</v>
      </c>
      <c r="AO154">
        <v>89000000</v>
      </c>
      <c r="AP154">
        <v>220000000</v>
      </c>
      <c r="AR154">
        <v>60000000</v>
      </c>
      <c r="AS154">
        <v>127000000</v>
      </c>
      <c r="AT154">
        <v>11000000</v>
      </c>
      <c r="AU154">
        <v>155000000</v>
      </c>
      <c r="AV154">
        <v>12000000</v>
      </c>
      <c r="AW154">
        <v>14000000</v>
      </c>
      <c r="AX154">
        <v>101000000</v>
      </c>
      <c r="AY154">
        <v>47000000</v>
      </c>
      <c r="AZ154">
        <v>27000000</v>
      </c>
      <c r="BA154">
        <v>46000000</v>
      </c>
      <c r="BB154">
        <v>39000000</v>
      </c>
      <c r="BC154">
        <v>347000000</v>
      </c>
      <c r="BD154">
        <v>1289000000</v>
      </c>
      <c r="BE154">
        <v>1052000000</v>
      </c>
      <c r="BF154">
        <v>62000000</v>
      </c>
      <c r="BG154">
        <v>572000000</v>
      </c>
      <c r="BH154">
        <v>47000000</v>
      </c>
      <c r="BI154">
        <v>287000000</v>
      </c>
      <c r="BJ154">
        <v>605000000</v>
      </c>
      <c r="BK154">
        <v>462000000</v>
      </c>
      <c r="BL154">
        <v>48000000</v>
      </c>
      <c r="BM154">
        <v>16000000</v>
      </c>
      <c r="BN154">
        <v>53000000</v>
      </c>
      <c r="BO154">
        <v>507000000</v>
      </c>
      <c r="BP154">
        <v>501000000</v>
      </c>
      <c r="BQ154">
        <v>130000000</v>
      </c>
      <c r="BR154">
        <v>392000000</v>
      </c>
    </row>
    <row r="155" spans="1:70">
      <c r="A155" t="s">
        <v>307</v>
      </c>
      <c r="B155" t="s">
        <v>308</v>
      </c>
      <c r="C155" t="s">
        <v>9</v>
      </c>
      <c r="D155" t="s">
        <v>10</v>
      </c>
    </row>
    <row r="156" spans="1:70">
      <c r="A156" t="s">
        <v>309</v>
      </c>
      <c r="B156" t="s">
        <v>310</v>
      </c>
      <c r="C156" t="s">
        <v>9</v>
      </c>
      <c r="D156" t="s">
        <v>10</v>
      </c>
      <c r="AK156">
        <v>8000000</v>
      </c>
      <c r="AM156">
        <v>3000000</v>
      </c>
      <c r="AN156">
        <v>11000000</v>
      </c>
      <c r="BP156">
        <v>13000000</v>
      </c>
      <c r="BQ156">
        <v>4000000</v>
      </c>
      <c r="BR156">
        <v>5000000</v>
      </c>
    </row>
    <row r="157" spans="1:70">
      <c r="A157" t="s">
        <v>311</v>
      </c>
      <c r="B157" t="s">
        <v>312</v>
      </c>
      <c r="C157" t="s">
        <v>9</v>
      </c>
      <c r="D157" t="s">
        <v>10</v>
      </c>
      <c r="F157">
        <v>3000000</v>
      </c>
      <c r="H157">
        <v>1000000</v>
      </c>
      <c r="I157">
        <v>0</v>
      </c>
      <c r="J157">
        <v>8000000</v>
      </c>
      <c r="L157">
        <v>12000000</v>
      </c>
      <c r="M157">
        <v>1000000</v>
      </c>
      <c r="N157">
        <v>1000000</v>
      </c>
      <c r="P157">
        <v>0</v>
      </c>
      <c r="Q157">
        <v>0</v>
      </c>
      <c r="S157">
        <v>17000000</v>
      </c>
      <c r="T157">
        <v>6000000</v>
      </c>
      <c r="X157">
        <v>64000000</v>
      </c>
      <c r="Y157">
        <v>43000000</v>
      </c>
      <c r="Z157">
        <v>1000000</v>
      </c>
      <c r="AB157">
        <v>8000000</v>
      </c>
      <c r="AD157">
        <v>6000000</v>
      </c>
      <c r="AO157">
        <v>21000000</v>
      </c>
      <c r="BK157">
        <v>2000000</v>
      </c>
      <c r="BL157">
        <v>1000000</v>
      </c>
      <c r="BM157">
        <v>1000000</v>
      </c>
      <c r="BR157">
        <v>3000000</v>
      </c>
    </row>
    <row r="158" spans="1:70">
      <c r="A158" t="s">
        <v>313</v>
      </c>
      <c r="B158" t="s">
        <v>314</v>
      </c>
      <c r="C158" t="s">
        <v>9</v>
      </c>
      <c r="D158" t="s">
        <v>10</v>
      </c>
      <c r="AK158">
        <v>2000000</v>
      </c>
      <c r="AP158">
        <v>0</v>
      </c>
      <c r="AQ158">
        <v>8000000</v>
      </c>
      <c r="AY158">
        <v>15000000</v>
      </c>
      <c r="BC158">
        <v>5000000</v>
      </c>
      <c r="BF158">
        <v>5000000</v>
      </c>
      <c r="BL158">
        <v>2000000</v>
      </c>
      <c r="BM158">
        <v>3000000</v>
      </c>
      <c r="BN158">
        <v>2000000</v>
      </c>
      <c r="BQ158">
        <v>7000000</v>
      </c>
      <c r="BR158">
        <v>11000000</v>
      </c>
    </row>
    <row r="159" spans="1:70">
      <c r="A159" t="s">
        <v>315</v>
      </c>
      <c r="B159" t="s">
        <v>316</v>
      </c>
      <c r="C159" t="s">
        <v>9</v>
      </c>
      <c r="D159" t="s">
        <v>10</v>
      </c>
      <c r="E159">
        <v>952000000</v>
      </c>
      <c r="F159">
        <v>1070000000</v>
      </c>
      <c r="G159">
        <v>1777000000</v>
      </c>
      <c r="H159">
        <v>1948000000</v>
      </c>
      <c r="I159">
        <v>2254000000</v>
      </c>
      <c r="J159">
        <v>3213000000</v>
      </c>
      <c r="K159">
        <v>5288000000</v>
      </c>
      <c r="L159">
        <v>5799000000</v>
      </c>
      <c r="M159">
        <v>5746000000</v>
      </c>
      <c r="N159">
        <v>6619000000</v>
      </c>
      <c r="O159">
        <v>6574000000</v>
      </c>
      <c r="P159">
        <v>7870000000</v>
      </c>
      <c r="Q159">
        <v>9482000000</v>
      </c>
      <c r="R159">
        <v>13511000000</v>
      </c>
      <c r="S159">
        <v>12987000000</v>
      </c>
      <c r="T159">
        <v>12983000000</v>
      </c>
      <c r="U159">
        <v>12960000000</v>
      </c>
      <c r="V159">
        <v>16645000000</v>
      </c>
      <c r="W159">
        <v>16933000000</v>
      </c>
      <c r="X159">
        <v>13596000000</v>
      </c>
      <c r="Y159">
        <v>14884000000</v>
      </c>
      <c r="Z159">
        <v>16535000000</v>
      </c>
      <c r="AA159">
        <v>18816000000</v>
      </c>
      <c r="AB159">
        <v>15706000000</v>
      </c>
      <c r="AC159">
        <v>14588000000</v>
      </c>
      <c r="AD159">
        <v>12353000000</v>
      </c>
      <c r="AE159">
        <v>12732000000</v>
      </c>
      <c r="AF159">
        <v>12943000000</v>
      </c>
      <c r="AG159">
        <v>7852000000</v>
      </c>
      <c r="AH159">
        <v>8798000000</v>
      </c>
      <c r="AI159">
        <v>9228000000</v>
      </c>
      <c r="AJ159">
        <v>8284000000</v>
      </c>
      <c r="AK159">
        <v>5852000000</v>
      </c>
      <c r="AL159">
        <v>7954000000</v>
      </c>
      <c r="AM159">
        <v>6252000000</v>
      </c>
      <c r="AN159">
        <v>5801000000</v>
      </c>
      <c r="AO159">
        <v>6522000000</v>
      </c>
      <c r="AP159">
        <v>6951000000</v>
      </c>
      <c r="AQ159">
        <v>7300000000</v>
      </c>
      <c r="AR159">
        <v>5894000000</v>
      </c>
      <c r="AS159">
        <v>3694000000</v>
      </c>
      <c r="AT159">
        <v>3053000000</v>
      </c>
      <c r="AU159">
        <v>4213000000</v>
      </c>
      <c r="AV159">
        <v>3284000000</v>
      </c>
      <c r="AW159">
        <v>5220000000</v>
      </c>
      <c r="AX159">
        <v>6018000000</v>
      </c>
      <c r="AY159">
        <v>5956000000</v>
      </c>
      <c r="AZ159">
        <v>5077000000</v>
      </c>
      <c r="BA159">
        <v>5991000000</v>
      </c>
      <c r="BB159">
        <v>5801000000</v>
      </c>
      <c r="BC159">
        <v>7993000000</v>
      </c>
      <c r="BD159">
        <v>9174000000</v>
      </c>
      <c r="BE159">
        <v>7629000000</v>
      </c>
      <c r="BF159">
        <v>8566000000</v>
      </c>
      <c r="BG159">
        <v>9328000000</v>
      </c>
      <c r="BH159">
        <v>11969000000</v>
      </c>
      <c r="BI159">
        <v>14748000000</v>
      </c>
      <c r="BJ159">
        <v>13379000000</v>
      </c>
      <c r="BK159">
        <v>11314000000</v>
      </c>
      <c r="BL159">
        <v>9610000000</v>
      </c>
      <c r="BM159">
        <v>7708000000</v>
      </c>
      <c r="BN159">
        <v>9570000000</v>
      </c>
      <c r="BO159">
        <v>13228000000</v>
      </c>
      <c r="BP159">
        <v>10357000000</v>
      </c>
      <c r="BQ159">
        <v>6772000000</v>
      </c>
      <c r="BR159">
        <v>7809000000</v>
      </c>
    </row>
    <row r="160" spans="1:70">
      <c r="A160" t="s">
        <v>317</v>
      </c>
      <c r="B160" t="s">
        <v>318</v>
      </c>
      <c r="C160" t="s">
        <v>9</v>
      </c>
      <c r="D160" t="s">
        <v>10</v>
      </c>
      <c r="E160">
        <v>20000000</v>
      </c>
      <c r="F160">
        <v>30000000</v>
      </c>
      <c r="G160">
        <v>109000000</v>
      </c>
      <c r="H160">
        <v>60000000</v>
      </c>
      <c r="I160">
        <v>38000000</v>
      </c>
      <c r="J160">
        <v>12000000</v>
      </c>
      <c r="K160">
        <v>22000000</v>
      </c>
      <c r="L160">
        <v>15000000</v>
      </c>
      <c r="O160">
        <v>82000000</v>
      </c>
      <c r="P160">
        <v>48000000</v>
      </c>
      <c r="Q160">
        <v>15000000</v>
      </c>
      <c r="R160">
        <v>158000000</v>
      </c>
      <c r="S160">
        <v>61000000</v>
      </c>
      <c r="T160">
        <v>104000000</v>
      </c>
      <c r="U160">
        <v>69000000</v>
      </c>
      <c r="V160">
        <v>39000000</v>
      </c>
      <c r="W160">
        <v>74000000</v>
      </c>
      <c r="X160">
        <v>68000000</v>
      </c>
      <c r="Y160">
        <v>75000000</v>
      </c>
      <c r="Z160">
        <v>115000000</v>
      </c>
      <c r="AA160">
        <v>343000000</v>
      </c>
      <c r="AB160">
        <v>116000000</v>
      </c>
      <c r="AD160">
        <v>8000000</v>
      </c>
      <c r="AE160">
        <v>137000000</v>
      </c>
      <c r="AF160">
        <v>154000000</v>
      </c>
      <c r="AG160">
        <v>103000000</v>
      </c>
      <c r="AH160">
        <v>63000000</v>
      </c>
      <c r="AI160">
        <v>32000000</v>
      </c>
      <c r="AJ160">
        <v>40000000</v>
      </c>
      <c r="AK160">
        <v>19000000</v>
      </c>
      <c r="AL160">
        <v>160000000</v>
      </c>
      <c r="AM160">
        <v>136000000</v>
      </c>
      <c r="AN160">
        <v>55000000</v>
      </c>
      <c r="AO160">
        <v>92000000</v>
      </c>
      <c r="AP160">
        <v>495000000</v>
      </c>
      <c r="AQ160">
        <v>19000000</v>
      </c>
      <c r="AR160">
        <v>136000000</v>
      </c>
      <c r="AS160">
        <v>215000000</v>
      </c>
      <c r="AT160">
        <v>149000000</v>
      </c>
      <c r="AU160">
        <v>97000000</v>
      </c>
      <c r="AV160">
        <v>20000000</v>
      </c>
      <c r="AW160">
        <v>321000000</v>
      </c>
      <c r="AX160">
        <v>40000000</v>
      </c>
      <c r="AY160">
        <v>78000000</v>
      </c>
      <c r="BA160">
        <v>23000000</v>
      </c>
      <c r="BB160">
        <v>59000000</v>
      </c>
      <c r="BC160">
        <v>109000000</v>
      </c>
      <c r="BD160">
        <v>225000000</v>
      </c>
      <c r="BE160">
        <v>260000000</v>
      </c>
      <c r="BF160">
        <v>52000000</v>
      </c>
      <c r="BG160">
        <v>89000000</v>
      </c>
      <c r="BH160">
        <v>324000000</v>
      </c>
      <c r="BI160">
        <v>328000000</v>
      </c>
      <c r="BJ160">
        <v>215000000</v>
      </c>
      <c r="BK160">
        <v>16000000</v>
      </c>
      <c r="BM160">
        <v>277000000</v>
      </c>
      <c r="BN160">
        <v>3000000</v>
      </c>
      <c r="BP160">
        <v>4000000</v>
      </c>
      <c r="BQ160">
        <v>46000000</v>
      </c>
      <c r="BR160">
        <v>9000000</v>
      </c>
    </row>
    <row r="161" spans="1:70">
      <c r="A161" t="s">
        <v>319</v>
      </c>
      <c r="B161" t="s">
        <v>320</v>
      </c>
      <c r="C161" t="s">
        <v>9</v>
      </c>
      <c r="D161" t="s">
        <v>10</v>
      </c>
      <c r="AG161">
        <v>2000000</v>
      </c>
      <c r="AJ161">
        <v>6000000</v>
      </c>
    </row>
    <row r="162" spans="1:70">
      <c r="A162" t="s">
        <v>321</v>
      </c>
      <c r="B162" t="s">
        <v>322</v>
      </c>
      <c r="C162" t="s">
        <v>9</v>
      </c>
      <c r="D162" t="s">
        <v>10</v>
      </c>
      <c r="E162">
        <v>5840000000</v>
      </c>
      <c r="G162">
        <v>5769000000</v>
      </c>
      <c r="H162">
        <v>5017000000</v>
      </c>
      <c r="I162">
        <v>5780000000</v>
      </c>
      <c r="J162">
        <v>6839000000</v>
      </c>
      <c r="K162">
        <v>8522000000</v>
      </c>
      <c r="L162">
        <v>8979000000</v>
      </c>
      <c r="M162">
        <v>8350000000</v>
      </c>
      <c r="N162">
        <v>8213000000</v>
      </c>
      <c r="O162">
        <v>8722000000</v>
      </c>
      <c r="P162">
        <v>12613000000</v>
      </c>
      <c r="Q162">
        <v>14464000000</v>
      </c>
      <c r="R162">
        <v>15492000000</v>
      </c>
      <c r="S162">
        <v>14479000000</v>
      </c>
      <c r="T162">
        <v>16382000000</v>
      </c>
      <c r="U162">
        <v>15668000000</v>
      </c>
      <c r="V162">
        <v>20125000000</v>
      </c>
      <c r="W162">
        <v>20273000000</v>
      </c>
      <c r="X162">
        <v>16919000000</v>
      </c>
      <c r="Y162">
        <v>18556000000</v>
      </c>
      <c r="Z162">
        <v>21408000000</v>
      </c>
      <c r="AA162">
        <v>21777000000</v>
      </c>
      <c r="AB162">
        <v>19526000000</v>
      </c>
      <c r="AC162">
        <v>19279000000</v>
      </c>
      <c r="AD162">
        <v>16356000000</v>
      </c>
      <c r="AE162">
        <v>15306000000</v>
      </c>
      <c r="AF162">
        <v>17026000000</v>
      </c>
      <c r="AG162">
        <v>13065000000</v>
      </c>
      <c r="AH162">
        <v>11704000000</v>
      </c>
      <c r="AI162">
        <v>10137000000</v>
      </c>
      <c r="AJ162">
        <v>9474000000</v>
      </c>
      <c r="AK162">
        <v>7778000000</v>
      </c>
      <c r="AL162">
        <v>9465000000</v>
      </c>
      <c r="AM162">
        <v>10264000000</v>
      </c>
      <c r="AN162">
        <v>9576000000</v>
      </c>
      <c r="AO162">
        <v>9229000000</v>
      </c>
      <c r="AP162">
        <v>10728000000</v>
      </c>
      <c r="AQ162">
        <v>7392000000</v>
      </c>
      <c r="AR162">
        <v>10221000000</v>
      </c>
      <c r="AS162">
        <v>8813000000</v>
      </c>
      <c r="AT162">
        <v>9444000000</v>
      </c>
      <c r="AU162">
        <v>9548000000</v>
      </c>
      <c r="AV162">
        <v>9022000000</v>
      </c>
      <c r="AW162">
        <v>9445000000</v>
      </c>
      <c r="AX162">
        <v>9786000000</v>
      </c>
      <c r="AY162">
        <v>10380000000</v>
      </c>
      <c r="AZ162">
        <v>11872000000</v>
      </c>
      <c r="BA162">
        <v>10786000000</v>
      </c>
      <c r="BB162">
        <v>11006000000</v>
      </c>
      <c r="BC162">
        <v>12057000000</v>
      </c>
      <c r="BD162">
        <v>15986000000</v>
      </c>
      <c r="BE162">
        <v>16409000000</v>
      </c>
      <c r="BF162">
        <v>15668000000</v>
      </c>
      <c r="BG162">
        <v>14769000000</v>
      </c>
      <c r="BH162">
        <v>14803000000</v>
      </c>
      <c r="BI162">
        <v>18039000000</v>
      </c>
      <c r="BJ162">
        <v>16345000000</v>
      </c>
      <c r="BK162">
        <v>14084000000</v>
      </c>
      <c r="BL162">
        <v>11764000000</v>
      </c>
      <c r="BM162">
        <v>9252000000</v>
      </c>
      <c r="BN162">
        <v>10890000000</v>
      </c>
      <c r="BO162">
        <v>12915000000</v>
      </c>
      <c r="BP162">
        <v>14188000000</v>
      </c>
      <c r="BQ162">
        <v>12438000000</v>
      </c>
      <c r="BR162">
        <v>12464000000</v>
      </c>
    </row>
    <row r="163" spans="1:70">
      <c r="A163" t="s">
        <v>323</v>
      </c>
      <c r="B163" t="s">
        <v>324</v>
      </c>
      <c r="C163" t="s">
        <v>9</v>
      </c>
      <c r="D163" t="s">
        <v>10</v>
      </c>
      <c r="AM163">
        <v>29000000</v>
      </c>
      <c r="AN163">
        <v>0</v>
      </c>
      <c r="AQ163">
        <v>11000000</v>
      </c>
      <c r="AR163">
        <v>81000000</v>
      </c>
      <c r="AS163">
        <v>17000000</v>
      </c>
      <c r="AT163">
        <v>118000000</v>
      </c>
      <c r="AY163">
        <v>0</v>
      </c>
      <c r="BB163">
        <v>6000000</v>
      </c>
      <c r="BE163">
        <v>0</v>
      </c>
      <c r="BF163">
        <v>1000000</v>
      </c>
      <c r="BI163">
        <v>0</v>
      </c>
      <c r="BO163">
        <v>1000000</v>
      </c>
      <c r="BP163">
        <v>5000000</v>
      </c>
      <c r="BQ163">
        <v>1000000</v>
      </c>
      <c r="BR163">
        <v>9000000</v>
      </c>
    </row>
    <row r="164" spans="1:70">
      <c r="A164" t="s">
        <v>325</v>
      </c>
      <c r="B164" t="s">
        <v>326</v>
      </c>
      <c r="C164" t="s">
        <v>9</v>
      </c>
      <c r="D164" t="s">
        <v>10</v>
      </c>
      <c r="F164">
        <v>3000000</v>
      </c>
      <c r="G164">
        <v>10000000</v>
      </c>
      <c r="H164">
        <v>4000000</v>
      </c>
      <c r="K164">
        <v>1000000</v>
      </c>
      <c r="L164">
        <v>12000000</v>
      </c>
      <c r="N164">
        <v>2000000</v>
      </c>
      <c r="P164">
        <v>15000000</v>
      </c>
      <c r="T164">
        <v>11000000</v>
      </c>
      <c r="U164">
        <v>89000000</v>
      </c>
      <c r="Z164">
        <v>91000000</v>
      </c>
      <c r="AA164">
        <v>4000000</v>
      </c>
      <c r="AB164">
        <v>15000000</v>
      </c>
      <c r="AC164">
        <v>13000000</v>
      </c>
      <c r="AD164">
        <v>0</v>
      </c>
      <c r="AG164">
        <v>2000000</v>
      </c>
      <c r="AI164">
        <v>1000000</v>
      </c>
      <c r="AM164">
        <v>0</v>
      </c>
      <c r="AP164">
        <v>9000000</v>
      </c>
      <c r="AQ164">
        <v>4000000</v>
      </c>
      <c r="AS164">
        <v>7000000</v>
      </c>
      <c r="AU164">
        <v>1000000</v>
      </c>
      <c r="AV164">
        <v>3000000</v>
      </c>
      <c r="AX164">
        <v>13000000</v>
      </c>
      <c r="AZ164">
        <v>8000000</v>
      </c>
      <c r="BA164">
        <v>3000000</v>
      </c>
      <c r="BB164">
        <v>10000000</v>
      </c>
      <c r="BD164">
        <v>0</v>
      </c>
      <c r="BE164">
        <v>9000000</v>
      </c>
      <c r="BF164">
        <v>7000000</v>
      </c>
      <c r="BG164">
        <v>1000000</v>
      </c>
      <c r="BI164">
        <v>22000000</v>
      </c>
      <c r="BJ164">
        <v>32000000</v>
      </c>
      <c r="BK164">
        <v>27000000</v>
      </c>
      <c r="BL164">
        <v>20000000</v>
      </c>
      <c r="BM164">
        <v>49000000</v>
      </c>
      <c r="BN164">
        <v>39000000</v>
      </c>
      <c r="BO164">
        <v>62000000</v>
      </c>
      <c r="BP164">
        <v>82000000</v>
      </c>
      <c r="BQ164">
        <v>25000000</v>
      </c>
      <c r="BR164">
        <v>64000000</v>
      </c>
    </row>
    <row r="165" spans="1:70">
      <c r="A165" t="s">
        <v>327</v>
      </c>
      <c r="B165" t="s">
        <v>328</v>
      </c>
      <c r="C165" t="s">
        <v>9</v>
      </c>
      <c r="D165" t="s">
        <v>10</v>
      </c>
      <c r="Q165">
        <v>0</v>
      </c>
      <c r="R165">
        <v>0</v>
      </c>
      <c r="W165">
        <v>8000000</v>
      </c>
      <c r="Y165">
        <v>1000000</v>
      </c>
      <c r="AK165">
        <v>13000000</v>
      </c>
      <c r="AN165">
        <v>0</v>
      </c>
      <c r="AO165">
        <v>1000000</v>
      </c>
      <c r="AP165">
        <v>6000000</v>
      </c>
      <c r="AQ165">
        <v>0</v>
      </c>
      <c r="AS165">
        <v>0</v>
      </c>
      <c r="AT165">
        <v>0</v>
      </c>
      <c r="AU165">
        <v>4000000</v>
      </c>
      <c r="AW165">
        <v>4000000</v>
      </c>
      <c r="AX165">
        <v>18000000</v>
      </c>
      <c r="BD165">
        <v>8000000</v>
      </c>
      <c r="BE165">
        <v>8000000</v>
      </c>
      <c r="BG165">
        <v>12000000</v>
      </c>
      <c r="BH165">
        <v>10000000</v>
      </c>
      <c r="BI165">
        <v>6000000</v>
      </c>
      <c r="BJ165">
        <v>8000000</v>
      </c>
      <c r="BP165">
        <v>45000000</v>
      </c>
    </row>
    <row r="166" spans="1:70">
      <c r="A166" t="s">
        <v>329</v>
      </c>
      <c r="B166" t="s">
        <v>330</v>
      </c>
      <c r="C166" t="s">
        <v>9</v>
      </c>
      <c r="D166" t="s">
        <v>10</v>
      </c>
      <c r="E166">
        <v>6000000</v>
      </c>
      <c r="F166">
        <v>17000000</v>
      </c>
      <c r="G166">
        <v>14000000</v>
      </c>
      <c r="H166">
        <v>28000000</v>
      </c>
      <c r="I166">
        <v>18000000</v>
      </c>
      <c r="J166">
        <v>19000000</v>
      </c>
      <c r="K166">
        <v>3000000</v>
      </c>
      <c r="L166">
        <v>14000000</v>
      </c>
      <c r="M166">
        <v>6000000</v>
      </c>
      <c r="N166">
        <v>22000000</v>
      </c>
      <c r="O166">
        <v>4000000</v>
      </c>
      <c r="P166">
        <v>28000000</v>
      </c>
      <c r="Q166">
        <v>4000000</v>
      </c>
      <c r="T166">
        <v>53000000</v>
      </c>
      <c r="U166">
        <v>10000000</v>
      </c>
      <c r="V166">
        <v>9000000</v>
      </c>
      <c r="W166">
        <v>25000000</v>
      </c>
      <c r="X166">
        <v>19000000</v>
      </c>
      <c r="Y166">
        <v>40000000</v>
      </c>
      <c r="AA166">
        <v>38000000</v>
      </c>
      <c r="AE166">
        <v>9000000</v>
      </c>
      <c r="AH166">
        <v>34000000</v>
      </c>
      <c r="AI166">
        <v>278000000</v>
      </c>
      <c r="AJ166">
        <v>239000000</v>
      </c>
      <c r="AK166">
        <v>31000000</v>
      </c>
      <c r="AL166">
        <v>331000000</v>
      </c>
      <c r="AM166">
        <v>97000000</v>
      </c>
      <c r="AN166">
        <v>224000000</v>
      </c>
      <c r="AO166">
        <v>115000000</v>
      </c>
      <c r="AP166">
        <v>231000000</v>
      </c>
      <c r="AQ166">
        <v>156000000</v>
      </c>
      <c r="AR166">
        <v>141000000</v>
      </c>
      <c r="AS166">
        <v>16000000</v>
      </c>
      <c r="AT166">
        <v>153000000</v>
      </c>
      <c r="AU166">
        <v>156000000</v>
      </c>
      <c r="AV166">
        <v>100000000</v>
      </c>
      <c r="AW166">
        <v>192000000</v>
      </c>
      <c r="AX166">
        <v>179000000</v>
      </c>
      <c r="AY166">
        <v>206000000</v>
      </c>
      <c r="AZ166">
        <v>153000000</v>
      </c>
      <c r="BA166">
        <v>80000000</v>
      </c>
      <c r="BB166">
        <v>65000000</v>
      </c>
      <c r="BC166">
        <v>62000000</v>
      </c>
      <c r="BD166">
        <v>668000000</v>
      </c>
      <c r="BE166">
        <v>398000000</v>
      </c>
      <c r="BF166">
        <v>252000000</v>
      </c>
      <c r="BG166">
        <v>112000000</v>
      </c>
      <c r="BH166">
        <v>258000000</v>
      </c>
      <c r="BI166">
        <v>284000000</v>
      </c>
      <c r="BJ166">
        <v>210000000</v>
      </c>
      <c r="BK166">
        <v>203000000</v>
      </c>
      <c r="BL166">
        <v>206000000</v>
      </c>
      <c r="BM166">
        <v>217000000</v>
      </c>
      <c r="BN166">
        <v>67000000</v>
      </c>
      <c r="BO166">
        <v>229000000</v>
      </c>
      <c r="BP166">
        <v>132000000</v>
      </c>
      <c r="BQ166">
        <v>222000000</v>
      </c>
      <c r="BR166">
        <v>70000000</v>
      </c>
    </row>
    <row r="167" spans="1:70">
      <c r="A167" t="s">
        <v>331</v>
      </c>
      <c r="B167" t="s">
        <v>332</v>
      </c>
      <c r="C167" t="s">
        <v>9</v>
      </c>
      <c r="D167" t="s">
        <v>10</v>
      </c>
      <c r="E167">
        <v>737000000</v>
      </c>
      <c r="F167">
        <v>970000000</v>
      </c>
      <c r="G167">
        <v>1466000000</v>
      </c>
      <c r="H167">
        <v>1574000000</v>
      </c>
      <c r="I167">
        <v>1777000000</v>
      </c>
      <c r="J167">
        <v>2694000000</v>
      </c>
      <c r="K167">
        <v>4588000000</v>
      </c>
      <c r="L167">
        <v>5341000000</v>
      </c>
      <c r="M167">
        <v>4248000000</v>
      </c>
      <c r="N167">
        <v>4661000000</v>
      </c>
      <c r="O167">
        <v>5140000000</v>
      </c>
      <c r="P167">
        <v>6236000000</v>
      </c>
      <c r="Q167">
        <v>8313000000</v>
      </c>
      <c r="R167">
        <v>10964000000</v>
      </c>
      <c r="S167">
        <v>11235000000</v>
      </c>
      <c r="T167">
        <v>10986000000</v>
      </c>
      <c r="U167">
        <v>9573000000</v>
      </c>
      <c r="V167">
        <v>13297000000</v>
      </c>
      <c r="W167">
        <v>13844000000</v>
      </c>
      <c r="X167">
        <v>11791000000</v>
      </c>
      <c r="Y167">
        <v>12206000000</v>
      </c>
      <c r="Z167">
        <v>12463000000</v>
      </c>
      <c r="AA167">
        <v>15047000000</v>
      </c>
      <c r="AB167">
        <v>12181000000</v>
      </c>
      <c r="AC167">
        <v>12141000000</v>
      </c>
      <c r="AD167">
        <v>9835000000</v>
      </c>
      <c r="AE167">
        <v>8229000000</v>
      </c>
      <c r="AF167">
        <v>9262000000</v>
      </c>
      <c r="AG167">
        <v>6190000000</v>
      </c>
      <c r="AH167">
        <v>6404000000</v>
      </c>
      <c r="AI167">
        <v>5794000000</v>
      </c>
      <c r="AJ167">
        <v>5198000000</v>
      </c>
      <c r="AK167">
        <v>2139000000</v>
      </c>
      <c r="AL167">
        <v>3543000000</v>
      </c>
      <c r="AM167">
        <v>3735000000</v>
      </c>
      <c r="AN167">
        <v>3013000000</v>
      </c>
      <c r="AO167">
        <v>2459000000</v>
      </c>
      <c r="AP167">
        <v>2323000000</v>
      </c>
      <c r="AQ167">
        <v>1974000000</v>
      </c>
      <c r="AR167">
        <v>2338000000</v>
      </c>
      <c r="AS167">
        <v>2308000000</v>
      </c>
      <c r="AT167">
        <v>2565000000</v>
      </c>
      <c r="AU167">
        <v>2963000000</v>
      </c>
      <c r="AV167">
        <v>2181000000</v>
      </c>
      <c r="AX167">
        <v>2403000000</v>
      </c>
      <c r="AY167">
        <v>2334000000</v>
      </c>
      <c r="AZ167">
        <v>2835000000</v>
      </c>
      <c r="BA167">
        <v>4094000000</v>
      </c>
      <c r="BB167">
        <v>3818000000</v>
      </c>
      <c r="BC167">
        <v>5912000000</v>
      </c>
      <c r="BD167">
        <v>6356000000</v>
      </c>
      <c r="BE167">
        <v>4993000000</v>
      </c>
      <c r="BF167">
        <v>3680000000</v>
      </c>
      <c r="BG167">
        <v>3838000000</v>
      </c>
      <c r="BH167">
        <v>5124000000</v>
      </c>
      <c r="BI167">
        <v>8495000000</v>
      </c>
      <c r="BJ167">
        <v>6863000000</v>
      </c>
      <c r="BK167">
        <v>5651000000</v>
      </c>
      <c r="BL167">
        <v>2917000000</v>
      </c>
      <c r="BM167">
        <v>3167000000</v>
      </c>
      <c r="BN167">
        <v>2747000000</v>
      </c>
      <c r="BO167">
        <v>3418000000</v>
      </c>
      <c r="BP167">
        <v>4404000000</v>
      </c>
      <c r="BQ167">
        <v>1779000000</v>
      </c>
      <c r="BR167">
        <v>1967000000</v>
      </c>
    </row>
    <row r="168" spans="1:70">
      <c r="A168" t="s">
        <v>333</v>
      </c>
      <c r="B168" t="s">
        <v>334</v>
      </c>
      <c r="C168" t="s">
        <v>9</v>
      </c>
      <c r="D168" t="s">
        <v>10</v>
      </c>
      <c r="BH168">
        <v>1000000</v>
      </c>
      <c r="BI168">
        <v>0</v>
      </c>
      <c r="BK168">
        <v>15000000</v>
      </c>
      <c r="BM168">
        <v>5000000</v>
      </c>
      <c r="BN168">
        <v>1000000</v>
      </c>
      <c r="BO168">
        <v>2000000</v>
      </c>
      <c r="BQ168">
        <v>6000000</v>
      </c>
      <c r="BR168">
        <v>1000000</v>
      </c>
    </row>
    <row r="169" spans="1:70">
      <c r="A169" t="s">
        <v>335</v>
      </c>
      <c r="B169" t="s">
        <v>336</v>
      </c>
      <c r="C169" t="s">
        <v>9</v>
      </c>
      <c r="D169" t="s">
        <v>10</v>
      </c>
      <c r="E169">
        <v>10000000</v>
      </c>
      <c r="F169">
        <v>66000000</v>
      </c>
      <c r="G169">
        <v>90000000</v>
      </c>
      <c r="H169">
        <v>86000000</v>
      </c>
      <c r="I169">
        <v>120000000</v>
      </c>
      <c r="J169">
        <v>137000000</v>
      </c>
      <c r="K169">
        <v>116000000</v>
      </c>
      <c r="L169">
        <v>63000000</v>
      </c>
      <c r="M169">
        <v>15000000</v>
      </c>
      <c r="N169">
        <v>22000000</v>
      </c>
      <c r="O169">
        <v>15000000</v>
      </c>
      <c r="P169">
        <v>13000000</v>
      </c>
      <c r="Q169">
        <v>8000000</v>
      </c>
      <c r="R169">
        <v>58000000</v>
      </c>
      <c r="S169">
        <v>76000000</v>
      </c>
      <c r="T169">
        <v>195000000</v>
      </c>
      <c r="U169">
        <v>31000000</v>
      </c>
      <c r="V169">
        <v>30000000</v>
      </c>
      <c r="W169">
        <v>47000000</v>
      </c>
      <c r="X169">
        <v>29000000</v>
      </c>
      <c r="Y169">
        <v>60000000</v>
      </c>
      <c r="Z169">
        <v>72000000</v>
      </c>
      <c r="AA169">
        <v>156000000</v>
      </c>
      <c r="AB169">
        <v>118000000</v>
      </c>
      <c r="AC169">
        <v>114000000</v>
      </c>
      <c r="AD169">
        <v>98000000</v>
      </c>
      <c r="AE169">
        <v>27000000</v>
      </c>
      <c r="AF169">
        <v>36000000</v>
      </c>
      <c r="AG169">
        <v>27000000</v>
      </c>
      <c r="BA169">
        <v>15000000</v>
      </c>
      <c r="BC169">
        <v>64000000</v>
      </c>
      <c r="BD169">
        <v>3000000</v>
      </c>
      <c r="BE169">
        <v>78000000</v>
      </c>
      <c r="BH169">
        <v>73000000</v>
      </c>
      <c r="BL169">
        <v>17000000</v>
      </c>
      <c r="BN169">
        <v>25000000</v>
      </c>
      <c r="BO169">
        <v>3000000</v>
      </c>
    </row>
    <row r="170" spans="1:70">
      <c r="A170" t="s">
        <v>337</v>
      </c>
      <c r="B170" t="s">
        <v>338</v>
      </c>
      <c r="C170" t="s">
        <v>9</v>
      </c>
      <c r="D170" t="s">
        <v>10</v>
      </c>
    </row>
    <row r="171" spans="1:70">
      <c r="A171" t="s">
        <v>339</v>
      </c>
      <c r="B171" t="s">
        <v>340</v>
      </c>
      <c r="C171" t="s">
        <v>9</v>
      </c>
      <c r="D171" t="s">
        <v>10</v>
      </c>
      <c r="T171">
        <v>28000000</v>
      </c>
      <c r="U171">
        <v>34000000</v>
      </c>
      <c r="V171">
        <v>152000000</v>
      </c>
      <c r="W171">
        <v>494000000</v>
      </c>
      <c r="X171">
        <v>111000000</v>
      </c>
      <c r="Y171">
        <v>52000000</v>
      </c>
      <c r="Z171">
        <v>60000000</v>
      </c>
      <c r="AA171">
        <v>64000000</v>
      </c>
      <c r="AB171">
        <v>59000000</v>
      </c>
      <c r="AC171">
        <v>94000000</v>
      </c>
      <c r="AD171">
        <v>73000000</v>
      </c>
      <c r="AE171">
        <v>6000000</v>
      </c>
      <c r="AR171">
        <v>2000000</v>
      </c>
      <c r="AV171">
        <v>1000000</v>
      </c>
      <c r="BD171">
        <v>0</v>
      </c>
      <c r="BE171">
        <v>0</v>
      </c>
      <c r="BF171">
        <v>9000000</v>
      </c>
      <c r="BG171">
        <v>16000000</v>
      </c>
      <c r="BH171">
        <v>5000000</v>
      </c>
      <c r="BI171">
        <v>46000000</v>
      </c>
      <c r="BK171">
        <v>3000000</v>
      </c>
      <c r="BL171">
        <v>22000000</v>
      </c>
      <c r="BM171">
        <v>1000000</v>
      </c>
      <c r="BN171">
        <v>19000000</v>
      </c>
      <c r="BO171">
        <v>5000000</v>
      </c>
      <c r="BP171">
        <v>3000000</v>
      </c>
      <c r="BQ171">
        <v>1000000</v>
      </c>
      <c r="BR171">
        <v>14000000</v>
      </c>
    </row>
    <row r="172" spans="1:70">
      <c r="A172" t="s">
        <v>341</v>
      </c>
      <c r="B172" t="s">
        <v>342</v>
      </c>
      <c r="C172" t="s">
        <v>9</v>
      </c>
      <c r="D172" t="s">
        <v>10</v>
      </c>
      <c r="E172">
        <v>2000000</v>
      </c>
      <c r="F172">
        <v>1000000</v>
      </c>
      <c r="G172">
        <v>1000000</v>
      </c>
      <c r="H172">
        <v>6000000</v>
      </c>
      <c r="I172">
        <v>1000000</v>
      </c>
      <c r="J172">
        <v>1000000</v>
      </c>
      <c r="O172">
        <v>21000000</v>
      </c>
      <c r="P172">
        <v>13000000</v>
      </c>
      <c r="R172">
        <v>1000000</v>
      </c>
      <c r="S172">
        <v>5000000</v>
      </c>
      <c r="T172">
        <v>5000000</v>
      </c>
      <c r="U172">
        <v>15000000</v>
      </c>
      <c r="V172">
        <v>29000000</v>
      </c>
      <c r="W172">
        <v>17000000</v>
      </c>
      <c r="X172">
        <v>24000000</v>
      </c>
      <c r="Z172">
        <v>19000000</v>
      </c>
      <c r="AA172">
        <v>16000000</v>
      </c>
      <c r="AC172">
        <v>0</v>
      </c>
      <c r="AD172">
        <v>3000000</v>
      </c>
      <c r="AH172">
        <v>8000000</v>
      </c>
      <c r="AI172">
        <v>16000000</v>
      </c>
      <c r="AJ172">
        <v>18000000</v>
      </c>
      <c r="AM172">
        <v>16000000</v>
      </c>
      <c r="AN172">
        <v>3000000</v>
      </c>
      <c r="AO172">
        <v>3000000</v>
      </c>
      <c r="AP172">
        <v>8000000</v>
      </c>
      <c r="AQ172">
        <v>4000000</v>
      </c>
      <c r="AS172">
        <v>31000000</v>
      </c>
      <c r="AU172">
        <v>27000000</v>
      </c>
      <c r="AV172">
        <v>7000000</v>
      </c>
      <c r="BC172">
        <v>17000000</v>
      </c>
      <c r="BD172">
        <v>5000000</v>
      </c>
      <c r="BE172">
        <v>11000000</v>
      </c>
      <c r="BG172">
        <v>8000000</v>
      </c>
      <c r="BH172">
        <v>1000000</v>
      </c>
      <c r="BI172">
        <v>35000000</v>
      </c>
      <c r="BK172">
        <v>1000000</v>
      </c>
      <c r="BL172">
        <v>34000000</v>
      </c>
      <c r="BN172">
        <v>6000000</v>
      </c>
      <c r="BP172">
        <v>2000000</v>
      </c>
      <c r="BQ172">
        <v>126000000</v>
      </c>
    </row>
    <row r="173" spans="1:70">
      <c r="A173" t="s">
        <v>343</v>
      </c>
      <c r="B173" t="s">
        <v>344</v>
      </c>
      <c r="C173" t="s">
        <v>9</v>
      </c>
      <c r="D173" t="s">
        <v>10</v>
      </c>
      <c r="M173">
        <v>0</v>
      </c>
      <c r="P173">
        <v>0</v>
      </c>
      <c r="S173">
        <v>2000000</v>
      </c>
      <c r="X173">
        <v>3000000</v>
      </c>
      <c r="AD173">
        <v>1000000</v>
      </c>
      <c r="AI173">
        <v>10000000</v>
      </c>
      <c r="AL173">
        <v>8000000</v>
      </c>
      <c r="AO173">
        <v>33000000</v>
      </c>
      <c r="AP173">
        <v>1000000</v>
      </c>
      <c r="AW173">
        <v>10000000</v>
      </c>
      <c r="BG173">
        <v>28000000</v>
      </c>
      <c r="BI173">
        <v>28000000</v>
      </c>
      <c r="BJ173">
        <v>19000000</v>
      </c>
      <c r="BN173">
        <v>1000000</v>
      </c>
      <c r="BO173">
        <v>4000000</v>
      </c>
    </row>
    <row r="174" spans="1:70">
      <c r="A174" t="s">
        <v>345</v>
      </c>
      <c r="B174" t="s">
        <v>346</v>
      </c>
      <c r="C174" t="s">
        <v>9</v>
      </c>
      <c r="D174" t="s">
        <v>10</v>
      </c>
      <c r="I174">
        <v>5000000</v>
      </c>
      <c r="Q174">
        <v>0</v>
      </c>
      <c r="U174">
        <v>2000000</v>
      </c>
      <c r="V174">
        <v>6000000</v>
      </c>
      <c r="W174">
        <v>7000000</v>
      </c>
      <c r="X174">
        <v>8000000</v>
      </c>
      <c r="Y174">
        <v>14000000</v>
      </c>
      <c r="Z174">
        <v>14000000</v>
      </c>
      <c r="AC174">
        <v>1000000</v>
      </c>
      <c r="AD174">
        <v>7000000</v>
      </c>
      <c r="AE174">
        <v>10000000</v>
      </c>
      <c r="AF174">
        <v>1000000</v>
      </c>
      <c r="AG174">
        <v>2000000</v>
      </c>
      <c r="AH174">
        <v>4000000</v>
      </c>
      <c r="AI174">
        <v>11000000</v>
      </c>
      <c r="AM174">
        <v>4000000</v>
      </c>
      <c r="BA174">
        <v>3000000</v>
      </c>
      <c r="BE174">
        <v>1000000</v>
      </c>
      <c r="BF174">
        <v>3000000</v>
      </c>
      <c r="BG174">
        <v>2000000</v>
      </c>
      <c r="BH174">
        <v>3000000</v>
      </c>
      <c r="BI174">
        <v>0</v>
      </c>
      <c r="BO174">
        <v>19000000</v>
      </c>
      <c r="BQ174">
        <v>2000000</v>
      </c>
    </row>
    <row r="175" spans="1:70">
      <c r="A175" t="s">
        <v>347</v>
      </c>
      <c r="B175" t="s">
        <v>348</v>
      </c>
      <c r="C175" t="s">
        <v>9</v>
      </c>
      <c r="D175" t="s">
        <v>10</v>
      </c>
      <c r="E175">
        <v>5000000</v>
      </c>
      <c r="F175">
        <v>2000000</v>
      </c>
      <c r="G175">
        <v>31000000</v>
      </c>
      <c r="H175">
        <v>75000000</v>
      </c>
      <c r="I175">
        <v>97000000</v>
      </c>
      <c r="J175">
        <v>10000000</v>
      </c>
      <c r="K175">
        <v>58000000</v>
      </c>
      <c r="L175">
        <v>128000000</v>
      </c>
      <c r="M175">
        <v>91000000</v>
      </c>
      <c r="N175">
        <v>79000000</v>
      </c>
      <c r="O175">
        <v>25000000</v>
      </c>
      <c r="P175">
        <v>192000000</v>
      </c>
      <c r="Q175">
        <v>109000000</v>
      </c>
      <c r="R175">
        <v>229000000</v>
      </c>
      <c r="S175">
        <v>74000000</v>
      </c>
      <c r="T175">
        <v>85000000</v>
      </c>
      <c r="U175">
        <v>394000000</v>
      </c>
      <c r="V175">
        <v>146000000</v>
      </c>
      <c r="W175">
        <v>72000000</v>
      </c>
      <c r="X175">
        <v>310000000</v>
      </c>
      <c r="Y175">
        <v>127000000</v>
      </c>
      <c r="Z175">
        <v>56000000</v>
      </c>
      <c r="AA175">
        <v>25000000</v>
      </c>
      <c r="AB175">
        <v>275000000</v>
      </c>
      <c r="AC175">
        <v>543000000</v>
      </c>
      <c r="AD175">
        <v>405000000</v>
      </c>
      <c r="AE175">
        <v>141000000</v>
      </c>
      <c r="AF175">
        <v>5000000</v>
      </c>
      <c r="AG175">
        <v>14000000</v>
      </c>
      <c r="AH175">
        <v>37000000</v>
      </c>
      <c r="AJ175">
        <v>33000000</v>
      </c>
      <c r="AK175">
        <v>13000000</v>
      </c>
      <c r="AL175">
        <v>13000000</v>
      </c>
      <c r="AM175">
        <v>308000000</v>
      </c>
      <c r="AN175">
        <v>828000000</v>
      </c>
      <c r="AO175">
        <v>32000000</v>
      </c>
      <c r="AP175">
        <v>553000000</v>
      </c>
      <c r="AQ175">
        <v>39000000</v>
      </c>
      <c r="AR175">
        <v>721000000</v>
      </c>
      <c r="AS175">
        <v>26000000</v>
      </c>
      <c r="AT175">
        <v>26000000</v>
      </c>
      <c r="AU175">
        <v>154000000</v>
      </c>
      <c r="AV175">
        <v>190000000</v>
      </c>
      <c r="AW175">
        <v>68000000</v>
      </c>
      <c r="AX175">
        <v>57000000</v>
      </c>
      <c r="AY175">
        <v>184000000</v>
      </c>
      <c r="AZ175">
        <v>498000000</v>
      </c>
      <c r="BA175">
        <v>493000000</v>
      </c>
      <c r="BB175">
        <v>1284000000</v>
      </c>
      <c r="BC175">
        <v>213000000</v>
      </c>
      <c r="BD175">
        <v>4000000</v>
      </c>
      <c r="BE175">
        <v>19000000</v>
      </c>
      <c r="BF175">
        <v>82000000</v>
      </c>
      <c r="BG175">
        <v>75000000</v>
      </c>
      <c r="BH175">
        <v>118000000</v>
      </c>
      <c r="BI175">
        <v>270000000</v>
      </c>
      <c r="BJ175">
        <v>197000000</v>
      </c>
      <c r="BK175">
        <v>93000000</v>
      </c>
      <c r="BL175">
        <v>68000000</v>
      </c>
      <c r="BM175">
        <v>51000000</v>
      </c>
      <c r="BN175">
        <v>133000000</v>
      </c>
      <c r="BO175">
        <v>71000000</v>
      </c>
      <c r="BP175">
        <v>11000000</v>
      </c>
      <c r="BQ175">
        <v>7000000</v>
      </c>
    </row>
    <row r="176" spans="1:70">
      <c r="A176" t="s">
        <v>349</v>
      </c>
      <c r="B176" t="s">
        <v>350</v>
      </c>
      <c r="C176" t="s">
        <v>9</v>
      </c>
      <c r="D176" t="s">
        <v>10</v>
      </c>
      <c r="E176">
        <v>352000000</v>
      </c>
      <c r="F176">
        <v>1774000000</v>
      </c>
      <c r="G176">
        <v>1456000000</v>
      </c>
      <c r="H176">
        <v>1295000000</v>
      </c>
      <c r="I176">
        <v>1100000000</v>
      </c>
      <c r="J176">
        <v>733000000</v>
      </c>
      <c r="K176">
        <v>395000000</v>
      </c>
      <c r="L176">
        <v>325000000</v>
      </c>
      <c r="M176">
        <v>398000000</v>
      </c>
      <c r="N176">
        <v>566000000</v>
      </c>
      <c r="O176">
        <v>661000000</v>
      </c>
      <c r="P176">
        <v>1035000000</v>
      </c>
      <c r="Q176">
        <v>1145000000</v>
      </c>
      <c r="R176">
        <v>734000000</v>
      </c>
      <c r="S176">
        <v>815000000</v>
      </c>
      <c r="T176">
        <v>583000000</v>
      </c>
      <c r="U176">
        <v>552000000</v>
      </c>
      <c r="V176">
        <v>474000000</v>
      </c>
      <c r="W176">
        <v>499000000</v>
      </c>
      <c r="X176">
        <v>446000000</v>
      </c>
      <c r="Y176">
        <v>822000000</v>
      </c>
      <c r="Z176">
        <v>984000000</v>
      </c>
      <c r="AA176">
        <v>525000000</v>
      </c>
      <c r="AB176">
        <v>1112000000</v>
      </c>
      <c r="AC176">
        <v>1035000000</v>
      </c>
      <c r="AD176">
        <v>1503000000</v>
      </c>
      <c r="AE176">
        <v>1273000000</v>
      </c>
      <c r="AF176">
        <v>2785000000</v>
      </c>
      <c r="AG176">
        <v>2500000000</v>
      </c>
      <c r="AH176">
        <v>1820000000</v>
      </c>
      <c r="AI176">
        <v>520000000</v>
      </c>
      <c r="AJ176">
        <v>1282000000</v>
      </c>
      <c r="AK176">
        <v>947000000</v>
      </c>
      <c r="AL176">
        <v>1164000000</v>
      </c>
      <c r="AM176">
        <v>1424000000</v>
      </c>
      <c r="AN176">
        <v>1214000000</v>
      </c>
      <c r="AO176">
        <v>1020000000</v>
      </c>
      <c r="AP176">
        <v>963000000</v>
      </c>
      <c r="AQ176">
        <v>373000000</v>
      </c>
      <c r="AR176">
        <v>363000000</v>
      </c>
      <c r="AS176">
        <v>862000000</v>
      </c>
      <c r="AT176">
        <v>1028000000</v>
      </c>
      <c r="AU176">
        <v>933000000</v>
      </c>
      <c r="AV176">
        <v>770000000</v>
      </c>
      <c r="AW176">
        <v>937000000</v>
      </c>
      <c r="AX176">
        <v>688000000</v>
      </c>
      <c r="AY176">
        <v>803000000</v>
      </c>
      <c r="AZ176">
        <v>1320000000</v>
      </c>
      <c r="BA176">
        <v>1359000000</v>
      </c>
      <c r="BB176">
        <v>1043000000</v>
      </c>
      <c r="BC176">
        <v>1211000000</v>
      </c>
      <c r="BD176">
        <v>1293000000</v>
      </c>
      <c r="BE176">
        <v>1345000000</v>
      </c>
      <c r="BF176">
        <v>969000000</v>
      </c>
      <c r="BG176">
        <v>884000000</v>
      </c>
      <c r="BH176">
        <v>890000000</v>
      </c>
      <c r="BI176">
        <v>693000000</v>
      </c>
      <c r="BJ176">
        <v>858000000</v>
      </c>
      <c r="BK176">
        <v>564000000</v>
      </c>
      <c r="BL176">
        <v>1069000000</v>
      </c>
      <c r="BM176">
        <v>1054000000</v>
      </c>
      <c r="BN176">
        <v>1279000000</v>
      </c>
      <c r="BO176">
        <v>1060000000</v>
      </c>
      <c r="BP176">
        <v>964000000</v>
      </c>
      <c r="BQ176">
        <v>1251000000</v>
      </c>
      <c r="BR176">
        <v>828000000</v>
      </c>
    </row>
    <row r="177" spans="1:70">
      <c r="A177" t="s">
        <v>351</v>
      </c>
      <c r="B177" t="s">
        <v>352</v>
      </c>
      <c r="C177" t="s">
        <v>9</v>
      </c>
      <c r="D177" t="s">
        <v>10</v>
      </c>
      <c r="AM177">
        <v>2000000</v>
      </c>
      <c r="AN177">
        <v>4000000</v>
      </c>
      <c r="AP177">
        <v>5000000</v>
      </c>
      <c r="AQ177">
        <v>5000000</v>
      </c>
      <c r="AT177">
        <v>21000000</v>
      </c>
      <c r="AU177">
        <v>11000000</v>
      </c>
      <c r="AW177">
        <v>16000000</v>
      </c>
      <c r="AY177">
        <v>75000000</v>
      </c>
      <c r="BA177">
        <v>25000000</v>
      </c>
      <c r="BB177">
        <v>15000000</v>
      </c>
      <c r="BC177">
        <v>3000000</v>
      </c>
      <c r="BD177">
        <v>1000000</v>
      </c>
      <c r="BE177">
        <v>57000000</v>
      </c>
      <c r="BF177">
        <v>9000000</v>
      </c>
      <c r="BG177">
        <v>2000000</v>
      </c>
      <c r="BI177">
        <v>3000000</v>
      </c>
      <c r="BJ177">
        <v>35000000</v>
      </c>
      <c r="BQ177">
        <v>56000000</v>
      </c>
      <c r="BR177">
        <v>0</v>
      </c>
    </row>
    <row r="178" spans="1:70">
      <c r="A178" t="s">
        <v>353</v>
      </c>
      <c r="B178" t="s">
        <v>354</v>
      </c>
      <c r="C178" t="s">
        <v>9</v>
      </c>
      <c r="D178" t="s">
        <v>10</v>
      </c>
    </row>
    <row r="179" spans="1:70">
      <c r="A179" t="s">
        <v>355</v>
      </c>
      <c r="B179" t="s">
        <v>356</v>
      </c>
      <c r="C179" t="s">
        <v>9</v>
      </c>
      <c r="D179" t="s">
        <v>10</v>
      </c>
      <c r="E179">
        <v>1000000</v>
      </c>
      <c r="F179">
        <v>1000000</v>
      </c>
      <c r="I179">
        <v>1000000</v>
      </c>
      <c r="J179">
        <v>1000000</v>
      </c>
      <c r="N179">
        <v>2000000</v>
      </c>
      <c r="O179">
        <v>1000000</v>
      </c>
      <c r="P179">
        <v>12000000</v>
      </c>
      <c r="S179">
        <v>3000000</v>
      </c>
      <c r="W179">
        <v>2000000</v>
      </c>
      <c r="X179">
        <v>57000000</v>
      </c>
      <c r="Y179">
        <v>8000000</v>
      </c>
      <c r="AA179">
        <v>6000000</v>
      </c>
      <c r="AB179">
        <v>25000000</v>
      </c>
      <c r="AC179">
        <v>3000000</v>
      </c>
      <c r="AE179">
        <v>3000000</v>
      </c>
      <c r="AJ179">
        <v>14000000</v>
      </c>
      <c r="AP179">
        <v>3000000</v>
      </c>
      <c r="AV179">
        <v>6000000</v>
      </c>
      <c r="BA179">
        <v>8000000</v>
      </c>
      <c r="BB179">
        <v>1000000</v>
      </c>
      <c r="BF179">
        <v>12000000</v>
      </c>
      <c r="BG179">
        <v>3000000</v>
      </c>
      <c r="BH179">
        <v>10000000</v>
      </c>
      <c r="BI179">
        <v>0</v>
      </c>
      <c r="BJ179">
        <v>3000000</v>
      </c>
      <c r="BK179">
        <v>1000000</v>
      </c>
      <c r="BL179">
        <v>5000000</v>
      </c>
      <c r="BM179">
        <v>19000000</v>
      </c>
      <c r="BN179">
        <v>16000000</v>
      </c>
      <c r="BO179">
        <v>34000000</v>
      </c>
      <c r="BP179">
        <v>19000000</v>
      </c>
      <c r="BQ179">
        <v>4000000</v>
      </c>
      <c r="BR179">
        <v>4000000</v>
      </c>
    </row>
    <row r="180" spans="1:70">
      <c r="A180" t="s">
        <v>357</v>
      </c>
      <c r="B180" t="s">
        <v>358</v>
      </c>
      <c r="C180" t="s">
        <v>9</v>
      </c>
      <c r="D180" t="s">
        <v>10</v>
      </c>
      <c r="F180">
        <v>1000000</v>
      </c>
      <c r="G180">
        <v>8000000</v>
      </c>
      <c r="H180">
        <v>9000000</v>
      </c>
      <c r="I180">
        <v>2000000</v>
      </c>
      <c r="J180">
        <v>56000000</v>
      </c>
      <c r="K180">
        <v>159000000</v>
      </c>
      <c r="L180">
        <v>47000000</v>
      </c>
      <c r="M180">
        <v>50000000</v>
      </c>
      <c r="N180">
        <v>39000000</v>
      </c>
      <c r="O180">
        <v>14000000</v>
      </c>
      <c r="P180">
        <v>12000000</v>
      </c>
      <c r="Q180">
        <v>113000000</v>
      </c>
      <c r="R180">
        <v>7000000</v>
      </c>
      <c r="S180">
        <v>24000000</v>
      </c>
      <c r="T180">
        <v>424000000</v>
      </c>
      <c r="U180">
        <v>104000000</v>
      </c>
      <c r="V180">
        <v>90000000</v>
      </c>
      <c r="W180">
        <v>142000000</v>
      </c>
      <c r="X180">
        <v>108000000</v>
      </c>
      <c r="Y180">
        <v>474000000</v>
      </c>
      <c r="Z180">
        <v>331000000</v>
      </c>
      <c r="AA180">
        <v>642000000</v>
      </c>
      <c r="AB180">
        <v>41000000</v>
      </c>
      <c r="AC180">
        <v>359000000</v>
      </c>
      <c r="AD180">
        <v>569000000</v>
      </c>
      <c r="AE180">
        <v>211000000</v>
      </c>
      <c r="AF180">
        <v>115000000</v>
      </c>
      <c r="AG180">
        <v>62000000</v>
      </c>
      <c r="AH180">
        <v>15000000</v>
      </c>
      <c r="AI180">
        <v>18000000</v>
      </c>
      <c r="AJ180">
        <v>4000000</v>
      </c>
      <c r="AK180">
        <v>59000000</v>
      </c>
      <c r="AL180">
        <v>41000000</v>
      </c>
      <c r="AM180">
        <v>95000000</v>
      </c>
      <c r="AN180">
        <v>2000000</v>
      </c>
      <c r="AO180">
        <v>15000000</v>
      </c>
      <c r="AP180">
        <v>1000000</v>
      </c>
      <c r="AS180">
        <v>36000000</v>
      </c>
      <c r="AT180">
        <v>9000000</v>
      </c>
      <c r="AU180">
        <v>6000000</v>
      </c>
      <c r="AV180">
        <v>66000000</v>
      </c>
      <c r="AW180">
        <v>11000000</v>
      </c>
      <c r="AY180">
        <v>16000000</v>
      </c>
      <c r="AZ180">
        <v>62000000</v>
      </c>
      <c r="BA180">
        <v>33000000</v>
      </c>
      <c r="BB180">
        <v>65000000</v>
      </c>
      <c r="BC180">
        <v>223000000</v>
      </c>
      <c r="BD180">
        <v>63000000</v>
      </c>
      <c r="BE180">
        <v>28000000</v>
      </c>
      <c r="BF180">
        <v>30000000</v>
      </c>
      <c r="BG180">
        <v>236000000</v>
      </c>
      <c r="BH180">
        <v>188000000</v>
      </c>
      <c r="BI180">
        <v>61000000</v>
      </c>
      <c r="BJ180">
        <v>42000000</v>
      </c>
      <c r="BK180">
        <v>49000000</v>
      </c>
      <c r="BL180">
        <v>18000000</v>
      </c>
      <c r="BM180">
        <v>84000000</v>
      </c>
      <c r="BN180">
        <v>273000000</v>
      </c>
      <c r="BO180">
        <v>53000000</v>
      </c>
      <c r="BP180">
        <v>93000000</v>
      </c>
      <c r="BQ180">
        <v>93000000</v>
      </c>
      <c r="BR180">
        <v>21000000</v>
      </c>
    </row>
    <row r="181" spans="1:70">
      <c r="A181" t="s">
        <v>359</v>
      </c>
      <c r="B181" t="s">
        <v>360</v>
      </c>
      <c r="C181" t="s">
        <v>9</v>
      </c>
      <c r="D181" t="s">
        <v>10</v>
      </c>
      <c r="E181">
        <v>2000000</v>
      </c>
      <c r="F181">
        <v>8000000</v>
      </c>
      <c r="G181">
        <v>6000000</v>
      </c>
      <c r="H181">
        <v>6000000</v>
      </c>
      <c r="I181">
        <v>2000000</v>
      </c>
      <c r="J181">
        <v>0</v>
      </c>
      <c r="K181">
        <v>2000000</v>
      </c>
      <c r="P181">
        <v>5000000</v>
      </c>
      <c r="Q181">
        <v>5000000</v>
      </c>
      <c r="R181">
        <v>10000000</v>
      </c>
      <c r="U181">
        <v>8000000</v>
      </c>
      <c r="V181">
        <v>19000000</v>
      </c>
      <c r="W181">
        <v>13000000</v>
      </c>
      <c r="Z181">
        <v>44000000</v>
      </c>
      <c r="AA181">
        <v>69000000</v>
      </c>
      <c r="AB181">
        <v>50000000</v>
      </c>
      <c r="AC181">
        <v>167000000</v>
      </c>
      <c r="AD181">
        <v>90000000</v>
      </c>
      <c r="AE181">
        <v>91000000</v>
      </c>
      <c r="AF181">
        <v>157000000</v>
      </c>
      <c r="AG181">
        <v>63000000</v>
      </c>
      <c r="AH181">
        <v>14000000</v>
      </c>
      <c r="AI181">
        <v>107000000</v>
      </c>
      <c r="AJ181">
        <v>1000000</v>
      </c>
      <c r="AZ181">
        <v>14000000</v>
      </c>
      <c r="BB181">
        <v>15000000</v>
      </c>
      <c r="BG181">
        <v>13000000</v>
      </c>
      <c r="BH181">
        <v>14000000</v>
      </c>
      <c r="BI181">
        <v>86000000</v>
      </c>
      <c r="BJ181">
        <v>7000000</v>
      </c>
      <c r="BL181">
        <v>13000000</v>
      </c>
    </row>
    <row r="182" spans="1:70">
      <c r="A182" t="s">
        <v>361</v>
      </c>
      <c r="B182" t="s">
        <v>362</v>
      </c>
      <c r="C182" t="s">
        <v>9</v>
      </c>
      <c r="D182" t="s">
        <v>10</v>
      </c>
      <c r="E182">
        <v>255000000</v>
      </c>
      <c r="F182">
        <v>227000000</v>
      </c>
      <c r="G182">
        <v>294000000</v>
      </c>
      <c r="H182">
        <v>767000000</v>
      </c>
      <c r="I182">
        <v>1014000000</v>
      </c>
      <c r="J182">
        <v>815000000</v>
      </c>
      <c r="K182">
        <v>204000000</v>
      </c>
      <c r="L182">
        <v>751000000</v>
      </c>
      <c r="M182">
        <v>288000000</v>
      </c>
      <c r="N182">
        <v>569000000</v>
      </c>
      <c r="O182">
        <v>699000000</v>
      </c>
      <c r="P182">
        <v>698000000</v>
      </c>
      <c r="Q182">
        <v>650000000</v>
      </c>
      <c r="R182">
        <v>21000000</v>
      </c>
      <c r="S182">
        <v>40000000</v>
      </c>
      <c r="T182">
        <v>108000000</v>
      </c>
      <c r="U182">
        <v>285000000</v>
      </c>
      <c r="V182">
        <v>606000000</v>
      </c>
      <c r="W182">
        <v>717000000</v>
      </c>
      <c r="X182">
        <v>792000000</v>
      </c>
      <c r="Y182">
        <v>645000000</v>
      </c>
      <c r="Z182">
        <v>755000000</v>
      </c>
      <c r="AA182">
        <v>1241000000</v>
      </c>
      <c r="AB182">
        <v>1331000000</v>
      </c>
      <c r="AC182">
        <v>1173000000</v>
      </c>
      <c r="AD182">
        <v>892000000</v>
      </c>
      <c r="AE182">
        <v>792000000</v>
      </c>
      <c r="AF182">
        <v>614000000</v>
      </c>
      <c r="AG182">
        <v>393000000</v>
      </c>
      <c r="AH182">
        <v>705000000</v>
      </c>
      <c r="AI182">
        <v>273000000</v>
      </c>
      <c r="AJ182">
        <v>322000000</v>
      </c>
      <c r="AK182">
        <v>237000000</v>
      </c>
      <c r="AL182">
        <v>140000000</v>
      </c>
      <c r="AM182">
        <v>205000000</v>
      </c>
      <c r="AN182">
        <v>84000000</v>
      </c>
      <c r="AO182">
        <v>203000000</v>
      </c>
      <c r="AP182">
        <v>126000000</v>
      </c>
      <c r="AQ182">
        <v>269000000</v>
      </c>
      <c r="AR182">
        <v>278000000</v>
      </c>
      <c r="AS182">
        <v>123000000</v>
      </c>
      <c r="AT182">
        <v>164000000</v>
      </c>
      <c r="AU182">
        <v>247000000</v>
      </c>
      <c r="AV182">
        <v>128000000</v>
      </c>
      <c r="AW182">
        <v>130000000</v>
      </c>
      <c r="AX182">
        <v>86000000</v>
      </c>
      <c r="AY182">
        <v>304000000</v>
      </c>
      <c r="AZ182">
        <v>221000000</v>
      </c>
      <c r="BA182">
        <v>147000000</v>
      </c>
      <c r="BB182">
        <v>262000000</v>
      </c>
      <c r="BC182">
        <v>171000000</v>
      </c>
      <c r="BD182">
        <v>115000000</v>
      </c>
      <c r="BE182">
        <v>190000000</v>
      </c>
      <c r="BF182">
        <v>488000000</v>
      </c>
      <c r="BG182">
        <v>8000000</v>
      </c>
      <c r="BH182">
        <v>51000000</v>
      </c>
      <c r="BI182">
        <v>69000000</v>
      </c>
      <c r="BJ182">
        <v>33000000</v>
      </c>
      <c r="BK182">
        <v>139000000</v>
      </c>
      <c r="BL182">
        <v>494000000</v>
      </c>
      <c r="BM182">
        <v>575000000</v>
      </c>
      <c r="BN182">
        <v>512000000</v>
      </c>
      <c r="BO182">
        <v>725000000</v>
      </c>
      <c r="BP182">
        <v>374000000</v>
      </c>
      <c r="BQ182">
        <v>333000000</v>
      </c>
      <c r="BR182">
        <v>824000000</v>
      </c>
    </row>
    <row r="183" spans="1:70">
      <c r="A183" t="s">
        <v>363</v>
      </c>
      <c r="B183" t="s">
        <v>364</v>
      </c>
      <c r="C183" t="s">
        <v>9</v>
      </c>
      <c r="D183" t="s">
        <v>10</v>
      </c>
      <c r="E183">
        <v>153000000</v>
      </c>
      <c r="F183">
        <v>93000000</v>
      </c>
      <c r="G183">
        <v>60000000</v>
      </c>
      <c r="H183">
        <v>227000000</v>
      </c>
      <c r="I183">
        <v>260000000</v>
      </c>
      <c r="J183">
        <v>368000000</v>
      </c>
      <c r="K183">
        <v>759000000</v>
      </c>
      <c r="L183">
        <v>685000000</v>
      </c>
      <c r="M183">
        <v>289000000</v>
      </c>
      <c r="N183">
        <v>538000000</v>
      </c>
      <c r="O183">
        <v>154000000</v>
      </c>
      <c r="P183">
        <v>82000000</v>
      </c>
      <c r="Q183">
        <v>68000000</v>
      </c>
      <c r="R183">
        <v>63000000</v>
      </c>
      <c r="S183">
        <v>55000000</v>
      </c>
      <c r="T183">
        <v>49000000</v>
      </c>
      <c r="U183">
        <v>35000000</v>
      </c>
      <c r="V183">
        <v>27000000</v>
      </c>
      <c r="W183">
        <v>24000000</v>
      </c>
      <c r="X183">
        <v>47000000</v>
      </c>
      <c r="Y183">
        <v>254000000</v>
      </c>
      <c r="Z183">
        <v>435000000</v>
      </c>
      <c r="AA183">
        <v>457000000</v>
      </c>
      <c r="AB183">
        <v>441000000</v>
      </c>
      <c r="AC183">
        <v>337000000</v>
      </c>
      <c r="AD183">
        <v>122000000</v>
      </c>
      <c r="AE183">
        <v>141000000</v>
      </c>
      <c r="AF183">
        <v>192000000</v>
      </c>
      <c r="AG183">
        <v>308000000</v>
      </c>
      <c r="AH183">
        <v>600000000</v>
      </c>
      <c r="AI183">
        <v>435000000</v>
      </c>
      <c r="AJ183">
        <v>321000000</v>
      </c>
      <c r="AK183">
        <v>253000000</v>
      </c>
      <c r="AL183">
        <v>180000000</v>
      </c>
      <c r="AM183">
        <v>93000000</v>
      </c>
      <c r="AN183">
        <v>66000000</v>
      </c>
      <c r="AO183">
        <v>151000000</v>
      </c>
      <c r="AP183">
        <v>164000000</v>
      </c>
      <c r="AQ183">
        <v>158000000</v>
      </c>
      <c r="AR183">
        <v>151000000</v>
      </c>
      <c r="AS183">
        <v>234000000</v>
      </c>
      <c r="AT183">
        <v>99000000</v>
      </c>
      <c r="AU183">
        <v>95000000</v>
      </c>
      <c r="AV183">
        <v>9000000</v>
      </c>
      <c r="AW183">
        <v>6000000</v>
      </c>
      <c r="AX183">
        <v>14000000</v>
      </c>
      <c r="AY183">
        <v>559000000</v>
      </c>
      <c r="AZ183">
        <v>598000000</v>
      </c>
      <c r="BA183">
        <v>602000000</v>
      </c>
      <c r="BB183">
        <v>569000000</v>
      </c>
      <c r="BC183">
        <v>150000000</v>
      </c>
      <c r="BD183">
        <v>607000000</v>
      </c>
      <c r="BE183">
        <v>147000000</v>
      </c>
      <c r="BF183">
        <v>51000000</v>
      </c>
      <c r="BG183">
        <v>16000000</v>
      </c>
      <c r="BH183">
        <v>143000000</v>
      </c>
      <c r="BI183">
        <v>142000000</v>
      </c>
      <c r="BJ183">
        <v>353000000</v>
      </c>
      <c r="BK183">
        <v>520000000</v>
      </c>
      <c r="BL183">
        <v>389000000</v>
      </c>
      <c r="BM183">
        <v>459000000</v>
      </c>
      <c r="BN183">
        <v>503000000</v>
      </c>
      <c r="BO183">
        <v>700000000</v>
      </c>
      <c r="BP183">
        <v>200000000</v>
      </c>
      <c r="BQ183">
        <v>379000000</v>
      </c>
      <c r="BR183">
        <v>407000000</v>
      </c>
    </row>
    <row r="184" spans="1:70">
      <c r="A184" t="s">
        <v>365</v>
      </c>
      <c r="B184" t="s">
        <v>366</v>
      </c>
      <c r="C184" t="s">
        <v>9</v>
      </c>
      <c r="D184" t="s">
        <v>10</v>
      </c>
      <c r="J184">
        <v>2000000</v>
      </c>
      <c r="K184">
        <v>0</v>
      </c>
      <c r="O184">
        <v>8000000</v>
      </c>
      <c r="P184">
        <v>8000000</v>
      </c>
      <c r="Q184">
        <v>3000000</v>
      </c>
      <c r="R184">
        <v>5000000</v>
      </c>
      <c r="S184">
        <v>2000000</v>
      </c>
      <c r="T184">
        <v>15000000</v>
      </c>
      <c r="U184">
        <v>6000000</v>
      </c>
      <c r="Z184">
        <v>1000000</v>
      </c>
      <c r="AC184">
        <v>3000000</v>
      </c>
      <c r="AD184">
        <v>4000000</v>
      </c>
      <c r="AH184">
        <v>1000000</v>
      </c>
      <c r="AK184">
        <v>5000000</v>
      </c>
      <c r="AN184">
        <v>1000000</v>
      </c>
      <c r="AT184">
        <v>12000000</v>
      </c>
      <c r="AU184">
        <v>10000000</v>
      </c>
      <c r="AV184">
        <v>10000000</v>
      </c>
      <c r="AW184">
        <v>36000000</v>
      </c>
      <c r="AX184">
        <v>7000000</v>
      </c>
      <c r="BA184">
        <v>1000000</v>
      </c>
      <c r="BD184">
        <v>3000000</v>
      </c>
      <c r="BG184">
        <v>5000000</v>
      </c>
      <c r="BH184">
        <v>15000000</v>
      </c>
      <c r="BI184">
        <v>9000000</v>
      </c>
      <c r="BJ184">
        <v>1000000</v>
      </c>
      <c r="BK184">
        <v>7000000</v>
      </c>
      <c r="BL184">
        <v>38000000</v>
      </c>
      <c r="BN184">
        <v>0</v>
      </c>
      <c r="BR184">
        <v>6000000</v>
      </c>
    </row>
    <row r="185" spans="1:70">
      <c r="A185" t="s">
        <v>367</v>
      </c>
      <c r="B185" t="s">
        <v>368</v>
      </c>
      <c r="C185" t="s">
        <v>9</v>
      </c>
      <c r="D185" t="s">
        <v>10</v>
      </c>
    </row>
    <row r="186" spans="1:70">
      <c r="A186" t="s">
        <v>369</v>
      </c>
      <c r="B186" t="s">
        <v>370</v>
      </c>
      <c r="C186" t="s">
        <v>9</v>
      </c>
      <c r="D186" t="s">
        <v>10</v>
      </c>
      <c r="E186">
        <v>119000000</v>
      </c>
      <c r="F186">
        <v>111000000</v>
      </c>
      <c r="G186">
        <v>8000000</v>
      </c>
      <c r="H186">
        <v>5000000</v>
      </c>
      <c r="J186">
        <v>10000000</v>
      </c>
      <c r="K186">
        <v>406000000</v>
      </c>
      <c r="L186">
        <v>4000000</v>
      </c>
      <c r="M186">
        <v>56000000</v>
      </c>
      <c r="O186">
        <v>168000000</v>
      </c>
      <c r="P186">
        <v>133000000</v>
      </c>
      <c r="Q186">
        <v>23000000</v>
      </c>
      <c r="R186">
        <v>23000000</v>
      </c>
      <c r="S186">
        <v>10000000</v>
      </c>
      <c r="T186">
        <v>51000000</v>
      </c>
      <c r="U186">
        <v>7000000</v>
      </c>
      <c r="V186">
        <v>34000000</v>
      </c>
      <c r="Z186">
        <v>31000000</v>
      </c>
      <c r="AA186">
        <v>62000000</v>
      </c>
      <c r="AB186">
        <v>100000000</v>
      </c>
      <c r="AC186">
        <v>41000000</v>
      </c>
      <c r="AD186">
        <v>8000000</v>
      </c>
      <c r="AE186">
        <v>29000000</v>
      </c>
      <c r="AF186">
        <v>5000000</v>
      </c>
      <c r="AG186">
        <v>61000000</v>
      </c>
      <c r="AH186">
        <v>26000000</v>
      </c>
      <c r="AI186">
        <v>23000000</v>
      </c>
      <c r="AJ186">
        <v>42000000</v>
      </c>
      <c r="AK186">
        <v>54000000</v>
      </c>
      <c r="AL186">
        <v>36000000</v>
      </c>
      <c r="AM186">
        <v>16000000</v>
      </c>
      <c r="AN186">
        <v>7000000</v>
      </c>
      <c r="AO186">
        <v>7000000</v>
      </c>
      <c r="AP186">
        <v>309000000</v>
      </c>
      <c r="AQ186">
        <v>15000000</v>
      </c>
      <c r="AR186">
        <v>305000000</v>
      </c>
      <c r="AT186">
        <v>45000000</v>
      </c>
      <c r="AU186">
        <v>17000000</v>
      </c>
      <c r="AV186">
        <v>154000000</v>
      </c>
      <c r="AW186">
        <v>95000000</v>
      </c>
      <c r="AY186">
        <v>6000000</v>
      </c>
      <c r="AZ186">
        <v>81000000</v>
      </c>
      <c r="BA186">
        <v>3000000</v>
      </c>
      <c r="BB186">
        <v>56000000</v>
      </c>
      <c r="BC186">
        <v>78000000</v>
      </c>
      <c r="BD186">
        <v>28000000</v>
      </c>
      <c r="BE186">
        <v>30000000</v>
      </c>
      <c r="BF186">
        <v>26000000</v>
      </c>
      <c r="BG186">
        <v>84000000</v>
      </c>
      <c r="BH186">
        <v>89000000</v>
      </c>
      <c r="BK186">
        <v>6000000</v>
      </c>
      <c r="BL186">
        <v>3000000</v>
      </c>
      <c r="BM186">
        <v>146000000</v>
      </c>
      <c r="BN186">
        <v>36000000</v>
      </c>
      <c r="BO186">
        <v>171000000</v>
      </c>
      <c r="BP186">
        <v>406000000</v>
      </c>
      <c r="BQ186">
        <v>200000000</v>
      </c>
    </row>
    <row r="187" spans="1:70">
      <c r="A187" t="s">
        <v>371</v>
      </c>
      <c r="B187" t="s">
        <v>372</v>
      </c>
      <c r="C187" t="s">
        <v>9</v>
      </c>
      <c r="D187" t="s">
        <v>10</v>
      </c>
      <c r="E187">
        <v>8761000000</v>
      </c>
      <c r="F187">
        <v>8827000000</v>
      </c>
      <c r="G187">
        <v>8769000000</v>
      </c>
      <c r="H187">
        <v>12250000000</v>
      </c>
      <c r="I187">
        <v>17752000000</v>
      </c>
      <c r="J187">
        <v>14991000000</v>
      </c>
      <c r="K187">
        <v>11507000000</v>
      </c>
      <c r="L187">
        <v>10078000000</v>
      </c>
      <c r="M187">
        <v>10403000000</v>
      </c>
      <c r="N187">
        <v>13068000000</v>
      </c>
      <c r="O187">
        <v>9234000000</v>
      </c>
      <c r="P187">
        <v>13387000000</v>
      </c>
      <c r="Q187">
        <v>11728000000</v>
      </c>
      <c r="R187">
        <v>12534000000</v>
      </c>
      <c r="S187">
        <v>12685000000</v>
      </c>
      <c r="T187">
        <v>13410000000</v>
      </c>
      <c r="U187">
        <v>13012000000</v>
      </c>
      <c r="V187">
        <v>10546000000</v>
      </c>
      <c r="W187">
        <v>12871000000</v>
      </c>
      <c r="X187">
        <v>11100000000</v>
      </c>
      <c r="Y187">
        <v>12306000000</v>
      </c>
      <c r="Z187">
        <v>13395000000</v>
      </c>
      <c r="AA187">
        <v>11704000000</v>
      </c>
      <c r="AB187">
        <v>11832000000</v>
      </c>
      <c r="AC187">
        <v>11865000000</v>
      </c>
      <c r="AD187">
        <v>10345000000</v>
      </c>
      <c r="AE187">
        <v>11903000000</v>
      </c>
      <c r="AF187">
        <v>13320000000</v>
      </c>
      <c r="AG187">
        <v>15389000000</v>
      </c>
      <c r="AH187">
        <v>14449000000</v>
      </c>
      <c r="AI187">
        <v>11086000000</v>
      </c>
      <c r="AJ187">
        <v>14214000000</v>
      </c>
      <c r="AK187">
        <v>14653000000</v>
      </c>
      <c r="AL187">
        <v>13442000000</v>
      </c>
      <c r="AM187">
        <v>11581000000</v>
      </c>
      <c r="AN187">
        <v>10478000000</v>
      </c>
      <c r="AO187">
        <v>9942000000</v>
      </c>
      <c r="AP187">
        <v>9889000000</v>
      </c>
      <c r="AQ187">
        <v>13696000000</v>
      </c>
      <c r="AR187">
        <v>11573000000</v>
      </c>
      <c r="AS187">
        <v>8998000000</v>
      </c>
      <c r="AT187">
        <v>8148000000</v>
      </c>
      <c r="AU187">
        <v>6884000000</v>
      </c>
      <c r="AV187">
        <v>8898000000</v>
      </c>
      <c r="AW187">
        <v>8109000000</v>
      </c>
      <c r="AX187">
        <v>7659000000</v>
      </c>
      <c r="AY187">
        <v>11154000000</v>
      </c>
      <c r="AZ187">
        <v>13162000000</v>
      </c>
      <c r="BA187">
        <v>10522000000</v>
      </c>
      <c r="BB187">
        <v>9667000000</v>
      </c>
      <c r="BC187">
        <v>9754000000</v>
      </c>
      <c r="BD187">
        <v>8902000000</v>
      </c>
      <c r="BE187">
        <v>7933000000</v>
      </c>
      <c r="BF187">
        <v>5140000000</v>
      </c>
      <c r="BG187">
        <v>6976000000</v>
      </c>
      <c r="BH187">
        <v>7320000000</v>
      </c>
      <c r="BI187">
        <v>6805000000</v>
      </c>
      <c r="BJ187">
        <v>8044000000</v>
      </c>
      <c r="BK187">
        <v>7130000000</v>
      </c>
      <c r="BL187">
        <v>8456000000</v>
      </c>
      <c r="BM187">
        <v>9349000000</v>
      </c>
      <c r="BN187">
        <v>8953000000</v>
      </c>
      <c r="BO187">
        <v>10150000000</v>
      </c>
      <c r="BP187">
        <v>9338000000</v>
      </c>
      <c r="BQ187">
        <v>11975000000</v>
      </c>
      <c r="BR187">
        <v>13956000000</v>
      </c>
    </row>
    <row r="188" spans="1:70">
      <c r="A188" t="s">
        <v>373</v>
      </c>
      <c r="B188" t="s">
        <v>374</v>
      </c>
      <c r="C188" t="s">
        <v>9</v>
      </c>
      <c r="D188" t="s">
        <v>10</v>
      </c>
      <c r="E188">
        <v>1000000</v>
      </c>
      <c r="H188">
        <v>1000000</v>
      </c>
      <c r="I188">
        <v>1000000</v>
      </c>
      <c r="J188">
        <v>1000000</v>
      </c>
      <c r="K188">
        <v>2000000</v>
      </c>
      <c r="L188">
        <v>7000000</v>
      </c>
      <c r="M188">
        <v>5000000</v>
      </c>
      <c r="N188">
        <v>36000000</v>
      </c>
      <c r="O188">
        <v>26000000</v>
      </c>
      <c r="P188">
        <v>62000000</v>
      </c>
      <c r="Q188">
        <v>11000000</v>
      </c>
      <c r="R188">
        <v>71000000</v>
      </c>
      <c r="S188">
        <v>67000000</v>
      </c>
      <c r="T188">
        <v>181000000</v>
      </c>
      <c r="U188">
        <v>150000000</v>
      </c>
      <c r="V188">
        <v>250000000</v>
      </c>
      <c r="W188">
        <v>81000000</v>
      </c>
      <c r="X188">
        <v>43000000</v>
      </c>
      <c r="Y188">
        <v>12000000</v>
      </c>
      <c r="Z188">
        <v>72000000</v>
      </c>
      <c r="AA188">
        <v>170000000</v>
      </c>
      <c r="AB188">
        <v>347000000</v>
      </c>
      <c r="AC188">
        <v>120000000</v>
      </c>
      <c r="AD188">
        <v>88000000</v>
      </c>
      <c r="AE188">
        <v>49000000</v>
      </c>
      <c r="AF188">
        <v>40000000</v>
      </c>
      <c r="AG188">
        <v>19000000</v>
      </c>
      <c r="AH188">
        <v>117000000</v>
      </c>
      <c r="AI188">
        <v>60000000</v>
      </c>
      <c r="AL188">
        <v>55000000</v>
      </c>
      <c r="AM188">
        <v>145000000</v>
      </c>
      <c r="AN188">
        <v>278000000</v>
      </c>
      <c r="AO188">
        <v>285000000</v>
      </c>
      <c r="AP188">
        <v>157000000</v>
      </c>
      <c r="AQ188">
        <v>22000000</v>
      </c>
      <c r="AS188">
        <v>121000000</v>
      </c>
      <c r="AT188">
        <v>32000000</v>
      </c>
      <c r="AU188">
        <v>40000000</v>
      </c>
      <c r="AV188">
        <v>37000000</v>
      </c>
      <c r="AW188">
        <v>49000000</v>
      </c>
      <c r="AX188">
        <v>178000000</v>
      </c>
      <c r="AY188">
        <v>297000000</v>
      </c>
      <c r="AZ188">
        <v>12000000</v>
      </c>
      <c r="BA188">
        <v>72000000</v>
      </c>
      <c r="BB188">
        <v>95000000</v>
      </c>
      <c r="BC188">
        <v>31000000</v>
      </c>
      <c r="BD188">
        <v>21000000</v>
      </c>
      <c r="BE188">
        <v>127000000</v>
      </c>
      <c r="BF188">
        <v>492000000</v>
      </c>
      <c r="BG188">
        <v>719000000</v>
      </c>
      <c r="BH188">
        <v>152000000</v>
      </c>
      <c r="BI188">
        <v>422000000</v>
      </c>
      <c r="BJ188">
        <v>757000000</v>
      </c>
      <c r="BK188">
        <v>282000000</v>
      </c>
      <c r="BL188">
        <v>88000000</v>
      </c>
      <c r="BM188">
        <v>85000000</v>
      </c>
      <c r="BN188">
        <v>4000000</v>
      </c>
      <c r="BO188">
        <v>4000000</v>
      </c>
      <c r="BP188">
        <v>4000000</v>
      </c>
    </row>
    <row r="189" spans="1:70">
      <c r="A189" t="s">
        <v>375</v>
      </c>
      <c r="B189" t="s">
        <v>376</v>
      </c>
      <c r="C189" t="s">
        <v>9</v>
      </c>
      <c r="D189" t="s">
        <v>10</v>
      </c>
      <c r="E189">
        <v>20000000</v>
      </c>
      <c r="I189">
        <v>18000000</v>
      </c>
      <c r="J189">
        <v>27000000</v>
      </c>
      <c r="K189">
        <v>1000000</v>
      </c>
      <c r="L189">
        <v>18000000</v>
      </c>
      <c r="M189">
        <v>29000000</v>
      </c>
      <c r="O189">
        <v>5000000</v>
      </c>
      <c r="Q189">
        <v>1000000</v>
      </c>
      <c r="R189">
        <v>10000000</v>
      </c>
      <c r="AO189">
        <v>223000000</v>
      </c>
      <c r="AP189">
        <v>149000000</v>
      </c>
      <c r="AS189">
        <v>34000000</v>
      </c>
      <c r="AU189">
        <v>76000000</v>
      </c>
      <c r="AW189">
        <v>45000000</v>
      </c>
      <c r="AX189">
        <v>85000000</v>
      </c>
      <c r="BD189">
        <v>351000000</v>
      </c>
      <c r="BE189">
        <v>53000000</v>
      </c>
      <c r="BJ189">
        <v>93000000</v>
      </c>
      <c r="BN189">
        <v>106000000</v>
      </c>
      <c r="BP189">
        <v>87000000</v>
      </c>
      <c r="BR189">
        <v>244000000</v>
      </c>
    </row>
    <row r="190" spans="1:70">
      <c r="A190" t="s">
        <v>377</v>
      </c>
      <c r="B190" t="s">
        <v>378</v>
      </c>
      <c r="C190" t="s">
        <v>9</v>
      </c>
      <c r="D190" t="s">
        <v>10</v>
      </c>
      <c r="E190">
        <v>46000000</v>
      </c>
      <c r="F190">
        <v>41000000</v>
      </c>
      <c r="G190">
        <v>84000000</v>
      </c>
      <c r="H190">
        <v>225000000</v>
      </c>
      <c r="I190">
        <v>96000000</v>
      </c>
      <c r="J190">
        <v>222000000</v>
      </c>
      <c r="K190">
        <v>592000000</v>
      </c>
      <c r="L190">
        <v>151000000</v>
      </c>
      <c r="M190">
        <v>415000000</v>
      </c>
      <c r="N190">
        <v>542000000</v>
      </c>
      <c r="O190">
        <v>422000000</v>
      </c>
      <c r="P190">
        <v>553000000</v>
      </c>
      <c r="Q190">
        <v>664000000</v>
      </c>
      <c r="R190">
        <v>177000000</v>
      </c>
      <c r="S190">
        <v>225000000</v>
      </c>
      <c r="T190">
        <v>223000000</v>
      </c>
      <c r="U190">
        <v>276000000</v>
      </c>
      <c r="V190">
        <v>271000000</v>
      </c>
      <c r="W190">
        <v>655000000</v>
      </c>
      <c r="X190">
        <v>697000000</v>
      </c>
      <c r="Y190">
        <v>900000000</v>
      </c>
      <c r="Z190">
        <v>491000000</v>
      </c>
      <c r="AA190">
        <v>544000000</v>
      </c>
      <c r="AB190">
        <v>784000000</v>
      </c>
      <c r="AC190">
        <v>863000000</v>
      </c>
      <c r="AD190">
        <v>751000000</v>
      </c>
      <c r="AE190">
        <v>280000000</v>
      </c>
      <c r="AF190">
        <v>617000000</v>
      </c>
      <c r="AG190">
        <v>412000000</v>
      </c>
      <c r="AH190">
        <v>974000000</v>
      </c>
      <c r="AI190">
        <v>635000000</v>
      </c>
      <c r="AJ190">
        <v>511000000</v>
      </c>
      <c r="AK190">
        <v>352000000</v>
      </c>
      <c r="AL190">
        <v>992000000</v>
      </c>
      <c r="AM190">
        <v>862000000</v>
      </c>
      <c r="AN190">
        <v>368000000</v>
      </c>
      <c r="AO190">
        <v>506000000</v>
      </c>
      <c r="AP190">
        <v>691000000</v>
      </c>
      <c r="AQ190">
        <v>699000000</v>
      </c>
      <c r="AR190">
        <v>867000000</v>
      </c>
      <c r="AS190">
        <v>175000000</v>
      </c>
      <c r="AT190">
        <v>412000000</v>
      </c>
      <c r="AU190">
        <v>566000000</v>
      </c>
      <c r="AV190">
        <v>645000000</v>
      </c>
      <c r="AW190">
        <v>471000000</v>
      </c>
      <c r="AX190">
        <v>427000000</v>
      </c>
      <c r="AY190">
        <v>324000000</v>
      </c>
      <c r="AZ190">
        <v>693000000</v>
      </c>
      <c r="BA190">
        <v>1072000000</v>
      </c>
      <c r="BB190">
        <v>1195000000</v>
      </c>
      <c r="BC190">
        <v>2232000000</v>
      </c>
      <c r="BD190">
        <v>1178000000</v>
      </c>
      <c r="BE190">
        <v>1024000000</v>
      </c>
      <c r="BF190">
        <v>1112000000</v>
      </c>
      <c r="BG190">
        <v>877000000</v>
      </c>
      <c r="BH190">
        <v>771000000</v>
      </c>
      <c r="BI190">
        <v>872000000</v>
      </c>
      <c r="BJ190">
        <v>870000000</v>
      </c>
      <c r="BK190">
        <v>893000000</v>
      </c>
      <c r="BL190">
        <v>654000000</v>
      </c>
      <c r="BM190">
        <v>624000000</v>
      </c>
      <c r="BN190">
        <v>984000000</v>
      </c>
      <c r="BO190">
        <v>1529000000</v>
      </c>
      <c r="BP190">
        <v>2199000000</v>
      </c>
      <c r="BQ190">
        <v>1068000000</v>
      </c>
      <c r="BR190">
        <v>706000000</v>
      </c>
    </row>
    <row r="191" spans="1:70">
      <c r="A191" t="s">
        <v>379</v>
      </c>
      <c r="B191" t="s">
        <v>380</v>
      </c>
      <c r="C191" t="s">
        <v>9</v>
      </c>
      <c r="D191" t="s">
        <v>10</v>
      </c>
      <c r="I191">
        <v>0</v>
      </c>
      <c r="M191">
        <v>0</v>
      </c>
      <c r="N191">
        <v>3000000</v>
      </c>
      <c r="O191">
        <v>15000000</v>
      </c>
      <c r="P191">
        <v>18000000</v>
      </c>
      <c r="Q191">
        <v>2000000</v>
      </c>
      <c r="R191">
        <v>16000000</v>
      </c>
      <c r="T191">
        <v>27000000</v>
      </c>
      <c r="U191">
        <v>6000000</v>
      </c>
      <c r="V191">
        <v>4000000</v>
      </c>
      <c r="W191">
        <v>5000000</v>
      </c>
      <c r="Y191">
        <v>3000000</v>
      </c>
      <c r="Z191">
        <v>4000000</v>
      </c>
      <c r="AA191">
        <v>13000000</v>
      </c>
      <c r="AB191">
        <v>8000000</v>
      </c>
      <c r="AC191">
        <v>0</v>
      </c>
      <c r="AD191">
        <v>7000000</v>
      </c>
      <c r="AG191">
        <v>23000000</v>
      </c>
      <c r="AH191">
        <v>2000000</v>
      </c>
    </row>
    <row r="192" spans="1:70">
      <c r="A192" t="s">
        <v>381</v>
      </c>
      <c r="B192" t="s">
        <v>382</v>
      </c>
      <c r="C192" t="s">
        <v>9</v>
      </c>
      <c r="D192" t="s">
        <v>10</v>
      </c>
      <c r="E192">
        <v>191000000</v>
      </c>
      <c r="F192">
        <v>96000000</v>
      </c>
      <c r="G192">
        <v>14000000</v>
      </c>
      <c r="H192">
        <v>24000000</v>
      </c>
      <c r="I192">
        <v>18000000</v>
      </c>
      <c r="J192">
        <v>52000000</v>
      </c>
      <c r="K192">
        <v>65000000</v>
      </c>
      <c r="L192">
        <v>26000000</v>
      </c>
      <c r="M192">
        <v>188000000</v>
      </c>
      <c r="N192">
        <v>96000000</v>
      </c>
      <c r="O192">
        <v>35000000</v>
      </c>
      <c r="P192">
        <v>157000000</v>
      </c>
      <c r="Q192">
        <v>198000000</v>
      </c>
      <c r="R192">
        <v>476000000</v>
      </c>
      <c r="S192">
        <v>561000000</v>
      </c>
      <c r="T192">
        <v>555000000</v>
      </c>
      <c r="U192">
        <v>373000000</v>
      </c>
      <c r="V192">
        <v>933000000</v>
      </c>
      <c r="W192">
        <v>748000000</v>
      </c>
      <c r="X192">
        <v>641000000</v>
      </c>
      <c r="Y192">
        <v>676000000</v>
      </c>
      <c r="Z192">
        <v>857000000</v>
      </c>
      <c r="AA192">
        <v>271000000</v>
      </c>
      <c r="AB192">
        <v>320000000</v>
      </c>
      <c r="AC192">
        <v>361000000</v>
      </c>
      <c r="AD192">
        <v>215000000</v>
      </c>
      <c r="AE192">
        <v>250000000</v>
      </c>
      <c r="AF192">
        <v>611000000</v>
      </c>
      <c r="AG192">
        <v>241000000</v>
      </c>
      <c r="AH192">
        <v>11000000</v>
      </c>
      <c r="AI192">
        <v>104000000</v>
      </c>
      <c r="AJ192">
        <v>108000000</v>
      </c>
      <c r="AK192">
        <v>130000000</v>
      </c>
      <c r="AL192">
        <v>43000000</v>
      </c>
      <c r="AM192">
        <v>175000000</v>
      </c>
      <c r="AN192">
        <v>47000000</v>
      </c>
      <c r="AO192">
        <v>121000000</v>
      </c>
      <c r="AP192">
        <v>373000000</v>
      </c>
      <c r="AQ192">
        <v>52000000</v>
      </c>
      <c r="AR192">
        <v>95000000</v>
      </c>
      <c r="AS192">
        <v>18000000</v>
      </c>
      <c r="AT192">
        <v>10000000</v>
      </c>
      <c r="AU192">
        <v>16000000</v>
      </c>
      <c r="AV192">
        <v>22000000</v>
      </c>
      <c r="AW192">
        <v>47000000</v>
      </c>
      <c r="AX192">
        <v>368000000</v>
      </c>
      <c r="AY192">
        <v>193000000</v>
      </c>
      <c r="AZ192">
        <v>172000000</v>
      </c>
      <c r="BB192">
        <v>43000000</v>
      </c>
      <c r="BC192">
        <v>46000000</v>
      </c>
      <c r="BD192">
        <v>71000000</v>
      </c>
      <c r="BE192">
        <v>5000000</v>
      </c>
      <c r="BF192">
        <v>15000000</v>
      </c>
      <c r="BG192">
        <v>153000000</v>
      </c>
      <c r="BH192">
        <v>211000000</v>
      </c>
      <c r="BI192">
        <v>168000000</v>
      </c>
      <c r="BJ192">
        <v>28000000</v>
      </c>
      <c r="BK192">
        <v>103000000</v>
      </c>
      <c r="BL192">
        <v>0</v>
      </c>
      <c r="BM192">
        <v>28000000</v>
      </c>
      <c r="BN192">
        <v>62000000</v>
      </c>
      <c r="BO192">
        <v>38000000</v>
      </c>
      <c r="BP192">
        <v>22000000</v>
      </c>
      <c r="BQ192">
        <v>1000000</v>
      </c>
      <c r="BR192">
        <v>90000000</v>
      </c>
    </row>
    <row r="193" spans="1:70">
      <c r="A193" t="s">
        <v>383</v>
      </c>
      <c r="B193" t="s">
        <v>384</v>
      </c>
      <c r="C193" t="s">
        <v>9</v>
      </c>
      <c r="D193" t="s">
        <v>10</v>
      </c>
      <c r="E193">
        <v>50000000</v>
      </c>
      <c r="F193">
        <v>44000000</v>
      </c>
      <c r="G193">
        <v>11000000</v>
      </c>
      <c r="H193">
        <v>4000000</v>
      </c>
      <c r="I193">
        <v>2000000</v>
      </c>
      <c r="J193">
        <v>99000000</v>
      </c>
      <c r="K193">
        <v>86000000</v>
      </c>
      <c r="L193">
        <v>43000000</v>
      </c>
      <c r="M193">
        <v>16000000</v>
      </c>
      <c r="N193">
        <v>26000000</v>
      </c>
      <c r="O193">
        <v>9000000</v>
      </c>
      <c r="P193">
        <v>90000000</v>
      </c>
      <c r="Q193">
        <v>50000000</v>
      </c>
      <c r="R193">
        <v>106000000</v>
      </c>
      <c r="S193">
        <v>60000000</v>
      </c>
      <c r="T193">
        <v>133000000</v>
      </c>
      <c r="U193">
        <v>256000000</v>
      </c>
      <c r="V193">
        <v>198000000</v>
      </c>
      <c r="W193">
        <v>143000000</v>
      </c>
      <c r="X193">
        <v>92000000</v>
      </c>
      <c r="Y193">
        <v>75000000</v>
      </c>
      <c r="Z193">
        <v>39000000</v>
      </c>
      <c r="AA193">
        <v>17000000</v>
      </c>
      <c r="AB193">
        <v>116000000</v>
      </c>
      <c r="AC193">
        <v>38000000</v>
      </c>
      <c r="AD193">
        <v>23000000</v>
      </c>
      <c r="AF193">
        <v>26000000</v>
      </c>
      <c r="AG193">
        <v>12000000</v>
      </c>
      <c r="AH193">
        <v>19000000</v>
      </c>
      <c r="AI193">
        <v>33000000</v>
      </c>
      <c r="AJ193">
        <v>34000000</v>
      </c>
      <c r="AK193">
        <v>43000000</v>
      </c>
      <c r="AL193">
        <v>62000000</v>
      </c>
      <c r="AM193">
        <v>72000000</v>
      </c>
      <c r="AN193">
        <v>30000000</v>
      </c>
      <c r="AO193">
        <v>43000000</v>
      </c>
      <c r="AP193">
        <v>72000000</v>
      </c>
      <c r="AQ193">
        <v>64000000</v>
      </c>
      <c r="AT193">
        <v>10000000</v>
      </c>
      <c r="AU193">
        <v>5000000</v>
      </c>
      <c r="AV193">
        <v>10000000</v>
      </c>
      <c r="AW193">
        <v>34000000</v>
      </c>
      <c r="AX193">
        <v>12000000</v>
      </c>
      <c r="AY193">
        <v>23000000</v>
      </c>
      <c r="AZ193">
        <v>16000000</v>
      </c>
      <c r="BA193">
        <v>10000000</v>
      </c>
      <c r="BB193">
        <v>1000000</v>
      </c>
      <c r="BC193">
        <v>3000000</v>
      </c>
      <c r="BD193">
        <v>63000000</v>
      </c>
      <c r="BE193">
        <v>21000000</v>
      </c>
      <c r="BF193">
        <v>83000000</v>
      </c>
      <c r="BG193">
        <v>12000000</v>
      </c>
      <c r="BH193">
        <v>153000000</v>
      </c>
      <c r="BI193">
        <v>228000000</v>
      </c>
      <c r="BJ193">
        <v>278000000</v>
      </c>
      <c r="BK193">
        <v>17000000</v>
      </c>
      <c r="BL193">
        <v>191000000</v>
      </c>
      <c r="BM193">
        <v>385000000</v>
      </c>
      <c r="BN193">
        <v>365000000</v>
      </c>
      <c r="BO193">
        <v>280000000</v>
      </c>
      <c r="BP193">
        <v>108000000</v>
      </c>
      <c r="BQ193">
        <v>305000000</v>
      </c>
      <c r="BR193">
        <v>846000000</v>
      </c>
    </row>
    <row r="194" spans="1:70">
      <c r="A194" t="s">
        <v>385</v>
      </c>
      <c r="B194" t="s">
        <v>386</v>
      </c>
      <c r="C194" t="s">
        <v>9</v>
      </c>
      <c r="D194" t="s">
        <v>10</v>
      </c>
      <c r="AI194">
        <v>2000000</v>
      </c>
      <c r="AO194">
        <v>6000000</v>
      </c>
      <c r="BM194">
        <v>7000000</v>
      </c>
    </row>
    <row r="195" spans="1:70">
      <c r="A195" t="s">
        <v>387</v>
      </c>
      <c r="B195" t="s">
        <v>388</v>
      </c>
      <c r="C195" t="s">
        <v>9</v>
      </c>
      <c r="D195" t="s">
        <v>10</v>
      </c>
      <c r="T195">
        <v>32000000</v>
      </c>
      <c r="V195">
        <v>3000000</v>
      </c>
      <c r="W195">
        <v>2000000</v>
      </c>
      <c r="Z195">
        <v>2000000</v>
      </c>
      <c r="AA195">
        <v>4000000</v>
      </c>
      <c r="AC195">
        <v>2000000</v>
      </c>
      <c r="AE195">
        <v>8000000</v>
      </c>
      <c r="AF195">
        <v>12000000</v>
      </c>
      <c r="AG195">
        <v>6000000</v>
      </c>
      <c r="AH195">
        <v>6000000</v>
      </c>
      <c r="AI195">
        <v>4000000</v>
      </c>
      <c r="AJ195">
        <v>10000000</v>
      </c>
      <c r="AK195">
        <v>10000000</v>
      </c>
      <c r="AM195">
        <v>1000000</v>
      </c>
      <c r="AO195">
        <v>1000000</v>
      </c>
      <c r="AP195">
        <v>7000000</v>
      </c>
      <c r="BG195">
        <v>3000000</v>
      </c>
      <c r="BJ195">
        <v>0</v>
      </c>
      <c r="BK195">
        <v>8000000</v>
      </c>
      <c r="BN195">
        <v>14000000</v>
      </c>
      <c r="BP195">
        <v>9000000</v>
      </c>
    </row>
    <row r="196" spans="1:70">
      <c r="A196" t="s">
        <v>389</v>
      </c>
      <c r="B196" t="s">
        <v>390</v>
      </c>
      <c r="C196" t="s">
        <v>9</v>
      </c>
      <c r="D196" t="s">
        <v>10</v>
      </c>
      <c r="E196">
        <v>889000000</v>
      </c>
      <c r="F196">
        <v>864000000</v>
      </c>
      <c r="G196">
        <v>685000000</v>
      </c>
      <c r="H196">
        <v>1020000000</v>
      </c>
      <c r="I196">
        <v>1572000000</v>
      </c>
      <c r="J196">
        <v>1162000000</v>
      </c>
      <c r="K196">
        <v>1004000000</v>
      </c>
      <c r="L196">
        <v>781000000</v>
      </c>
      <c r="M196">
        <v>927000000</v>
      </c>
      <c r="N196">
        <v>992000000</v>
      </c>
      <c r="O196">
        <v>859000000</v>
      </c>
      <c r="P196">
        <v>1009000000</v>
      </c>
      <c r="Q196">
        <v>958000000</v>
      </c>
      <c r="R196">
        <v>1110000000</v>
      </c>
      <c r="S196">
        <v>1060000000</v>
      </c>
      <c r="T196">
        <v>887000000</v>
      </c>
      <c r="U196">
        <v>1102000000</v>
      </c>
      <c r="V196">
        <v>1023000000</v>
      </c>
      <c r="W196">
        <v>1186000000</v>
      </c>
      <c r="X196">
        <v>1187000000</v>
      </c>
      <c r="Y196">
        <v>1119000000</v>
      </c>
      <c r="Z196">
        <v>804000000</v>
      </c>
      <c r="AA196">
        <v>709000000</v>
      </c>
      <c r="AB196">
        <v>536000000</v>
      </c>
      <c r="AC196">
        <v>466000000</v>
      </c>
      <c r="AD196">
        <v>925000000</v>
      </c>
      <c r="AE196">
        <v>1389000000</v>
      </c>
      <c r="AF196">
        <v>1036000000</v>
      </c>
      <c r="AG196">
        <v>903000000</v>
      </c>
      <c r="AH196">
        <v>501000000</v>
      </c>
      <c r="AI196">
        <v>226000000</v>
      </c>
      <c r="AJ196">
        <v>76000000</v>
      </c>
      <c r="AK196">
        <v>100000000</v>
      </c>
      <c r="AL196">
        <v>4000000</v>
      </c>
      <c r="AM196">
        <v>74000000</v>
      </c>
      <c r="AN196">
        <v>250000000</v>
      </c>
      <c r="AO196">
        <v>101000000</v>
      </c>
      <c r="AR196">
        <v>23000000</v>
      </c>
      <c r="AS196">
        <v>146000000</v>
      </c>
      <c r="AT196">
        <v>31000000</v>
      </c>
      <c r="AU196">
        <v>253000000</v>
      </c>
      <c r="AV196">
        <v>347000000</v>
      </c>
      <c r="AW196">
        <v>223000000</v>
      </c>
      <c r="AX196">
        <v>105000000</v>
      </c>
      <c r="AY196">
        <v>442000000</v>
      </c>
      <c r="AZ196">
        <v>969000000</v>
      </c>
      <c r="BA196">
        <v>633000000</v>
      </c>
      <c r="BB196">
        <v>193000000</v>
      </c>
      <c r="BC196">
        <v>174000000</v>
      </c>
      <c r="BD196">
        <v>141000000</v>
      </c>
      <c r="BE196">
        <v>227000000</v>
      </c>
      <c r="BF196">
        <v>146000000</v>
      </c>
      <c r="BG196">
        <v>275000000</v>
      </c>
      <c r="BH196">
        <v>127000000</v>
      </c>
      <c r="BI196">
        <v>45000000</v>
      </c>
      <c r="BJ196">
        <v>126000000</v>
      </c>
      <c r="BK196">
        <v>50000000</v>
      </c>
      <c r="BL196">
        <v>213000000</v>
      </c>
      <c r="BM196">
        <v>153000000</v>
      </c>
      <c r="BN196">
        <v>68000000</v>
      </c>
      <c r="BO196">
        <v>414000000</v>
      </c>
      <c r="BP196">
        <v>1391000000</v>
      </c>
      <c r="BQ196">
        <v>1542000000</v>
      </c>
      <c r="BR196">
        <v>2169000000</v>
      </c>
    </row>
    <row r="197" spans="1:70">
      <c r="A197" t="s">
        <v>391</v>
      </c>
      <c r="B197" t="s">
        <v>392</v>
      </c>
      <c r="C197" t="s">
        <v>9</v>
      </c>
      <c r="D197" t="s">
        <v>10</v>
      </c>
      <c r="E197">
        <v>273000000</v>
      </c>
      <c r="F197">
        <v>242000000</v>
      </c>
      <c r="G197">
        <v>410000000</v>
      </c>
      <c r="H197">
        <v>324000000</v>
      </c>
      <c r="I197">
        <v>515000000</v>
      </c>
      <c r="J197">
        <v>521000000</v>
      </c>
      <c r="K197">
        <v>881000000</v>
      </c>
      <c r="L197">
        <v>800000000</v>
      </c>
      <c r="M197">
        <v>676000000</v>
      </c>
      <c r="N197">
        <v>929000000</v>
      </c>
      <c r="O197">
        <v>996000000</v>
      </c>
      <c r="P197">
        <v>849000000</v>
      </c>
      <c r="Q197">
        <v>985000000</v>
      </c>
      <c r="R197">
        <v>2276000000</v>
      </c>
      <c r="S197">
        <v>2185000000</v>
      </c>
      <c r="V197">
        <v>1956000000</v>
      </c>
      <c r="W197">
        <v>3542000000</v>
      </c>
      <c r="X197">
        <v>3005000000</v>
      </c>
      <c r="Y197">
        <v>4170000000</v>
      </c>
      <c r="Z197">
        <v>4832000000</v>
      </c>
      <c r="AA197">
        <v>5265000000</v>
      </c>
      <c r="AB197">
        <v>4596000000</v>
      </c>
      <c r="AC197">
        <v>6313000000</v>
      </c>
      <c r="AD197">
        <v>5417000000</v>
      </c>
      <c r="AE197">
        <v>4746000000</v>
      </c>
      <c r="AF197">
        <v>5720000000</v>
      </c>
      <c r="AH197">
        <v>3775000000</v>
      </c>
      <c r="AI197">
        <v>2767000000</v>
      </c>
      <c r="AM197">
        <v>297000000</v>
      </c>
      <c r="AP197">
        <v>270000000</v>
      </c>
      <c r="AS197">
        <v>433000000</v>
      </c>
      <c r="AU197">
        <v>390000000</v>
      </c>
      <c r="AV197">
        <v>475000000</v>
      </c>
      <c r="AY197">
        <v>581000000</v>
      </c>
      <c r="AZ197">
        <v>637000000</v>
      </c>
      <c r="BA197">
        <v>927000000</v>
      </c>
      <c r="BB197">
        <v>1205000000</v>
      </c>
      <c r="BC197">
        <v>1690000000</v>
      </c>
      <c r="BD197">
        <v>2279000000</v>
      </c>
      <c r="BE197">
        <v>1815000000</v>
      </c>
      <c r="BF197">
        <v>1282000000</v>
      </c>
      <c r="BG197">
        <v>1679000000</v>
      </c>
      <c r="BH197">
        <v>2155000000</v>
      </c>
      <c r="BI197">
        <v>2664000000</v>
      </c>
      <c r="BJ197">
        <v>1605000000</v>
      </c>
      <c r="BK197">
        <v>1274000000</v>
      </c>
      <c r="BL197">
        <v>988000000</v>
      </c>
      <c r="BM197">
        <v>655000000</v>
      </c>
      <c r="BO197">
        <v>491000000</v>
      </c>
      <c r="BP197">
        <v>669000000</v>
      </c>
      <c r="BQ197">
        <v>629000000</v>
      </c>
      <c r="BR197">
        <v>540000000</v>
      </c>
    </row>
    <row r="198" spans="1:70">
      <c r="A198" t="s">
        <v>393</v>
      </c>
      <c r="B198" t="s">
        <v>394</v>
      </c>
      <c r="C198" t="s">
        <v>9</v>
      </c>
      <c r="D198" t="s">
        <v>10</v>
      </c>
    </row>
    <row r="199" spans="1:70">
      <c r="A199" t="s">
        <v>395</v>
      </c>
      <c r="B199" t="s">
        <v>396</v>
      </c>
      <c r="C199" t="s">
        <v>9</v>
      </c>
      <c r="D199" t="s">
        <v>10</v>
      </c>
      <c r="E199">
        <v>405000000</v>
      </c>
      <c r="F199">
        <v>69000000</v>
      </c>
      <c r="G199">
        <v>181000000</v>
      </c>
      <c r="H199">
        <v>197000000</v>
      </c>
      <c r="I199">
        <v>168000000</v>
      </c>
      <c r="J199">
        <v>118000000</v>
      </c>
      <c r="K199">
        <v>832000000</v>
      </c>
      <c r="L199">
        <v>846000000</v>
      </c>
      <c r="M199">
        <v>1308000000</v>
      </c>
      <c r="N199">
        <v>609000000</v>
      </c>
      <c r="O199">
        <v>649000000</v>
      </c>
      <c r="P199">
        <v>1502000000</v>
      </c>
      <c r="Q199">
        <v>482000000</v>
      </c>
      <c r="R199">
        <v>535000000</v>
      </c>
      <c r="S199">
        <v>793000000</v>
      </c>
      <c r="T199">
        <v>561000000</v>
      </c>
      <c r="U199">
        <v>487000000</v>
      </c>
      <c r="V199">
        <v>297000000</v>
      </c>
      <c r="W199">
        <v>354000000</v>
      </c>
      <c r="X199">
        <v>313000000</v>
      </c>
      <c r="Y199">
        <v>487000000</v>
      </c>
      <c r="Z199">
        <v>347000000</v>
      </c>
      <c r="AA199">
        <v>527000000</v>
      </c>
      <c r="AB199">
        <v>339000000</v>
      </c>
      <c r="AC199">
        <v>112000000</v>
      </c>
      <c r="AD199">
        <v>963000000</v>
      </c>
      <c r="AE199">
        <v>1075000000</v>
      </c>
      <c r="AF199">
        <v>813000000</v>
      </c>
      <c r="AG199">
        <v>818000000</v>
      </c>
      <c r="AH199">
        <v>561000000</v>
      </c>
      <c r="AI199">
        <v>340000000</v>
      </c>
      <c r="AJ199">
        <v>251000000</v>
      </c>
      <c r="AK199">
        <v>183000000</v>
      </c>
      <c r="AL199">
        <v>146000000</v>
      </c>
      <c r="AM199">
        <v>79000000</v>
      </c>
      <c r="AN199">
        <v>184000000</v>
      </c>
      <c r="AO199">
        <v>118000000</v>
      </c>
      <c r="AP199">
        <v>54000000</v>
      </c>
      <c r="AQ199">
        <v>54000000</v>
      </c>
      <c r="AR199">
        <v>54000000</v>
      </c>
      <c r="AS199">
        <v>63000000</v>
      </c>
      <c r="AT199">
        <v>73000000</v>
      </c>
      <c r="AU199">
        <v>54000000</v>
      </c>
      <c r="AV199">
        <v>35000000</v>
      </c>
      <c r="AW199">
        <v>8000000</v>
      </c>
      <c r="AX199">
        <v>5000000</v>
      </c>
      <c r="AY199">
        <v>5000000</v>
      </c>
      <c r="AZ199">
        <v>5000000</v>
      </c>
      <c r="BA199">
        <v>5000000</v>
      </c>
      <c r="BB199">
        <v>4000000</v>
      </c>
      <c r="BC199">
        <v>1000000</v>
      </c>
    </row>
    <row r="200" spans="1:70">
      <c r="A200" t="s">
        <v>397</v>
      </c>
      <c r="B200" t="s">
        <v>398</v>
      </c>
      <c r="C200" t="s">
        <v>9</v>
      </c>
      <c r="D200" t="s">
        <v>10</v>
      </c>
      <c r="E200">
        <v>35000000</v>
      </c>
      <c r="F200">
        <v>157000000</v>
      </c>
      <c r="G200">
        <v>28000000</v>
      </c>
      <c r="H200">
        <v>41000000</v>
      </c>
      <c r="I200">
        <v>46000000</v>
      </c>
      <c r="J200">
        <v>39000000</v>
      </c>
      <c r="K200">
        <v>244000000</v>
      </c>
      <c r="L200">
        <v>286000000</v>
      </c>
      <c r="M200">
        <v>371000000</v>
      </c>
      <c r="N200">
        <v>339000000</v>
      </c>
      <c r="O200">
        <v>371000000</v>
      </c>
      <c r="P200">
        <v>267000000</v>
      </c>
      <c r="Q200">
        <v>17000000</v>
      </c>
      <c r="R200">
        <v>17000000</v>
      </c>
      <c r="S200">
        <v>118000000</v>
      </c>
      <c r="T200">
        <v>327000000</v>
      </c>
      <c r="U200">
        <v>64000000</v>
      </c>
      <c r="V200">
        <v>94000000</v>
      </c>
      <c r="W200">
        <v>130000000</v>
      </c>
      <c r="X200">
        <v>7000000</v>
      </c>
      <c r="Y200">
        <v>36000000</v>
      </c>
      <c r="Z200">
        <v>57000000</v>
      </c>
      <c r="AA200">
        <v>192000000</v>
      </c>
      <c r="AB200">
        <v>12000000</v>
      </c>
      <c r="AC200">
        <v>109000000</v>
      </c>
      <c r="AD200">
        <v>154000000</v>
      </c>
      <c r="AE200">
        <v>3000000</v>
      </c>
      <c r="AF200">
        <v>9000000</v>
      </c>
      <c r="AG200">
        <v>90000000</v>
      </c>
      <c r="AH200">
        <v>149000000</v>
      </c>
      <c r="AI200">
        <v>74000000</v>
      </c>
      <c r="AJ200">
        <v>1012000000</v>
      </c>
      <c r="AK200">
        <v>19000000</v>
      </c>
      <c r="AL200">
        <v>350000000</v>
      </c>
      <c r="AM200">
        <v>453000000</v>
      </c>
      <c r="AN200">
        <v>20000000</v>
      </c>
      <c r="AO200">
        <v>9000000</v>
      </c>
      <c r="AP200">
        <v>2000000</v>
      </c>
      <c r="AQ200">
        <v>16000000</v>
      </c>
      <c r="AR200">
        <v>3000000</v>
      </c>
      <c r="AS200">
        <v>2000000</v>
      </c>
      <c r="AT200">
        <v>18000000</v>
      </c>
      <c r="AV200">
        <v>29000000</v>
      </c>
      <c r="AW200">
        <v>70000000</v>
      </c>
      <c r="AX200">
        <v>158000000</v>
      </c>
      <c r="AY200">
        <v>220000000</v>
      </c>
      <c r="AZ200">
        <v>60000000</v>
      </c>
      <c r="BA200">
        <v>145000000</v>
      </c>
      <c r="BB200">
        <v>371000000</v>
      </c>
      <c r="BC200">
        <v>891000000</v>
      </c>
      <c r="BD200">
        <v>170000000</v>
      </c>
      <c r="BE200">
        <v>42000000</v>
      </c>
      <c r="BF200">
        <v>11000000</v>
      </c>
      <c r="BG200">
        <v>3000000</v>
      </c>
      <c r="BH200">
        <v>1000000</v>
      </c>
      <c r="BI200">
        <v>21000000</v>
      </c>
      <c r="BJ200">
        <v>8000000</v>
      </c>
      <c r="BK200">
        <v>19000000</v>
      </c>
      <c r="BL200">
        <v>44000000</v>
      </c>
      <c r="BM200">
        <v>45000000</v>
      </c>
      <c r="BN200">
        <v>6000000</v>
      </c>
      <c r="BP200">
        <v>67000000</v>
      </c>
      <c r="BQ200">
        <v>61000000</v>
      </c>
      <c r="BR200">
        <v>90000000</v>
      </c>
    </row>
    <row r="201" spans="1:70">
      <c r="A201" t="s">
        <v>399</v>
      </c>
      <c r="B201" t="s">
        <v>400</v>
      </c>
      <c r="C201" t="s">
        <v>9</v>
      </c>
      <c r="D201" t="s">
        <v>10</v>
      </c>
      <c r="E201">
        <v>9000000</v>
      </c>
      <c r="G201">
        <v>11000000</v>
      </c>
      <c r="H201">
        <v>0</v>
      </c>
      <c r="I201">
        <v>8000000</v>
      </c>
      <c r="J201">
        <v>1000000</v>
      </c>
      <c r="K201">
        <v>1000000</v>
      </c>
      <c r="L201">
        <v>5000000</v>
      </c>
      <c r="M201">
        <v>9000000</v>
      </c>
      <c r="O201">
        <v>0</v>
      </c>
      <c r="P201">
        <v>1000000</v>
      </c>
      <c r="Q201">
        <v>12000000</v>
      </c>
      <c r="R201">
        <v>0</v>
      </c>
      <c r="S201">
        <v>1000000</v>
      </c>
      <c r="T201">
        <v>20000000</v>
      </c>
      <c r="U201">
        <v>3000000</v>
      </c>
      <c r="W201">
        <v>9000000</v>
      </c>
      <c r="X201">
        <v>1000000</v>
      </c>
      <c r="Y201">
        <v>18000000</v>
      </c>
      <c r="Z201">
        <v>5000000</v>
      </c>
      <c r="AA201">
        <v>3000000</v>
      </c>
      <c r="AB201">
        <v>0</v>
      </c>
      <c r="AC201">
        <v>3000000</v>
      </c>
      <c r="AD201">
        <v>36000000</v>
      </c>
      <c r="AE201">
        <v>6000000</v>
      </c>
      <c r="AG201">
        <v>13000000</v>
      </c>
      <c r="AI201">
        <v>6000000</v>
      </c>
      <c r="AJ201">
        <v>3000000</v>
      </c>
      <c r="AK201">
        <v>1000000</v>
      </c>
      <c r="AO201">
        <v>2000000</v>
      </c>
      <c r="AT201">
        <v>6000000</v>
      </c>
      <c r="AW201">
        <v>4000000</v>
      </c>
      <c r="AX201">
        <v>1000000</v>
      </c>
      <c r="BC201">
        <v>3000000</v>
      </c>
      <c r="BD201">
        <v>8000000</v>
      </c>
      <c r="BE201">
        <v>7000000</v>
      </c>
      <c r="BF201">
        <v>0</v>
      </c>
      <c r="BL201">
        <v>2000000</v>
      </c>
      <c r="BN201">
        <v>5000000</v>
      </c>
      <c r="BR201">
        <v>24000000</v>
      </c>
    </row>
    <row r="202" spans="1:70">
      <c r="A202" t="s">
        <v>401</v>
      </c>
      <c r="B202" t="s">
        <v>402</v>
      </c>
      <c r="C202" t="s">
        <v>9</v>
      </c>
      <c r="D202" t="s">
        <v>10</v>
      </c>
      <c r="AM202">
        <v>5000000</v>
      </c>
      <c r="AN202">
        <v>1000000</v>
      </c>
      <c r="AO202">
        <v>9000000</v>
      </c>
      <c r="AZ202">
        <v>2000000</v>
      </c>
      <c r="BB202">
        <v>15000000</v>
      </c>
      <c r="BC202">
        <v>5000000</v>
      </c>
      <c r="BI202">
        <v>1000000</v>
      </c>
      <c r="BL202">
        <v>1000000</v>
      </c>
      <c r="BP202">
        <v>2000000</v>
      </c>
    </row>
    <row r="203" spans="1:70">
      <c r="A203" t="s">
        <v>403</v>
      </c>
      <c r="B203" t="s">
        <v>404</v>
      </c>
      <c r="C203" t="s">
        <v>9</v>
      </c>
      <c r="D203" t="s">
        <v>10</v>
      </c>
      <c r="AI203">
        <v>23000000</v>
      </c>
      <c r="AM203">
        <v>18000000</v>
      </c>
      <c r="AN203">
        <v>12000000</v>
      </c>
    </row>
    <row r="204" spans="1:70">
      <c r="A204" t="s">
        <v>405</v>
      </c>
      <c r="B204" t="s">
        <v>406</v>
      </c>
      <c r="C204" t="s">
        <v>9</v>
      </c>
      <c r="D204" t="s">
        <v>10</v>
      </c>
      <c r="E204">
        <v>7408000000</v>
      </c>
      <c r="F204">
        <v>8465000000</v>
      </c>
      <c r="G204">
        <v>9235000000</v>
      </c>
      <c r="H204">
        <v>10899000000</v>
      </c>
      <c r="I204">
        <v>15407000000</v>
      </c>
      <c r="J204">
        <v>13208000000</v>
      </c>
      <c r="K204">
        <v>9848000000</v>
      </c>
      <c r="L204">
        <v>8787000000</v>
      </c>
      <c r="M204">
        <v>8428000000</v>
      </c>
      <c r="N204">
        <v>10776000000</v>
      </c>
      <c r="O204">
        <v>7641000000</v>
      </c>
      <c r="P204">
        <v>10477000000</v>
      </c>
      <c r="Q204">
        <v>9542000000</v>
      </c>
      <c r="R204">
        <v>8627000000</v>
      </c>
      <c r="S204">
        <v>9962000000</v>
      </c>
      <c r="T204">
        <v>10912000000</v>
      </c>
      <c r="U204">
        <v>10018000000</v>
      </c>
      <c r="V204">
        <v>9151000000</v>
      </c>
      <c r="W204">
        <v>10602000000</v>
      </c>
      <c r="X204">
        <v>9054000000</v>
      </c>
      <c r="Y204">
        <v>10468000000</v>
      </c>
      <c r="Z204">
        <v>12020000000</v>
      </c>
      <c r="AA204">
        <v>10689000000</v>
      </c>
      <c r="AB204">
        <v>11541000000</v>
      </c>
      <c r="AC204">
        <v>10851000000</v>
      </c>
      <c r="AD204">
        <v>9495000000</v>
      </c>
      <c r="AE204">
        <v>9806000000</v>
      </c>
      <c r="AF204">
        <v>10288000000</v>
      </c>
      <c r="AG204">
        <v>12989000000</v>
      </c>
      <c r="AH204">
        <v>13121000000</v>
      </c>
      <c r="AI204">
        <v>10798000000</v>
      </c>
      <c r="AJ204">
        <v>12290000000</v>
      </c>
      <c r="AK204">
        <v>11309000000</v>
      </c>
      <c r="AL204">
        <v>10130000000</v>
      </c>
      <c r="AM204">
        <v>8735000000</v>
      </c>
      <c r="AN204">
        <v>7935000000</v>
      </c>
      <c r="AO204">
        <v>8266000000</v>
      </c>
      <c r="AP204">
        <v>8074000000</v>
      </c>
      <c r="AQ204">
        <v>10346000000</v>
      </c>
      <c r="AR204">
        <v>8488000000</v>
      </c>
      <c r="AS204">
        <v>7520000000</v>
      </c>
      <c r="AT204">
        <v>7268000000</v>
      </c>
      <c r="AU204">
        <v>5237000000</v>
      </c>
      <c r="AV204">
        <v>7748000000</v>
      </c>
      <c r="AW204">
        <v>6740000000</v>
      </c>
      <c r="AX204">
        <v>5525000000</v>
      </c>
      <c r="AY204">
        <v>8044000000</v>
      </c>
      <c r="AZ204">
        <v>10161000000</v>
      </c>
      <c r="BA204">
        <v>9282000000</v>
      </c>
      <c r="BB204">
        <v>9423000000</v>
      </c>
      <c r="BC204">
        <v>9106000000</v>
      </c>
      <c r="BD204">
        <v>8116000000</v>
      </c>
      <c r="BE204">
        <v>6405000000</v>
      </c>
      <c r="BF204">
        <v>4585000000</v>
      </c>
      <c r="BG204">
        <v>4354000000</v>
      </c>
      <c r="BH204">
        <v>5634000000</v>
      </c>
      <c r="BI204">
        <v>6058000000</v>
      </c>
      <c r="BJ204">
        <v>7047000000</v>
      </c>
      <c r="BK204">
        <v>6702000000</v>
      </c>
      <c r="BL204">
        <v>7696000000</v>
      </c>
      <c r="BM204">
        <v>8228000000</v>
      </c>
      <c r="BN204">
        <v>8380000000</v>
      </c>
      <c r="BO204">
        <v>12136000000</v>
      </c>
      <c r="BP204">
        <v>11327000000</v>
      </c>
      <c r="BQ204">
        <v>15636000000</v>
      </c>
      <c r="BR204">
        <v>13630000000</v>
      </c>
    </row>
    <row r="205" spans="1:70">
      <c r="A205" t="s">
        <v>407</v>
      </c>
      <c r="B205" t="s">
        <v>408</v>
      </c>
      <c r="C205" t="s">
        <v>9</v>
      </c>
      <c r="D205" t="s">
        <v>10</v>
      </c>
    </row>
    <row r="206" spans="1:70">
      <c r="A206" t="s">
        <v>409</v>
      </c>
      <c r="B206" t="s">
        <v>410</v>
      </c>
      <c r="C206" t="s">
        <v>9</v>
      </c>
      <c r="D206" t="s">
        <v>10</v>
      </c>
      <c r="M206">
        <v>2000000</v>
      </c>
      <c r="N206">
        <v>3000000</v>
      </c>
      <c r="O206">
        <v>6000000</v>
      </c>
      <c r="P206">
        <v>16000000</v>
      </c>
      <c r="T206">
        <v>38000000</v>
      </c>
      <c r="U206">
        <v>26000000</v>
      </c>
      <c r="V206">
        <v>55000000</v>
      </c>
      <c r="W206">
        <v>16000000</v>
      </c>
      <c r="X206">
        <v>14000000</v>
      </c>
      <c r="Y206">
        <v>57000000</v>
      </c>
      <c r="Z206">
        <v>48000000</v>
      </c>
      <c r="AA206">
        <v>127000000</v>
      </c>
      <c r="AB206">
        <v>460000000</v>
      </c>
      <c r="AC206">
        <v>340000000</v>
      </c>
      <c r="AD206">
        <v>2000000</v>
      </c>
      <c r="AE206">
        <v>2000000</v>
      </c>
      <c r="AF206">
        <v>57000000</v>
      </c>
      <c r="AG206">
        <v>91000000</v>
      </c>
      <c r="AH206">
        <v>10000000</v>
      </c>
      <c r="AI206">
        <v>5000000</v>
      </c>
      <c r="AJ206">
        <v>17000000</v>
      </c>
      <c r="AK206">
        <v>63000000</v>
      </c>
      <c r="AL206">
        <v>10000000</v>
      </c>
      <c r="AM206">
        <v>9000000</v>
      </c>
      <c r="AN206">
        <v>10000000</v>
      </c>
      <c r="AO206">
        <v>204000000</v>
      </c>
      <c r="AP206">
        <v>238000000</v>
      </c>
      <c r="AQ206">
        <v>302000000</v>
      </c>
      <c r="AR206">
        <v>61000000</v>
      </c>
      <c r="AS206">
        <v>3000000</v>
      </c>
      <c r="AZ206">
        <v>27000000</v>
      </c>
      <c r="BB206">
        <v>286000000</v>
      </c>
      <c r="BC206">
        <v>30000000</v>
      </c>
      <c r="BD206">
        <v>190000000</v>
      </c>
      <c r="BE206">
        <v>335000000</v>
      </c>
      <c r="BF206">
        <v>82000000</v>
      </c>
      <c r="BG206">
        <v>55000000</v>
      </c>
      <c r="BH206">
        <v>490000000</v>
      </c>
      <c r="BI206">
        <v>596000000</v>
      </c>
      <c r="BJ206">
        <v>285000000</v>
      </c>
      <c r="BK206">
        <v>613000000</v>
      </c>
      <c r="BL206">
        <v>2230000000</v>
      </c>
      <c r="BM206">
        <v>1082000000</v>
      </c>
      <c r="BN206">
        <v>2288000000</v>
      </c>
      <c r="BO206">
        <v>3336000000</v>
      </c>
      <c r="BP206">
        <v>2006000000</v>
      </c>
      <c r="BQ206">
        <v>1194000000</v>
      </c>
      <c r="BR206">
        <v>1054000000</v>
      </c>
    </row>
    <row r="207" spans="1:70">
      <c r="A207" t="s">
        <v>411</v>
      </c>
      <c r="B207" t="s">
        <v>412</v>
      </c>
      <c r="C207" t="s">
        <v>9</v>
      </c>
      <c r="D207" t="s">
        <v>10</v>
      </c>
      <c r="E207">
        <v>116000000</v>
      </c>
      <c r="F207">
        <v>30000000</v>
      </c>
      <c r="G207">
        <v>179000000</v>
      </c>
      <c r="H207">
        <v>230000000</v>
      </c>
      <c r="I207">
        <v>421000000</v>
      </c>
      <c r="J207">
        <v>520000000</v>
      </c>
      <c r="K207">
        <v>401000000</v>
      </c>
      <c r="L207">
        <v>442000000</v>
      </c>
      <c r="M207">
        <v>591000000</v>
      </c>
      <c r="N207">
        <v>399000000</v>
      </c>
      <c r="O207">
        <v>561000000</v>
      </c>
      <c r="P207">
        <v>471000000</v>
      </c>
      <c r="Q207">
        <v>497000000</v>
      </c>
      <c r="R207">
        <v>538000000</v>
      </c>
      <c r="S207">
        <v>673000000</v>
      </c>
      <c r="T207">
        <v>637000000</v>
      </c>
      <c r="U207">
        <v>294000000</v>
      </c>
      <c r="V207">
        <v>348000000</v>
      </c>
      <c r="W207">
        <v>329000000</v>
      </c>
      <c r="X207">
        <v>612000000</v>
      </c>
      <c r="Y207">
        <v>516000000</v>
      </c>
      <c r="Z207">
        <v>470000000</v>
      </c>
      <c r="AA207">
        <v>444000000</v>
      </c>
      <c r="AB207">
        <v>284000000</v>
      </c>
      <c r="AC207">
        <v>243000000</v>
      </c>
      <c r="AD207">
        <v>330000000</v>
      </c>
      <c r="AE207">
        <v>455000000</v>
      </c>
      <c r="AF207">
        <v>214000000</v>
      </c>
      <c r="AG207">
        <v>237000000</v>
      </c>
      <c r="AH207">
        <v>296000000</v>
      </c>
      <c r="AI207">
        <v>599000000</v>
      </c>
      <c r="AJ207">
        <v>65000000</v>
      </c>
      <c r="AK207">
        <v>187000000</v>
      </c>
      <c r="AL207">
        <v>14000000</v>
      </c>
      <c r="AM207">
        <v>29000000</v>
      </c>
      <c r="AN207">
        <v>2000000</v>
      </c>
      <c r="AO207">
        <v>39000000</v>
      </c>
      <c r="AP207">
        <v>61000000</v>
      </c>
      <c r="AQ207">
        <v>170000000</v>
      </c>
      <c r="AR207">
        <v>142000000</v>
      </c>
      <c r="AS207">
        <v>21000000</v>
      </c>
      <c r="AT207">
        <v>24000000</v>
      </c>
      <c r="AU207">
        <v>21000000</v>
      </c>
      <c r="AV207">
        <v>17000000</v>
      </c>
      <c r="AW207">
        <v>283000000</v>
      </c>
      <c r="AX207">
        <v>431000000</v>
      </c>
      <c r="AY207">
        <v>64000000</v>
      </c>
      <c r="AZ207">
        <v>101000000</v>
      </c>
      <c r="BA207">
        <v>80000000</v>
      </c>
      <c r="BB207">
        <v>59000000</v>
      </c>
      <c r="BC207">
        <v>107000000</v>
      </c>
      <c r="BD207">
        <v>80000000</v>
      </c>
      <c r="BE207">
        <v>21000000</v>
      </c>
      <c r="BF207">
        <v>20000000</v>
      </c>
      <c r="BG207">
        <v>0</v>
      </c>
      <c r="BH207">
        <v>22000000</v>
      </c>
      <c r="BI207">
        <v>177000000</v>
      </c>
      <c r="BJ207">
        <v>88000000</v>
      </c>
      <c r="BK207">
        <v>36000000</v>
      </c>
      <c r="BL207">
        <v>13000000</v>
      </c>
      <c r="BM207">
        <v>168000000</v>
      </c>
      <c r="BN207">
        <v>105000000</v>
      </c>
      <c r="BO207">
        <v>186000000</v>
      </c>
      <c r="BP207">
        <v>364000000</v>
      </c>
      <c r="BQ207">
        <v>320000000</v>
      </c>
      <c r="BR207">
        <v>421000000</v>
      </c>
    </row>
    <row r="208" spans="1:70">
      <c r="A208" t="s">
        <v>413</v>
      </c>
      <c r="B208" t="s">
        <v>414</v>
      </c>
      <c r="C208" t="s">
        <v>9</v>
      </c>
      <c r="D208" t="s">
        <v>10</v>
      </c>
      <c r="AK208">
        <v>40000000</v>
      </c>
      <c r="AR208">
        <v>368000000</v>
      </c>
      <c r="AS208">
        <v>1147000000</v>
      </c>
      <c r="AT208">
        <v>2000000</v>
      </c>
      <c r="AZ208">
        <v>90000000</v>
      </c>
      <c r="BB208">
        <v>8000000</v>
      </c>
      <c r="BC208">
        <v>25000000</v>
      </c>
      <c r="BD208">
        <v>10000000</v>
      </c>
      <c r="BE208">
        <v>121000000</v>
      </c>
      <c r="BF208">
        <v>185000000</v>
      </c>
      <c r="BG208">
        <v>207000000</v>
      </c>
      <c r="BH208">
        <v>113000000</v>
      </c>
      <c r="BI208">
        <v>127000000</v>
      </c>
      <c r="BJ208">
        <v>94000000</v>
      </c>
      <c r="BK208">
        <v>62000000</v>
      </c>
      <c r="BL208">
        <v>5000000</v>
      </c>
      <c r="BM208">
        <v>1000000</v>
      </c>
      <c r="BN208">
        <v>6000000</v>
      </c>
      <c r="BO208">
        <v>39000000</v>
      </c>
      <c r="BP208">
        <v>95000000</v>
      </c>
      <c r="BQ208">
        <v>315000000</v>
      </c>
      <c r="BR208">
        <v>129000000</v>
      </c>
    </row>
    <row r="209" spans="1:70">
      <c r="A209" t="s">
        <v>415</v>
      </c>
      <c r="B209" t="s">
        <v>416</v>
      </c>
      <c r="C209" t="s">
        <v>9</v>
      </c>
      <c r="D209" t="s">
        <v>10</v>
      </c>
      <c r="G209">
        <v>11000000</v>
      </c>
      <c r="I209">
        <v>0</v>
      </c>
      <c r="J209">
        <v>0</v>
      </c>
      <c r="P209">
        <v>0</v>
      </c>
      <c r="Q209">
        <v>0</v>
      </c>
      <c r="R209">
        <v>2000000</v>
      </c>
      <c r="S209">
        <v>1000000</v>
      </c>
      <c r="T209">
        <v>3000000</v>
      </c>
      <c r="V209">
        <v>1000000</v>
      </c>
      <c r="AB209">
        <v>4000000</v>
      </c>
      <c r="AC209">
        <v>6000000</v>
      </c>
      <c r="AD209">
        <v>3000000</v>
      </c>
      <c r="AE209">
        <v>2000000</v>
      </c>
      <c r="AG209">
        <v>2000000</v>
      </c>
      <c r="AH209">
        <v>3000000</v>
      </c>
      <c r="AI209">
        <v>3000000</v>
      </c>
      <c r="AJ209">
        <v>5000000</v>
      </c>
      <c r="AK209">
        <v>5000000</v>
      </c>
      <c r="AO209">
        <v>1000000</v>
      </c>
      <c r="AP209">
        <v>3000000</v>
      </c>
      <c r="AQ209">
        <v>9000000</v>
      </c>
      <c r="AR209">
        <v>21000000</v>
      </c>
      <c r="AS209">
        <v>15000000</v>
      </c>
      <c r="AY209">
        <v>3000000</v>
      </c>
      <c r="AZ209">
        <v>20000000</v>
      </c>
      <c r="BA209">
        <v>14000000</v>
      </c>
      <c r="BB209">
        <v>11000000</v>
      </c>
      <c r="BE209">
        <v>5000000</v>
      </c>
      <c r="BF209">
        <v>15000000</v>
      </c>
      <c r="BG209">
        <v>15000000</v>
      </c>
      <c r="BH209">
        <v>29000000</v>
      </c>
      <c r="BJ209">
        <v>8000000</v>
      </c>
      <c r="BK209">
        <v>3000000</v>
      </c>
      <c r="BL209">
        <v>1000000</v>
      </c>
      <c r="BN209">
        <v>65000000</v>
      </c>
      <c r="BO209">
        <v>17000000</v>
      </c>
      <c r="BP209">
        <v>37000000</v>
      </c>
    </row>
    <row r="210" spans="1:70">
      <c r="A210" t="s">
        <v>417</v>
      </c>
      <c r="B210" t="s">
        <v>418</v>
      </c>
      <c r="C210" t="s">
        <v>9</v>
      </c>
      <c r="D210" t="s">
        <v>10</v>
      </c>
      <c r="E210">
        <v>548000000</v>
      </c>
      <c r="F210">
        <v>1148000000</v>
      </c>
      <c r="G210">
        <v>402000000</v>
      </c>
      <c r="H210">
        <v>695000000</v>
      </c>
      <c r="I210">
        <v>794000000</v>
      </c>
      <c r="J210">
        <v>1006000000</v>
      </c>
      <c r="K210">
        <v>961000000</v>
      </c>
      <c r="L210">
        <v>1132000000</v>
      </c>
      <c r="M210">
        <v>1373000000</v>
      </c>
      <c r="N210">
        <v>1368000000</v>
      </c>
      <c r="O210">
        <v>971000000</v>
      </c>
      <c r="P210">
        <v>2070000000</v>
      </c>
      <c r="Q210">
        <v>2145000000</v>
      </c>
      <c r="R210">
        <v>1592000000</v>
      </c>
      <c r="S210">
        <v>1377000000</v>
      </c>
      <c r="T210">
        <v>1583000000</v>
      </c>
      <c r="U210">
        <v>2018000000</v>
      </c>
      <c r="V210">
        <v>2454000000</v>
      </c>
      <c r="W210">
        <v>1247000000</v>
      </c>
      <c r="X210">
        <v>1201000000</v>
      </c>
      <c r="Y210">
        <v>1841000000</v>
      </c>
      <c r="Z210">
        <v>2197000000</v>
      </c>
      <c r="AA210">
        <v>2777000000</v>
      </c>
      <c r="AB210">
        <v>2750000000</v>
      </c>
      <c r="AC210">
        <v>2494000000</v>
      </c>
      <c r="AD210">
        <v>3166000000</v>
      </c>
      <c r="AE210">
        <v>4272000000</v>
      </c>
      <c r="AF210">
        <v>4031000000</v>
      </c>
      <c r="AG210">
        <v>4115000000</v>
      </c>
      <c r="AH210">
        <v>3985000000</v>
      </c>
      <c r="AI210">
        <v>3050000000</v>
      </c>
      <c r="AJ210">
        <v>2122000000</v>
      </c>
      <c r="AK210">
        <v>1331000000</v>
      </c>
      <c r="AL210">
        <v>823000000</v>
      </c>
      <c r="AM210">
        <v>1011000000</v>
      </c>
      <c r="AN210">
        <v>1545000000</v>
      </c>
      <c r="AO210">
        <v>1034000000</v>
      </c>
      <c r="AP210">
        <v>1768000000</v>
      </c>
      <c r="AQ210">
        <v>889000000</v>
      </c>
      <c r="AR210">
        <v>1462000000</v>
      </c>
      <c r="AS210">
        <v>1482000000</v>
      </c>
      <c r="AT210">
        <v>1490000000</v>
      </c>
      <c r="AU210">
        <v>1992000000</v>
      </c>
      <c r="AV210">
        <v>2850000000</v>
      </c>
      <c r="AW210">
        <v>2352000000</v>
      </c>
      <c r="AX210">
        <v>1282000000</v>
      </c>
      <c r="AY210">
        <v>1819000000</v>
      </c>
      <c r="AZ210">
        <v>2473000000</v>
      </c>
      <c r="BA210">
        <v>1735000000</v>
      </c>
      <c r="BB210">
        <v>1979000000</v>
      </c>
      <c r="BC210">
        <v>2943000000</v>
      </c>
      <c r="BD210">
        <v>3769000000</v>
      </c>
      <c r="BE210">
        <v>4705000000</v>
      </c>
      <c r="BF210">
        <v>5977000000</v>
      </c>
      <c r="BG210">
        <v>3499000000</v>
      </c>
      <c r="BH210">
        <v>3387000000</v>
      </c>
      <c r="BI210">
        <v>3116000000</v>
      </c>
      <c r="BJ210">
        <v>3062000000</v>
      </c>
      <c r="BK210">
        <v>2250000000</v>
      </c>
      <c r="BL210">
        <v>4014000000</v>
      </c>
      <c r="BM210">
        <v>2743000000</v>
      </c>
      <c r="BN210">
        <v>4079000000</v>
      </c>
      <c r="BO210">
        <v>3035000000</v>
      </c>
      <c r="BP210">
        <v>1619000000</v>
      </c>
      <c r="BQ210">
        <v>1689000000</v>
      </c>
      <c r="BR210">
        <v>2923000000</v>
      </c>
    </row>
    <row r="211" spans="1:70">
      <c r="A211" t="s">
        <v>419</v>
      </c>
      <c r="B211" t="s">
        <v>420</v>
      </c>
      <c r="C211" t="s">
        <v>9</v>
      </c>
      <c r="D211" t="s">
        <v>10</v>
      </c>
      <c r="E211">
        <v>6000000</v>
      </c>
      <c r="F211">
        <v>8000000</v>
      </c>
      <c r="G211">
        <v>22000000</v>
      </c>
      <c r="I211">
        <v>5000000</v>
      </c>
      <c r="J211">
        <v>48000000</v>
      </c>
      <c r="K211">
        <v>227000000</v>
      </c>
      <c r="L211">
        <v>222000000</v>
      </c>
      <c r="M211">
        <v>448000000</v>
      </c>
      <c r="N211">
        <v>416000000</v>
      </c>
      <c r="O211">
        <v>87000000</v>
      </c>
      <c r="P211">
        <v>10000000</v>
      </c>
      <c r="Q211">
        <v>130000000</v>
      </c>
      <c r="R211">
        <v>202000000</v>
      </c>
      <c r="S211">
        <v>547000000</v>
      </c>
      <c r="T211">
        <v>372000000</v>
      </c>
      <c r="U211">
        <v>702000000</v>
      </c>
      <c r="V211">
        <v>1019000000</v>
      </c>
      <c r="W211">
        <v>1014000000</v>
      </c>
      <c r="X211">
        <v>767000000</v>
      </c>
      <c r="Y211">
        <v>1085000000</v>
      </c>
      <c r="Z211">
        <v>1816000000</v>
      </c>
      <c r="AA211">
        <v>2223000000</v>
      </c>
      <c r="AB211">
        <v>1819000000</v>
      </c>
      <c r="AC211">
        <v>824000000</v>
      </c>
      <c r="AD211">
        <v>1314000000</v>
      </c>
      <c r="AE211">
        <v>2842000000</v>
      </c>
      <c r="AF211">
        <v>2010000000</v>
      </c>
      <c r="AG211">
        <v>784000000</v>
      </c>
      <c r="AH211">
        <v>1382000000</v>
      </c>
      <c r="AI211">
        <v>2041000000</v>
      </c>
      <c r="AJ211">
        <v>1039000000</v>
      </c>
      <c r="AK211">
        <v>1150000000</v>
      </c>
      <c r="AL211">
        <v>2353000000</v>
      </c>
      <c r="AM211">
        <v>981000000</v>
      </c>
      <c r="AN211">
        <v>985000000</v>
      </c>
      <c r="AO211">
        <v>1727000000</v>
      </c>
      <c r="AP211">
        <v>2791000000</v>
      </c>
      <c r="AQ211">
        <v>2889000000</v>
      </c>
      <c r="AR211">
        <v>1579000000</v>
      </c>
      <c r="AS211">
        <v>104000000</v>
      </c>
      <c r="AT211">
        <v>59000000</v>
      </c>
      <c r="AU211">
        <v>559000000</v>
      </c>
      <c r="AV211">
        <v>158000000</v>
      </c>
      <c r="AW211">
        <v>1157000000</v>
      </c>
      <c r="AX211">
        <v>166000000</v>
      </c>
      <c r="AY211">
        <v>207000000</v>
      </c>
      <c r="AZ211">
        <v>229000000</v>
      </c>
      <c r="BA211">
        <v>389000000</v>
      </c>
      <c r="BB211">
        <v>828000000</v>
      </c>
      <c r="BC211">
        <v>1109000000</v>
      </c>
      <c r="BD211">
        <v>1176000000</v>
      </c>
      <c r="BE211">
        <v>835000000</v>
      </c>
      <c r="BF211">
        <v>1686000000</v>
      </c>
      <c r="BG211">
        <v>2717000000</v>
      </c>
      <c r="BH211">
        <v>3474000000</v>
      </c>
      <c r="BI211">
        <v>2909000000</v>
      </c>
      <c r="BJ211">
        <v>3852000000</v>
      </c>
      <c r="BK211">
        <v>2944000000</v>
      </c>
      <c r="BL211">
        <v>3033000000</v>
      </c>
      <c r="BM211">
        <v>2241000000</v>
      </c>
      <c r="BN211">
        <v>1747000000</v>
      </c>
      <c r="BO211">
        <v>3053000000</v>
      </c>
      <c r="BP211">
        <v>1326000000</v>
      </c>
      <c r="BQ211">
        <v>1238000000</v>
      </c>
      <c r="BR211">
        <v>3042000000</v>
      </c>
    </row>
    <row r="212" spans="1:70">
      <c r="A212" t="s">
        <v>421</v>
      </c>
      <c r="B212" t="s">
        <v>422</v>
      </c>
      <c r="C212" t="s">
        <v>9</v>
      </c>
      <c r="D212" t="s">
        <v>10</v>
      </c>
      <c r="E212">
        <v>6000000</v>
      </c>
      <c r="F212">
        <v>17000000</v>
      </c>
      <c r="G212">
        <v>34000000</v>
      </c>
      <c r="H212">
        <v>17000000</v>
      </c>
      <c r="I212">
        <v>36000000</v>
      </c>
      <c r="J212">
        <v>5000000</v>
      </c>
      <c r="K212">
        <v>10000000</v>
      </c>
      <c r="L212">
        <v>6000000</v>
      </c>
      <c r="M212">
        <v>13000000</v>
      </c>
      <c r="N212">
        <v>177000000</v>
      </c>
      <c r="O212">
        <v>598000000</v>
      </c>
      <c r="P212">
        <v>87000000</v>
      </c>
      <c r="Q212">
        <v>69000000</v>
      </c>
      <c r="R212">
        <v>23000000</v>
      </c>
      <c r="S212">
        <v>3000000</v>
      </c>
      <c r="T212">
        <v>5000000</v>
      </c>
      <c r="V212">
        <v>29000000</v>
      </c>
      <c r="W212">
        <v>208000000</v>
      </c>
      <c r="X212">
        <v>46000000</v>
      </c>
      <c r="Y212">
        <v>3000000</v>
      </c>
      <c r="Z212">
        <v>203000000</v>
      </c>
      <c r="AA212">
        <v>90000000</v>
      </c>
      <c r="AB212">
        <v>25000000</v>
      </c>
      <c r="AC212">
        <v>106000000</v>
      </c>
      <c r="AD212">
        <v>66000000</v>
      </c>
      <c r="AE212">
        <v>10000000</v>
      </c>
      <c r="AF212">
        <v>122000000</v>
      </c>
      <c r="AG212">
        <v>77000000</v>
      </c>
      <c r="AH212">
        <v>16000000</v>
      </c>
      <c r="AI212">
        <v>4000000</v>
      </c>
      <c r="AJ212">
        <v>46000000</v>
      </c>
      <c r="AK212">
        <v>6000000</v>
      </c>
      <c r="AN212">
        <v>3000000</v>
      </c>
      <c r="AO212">
        <v>27000000</v>
      </c>
      <c r="AP212">
        <v>63000000</v>
      </c>
      <c r="AR212">
        <v>36000000</v>
      </c>
      <c r="AT212">
        <v>106000000</v>
      </c>
      <c r="AU212">
        <v>50000000</v>
      </c>
      <c r="AV212">
        <v>205000000</v>
      </c>
      <c r="AW212">
        <v>294000000</v>
      </c>
      <c r="AX212">
        <v>113000000</v>
      </c>
      <c r="AY212">
        <v>112000000</v>
      </c>
      <c r="AZ212">
        <v>58000000</v>
      </c>
      <c r="BA212">
        <v>120000000</v>
      </c>
      <c r="BB212">
        <v>100000000</v>
      </c>
      <c r="BC212">
        <v>196000000</v>
      </c>
      <c r="BD212">
        <v>191000000</v>
      </c>
      <c r="BE212">
        <v>119000000</v>
      </c>
      <c r="BF212">
        <v>155000000</v>
      </c>
      <c r="BG212">
        <v>70000000</v>
      </c>
      <c r="BH212">
        <v>136000000</v>
      </c>
      <c r="BI212">
        <v>110000000</v>
      </c>
      <c r="BJ212">
        <v>66000000</v>
      </c>
      <c r="BK212">
        <v>35000000</v>
      </c>
      <c r="BL212">
        <v>20000000</v>
      </c>
      <c r="BO212">
        <v>3000000</v>
      </c>
      <c r="BP212">
        <v>6000000</v>
      </c>
      <c r="BQ212">
        <v>50000000</v>
      </c>
      <c r="BR212">
        <v>57000000</v>
      </c>
    </row>
    <row r="213" spans="1:70">
      <c r="A213" t="s">
        <v>423</v>
      </c>
      <c r="B213" t="s">
        <v>424</v>
      </c>
      <c r="C213" t="s">
        <v>9</v>
      </c>
      <c r="D213" t="s">
        <v>10</v>
      </c>
      <c r="E213">
        <v>0</v>
      </c>
      <c r="F213">
        <v>8000000</v>
      </c>
      <c r="H213">
        <v>0</v>
      </c>
      <c r="I213">
        <v>4000000</v>
      </c>
      <c r="J213">
        <v>0</v>
      </c>
      <c r="K213">
        <v>2000000</v>
      </c>
      <c r="M213">
        <v>1000000</v>
      </c>
      <c r="N213">
        <v>38000000</v>
      </c>
      <c r="P213">
        <v>12000000</v>
      </c>
      <c r="R213">
        <v>1000000</v>
      </c>
      <c r="S213">
        <v>17000000</v>
      </c>
      <c r="U213">
        <v>15000000</v>
      </c>
      <c r="V213">
        <v>41000000</v>
      </c>
      <c r="W213">
        <v>20000000</v>
      </c>
      <c r="X213">
        <v>29000000</v>
      </c>
      <c r="AA213">
        <v>7000000</v>
      </c>
      <c r="AB213">
        <v>38000000</v>
      </c>
      <c r="AC213">
        <v>4000000</v>
      </c>
      <c r="AE213">
        <v>14000000</v>
      </c>
      <c r="AF213">
        <v>18000000</v>
      </c>
      <c r="AM213">
        <v>1000000</v>
      </c>
      <c r="AN213">
        <v>6000000</v>
      </c>
      <c r="AX213">
        <v>16000000</v>
      </c>
      <c r="AY213">
        <v>15000000</v>
      </c>
      <c r="AZ213">
        <v>12000000</v>
      </c>
      <c r="BA213">
        <v>6000000</v>
      </c>
      <c r="BB213">
        <v>6000000</v>
      </c>
      <c r="BC213">
        <v>4000000</v>
      </c>
      <c r="BD213">
        <v>16000000</v>
      </c>
      <c r="BG213">
        <v>9000000</v>
      </c>
      <c r="BH213">
        <v>24000000</v>
      </c>
      <c r="BI213">
        <v>40000000</v>
      </c>
      <c r="BJ213">
        <v>48000000</v>
      </c>
      <c r="BK213">
        <v>15000000</v>
      </c>
      <c r="BL213">
        <v>40000000</v>
      </c>
      <c r="BM213">
        <v>22000000</v>
      </c>
      <c r="BN213">
        <v>21000000</v>
      </c>
      <c r="BO213">
        <v>28000000</v>
      </c>
      <c r="BP213">
        <v>172000000</v>
      </c>
      <c r="BQ213">
        <v>79000000</v>
      </c>
    </row>
    <row r="214" spans="1:70">
      <c r="A214" t="s">
        <v>425</v>
      </c>
      <c r="B214" t="s">
        <v>426</v>
      </c>
      <c r="C214" t="s">
        <v>9</v>
      </c>
      <c r="D214" t="s">
        <v>10</v>
      </c>
      <c r="J214">
        <v>1000000</v>
      </c>
      <c r="K214">
        <v>8000000</v>
      </c>
      <c r="M214">
        <v>6000000</v>
      </c>
      <c r="N214">
        <v>139000000</v>
      </c>
      <c r="O214">
        <v>92000000</v>
      </c>
      <c r="P214">
        <v>171000000</v>
      </c>
      <c r="Q214">
        <v>181000000</v>
      </c>
      <c r="R214">
        <v>89000000</v>
      </c>
      <c r="S214">
        <v>282000000</v>
      </c>
      <c r="T214">
        <v>253000000</v>
      </c>
      <c r="U214">
        <v>252000000</v>
      </c>
      <c r="V214">
        <v>171000000</v>
      </c>
      <c r="W214">
        <v>50000000</v>
      </c>
      <c r="X214">
        <v>313000000</v>
      </c>
      <c r="Y214">
        <v>371000000</v>
      </c>
      <c r="Z214">
        <v>167000000</v>
      </c>
      <c r="AA214">
        <v>171000000</v>
      </c>
      <c r="AB214">
        <v>242000000</v>
      </c>
      <c r="AC214">
        <v>83000000</v>
      </c>
      <c r="AD214">
        <v>123000000</v>
      </c>
      <c r="AE214">
        <v>84000000</v>
      </c>
      <c r="AF214">
        <v>302000000</v>
      </c>
      <c r="AG214">
        <v>541000000</v>
      </c>
      <c r="AH214">
        <v>231000000</v>
      </c>
      <c r="AI214">
        <v>513000000</v>
      </c>
      <c r="AJ214">
        <v>373000000</v>
      </c>
      <c r="AK214">
        <v>115000000</v>
      </c>
      <c r="AL214">
        <v>170000000</v>
      </c>
      <c r="AM214">
        <v>179000000</v>
      </c>
      <c r="AN214">
        <v>302000000</v>
      </c>
      <c r="AO214">
        <v>159000000</v>
      </c>
      <c r="AP214">
        <v>613000000</v>
      </c>
      <c r="AQ214">
        <v>798000000</v>
      </c>
      <c r="AR214">
        <v>302000000</v>
      </c>
      <c r="AS214">
        <v>782000000</v>
      </c>
      <c r="AT214">
        <v>246000000</v>
      </c>
      <c r="AU214">
        <v>229000000</v>
      </c>
      <c r="AV214">
        <v>79000000</v>
      </c>
      <c r="AW214">
        <v>374000000</v>
      </c>
      <c r="AX214">
        <v>538000000</v>
      </c>
      <c r="AY214">
        <v>74000000</v>
      </c>
      <c r="AZ214">
        <v>396000000</v>
      </c>
      <c r="BA214">
        <v>1106000000</v>
      </c>
      <c r="BB214">
        <v>1403000000</v>
      </c>
      <c r="BC214">
        <v>937000000</v>
      </c>
      <c r="BD214">
        <v>879000000</v>
      </c>
      <c r="BE214">
        <v>746000000</v>
      </c>
      <c r="BF214">
        <v>753000000</v>
      </c>
      <c r="BG214">
        <v>66000000</v>
      </c>
      <c r="BH214">
        <v>152000000</v>
      </c>
      <c r="BI214">
        <v>642000000</v>
      </c>
      <c r="BJ214">
        <v>408000000</v>
      </c>
      <c r="BK214">
        <v>562000000</v>
      </c>
      <c r="BL214">
        <v>487000000</v>
      </c>
      <c r="BM214">
        <v>176000000</v>
      </c>
      <c r="BN214">
        <v>226000000</v>
      </c>
      <c r="BO214">
        <v>516000000</v>
      </c>
      <c r="BP214">
        <v>495000000</v>
      </c>
      <c r="BQ214">
        <v>378000000</v>
      </c>
      <c r="BR214">
        <v>57000000</v>
      </c>
    </row>
    <row r="215" spans="1:70">
      <c r="A215" t="s">
        <v>427</v>
      </c>
      <c r="B215" t="s">
        <v>428</v>
      </c>
      <c r="C215" t="s">
        <v>9</v>
      </c>
      <c r="D215" t="s">
        <v>10</v>
      </c>
      <c r="AG215">
        <v>6000000</v>
      </c>
      <c r="AJ215">
        <v>6000000</v>
      </c>
      <c r="BL215">
        <v>7000000</v>
      </c>
      <c r="BN215">
        <v>7000000</v>
      </c>
    </row>
    <row r="216" spans="1:70">
      <c r="A216" t="s">
        <v>429</v>
      </c>
      <c r="B216" t="s">
        <v>430</v>
      </c>
      <c r="C216" t="s">
        <v>9</v>
      </c>
      <c r="D216" t="s">
        <v>10</v>
      </c>
      <c r="R216">
        <v>28000000</v>
      </c>
      <c r="U216">
        <v>1000000</v>
      </c>
      <c r="W216">
        <v>2000000</v>
      </c>
      <c r="Y216">
        <v>42000000</v>
      </c>
      <c r="AB216">
        <v>1000000</v>
      </c>
      <c r="AC216">
        <v>3000000</v>
      </c>
      <c r="AF216">
        <v>18000000</v>
      </c>
      <c r="AK216">
        <v>1000000</v>
      </c>
      <c r="AM216">
        <v>7000000</v>
      </c>
      <c r="AN216">
        <v>14000000</v>
      </c>
      <c r="AP216">
        <v>16000000</v>
      </c>
      <c r="AR216">
        <v>13000000</v>
      </c>
      <c r="AY216">
        <v>9000000</v>
      </c>
      <c r="BD216">
        <v>2000000</v>
      </c>
      <c r="BE216">
        <v>0</v>
      </c>
      <c r="BF216">
        <v>1000000</v>
      </c>
      <c r="BH216">
        <v>1000000</v>
      </c>
      <c r="BI216">
        <v>2000000</v>
      </c>
    </row>
    <row r="217" spans="1:70">
      <c r="A217" t="s">
        <v>431</v>
      </c>
      <c r="B217" t="s">
        <v>432</v>
      </c>
      <c r="C217" t="s">
        <v>9</v>
      </c>
      <c r="D217" t="s">
        <v>10</v>
      </c>
      <c r="H217">
        <v>0</v>
      </c>
      <c r="J217">
        <v>1000000</v>
      </c>
      <c r="K217">
        <v>1000000</v>
      </c>
      <c r="L217">
        <v>0</v>
      </c>
      <c r="M217">
        <v>12000000</v>
      </c>
      <c r="N217">
        <v>7000000</v>
      </c>
      <c r="O217">
        <v>13000000</v>
      </c>
      <c r="P217">
        <v>1000000</v>
      </c>
      <c r="R217">
        <v>1000000</v>
      </c>
      <c r="S217">
        <v>29000000</v>
      </c>
      <c r="T217">
        <v>46000000</v>
      </c>
      <c r="U217">
        <v>19000000</v>
      </c>
      <c r="V217">
        <v>10000000</v>
      </c>
      <c r="W217">
        <v>3000000</v>
      </c>
      <c r="X217">
        <v>11000000</v>
      </c>
      <c r="Y217">
        <v>13000000</v>
      </c>
      <c r="Z217">
        <v>5000000</v>
      </c>
      <c r="AA217">
        <v>32000000</v>
      </c>
      <c r="AB217">
        <v>21000000</v>
      </c>
      <c r="AC217">
        <v>65000000</v>
      </c>
      <c r="AD217">
        <v>42000000</v>
      </c>
      <c r="AE217">
        <v>5000000</v>
      </c>
      <c r="AJ217">
        <v>21000000</v>
      </c>
      <c r="AK217">
        <v>4000000</v>
      </c>
      <c r="AL217">
        <v>2000000</v>
      </c>
      <c r="AN217">
        <v>4000000</v>
      </c>
      <c r="AO217">
        <v>4000000</v>
      </c>
      <c r="AQ217">
        <v>2000000</v>
      </c>
      <c r="AU217">
        <v>19000000</v>
      </c>
      <c r="AV217">
        <v>10000000</v>
      </c>
      <c r="BA217">
        <v>3000000</v>
      </c>
      <c r="BB217">
        <v>2000000</v>
      </c>
      <c r="BC217">
        <v>2000000</v>
      </c>
      <c r="BD217">
        <v>2000000</v>
      </c>
      <c r="BE217">
        <v>4000000</v>
      </c>
      <c r="BF217">
        <v>1000000</v>
      </c>
      <c r="BG217">
        <v>21000000</v>
      </c>
      <c r="BJ217">
        <v>1000000</v>
      </c>
      <c r="BK217">
        <v>1000000</v>
      </c>
      <c r="BL217">
        <v>2000000</v>
      </c>
      <c r="BM217">
        <v>4000000</v>
      </c>
      <c r="BN217">
        <v>4000000</v>
      </c>
      <c r="BO217">
        <v>7000000</v>
      </c>
      <c r="BP217">
        <v>4000000</v>
      </c>
      <c r="BQ217">
        <v>0</v>
      </c>
      <c r="BR217">
        <v>3000000</v>
      </c>
    </row>
    <row r="218" spans="1:70">
      <c r="A218" t="s">
        <v>433</v>
      </c>
      <c r="B218" t="s">
        <v>434</v>
      </c>
      <c r="C218" t="s">
        <v>9</v>
      </c>
      <c r="D218" t="s">
        <v>10</v>
      </c>
    </row>
    <row r="219" spans="1:70">
      <c r="A219" t="s">
        <v>435</v>
      </c>
      <c r="B219" t="s">
        <v>436</v>
      </c>
      <c r="C219" t="s">
        <v>9</v>
      </c>
      <c r="D219" t="s">
        <v>10</v>
      </c>
      <c r="E219">
        <v>11000000</v>
      </c>
      <c r="F219">
        <v>2000000</v>
      </c>
      <c r="G219">
        <v>0</v>
      </c>
      <c r="H219">
        <v>11000000</v>
      </c>
      <c r="J219">
        <v>31000000</v>
      </c>
      <c r="K219">
        <v>53000000</v>
      </c>
      <c r="L219">
        <v>72000000</v>
      </c>
      <c r="M219">
        <v>4000000</v>
      </c>
      <c r="N219">
        <v>1000000</v>
      </c>
      <c r="Q219">
        <v>24000000</v>
      </c>
      <c r="R219">
        <v>165000000</v>
      </c>
      <c r="S219">
        <v>283000000</v>
      </c>
      <c r="T219">
        <v>128000000</v>
      </c>
      <c r="U219">
        <v>185000000</v>
      </c>
      <c r="V219">
        <v>29000000</v>
      </c>
      <c r="W219">
        <v>57000000</v>
      </c>
      <c r="X219">
        <v>90000000</v>
      </c>
      <c r="Y219">
        <v>101000000</v>
      </c>
      <c r="Z219">
        <v>97000000</v>
      </c>
      <c r="AA219">
        <v>61000000</v>
      </c>
      <c r="AB219">
        <v>23000000</v>
      </c>
      <c r="AC219">
        <v>15000000</v>
      </c>
      <c r="AD219">
        <v>42000000</v>
      </c>
      <c r="AE219">
        <v>15000000</v>
      </c>
      <c r="AI219">
        <v>16000000</v>
      </c>
      <c r="AR219">
        <v>1000000</v>
      </c>
      <c r="BF219">
        <v>3000000</v>
      </c>
      <c r="BH219">
        <v>1000000</v>
      </c>
      <c r="BI219">
        <v>2000000</v>
      </c>
      <c r="BJ219">
        <v>2000000</v>
      </c>
      <c r="BL219">
        <v>8000000</v>
      </c>
      <c r="BM219">
        <v>2000000</v>
      </c>
      <c r="BN219">
        <v>2000000</v>
      </c>
      <c r="BP219">
        <v>4000000</v>
      </c>
      <c r="BQ219">
        <v>4000000</v>
      </c>
      <c r="BR219">
        <v>2000000</v>
      </c>
    </row>
    <row r="220" spans="1:70">
      <c r="A220" t="s">
        <v>437</v>
      </c>
      <c r="B220" t="s">
        <v>438</v>
      </c>
      <c r="C220" t="s">
        <v>9</v>
      </c>
      <c r="D220" t="s">
        <v>10</v>
      </c>
      <c r="AK220">
        <v>4000000</v>
      </c>
      <c r="AL220">
        <v>2000000</v>
      </c>
      <c r="AM220">
        <v>2000000</v>
      </c>
      <c r="AN220">
        <v>8000000</v>
      </c>
      <c r="AO220">
        <v>1000000</v>
      </c>
      <c r="AP220">
        <v>14000000</v>
      </c>
      <c r="AQ220">
        <v>7000000</v>
      </c>
      <c r="AR220">
        <v>1000000</v>
      </c>
      <c r="AS220">
        <v>1000000</v>
      </c>
      <c r="AT220">
        <v>27000000</v>
      </c>
      <c r="BC220">
        <v>16000000</v>
      </c>
      <c r="BE220">
        <v>0</v>
      </c>
      <c r="BI220">
        <v>23000000</v>
      </c>
      <c r="BJ220">
        <v>65000000</v>
      </c>
      <c r="BK220">
        <v>4000000</v>
      </c>
      <c r="BL220">
        <v>84000000</v>
      </c>
      <c r="BM220">
        <v>147000000</v>
      </c>
      <c r="BN220">
        <v>117000000</v>
      </c>
      <c r="BO220">
        <v>164000000</v>
      </c>
      <c r="BP220">
        <v>370000000</v>
      </c>
      <c r="BQ220">
        <v>155000000</v>
      </c>
      <c r="BR220">
        <v>146000000</v>
      </c>
    </row>
    <row r="221" spans="1:70">
      <c r="A221" t="s">
        <v>439</v>
      </c>
      <c r="B221" t="s">
        <v>440</v>
      </c>
      <c r="C221" t="s">
        <v>9</v>
      </c>
      <c r="D221" t="s">
        <v>10</v>
      </c>
      <c r="E221">
        <v>122000000</v>
      </c>
      <c r="G221">
        <v>368000000</v>
      </c>
      <c r="H221">
        <v>656000000</v>
      </c>
      <c r="I221">
        <v>487000000</v>
      </c>
      <c r="J221">
        <v>622000000</v>
      </c>
      <c r="K221">
        <v>963000000</v>
      </c>
      <c r="L221">
        <v>558000000</v>
      </c>
      <c r="M221">
        <v>394000000</v>
      </c>
      <c r="N221">
        <v>584000000</v>
      </c>
      <c r="O221">
        <v>1293000000</v>
      </c>
      <c r="P221">
        <v>1029000000</v>
      </c>
      <c r="Q221">
        <v>717000000</v>
      </c>
      <c r="R221">
        <v>821000000</v>
      </c>
      <c r="S221">
        <v>961000000</v>
      </c>
      <c r="T221">
        <v>1984000000</v>
      </c>
      <c r="U221">
        <v>1702000000</v>
      </c>
      <c r="V221">
        <v>2476000000</v>
      </c>
      <c r="W221">
        <v>3055000000</v>
      </c>
      <c r="X221">
        <v>1445000000</v>
      </c>
      <c r="Y221">
        <v>1884000000</v>
      </c>
      <c r="Z221">
        <v>2259000000</v>
      </c>
      <c r="AA221">
        <v>2223000000</v>
      </c>
      <c r="AB221">
        <v>1597000000</v>
      </c>
      <c r="AC221">
        <v>1805000000</v>
      </c>
      <c r="AD221">
        <v>1688000000</v>
      </c>
      <c r="AE221">
        <v>1914000000</v>
      </c>
      <c r="AF221">
        <v>2094000000</v>
      </c>
      <c r="AG221">
        <v>1427000000</v>
      </c>
      <c r="AH221">
        <v>517000000</v>
      </c>
      <c r="AI221">
        <v>419000000</v>
      </c>
      <c r="AJ221">
        <v>299000000</v>
      </c>
      <c r="AM221">
        <v>549000000</v>
      </c>
      <c r="AO221">
        <v>342000000</v>
      </c>
      <c r="AP221">
        <v>435000000</v>
      </c>
      <c r="AS221">
        <v>633000000</v>
      </c>
      <c r="AT221">
        <v>459000000</v>
      </c>
      <c r="AY221">
        <v>1137000000</v>
      </c>
      <c r="AZ221">
        <v>1262000000</v>
      </c>
      <c r="BA221">
        <v>932000000</v>
      </c>
      <c r="BB221">
        <v>639000000</v>
      </c>
      <c r="BC221">
        <v>1105000000</v>
      </c>
      <c r="BD221">
        <v>1376000000</v>
      </c>
      <c r="BE221">
        <v>1212000000</v>
      </c>
      <c r="BF221">
        <v>895000000</v>
      </c>
      <c r="BG221">
        <v>872000000</v>
      </c>
      <c r="BH221">
        <v>595000000</v>
      </c>
      <c r="BI221">
        <v>779000000</v>
      </c>
      <c r="BO221">
        <v>583000000</v>
      </c>
      <c r="BP221">
        <v>753000000</v>
      </c>
      <c r="BR221">
        <v>583000000</v>
      </c>
    </row>
    <row r="222" spans="1:70">
      <c r="A222" t="s">
        <v>441</v>
      </c>
      <c r="B222" t="s">
        <v>442</v>
      </c>
      <c r="C222" t="s">
        <v>9</v>
      </c>
      <c r="D222" t="s">
        <v>10</v>
      </c>
      <c r="AZ222">
        <v>37000000</v>
      </c>
      <c r="BA222">
        <v>44000000</v>
      </c>
      <c r="BB222">
        <v>1000000</v>
      </c>
      <c r="BC222">
        <v>2000000</v>
      </c>
      <c r="BD222">
        <v>65000000</v>
      </c>
      <c r="BE222">
        <v>2000000</v>
      </c>
      <c r="BF222">
        <v>13000000</v>
      </c>
      <c r="BG222">
        <v>41000000</v>
      </c>
      <c r="BH222">
        <v>19000000</v>
      </c>
      <c r="BI222">
        <v>8000000</v>
      </c>
      <c r="BN222">
        <v>8000000</v>
      </c>
      <c r="BO222">
        <v>10000000</v>
      </c>
    </row>
    <row r="223" spans="1:70">
      <c r="A223" t="s">
        <v>443</v>
      </c>
      <c r="B223" t="s">
        <v>444</v>
      </c>
      <c r="C223" t="s">
        <v>9</v>
      </c>
      <c r="D223" t="s">
        <v>10</v>
      </c>
      <c r="E223">
        <v>122000000</v>
      </c>
      <c r="G223">
        <v>368000000</v>
      </c>
      <c r="H223">
        <v>656000000</v>
      </c>
      <c r="I223">
        <v>487000000</v>
      </c>
      <c r="J223">
        <v>622000000</v>
      </c>
      <c r="K223">
        <v>963000000</v>
      </c>
      <c r="L223">
        <v>558000000</v>
      </c>
      <c r="M223">
        <v>394000000</v>
      </c>
      <c r="N223">
        <v>584000000</v>
      </c>
      <c r="O223">
        <v>1293000000</v>
      </c>
      <c r="P223">
        <v>1029000000</v>
      </c>
      <c r="Q223">
        <v>717000000</v>
      </c>
      <c r="R223">
        <v>821000000</v>
      </c>
      <c r="S223">
        <v>961000000</v>
      </c>
      <c r="T223">
        <v>1984000000</v>
      </c>
      <c r="U223">
        <v>1702000000</v>
      </c>
      <c r="V223">
        <v>2477000000</v>
      </c>
      <c r="W223">
        <v>3055000000</v>
      </c>
      <c r="X223">
        <v>1464000000</v>
      </c>
      <c r="Y223">
        <v>1890000000</v>
      </c>
      <c r="Z223">
        <v>2259000000</v>
      </c>
      <c r="AA223">
        <v>2226000000</v>
      </c>
      <c r="AB223">
        <v>1612000000</v>
      </c>
      <c r="AC223">
        <v>1805000000</v>
      </c>
      <c r="AD223">
        <v>1688000000</v>
      </c>
      <c r="AE223">
        <v>1924000000</v>
      </c>
      <c r="AF223">
        <v>2094000000</v>
      </c>
      <c r="AG223">
        <v>1428000000</v>
      </c>
      <c r="AH223">
        <v>517000000</v>
      </c>
      <c r="AI223">
        <v>419000000</v>
      </c>
      <c r="AJ223">
        <v>299000000</v>
      </c>
      <c r="AM223">
        <v>549000000</v>
      </c>
      <c r="AO223">
        <v>342000000</v>
      </c>
      <c r="AP223">
        <v>435000000</v>
      </c>
      <c r="AS223">
        <v>633000000</v>
      </c>
      <c r="AT223">
        <v>459000000</v>
      </c>
      <c r="AY223">
        <v>1137000000</v>
      </c>
      <c r="AZ223">
        <v>1262000000</v>
      </c>
      <c r="BA223">
        <v>932000000</v>
      </c>
      <c r="BB223">
        <v>639000000</v>
      </c>
      <c r="BC223">
        <v>1105000000</v>
      </c>
      <c r="BD223">
        <v>1384000000</v>
      </c>
      <c r="BE223">
        <v>1212000000</v>
      </c>
      <c r="BF223">
        <v>905000000</v>
      </c>
      <c r="BG223">
        <v>888000000</v>
      </c>
      <c r="BH223">
        <v>595000000</v>
      </c>
      <c r="BI223">
        <v>787000000</v>
      </c>
      <c r="BO223">
        <v>583000000</v>
      </c>
      <c r="BP223">
        <v>753000000</v>
      </c>
      <c r="BR223">
        <v>583000000</v>
      </c>
    </row>
    <row r="224" spans="1:70">
      <c r="A224" t="s">
        <v>445</v>
      </c>
      <c r="B224" t="s">
        <v>446</v>
      </c>
      <c r="C224" t="s">
        <v>9</v>
      </c>
      <c r="D224" t="s">
        <v>10</v>
      </c>
      <c r="E224">
        <v>20000000</v>
      </c>
      <c r="I224">
        <v>18000000</v>
      </c>
      <c r="J224">
        <v>38000000</v>
      </c>
      <c r="K224">
        <v>1000000</v>
      </c>
      <c r="BD224">
        <v>363000000</v>
      </c>
      <c r="BE224">
        <v>65000000</v>
      </c>
      <c r="BJ224">
        <v>106000000</v>
      </c>
      <c r="BP224">
        <v>100000000</v>
      </c>
    </row>
    <row r="225" spans="1:70">
      <c r="A225" t="s">
        <v>447</v>
      </c>
      <c r="B225" t="s">
        <v>448</v>
      </c>
      <c r="C225" t="s">
        <v>9</v>
      </c>
      <c r="D225" t="s">
        <v>10</v>
      </c>
    </row>
    <row r="226" spans="1:70">
      <c r="A226" t="s">
        <v>449</v>
      </c>
      <c r="B226" t="s">
        <v>450</v>
      </c>
      <c r="C226" t="s">
        <v>9</v>
      </c>
      <c r="D226" t="s">
        <v>10</v>
      </c>
      <c r="T226">
        <v>0</v>
      </c>
      <c r="U226">
        <v>5000000</v>
      </c>
      <c r="V226">
        <v>10000000</v>
      </c>
      <c r="Z226">
        <v>0</v>
      </c>
      <c r="AA226">
        <v>2000000</v>
      </c>
      <c r="AC226">
        <v>8000000</v>
      </c>
      <c r="AE226">
        <v>5000000</v>
      </c>
      <c r="AF226">
        <v>2000000</v>
      </c>
      <c r="AR226">
        <v>23000000</v>
      </c>
      <c r="AS226">
        <v>2000000</v>
      </c>
      <c r="BE226">
        <v>0</v>
      </c>
      <c r="BF226">
        <v>7000000</v>
      </c>
      <c r="BH226">
        <v>3000000</v>
      </c>
      <c r="BQ226">
        <v>12000000</v>
      </c>
    </row>
    <row r="227" spans="1:70">
      <c r="A227" t="s">
        <v>451</v>
      </c>
      <c r="B227" t="s">
        <v>452</v>
      </c>
      <c r="C227" t="s">
        <v>9</v>
      </c>
      <c r="D227" t="s">
        <v>10</v>
      </c>
      <c r="AL227">
        <v>146000000</v>
      </c>
      <c r="AM227">
        <v>29000000</v>
      </c>
      <c r="AN227">
        <v>208000000</v>
      </c>
      <c r="AO227">
        <v>29000000</v>
      </c>
      <c r="AS227">
        <v>1000000</v>
      </c>
      <c r="AU227">
        <v>29000000</v>
      </c>
      <c r="AW227">
        <v>1000000</v>
      </c>
      <c r="AX227">
        <v>4000000</v>
      </c>
      <c r="AZ227">
        <v>0</v>
      </c>
      <c r="BA227">
        <v>0</v>
      </c>
      <c r="BB227">
        <v>10000000</v>
      </c>
      <c r="BC227">
        <v>9000000</v>
      </c>
      <c r="BE227">
        <v>2000000</v>
      </c>
      <c r="BF227">
        <v>5000000</v>
      </c>
      <c r="BJ227">
        <v>47000000</v>
      </c>
      <c r="BK227">
        <v>34000000</v>
      </c>
      <c r="BL227">
        <v>15000000</v>
      </c>
      <c r="BM227">
        <v>25000000</v>
      </c>
      <c r="BN227">
        <v>1000000</v>
      </c>
      <c r="BO227">
        <v>3000000</v>
      </c>
      <c r="BP227">
        <v>30000000</v>
      </c>
      <c r="BQ227">
        <v>181000000</v>
      </c>
      <c r="BR227">
        <v>445000000</v>
      </c>
    </row>
    <row r="228" spans="1:70">
      <c r="A228" t="s">
        <v>453</v>
      </c>
      <c r="B228" t="s">
        <v>454</v>
      </c>
      <c r="C228" t="s">
        <v>9</v>
      </c>
      <c r="D228" t="s">
        <v>10</v>
      </c>
      <c r="AJ228">
        <v>2000000</v>
      </c>
      <c r="AK228">
        <v>10000000</v>
      </c>
      <c r="AL228">
        <v>22000000</v>
      </c>
      <c r="AM228">
        <v>11000000</v>
      </c>
      <c r="AN228">
        <v>20000000</v>
      </c>
      <c r="AO228">
        <v>31000000</v>
      </c>
      <c r="AP228">
        <v>9000000</v>
      </c>
      <c r="AQ228">
        <v>5000000</v>
      </c>
      <c r="AR228">
        <v>21000000</v>
      </c>
      <c r="AS228">
        <v>2000000</v>
      </c>
      <c r="AT228">
        <v>41000000</v>
      </c>
      <c r="AU228">
        <v>2000000</v>
      </c>
      <c r="AV228">
        <v>17000000</v>
      </c>
      <c r="AW228">
        <v>17000000</v>
      </c>
      <c r="AX228">
        <v>3000000</v>
      </c>
      <c r="AY228">
        <v>3000000</v>
      </c>
      <c r="AZ228">
        <v>2000000</v>
      </c>
      <c r="BB228">
        <v>10000000</v>
      </c>
      <c r="BC228">
        <v>40000000</v>
      </c>
      <c r="BD228">
        <v>27000000</v>
      </c>
      <c r="BG228">
        <v>1000000</v>
      </c>
      <c r="BN228">
        <v>7000000</v>
      </c>
      <c r="BP228">
        <v>26000000</v>
      </c>
      <c r="BQ228">
        <v>19000000</v>
      </c>
    </row>
    <row r="229" spans="1:70">
      <c r="A229" t="s">
        <v>455</v>
      </c>
      <c r="B229" t="s">
        <v>456</v>
      </c>
      <c r="C229" t="s">
        <v>9</v>
      </c>
      <c r="D229" t="s">
        <v>10</v>
      </c>
      <c r="E229">
        <v>227000000</v>
      </c>
      <c r="F229">
        <v>165000000</v>
      </c>
      <c r="G229">
        <v>177000000</v>
      </c>
      <c r="H229">
        <v>335000000</v>
      </c>
      <c r="I229">
        <v>400000000</v>
      </c>
      <c r="J229">
        <v>324000000</v>
      </c>
      <c r="K229">
        <v>299000000</v>
      </c>
      <c r="L229">
        <v>318000000</v>
      </c>
      <c r="M229">
        <v>189000000</v>
      </c>
      <c r="N229">
        <v>172000000</v>
      </c>
      <c r="O229">
        <v>137000000</v>
      </c>
      <c r="P229">
        <v>160000000</v>
      </c>
      <c r="Q229">
        <v>196000000</v>
      </c>
      <c r="R229">
        <v>231000000</v>
      </c>
      <c r="S229">
        <v>256000000</v>
      </c>
      <c r="T229">
        <v>292000000</v>
      </c>
      <c r="U229">
        <v>214000000</v>
      </c>
      <c r="V229">
        <v>114000000</v>
      </c>
      <c r="W229">
        <v>229000000</v>
      </c>
      <c r="X229">
        <v>233000000</v>
      </c>
      <c r="Y229">
        <v>291000000</v>
      </c>
      <c r="Z229">
        <v>495000000</v>
      </c>
      <c r="AA229">
        <v>153000000</v>
      </c>
      <c r="AB229">
        <v>106000000</v>
      </c>
      <c r="AC229">
        <v>108000000</v>
      </c>
      <c r="AD229">
        <v>84000000</v>
      </c>
      <c r="AE229">
        <v>118000000</v>
      </c>
      <c r="AF229">
        <v>125000000</v>
      </c>
      <c r="AG229">
        <v>152000000</v>
      </c>
      <c r="AH229">
        <v>127000000</v>
      </c>
      <c r="AI229">
        <v>94000000</v>
      </c>
      <c r="AJ229">
        <v>55000000</v>
      </c>
      <c r="AK229">
        <v>60000000</v>
      </c>
      <c r="AL229">
        <v>46000000</v>
      </c>
      <c r="AM229">
        <v>307000000</v>
      </c>
      <c r="AN229">
        <v>106000000</v>
      </c>
      <c r="AO229">
        <v>98000000</v>
      </c>
      <c r="AP229">
        <v>196000000</v>
      </c>
      <c r="AQ229">
        <v>294000000</v>
      </c>
      <c r="AR229">
        <v>224000000</v>
      </c>
      <c r="AS229">
        <v>196000000</v>
      </c>
      <c r="AT229">
        <v>165000000</v>
      </c>
      <c r="AU229">
        <v>74000000</v>
      </c>
      <c r="AV229">
        <v>66000000</v>
      </c>
      <c r="AW229">
        <v>47000000</v>
      </c>
      <c r="AX229">
        <v>78000000</v>
      </c>
      <c r="AY229">
        <v>121000000</v>
      </c>
      <c r="AZ229">
        <v>51000000</v>
      </c>
      <c r="BA229">
        <v>52000000</v>
      </c>
      <c r="BB229">
        <v>15000000</v>
      </c>
      <c r="BD229">
        <v>185000000</v>
      </c>
      <c r="BE229">
        <v>202000000</v>
      </c>
      <c r="BF229">
        <v>58000000</v>
      </c>
      <c r="BG229">
        <v>48000000</v>
      </c>
      <c r="BH229">
        <v>24000000</v>
      </c>
      <c r="BI229">
        <v>70000000</v>
      </c>
      <c r="BJ229">
        <v>32000000</v>
      </c>
      <c r="BK229">
        <v>7000000</v>
      </c>
      <c r="BL229">
        <v>7000000</v>
      </c>
      <c r="BM229">
        <v>3000000</v>
      </c>
      <c r="BN229">
        <v>110000000</v>
      </c>
      <c r="BO229">
        <v>318000000</v>
      </c>
      <c r="BP229">
        <v>98000000</v>
      </c>
      <c r="BQ229">
        <v>56000000</v>
      </c>
      <c r="BR229">
        <v>146000000</v>
      </c>
    </row>
    <row r="230" spans="1:70">
      <c r="A230" t="s">
        <v>457</v>
      </c>
      <c r="B230" t="s">
        <v>458</v>
      </c>
      <c r="C230" t="s">
        <v>9</v>
      </c>
      <c r="D230" t="s">
        <v>10</v>
      </c>
      <c r="X230">
        <v>6000000</v>
      </c>
      <c r="AS230">
        <v>1000000</v>
      </c>
      <c r="AT230">
        <v>1000000</v>
      </c>
      <c r="BM230">
        <v>2000000</v>
      </c>
    </row>
    <row r="231" spans="1:70">
      <c r="A231" t="s">
        <v>459</v>
      </c>
      <c r="B231" t="s">
        <v>460</v>
      </c>
      <c r="C231" t="s">
        <v>9</v>
      </c>
      <c r="D231" t="s">
        <v>10</v>
      </c>
    </row>
    <row r="232" spans="1:70">
      <c r="A232" t="s">
        <v>461</v>
      </c>
      <c r="B232" t="s">
        <v>462</v>
      </c>
      <c r="C232" t="s">
        <v>9</v>
      </c>
      <c r="D232" t="s">
        <v>10</v>
      </c>
      <c r="V232">
        <v>1000000</v>
      </c>
      <c r="X232">
        <v>19000000</v>
      </c>
      <c r="Y232">
        <v>6000000</v>
      </c>
      <c r="AA232">
        <v>3000000</v>
      </c>
      <c r="AB232">
        <v>15000000</v>
      </c>
      <c r="AE232">
        <v>10000000</v>
      </c>
      <c r="AG232">
        <v>1000000</v>
      </c>
      <c r="AI232">
        <v>0</v>
      </c>
      <c r="AX232">
        <v>15000000</v>
      </c>
      <c r="BD232">
        <v>8000000</v>
      </c>
      <c r="BF232">
        <v>10000000</v>
      </c>
      <c r="BG232">
        <v>16000000</v>
      </c>
      <c r="BI232">
        <v>8000000</v>
      </c>
      <c r="BK232">
        <v>10000000</v>
      </c>
      <c r="BN232">
        <v>19000000</v>
      </c>
    </row>
    <row r="233" spans="1:70">
      <c r="A233" t="s">
        <v>463</v>
      </c>
      <c r="B233" t="s">
        <v>464</v>
      </c>
      <c r="C233" t="s">
        <v>9</v>
      </c>
      <c r="D233" t="s">
        <v>10</v>
      </c>
      <c r="E233">
        <v>38000000</v>
      </c>
      <c r="F233">
        <v>27000000</v>
      </c>
      <c r="G233">
        <v>35000000</v>
      </c>
      <c r="H233">
        <v>89000000</v>
      </c>
      <c r="I233">
        <v>65000000</v>
      </c>
      <c r="J233">
        <v>100000000</v>
      </c>
      <c r="K233">
        <v>525000000</v>
      </c>
      <c r="L233">
        <v>905000000</v>
      </c>
      <c r="M233">
        <v>829000000</v>
      </c>
      <c r="N233">
        <v>875000000</v>
      </c>
      <c r="O233">
        <v>870000000</v>
      </c>
      <c r="P233">
        <v>735000000</v>
      </c>
      <c r="Q233">
        <v>1517000000</v>
      </c>
      <c r="R233">
        <v>3282000000</v>
      </c>
      <c r="S233">
        <v>3410000000</v>
      </c>
      <c r="T233">
        <v>1411000000</v>
      </c>
      <c r="U233">
        <v>527000000</v>
      </c>
      <c r="V233">
        <v>931000000</v>
      </c>
      <c r="W233">
        <v>871000000</v>
      </c>
      <c r="X233">
        <v>2045000000</v>
      </c>
      <c r="Y233">
        <v>1867000000</v>
      </c>
      <c r="Z233">
        <v>1349000000</v>
      </c>
      <c r="AA233">
        <v>1989000000</v>
      </c>
      <c r="AB233">
        <v>2241000000</v>
      </c>
      <c r="AC233">
        <v>1817000000</v>
      </c>
      <c r="AD233">
        <v>1581000000</v>
      </c>
      <c r="AE233">
        <v>1267000000</v>
      </c>
      <c r="AF233">
        <v>1451000000</v>
      </c>
      <c r="AG233">
        <v>1310000000</v>
      </c>
      <c r="AH233">
        <v>663000000</v>
      </c>
      <c r="AI233">
        <v>739000000</v>
      </c>
      <c r="AJ233">
        <v>315000000</v>
      </c>
      <c r="AK233">
        <v>277000000</v>
      </c>
      <c r="AL233">
        <v>166000000</v>
      </c>
      <c r="AM233">
        <v>14000000</v>
      </c>
      <c r="AN233">
        <v>25000000</v>
      </c>
      <c r="AO233">
        <v>25000000</v>
      </c>
      <c r="AP233">
        <v>25000000</v>
      </c>
      <c r="AQ233">
        <v>45000000</v>
      </c>
      <c r="AR233">
        <v>48000000</v>
      </c>
      <c r="AS233">
        <v>49000000</v>
      </c>
      <c r="AT233">
        <v>23000000</v>
      </c>
      <c r="AU233">
        <v>40000000</v>
      </c>
      <c r="AV233">
        <v>64000000</v>
      </c>
      <c r="AW233">
        <v>20000000</v>
      </c>
      <c r="AX233">
        <v>30000000</v>
      </c>
      <c r="AY233">
        <v>95000000</v>
      </c>
      <c r="AZ233">
        <v>15000000</v>
      </c>
      <c r="BA233">
        <v>326000000</v>
      </c>
      <c r="BB233">
        <v>253000000</v>
      </c>
      <c r="BC233">
        <v>420000000</v>
      </c>
      <c r="BD233">
        <v>485000000</v>
      </c>
      <c r="BE233">
        <v>532000000</v>
      </c>
      <c r="BF233">
        <v>498000000</v>
      </c>
      <c r="BG233">
        <v>7000000</v>
      </c>
      <c r="BH233">
        <v>16000000</v>
      </c>
      <c r="BI233">
        <v>18000000</v>
      </c>
      <c r="BJ233">
        <v>52000000</v>
      </c>
      <c r="BK233">
        <v>199000000</v>
      </c>
      <c r="BL233">
        <v>104000000</v>
      </c>
      <c r="BM233">
        <v>80000000</v>
      </c>
      <c r="BN233">
        <v>7000000</v>
      </c>
      <c r="BR233">
        <v>2000000</v>
      </c>
    </row>
    <row r="234" spans="1:70">
      <c r="A234" t="s">
        <v>465</v>
      </c>
      <c r="B234" t="s">
        <v>466</v>
      </c>
      <c r="C234" t="s">
        <v>9</v>
      </c>
      <c r="D234" t="s">
        <v>10</v>
      </c>
    </row>
    <row r="235" spans="1:70">
      <c r="A235" t="s">
        <v>467</v>
      </c>
      <c r="B235" t="s">
        <v>468</v>
      </c>
      <c r="C235" t="s">
        <v>9</v>
      </c>
      <c r="D235" t="s">
        <v>10</v>
      </c>
      <c r="E235">
        <v>1000000</v>
      </c>
      <c r="F235">
        <v>1000000</v>
      </c>
      <c r="J235">
        <v>0</v>
      </c>
      <c r="P235">
        <v>4000000</v>
      </c>
      <c r="R235">
        <v>3000000</v>
      </c>
      <c r="S235">
        <v>13000000</v>
      </c>
      <c r="T235">
        <v>10000000</v>
      </c>
      <c r="U235">
        <v>8000000</v>
      </c>
      <c r="V235">
        <v>3000000</v>
      </c>
      <c r="Y235">
        <v>10000000</v>
      </c>
      <c r="AB235">
        <v>37000000</v>
      </c>
      <c r="AC235">
        <v>9000000</v>
      </c>
      <c r="AD235">
        <v>1000000</v>
      </c>
      <c r="AE235">
        <v>29000000</v>
      </c>
      <c r="AF235">
        <v>28000000</v>
      </c>
      <c r="AG235">
        <v>9000000</v>
      </c>
      <c r="AH235">
        <v>56000000</v>
      </c>
      <c r="AM235">
        <v>3000000</v>
      </c>
      <c r="AN235">
        <v>1000000</v>
      </c>
      <c r="AQ235">
        <v>7000000</v>
      </c>
      <c r="AR235">
        <v>7000000</v>
      </c>
      <c r="AT235">
        <v>16000000</v>
      </c>
      <c r="AY235">
        <v>18000000</v>
      </c>
      <c r="AZ235">
        <v>30000000</v>
      </c>
      <c r="BA235">
        <v>83000000</v>
      </c>
      <c r="BB235">
        <v>37000000</v>
      </c>
      <c r="BC235">
        <v>43000000</v>
      </c>
      <c r="BD235">
        <v>1000000</v>
      </c>
      <c r="BE235">
        <v>4000000</v>
      </c>
      <c r="BF235">
        <v>59000000</v>
      </c>
      <c r="BG235">
        <v>58000000</v>
      </c>
      <c r="BH235">
        <v>1000000</v>
      </c>
      <c r="BI235">
        <v>2000000</v>
      </c>
      <c r="BJ235">
        <v>6000000</v>
      </c>
      <c r="BK235">
        <v>7000000</v>
      </c>
      <c r="BL235">
        <v>1000000</v>
      </c>
      <c r="BM235">
        <v>4000000</v>
      </c>
      <c r="BN235">
        <v>47000000</v>
      </c>
      <c r="BO235">
        <v>6000000</v>
      </c>
      <c r="BP235">
        <v>32000000</v>
      </c>
      <c r="BQ235">
        <v>10000000</v>
      </c>
      <c r="BR235">
        <v>4000000</v>
      </c>
    </row>
    <row r="236" spans="1:70">
      <c r="A236" t="s">
        <v>469</v>
      </c>
      <c r="B236" t="s">
        <v>470</v>
      </c>
      <c r="C236" t="s">
        <v>9</v>
      </c>
      <c r="D236" t="s">
        <v>10</v>
      </c>
      <c r="E236">
        <v>3011000000</v>
      </c>
      <c r="F236">
        <v>2014000000</v>
      </c>
      <c r="G236">
        <v>1771000000</v>
      </c>
      <c r="H236">
        <v>1093000000</v>
      </c>
      <c r="I236">
        <v>1716000000</v>
      </c>
      <c r="J236">
        <v>1627000000</v>
      </c>
      <c r="K236">
        <v>1752000000</v>
      </c>
      <c r="L236">
        <v>1670000000</v>
      </c>
      <c r="M236">
        <v>1594000000</v>
      </c>
      <c r="N236">
        <v>1216000000</v>
      </c>
      <c r="O236">
        <v>1584000000</v>
      </c>
      <c r="S236">
        <v>1283000000</v>
      </c>
      <c r="T236">
        <v>1131000000</v>
      </c>
      <c r="U236">
        <v>1069000000</v>
      </c>
      <c r="V236">
        <v>807000000</v>
      </c>
      <c r="W236">
        <v>984000000</v>
      </c>
      <c r="X236">
        <v>2403000000</v>
      </c>
      <c r="Y236">
        <v>2608000000</v>
      </c>
      <c r="Z236">
        <v>2436000000</v>
      </c>
      <c r="AA236">
        <v>1215000000</v>
      </c>
      <c r="AB236">
        <v>2019000000</v>
      </c>
      <c r="AC236">
        <v>1871000000</v>
      </c>
      <c r="AD236">
        <v>1262000000</v>
      </c>
      <c r="AE236">
        <v>1005000000</v>
      </c>
      <c r="AF236">
        <v>1065000000</v>
      </c>
      <c r="AG236">
        <v>1171000000</v>
      </c>
      <c r="AH236">
        <v>1052000000</v>
      </c>
      <c r="AI236">
        <v>1214000000</v>
      </c>
      <c r="AJ236">
        <v>1359000000</v>
      </c>
      <c r="AK236">
        <v>1764000000</v>
      </c>
      <c r="AL236">
        <v>2031000000</v>
      </c>
      <c r="AM236">
        <v>1954000000</v>
      </c>
      <c r="AN236">
        <v>2883000000</v>
      </c>
      <c r="AO236">
        <v>3053000000</v>
      </c>
      <c r="AP236">
        <v>2996000000</v>
      </c>
      <c r="AQ236">
        <v>1012000000</v>
      </c>
      <c r="AR236">
        <v>3103000000</v>
      </c>
      <c r="AS236">
        <v>2781000000</v>
      </c>
      <c r="AT236">
        <v>3172000000</v>
      </c>
      <c r="AU236">
        <v>3422000000</v>
      </c>
      <c r="AV236">
        <v>3132000000</v>
      </c>
      <c r="AW236">
        <v>4044000000</v>
      </c>
      <c r="AX236">
        <v>4088000000</v>
      </c>
      <c r="AY236">
        <v>3462000000</v>
      </c>
      <c r="AZ236">
        <v>3016000000</v>
      </c>
      <c r="BA236">
        <v>2830000000</v>
      </c>
      <c r="BB236">
        <v>3329000000</v>
      </c>
      <c r="BC236">
        <v>1776000000</v>
      </c>
      <c r="BD236">
        <v>3325000000</v>
      </c>
      <c r="BE236">
        <v>3377000000</v>
      </c>
      <c r="BF236">
        <v>3301000000</v>
      </c>
      <c r="BG236">
        <v>3762000000</v>
      </c>
      <c r="BH236">
        <v>3290000000</v>
      </c>
      <c r="BI236">
        <v>3613000000</v>
      </c>
      <c r="BJ236">
        <v>4505000000</v>
      </c>
      <c r="BK236">
        <v>4313000000</v>
      </c>
      <c r="BL236">
        <v>2807000000</v>
      </c>
      <c r="BM236">
        <v>1928000000</v>
      </c>
      <c r="BN236">
        <v>2100000000</v>
      </c>
      <c r="BO236">
        <v>1717000000</v>
      </c>
      <c r="BP236">
        <v>1479000000</v>
      </c>
      <c r="BQ236">
        <v>944000000</v>
      </c>
      <c r="BR236">
        <v>2610000000</v>
      </c>
    </row>
    <row r="237" spans="1:70">
      <c r="A237" t="s">
        <v>471</v>
      </c>
      <c r="B237" t="s">
        <v>472</v>
      </c>
      <c r="C237" t="s">
        <v>9</v>
      </c>
      <c r="D237" t="s">
        <v>10</v>
      </c>
      <c r="E237">
        <v>2137000000</v>
      </c>
      <c r="F237">
        <v>1812000000</v>
      </c>
      <c r="G237">
        <v>1665000000</v>
      </c>
      <c r="H237">
        <v>2401000000</v>
      </c>
      <c r="I237">
        <v>3166000000</v>
      </c>
      <c r="J237">
        <v>2797000000</v>
      </c>
      <c r="K237">
        <v>2222000000</v>
      </c>
      <c r="L237">
        <v>2308000000</v>
      </c>
      <c r="M237">
        <v>2457000000</v>
      </c>
      <c r="N237">
        <v>2849000000</v>
      </c>
      <c r="O237">
        <v>2837000000</v>
      </c>
      <c r="P237">
        <v>3160000000</v>
      </c>
      <c r="Q237">
        <v>3143000000</v>
      </c>
      <c r="R237">
        <v>2818000000</v>
      </c>
      <c r="S237">
        <v>3451000000</v>
      </c>
      <c r="T237">
        <v>2607000000</v>
      </c>
      <c r="U237">
        <v>2127000000</v>
      </c>
      <c r="V237">
        <v>2163000000</v>
      </c>
      <c r="W237">
        <v>3380000000</v>
      </c>
      <c r="X237">
        <v>3039000000</v>
      </c>
      <c r="Y237">
        <v>2701000000</v>
      </c>
      <c r="Z237">
        <v>2984000000</v>
      </c>
      <c r="AA237">
        <v>2241000000</v>
      </c>
      <c r="AB237">
        <v>2077000000</v>
      </c>
      <c r="AC237">
        <v>2203000000</v>
      </c>
      <c r="AD237">
        <v>2552000000</v>
      </c>
      <c r="AE237">
        <v>3248000000</v>
      </c>
      <c r="AF237">
        <v>3128000000</v>
      </c>
      <c r="AG237">
        <v>3021000000</v>
      </c>
      <c r="AH237">
        <v>2137000000</v>
      </c>
      <c r="AI237">
        <v>2821000000</v>
      </c>
      <c r="AJ237">
        <v>1766000000</v>
      </c>
      <c r="AK237">
        <v>2282000000</v>
      </c>
      <c r="AL237">
        <v>2438000000</v>
      </c>
      <c r="AR237">
        <v>2519000000</v>
      </c>
      <c r="AS237">
        <v>2643000000</v>
      </c>
      <c r="AT237">
        <v>992000000</v>
      </c>
      <c r="AZ237">
        <v>2373000000</v>
      </c>
      <c r="BB237">
        <v>1462000000</v>
      </c>
      <c r="BC237">
        <v>1145000000</v>
      </c>
      <c r="BD237">
        <v>2023000000</v>
      </c>
      <c r="BE237">
        <v>2578000000</v>
      </c>
      <c r="BF237">
        <v>1874000000</v>
      </c>
      <c r="BG237">
        <v>2930000000</v>
      </c>
      <c r="BH237">
        <v>1921000000</v>
      </c>
      <c r="BI237">
        <v>2001000000</v>
      </c>
      <c r="BJ237">
        <v>1660000000</v>
      </c>
      <c r="BK237">
        <v>1681000000</v>
      </c>
      <c r="BL237">
        <v>2061000000</v>
      </c>
      <c r="BM237">
        <v>1087000000</v>
      </c>
      <c r="BN237">
        <v>1310000000</v>
      </c>
      <c r="BO237">
        <v>4478000000</v>
      </c>
      <c r="BP237">
        <v>7797000000</v>
      </c>
      <c r="BQ237">
        <v>9221000000</v>
      </c>
      <c r="BR237">
        <v>7313000000</v>
      </c>
    </row>
    <row r="238" spans="1:70">
      <c r="A238" t="s">
        <v>473</v>
      </c>
      <c r="B238" t="s">
        <v>474</v>
      </c>
      <c r="C238" t="s">
        <v>9</v>
      </c>
      <c r="D238" t="s">
        <v>10</v>
      </c>
      <c r="E238">
        <v>1000000</v>
      </c>
      <c r="I238">
        <v>0</v>
      </c>
      <c r="J238">
        <v>0</v>
      </c>
      <c r="M238">
        <v>1000000</v>
      </c>
      <c r="N238">
        <v>1000000</v>
      </c>
      <c r="O238">
        <v>2000000</v>
      </c>
      <c r="P238">
        <v>1000000</v>
      </c>
      <c r="R238">
        <v>4000000</v>
      </c>
      <c r="T238">
        <v>15000000</v>
      </c>
      <c r="U238">
        <v>47000000</v>
      </c>
      <c r="V238">
        <v>1000000</v>
      </c>
      <c r="W238">
        <v>9000000</v>
      </c>
      <c r="X238">
        <v>9000000</v>
      </c>
      <c r="Y238">
        <v>28000000</v>
      </c>
      <c r="Z238">
        <v>19000000</v>
      </c>
      <c r="AA238">
        <v>4000000</v>
      </c>
      <c r="AB238">
        <v>2000000</v>
      </c>
      <c r="AE238">
        <v>16000000</v>
      </c>
      <c r="AF238">
        <v>0</v>
      </c>
      <c r="AG238">
        <v>0</v>
      </c>
      <c r="AJ238">
        <v>9000000</v>
      </c>
      <c r="AK238">
        <v>8000000</v>
      </c>
      <c r="AM238">
        <v>3000000</v>
      </c>
      <c r="AN238">
        <v>3000000</v>
      </c>
      <c r="AP238">
        <v>10000000</v>
      </c>
      <c r="BC238">
        <v>1000000</v>
      </c>
      <c r="BG238">
        <v>15000000</v>
      </c>
      <c r="BL238">
        <v>6000000</v>
      </c>
      <c r="BM238">
        <v>5000000</v>
      </c>
      <c r="BN238">
        <v>10000000</v>
      </c>
      <c r="BO238">
        <v>59000000</v>
      </c>
      <c r="BP238">
        <v>2000000</v>
      </c>
      <c r="BQ238">
        <v>1000000</v>
      </c>
      <c r="BR238">
        <v>5000000</v>
      </c>
    </row>
    <row r="239" spans="1:70">
      <c r="A239" t="s">
        <v>475</v>
      </c>
      <c r="B239" t="s">
        <v>476</v>
      </c>
      <c r="C239" t="s">
        <v>9</v>
      </c>
      <c r="D239" t="s">
        <v>10</v>
      </c>
      <c r="E239">
        <v>28000000</v>
      </c>
      <c r="F239">
        <v>52000000</v>
      </c>
      <c r="G239">
        <v>113000000</v>
      </c>
      <c r="H239">
        <v>111000000</v>
      </c>
      <c r="I239">
        <v>84000000</v>
      </c>
      <c r="J239">
        <v>87000000</v>
      </c>
      <c r="K239">
        <v>58000000</v>
      </c>
      <c r="L239">
        <v>140000000</v>
      </c>
      <c r="M239">
        <v>88000000</v>
      </c>
      <c r="N239">
        <v>121000000</v>
      </c>
      <c r="O239">
        <v>258000000</v>
      </c>
      <c r="P239">
        <v>243000000</v>
      </c>
      <c r="Q239">
        <v>147000000</v>
      </c>
      <c r="R239">
        <v>321000000</v>
      </c>
      <c r="S239">
        <v>114000000</v>
      </c>
      <c r="T239">
        <v>90000000</v>
      </c>
      <c r="U239">
        <v>154000000</v>
      </c>
      <c r="V239">
        <v>111000000</v>
      </c>
      <c r="W239">
        <v>192000000</v>
      </c>
      <c r="X239">
        <v>326000000</v>
      </c>
      <c r="Y239">
        <v>318000000</v>
      </c>
      <c r="Z239">
        <v>350000000</v>
      </c>
      <c r="AA239">
        <v>81000000</v>
      </c>
      <c r="AB239">
        <v>247000000</v>
      </c>
      <c r="AC239">
        <v>360000000</v>
      </c>
      <c r="AD239">
        <v>185000000</v>
      </c>
      <c r="AE239">
        <v>162000000</v>
      </c>
      <c r="AF239">
        <v>539000000</v>
      </c>
      <c r="AG239">
        <v>623000000</v>
      </c>
      <c r="AH239">
        <v>284000000</v>
      </c>
      <c r="AI239">
        <v>235000000</v>
      </c>
      <c r="AJ239">
        <v>575000000</v>
      </c>
      <c r="AK239">
        <v>429000000</v>
      </c>
      <c r="AL239">
        <v>182000000</v>
      </c>
      <c r="AM239">
        <v>608000000</v>
      </c>
      <c r="AN239">
        <v>530000000</v>
      </c>
      <c r="AO239">
        <v>741000000</v>
      </c>
      <c r="AP239">
        <v>910000000</v>
      </c>
      <c r="AQ239">
        <v>62000000</v>
      </c>
      <c r="AR239">
        <v>160000000</v>
      </c>
      <c r="AS239">
        <v>77000000</v>
      </c>
      <c r="AT239">
        <v>109000000</v>
      </c>
      <c r="AU239">
        <v>152000000</v>
      </c>
      <c r="AV239">
        <v>131000000</v>
      </c>
      <c r="AW239">
        <v>138000000</v>
      </c>
      <c r="AX239">
        <v>115000000</v>
      </c>
      <c r="AY239">
        <v>99000000</v>
      </c>
      <c r="AZ239">
        <v>8000000</v>
      </c>
      <c r="BA239">
        <v>16000000</v>
      </c>
      <c r="BB239">
        <v>63000000</v>
      </c>
      <c r="BC239">
        <v>60000000</v>
      </c>
      <c r="BD239">
        <v>252000000</v>
      </c>
      <c r="BE239">
        <v>278000000</v>
      </c>
      <c r="BF239">
        <v>383000000</v>
      </c>
      <c r="BG239">
        <v>107000000</v>
      </c>
      <c r="BH239">
        <v>184000000</v>
      </c>
      <c r="BI239">
        <v>346000000</v>
      </c>
      <c r="BJ239">
        <v>317000000</v>
      </c>
      <c r="BK239">
        <v>636000000</v>
      </c>
      <c r="BL239">
        <v>293000000</v>
      </c>
      <c r="BM239">
        <v>141000000</v>
      </c>
      <c r="BN239">
        <v>151000000</v>
      </c>
      <c r="BO239">
        <v>271000000</v>
      </c>
      <c r="BP239">
        <v>290000000</v>
      </c>
      <c r="BQ239">
        <v>73000000</v>
      </c>
      <c r="BR239">
        <v>33000000</v>
      </c>
    </row>
    <row r="240" spans="1:70">
      <c r="A240" t="s">
        <v>477</v>
      </c>
      <c r="B240" t="s">
        <v>478</v>
      </c>
      <c r="C240" t="s">
        <v>9</v>
      </c>
      <c r="D240" t="s">
        <v>10</v>
      </c>
      <c r="AM240">
        <v>29000000</v>
      </c>
      <c r="AY240">
        <v>13000000</v>
      </c>
      <c r="AZ240">
        <v>7000000</v>
      </c>
      <c r="BB240">
        <v>34000000</v>
      </c>
      <c r="BF240">
        <v>4000000</v>
      </c>
      <c r="BI240">
        <v>7000000</v>
      </c>
      <c r="BJ240">
        <v>19000000</v>
      </c>
      <c r="BK240">
        <v>4000000</v>
      </c>
      <c r="BL240">
        <v>5000000</v>
      </c>
      <c r="BO240">
        <v>3000000</v>
      </c>
      <c r="BP240">
        <v>0</v>
      </c>
      <c r="BQ240">
        <v>0</v>
      </c>
      <c r="BR240">
        <v>75000000</v>
      </c>
    </row>
    <row r="241" spans="1:70">
      <c r="A241" t="s">
        <v>479</v>
      </c>
      <c r="B241" t="s">
        <v>480</v>
      </c>
      <c r="C241" t="s">
        <v>9</v>
      </c>
      <c r="D241" t="s">
        <v>10</v>
      </c>
      <c r="AV241">
        <v>18000000</v>
      </c>
      <c r="AW241">
        <v>21000000</v>
      </c>
      <c r="BA241">
        <v>7000000</v>
      </c>
      <c r="BB241">
        <v>38000000</v>
      </c>
      <c r="BC241">
        <v>32000000</v>
      </c>
      <c r="BD241">
        <v>237000000</v>
      </c>
      <c r="BE241">
        <v>112000000</v>
      </c>
      <c r="BF241">
        <v>69000000</v>
      </c>
      <c r="BG241">
        <v>72000000</v>
      </c>
      <c r="BH241">
        <v>169000000</v>
      </c>
      <c r="BI241">
        <v>433000000</v>
      </c>
      <c r="BJ241">
        <v>108000000</v>
      </c>
      <c r="BN241">
        <v>382000000</v>
      </c>
    </row>
    <row r="242" spans="1:70">
      <c r="A242" t="s">
        <v>481</v>
      </c>
      <c r="B242" t="s">
        <v>482</v>
      </c>
      <c r="C242" t="s">
        <v>9</v>
      </c>
      <c r="D242" t="s">
        <v>10</v>
      </c>
      <c r="E242">
        <v>1066000000</v>
      </c>
      <c r="F242">
        <v>706000000</v>
      </c>
      <c r="G242">
        <v>424000000</v>
      </c>
      <c r="H242">
        <v>458000000</v>
      </c>
      <c r="I242">
        <v>184000000</v>
      </c>
      <c r="J242">
        <v>355000000</v>
      </c>
      <c r="K242">
        <v>447000000</v>
      </c>
      <c r="M242">
        <v>1038000000</v>
      </c>
      <c r="N242">
        <v>629000000</v>
      </c>
      <c r="O242">
        <v>737000000</v>
      </c>
      <c r="P242">
        <v>1273000000</v>
      </c>
      <c r="Q242">
        <v>1637000000</v>
      </c>
      <c r="R242">
        <v>2403000000</v>
      </c>
      <c r="S242">
        <v>1968000000</v>
      </c>
      <c r="T242">
        <v>2435000000</v>
      </c>
      <c r="U242">
        <v>2470000000</v>
      </c>
      <c r="V242">
        <v>2668000000</v>
      </c>
      <c r="W242">
        <v>2678000000</v>
      </c>
      <c r="X242">
        <v>1937000000</v>
      </c>
      <c r="Y242">
        <v>2498000000</v>
      </c>
      <c r="Z242">
        <v>3374000000</v>
      </c>
      <c r="AA242">
        <v>2665000000</v>
      </c>
      <c r="AB242">
        <v>3009000000</v>
      </c>
      <c r="AC242">
        <v>3243000000</v>
      </c>
      <c r="AD242">
        <v>1676000000</v>
      </c>
      <c r="AE242">
        <v>1249000000</v>
      </c>
      <c r="AF242">
        <v>1650000000</v>
      </c>
      <c r="AG242">
        <v>1010000000</v>
      </c>
      <c r="AH242">
        <v>1463000000</v>
      </c>
      <c r="AI242">
        <v>924000000</v>
      </c>
      <c r="AJ242">
        <v>1036000000</v>
      </c>
      <c r="AK242">
        <v>620000000</v>
      </c>
      <c r="AL242">
        <v>528000000</v>
      </c>
      <c r="AM242">
        <v>996000000</v>
      </c>
      <c r="AN242">
        <v>843000000</v>
      </c>
      <c r="AO242">
        <v>1075000000</v>
      </c>
      <c r="AP242">
        <v>2083000000</v>
      </c>
      <c r="AQ242">
        <v>767000000</v>
      </c>
      <c r="AR242">
        <v>1229000000</v>
      </c>
      <c r="AS242">
        <v>992000000</v>
      </c>
      <c r="AT242">
        <v>1231000000</v>
      </c>
      <c r="AU242">
        <v>679000000</v>
      </c>
      <c r="AV242">
        <v>535000000</v>
      </c>
      <c r="AW242">
        <v>746000000</v>
      </c>
      <c r="AX242">
        <v>1192000000</v>
      </c>
      <c r="AY242">
        <v>2063000000</v>
      </c>
      <c r="BA242">
        <v>1666000000</v>
      </c>
      <c r="BB242">
        <v>1359000000</v>
      </c>
      <c r="BC242">
        <v>1558000000</v>
      </c>
      <c r="BD242">
        <v>1743000000</v>
      </c>
      <c r="BE242">
        <v>1666000000</v>
      </c>
      <c r="BF242">
        <v>1576000000</v>
      </c>
      <c r="BG242">
        <v>1098000000</v>
      </c>
      <c r="BH242">
        <v>1368000000</v>
      </c>
      <c r="BI242">
        <v>1000000000</v>
      </c>
      <c r="BJ242">
        <v>571000000</v>
      </c>
      <c r="BK242">
        <v>542000000</v>
      </c>
      <c r="BM242">
        <v>999000000</v>
      </c>
      <c r="BN242">
        <v>591000000</v>
      </c>
      <c r="BP242">
        <v>393000000</v>
      </c>
      <c r="BQ242">
        <v>648000000</v>
      </c>
      <c r="BR242">
        <v>782000000</v>
      </c>
    </row>
    <row r="243" spans="1:70">
      <c r="A243" t="s">
        <v>483</v>
      </c>
      <c r="B243" t="s">
        <v>484</v>
      </c>
      <c r="C243" t="s">
        <v>9</v>
      </c>
      <c r="D243" t="s">
        <v>10</v>
      </c>
      <c r="BC243">
        <v>18000000</v>
      </c>
      <c r="BD243">
        <v>14000000</v>
      </c>
    </row>
    <row r="244" spans="1:70">
      <c r="A244" t="s">
        <v>485</v>
      </c>
      <c r="B244" t="s">
        <v>486</v>
      </c>
      <c r="C244" t="s">
        <v>9</v>
      </c>
      <c r="D244" t="s">
        <v>10</v>
      </c>
      <c r="E244">
        <v>737000000</v>
      </c>
      <c r="F244">
        <v>970000000</v>
      </c>
      <c r="G244">
        <v>1466000000</v>
      </c>
      <c r="H244">
        <v>1574000000</v>
      </c>
      <c r="I244">
        <v>1777000000</v>
      </c>
      <c r="J244">
        <v>2694000000</v>
      </c>
      <c r="K244">
        <v>4588000000</v>
      </c>
      <c r="L244">
        <v>5341000000</v>
      </c>
      <c r="M244">
        <v>4248000000</v>
      </c>
      <c r="N244">
        <v>4661000000</v>
      </c>
      <c r="O244">
        <v>5140000000</v>
      </c>
      <c r="P244">
        <v>6236000000</v>
      </c>
      <c r="Q244">
        <v>8313000000</v>
      </c>
      <c r="R244">
        <v>10964000000</v>
      </c>
      <c r="S244">
        <v>11235000000</v>
      </c>
      <c r="T244">
        <v>10986000000</v>
      </c>
      <c r="U244">
        <v>9573000000</v>
      </c>
      <c r="V244">
        <v>13297000000</v>
      </c>
      <c r="W244">
        <v>13844000000</v>
      </c>
      <c r="X244">
        <v>11791000000</v>
      </c>
      <c r="Y244">
        <v>12206000000</v>
      </c>
      <c r="Z244">
        <v>12463000000</v>
      </c>
      <c r="AA244">
        <v>15047000000</v>
      </c>
      <c r="AB244">
        <v>12181000000</v>
      </c>
      <c r="AC244">
        <v>12141000000</v>
      </c>
      <c r="AD244">
        <v>9835000000</v>
      </c>
      <c r="AE244">
        <v>8229000000</v>
      </c>
      <c r="AF244">
        <v>9262000000</v>
      </c>
      <c r="AG244">
        <v>6190000000</v>
      </c>
      <c r="AH244">
        <v>6404000000</v>
      </c>
      <c r="AI244">
        <v>5794000000</v>
      </c>
      <c r="AJ244">
        <v>5198000000</v>
      </c>
      <c r="AK244">
        <v>2139000000</v>
      </c>
      <c r="AL244">
        <v>3543000000</v>
      </c>
      <c r="AM244">
        <v>3730000000</v>
      </c>
      <c r="AN244">
        <v>3012000000</v>
      </c>
      <c r="AO244">
        <v>2450000000</v>
      </c>
      <c r="AP244">
        <v>2323000000</v>
      </c>
      <c r="AQ244">
        <v>1974000000</v>
      </c>
      <c r="AR244">
        <v>2338000000</v>
      </c>
      <c r="AS244">
        <v>2308000000</v>
      </c>
      <c r="AT244">
        <v>2565000000</v>
      </c>
      <c r="AU244">
        <v>2963000000</v>
      </c>
      <c r="AV244">
        <v>2181000000</v>
      </c>
      <c r="AX244">
        <v>2403000000</v>
      </c>
      <c r="AY244">
        <v>2334000000</v>
      </c>
      <c r="AZ244">
        <v>2833000000</v>
      </c>
      <c r="BA244">
        <v>4094000000</v>
      </c>
      <c r="BB244">
        <v>3803000000</v>
      </c>
      <c r="BC244">
        <v>5907000000</v>
      </c>
      <c r="BD244">
        <v>6356000000</v>
      </c>
      <c r="BE244">
        <v>4993000000</v>
      </c>
      <c r="BF244">
        <v>3680000000</v>
      </c>
      <c r="BG244">
        <v>3838000000</v>
      </c>
      <c r="BH244">
        <v>5124000000</v>
      </c>
      <c r="BI244">
        <v>8494000000</v>
      </c>
      <c r="BJ244">
        <v>6863000000</v>
      </c>
      <c r="BK244">
        <v>5651000000</v>
      </c>
      <c r="BL244">
        <v>2916000000</v>
      </c>
      <c r="BM244">
        <v>3167000000</v>
      </c>
      <c r="BN244">
        <v>2747000000</v>
      </c>
      <c r="BO244">
        <v>3418000000</v>
      </c>
      <c r="BP244">
        <v>4402000000</v>
      </c>
      <c r="BQ244">
        <v>1779000000</v>
      </c>
      <c r="BR244">
        <v>1967000000</v>
      </c>
    </row>
    <row r="245" spans="1:70">
      <c r="A245" t="s">
        <v>487</v>
      </c>
      <c r="B245" t="s">
        <v>488</v>
      </c>
      <c r="C245" t="s">
        <v>9</v>
      </c>
      <c r="D245" t="s">
        <v>10</v>
      </c>
      <c r="AE245">
        <v>0</v>
      </c>
      <c r="AH245">
        <v>6000000</v>
      </c>
      <c r="AI245">
        <v>6000000</v>
      </c>
      <c r="AJ245">
        <v>6000000</v>
      </c>
      <c r="AO245">
        <v>0</v>
      </c>
      <c r="BL245">
        <v>7000000</v>
      </c>
      <c r="BM245">
        <v>7000000</v>
      </c>
    </row>
    <row r="246" spans="1:70">
      <c r="A246" t="s">
        <v>489</v>
      </c>
      <c r="B246" t="s">
        <v>490</v>
      </c>
      <c r="C246" t="s">
        <v>9</v>
      </c>
      <c r="D246" t="s">
        <v>10</v>
      </c>
      <c r="E246">
        <v>548000000</v>
      </c>
      <c r="F246">
        <v>1148000000</v>
      </c>
      <c r="G246">
        <v>402000000</v>
      </c>
      <c r="H246">
        <v>695000000</v>
      </c>
      <c r="I246">
        <v>794000000</v>
      </c>
      <c r="J246">
        <v>1006000000</v>
      </c>
      <c r="K246">
        <v>961000000</v>
      </c>
      <c r="L246">
        <v>1132000000</v>
      </c>
      <c r="M246">
        <v>1373000000</v>
      </c>
      <c r="N246">
        <v>1368000000</v>
      </c>
      <c r="O246">
        <v>971000000</v>
      </c>
      <c r="P246">
        <v>2070000000</v>
      </c>
      <c r="Q246">
        <v>2145000000</v>
      </c>
      <c r="R246">
        <v>1592000000</v>
      </c>
      <c r="S246">
        <v>1377000000</v>
      </c>
      <c r="T246">
        <v>1583000000</v>
      </c>
      <c r="U246">
        <v>2018000000</v>
      </c>
      <c r="V246">
        <v>2454000000</v>
      </c>
      <c r="W246">
        <v>1247000000</v>
      </c>
      <c r="X246">
        <v>1201000000</v>
      </c>
      <c r="Y246">
        <v>1841000000</v>
      </c>
      <c r="Z246">
        <v>2197000000</v>
      </c>
      <c r="AA246">
        <v>2777000000</v>
      </c>
      <c r="AB246">
        <v>2750000000</v>
      </c>
      <c r="AC246">
        <v>2494000000</v>
      </c>
      <c r="AD246">
        <v>3166000000</v>
      </c>
      <c r="AE246">
        <v>4272000000</v>
      </c>
      <c r="AF246">
        <v>4031000000</v>
      </c>
      <c r="AG246">
        <v>4115000000</v>
      </c>
      <c r="AH246">
        <v>3985000000</v>
      </c>
      <c r="AI246">
        <v>3050000000</v>
      </c>
      <c r="AJ246">
        <v>2122000000</v>
      </c>
      <c r="AK246">
        <v>1331000000</v>
      </c>
      <c r="AL246">
        <v>823000000</v>
      </c>
      <c r="AM246">
        <v>1011000000</v>
      </c>
      <c r="AN246">
        <v>1545000000</v>
      </c>
      <c r="AO246">
        <v>1034000000</v>
      </c>
      <c r="AP246">
        <v>1768000000</v>
      </c>
      <c r="AQ246">
        <v>889000000</v>
      </c>
      <c r="AR246">
        <v>1462000000</v>
      </c>
      <c r="AS246">
        <v>1482000000</v>
      </c>
      <c r="AT246">
        <v>1490000000</v>
      </c>
      <c r="AU246">
        <v>1992000000</v>
      </c>
      <c r="AV246">
        <v>2850000000</v>
      </c>
      <c r="AW246">
        <v>2352000000</v>
      </c>
      <c r="AX246">
        <v>1282000000</v>
      </c>
      <c r="AY246">
        <v>1819000000</v>
      </c>
      <c r="AZ246">
        <v>2473000000</v>
      </c>
      <c r="BA246">
        <v>1735000000</v>
      </c>
      <c r="BB246">
        <v>1979000000</v>
      </c>
      <c r="BC246">
        <v>2943000000</v>
      </c>
      <c r="BD246">
        <v>3769000000</v>
      </c>
      <c r="BE246">
        <v>4705000000</v>
      </c>
      <c r="BF246">
        <v>5977000000</v>
      </c>
      <c r="BG246">
        <v>3499000000</v>
      </c>
      <c r="BH246">
        <v>3387000000</v>
      </c>
      <c r="BI246">
        <v>3116000000</v>
      </c>
      <c r="BJ246">
        <v>3062000000</v>
      </c>
      <c r="BK246">
        <v>2250000000</v>
      </c>
      <c r="BL246">
        <v>4014000000</v>
      </c>
      <c r="BM246">
        <v>2743000000</v>
      </c>
      <c r="BN246">
        <v>4079000000</v>
      </c>
      <c r="BO246">
        <v>3035000000</v>
      </c>
      <c r="BP246">
        <v>1619000000</v>
      </c>
      <c r="BQ246">
        <v>1689000000</v>
      </c>
      <c r="BR246">
        <v>2923000000</v>
      </c>
    </row>
    <row r="247" spans="1:70">
      <c r="A247" t="s">
        <v>491</v>
      </c>
      <c r="B247" t="s">
        <v>492</v>
      </c>
      <c r="C247" t="s">
        <v>9</v>
      </c>
      <c r="D247" t="s">
        <v>10</v>
      </c>
      <c r="E247">
        <v>122000000</v>
      </c>
      <c r="G247">
        <v>368000000</v>
      </c>
      <c r="H247">
        <v>656000000</v>
      </c>
      <c r="I247">
        <v>487000000</v>
      </c>
      <c r="J247">
        <v>622000000</v>
      </c>
      <c r="K247">
        <v>963000000</v>
      </c>
      <c r="L247">
        <v>558000000</v>
      </c>
      <c r="M247">
        <v>394000000</v>
      </c>
      <c r="N247">
        <v>584000000</v>
      </c>
      <c r="O247">
        <v>1293000000</v>
      </c>
      <c r="P247">
        <v>1029000000</v>
      </c>
      <c r="Q247">
        <v>717000000</v>
      </c>
      <c r="R247">
        <v>821000000</v>
      </c>
      <c r="S247">
        <v>961000000</v>
      </c>
      <c r="T247">
        <v>1984000000</v>
      </c>
      <c r="U247">
        <v>1702000000</v>
      </c>
      <c r="V247">
        <v>2477000000</v>
      </c>
      <c r="W247">
        <v>3055000000</v>
      </c>
      <c r="X247">
        <v>1464000000</v>
      </c>
      <c r="Y247">
        <v>1890000000</v>
      </c>
      <c r="Z247">
        <v>2259000000</v>
      </c>
      <c r="AA247">
        <v>2226000000</v>
      </c>
      <c r="AB247">
        <v>1612000000</v>
      </c>
      <c r="AC247">
        <v>1805000000</v>
      </c>
      <c r="AD247">
        <v>1688000000</v>
      </c>
      <c r="AE247">
        <v>1924000000</v>
      </c>
      <c r="AF247">
        <v>2094000000</v>
      </c>
      <c r="AG247">
        <v>1428000000</v>
      </c>
      <c r="AH247">
        <v>517000000</v>
      </c>
      <c r="AI247">
        <v>419000000</v>
      </c>
      <c r="AJ247">
        <v>299000000</v>
      </c>
      <c r="AM247">
        <v>549000000</v>
      </c>
      <c r="AO247">
        <v>342000000</v>
      </c>
      <c r="AP247">
        <v>435000000</v>
      </c>
      <c r="AS247">
        <v>633000000</v>
      </c>
      <c r="AT247">
        <v>459000000</v>
      </c>
      <c r="AY247">
        <v>1137000000</v>
      </c>
      <c r="AZ247">
        <v>1262000000</v>
      </c>
      <c r="BA247">
        <v>932000000</v>
      </c>
      <c r="BB247">
        <v>639000000</v>
      </c>
      <c r="BC247">
        <v>1105000000</v>
      </c>
      <c r="BD247">
        <v>1384000000</v>
      </c>
      <c r="BE247">
        <v>1212000000</v>
      </c>
      <c r="BF247">
        <v>905000000</v>
      </c>
      <c r="BG247">
        <v>888000000</v>
      </c>
      <c r="BH247">
        <v>595000000</v>
      </c>
      <c r="BI247">
        <v>787000000</v>
      </c>
      <c r="BO247">
        <v>583000000</v>
      </c>
      <c r="BP247">
        <v>753000000</v>
      </c>
      <c r="BR247">
        <v>583000000</v>
      </c>
    </row>
    <row r="248" spans="1:70">
      <c r="A248" t="s">
        <v>493</v>
      </c>
      <c r="B248" t="s">
        <v>494</v>
      </c>
      <c r="C248" t="s">
        <v>9</v>
      </c>
      <c r="D248" t="s">
        <v>10</v>
      </c>
      <c r="J248">
        <v>11000000</v>
      </c>
      <c r="K248">
        <v>0</v>
      </c>
      <c r="Q248">
        <v>11000000</v>
      </c>
      <c r="R248">
        <v>2000000</v>
      </c>
      <c r="Y248">
        <v>22000000</v>
      </c>
      <c r="Z248">
        <v>6000000</v>
      </c>
      <c r="AF248">
        <v>0</v>
      </c>
      <c r="AS248">
        <v>11000000</v>
      </c>
      <c r="AT248">
        <v>0</v>
      </c>
      <c r="AU248">
        <v>2000000</v>
      </c>
      <c r="AZ248">
        <v>6000000</v>
      </c>
      <c r="BC248">
        <v>24000000</v>
      </c>
      <c r="BD248">
        <v>12000000</v>
      </c>
      <c r="BE248">
        <v>12000000</v>
      </c>
      <c r="BH248">
        <v>46000000</v>
      </c>
      <c r="BI248">
        <v>30000000</v>
      </c>
      <c r="BN248">
        <v>32000000</v>
      </c>
    </row>
    <row r="249" spans="1:70">
      <c r="A249" t="s">
        <v>495</v>
      </c>
      <c r="B249" t="s">
        <v>496</v>
      </c>
      <c r="C249" t="s">
        <v>9</v>
      </c>
      <c r="D249" t="s">
        <v>10</v>
      </c>
      <c r="E249">
        <v>44000000</v>
      </c>
      <c r="F249">
        <v>6000000</v>
      </c>
      <c r="H249">
        <v>7000000</v>
      </c>
      <c r="I249">
        <v>4000000</v>
      </c>
      <c r="J249">
        <v>40000000</v>
      </c>
      <c r="L249">
        <v>5000000</v>
      </c>
      <c r="M249">
        <v>17000000</v>
      </c>
      <c r="N249">
        <v>23000000</v>
      </c>
      <c r="O249">
        <v>49000000</v>
      </c>
      <c r="P249">
        <v>0</v>
      </c>
      <c r="Q249">
        <v>4000000</v>
      </c>
      <c r="R249">
        <v>26000000</v>
      </c>
      <c r="S249">
        <v>14000000</v>
      </c>
      <c r="T249">
        <v>14000000</v>
      </c>
      <c r="U249">
        <v>10000000</v>
      </c>
      <c r="V249">
        <v>73000000</v>
      </c>
      <c r="W249">
        <v>14000000</v>
      </c>
      <c r="X249">
        <v>122000000</v>
      </c>
      <c r="Y249">
        <v>103000000</v>
      </c>
      <c r="Z249">
        <v>56000000</v>
      </c>
      <c r="AA249">
        <v>60000000</v>
      </c>
      <c r="AB249">
        <v>103000000</v>
      </c>
      <c r="AC249">
        <v>119000000</v>
      </c>
      <c r="AD249">
        <v>314000000</v>
      </c>
      <c r="AF249">
        <v>56000000</v>
      </c>
      <c r="AG249">
        <v>17000000</v>
      </c>
      <c r="AH249">
        <v>48000000</v>
      </c>
      <c r="AI249">
        <v>4000000</v>
      </c>
      <c r="AJ249">
        <v>20000000</v>
      </c>
      <c r="AK249">
        <v>32000000</v>
      </c>
      <c r="AM249">
        <v>35000000</v>
      </c>
      <c r="AN249">
        <v>56000000</v>
      </c>
      <c r="AO249">
        <v>68000000</v>
      </c>
      <c r="AP249">
        <v>41000000</v>
      </c>
      <c r="AQ249">
        <v>18000000</v>
      </c>
      <c r="AR249">
        <v>12000000</v>
      </c>
      <c r="AU249">
        <v>44000000</v>
      </c>
      <c r="AV249">
        <v>1000000</v>
      </c>
      <c r="AX249">
        <v>168000000</v>
      </c>
      <c r="AY249">
        <v>2000000</v>
      </c>
      <c r="BA249">
        <v>3000000</v>
      </c>
      <c r="BC249">
        <v>7000000</v>
      </c>
      <c r="BD249">
        <v>7000000</v>
      </c>
      <c r="BF249">
        <v>40000000</v>
      </c>
      <c r="BG249">
        <v>50000000</v>
      </c>
      <c r="BH249">
        <v>7000000</v>
      </c>
      <c r="BI249">
        <v>43000000</v>
      </c>
      <c r="BJ249">
        <v>98000000</v>
      </c>
      <c r="BK249">
        <v>181000000</v>
      </c>
      <c r="BL249">
        <v>15000000</v>
      </c>
      <c r="BM249">
        <v>16000000</v>
      </c>
      <c r="BN249">
        <v>19000000</v>
      </c>
      <c r="BO249">
        <v>35000000</v>
      </c>
      <c r="BP249">
        <v>35000000</v>
      </c>
      <c r="BQ249">
        <v>78000000</v>
      </c>
      <c r="BR249">
        <v>7000000</v>
      </c>
    </row>
    <row r="250" spans="1:70">
      <c r="A250" t="s">
        <v>497</v>
      </c>
      <c r="B250" t="s">
        <v>498</v>
      </c>
      <c r="C250" t="s">
        <v>9</v>
      </c>
      <c r="D250" t="s">
        <v>10</v>
      </c>
      <c r="E250">
        <v>581000000</v>
      </c>
      <c r="F250">
        <v>322000000</v>
      </c>
      <c r="G250">
        <v>266000000</v>
      </c>
      <c r="H250">
        <v>586000000</v>
      </c>
      <c r="I250">
        <v>839000000</v>
      </c>
      <c r="J250">
        <v>603000000</v>
      </c>
      <c r="K250">
        <v>525000000</v>
      </c>
      <c r="L250">
        <v>593000000</v>
      </c>
      <c r="M250">
        <v>418000000</v>
      </c>
      <c r="N250">
        <v>628000000</v>
      </c>
      <c r="O250">
        <v>396000000</v>
      </c>
      <c r="P250">
        <v>941000000</v>
      </c>
      <c r="Q250">
        <v>1094000000</v>
      </c>
      <c r="R250">
        <v>790000000</v>
      </c>
      <c r="S250">
        <v>1279000000</v>
      </c>
      <c r="T250">
        <v>640000000</v>
      </c>
      <c r="U250">
        <v>358000000</v>
      </c>
      <c r="V250">
        <v>293000000</v>
      </c>
      <c r="W250">
        <v>984000000</v>
      </c>
      <c r="X250">
        <v>917000000</v>
      </c>
      <c r="Y250">
        <v>486000000</v>
      </c>
      <c r="Z250">
        <v>726000000</v>
      </c>
      <c r="AA250">
        <v>478000000</v>
      </c>
      <c r="AB250">
        <v>503000000</v>
      </c>
      <c r="AC250">
        <v>549000000</v>
      </c>
      <c r="AD250">
        <v>678000000</v>
      </c>
      <c r="AE250">
        <v>472000000</v>
      </c>
      <c r="AF250">
        <v>1429000000</v>
      </c>
      <c r="AG250">
        <v>1628000000</v>
      </c>
      <c r="AH250">
        <v>1026000000</v>
      </c>
      <c r="AI250">
        <v>1241000000</v>
      </c>
      <c r="AJ250">
        <v>1285000000</v>
      </c>
      <c r="AK250">
        <v>1872000000</v>
      </c>
      <c r="AL250">
        <v>2326000000</v>
      </c>
      <c r="AM250">
        <v>1888000000</v>
      </c>
      <c r="AN250">
        <v>1564000000</v>
      </c>
      <c r="AO250">
        <v>1488000000</v>
      </c>
      <c r="AP250">
        <v>1509000000</v>
      </c>
      <c r="AQ250">
        <v>2623000000</v>
      </c>
      <c r="AR250">
        <v>1734000000</v>
      </c>
      <c r="AS250">
        <v>1181000000</v>
      </c>
      <c r="AT250">
        <v>501000000</v>
      </c>
      <c r="AU250">
        <v>878000000</v>
      </c>
      <c r="AV250">
        <v>327000000</v>
      </c>
      <c r="AW250">
        <v>252000000</v>
      </c>
      <c r="AX250">
        <v>1076000000</v>
      </c>
      <c r="AY250">
        <v>524000000</v>
      </c>
      <c r="AZ250">
        <v>675000000</v>
      </c>
      <c r="BA250">
        <v>623000000</v>
      </c>
      <c r="BB250">
        <v>714000000</v>
      </c>
      <c r="BC250">
        <v>469000000</v>
      </c>
      <c r="BD250">
        <v>794000000</v>
      </c>
      <c r="BE250">
        <v>1482000000</v>
      </c>
      <c r="BF250">
        <v>769000000</v>
      </c>
      <c r="BG250">
        <v>1529000000</v>
      </c>
      <c r="BH250">
        <v>446000000</v>
      </c>
      <c r="BI250">
        <v>324000000</v>
      </c>
      <c r="BJ250">
        <v>427000000</v>
      </c>
      <c r="BK250">
        <v>476000000</v>
      </c>
      <c r="BL250">
        <v>742000000</v>
      </c>
      <c r="BM250">
        <v>110000000</v>
      </c>
      <c r="BN250">
        <v>249000000</v>
      </c>
      <c r="BO250">
        <v>187000000</v>
      </c>
      <c r="BP250">
        <v>679000000</v>
      </c>
      <c r="BQ250">
        <v>381000000</v>
      </c>
      <c r="BR250">
        <v>381000000</v>
      </c>
    </row>
    <row r="251" spans="1:70">
      <c r="A251" t="s">
        <v>499</v>
      </c>
      <c r="B251" t="s">
        <v>500</v>
      </c>
      <c r="C251" t="s">
        <v>9</v>
      </c>
      <c r="D251" t="s">
        <v>10</v>
      </c>
      <c r="AM251">
        <v>6000000</v>
      </c>
      <c r="BL251">
        <v>7000000</v>
      </c>
    </row>
    <row r="252" spans="1:70">
      <c r="A252" t="s">
        <v>501</v>
      </c>
      <c r="B252" t="s">
        <v>502</v>
      </c>
      <c r="C252" t="s">
        <v>9</v>
      </c>
      <c r="D252" t="s">
        <v>10</v>
      </c>
      <c r="I252">
        <v>4000000</v>
      </c>
      <c r="J252">
        <v>4000000</v>
      </c>
      <c r="K252">
        <v>22000000</v>
      </c>
      <c r="L252">
        <v>1000000</v>
      </c>
      <c r="O252">
        <v>11000000</v>
      </c>
      <c r="P252">
        <v>60000000</v>
      </c>
      <c r="Q252">
        <v>51000000</v>
      </c>
      <c r="R252">
        <v>121000000</v>
      </c>
      <c r="S252">
        <v>185000000</v>
      </c>
      <c r="T252">
        <v>48000000</v>
      </c>
      <c r="V252">
        <v>47000000</v>
      </c>
      <c r="W252">
        <v>67000000</v>
      </c>
      <c r="X252">
        <v>260000000</v>
      </c>
      <c r="Y252">
        <v>53000000</v>
      </c>
      <c r="Z252">
        <v>121000000</v>
      </c>
      <c r="AA252">
        <v>9000000</v>
      </c>
      <c r="AE252">
        <v>1000000</v>
      </c>
      <c r="AH252">
        <v>5000000</v>
      </c>
      <c r="AK252">
        <v>18000000</v>
      </c>
      <c r="AM252">
        <v>5000000</v>
      </c>
      <c r="AO252">
        <v>4000000</v>
      </c>
      <c r="AS252">
        <v>2000000</v>
      </c>
      <c r="AU252">
        <v>1000000</v>
      </c>
      <c r="AV252">
        <v>51000000</v>
      </c>
      <c r="AX252">
        <v>10000000</v>
      </c>
      <c r="AY252">
        <v>12000000</v>
      </c>
      <c r="AZ252">
        <v>1000000</v>
      </c>
      <c r="BB252">
        <v>29000000</v>
      </c>
      <c r="BD252">
        <v>78000000</v>
      </c>
      <c r="BE252">
        <v>115000000</v>
      </c>
      <c r="BF252">
        <v>130000000</v>
      </c>
      <c r="BG252">
        <v>14000000</v>
      </c>
      <c r="BH252">
        <v>20000000</v>
      </c>
      <c r="BI252">
        <v>20000000</v>
      </c>
      <c r="BJ252">
        <v>2000000</v>
      </c>
      <c r="BK252">
        <v>17000000</v>
      </c>
      <c r="BM252">
        <v>9000000</v>
      </c>
      <c r="BN252">
        <v>53000000</v>
      </c>
      <c r="BR252">
        <v>4000000</v>
      </c>
    </row>
    <row r="253" spans="1:70">
      <c r="A253" t="s">
        <v>503</v>
      </c>
      <c r="B253" t="s">
        <v>504</v>
      </c>
      <c r="C253" t="s">
        <v>9</v>
      </c>
      <c r="D253" t="s">
        <v>10</v>
      </c>
      <c r="I253">
        <v>3000000</v>
      </c>
      <c r="J253">
        <v>1000000</v>
      </c>
      <c r="K253">
        <v>16000000</v>
      </c>
      <c r="L253">
        <v>4000000</v>
      </c>
      <c r="M253">
        <v>27000000</v>
      </c>
      <c r="N253">
        <v>16000000</v>
      </c>
      <c r="O253">
        <v>3000000</v>
      </c>
      <c r="P253">
        <v>3000000</v>
      </c>
      <c r="Q253">
        <v>20000000</v>
      </c>
      <c r="R253">
        <v>17000000</v>
      </c>
      <c r="S253">
        <v>46000000</v>
      </c>
      <c r="T253">
        <v>123000000</v>
      </c>
      <c r="U253">
        <v>34000000</v>
      </c>
      <c r="V253">
        <v>7000000</v>
      </c>
      <c r="AA253">
        <v>14000000</v>
      </c>
      <c r="AD253">
        <v>10000000</v>
      </c>
      <c r="AF253">
        <v>32000000</v>
      </c>
      <c r="AG253">
        <v>1000000</v>
      </c>
      <c r="AH253">
        <v>20000000</v>
      </c>
      <c r="AN253">
        <v>32000000</v>
      </c>
      <c r="AQ253">
        <v>55000000</v>
      </c>
      <c r="AR253">
        <v>39000000</v>
      </c>
      <c r="AS253">
        <v>6000000</v>
      </c>
      <c r="AU253">
        <v>33000000</v>
      </c>
      <c r="AW253">
        <v>36000000</v>
      </c>
      <c r="AX253">
        <v>10000000</v>
      </c>
      <c r="AY253">
        <v>5000000</v>
      </c>
      <c r="AZ253">
        <v>0</v>
      </c>
      <c r="BA253">
        <v>14000000</v>
      </c>
      <c r="BB253">
        <v>28000000</v>
      </c>
      <c r="BC253">
        <v>37000000</v>
      </c>
      <c r="BD253">
        <v>468000000</v>
      </c>
      <c r="BE253">
        <v>213000000</v>
      </c>
      <c r="BF253">
        <v>20000000</v>
      </c>
      <c r="BG253">
        <v>2000000</v>
      </c>
      <c r="BH253">
        <v>7000000</v>
      </c>
      <c r="BI253">
        <v>1000000</v>
      </c>
      <c r="BJ253">
        <v>22000000</v>
      </c>
      <c r="BK253">
        <v>10000000</v>
      </c>
      <c r="BL253">
        <v>23000000</v>
      </c>
      <c r="BM253">
        <v>79000000</v>
      </c>
      <c r="BN253">
        <v>8000000</v>
      </c>
      <c r="BO253">
        <v>66000000</v>
      </c>
      <c r="BP253">
        <v>16000000</v>
      </c>
      <c r="BR253">
        <v>2000000</v>
      </c>
    </row>
    <row r="254" spans="1:70">
      <c r="A254" t="s">
        <v>505</v>
      </c>
      <c r="B254" t="s">
        <v>506</v>
      </c>
      <c r="C254" t="s">
        <v>9</v>
      </c>
      <c r="D254" t="s">
        <v>10</v>
      </c>
      <c r="BG254">
        <v>1000000</v>
      </c>
      <c r="BH254">
        <v>22000000</v>
      </c>
      <c r="BI254">
        <v>5000000</v>
      </c>
      <c r="BJ254">
        <v>4000000</v>
      </c>
      <c r="BK254">
        <v>67000000</v>
      </c>
      <c r="BL254">
        <v>31000000</v>
      </c>
      <c r="BM254">
        <v>18000000</v>
      </c>
      <c r="BN254">
        <v>44000000</v>
      </c>
      <c r="BO254">
        <v>2967000000</v>
      </c>
      <c r="BP254">
        <v>4294000000</v>
      </c>
      <c r="BQ254">
        <v>5341000000</v>
      </c>
      <c r="BR254">
        <v>2264000000</v>
      </c>
    </row>
    <row r="255" spans="1:70">
      <c r="A255" t="s">
        <v>507</v>
      </c>
      <c r="B255" t="s">
        <v>508</v>
      </c>
      <c r="C255" t="s">
        <v>9</v>
      </c>
      <c r="D255" t="s">
        <v>10</v>
      </c>
      <c r="E255">
        <v>4868000000</v>
      </c>
      <c r="G255">
        <v>4353000000</v>
      </c>
      <c r="H255">
        <v>3173000000</v>
      </c>
      <c r="I255">
        <v>3876000000</v>
      </c>
      <c r="J255">
        <v>4269000000</v>
      </c>
      <c r="K255">
        <v>4818000000</v>
      </c>
      <c r="L255">
        <v>4868000000</v>
      </c>
      <c r="M255">
        <v>5029000000</v>
      </c>
      <c r="N255">
        <v>4799000000</v>
      </c>
      <c r="O255">
        <v>5096000000</v>
      </c>
      <c r="P255">
        <v>7474000000</v>
      </c>
      <c r="Q255">
        <v>7843000000</v>
      </c>
      <c r="R255">
        <v>10226000000</v>
      </c>
      <c r="S255">
        <v>10871000000</v>
      </c>
      <c r="T255">
        <v>12506000000</v>
      </c>
      <c r="U255">
        <v>12119000000</v>
      </c>
      <c r="V255">
        <v>15549000000</v>
      </c>
      <c r="W255">
        <v>16784000000</v>
      </c>
      <c r="X255">
        <v>12629000000</v>
      </c>
      <c r="Y255">
        <v>12640000000</v>
      </c>
      <c r="Z255">
        <v>14319000000</v>
      </c>
      <c r="AA255">
        <v>13104000000</v>
      </c>
      <c r="AB255">
        <v>12508000000</v>
      </c>
      <c r="AC255">
        <v>12459000000</v>
      </c>
      <c r="AD255">
        <v>9124000000</v>
      </c>
      <c r="AE255">
        <v>7602000000</v>
      </c>
      <c r="AF255">
        <v>8873000000</v>
      </c>
      <c r="AG255">
        <v>6601000000</v>
      </c>
      <c r="AH255">
        <v>5551000000</v>
      </c>
      <c r="AI255">
        <v>4857000000</v>
      </c>
      <c r="AJ255">
        <v>5338000000</v>
      </c>
      <c r="AK255">
        <v>4749000000</v>
      </c>
      <c r="AL255">
        <v>5734000000</v>
      </c>
      <c r="AM255">
        <v>5773000000</v>
      </c>
      <c r="AN255">
        <v>5640000000</v>
      </c>
      <c r="AO255">
        <v>6457000000</v>
      </c>
      <c r="AP255">
        <v>6535000000</v>
      </c>
      <c r="AQ255">
        <v>5020000000</v>
      </c>
      <c r="AR255">
        <v>6695000000</v>
      </c>
      <c r="AS255">
        <v>6023000000</v>
      </c>
      <c r="AT255">
        <v>6366000000</v>
      </c>
      <c r="AU255">
        <v>5660000000</v>
      </c>
      <c r="AV255">
        <v>4520000000</v>
      </c>
      <c r="AW255">
        <v>5671000000</v>
      </c>
      <c r="AX255">
        <v>6723000000</v>
      </c>
      <c r="AY255">
        <v>6795000000</v>
      </c>
      <c r="AZ255">
        <v>6956000000</v>
      </c>
      <c r="BA255">
        <v>6749000000</v>
      </c>
      <c r="BB255">
        <v>6956000000</v>
      </c>
      <c r="BC255">
        <v>5031000000</v>
      </c>
      <c r="BD255">
        <v>7507000000</v>
      </c>
      <c r="BE255">
        <v>7645000000</v>
      </c>
      <c r="BF255">
        <v>5953000000</v>
      </c>
      <c r="BG255">
        <v>8472000000</v>
      </c>
      <c r="BH255">
        <v>8210000000</v>
      </c>
      <c r="BI255">
        <v>11021000000</v>
      </c>
      <c r="BJ255">
        <v>8627000000</v>
      </c>
      <c r="BK255">
        <v>7833000000</v>
      </c>
      <c r="BL255">
        <v>5171000000</v>
      </c>
      <c r="BM255">
        <v>3716000000</v>
      </c>
      <c r="BN255">
        <v>3858000000</v>
      </c>
      <c r="BO255">
        <v>6459000000</v>
      </c>
      <c r="BP255">
        <v>7900000000</v>
      </c>
      <c r="BQ255">
        <v>8638000000</v>
      </c>
      <c r="BR255">
        <v>7322000000</v>
      </c>
    </row>
    <row r="256" spans="1:70">
      <c r="A256" t="s">
        <v>509</v>
      </c>
      <c r="B256" t="s">
        <v>510</v>
      </c>
      <c r="C256" t="s">
        <v>9</v>
      </c>
      <c r="D256" t="s">
        <v>10</v>
      </c>
      <c r="E256">
        <v>17000000</v>
      </c>
      <c r="F256">
        <v>0</v>
      </c>
      <c r="G256">
        <v>100000000</v>
      </c>
      <c r="H256">
        <v>0</v>
      </c>
      <c r="I256">
        <v>2000000</v>
      </c>
      <c r="J256">
        <v>8000000</v>
      </c>
      <c r="K256">
        <v>6000000</v>
      </c>
      <c r="M256">
        <v>10000000</v>
      </c>
      <c r="N256">
        <v>12000000</v>
      </c>
      <c r="O256">
        <v>10000000</v>
      </c>
      <c r="P256">
        <v>16000000</v>
      </c>
      <c r="Q256">
        <v>24000000</v>
      </c>
      <c r="R256">
        <v>6000000</v>
      </c>
      <c r="S256">
        <v>5000000</v>
      </c>
      <c r="T256">
        <v>13000000</v>
      </c>
      <c r="U256">
        <v>53000000</v>
      </c>
      <c r="V256">
        <v>2000000</v>
      </c>
      <c r="W256">
        <v>8000000</v>
      </c>
      <c r="X256">
        <v>9000000</v>
      </c>
      <c r="Y256">
        <v>22000000</v>
      </c>
      <c r="Z256">
        <v>100000000</v>
      </c>
      <c r="AA256">
        <v>15000000</v>
      </c>
      <c r="AB256">
        <v>17000000</v>
      </c>
      <c r="AD256">
        <v>12000000</v>
      </c>
      <c r="AG256">
        <v>16000000</v>
      </c>
      <c r="AH256">
        <v>41000000</v>
      </c>
      <c r="AI256">
        <v>39000000</v>
      </c>
      <c r="AJ256">
        <v>63000000</v>
      </c>
      <c r="AK256">
        <v>25000000</v>
      </c>
      <c r="AL256">
        <v>18000000</v>
      </c>
      <c r="AM256">
        <v>11000000</v>
      </c>
      <c r="AN256">
        <v>12000000</v>
      </c>
      <c r="AO256">
        <v>4000000</v>
      </c>
      <c r="AP256">
        <v>19000000</v>
      </c>
      <c r="AQ256">
        <v>27000000</v>
      </c>
      <c r="AR256">
        <v>9000000</v>
      </c>
      <c r="AS256">
        <v>4000000</v>
      </c>
      <c r="AU256">
        <v>13000000</v>
      </c>
      <c r="AX256">
        <v>20000000</v>
      </c>
      <c r="AY256">
        <v>8000000</v>
      </c>
      <c r="AZ256">
        <v>3000000</v>
      </c>
      <c r="BA256">
        <v>78000000</v>
      </c>
      <c r="BB256">
        <v>29000000</v>
      </c>
      <c r="BC256">
        <v>20000000</v>
      </c>
      <c r="BF256">
        <v>3000000</v>
      </c>
      <c r="BG256">
        <v>9000000</v>
      </c>
      <c r="BH256">
        <v>13000000</v>
      </c>
      <c r="BK256">
        <v>10000000</v>
      </c>
      <c r="BM256">
        <v>25000000</v>
      </c>
      <c r="BN256">
        <v>3000000</v>
      </c>
      <c r="BO256">
        <v>10000000</v>
      </c>
      <c r="BQ256">
        <v>13000000</v>
      </c>
      <c r="BR256">
        <v>1000000</v>
      </c>
    </row>
    <row r="257" spans="1:70">
      <c r="A257" t="s">
        <v>511</v>
      </c>
      <c r="B257" t="s">
        <v>512</v>
      </c>
      <c r="C257" t="s">
        <v>9</v>
      </c>
      <c r="D257" t="s">
        <v>10</v>
      </c>
      <c r="E257">
        <v>181000000</v>
      </c>
      <c r="F257">
        <v>198000000</v>
      </c>
      <c r="G257">
        <v>236000000</v>
      </c>
      <c r="H257">
        <v>283000000</v>
      </c>
      <c r="I257">
        <v>358000000</v>
      </c>
      <c r="J257">
        <v>170000000</v>
      </c>
      <c r="K257">
        <v>89000000</v>
      </c>
      <c r="L257">
        <v>88000000</v>
      </c>
      <c r="M257">
        <v>62000000</v>
      </c>
      <c r="N257">
        <v>50000000</v>
      </c>
      <c r="O257">
        <v>38000000</v>
      </c>
      <c r="P257">
        <v>578000000</v>
      </c>
      <c r="Q257">
        <v>769000000</v>
      </c>
      <c r="R257">
        <v>656000000</v>
      </c>
      <c r="S257">
        <v>586000000</v>
      </c>
      <c r="T257">
        <v>388000000</v>
      </c>
      <c r="U257">
        <v>499000000</v>
      </c>
      <c r="V257">
        <v>384000000</v>
      </c>
      <c r="W257">
        <v>369000000</v>
      </c>
      <c r="X257">
        <v>253000000</v>
      </c>
      <c r="Y257">
        <v>380000000</v>
      </c>
      <c r="Z257">
        <v>531000000</v>
      </c>
      <c r="AA257">
        <v>248000000</v>
      </c>
      <c r="AB257">
        <v>463000000</v>
      </c>
      <c r="AC257">
        <v>381000000</v>
      </c>
      <c r="AD257">
        <v>655000000</v>
      </c>
      <c r="AE257">
        <v>424000000</v>
      </c>
      <c r="AF257">
        <v>1998000000</v>
      </c>
      <c r="AG257">
        <v>1788000000</v>
      </c>
      <c r="AH257">
        <v>1783000000</v>
      </c>
      <c r="AI257">
        <v>363000000</v>
      </c>
      <c r="AJ257">
        <v>515000000</v>
      </c>
      <c r="AK257">
        <v>540000000</v>
      </c>
      <c r="AL257">
        <v>968000000</v>
      </c>
      <c r="AM257">
        <v>951000000</v>
      </c>
      <c r="AN257">
        <v>809000000</v>
      </c>
      <c r="AO257">
        <v>601000000</v>
      </c>
      <c r="AP257">
        <v>610000000</v>
      </c>
      <c r="AQ257">
        <v>262000000</v>
      </c>
      <c r="AR257">
        <v>220000000</v>
      </c>
      <c r="AS257">
        <v>333000000</v>
      </c>
      <c r="AT257">
        <v>508000000</v>
      </c>
      <c r="AU257">
        <v>515000000</v>
      </c>
      <c r="AV257">
        <v>630000000</v>
      </c>
      <c r="AW257">
        <v>596000000</v>
      </c>
      <c r="AX257">
        <v>582000000</v>
      </c>
      <c r="AY257">
        <v>706000000</v>
      </c>
      <c r="AZ257">
        <v>842000000</v>
      </c>
      <c r="BA257">
        <v>936000000</v>
      </c>
      <c r="BB257">
        <v>939000000</v>
      </c>
      <c r="BC257">
        <v>969000000</v>
      </c>
      <c r="BD257">
        <v>937000000</v>
      </c>
      <c r="BE257">
        <v>1138000000</v>
      </c>
      <c r="BF257">
        <v>767000000</v>
      </c>
      <c r="BG257">
        <v>568000000</v>
      </c>
      <c r="BH257">
        <v>482000000</v>
      </c>
      <c r="BI257">
        <v>447000000</v>
      </c>
      <c r="BJ257">
        <v>504000000</v>
      </c>
      <c r="BK257">
        <v>379000000</v>
      </c>
      <c r="BL257">
        <v>882000000</v>
      </c>
      <c r="BM257">
        <v>806000000</v>
      </c>
      <c r="BN257">
        <v>922000000</v>
      </c>
      <c r="BO257">
        <v>846000000</v>
      </c>
      <c r="BP257">
        <v>891000000</v>
      </c>
      <c r="BQ257">
        <v>1053000000</v>
      </c>
      <c r="BR257">
        <v>745000000</v>
      </c>
    </row>
    <row r="258" spans="1:70">
      <c r="A258" t="s">
        <v>513</v>
      </c>
      <c r="B258" t="s">
        <v>514</v>
      </c>
      <c r="C258" t="s">
        <v>9</v>
      </c>
      <c r="D258" t="s">
        <v>10</v>
      </c>
      <c r="AT258">
        <v>8000000</v>
      </c>
      <c r="AU258">
        <v>9000000</v>
      </c>
      <c r="BC258">
        <v>30000000</v>
      </c>
      <c r="BG258">
        <v>19000000</v>
      </c>
      <c r="BH258">
        <v>100000000</v>
      </c>
      <c r="BI258">
        <v>58000000</v>
      </c>
      <c r="BJ258">
        <v>5000000</v>
      </c>
      <c r="BK258">
        <v>124000000</v>
      </c>
      <c r="BL258">
        <v>78000000</v>
      </c>
      <c r="BM258">
        <v>92000000</v>
      </c>
      <c r="BN258">
        <v>14000000</v>
      </c>
      <c r="BO258">
        <v>22000000</v>
      </c>
      <c r="BP258">
        <v>17000000</v>
      </c>
      <c r="BQ258">
        <v>47000000</v>
      </c>
      <c r="BR258">
        <v>32000000</v>
      </c>
    </row>
    <row r="259" spans="1:70">
      <c r="A259" t="s">
        <v>515</v>
      </c>
      <c r="B259" t="s">
        <v>516</v>
      </c>
      <c r="C259" t="s">
        <v>9</v>
      </c>
      <c r="D259" t="s">
        <v>10</v>
      </c>
      <c r="AF259">
        <v>4000000</v>
      </c>
    </row>
    <row r="260" spans="1:70">
      <c r="A260" t="s">
        <v>517</v>
      </c>
      <c r="B260" t="s">
        <v>518</v>
      </c>
      <c r="C260" t="s">
        <v>9</v>
      </c>
      <c r="D260" t="s">
        <v>10</v>
      </c>
      <c r="E260">
        <v>64000000</v>
      </c>
      <c r="F260">
        <v>32000000</v>
      </c>
      <c r="G260">
        <v>32000000</v>
      </c>
      <c r="H260">
        <v>34000000</v>
      </c>
      <c r="I260">
        <v>6000000</v>
      </c>
      <c r="K260">
        <v>69000000</v>
      </c>
      <c r="L260">
        <v>205000000</v>
      </c>
      <c r="M260">
        <v>20000000</v>
      </c>
      <c r="N260">
        <v>8000000</v>
      </c>
      <c r="O260">
        <v>15000000</v>
      </c>
      <c r="P260">
        <v>130000000</v>
      </c>
      <c r="Q260">
        <v>165000000</v>
      </c>
      <c r="R260">
        <v>395000000</v>
      </c>
      <c r="S260">
        <v>252000000</v>
      </c>
      <c r="T260">
        <v>230000000</v>
      </c>
      <c r="U260">
        <v>170000000</v>
      </c>
      <c r="V260">
        <v>216000000</v>
      </c>
      <c r="W260">
        <v>59000000</v>
      </c>
      <c r="X260">
        <v>14000000</v>
      </c>
      <c r="Y260">
        <v>361000000</v>
      </c>
      <c r="Z260">
        <v>908000000</v>
      </c>
      <c r="AA260">
        <v>698000000</v>
      </c>
      <c r="AB260">
        <v>241000000</v>
      </c>
      <c r="AC260">
        <v>234000000</v>
      </c>
      <c r="AD260">
        <v>517000000</v>
      </c>
      <c r="AE260">
        <v>92000000</v>
      </c>
      <c r="AF260">
        <v>73000000</v>
      </c>
      <c r="AG260">
        <v>105000000</v>
      </c>
      <c r="AH260">
        <v>120000000</v>
      </c>
      <c r="AI260">
        <v>189000000</v>
      </c>
      <c r="AJ260">
        <v>318000000</v>
      </c>
      <c r="AK260">
        <v>72000000</v>
      </c>
      <c r="AL260">
        <v>37000000</v>
      </c>
      <c r="AM260">
        <v>1000000</v>
      </c>
      <c r="AN260">
        <v>5000000</v>
      </c>
      <c r="AO260">
        <v>37000000</v>
      </c>
      <c r="AP260">
        <v>39000000</v>
      </c>
      <c r="AQ260">
        <v>8000000</v>
      </c>
      <c r="AR260">
        <v>85000000</v>
      </c>
      <c r="AS260">
        <v>108000000</v>
      </c>
      <c r="AT260">
        <v>106000000</v>
      </c>
      <c r="AU260">
        <v>44000000</v>
      </c>
      <c r="AV260">
        <v>15000000</v>
      </c>
      <c r="AW260">
        <v>9000000</v>
      </c>
      <c r="AX260">
        <v>21000000</v>
      </c>
      <c r="AY260">
        <v>380000000</v>
      </c>
      <c r="AZ260">
        <v>770000000</v>
      </c>
      <c r="BA260">
        <v>741000000</v>
      </c>
      <c r="BB260">
        <v>366000000</v>
      </c>
      <c r="BC260">
        <v>211000000</v>
      </c>
      <c r="BD260">
        <v>600000000</v>
      </c>
      <c r="BE260">
        <v>692000000</v>
      </c>
      <c r="BF260">
        <v>1006000000</v>
      </c>
      <c r="BG260">
        <v>186000000</v>
      </c>
      <c r="BH260">
        <v>138000000</v>
      </c>
      <c r="BI260">
        <v>95000000</v>
      </c>
      <c r="BK260">
        <v>14000000</v>
      </c>
      <c r="BM260">
        <v>79000000</v>
      </c>
      <c r="BP260">
        <v>98000000</v>
      </c>
    </row>
    <row r="261" spans="1:70">
      <c r="A261" t="s">
        <v>519</v>
      </c>
      <c r="B261" t="s">
        <v>520</v>
      </c>
      <c r="C261" t="s">
        <v>9</v>
      </c>
      <c r="D261" t="s">
        <v>10</v>
      </c>
    </row>
    <row r="262" spans="1:70">
      <c r="A262" t="s">
        <v>521</v>
      </c>
      <c r="B262" t="s">
        <v>522</v>
      </c>
      <c r="C262" t="s">
        <v>9</v>
      </c>
      <c r="D262" t="s">
        <v>10</v>
      </c>
    </row>
    <row r="263" spans="1:70">
      <c r="A263" t="s">
        <v>523</v>
      </c>
      <c r="B263" t="s">
        <v>524</v>
      </c>
      <c r="C263" t="s">
        <v>9</v>
      </c>
      <c r="D263" t="s">
        <v>10</v>
      </c>
      <c r="E263">
        <v>103000000</v>
      </c>
      <c r="F263">
        <v>95000000</v>
      </c>
      <c r="G263">
        <v>47000000</v>
      </c>
      <c r="H263">
        <v>107000000</v>
      </c>
      <c r="I263">
        <v>266000000</v>
      </c>
      <c r="J263">
        <v>651000000</v>
      </c>
      <c r="K263">
        <v>1138000000</v>
      </c>
      <c r="L263">
        <v>1103000000</v>
      </c>
      <c r="M263">
        <v>1179000000</v>
      </c>
      <c r="N263">
        <v>909000000</v>
      </c>
      <c r="O263">
        <v>1214000000</v>
      </c>
      <c r="P263">
        <v>1197000000</v>
      </c>
      <c r="Q263">
        <v>1317000000</v>
      </c>
      <c r="R263">
        <v>1283000000</v>
      </c>
      <c r="S263">
        <v>859000000</v>
      </c>
      <c r="T263">
        <v>493000000</v>
      </c>
      <c r="U263">
        <v>42000000</v>
      </c>
      <c r="V263">
        <v>42000000</v>
      </c>
      <c r="W263">
        <v>227000000</v>
      </c>
      <c r="X263">
        <v>1249000000</v>
      </c>
      <c r="Y263">
        <v>1017000000</v>
      </c>
      <c r="Z263">
        <v>1073000000</v>
      </c>
      <c r="AA263">
        <v>532000000</v>
      </c>
      <c r="AB263">
        <v>916000000</v>
      </c>
      <c r="AC263">
        <v>557000000</v>
      </c>
      <c r="AD263">
        <v>28000000</v>
      </c>
      <c r="AE263">
        <v>78000000</v>
      </c>
      <c r="AF263">
        <v>50000000</v>
      </c>
      <c r="AG263">
        <v>65000000</v>
      </c>
      <c r="AH263">
        <v>128000000</v>
      </c>
      <c r="AI263">
        <v>116000000</v>
      </c>
      <c r="AN263">
        <v>273000000</v>
      </c>
      <c r="AO263">
        <v>214000000</v>
      </c>
      <c r="AP263">
        <v>111000000</v>
      </c>
      <c r="AQ263">
        <v>209000000</v>
      </c>
      <c r="AR263">
        <v>168000000</v>
      </c>
      <c r="AS263">
        <v>11000000</v>
      </c>
      <c r="AT263">
        <v>97000000</v>
      </c>
      <c r="AU263">
        <v>58000000</v>
      </c>
      <c r="AV263">
        <v>22000000</v>
      </c>
      <c r="AW263">
        <v>299000000</v>
      </c>
      <c r="AX263">
        <v>221000000</v>
      </c>
      <c r="AY263">
        <v>42000000</v>
      </c>
      <c r="AZ263">
        <v>8000000</v>
      </c>
      <c r="BA263">
        <v>186000000</v>
      </c>
      <c r="BB263">
        <v>61000000</v>
      </c>
      <c r="BC263">
        <v>161000000</v>
      </c>
      <c r="BD263">
        <v>1016000000</v>
      </c>
      <c r="BE263">
        <v>782000000</v>
      </c>
      <c r="BF263">
        <v>360000000</v>
      </c>
      <c r="BG263">
        <v>1225000000</v>
      </c>
      <c r="BH263">
        <v>869000000</v>
      </c>
      <c r="BI263">
        <v>924000000</v>
      </c>
      <c r="BJ263">
        <v>783000000</v>
      </c>
      <c r="BK263">
        <v>604000000</v>
      </c>
      <c r="BL263">
        <v>166000000</v>
      </c>
      <c r="BM263">
        <v>38000000</v>
      </c>
      <c r="BN263">
        <v>235000000</v>
      </c>
      <c r="BO263">
        <v>86000000</v>
      </c>
      <c r="BP263">
        <v>45000000</v>
      </c>
      <c r="BQ263">
        <v>58000000</v>
      </c>
      <c r="BR263">
        <v>177000000</v>
      </c>
    </row>
    <row r="264" spans="1:70">
      <c r="A264" t="s">
        <v>525</v>
      </c>
      <c r="B264" t="s">
        <v>526</v>
      </c>
      <c r="C264" t="s">
        <v>9</v>
      </c>
      <c r="D264" t="s">
        <v>10</v>
      </c>
      <c r="AF264">
        <v>6000000</v>
      </c>
      <c r="BN264">
        <v>7000000</v>
      </c>
    </row>
    <row r="265" spans="1:70">
      <c r="A265" t="s">
        <v>527</v>
      </c>
      <c r="B265" t="s">
        <v>528</v>
      </c>
      <c r="C265" t="s">
        <v>9</v>
      </c>
      <c r="D265" t="s">
        <v>10</v>
      </c>
      <c r="E265">
        <v>15660000000</v>
      </c>
      <c r="F265">
        <v>15041000000</v>
      </c>
      <c r="G265">
        <v>15476000000</v>
      </c>
      <c r="H265">
        <v>18116000000</v>
      </c>
      <c r="I265">
        <v>24227000000</v>
      </c>
      <c r="J265">
        <v>23095000000</v>
      </c>
      <c r="K265">
        <v>22422000000</v>
      </c>
      <c r="L265">
        <v>22083000000</v>
      </c>
      <c r="M265">
        <v>22403000000</v>
      </c>
      <c r="N265">
        <v>24705000000</v>
      </c>
      <c r="O265">
        <v>22108000000</v>
      </c>
      <c r="P265">
        <v>29253000000</v>
      </c>
      <c r="Q265">
        <v>28720000000</v>
      </c>
      <c r="R265">
        <v>32609000000</v>
      </c>
      <c r="S265">
        <v>32873000000</v>
      </c>
      <c r="T265">
        <v>34187000000</v>
      </c>
      <c r="U265">
        <v>32967000000</v>
      </c>
      <c r="V265">
        <v>36967000000</v>
      </c>
      <c r="W265">
        <v>39213000000</v>
      </c>
      <c r="X265">
        <v>33296000000</v>
      </c>
      <c r="Y265">
        <v>37353000000</v>
      </c>
      <c r="Z265">
        <v>41957000000</v>
      </c>
      <c r="AA265">
        <v>41354000000</v>
      </c>
      <c r="AB265">
        <v>39126000000</v>
      </c>
      <c r="AC265">
        <v>36749000000</v>
      </c>
      <c r="AD265">
        <v>33219000000</v>
      </c>
      <c r="AE265">
        <v>35464000000</v>
      </c>
      <c r="AF265">
        <v>36181000000</v>
      </c>
      <c r="AG265">
        <v>32944000000</v>
      </c>
      <c r="AH265">
        <v>31700000000</v>
      </c>
      <c r="AI265">
        <v>28592000000</v>
      </c>
      <c r="AJ265">
        <v>27830000000</v>
      </c>
      <c r="AK265">
        <v>24296000000</v>
      </c>
      <c r="AL265">
        <v>25792000000</v>
      </c>
      <c r="AM265">
        <v>22828000000</v>
      </c>
      <c r="AN265">
        <v>22919000000</v>
      </c>
      <c r="AO265">
        <v>23731000000</v>
      </c>
      <c r="AP265">
        <v>28895000000</v>
      </c>
      <c r="AQ265">
        <v>27903000000</v>
      </c>
      <c r="AR265">
        <v>25343000000</v>
      </c>
      <c r="AS265">
        <v>20468000000</v>
      </c>
      <c r="AT265">
        <v>18266000000</v>
      </c>
      <c r="AU265">
        <v>17668000000</v>
      </c>
      <c r="AV265">
        <v>19145000000</v>
      </c>
      <c r="AW265">
        <v>21275000000</v>
      </c>
      <c r="AX265">
        <v>21333000000</v>
      </c>
      <c r="AY265">
        <v>24394000000</v>
      </c>
      <c r="AZ265">
        <v>26514000000</v>
      </c>
      <c r="BA265">
        <v>24101000000</v>
      </c>
      <c r="BB265">
        <v>23993000000</v>
      </c>
      <c r="BC265">
        <v>25799000000</v>
      </c>
      <c r="BD265">
        <v>29925000000</v>
      </c>
      <c r="BE265">
        <v>27916000000</v>
      </c>
      <c r="BF265">
        <v>27366000000</v>
      </c>
      <c r="BG265">
        <v>27033000000</v>
      </c>
      <c r="BH265">
        <v>28670000000</v>
      </c>
      <c r="BI265">
        <v>31388000000</v>
      </c>
      <c r="BJ265">
        <v>31224000000</v>
      </c>
      <c r="BK265">
        <v>27302000000</v>
      </c>
      <c r="BL265">
        <v>26892000000</v>
      </c>
      <c r="BM265">
        <v>23363000000</v>
      </c>
      <c r="BN265">
        <v>26840000000</v>
      </c>
      <c r="BO265">
        <v>33033000000</v>
      </c>
      <c r="BP265">
        <v>29506000000</v>
      </c>
      <c r="BQ265">
        <v>30591000000</v>
      </c>
      <c r="BR265">
        <v>33327000000</v>
      </c>
    </row>
    <row r="266" spans="1:70">
      <c r="A266" t="s">
        <v>529</v>
      </c>
      <c r="B266" t="s">
        <v>530</v>
      </c>
      <c r="C266" t="s">
        <v>9</v>
      </c>
      <c r="D266" t="s">
        <v>10</v>
      </c>
      <c r="AG266">
        <v>6000000</v>
      </c>
      <c r="BL266">
        <v>7000000</v>
      </c>
    </row>
    <row r="267" spans="1:70">
      <c r="A267" t="s">
        <v>531</v>
      </c>
      <c r="B267" t="s">
        <v>532</v>
      </c>
      <c r="C267" t="s">
        <v>9</v>
      </c>
      <c r="D267" t="s">
        <v>10</v>
      </c>
      <c r="BG267">
        <v>1000000</v>
      </c>
      <c r="BK267">
        <v>1000000</v>
      </c>
      <c r="BM267">
        <v>3000000</v>
      </c>
      <c r="BN267">
        <v>9000000</v>
      </c>
      <c r="BO267">
        <v>1000000</v>
      </c>
      <c r="BP267">
        <v>14000000</v>
      </c>
      <c r="BR267">
        <v>8000000</v>
      </c>
    </row>
    <row r="268" spans="1:70">
      <c r="A268" t="s">
        <v>533</v>
      </c>
      <c r="B268" t="s">
        <v>534</v>
      </c>
      <c r="C268" t="s">
        <v>9</v>
      </c>
      <c r="D268" t="s">
        <v>10</v>
      </c>
      <c r="AI268">
        <v>78000000</v>
      </c>
      <c r="AJ268">
        <v>113000000</v>
      </c>
      <c r="AM268">
        <v>4000000</v>
      </c>
      <c r="AN268">
        <v>167000000</v>
      </c>
      <c r="AQ268">
        <v>1000000</v>
      </c>
      <c r="AR268">
        <v>52000000</v>
      </c>
      <c r="AS268">
        <v>158000000</v>
      </c>
      <c r="AT268">
        <v>70000000</v>
      </c>
      <c r="AU268">
        <v>585000000</v>
      </c>
      <c r="AV268">
        <v>58000000</v>
      </c>
      <c r="AW268">
        <v>253000000</v>
      </c>
      <c r="AX268">
        <v>316000000</v>
      </c>
      <c r="AY268">
        <v>38000000</v>
      </c>
      <c r="AZ268">
        <v>66000000</v>
      </c>
      <c r="BA268">
        <v>41000000</v>
      </c>
      <c r="BB268">
        <v>5000000</v>
      </c>
      <c r="BC268">
        <v>261000000</v>
      </c>
      <c r="BD268">
        <v>47000000</v>
      </c>
      <c r="BE268">
        <v>38000000</v>
      </c>
      <c r="BF268">
        <v>23000000</v>
      </c>
      <c r="BG268">
        <v>6000000</v>
      </c>
      <c r="BH268">
        <v>33000000</v>
      </c>
      <c r="BI268">
        <v>7000000</v>
      </c>
      <c r="BJ268">
        <v>6000000</v>
      </c>
      <c r="BK268">
        <v>9000000</v>
      </c>
      <c r="BO268">
        <v>1000000</v>
      </c>
    </row>
    <row r="269" spans="1:70">
      <c r="A269" t="s">
        <v>535</v>
      </c>
      <c r="B269" t="s">
        <v>536</v>
      </c>
      <c r="C269" t="s">
        <v>9</v>
      </c>
      <c r="D269" t="s">
        <v>10</v>
      </c>
      <c r="E269">
        <v>13000000</v>
      </c>
      <c r="G269">
        <v>232000000</v>
      </c>
      <c r="H269">
        <v>520000000</v>
      </c>
      <c r="I269">
        <v>302000000</v>
      </c>
      <c r="J269">
        <v>386000000</v>
      </c>
      <c r="K269">
        <v>496000000</v>
      </c>
      <c r="L269">
        <v>299000000</v>
      </c>
      <c r="M269">
        <v>217000000</v>
      </c>
      <c r="N269">
        <v>211000000</v>
      </c>
      <c r="O269">
        <v>511000000</v>
      </c>
      <c r="P269">
        <v>309000000</v>
      </c>
      <c r="Q269">
        <v>291000000</v>
      </c>
      <c r="R269">
        <v>369000000</v>
      </c>
      <c r="S269">
        <v>177000000</v>
      </c>
      <c r="T269">
        <v>235000000</v>
      </c>
      <c r="U269">
        <v>419000000</v>
      </c>
      <c r="V269">
        <v>500000000</v>
      </c>
      <c r="W269">
        <v>389000000</v>
      </c>
      <c r="X269">
        <v>125000000</v>
      </c>
      <c r="Y269">
        <v>192000000</v>
      </c>
      <c r="Z269">
        <v>122000000</v>
      </c>
      <c r="AA269">
        <v>44000000</v>
      </c>
      <c r="AB269">
        <v>192000000</v>
      </c>
      <c r="AC269">
        <v>100000000</v>
      </c>
      <c r="AD269">
        <v>25000000</v>
      </c>
      <c r="AE269">
        <v>191000000</v>
      </c>
      <c r="AF269">
        <v>20000000</v>
      </c>
      <c r="AG269">
        <v>17000000</v>
      </c>
      <c r="AH269">
        <v>11000000</v>
      </c>
      <c r="AI269">
        <v>10000000</v>
      </c>
      <c r="AJ269">
        <v>26000000</v>
      </c>
      <c r="AK269">
        <v>361000000</v>
      </c>
      <c r="AL269">
        <v>238000000</v>
      </c>
      <c r="AM269">
        <v>239000000</v>
      </c>
      <c r="AN269">
        <v>38000000</v>
      </c>
      <c r="AO269">
        <v>38000000</v>
      </c>
      <c r="AP269">
        <v>11000000</v>
      </c>
      <c r="AR269">
        <v>21000000</v>
      </c>
      <c r="AS269">
        <v>6000000</v>
      </c>
      <c r="AT269">
        <v>18000000</v>
      </c>
      <c r="AX269">
        <v>262000000</v>
      </c>
      <c r="AY269">
        <v>741000000</v>
      </c>
      <c r="AZ269">
        <v>910000000</v>
      </c>
      <c r="BA269">
        <v>493000000</v>
      </c>
      <c r="BB269">
        <v>134000000</v>
      </c>
      <c r="BC269">
        <v>178000000</v>
      </c>
      <c r="BD269">
        <v>208000000</v>
      </c>
      <c r="BE269">
        <v>127000000</v>
      </c>
      <c r="BF269">
        <v>1000000</v>
      </c>
      <c r="BG269">
        <v>50000000</v>
      </c>
      <c r="BH269">
        <v>2000000</v>
      </c>
      <c r="BO269">
        <v>30000000</v>
      </c>
      <c r="BP269">
        <v>30000000</v>
      </c>
      <c r="BR269">
        <v>30000000</v>
      </c>
    </row>
    <row r="270" spans="1:70">
      <c r="A270" t="s">
        <v>537</v>
      </c>
      <c r="B270" t="s">
        <v>538</v>
      </c>
      <c r="C270" t="s">
        <v>9</v>
      </c>
      <c r="D270" t="s">
        <v>10</v>
      </c>
      <c r="I270">
        <v>7000000</v>
      </c>
      <c r="J270">
        <v>16000000</v>
      </c>
      <c r="K270">
        <v>17000000</v>
      </c>
      <c r="N270">
        <v>7000000</v>
      </c>
      <c r="O270">
        <v>4000000</v>
      </c>
      <c r="P270">
        <v>165000000</v>
      </c>
      <c r="Q270">
        <v>29000000</v>
      </c>
      <c r="R270">
        <v>19000000</v>
      </c>
      <c r="S270">
        <v>9000000</v>
      </c>
      <c r="T270">
        <v>48000000</v>
      </c>
      <c r="U270">
        <v>109000000</v>
      </c>
      <c r="V270">
        <v>41000000</v>
      </c>
      <c r="W270">
        <v>42000000</v>
      </c>
      <c r="X270">
        <v>4000000</v>
      </c>
      <c r="Y270">
        <v>136000000</v>
      </c>
      <c r="Z270">
        <v>253000000</v>
      </c>
      <c r="AA270">
        <v>43000000</v>
      </c>
      <c r="AC270">
        <v>18000000</v>
      </c>
      <c r="AO270">
        <v>8000000</v>
      </c>
      <c r="AS270">
        <v>43000000</v>
      </c>
      <c r="AU270">
        <v>2000000</v>
      </c>
      <c r="AX270">
        <v>0</v>
      </c>
      <c r="AY270">
        <v>30000000</v>
      </c>
      <c r="AZ270">
        <v>5000000</v>
      </c>
      <c r="BA270">
        <v>2000000</v>
      </c>
      <c r="BD270">
        <v>1000000</v>
      </c>
      <c r="BE270">
        <v>61000000</v>
      </c>
      <c r="BH270">
        <v>15000000</v>
      </c>
      <c r="BI270">
        <v>44000000</v>
      </c>
      <c r="BJ270">
        <v>46000000</v>
      </c>
      <c r="BL270">
        <v>43000000</v>
      </c>
      <c r="BM270">
        <v>3000000</v>
      </c>
      <c r="BN270">
        <v>20000000</v>
      </c>
      <c r="BO270">
        <v>2000000</v>
      </c>
      <c r="BP270">
        <v>5000000</v>
      </c>
      <c r="BQ270">
        <v>1000000</v>
      </c>
    </row>
    <row r="271" spans="1:70">
      <c r="A271" t="s">
        <v>539</v>
      </c>
      <c r="B271" t="s">
        <v>540</v>
      </c>
      <c r="C271" t="s">
        <v>9</v>
      </c>
      <c r="D271" t="s">
        <v>10</v>
      </c>
      <c r="E271">
        <v>15000000</v>
      </c>
      <c r="G271">
        <v>16000000</v>
      </c>
      <c r="H271">
        <v>20000000</v>
      </c>
      <c r="L271">
        <v>21000000</v>
      </c>
      <c r="P271">
        <v>5000000</v>
      </c>
      <c r="Q271">
        <v>21000000</v>
      </c>
      <c r="R271">
        <v>0</v>
      </c>
      <c r="S271">
        <v>2000000</v>
      </c>
      <c r="T271">
        <v>42000000</v>
      </c>
      <c r="U271">
        <v>20000000</v>
      </c>
      <c r="V271">
        <v>4000000</v>
      </c>
      <c r="W271">
        <v>16000000</v>
      </c>
      <c r="Z271">
        <v>15000000</v>
      </c>
      <c r="AA271">
        <v>81000000</v>
      </c>
      <c r="AB271">
        <v>34000000</v>
      </c>
      <c r="AC271">
        <v>33000000</v>
      </c>
      <c r="AD271">
        <v>28000000</v>
      </c>
      <c r="AE271">
        <v>212000000</v>
      </c>
      <c r="AF271">
        <v>29000000</v>
      </c>
      <c r="AG271">
        <v>2000000</v>
      </c>
      <c r="AI271">
        <v>2000000</v>
      </c>
      <c r="AJ271">
        <v>47000000</v>
      </c>
      <c r="AK271">
        <v>63000000</v>
      </c>
      <c r="AL271">
        <v>0</v>
      </c>
      <c r="AQ271">
        <v>1000000</v>
      </c>
      <c r="AR271">
        <v>25000000</v>
      </c>
      <c r="AS271">
        <v>8000000</v>
      </c>
      <c r="AT271">
        <v>10000000</v>
      </c>
      <c r="AV271">
        <v>16000000</v>
      </c>
      <c r="AW271">
        <v>14000000</v>
      </c>
      <c r="AX271">
        <v>25000000</v>
      </c>
      <c r="AY271">
        <v>25000000</v>
      </c>
      <c r="BP271">
        <v>20000000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6231-02E8-4F5B-867D-6CF4A884212B}">
  <dimension ref="A1:BR271"/>
  <sheetViews>
    <sheetView zoomScale="70" zoomScaleNormal="70" workbookViewId="0">
      <selection activeCell="H9" sqref="H9"/>
    </sheetView>
  </sheetViews>
  <sheetFormatPr defaultRowHeight="14.4"/>
  <cols>
    <col min="1" max="1" width="60.109375" bestFit="1" customWidth="1"/>
    <col min="2" max="2" width="25.44140625" bestFit="1" customWidth="1"/>
    <col min="3" max="3" width="35.109375" bestFit="1" customWidth="1"/>
    <col min="4" max="4" width="15.5546875" customWidth="1"/>
    <col min="5" max="70" width="12" bestFit="1" customWidth="1"/>
  </cols>
  <sheetData>
    <row r="1" spans="1:70">
      <c r="A1" t="s">
        <v>0</v>
      </c>
      <c r="B1" t="s">
        <v>1</v>
      </c>
    </row>
    <row r="3" spans="1:70">
      <c r="A3" t="s">
        <v>2</v>
      </c>
      <c r="B3" s="1">
        <v>46303</v>
      </c>
    </row>
    <row r="5" spans="1:70">
      <c r="A5" t="s">
        <v>3</v>
      </c>
      <c r="B5" t="s">
        <v>4</v>
      </c>
      <c r="C5" t="s">
        <v>5</v>
      </c>
      <c r="D5" t="s">
        <v>6</v>
      </c>
      <c r="E5" t="s">
        <v>687</v>
      </c>
      <c r="F5" t="s">
        <v>688</v>
      </c>
      <c r="G5" t="s">
        <v>689</v>
      </c>
      <c r="H5" t="s">
        <v>690</v>
      </c>
      <c r="I5" t="s">
        <v>691</v>
      </c>
      <c r="J5" t="s">
        <v>692</v>
      </c>
      <c r="K5" t="s">
        <v>693</v>
      </c>
      <c r="L5" t="s">
        <v>694</v>
      </c>
      <c r="M5" t="s">
        <v>695</v>
      </c>
      <c r="N5" t="s">
        <v>696</v>
      </c>
      <c r="O5" t="s">
        <v>697</v>
      </c>
      <c r="P5" t="s">
        <v>698</v>
      </c>
      <c r="Q5" t="s">
        <v>699</v>
      </c>
      <c r="R5" t="s">
        <v>700</v>
      </c>
      <c r="S5" t="s">
        <v>701</v>
      </c>
      <c r="T5" t="s">
        <v>702</v>
      </c>
      <c r="U5" t="s">
        <v>703</v>
      </c>
      <c r="V5" t="s">
        <v>704</v>
      </c>
      <c r="W5" t="s">
        <v>705</v>
      </c>
      <c r="X5" t="s">
        <v>706</v>
      </c>
      <c r="Y5" t="s">
        <v>707</v>
      </c>
      <c r="Z5" t="s">
        <v>708</v>
      </c>
      <c r="AA5" t="s">
        <v>709</v>
      </c>
      <c r="AB5" t="s">
        <v>710</v>
      </c>
      <c r="AC5" t="s">
        <v>711</v>
      </c>
      <c r="AD5" t="s">
        <v>712</v>
      </c>
      <c r="AE5" t="s">
        <v>713</v>
      </c>
      <c r="AF5" t="s">
        <v>714</v>
      </c>
      <c r="AG5" t="s">
        <v>715</v>
      </c>
      <c r="AH5" t="s">
        <v>716</v>
      </c>
      <c r="AI5" t="s">
        <v>717</v>
      </c>
      <c r="AJ5" t="s">
        <v>718</v>
      </c>
      <c r="AK5" t="s">
        <v>719</v>
      </c>
      <c r="AL5" t="s">
        <v>720</v>
      </c>
      <c r="AM5" t="s">
        <v>721</v>
      </c>
      <c r="AN5" t="s">
        <v>722</v>
      </c>
      <c r="AO5" t="s">
        <v>723</v>
      </c>
      <c r="AP5" t="s">
        <v>724</v>
      </c>
      <c r="AQ5" t="s">
        <v>725</v>
      </c>
      <c r="AR5" t="s">
        <v>726</v>
      </c>
      <c r="AS5" t="s">
        <v>727</v>
      </c>
      <c r="AT5" t="s">
        <v>728</v>
      </c>
      <c r="AU5" t="s">
        <v>729</v>
      </c>
      <c r="AV5" t="s">
        <v>730</v>
      </c>
      <c r="AW5" t="s">
        <v>731</v>
      </c>
      <c r="AX5" t="s">
        <v>732</v>
      </c>
      <c r="AY5" t="s">
        <v>733</v>
      </c>
      <c r="AZ5" t="s">
        <v>734</v>
      </c>
      <c r="BA5" t="s">
        <v>735</v>
      </c>
      <c r="BB5" t="s">
        <v>736</v>
      </c>
      <c r="BC5" t="s">
        <v>737</v>
      </c>
      <c r="BD5" t="s">
        <v>738</v>
      </c>
      <c r="BE5" t="s">
        <v>739</v>
      </c>
      <c r="BF5" t="s">
        <v>740</v>
      </c>
      <c r="BG5" t="s">
        <v>741</v>
      </c>
      <c r="BH5" t="s">
        <v>742</v>
      </c>
      <c r="BI5" t="s">
        <v>743</v>
      </c>
      <c r="BJ5" t="s">
        <v>744</v>
      </c>
      <c r="BK5" t="s">
        <v>745</v>
      </c>
      <c r="BL5" t="s">
        <v>746</v>
      </c>
      <c r="BM5" t="s">
        <v>747</v>
      </c>
      <c r="BN5" t="s">
        <v>748</v>
      </c>
      <c r="BO5" t="s">
        <v>749</v>
      </c>
      <c r="BP5" t="s">
        <v>750</v>
      </c>
      <c r="BQ5" t="s">
        <v>751</v>
      </c>
      <c r="BR5" t="s">
        <v>752</v>
      </c>
    </row>
    <row r="6" spans="1:70">
      <c r="A6" t="s">
        <v>7</v>
      </c>
      <c r="B6" t="s">
        <v>8</v>
      </c>
      <c r="C6" t="s">
        <v>541</v>
      </c>
      <c r="D6" t="s">
        <v>542</v>
      </c>
      <c r="AO6">
        <v>18000000</v>
      </c>
    </row>
    <row r="7" spans="1:70">
      <c r="A7" t="s">
        <v>11</v>
      </c>
      <c r="B7" t="s">
        <v>12</v>
      </c>
      <c r="C7" t="s">
        <v>541</v>
      </c>
      <c r="D7" t="s">
        <v>542</v>
      </c>
      <c r="E7">
        <v>27000000</v>
      </c>
      <c r="F7">
        <v>33000000</v>
      </c>
      <c r="L7">
        <v>9000000</v>
      </c>
      <c r="M7">
        <v>9000000</v>
      </c>
      <c r="N7">
        <v>13000000</v>
      </c>
      <c r="O7">
        <v>2000000</v>
      </c>
      <c r="P7">
        <v>7000000</v>
      </c>
      <c r="Q7">
        <v>22000000</v>
      </c>
      <c r="R7">
        <v>1000000</v>
      </c>
      <c r="S7">
        <v>2000000</v>
      </c>
      <c r="T7">
        <v>29000000</v>
      </c>
      <c r="U7">
        <v>20000000</v>
      </c>
      <c r="Y7">
        <v>49000000</v>
      </c>
      <c r="Z7">
        <v>62000000</v>
      </c>
      <c r="AA7">
        <v>1000000</v>
      </c>
      <c r="AD7">
        <v>60000000</v>
      </c>
      <c r="AE7">
        <v>29000000</v>
      </c>
      <c r="AF7">
        <v>79000000</v>
      </c>
      <c r="AG7">
        <v>25000000</v>
      </c>
      <c r="AL7">
        <v>56000000</v>
      </c>
      <c r="AU7">
        <v>24000000</v>
      </c>
    </row>
    <row r="8" spans="1:70">
      <c r="A8" t="s">
        <v>13</v>
      </c>
      <c r="B8" t="s">
        <v>14</v>
      </c>
      <c r="C8" t="s">
        <v>541</v>
      </c>
      <c r="D8" t="s">
        <v>542</v>
      </c>
      <c r="AK8">
        <v>1000000</v>
      </c>
    </row>
    <row r="9" spans="1:70">
      <c r="A9" t="s">
        <v>15</v>
      </c>
      <c r="B9" t="s">
        <v>16</v>
      </c>
      <c r="C9" t="s">
        <v>541</v>
      </c>
      <c r="D9" t="s">
        <v>542</v>
      </c>
      <c r="L9">
        <v>1000000</v>
      </c>
      <c r="P9">
        <v>1000000</v>
      </c>
      <c r="R9">
        <v>1000000</v>
      </c>
    </row>
    <row r="10" spans="1:70">
      <c r="A10" t="s">
        <v>17</v>
      </c>
      <c r="B10" t="s">
        <v>18</v>
      </c>
      <c r="C10" t="s">
        <v>541</v>
      </c>
      <c r="D10" t="s">
        <v>542</v>
      </c>
      <c r="X10">
        <v>3000000</v>
      </c>
      <c r="Y10">
        <v>0</v>
      </c>
      <c r="AU10">
        <v>2000000</v>
      </c>
    </row>
    <row r="11" spans="1:70">
      <c r="A11" t="s">
        <v>19</v>
      </c>
      <c r="B11" t="s">
        <v>20</v>
      </c>
      <c r="C11" t="s">
        <v>541</v>
      </c>
      <c r="D11" t="s">
        <v>542</v>
      </c>
      <c r="BD11">
        <v>1000000</v>
      </c>
    </row>
    <row r="12" spans="1:70">
      <c r="A12" t="s">
        <v>21</v>
      </c>
      <c r="B12" t="s">
        <v>22</v>
      </c>
      <c r="C12" t="s">
        <v>541</v>
      </c>
      <c r="D12" t="s">
        <v>542</v>
      </c>
    </row>
    <row r="13" spans="1:70">
      <c r="A13" t="s">
        <v>23</v>
      </c>
      <c r="B13" t="s">
        <v>24</v>
      </c>
      <c r="C13" t="s">
        <v>541</v>
      </c>
      <c r="D13" t="s">
        <v>542</v>
      </c>
      <c r="E13">
        <v>3000000</v>
      </c>
      <c r="F13">
        <v>0</v>
      </c>
      <c r="G13">
        <v>9000000</v>
      </c>
      <c r="H13">
        <v>8000000</v>
      </c>
      <c r="I13">
        <v>1000000</v>
      </c>
      <c r="K13">
        <v>14000000</v>
      </c>
      <c r="L13">
        <v>24000000</v>
      </c>
      <c r="M13">
        <v>35000000</v>
      </c>
      <c r="N13">
        <v>21000000</v>
      </c>
      <c r="O13">
        <v>56000000</v>
      </c>
      <c r="Q13">
        <v>2000000</v>
      </c>
      <c r="U13">
        <v>4000000</v>
      </c>
      <c r="X13">
        <v>454000000</v>
      </c>
      <c r="Z13">
        <v>216000000</v>
      </c>
      <c r="AC13">
        <v>69000000</v>
      </c>
      <c r="BP13">
        <v>183000000</v>
      </c>
    </row>
    <row r="14" spans="1:70">
      <c r="A14" t="s">
        <v>25</v>
      </c>
      <c r="B14" t="s">
        <v>26</v>
      </c>
      <c r="C14" t="s">
        <v>541</v>
      </c>
      <c r="D14" t="s">
        <v>542</v>
      </c>
      <c r="S14">
        <v>8000000</v>
      </c>
      <c r="AB14">
        <v>14000000</v>
      </c>
      <c r="AE14">
        <v>22000000</v>
      </c>
      <c r="AF14">
        <v>2000000</v>
      </c>
      <c r="AI14">
        <v>2000000</v>
      </c>
      <c r="AN14">
        <v>28000000</v>
      </c>
      <c r="AO14">
        <v>6000000</v>
      </c>
      <c r="AP14">
        <v>37000000</v>
      </c>
      <c r="AW14">
        <v>3000000</v>
      </c>
      <c r="AX14">
        <v>15000000</v>
      </c>
      <c r="AY14">
        <v>17000000</v>
      </c>
      <c r="AZ14">
        <v>3000000</v>
      </c>
      <c r="BB14">
        <v>34000000</v>
      </c>
      <c r="BC14">
        <v>39000000</v>
      </c>
      <c r="BD14">
        <v>3000000</v>
      </c>
      <c r="BE14">
        <v>75000000</v>
      </c>
      <c r="BF14">
        <v>115000000</v>
      </c>
      <c r="BG14">
        <v>100000000</v>
      </c>
      <c r="BH14">
        <v>143000000</v>
      </c>
      <c r="BI14">
        <v>111000000</v>
      </c>
      <c r="BJ14">
        <v>106000000</v>
      </c>
      <c r="BK14">
        <v>120000000</v>
      </c>
      <c r="BL14">
        <v>131000000</v>
      </c>
      <c r="BM14">
        <v>209000000</v>
      </c>
      <c r="BN14">
        <v>57000000</v>
      </c>
      <c r="BO14">
        <v>17000000</v>
      </c>
      <c r="BP14">
        <v>64000000</v>
      </c>
      <c r="BQ14">
        <v>119000000</v>
      </c>
      <c r="BR14">
        <v>33000000</v>
      </c>
    </row>
    <row r="15" spans="1:70">
      <c r="A15" t="s">
        <v>27</v>
      </c>
      <c r="B15" t="s">
        <v>28</v>
      </c>
      <c r="C15" t="s">
        <v>541</v>
      </c>
      <c r="D15" t="s">
        <v>542</v>
      </c>
      <c r="G15">
        <v>6000000</v>
      </c>
      <c r="I15">
        <v>4000000</v>
      </c>
      <c r="L15">
        <v>0</v>
      </c>
      <c r="M15">
        <v>8000000</v>
      </c>
      <c r="O15">
        <v>0</v>
      </c>
      <c r="Q15">
        <v>11000000</v>
      </c>
      <c r="U15">
        <v>1000000</v>
      </c>
      <c r="X15">
        <v>8000000</v>
      </c>
      <c r="Y15">
        <v>1000000</v>
      </c>
      <c r="Z15">
        <v>31000000</v>
      </c>
      <c r="AA15">
        <v>7000000</v>
      </c>
      <c r="AB15">
        <v>5000000</v>
      </c>
      <c r="AF15">
        <v>4000000</v>
      </c>
      <c r="AG15">
        <v>0</v>
      </c>
      <c r="AI15">
        <v>6000000</v>
      </c>
      <c r="AJ15">
        <v>0</v>
      </c>
      <c r="AL15">
        <v>13000000</v>
      </c>
      <c r="AM15">
        <v>5000000</v>
      </c>
      <c r="AN15">
        <v>5000000</v>
      </c>
      <c r="AS15">
        <v>2000000</v>
      </c>
      <c r="AU15">
        <v>2000000</v>
      </c>
      <c r="AY15">
        <v>2000000</v>
      </c>
      <c r="BD15">
        <v>1000000</v>
      </c>
    </row>
    <row r="16" spans="1:70">
      <c r="A16" t="s">
        <v>29</v>
      </c>
      <c r="B16" t="s">
        <v>30</v>
      </c>
      <c r="C16" t="s">
        <v>541</v>
      </c>
      <c r="D16" t="s">
        <v>542</v>
      </c>
      <c r="AY16">
        <v>4000000</v>
      </c>
    </row>
    <row r="17" spans="1:70">
      <c r="A17" t="s">
        <v>31</v>
      </c>
      <c r="B17" t="s">
        <v>32</v>
      </c>
      <c r="C17" t="s">
        <v>541</v>
      </c>
      <c r="D17" t="s">
        <v>542</v>
      </c>
    </row>
    <row r="18" spans="1:70">
      <c r="A18" t="s">
        <v>33</v>
      </c>
      <c r="B18" t="s">
        <v>34</v>
      </c>
      <c r="C18" t="s">
        <v>541</v>
      </c>
      <c r="D18" t="s">
        <v>542</v>
      </c>
    </row>
    <row r="19" spans="1:70">
      <c r="A19" t="s">
        <v>35</v>
      </c>
      <c r="B19" t="s">
        <v>36</v>
      </c>
      <c r="C19" t="s">
        <v>541</v>
      </c>
      <c r="D19" t="s">
        <v>542</v>
      </c>
      <c r="F19">
        <v>2000000</v>
      </c>
      <c r="G19">
        <v>4000000</v>
      </c>
      <c r="N19">
        <v>26000000</v>
      </c>
      <c r="O19">
        <v>17000000</v>
      </c>
      <c r="P19">
        <v>36000000</v>
      </c>
      <c r="Q19">
        <v>6000000</v>
      </c>
      <c r="R19">
        <v>72000000</v>
      </c>
      <c r="S19">
        <v>92000000</v>
      </c>
      <c r="T19">
        <v>131000000</v>
      </c>
      <c r="U19">
        <v>113000000</v>
      </c>
      <c r="V19">
        <v>62000000</v>
      </c>
      <c r="W19">
        <v>21000000</v>
      </c>
      <c r="X19">
        <v>22000000</v>
      </c>
      <c r="Y19">
        <v>15000000</v>
      </c>
      <c r="Z19">
        <v>17000000</v>
      </c>
      <c r="AA19">
        <v>26000000</v>
      </c>
      <c r="AB19">
        <v>31000000</v>
      </c>
      <c r="AC19">
        <v>62000000</v>
      </c>
      <c r="AD19">
        <v>10000000</v>
      </c>
      <c r="AE19">
        <v>57000000</v>
      </c>
      <c r="AF19">
        <v>89000000</v>
      </c>
      <c r="AG19">
        <v>12000000</v>
      </c>
      <c r="AH19">
        <v>18000000</v>
      </c>
      <c r="AI19">
        <v>156000000</v>
      </c>
      <c r="AJ19">
        <v>84000000</v>
      </c>
      <c r="AL19">
        <v>30000000</v>
      </c>
      <c r="AM19">
        <v>24000000</v>
      </c>
      <c r="AN19">
        <v>36000000</v>
      </c>
      <c r="AO19">
        <v>10000000</v>
      </c>
      <c r="AP19">
        <v>14000000</v>
      </c>
      <c r="AQ19">
        <v>4000000</v>
      </c>
      <c r="AT19">
        <v>43000000</v>
      </c>
      <c r="AU19">
        <v>47000000</v>
      </c>
      <c r="AV19">
        <v>44000000</v>
      </c>
      <c r="AW19">
        <v>2000000</v>
      </c>
      <c r="AX19">
        <v>49000000</v>
      </c>
      <c r="AY19">
        <v>26000000</v>
      </c>
      <c r="AZ19">
        <v>53000000</v>
      </c>
      <c r="BA19">
        <v>57000000</v>
      </c>
      <c r="BB19">
        <v>86000000</v>
      </c>
      <c r="BC19">
        <v>137000000</v>
      </c>
      <c r="BD19">
        <v>143000000</v>
      </c>
      <c r="BE19">
        <v>45000000</v>
      </c>
      <c r="BF19">
        <v>54000000</v>
      </c>
      <c r="BG19">
        <v>94000000</v>
      </c>
      <c r="BH19">
        <v>79000000</v>
      </c>
      <c r="BI19">
        <v>136000000</v>
      </c>
      <c r="BJ19">
        <v>101000000</v>
      </c>
      <c r="BK19">
        <v>39000000</v>
      </c>
      <c r="BL19">
        <v>129000000</v>
      </c>
      <c r="BM19">
        <v>406000000</v>
      </c>
      <c r="BN19">
        <v>175000000</v>
      </c>
      <c r="BO19">
        <v>19000000</v>
      </c>
      <c r="BP19">
        <v>81000000</v>
      </c>
      <c r="BQ19">
        <v>73000000</v>
      </c>
      <c r="BR19">
        <v>108000000</v>
      </c>
    </row>
    <row r="20" spans="1:70">
      <c r="A20" t="s">
        <v>37</v>
      </c>
      <c r="B20" t="s">
        <v>38</v>
      </c>
      <c r="C20" t="s">
        <v>541</v>
      </c>
      <c r="D20" t="s">
        <v>542</v>
      </c>
      <c r="L20">
        <v>1000000</v>
      </c>
      <c r="W20">
        <v>37000000</v>
      </c>
      <c r="X20">
        <v>126000000</v>
      </c>
      <c r="Y20">
        <v>54000000</v>
      </c>
      <c r="Z20">
        <v>70000000</v>
      </c>
      <c r="AA20">
        <v>61000000</v>
      </c>
      <c r="AB20">
        <v>58000000</v>
      </c>
      <c r="AC20">
        <v>60000000</v>
      </c>
      <c r="AD20">
        <v>248000000</v>
      </c>
      <c r="AE20">
        <v>40000000</v>
      </c>
      <c r="AF20">
        <v>30000000</v>
      </c>
      <c r="AG20">
        <v>12000000</v>
      </c>
      <c r="AH20">
        <v>12000000</v>
      </c>
      <c r="AI20">
        <v>30000000</v>
      </c>
      <c r="AJ20">
        <v>20000000</v>
      </c>
      <c r="AK20">
        <v>20000000</v>
      </c>
      <c r="AL20">
        <v>10000000</v>
      </c>
      <c r="AM20">
        <v>17000000</v>
      </c>
      <c r="AO20">
        <v>18000000</v>
      </c>
      <c r="AP20">
        <v>3000000</v>
      </c>
      <c r="AQ20">
        <v>29000000</v>
      </c>
      <c r="AR20">
        <v>23000000</v>
      </c>
      <c r="AS20">
        <v>23000000</v>
      </c>
      <c r="AT20">
        <v>17000000</v>
      </c>
      <c r="AU20">
        <v>83000000</v>
      </c>
      <c r="AV20">
        <v>2000000</v>
      </c>
      <c r="AW20">
        <v>3000000</v>
      </c>
      <c r="AX20">
        <v>3000000</v>
      </c>
      <c r="AY20">
        <v>62000000</v>
      </c>
      <c r="AZ20">
        <v>67000000</v>
      </c>
      <c r="BA20">
        <v>14000000</v>
      </c>
      <c r="BB20">
        <v>50000000</v>
      </c>
      <c r="BC20">
        <v>75000000</v>
      </c>
      <c r="BD20">
        <v>62000000</v>
      </c>
      <c r="BE20">
        <v>31000000</v>
      </c>
      <c r="BF20">
        <v>29000000</v>
      </c>
      <c r="BG20">
        <v>16000000</v>
      </c>
      <c r="BH20">
        <v>10000000</v>
      </c>
      <c r="BI20">
        <v>17000000</v>
      </c>
      <c r="BJ20">
        <v>22000000</v>
      </c>
      <c r="BK20">
        <v>8000000</v>
      </c>
      <c r="BL20">
        <v>3000000</v>
      </c>
      <c r="BM20">
        <v>10000000</v>
      </c>
      <c r="BN20">
        <v>3000000</v>
      </c>
      <c r="BO20">
        <v>3000000</v>
      </c>
      <c r="BP20">
        <v>4000000</v>
      </c>
      <c r="BQ20">
        <v>23000000</v>
      </c>
      <c r="BR20">
        <v>1000000</v>
      </c>
    </row>
    <row r="21" spans="1:70">
      <c r="A21" t="s">
        <v>39</v>
      </c>
      <c r="B21" t="s">
        <v>40</v>
      </c>
      <c r="C21" t="s">
        <v>541</v>
      </c>
      <c r="D21" t="s">
        <v>542</v>
      </c>
      <c r="BP21">
        <v>2000000</v>
      </c>
    </row>
    <row r="22" spans="1:70">
      <c r="A22" t="s">
        <v>41</v>
      </c>
      <c r="B22" t="s">
        <v>42</v>
      </c>
      <c r="C22" t="s">
        <v>541</v>
      </c>
      <c r="D22" t="s">
        <v>542</v>
      </c>
    </row>
    <row r="23" spans="1:70">
      <c r="A23" t="s">
        <v>43</v>
      </c>
      <c r="B23" t="s">
        <v>44</v>
      </c>
      <c r="C23" t="s">
        <v>541</v>
      </c>
      <c r="D23" t="s">
        <v>542</v>
      </c>
      <c r="E23">
        <v>3000000</v>
      </c>
      <c r="F23">
        <v>0</v>
      </c>
      <c r="G23">
        <v>2000000</v>
      </c>
      <c r="H23">
        <v>0</v>
      </c>
      <c r="I23">
        <v>0</v>
      </c>
      <c r="K23">
        <v>12000000</v>
      </c>
      <c r="N23">
        <v>5000000</v>
      </c>
      <c r="P23">
        <v>0</v>
      </c>
      <c r="X23">
        <v>3000000</v>
      </c>
      <c r="Z23">
        <v>19000000</v>
      </c>
      <c r="AA23">
        <v>41000000</v>
      </c>
      <c r="AB23">
        <v>89000000</v>
      </c>
      <c r="AC23">
        <v>115000000</v>
      </c>
      <c r="AD23">
        <v>4000000</v>
      </c>
      <c r="AE23">
        <v>19000000</v>
      </c>
      <c r="AG23">
        <v>18000000</v>
      </c>
      <c r="AH23">
        <v>36000000</v>
      </c>
      <c r="AI23">
        <v>1000000</v>
      </c>
      <c r="AJ23">
        <v>1000000</v>
      </c>
      <c r="AM23">
        <v>39000000</v>
      </c>
      <c r="AN23">
        <v>161000000</v>
      </c>
      <c r="AO23">
        <v>61000000</v>
      </c>
      <c r="AP23">
        <v>93000000</v>
      </c>
      <c r="AQ23">
        <v>46000000</v>
      </c>
      <c r="AR23">
        <v>62000000</v>
      </c>
      <c r="AS23">
        <v>46000000</v>
      </c>
      <c r="AT23">
        <v>37000000</v>
      </c>
      <c r="AU23">
        <v>32000000</v>
      </c>
      <c r="AV23">
        <v>15000000</v>
      </c>
      <c r="AW23">
        <v>47000000</v>
      </c>
      <c r="AX23">
        <v>160000000</v>
      </c>
      <c r="AY23">
        <v>59000000</v>
      </c>
      <c r="AZ23">
        <v>32000000</v>
      </c>
      <c r="BA23">
        <v>223000000</v>
      </c>
      <c r="BB23">
        <v>242000000</v>
      </c>
      <c r="BC23">
        <v>11000000</v>
      </c>
      <c r="BD23">
        <v>110000000</v>
      </c>
      <c r="BE23">
        <v>21000000</v>
      </c>
      <c r="BF23">
        <v>54000000</v>
      </c>
      <c r="BG23">
        <v>10000000</v>
      </c>
      <c r="BH23">
        <v>12000000</v>
      </c>
      <c r="BI23">
        <v>7000000</v>
      </c>
      <c r="BJ23">
        <v>17000000</v>
      </c>
      <c r="BK23">
        <v>21000000</v>
      </c>
      <c r="BL23">
        <v>50000000</v>
      </c>
      <c r="BM23">
        <v>19000000</v>
      </c>
      <c r="BN23">
        <v>99000000</v>
      </c>
      <c r="BO23">
        <v>129000000</v>
      </c>
      <c r="BP23">
        <v>41000000</v>
      </c>
      <c r="BQ23">
        <v>69000000</v>
      </c>
      <c r="BR23">
        <v>86000000</v>
      </c>
    </row>
    <row r="24" spans="1:70">
      <c r="A24" t="s">
        <v>45</v>
      </c>
      <c r="B24" t="s">
        <v>46</v>
      </c>
      <c r="C24" t="s">
        <v>541</v>
      </c>
      <c r="D24" t="s">
        <v>542</v>
      </c>
    </row>
    <row r="25" spans="1:70">
      <c r="A25" t="s">
        <v>47</v>
      </c>
      <c r="B25" t="s">
        <v>48</v>
      </c>
      <c r="C25" t="s">
        <v>541</v>
      </c>
      <c r="D25" t="s">
        <v>542</v>
      </c>
    </row>
    <row r="26" spans="1:70">
      <c r="A26" t="s">
        <v>49</v>
      </c>
      <c r="B26" t="s">
        <v>50</v>
      </c>
      <c r="C26" t="s">
        <v>541</v>
      </c>
      <c r="D26" t="s">
        <v>542</v>
      </c>
      <c r="AC26">
        <v>2000000</v>
      </c>
    </row>
    <row r="27" spans="1:70">
      <c r="A27" t="s">
        <v>51</v>
      </c>
      <c r="B27" t="s">
        <v>52</v>
      </c>
      <c r="C27" t="s">
        <v>541</v>
      </c>
      <c r="D27" t="s">
        <v>542</v>
      </c>
      <c r="AB27">
        <v>4000000</v>
      </c>
      <c r="AE27">
        <v>8000000</v>
      </c>
      <c r="AH27">
        <v>8000000</v>
      </c>
      <c r="AI27">
        <v>8000000</v>
      </c>
      <c r="AJ27">
        <v>44000000</v>
      </c>
      <c r="AK27">
        <v>60000000</v>
      </c>
      <c r="AL27">
        <v>28000000</v>
      </c>
      <c r="AM27">
        <v>56000000</v>
      </c>
      <c r="AN27">
        <v>1000000</v>
      </c>
      <c r="AO27">
        <v>21000000</v>
      </c>
      <c r="AP27">
        <v>8000000</v>
      </c>
      <c r="AQ27">
        <v>41000000</v>
      </c>
      <c r="AR27">
        <v>172000000</v>
      </c>
      <c r="AS27">
        <v>6000000</v>
      </c>
      <c r="AT27">
        <v>10000000</v>
      </c>
      <c r="AU27">
        <v>37000000</v>
      </c>
      <c r="AV27">
        <v>45000000</v>
      </c>
      <c r="AW27">
        <v>20000000</v>
      </c>
      <c r="AX27">
        <v>87000000</v>
      </c>
      <c r="AY27">
        <v>5000000</v>
      </c>
      <c r="AZ27">
        <v>9000000</v>
      </c>
      <c r="BA27">
        <v>4000000</v>
      </c>
      <c r="BB27">
        <v>16000000</v>
      </c>
      <c r="BC27">
        <v>4000000</v>
      </c>
      <c r="BD27">
        <v>2000000</v>
      </c>
      <c r="BE27">
        <v>22000000</v>
      </c>
      <c r="BF27">
        <v>23000000</v>
      </c>
      <c r="BG27">
        <v>23000000</v>
      </c>
      <c r="BH27">
        <v>81000000</v>
      </c>
      <c r="BI27">
        <v>83000000</v>
      </c>
      <c r="BJ27">
        <v>33000000</v>
      </c>
      <c r="BK27">
        <v>14000000</v>
      </c>
      <c r="BL27">
        <v>11000000</v>
      </c>
      <c r="BM27">
        <v>3000000</v>
      </c>
      <c r="BN27">
        <v>7000000</v>
      </c>
      <c r="BO27">
        <v>34000000</v>
      </c>
      <c r="BP27">
        <v>19000000</v>
      </c>
      <c r="BQ27">
        <v>33000000</v>
      </c>
    </row>
    <row r="28" spans="1:70">
      <c r="A28" t="s">
        <v>53</v>
      </c>
      <c r="B28" t="s">
        <v>54</v>
      </c>
      <c r="C28" t="s">
        <v>541</v>
      </c>
      <c r="D28" t="s">
        <v>542</v>
      </c>
      <c r="AT28">
        <v>2000000</v>
      </c>
    </row>
    <row r="29" spans="1:70">
      <c r="A29" t="s">
        <v>55</v>
      </c>
      <c r="B29" t="s">
        <v>56</v>
      </c>
      <c r="C29" t="s">
        <v>541</v>
      </c>
      <c r="D29" t="s">
        <v>542</v>
      </c>
      <c r="BH29">
        <v>0</v>
      </c>
    </row>
    <row r="30" spans="1:70">
      <c r="A30" t="s">
        <v>57</v>
      </c>
      <c r="B30" t="s">
        <v>58</v>
      </c>
      <c r="C30" t="s">
        <v>541</v>
      </c>
      <c r="D30" t="s">
        <v>542</v>
      </c>
      <c r="AU30">
        <v>9000000</v>
      </c>
      <c r="BC30">
        <v>0</v>
      </c>
      <c r="BD30">
        <v>14000000</v>
      </c>
      <c r="BF30">
        <v>3000000</v>
      </c>
      <c r="BO30">
        <v>2000000</v>
      </c>
      <c r="BP30">
        <v>7000000</v>
      </c>
    </row>
    <row r="31" spans="1:70">
      <c r="A31" t="s">
        <v>59</v>
      </c>
      <c r="B31" t="s">
        <v>60</v>
      </c>
      <c r="C31" t="s">
        <v>541</v>
      </c>
      <c r="D31" t="s">
        <v>542</v>
      </c>
      <c r="AL31">
        <v>8000000</v>
      </c>
      <c r="AN31">
        <v>7000000</v>
      </c>
      <c r="AO31">
        <v>129000000</v>
      </c>
      <c r="AP31">
        <v>402000000</v>
      </c>
      <c r="AQ31">
        <v>63000000</v>
      </c>
      <c r="AR31">
        <v>454000000</v>
      </c>
      <c r="AS31">
        <v>293000000</v>
      </c>
      <c r="AT31">
        <v>49000000</v>
      </c>
      <c r="AU31">
        <v>64000000</v>
      </c>
      <c r="AV31">
        <v>58000000</v>
      </c>
      <c r="AW31">
        <v>19000000</v>
      </c>
      <c r="AX31">
        <v>53000000</v>
      </c>
      <c r="AY31">
        <v>43000000</v>
      </c>
      <c r="AZ31">
        <v>5000000</v>
      </c>
      <c r="BA31">
        <v>224000000</v>
      </c>
      <c r="BB31">
        <v>41000000</v>
      </c>
      <c r="BC31">
        <v>161000000</v>
      </c>
      <c r="BD31">
        <v>98000000</v>
      </c>
      <c r="BE31">
        <v>97000000</v>
      </c>
      <c r="BF31">
        <v>269000000</v>
      </c>
      <c r="BG31">
        <v>101000000</v>
      </c>
      <c r="BH31">
        <v>142000000</v>
      </c>
      <c r="BI31">
        <v>152000000</v>
      </c>
      <c r="BJ31">
        <v>52000000</v>
      </c>
      <c r="BK31">
        <v>86000000</v>
      </c>
      <c r="BL31">
        <v>84000000</v>
      </c>
      <c r="BM31">
        <v>59000000</v>
      </c>
      <c r="BN31">
        <v>111000000</v>
      </c>
      <c r="BO31">
        <v>58000000</v>
      </c>
      <c r="BP31">
        <v>45000000</v>
      </c>
      <c r="BQ31">
        <v>65000000</v>
      </c>
      <c r="BR31">
        <v>1000000</v>
      </c>
    </row>
    <row r="32" spans="1:70">
      <c r="A32" t="s">
        <v>61</v>
      </c>
      <c r="B32" t="s">
        <v>62</v>
      </c>
      <c r="C32" t="s">
        <v>541</v>
      </c>
      <c r="D32" t="s">
        <v>542</v>
      </c>
    </row>
    <row r="33" spans="1:70">
      <c r="A33" t="s">
        <v>63</v>
      </c>
      <c r="B33" t="s">
        <v>64</v>
      </c>
      <c r="C33" t="s">
        <v>541</v>
      </c>
      <c r="D33" t="s">
        <v>542</v>
      </c>
    </row>
    <row r="34" spans="1:70">
      <c r="A34" t="s">
        <v>65</v>
      </c>
      <c r="B34" t="s">
        <v>66</v>
      </c>
      <c r="C34" t="s">
        <v>541</v>
      </c>
      <c r="D34" t="s">
        <v>542</v>
      </c>
    </row>
    <row r="35" spans="1:70">
      <c r="A35" t="s">
        <v>67</v>
      </c>
      <c r="B35" t="s">
        <v>68</v>
      </c>
      <c r="C35" t="s">
        <v>541</v>
      </c>
      <c r="D35" t="s">
        <v>542</v>
      </c>
      <c r="E35">
        <v>2000000</v>
      </c>
      <c r="F35">
        <v>12000000</v>
      </c>
      <c r="N35">
        <v>18000000</v>
      </c>
      <c r="P35">
        <v>0</v>
      </c>
      <c r="S35">
        <v>12000000</v>
      </c>
      <c r="T35">
        <v>69000000</v>
      </c>
      <c r="U35">
        <v>76000000</v>
      </c>
      <c r="V35">
        <v>156000000</v>
      </c>
      <c r="W35">
        <v>204000000</v>
      </c>
      <c r="X35">
        <v>80000000</v>
      </c>
      <c r="Y35">
        <v>160000000</v>
      </c>
      <c r="Z35">
        <v>71000000</v>
      </c>
      <c r="AA35">
        <v>128000000</v>
      </c>
      <c r="AB35">
        <v>204000000</v>
      </c>
      <c r="AC35">
        <v>280000000</v>
      </c>
      <c r="AD35">
        <v>209000000</v>
      </c>
      <c r="AE35">
        <v>140000000</v>
      </c>
      <c r="AF35">
        <v>216000000</v>
      </c>
      <c r="AG35">
        <v>208000000</v>
      </c>
      <c r="AH35">
        <v>53000000</v>
      </c>
      <c r="AI35">
        <v>108000000</v>
      </c>
      <c r="AJ35">
        <v>129000000</v>
      </c>
      <c r="AK35">
        <v>99000000</v>
      </c>
      <c r="AL35">
        <v>40000000</v>
      </c>
      <c r="AM35">
        <v>54000000</v>
      </c>
      <c r="AN35">
        <v>38000000</v>
      </c>
      <c r="AO35">
        <v>27000000</v>
      </c>
      <c r="AP35">
        <v>27000000</v>
      </c>
      <c r="AQ35">
        <v>18000000</v>
      </c>
      <c r="AU35">
        <v>21000000</v>
      </c>
      <c r="AW35">
        <v>46000000</v>
      </c>
      <c r="AX35">
        <v>1000000</v>
      </c>
      <c r="AY35">
        <v>44000000</v>
      </c>
      <c r="AZ35">
        <v>54000000</v>
      </c>
      <c r="BA35">
        <v>93000000</v>
      </c>
      <c r="BB35">
        <v>44000000</v>
      </c>
      <c r="BC35">
        <v>147000000</v>
      </c>
      <c r="BD35">
        <v>32000000</v>
      </c>
      <c r="BE35">
        <v>33000000</v>
      </c>
      <c r="BF35">
        <v>31000000</v>
      </c>
      <c r="BG35">
        <v>31000000</v>
      </c>
      <c r="BH35">
        <v>53000000</v>
      </c>
      <c r="BI35">
        <v>134000000</v>
      </c>
      <c r="BJ35">
        <v>36000000</v>
      </c>
      <c r="BK35">
        <v>102000000</v>
      </c>
      <c r="BL35">
        <v>21000000</v>
      </c>
      <c r="BM35">
        <v>164000000</v>
      </c>
      <c r="BN35">
        <v>86000000</v>
      </c>
      <c r="BO35">
        <v>10000000</v>
      </c>
      <c r="BP35">
        <v>54000000</v>
      </c>
      <c r="BQ35">
        <v>112000000</v>
      </c>
      <c r="BR35">
        <v>153000000</v>
      </c>
    </row>
    <row r="36" spans="1:70">
      <c r="A36" t="s">
        <v>69</v>
      </c>
      <c r="B36" t="s">
        <v>70</v>
      </c>
      <c r="C36" t="s">
        <v>541</v>
      </c>
      <c r="D36" t="s">
        <v>542</v>
      </c>
    </row>
    <row r="37" spans="1:70">
      <c r="A37" t="s">
        <v>71</v>
      </c>
      <c r="B37" t="s">
        <v>72</v>
      </c>
      <c r="C37" t="s">
        <v>541</v>
      </c>
      <c r="D37" t="s">
        <v>542</v>
      </c>
      <c r="BD37">
        <v>24000000</v>
      </c>
      <c r="BI37">
        <v>12000000</v>
      </c>
    </row>
    <row r="38" spans="1:70">
      <c r="A38" t="s">
        <v>73</v>
      </c>
      <c r="B38" t="s">
        <v>74</v>
      </c>
      <c r="C38" t="s">
        <v>541</v>
      </c>
      <c r="D38" t="s">
        <v>542</v>
      </c>
    </row>
    <row r="39" spans="1:70">
      <c r="A39" t="s">
        <v>75</v>
      </c>
      <c r="B39" t="s">
        <v>76</v>
      </c>
      <c r="C39" t="s">
        <v>541</v>
      </c>
      <c r="D39" t="s">
        <v>542</v>
      </c>
    </row>
    <row r="40" spans="1:70">
      <c r="A40" t="s">
        <v>77</v>
      </c>
      <c r="B40" t="s">
        <v>78</v>
      </c>
      <c r="C40" t="s">
        <v>541</v>
      </c>
      <c r="D40" t="s">
        <v>542</v>
      </c>
    </row>
    <row r="41" spans="1:70">
      <c r="A41" t="s">
        <v>79</v>
      </c>
      <c r="B41" t="s">
        <v>80</v>
      </c>
      <c r="C41" t="s">
        <v>541</v>
      </c>
      <c r="D41" t="s">
        <v>542</v>
      </c>
      <c r="E41">
        <v>66000000</v>
      </c>
      <c r="F41">
        <v>300000000</v>
      </c>
      <c r="G41">
        <v>188000000</v>
      </c>
      <c r="H41">
        <v>245000000</v>
      </c>
      <c r="I41">
        <v>273000000</v>
      </c>
      <c r="J41">
        <v>121000000</v>
      </c>
      <c r="K41">
        <v>112000000</v>
      </c>
      <c r="L41">
        <v>73000000</v>
      </c>
      <c r="M41">
        <v>198000000</v>
      </c>
      <c r="N41">
        <v>183000000</v>
      </c>
      <c r="O41">
        <v>198000000</v>
      </c>
      <c r="P41">
        <v>290000000</v>
      </c>
      <c r="Q41">
        <v>323000000</v>
      </c>
      <c r="R41">
        <v>118000000</v>
      </c>
      <c r="S41">
        <v>90000000</v>
      </c>
      <c r="T41">
        <v>59000000</v>
      </c>
      <c r="U41">
        <v>259000000</v>
      </c>
      <c r="V41">
        <v>138000000</v>
      </c>
      <c r="W41">
        <v>177000000</v>
      </c>
      <c r="X41">
        <v>163000000</v>
      </c>
      <c r="Y41">
        <v>116000000</v>
      </c>
      <c r="Z41">
        <v>105000000</v>
      </c>
      <c r="AA41">
        <v>237000000</v>
      </c>
      <c r="AB41">
        <v>97000000</v>
      </c>
      <c r="AC41">
        <v>77000000</v>
      </c>
      <c r="AD41">
        <v>83000000</v>
      </c>
      <c r="AE41">
        <v>240000000</v>
      </c>
      <c r="AF41">
        <v>250000000</v>
      </c>
      <c r="AG41">
        <v>124000000</v>
      </c>
      <c r="AH41">
        <v>33000000</v>
      </c>
      <c r="AI41">
        <v>79000000</v>
      </c>
      <c r="AJ41">
        <v>93000000</v>
      </c>
      <c r="AK41">
        <v>147000000</v>
      </c>
      <c r="AL41">
        <v>152000000</v>
      </c>
      <c r="AM41">
        <v>165000000</v>
      </c>
      <c r="AN41">
        <v>248000000</v>
      </c>
      <c r="AO41">
        <v>168000000</v>
      </c>
      <c r="AP41">
        <v>97000000</v>
      </c>
      <c r="AQ41">
        <v>39000000</v>
      </c>
      <c r="AR41">
        <v>80000000</v>
      </c>
      <c r="AS41">
        <v>69000000</v>
      </c>
      <c r="AT41">
        <v>124000000</v>
      </c>
      <c r="AU41">
        <v>177000000</v>
      </c>
      <c r="AV41">
        <v>302000000</v>
      </c>
      <c r="AW41">
        <v>289000000</v>
      </c>
      <c r="AX41">
        <v>234000000</v>
      </c>
      <c r="AY41">
        <v>254000000</v>
      </c>
      <c r="AZ41">
        <v>334000000</v>
      </c>
      <c r="BA41">
        <v>252000000</v>
      </c>
      <c r="BB41">
        <v>198000000</v>
      </c>
      <c r="BC41">
        <v>196000000</v>
      </c>
      <c r="BD41">
        <v>277000000</v>
      </c>
      <c r="BE41">
        <v>258000000</v>
      </c>
      <c r="BF41">
        <v>170000000</v>
      </c>
      <c r="BG41">
        <v>189000000</v>
      </c>
      <c r="BH41">
        <v>298000000</v>
      </c>
      <c r="BI41">
        <v>96000000</v>
      </c>
      <c r="BJ41">
        <v>63000000</v>
      </c>
      <c r="BK41">
        <v>108000000</v>
      </c>
      <c r="BL41">
        <v>223000000</v>
      </c>
      <c r="BM41">
        <v>123000000</v>
      </c>
      <c r="BN41">
        <v>144000000</v>
      </c>
      <c r="BO41">
        <v>147000000</v>
      </c>
      <c r="BP41">
        <v>276000000</v>
      </c>
      <c r="BQ41">
        <v>237000000</v>
      </c>
      <c r="BR41">
        <v>312000000</v>
      </c>
    </row>
    <row r="42" spans="1:70">
      <c r="A42" t="s">
        <v>81</v>
      </c>
      <c r="B42" t="s">
        <v>82</v>
      </c>
      <c r="C42" t="s">
        <v>541</v>
      </c>
      <c r="D42" t="s">
        <v>542</v>
      </c>
      <c r="E42">
        <v>0</v>
      </c>
      <c r="G42">
        <v>7000000</v>
      </c>
      <c r="H42">
        <v>111000000</v>
      </c>
      <c r="I42">
        <v>237000000</v>
      </c>
      <c r="J42">
        <v>234000000</v>
      </c>
      <c r="K42">
        <v>337000000</v>
      </c>
      <c r="L42">
        <v>327000000</v>
      </c>
      <c r="M42">
        <v>325000000</v>
      </c>
      <c r="N42">
        <v>351000000</v>
      </c>
      <c r="O42">
        <v>268000000</v>
      </c>
      <c r="P42">
        <v>284000000</v>
      </c>
      <c r="Q42">
        <v>294000000</v>
      </c>
      <c r="R42">
        <v>212000000</v>
      </c>
      <c r="S42">
        <v>258000000</v>
      </c>
      <c r="V42">
        <v>404000000</v>
      </c>
      <c r="W42">
        <v>368000000</v>
      </c>
      <c r="X42">
        <v>291000000</v>
      </c>
      <c r="Y42">
        <v>284000000</v>
      </c>
      <c r="Z42">
        <v>431000000</v>
      </c>
      <c r="AA42">
        <v>325000000</v>
      </c>
      <c r="AB42">
        <v>244000000</v>
      </c>
      <c r="AE42">
        <v>302000000</v>
      </c>
      <c r="AH42">
        <v>53000000</v>
      </c>
      <c r="AI42">
        <v>127000000</v>
      </c>
      <c r="AJ42">
        <v>112000000</v>
      </c>
      <c r="AM42">
        <v>586000000</v>
      </c>
      <c r="AN42">
        <v>443000000</v>
      </c>
      <c r="AO42">
        <v>276000000</v>
      </c>
      <c r="AP42">
        <v>150000000</v>
      </c>
      <c r="AS42">
        <v>186000000</v>
      </c>
      <c r="AU42">
        <v>223000000</v>
      </c>
      <c r="AX42">
        <v>262000000</v>
      </c>
      <c r="AY42">
        <v>342000000</v>
      </c>
      <c r="AZ42">
        <v>269000000</v>
      </c>
      <c r="BF42">
        <v>469000000</v>
      </c>
      <c r="BO42">
        <v>1067000000</v>
      </c>
      <c r="BP42">
        <v>932000000</v>
      </c>
      <c r="BQ42">
        <v>562000000</v>
      </c>
      <c r="BR42">
        <v>338000000</v>
      </c>
    </row>
    <row r="43" spans="1:70">
      <c r="A43" t="s">
        <v>83</v>
      </c>
      <c r="B43" t="s">
        <v>84</v>
      </c>
      <c r="C43" t="s">
        <v>541</v>
      </c>
      <c r="D43" t="s">
        <v>542</v>
      </c>
      <c r="E43">
        <v>435000000</v>
      </c>
      <c r="F43">
        <v>493000000</v>
      </c>
      <c r="G43">
        <v>534000000</v>
      </c>
      <c r="H43">
        <v>351000000</v>
      </c>
      <c r="I43">
        <v>394000000</v>
      </c>
      <c r="J43">
        <v>484000000</v>
      </c>
      <c r="K43">
        <v>367000000</v>
      </c>
      <c r="L43">
        <v>261000000</v>
      </c>
      <c r="M43">
        <v>88000000</v>
      </c>
      <c r="N43">
        <v>106000000</v>
      </c>
      <c r="O43">
        <v>18000000</v>
      </c>
      <c r="P43">
        <v>42000000</v>
      </c>
      <c r="Q43">
        <v>34000000</v>
      </c>
      <c r="R43">
        <v>54000000</v>
      </c>
      <c r="S43">
        <v>89000000</v>
      </c>
      <c r="T43">
        <v>484000000</v>
      </c>
      <c r="U43">
        <v>592000000</v>
      </c>
      <c r="V43">
        <v>339000000</v>
      </c>
      <c r="W43">
        <v>223000000</v>
      </c>
      <c r="X43">
        <v>488000000</v>
      </c>
      <c r="Y43">
        <v>566000000</v>
      </c>
      <c r="Z43">
        <v>559000000</v>
      </c>
      <c r="AA43">
        <v>413000000</v>
      </c>
      <c r="AB43">
        <v>331000000</v>
      </c>
      <c r="AC43">
        <v>529000000</v>
      </c>
      <c r="AD43">
        <v>347000000</v>
      </c>
      <c r="AE43">
        <v>340000000</v>
      </c>
      <c r="AF43">
        <v>319000000</v>
      </c>
      <c r="AG43">
        <v>375000000</v>
      </c>
      <c r="AH43">
        <v>318000000</v>
      </c>
      <c r="AI43">
        <v>475000000</v>
      </c>
      <c r="AJ43">
        <v>508000000</v>
      </c>
      <c r="AK43">
        <v>457000000</v>
      </c>
      <c r="AL43">
        <v>232000000</v>
      </c>
      <c r="AM43">
        <v>176000000</v>
      </c>
      <c r="AN43">
        <v>144000000</v>
      </c>
      <c r="AO43">
        <v>204000000</v>
      </c>
      <c r="AP43">
        <v>131000000</v>
      </c>
      <c r="AQ43">
        <v>198000000</v>
      </c>
      <c r="AR43">
        <v>227000000</v>
      </c>
      <c r="AS43">
        <v>140000000</v>
      </c>
      <c r="AT43">
        <v>219000000</v>
      </c>
      <c r="AU43">
        <v>178000000</v>
      </c>
      <c r="AV43">
        <v>207000000</v>
      </c>
      <c r="AW43">
        <v>293000000</v>
      </c>
      <c r="AX43">
        <v>274000000</v>
      </c>
      <c r="AY43">
        <v>320000000</v>
      </c>
      <c r="AZ43">
        <v>325000000</v>
      </c>
      <c r="BA43">
        <v>506000000</v>
      </c>
      <c r="BB43">
        <v>260000000</v>
      </c>
      <c r="BC43">
        <v>285000000</v>
      </c>
      <c r="BD43">
        <v>349000000</v>
      </c>
      <c r="BE43">
        <v>257000000</v>
      </c>
      <c r="BF43">
        <v>213000000</v>
      </c>
      <c r="BG43">
        <v>352000000</v>
      </c>
      <c r="BH43">
        <v>491000000</v>
      </c>
      <c r="BI43">
        <v>220000000</v>
      </c>
      <c r="BJ43">
        <v>175000000</v>
      </c>
      <c r="BK43">
        <v>244000000</v>
      </c>
      <c r="BL43">
        <v>222000000</v>
      </c>
      <c r="BM43">
        <v>145000000</v>
      </c>
      <c r="BN43">
        <v>107000000</v>
      </c>
      <c r="BO43">
        <v>181000000</v>
      </c>
      <c r="BP43">
        <v>63000000</v>
      </c>
      <c r="BQ43">
        <v>11000000</v>
      </c>
      <c r="BR43">
        <v>129000000</v>
      </c>
    </row>
    <row r="44" spans="1:70">
      <c r="A44" t="s">
        <v>85</v>
      </c>
      <c r="B44" t="s">
        <v>86</v>
      </c>
      <c r="C44" t="s">
        <v>541</v>
      </c>
      <c r="D44" t="s">
        <v>542</v>
      </c>
    </row>
    <row r="45" spans="1:70">
      <c r="A45" t="s">
        <v>87</v>
      </c>
      <c r="B45" t="s">
        <v>88</v>
      </c>
      <c r="C45" t="s">
        <v>541</v>
      </c>
      <c r="D45" t="s">
        <v>542</v>
      </c>
      <c r="T45">
        <v>0</v>
      </c>
      <c r="W45">
        <v>0</v>
      </c>
      <c r="Y45">
        <v>0</v>
      </c>
      <c r="Z45">
        <v>0</v>
      </c>
      <c r="AB45">
        <v>0</v>
      </c>
      <c r="AE45">
        <v>3000000</v>
      </c>
      <c r="AF45">
        <v>3000000</v>
      </c>
      <c r="AG45">
        <v>4000000</v>
      </c>
      <c r="AH45">
        <v>4000000</v>
      </c>
      <c r="AJ45">
        <v>3000000</v>
      </c>
      <c r="AK45">
        <v>8000000</v>
      </c>
      <c r="AQ45">
        <v>2000000</v>
      </c>
      <c r="AR45">
        <v>1000000</v>
      </c>
      <c r="AS45">
        <v>1000000</v>
      </c>
      <c r="AU45">
        <v>1000000</v>
      </c>
      <c r="BA45">
        <v>100000000</v>
      </c>
      <c r="BG45">
        <v>20000000</v>
      </c>
      <c r="BK45">
        <v>0</v>
      </c>
      <c r="BO45">
        <v>8000000</v>
      </c>
    </row>
    <row r="46" spans="1:70">
      <c r="A46" t="s">
        <v>89</v>
      </c>
      <c r="B46" t="s">
        <v>90</v>
      </c>
      <c r="C46" t="s">
        <v>541</v>
      </c>
      <c r="D46" t="s">
        <v>542</v>
      </c>
      <c r="E46">
        <v>285000000</v>
      </c>
      <c r="F46">
        <v>35000000</v>
      </c>
      <c r="G46">
        <v>47000000</v>
      </c>
      <c r="H46">
        <v>12000000</v>
      </c>
      <c r="I46">
        <v>75000000</v>
      </c>
      <c r="J46">
        <v>387000000</v>
      </c>
      <c r="K46">
        <v>628000000</v>
      </c>
      <c r="L46">
        <v>426000000</v>
      </c>
      <c r="M46">
        <v>746000000</v>
      </c>
      <c r="N46">
        <v>669000000</v>
      </c>
      <c r="O46">
        <v>905000000</v>
      </c>
      <c r="P46">
        <v>1308000000</v>
      </c>
      <c r="Q46">
        <v>1246000000</v>
      </c>
      <c r="R46">
        <v>658000000</v>
      </c>
      <c r="S46">
        <v>508000000</v>
      </c>
      <c r="T46">
        <v>661000000</v>
      </c>
      <c r="U46">
        <v>580000000</v>
      </c>
      <c r="V46">
        <v>224000000</v>
      </c>
      <c r="W46">
        <v>611000000</v>
      </c>
      <c r="X46">
        <v>553000000</v>
      </c>
      <c r="Y46">
        <v>943000000</v>
      </c>
      <c r="Z46">
        <v>707000000</v>
      </c>
      <c r="AA46">
        <v>1557000000</v>
      </c>
      <c r="AB46">
        <v>1761000000</v>
      </c>
      <c r="AC46">
        <v>1935000000</v>
      </c>
      <c r="AD46">
        <v>1292000000</v>
      </c>
      <c r="AE46">
        <v>1861000000</v>
      </c>
      <c r="AF46">
        <v>2600000000</v>
      </c>
      <c r="AG46">
        <v>1426000000</v>
      </c>
      <c r="AH46">
        <v>1056000000</v>
      </c>
      <c r="AI46">
        <v>955000000</v>
      </c>
      <c r="AJ46">
        <v>1324000000</v>
      </c>
      <c r="AK46">
        <v>672000000</v>
      </c>
      <c r="AL46">
        <v>1437000000</v>
      </c>
      <c r="AM46">
        <v>1063000000</v>
      </c>
      <c r="AN46">
        <v>981000000</v>
      </c>
      <c r="AO46">
        <v>764000000</v>
      </c>
      <c r="AP46">
        <v>427000000</v>
      </c>
      <c r="AQ46">
        <v>349000000</v>
      </c>
      <c r="AR46">
        <v>334000000</v>
      </c>
      <c r="AS46">
        <v>309000000</v>
      </c>
      <c r="AT46">
        <v>510000000</v>
      </c>
      <c r="AU46">
        <v>524000000</v>
      </c>
      <c r="AV46">
        <v>701000000</v>
      </c>
      <c r="AW46">
        <v>408000000</v>
      </c>
      <c r="AX46">
        <v>341000000</v>
      </c>
      <c r="AY46">
        <v>769000000</v>
      </c>
      <c r="AZ46">
        <v>520000000</v>
      </c>
      <c r="BA46">
        <v>598000000</v>
      </c>
      <c r="BB46">
        <v>1138000000</v>
      </c>
      <c r="BC46">
        <v>1531000000</v>
      </c>
      <c r="BD46">
        <v>1308000000</v>
      </c>
      <c r="BE46">
        <v>1499000000</v>
      </c>
      <c r="BF46">
        <v>2100000000</v>
      </c>
      <c r="BG46">
        <v>1353000000</v>
      </c>
      <c r="BH46">
        <v>1841000000</v>
      </c>
      <c r="BI46">
        <v>2480000000</v>
      </c>
      <c r="BJ46">
        <v>1643000000</v>
      </c>
      <c r="BK46">
        <v>1391000000</v>
      </c>
      <c r="BL46">
        <v>1601000000</v>
      </c>
      <c r="BM46">
        <v>645000000</v>
      </c>
      <c r="BN46">
        <v>1342000000</v>
      </c>
      <c r="BO46">
        <v>2323000000</v>
      </c>
      <c r="BP46">
        <v>2745000000</v>
      </c>
      <c r="BQ46">
        <v>1294000000</v>
      </c>
      <c r="BR46">
        <v>880000000</v>
      </c>
    </row>
    <row r="47" spans="1:70">
      <c r="A47" t="s">
        <v>91</v>
      </c>
      <c r="B47" t="s">
        <v>92</v>
      </c>
      <c r="C47" t="s">
        <v>541</v>
      </c>
      <c r="D47" t="s">
        <v>542</v>
      </c>
      <c r="P47">
        <v>1000000</v>
      </c>
    </row>
    <row r="48" spans="1:70">
      <c r="A48" t="s">
        <v>93</v>
      </c>
      <c r="B48" t="s">
        <v>94</v>
      </c>
      <c r="C48" t="s">
        <v>541</v>
      </c>
      <c r="D48" t="s">
        <v>542</v>
      </c>
    </row>
    <row r="49" spans="1:70">
      <c r="A49" t="s">
        <v>95</v>
      </c>
      <c r="B49" t="s">
        <v>96</v>
      </c>
      <c r="C49" t="s">
        <v>541</v>
      </c>
      <c r="D49" t="s">
        <v>542</v>
      </c>
      <c r="X49">
        <v>1000000</v>
      </c>
      <c r="AP49">
        <v>22000000</v>
      </c>
    </row>
    <row r="50" spans="1:70">
      <c r="A50" t="s">
        <v>97</v>
      </c>
      <c r="B50" t="s">
        <v>98</v>
      </c>
      <c r="C50" t="s">
        <v>541</v>
      </c>
      <c r="D50" t="s">
        <v>542</v>
      </c>
    </row>
    <row r="51" spans="1:70">
      <c r="A51" t="s">
        <v>99</v>
      </c>
      <c r="B51" t="s">
        <v>100</v>
      </c>
      <c r="C51" t="s">
        <v>541</v>
      </c>
      <c r="D51" t="s">
        <v>542</v>
      </c>
      <c r="AU51">
        <v>6000000</v>
      </c>
      <c r="BE51">
        <v>0</v>
      </c>
      <c r="BJ51">
        <v>10000000</v>
      </c>
      <c r="BL51">
        <v>10000000</v>
      </c>
      <c r="BM51">
        <v>4000000</v>
      </c>
    </row>
    <row r="52" spans="1:70">
      <c r="A52" t="s">
        <v>101</v>
      </c>
      <c r="B52" t="s">
        <v>102</v>
      </c>
      <c r="C52" t="s">
        <v>541</v>
      </c>
      <c r="D52" t="s">
        <v>542</v>
      </c>
      <c r="Z52">
        <v>5000000</v>
      </c>
    </row>
    <row r="53" spans="1:70">
      <c r="A53" t="s">
        <v>103</v>
      </c>
      <c r="B53" t="s">
        <v>104</v>
      </c>
      <c r="C53" t="s">
        <v>541</v>
      </c>
      <c r="D53" t="s">
        <v>542</v>
      </c>
    </row>
    <row r="54" spans="1:70">
      <c r="A54" t="s">
        <v>105</v>
      </c>
      <c r="B54" t="s">
        <v>106</v>
      </c>
      <c r="C54" t="s">
        <v>541</v>
      </c>
      <c r="D54" t="s">
        <v>542</v>
      </c>
      <c r="N54">
        <v>2000000</v>
      </c>
      <c r="BA54">
        <v>0</v>
      </c>
      <c r="BB54">
        <v>3000000</v>
      </c>
    </row>
    <row r="55" spans="1:70">
      <c r="A55" t="s">
        <v>107</v>
      </c>
      <c r="B55" t="s">
        <v>108</v>
      </c>
      <c r="C55" t="s">
        <v>541</v>
      </c>
      <c r="D55" t="s">
        <v>542</v>
      </c>
    </row>
    <row r="56" spans="1:70">
      <c r="A56" t="s">
        <v>109</v>
      </c>
      <c r="B56" t="s">
        <v>110</v>
      </c>
      <c r="C56" t="s">
        <v>541</v>
      </c>
      <c r="D56" t="s">
        <v>542</v>
      </c>
      <c r="T56">
        <v>1000000</v>
      </c>
      <c r="W56">
        <v>12000000</v>
      </c>
      <c r="X56">
        <v>10000000</v>
      </c>
      <c r="Y56">
        <v>8000000</v>
      </c>
    </row>
    <row r="57" spans="1:70">
      <c r="A57" t="s">
        <v>111</v>
      </c>
      <c r="B57" t="s">
        <v>112</v>
      </c>
      <c r="C57" t="s">
        <v>541</v>
      </c>
      <c r="D57" t="s">
        <v>542</v>
      </c>
    </row>
    <row r="58" spans="1:70">
      <c r="A58" t="s">
        <v>113</v>
      </c>
      <c r="B58" t="s">
        <v>114</v>
      </c>
      <c r="C58" t="s">
        <v>541</v>
      </c>
      <c r="D58" t="s">
        <v>542</v>
      </c>
    </row>
    <row r="59" spans="1:70">
      <c r="A59" t="s">
        <v>115</v>
      </c>
      <c r="B59" t="s">
        <v>116</v>
      </c>
      <c r="C59" t="s">
        <v>541</v>
      </c>
      <c r="D59" t="s">
        <v>542</v>
      </c>
      <c r="AO59">
        <v>34000000</v>
      </c>
      <c r="BP59">
        <v>40000000</v>
      </c>
    </row>
    <row r="60" spans="1:70">
      <c r="A60" t="s">
        <v>117</v>
      </c>
      <c r="B60" t="s">
        <v>118</v>
      </c>
      <c r="C60" t="s">
        <v>541</v>
      </c>
      <c r="D60" t="s">
        <v>542</v>
      </c>
      <c r="AL60">
        <v>199000000</v>
      </c>
      <c r="AM60">
        <v>319000000</v>
      </c>
      <c r="AN60">
        <v>146000000</v>
      </c>
      <c r="AO60">
        <v>123000000</v>
      </c>
      <c r="AP60">
        <v>24000000</v>
      </c>
      <c r="AQ60">
        <v>21000000</v>
      </c>
      <c r="AR60">
        <v>58000000</v>
      </c>
      <c r="AS60">
        <v>83000000</v>
      </c>
      <c r="AT60">
        <v>89000000</v>
      </c>
      <c r="AU60">
        <v>60000000</v>
      </c>
      <c r="AV60">
        <v>65000000</v>
      </c>
      <c r="AW60">
        <v>2000000</v>
      </c>
      <c r="AX60">
        <v>72000000</v>
      </c>
      <c r="AY60">
        <v>44000000</v>
      </c>
      <c r="AZ60">
        <v>34000000</v>
      </c>
      <c r="BA60">
        <v>34000000</v>
      </c>
      <c r="BB60">
        <v>24000000</v>
      </c>
      <c r="BC60">
        <v>5000000</v>
      </c>
      <c r="BD60">
        <v>10000000</v>
      </c>
      <c r="BE60">
        <v>8000000</v>
      </c>
      <c r="BF60">
        <v>41000000</v>
      </c>
      <c r="BG60">
        <v>26000000</v>
      </c>
      <c r="BH60">
        <v>151000000</v>
      </c>
      <c r="BI60">
        <v>153000000</v>
      </c>
      <c r="BJ60">
        <v>89000000</v>
      </c>
      <c r="BK60">
        <v>92000000</v>
      </c>
      <c r="BL60">
        <v>19000000</v>
      </c>
      <c r="BM60">
        <v>26000000</v>
      </c>
      <c r="BN60">
        <v>6000000</v>
      </c>
      <c r="BO60">
        <v>168000000</v>
      </c>
      <c r="BP60">
        <v>113000000</v>
      </c>
      <c r="BQ60">
        <v>189000000</v>
      </c>
      <c r="BR60">
        <v>137000000</v>
      </c>
    </row>
    <row r="61" spans="1:70">
      <c r="A61" t="s">
        <v>119</v>
      </c>
      <c r="B61" t="s">
        <v>120</v>
      </c>
      <c r="C61" t="s">
        <v>541</v>
      </c>
      <c r="D61" t="s">
        <v>542</v>
      </c>
      <c r="E61">
        <v>156000000</v>
      </c>
      <c r="F61">
        <v>12000000</v>
      </c>
      <c r="G61">
        <v>146000000</v>
      </c>
      <c r="H61">
        <v>133000000</v>
      </c>
      <c r="I61">
        <v>437000000</v>
      </c>
      <c r="J61">
        <v>327000000</v>
      </c>
      <c r="K61">
        <v>711000000</v>
      </c>
      <c r="L61">
        <v>758000000</v>
      </c>
      <c r="M61">
        <v>588000000</v>
      </c>
      <c r="N61">
        <v>882000000</v>
      </c>
      <c r="O61">
        <v>1584000000</v>
      </c>
      <c r="P61">
        <v>1356000000</v>
      </c>
      <c r="Q61">
        <v>1359000000</v>
      </c>
      <c r="R61">
        <v>222000000</v>
      </c>
      <c r="S61">
        <v>1187000000</v>
      </c>
      <c r="T61">
        <v>1424000000</v>
      </c>
      <c r="U61">
        <v>1656000000</v>
      </c>
      <c r="V61">
        <v>1925000000</v>
      </c>
      <c r="W61">
        <v>1603000000</v>
      </c>
      <c r="X61">
        <v>1427000000</v>
      </c>
      <c r="Y61">
        <v>1597000000</v>
      </c>
      <c r="Z61">
        <v>1903000000</v>
      </c>
      <c r="AA61">
        <v>1510000000</v>
      </c>
      <c r="AB61">
        <v>2213000000</v>
      </c>
      <c r="AC61">
        <v>2929000000</v>
      </c>
      <c r="AD61">
        <v>1327000000</v>
      </c>
      <c r="AE61">
        <v>1349000000</v>
      </c>
      <c r="AF61">
        <v>908000000</v>
      </c>
      <c r="AG61">
        <v>1383000000</v>
      </c>
      <c r="AH61">
        <v>1258000000</v>
      </c>
      <c r="AI61">
        <v>1820000000</v>
      </c>
      <c r="AJ61">
        <v>2407000000</v>
      </c>
      <c r="AK61">
        <v>1517000000</v>
      </c>
      <c r="AL61">
        <v>1545000000</v>
      </c>
      <c r="AM61">
        <v>2908000000</v>
      </c>
      <c r="AN61">
        <v>1525000000</v>
      </c>
      <c r="AO61">
        <v>1949000000</v>
      </c>
      <c r="AP61">
        <v>951000000</v>
      </c>
      <c r="AQ61">
        <v>1840000000</v>
      </c>
      <c r="AR61">
        <v>1937000000</v>
      </c>
      <c r="AS61">
        <v>1672000000</v>
      </c>
      <c r="AT61">
        <v>851000000</v>
      </c>
      <c r="AU61">
        <v>889000000</v>
      </c>
      <c r="AV61">
        <v>1632000000</v>
      </c>
      <c r="AW61">
        <v>1090000000</v>
      </c>
      <c r="AX61">
        <v>2083000000</v>
      </c>
      <c r="AY61">
        <v>2482000000</v>
      </c>
      <c r="AZ61">
        <v>3291000000</v>
      </c>
      <c r="BA61">
        <v>2378000000</v>
      </c>
      <c r="BB61">
        <v>2207000000</v>
      </c>
      <c r="BC61">
        <v>2364000000</v>
      </c>
      <c r="BD61">
        <v>1203000000</v>
      </c>
      <c r="BE61">
        <v>715000000</v>
      </c>
      <c r="BF61">
        <v>721000000</v>
      </c>
      <c r="BG61">
        <v>1830000000</v>
      </c>
      <c r="BH61">
        <v>1823000000</v>
      </c>
      <c r="BI61">
        <v>2512000000</v>
      </c>
      <c r="BJ61">
        <v>1826000000</v>
      </c>
      <c r="BK61">
        <v>1098000000</v>
      </c>
      <c r="BL61">
        <v>978000000</v>
      </c>
      <c r="BM61">
        <v>1153000000</v>
      </c>
      <c r="BN61">
        <v>852000000</v>
      </c>
      <c r="BO61">
        <v>1508000000</v>
      </c>
      <c r="BP61">
        <v>2547000000</v>
      </c>
      <c r="BQ61">
        <v>2108000000</v>
      </c>
      <c r="BR61">
        <v>1696000000</v>
      </c>
    </row>
    <row r="62" spans="1:70">
      <c r="A62" t="s">
        <v>121</v>
      </c>
      <c r="B62" t="s">
        <v>122</v>
      </c>
      <c r="C62" t="s">
        <v>541</v>
      </c>
      <c r="D62" t="s">
        <v>542</v>
      </c>
    </row>
    <row r="63" spans="1:70">
      <c r="A63" t="s">
        <v>123</v>
      </c>
      <c r="B63" t="s">
        <v>124</v>
      </c>
      <c r="C63" t="s">
        <v>541</v>
      </c>
      <c r="D63" t="s">
        <v>542</v>
      </c>
    </row>
    <row r="64" spans="1:70">
      <c r="A64" t="s">
        <v>125</v>
      </c>
      <c r="B64" t="s">
        <v>126</v>
      </c>
      <c r="C64" t="s">
        <v>541</v>
      </c>
      <c r="D64" t="s">
        <v>542</v>
      </c>
      <c r="E64">
        <v>20000000</v>
      </c>
      <c r="I64">
        <v>60000000</v>
      </c>
      <c r="J64">
        <v>12000000</v>
      </c>
      <c r="L64">
        <v>128000000</v>
      </c>
      <c r="M64">
        <v>24000000</v>
      </c>
      <c r="T64">
        <v>24000000</v>
      </c>
      <c r="Y64">
        <v>18000000</v>
      </c>
      <c r="Z64">
        <v>29000000</v>
      </c>
      <c r="AA64">
        <v>64000000</v>
      </c>
      <c r="AB64">
        <v>115000000</v>
      </c>
      <c r="AF64">
        <v>117000000</v>
      </c>
      <c r="AG64">
        <v>36000000</v>
      </c>
      <c r="AI64">
        <v>80000000</v>
      </c>
      <c r="AL64">
        <v>182000000</v>
      </c>
      <c r="AM64">
        <v>268000000</v>
      </c>
      <c r="AN64">
        <v>34000000</v>
      </c>
      <c r="AO64">
        <v>13000000</v>
      </c>
      <c r="AR64">
        <v>3000000</v>
      </c>
      <c r="AS64">
        <v>18000000</v>
      </c>
      <c r="AU64">
        <v>10000000</v>
      </c>
      <c r="AV64">
        <v>2000000</v>
      </c>
      <c r="AY64">
        <v>5000000</v>
      </c>
      <c r="AZ64">
        <v>6000000</v>
      </c>
      <c r="BA64">
        <v>8000000</v>
      </c>
      <c r="BB64">
        <v>10000000</v>
      </c>
      <c r="BC64">
        <v>8000000</v>
      </c>
      <c r="BD64">
        <v>26000000</v>
      </c>
      <c r="BE64">
        <v>26000000</v>
      </c>
      <c r="BF64">
        <v>8000000</v>
      </c>
      <c r="BG64">
        <v>19000000</v>
      </c>
      <c r="BH64">
        <v>22000000</v>
      </c>
      <c r="BI64">
        <v>21000000</v>
      </c>
      <c r="BJ64">
        <v>13000000</v>
      </c>
      <c r="BK64">
        <v>25000000</v>
      </c>
      <c r="BL64">
        <v>2000000</v>
      </c>
      <c r="BN64">
        <v>29000000</v>
      </c>
      <c r="BO64">
        <v>83000000</v>
      </c>
      <c r="BP64">
        <v>46000000</v>
      </c>
      <c r="BQ64">
        <v>189000000</v>
      </c>
      <c r="BR64">
        <v>165000000</v>
      </c>
    </row>
    <row r="65" spans="1:70">
      <c r="A65" t="s">
        <v>127</v>
      </c>
      <c r="B65" t="s">
        <v>128</v>
      </c>
      <c r="C65" t="s">
        <v>541</v>
      </c>
      <c r="D65" t="s">
        <v>542</v>
      </c>
      <c r="BJ65">
        <v>4000000</v>
      </c>
      <c r="BO65">
        <v>0</v>
      </c>
    </row>
    <row r="66" spans="1:70">
      <c r="A66" t="s">
        <v>129</v>
      </c>
      <c r="B66" t="s">
        <v>130</v>
      </c>
      <c r="C66" t="s">
        <v>541</v>
      </c>
      <c r="D66" t="s">
        <v>542</v>
      </c>
      <c r="M66">
        <v>6000000</v>
      </c>
      <c r="Y66">
        <v>6000000</v>
      </c>
      <c r="AB66">
        <v>12000000</v>
      </c>
      <c r="AC66">
        <v>12000000</v>
      </c>
    </row>
    <row r="67" spans="1:70">
      <c r="A67" t="s">
        <v>131</v>
      </c>
      <c r="B67" t="s">
        <v>132</v>
      </c>
      <c r="C67" t="s">
        <v>541</v>
      </c>
      <c r="D67" t="s">
        <v>542</v>
      </c>
      <c r="E67">
        <v>285000000</v>
      </c>
      <c r="F67">
        <v>35000000</v>
      </c>
      <c r="G67">
        <v>47000000</v>
      </c>
      <c r="H67">
        <v>19000000</v>
      </c>
      <c r="I67">
        <v>75000000</v>
      </c>
      <c r="J67">
        <v>387000000</v>
      </c>
      <c r="K67">
        <v>628000000</v>
      </c>
      <c r="L67">
        <v>426000000</v>
      </c>
      <c r="M67">
        <v>746000000</v>
      </c>
      <c r="N67">
        <v>669000000</v>
      </c>
      <c r="O67">
        <v>917000000</v>
      </c>
      <c r="AN67">
        <v>1041000000</v>
      </c>
      <c r="AR67">
        <v>441000000</v>
      </c>
      <c r="AV67">
        <v>837000000</v>
      </c>
      <c r="AW67">
        <v>484000000</v>
      </c>
      <c r="AX67">
        <v>365000000</v>
      </c>
      <c r="AY67">
        <v>886000000</v>
      </c>
      <c r="AZ67">
        <v>539000000</v>
      </c>
      <c r="BA67">
        <v>614000000</v>
      </c>
      <c r="BB67">
        <v>1161000000</v>
      </c>
      <c r="BC67">
        <v>1538000000</v>
      </c>
      <c r="BD67">
        <v>1312000000</v>
      </c>
      <c r="BE67">
        <v>1499000000</v>
      </c>
      <c r="BF67">
        <v>2115000000</v>
      </c>
      <c r="BG67">
        <v>1369000000</v>
      </c>
      <c r="BH67">
        <v>1841000000</v>
      </c>
      <c r="BI67">
        <v>2567000000</v>
      </c>
      <c r="BJ67">
        <v>1741000000</v>
      </c>
      <c r="BK67">
        <v>1416000000</v>
      </c>
      <c r="BL67">
        <v>1613000000</v>
      </c>
      <c r="BM67">
        <v>645000000</v>
      </c>
      <c r="BN67">
        <v>1364000000</v>
      </c>
      <c r="BO67">
        <v>2323000000</v>
      </c>
      <c r="BP67">
        <v>2754000000</v>
      </c>
      <c r="BQ67">
        <v>1540000000</v>
      </c>
      <c r="BR67">
        <v>924000000</v>
      </c>
    </row>
    <row r="68" spans="1:70">
      <c r="A68" t="s">
        <v>133</v>
      </c>
      <c r="B68" t="s">
        <v>134</v>
      </c>
      <c r="C68" t="s">
        <v>541</v>
      </c>
      <c r="D68" t="s">
        <v>542</v>
      </c>
      <c r="E68">
        <v>27000000</v>
      </c>
      <c r="F68">
        <v>33000000</v>
      </c>
      <c r="L68">
        <v>106000000</v>
      </c>
      <c r="M68">
        <v>108000000</v>
      </c>
      <c r="N68">
        <v>92000000</v>
      </c>
      <c r="Q68">
        <v>178000000</v>
      </c>
    </row>
    <row r="69" spans="1:70">
      <c r="A69" t="s">
        <v>135</v>
      </c>
      <c r="B69" t="s">
        <v>136</v>
      </c>
      <c r="C69" t="s">
        <v>541</v>
      </c>
      <c r="D69" t="s">
        <v>542</v>
      </c>
      <c r="E69">
        <v>286000000</v>
      </c>
      <c r="F69">
        <v>98000000</v>
      </c>
      <c r="G69">
        <v>151000000</v>
      </c>
      <c r="H69">
        <v>27000000</v>
      </c>
      <c r="I69">
        <v>89000000</v>
      </c>
      <c r="L69">
        <v>439000000</v>
      </c>
      <c r="X69">
        <v>784000000</v>
      </c>
      <c r="AH69">
        <v>1331000000</v>
      </c>
      <c r="AI69">
        <v>1269000000</v>
      </c>
      <c r="AO69">
        <v>1003000000</v>
      </c>
      <c r="AP69">
        <v>581000000</v>
      </c>
      <c r="BI69">
        <v>3235000000</v>
      </c>
      <c r="BJ69">
        <v>2546000000</v>
      </c>
      <c r="BN69">
        <v>2150000000</v>
      </c>
      <c r="BP69">
        <v>3554000000</v>
      </c>
      <c r="BR69">
        <v>3163000000</v>
      </c>
    </row>
    <row r="70" spans="1:70">
      <c r="A70" t="s">
        <v>137</v>
      </c>
      <c r="B70" t="s">
        <v>138</v>
      </c>
      <c r="C70" t="s">
        <v>541</v>
      </c>
      <c r="D70" t="s">
        <v>542</v>
      </c>
      <c r="Y70">
        <v>23000000</v>
      </c>
      <c r="Z70">
        <v>11000000</v>
      </c>
      <c r="AN70">
        <v>249000000</v>
      </c>
      <c r="AO70">
        <v>387000000</v>
      </c>
      <c r="AP70">
        <v>1200000000</v>
      </c>
      <c r="AQ70">
        <v>782000000</v>
      </c>
      <c r="AR70">
        <v>1666000000</v>
      </c>
      <c r="AS70">
        <v>1831000000</v>
      </c>
      <c r="AT70">
        <v>684000000</v>
      </c>
      <c r="AU70">
        <v>557000000</v>
      </c>
      <c r="AV70">
        <v>773000000</v>
      </c>
      <c r="AW70">
        <v>393000000</v>
      </c>
      <c r="AX70">
        <v>400000000</v>
      </c>
      <c r="AY70">
        <v>751000000</v>
      </c>
      <c r="AZ70">
        <v>884000000</v>
      </c>
      <c r="BA70">
        <v>832000000</v>
      </c>
      <c r="BB70">
        <v>792000000</v>
      </c>
      <c r="BC70">
        <v>1017000000</v>
      </c>
      <c r="BD70">
        <v>1002000000</v>
      </c>
      <c r="BE70">
        <v>1758000000</v>
      </c>
      <c r="BF70">
        <v>1116000000</v>
      </c>
      <c r="BG70">
        <v>909000000</v>
      </c>
      <c r="BH70">
        <v>789000000</v>
      </c>
      <c r="BI70">
        <v>1038000000</v>
      </c>
      <c r="BJ70">
        <v>646000000</v>
      </c>
      <c r="BK70">
        <v>682000000</v>
      </c>
      <c r="BL70">
        <v>558000000</v>
      </c>
      <c r="BM70">
        <v>498000000</v>
      </c>
      <c r="BN70">
        <v>841000000</v>
      </c>
      <c r="BP70">
        <v>840000000</v>
      </c>
      <c r="BR70">
        <v>733000000</v>
      </c>
    </row>
    <row r="71" spans="1:70">
      <c r="A71" t="s">
        <v>139</v>
      </c>
      <c r="B71" t="s">
        <v>140</v>
      </c>
      <c r="C71" t="s">
        <v>541</v>
      </c>
      <c r="D71" t="s">
        <v>542</v>
      </c>
      <c r="E71">
        <v>3963000000</v>
      </c>
      <c r="F71">
        <v>3172000000</v>
      </c>
      <c r="G71">
        <v>3093000000</v>
      </c>
      <c r="H71">
        <v>3531000000</v>
      </c>
      <c r="I71">
        <v>4770000000</v>
      </c>
      <c r="J71">
        <v>4358000000</v>
      </c>
      <c r="K71">
        <v>5360000000</v>
      </c>
      <c r="L71">
        <v>5467000000</v>
      </c>
      <c r="M71">
        <v>4945000000</v>
      </c>
      <c r="N71">
        <v>5034000000</v>
      </c>
      <c r="O71">
        <v>5137000000</v>
      </c>
      <c r="P71">
        <v>7663000000</v>
      </c>
      <c r="Q71">
        <v>7722000000</v>
      </c>
      <c r="R71">
        <v>6833000000</v>
      </c>
      <c r="S71">
        <v>6686000000</v>
      </c>
      <c r="T71">
        <v>7976000000</v>
      </c>
      <c r="U71">
        <v>8224000000</v>
      </c>
      <c r="V71">
        <v>8655000000</v>
      </c>
      <c r="W71">
        <v>8901000000</v>
      </c>
      <c r="X71">
        <v>8884000000</v>
      </c>
      <c r="Y71">
        <v>10024000000</v>
      </c>
      <c r="Z71">
        <v>12066000000</v>
      </c>
      <c r="AA71">
        <v>11500000000</v>
      </c>
      <c r="AB71">
        <v>11091000000</v>
      </c>
      <c r="AC71">
        <v>11426000000</v>
      </c>
      <c r="AD71">
        <v>9687000000</v>
      </c>
      <c r="AE71">
        <v>8124000000</v>
      </c>
      <c r="AF71">
        <v>8557000000</v>
      </c>
      <c r="AG71">
        <v>8443000000</v>
      </c>
      <c r="AH71">
        <v>9089000000</v>
      </c>
      <c r="AI71">
        <v>7217000000</v>
      </c>
      <c r="AJ71">
        <v>6990000000</v>
      </c>
      <c r="AK71">
        <v>8235000000</v>
      </c>
      <c r="AL71">
        <v>9413000000</v>
      </c>
      <c r="AM71">
        <v>9468000000</v>
      </c>
      <c r="AN71">
        <v>9926000000</v>
      </c>
      <c r="AO71">
        <v>11289000000</v>
      </c>
      <c r="AP71">
        <v>13327000000</v>
      </c>
      <c r="AQ71">
        <v>11188000000</v>
      </c>
      <c r="AR71">
        <v>13088000000</v>
      </c>
      <c r="AS71">
        <v>11901000000</v>
      </c>
      <c r="AT71">
        <v>11383000000</v>
      </c>
      <c r="AU71">
        <v>11162000000</v>
      </c>
      <c r="AV71">
        <v>11668000000</v>
      </c>
      <c r="AW71">
        <v>12565000000</v>
      </c>
      <c r="AX71">
        <v>13079000000</v>
      </c>
      <c r="AY71">
        <v>14825000000</v>
      </c>
      <c r="AZ71">
        <v>16544000000</v>
      </c>
      <c r="BA71">
        <v>15106000000</v>
      </c>
      <c r="BB71">
        <v>14299000000</v>
      </c>
      <c r="BC71">
        <v>14002000000</v>
      </c>
      <c r="BD71">
        <v>17938000000</v>
      </c>
      <c r="BE71">
        <v>15958000000</v>
      </c>
      <c r="BF71">
        <v>16194000000</v>
      </c>
      <c r="BG71">
        <v>14916000000</v>
      </c>
      <c r="BH71">
        <v>15059000000</v>
      </c>
      <c r="BI71">
        <v>16524000000</v>
      </c>
      <c r="BJ71">
        <v>15643000000</v>
      </c>
      <c r="BK71">
        <v>13921000000</v>
      </c>
      <c r="BL71">
        <v>13048000000</v>
      </c>
      <c r="BM71">
        <v>11175000000</v>
      </c>
      <c r="BN71">
        <v>11929000000</v>
      </c>
      <c r="BO71">
        <v>14609000000</v>
      </c>
      <c r="BP71">
        <v>12816000000</v>
      </c>
      <c r="BQ71">
        <v>12104000000</v>
      </c>
      <c r="BR71">
        <v>12815000000</v>
      </c>
    </row>
    <row r="72" spans="1:70">
      <c r="A72" t="s">
        <v>141</v>
      </c>
      <c r="B72" t="s">
        <v>142</v>
      </c>
      <c r="C72" t="s">
        <v>541</v>
      </c>
      <c r="D72" t="s">
        <v>542</v>
      </c>
      <c r="BG72">
        <v>6000000</v>
      </c>
      <c r="BK72">
        <v>2000000</v>
      </c>
    </row>
    <row r="73" spans="1:70">
      <c r="A73" t="s">
        <v>143</v>
      </c>
      <c r="B73" t="s">
        <v>144</v>
      </c>
      <c r="C73" t="s">
        <v>541</v>
      </c>
      <c r="D73" t="s">
        <v>542</v>
      </c>
      <c r="E73">
        <v>0</v>
      </c>
      <c r="F73">
        <v>0</v>
      </c>
      <c r="G73">
        <v>7000000</v>
      </c>
      <c r="H73">
        <v>8000000</v>
      </c>
      <c r="I73">
        <v>1000000</v>
      </c>
      <c r="K73">
        <v>14000000</v>
      </c>
      <c r="L73">
        <v>15000000</v>
      </c>
      <c r="M73">
        <v>26000000</v>
      </c>
      <c r="N73">
        <v>15000000</v>
      </c>
      <c r="O73">
        <v>39000000</v>
      </c>
      <c r="T73">
        <v>16000000</v>
      </c>
      <c r="V73">
        <v>51000000</v>
      </c>
      <c r="W73">
        <v>78000000</v>
      </c>
      <c r="X73">
        <v>32000000</v>
      </c>
      <c r="Y73">
        <v>29000000</v>
      </c>
      <c r="Z73">
        <v>71000000</v>
      </c>
      <c r="AA73">
        <v>81000000</v>
      </c>
      <c r="AB73">
        <v>71000000</v>
      </c>
      <c r="AC73">
        <v>37000000</v>
      </c>
      <c r="AD73">
        <v>5000000</v>
      </c>
      <c r="AE73">
        <v>19000000</v>
      </c>
      <c r="AF73">
        <v>76000000</v>
      </c>
      <c r="AG73">
        <v>81000000</v>
      </c>
      <c r="AH73">
        <v>81000000</v>
      </c>
      <c r="AI73">
        <v>25000000</v>
      </c>
      <c r="AK73">
        <v>15000000</v>
      </c>
      <c r="AL73">
        <v>28000000</v>
      </c>
      <c r="AM73">
        <v>17000000</v>
      </c>
      <c r="AN73">
        <v>12000000</v>
      </c>
      <c r="AO73">
        <v>5000000</v>
      </c>
      <c r="AP73">
        <v>5000000</v>
      </c>
      <c r="BG73">
        <v>7000000</v>
      </c>
      <c r="BH73">
        <v>21000000</v>
      </c>
      <c r="BL73">
        <v>8000000</v>
      </c>
      <c r="BN73">
        <v>41000000</v>
      </c>
      <c r="BO73">
        <v>41000000</v>
      </c>
      <c r="BP73">
        <v>4000000</v>
      </c>
      <c r="BQ73">
        <v>2000000</v>
      </c>
    </row>
    <row r="74" spans="1:70">
      <c r="A74" t="s">
        <v>145</v>
      </c>
      <c r="B74" t="s">
        <v>146</v>
      </c>
      <c r="C74" t="s">
        <v>541</v>
      </c>
      <c r="D74" t="s">
        <v>542</v>
      </c>
      <c r="E74">
        <v>1245000000</v>
      </c>
      <c r="F74">
        <v>1232000000</v>
      </c>
      <c r="G74">
        <v>1406000000</v>
      </c>
      <c r="H74">
        <v>1757000000</v>
      </c>
      <c r="I74">
        <v>2510000000</v>
      </c>
      <c r="J74">
        <v>2033000000</v>
      </c>
      <c r="K74">
        <v>3099000000</v>
      </c>
      <c r="L74">
        <v>2653000000</v>
      </c>
      <c r="M74">
        <v>2692000000</v>
      </c>
      <c r="N74">
        <v>2886000000</v>
      </c>
      <c r="O74">
        <v>3711000000</v>
      </c>
      <c r="P74">
        <v>4440000000</v>
      </c>
      <c r="Q74">
        <v>4518000000</v>
      </c>
      <c r="R74">
        <v>3751000000</v>
      </c>
      <c r="S74">
        <v>4015000000</v>
      </c>
      <c r="T74">
        <v>4841000000</v>
      </c>
      <c r="U74">
        <v>4578000000</v>
      </c>
      <c r="V74">
        <v>5636000000</v>
      </c>
      <c r="W74">
        <v>5962000000</v>
      </c>
      <c r="X74">
        <v>6166000000</v>
      </c>
      <c r="Y74">
        <v>7289000000</v>
      </c>
      <c r="Z74">
        <v>8315000000</v>
      </c>
      <c r="AA74">
        <v>8014000000</v>
      </c>
      <c r="AB74">
        <v>7715000000</v>
      </c>
      <c r="AC74">
        <v>7876000000</v>
      </c>
      <c r="AD74">
        <v>6711000000</v>
      </c>
      <c r="AE74">
        <v>5156000000</v>
      </c>
      <c r="AF74">
        <v>3975000000</v>
      </c>
      <c r="AG74">
        <v>4675000000</v>
      </c>
      <c r="AH74">
        <v>4695000000</v>
      </c>
      <c r="AI74">
        <v>4390000000</v>
      </c>
      <c r="AJ74">
        <v>4568000000</v>
      </c>
      <c r="AK74">
        <v>3569000000</v>
      </c>
      <c r="AL74">
        <v>3659000000</v>
      </c>
      <c r="AM74">
        <v>5054000000</v>
      </c>
      <c r="AN74">
        <v>3628000000</v>
      </c>
      <c r="AO74">
        <v>4897000000</v>
      </c>
      <c r="AP74">
        <v>5992000000</v>
      </c>
      <c r="AQ74">
        <v>6329000000</v>
      </c>
      <c r="AR74">
        <v>4940000000</v>
      </c>
      <c r="AS74">
        <v>3307000000</v>
      </c>
      <c r="AT74">
        <v>2785000000</v>
      </c>
      <c r="AU74">
        <v>3212000000</v>
      </c>
      <c r="AV74">
        <v>3872000000</v>
      </c>
      <c r="AW74">
        <v>3900000000</v>
      </c>
      <c r="AX74">
        <v>5499000000</v>
      </c>
      <c r="AY74">
        <v>6878000000</v>
      </c>
      <c r="AZ74">
        <v>8236000000</v>
      </c>
      <c r="BA74">
        <v>6255000000</v>
      </c>
      <c r="BB74">
        <v>6519000000</v>
      </c>
      <c r="BC74">
        <v>4673000000</v>
      </c>
      <c r="BD74">
        <v>6029000000</v>
      </c>
      <c r="BE74">
        <v>4242000000</v>
      </c>
      <c r="BF74">
        <v>4536000000</v>
      </c>
      <c r="BG74">
        <v>6088000000</v>
      </c>
      <c r="BH74">
        <v>6332000000</v>
      </c>
      <c r="BI74">
        <v>6659000000</v>
      </c>
      <c r="BJ74">
        <v>7040000000</v>
      </c>
      <c r="BK74">
        <v>4834000000</v>
      </c>
      <c r="BL74">
        <v>5829000000</v>
      </c>
      <c r="BM74">
        <v>5871000000</v>
      </c>
      <c r="BN74">
        <v>7567000000</v>
      </c>
      <c r="BO74">
        <v>8135000000</v>
      </c>
      <c r="BP74">
        <v>7644000000</v>
      </c>
      <c r="BQ74">
        <v>7045000000</v>
      </c>
      <c r="BR74">
        <v>8167000000</v>
      </c>
    </row>
    <row r="75" spans="1:70">
      <c r="A75" t="s">
        <v>147</v>
      </c>
      <c r="B75" t="s">
        <v>148</v>
      </c>
      <c r="C75" t="s">
        <v>541</v>
      </c>
      <c r="D75" t="s">
        <v>542</v>
      </c>
      <c r="AQ75">
        <v>2000000</v>
      </c>
      <c r="AR75">
        <v>0</v>
      </c>
      <c r="AY75">
        <v>0</v>
      </c>
    </row>
    <row r="76" spans="1:70">
      <c r="A76" t="s">
        <v>149</v>
      </c>
      <c r="B76" t="s">
        <v>150</v>
      </c>
      <c r="C76" t="s">
        <v>541</v>
      </c>
      <c r="D76" t="s">
        <v>542</v>
      </c>
      <c r="E76">
        <v>2000000</v>
      </c>
      <c r="F76">
        <v>8000000</v>
      </c>
      <c r="G76">
        <v>10000000</v>
      </c>
      <c r="H76">
        <v>10000000</v>
      </c>
      <c r="I76">
        <v>12000000</v>
      </c>
      <c r="J76">
        <v>33000000</v>
      </c>
      <c r="K76">
        <v>26000000</v>
      </c>
      <c r="L76">
        <v>12000000</v>
      </c>
      <c r="M76">
        <v>12000000</v>
      </c>
      <c r="N76">
        <v>10000000</v>
      </c>
      <c r="O76">
        <v>70000000</v>
      </c>
      <c r="P76">
        <v>140000000</v>
      </c>
      <c r="Q76">
        <v>18000000</v>
      </c>
      <c r="R76">
        <v>18000000</v>
      </c>
      <c r="S76">
        <v>82000000</v>
      </c>
      <c r="T76">
        <v>272000000</v>
      </c>
      <c r="U76">
        <v>46000000</v>
      </c>
      <c r="V76">
        <v>25000000</v>
      </c>
      <c r="W76">
        <v>38000000</v>
      </c>
      <c r="X76">
        <v>18000000</v>
      </c>
      <c r="Y76">
        <v>10000000</v>
      </c>
      <c r="Z76">
        <v>135000000</v>
      </c>
      <c r="AA76">
        <v>263000000</v>
      </c>
      <c r="AB76">
        <v>367000000</v>
      </c>
      <c r="AC76">
        <v>244000000</v>
      </c>
      <c r="AD76">
        <v>92000000</v>
      </c>
      <c r="AE76">
        <v>197000000</v>
      </c>
      <c r="AF76">
        <v>152000000</v>
      </c>
      <c r="AG76">
        <v>136000000</v>
      </c>
      <c r="AH76">
        <v>167000000</v>
      </c>
      <c r="AI76">
        <v>116000000</v>
      </c>
      <c r="AJ76">
        <v>103000000</v>
      </c>
      <c r="AK76">
        <v>70000000</v>
      </c>
      <c r="AL76">
        <v>103000000</v>
      </c>
      <c r="AM76">
        <v>253000000</v>
      </c>
      <c r="AN76">
        <v>88000000</v>
      </c>
      <c r="AO76">
        <v>112000000</v>
      </c>
      <c r="AP76">
        <v>605000000</v>
      </c>
      <c r="AQ76">
        <v>174000000</v>
      </c>
      <c r="AR76">
        <v>46000000</v>
      </c>
      <c r="AS76">
        <v>47000000</v>
      </c>
      <c r="AT76">
        <v>8000000</v>
      </c>
      <c r="AU76">
        <v>18000000</v>
      </c>
      <c r="AV76">
        <v>99000000</v>
      </c>
      <c r="AW76">
        <v>54000000</v>
      </c>
      <c r="AX76">
        <v>113000000</v>
      </c>
      <c r="AY76">
        <v>898000000</v>
      </c>
      <c r="AZ76">
        <v>628000000</v>
      </c>
      <c r="BA76">
        <v>626000000</v>
      </c>
      <c r="BB76">
        <v>984000000</v>
      </c>
      <c r="BC76">
        <v>273000000</v>
      </c>
      <c r="BD76">
        <v>997000000</v>
      </c>
      <c r="BE76">
        <v>266000000</v>
      </c>
      <c r="BF76">
        <v>450000000</v>
      </c>
      <c r="BG76">
        <v>962000000</v>
      </c>
      <c r="BH76">
        <v>982000000</v>
      </c>
      <c r="BI76">
        <v>481000000</v>
      </c>
      <c r="BJ76">
        <v>820000000</v>
      </c>
      <c r="BK76">
        <v>705000000</v>
      </c>
      <c r="BL76">
        <v>318000000</v>
      </c>
      <c r="BM76">
        <v>1005000000</v>
      </c>
      <c r="BN76">
        <v>676000000</v>
      </c>
      <c r="BO76">
        <v>1014000000</v>
      </c>
      <c r="BP76">
        <v>912000000</v>
      </c>
      <c r="BQ76">
        <v>606000000</v>
      </c>
      <c r="BR76">
        <v>341000000</v>
      </c>
    </row>
    <row r="77" spans="1:70">
      <c r="A77" t="s">
        <v>151</v>
      </c>
      <c r="B77" t="s">
        <v>152</v>
      </c>
      <c r="C77" t="s">
        <v>541</v>
      </c>
      <c r="D77" t="s">
        <v>542</v>
      </c>
      <c r="AO77">
        <v>8000000</v>
      </c>
      <c r="BH77">
        <v>1000000</v>
      </c>
      <c r="BO77">
        <v>9000000</v>
      </c>
      <c r="BP77">
        <v>13000000</v>
      </c>
      <c r="BQ77">
        <v>2000000</v>
      </c>
    </row>
    <row r="78" spans="1:70">
      <c r="A78" t="s">
        <v>153</v>
      </c>
      <c r="B78" t="s">
        <v>154</v>
      </c>
      <c r="C78" t="s">
        <v>541</v>
      </c>
      <c r="D78" t="s">
        <v>542</v>
      </c>
      <c r="AD78">
        <v>35000000</v>
      </c>
      <c r="AF78">
        <v>51000000</v>
      </c>
      <c r="AP78">
        <v>17000000</v>
      </c>
    </row>
    <row r="79" spans="1:70">
      <c r="A79" t="s">
        <v>155</v>
      </c>
      <c r="B79" t="s">
        <v>156</v>
      </c>
      <c r="C79" t="s">
        <v>541</v>
      </c>
      <c r="D79" t="s">
        <v>542</v>
      </c>
      <c r="E79">
        <v>1303000000</v>
      </c>
      <c r="F79">
        <v>1278000000</v>
      </c>
      <c r="G79">
        <v>1457000000</v>
      </c>
      <c r="H79">
        <v>1881000000</v>
      </c>
      <c r="I79">
        <v>2829000000</v>
      </c>
      <c r="J79">
        <v>2311000000</v>
      </c>
      <c r="K79">
        <v>3492000000</v>
      </c>
      <c r="L79">
        <v>3163000000</v>
      </c>
      <c r="M79">
        <v>3101000000</v>
      </c>
      <c r="N79">
        <v>3273000000</v>
      </c>
      <c r="O79">
        <v>4137000000</v>
      </c>
      <c r="P79">
        <v>5271000000</v>
      </c>
      <c r="Q79">
        <v>4975000000</v>
      </c>
      <c r="R79">
        <v>3978000000</v>
      </c>
      <c r="S79">
        <v>4348000000</v>
      </c>
      <c r="T79">
        <v>5258000000</v>
      </c>
      <c r="U79">
        <v>5104000000</v>
      </c>
      <c r="V79">
        <v>6115000000</v>
      </c>
      <c r="W79">
        <v>6385000000</v>
      </c>
      <c r="X79">
        <v>6718000000</v>
      </c>
      <c r="Y79">
        <v>7748000000</v>
      </c>
      <c r="Z79">
        <v>8902000000</v>
      </c>
      <c r="AA79">
        <v>8523000000</v>
      </c>
      <c r="AB79">
        <v>8188000000</v>
      </c>
      <c r="AC79">
        <v>8368000000</v>
      </c>
      <c r="AD79">
        <v>7156000000</v>
      </c>
      <c r="AE79">
        <v>5770000000</v>
      </c>
      <c r="AF79">
        <v>4581000000</v>
      </c>
      <c r="AG79">
        <v>5507000000</v>
      </c>
      <c r="AH79">
        <v>5141000000</v>
      </c>
      <c r="AI79">
        <v>4813000000</v>
      </c>
      <c r="AJ79">
        <v>4791000000</v>
      </c>
      <c r="AK79">
        <v>3788000000</v>
      </c>
      <c r="AL79">
        <v>4180000000</v>
      </c>
      <c r="AM79">
        <v>5914000000</v>
      </c>
      <c r="AN79">
        <v>4230000000</v>
      </c>
      <c r="AO79">
        <v>5439000000</v>
      </c>
      <c r="AP79">
        <v>6175000000</v>
      </c>
      <c r="AQ79">
        <v>6685000000</v>
      </c>
      <c r="AR79">
        <v>5468000000</v>
      </c>
      <c r="AS79">
        <v>3813000000</v>
      </c>
      <c r="AT79">
        <v>3847000000</v>
      </c>
      <c r="AU79">
        <v>3536000000</v>
      </c>
      <c r="AV79">
        <v>4562000000</v>
      </c>
      <c r="AW79">
        <v>4246000000</v>
      </c>
      <c r="AX79">
        <v>6210000000</v>
      </c>
      <c r="AY79">
        <v>7601000000</v>
      </c>
      <c r="AZ79">
        <v>8812000000</v>
      </c>
      <c r="BA79">
        <v>6831000000</v>
      </c>
      <c r="BB79">
        <v>7019000000</v>
      </c>
      <c r="BC79">
        <v>5327000000</v>
      </c>
      <c r="BD79">
        <v>6731000000</v>
      </c>
      <c r="BE79">
        <v>4743000000</v>
      </c>
      <c r="BF79">
        <v>5372000000</v>
      </c>
      <c r="BG79">
        <v>6506000000</v>
      </c>
      <c r="BH79">
        <v>6685000000</v>
      </c>
      <c r="BI79">
        <v>7086000000</v>
      </c>
      <c r="BJ79">
        <v>7225000000</v>
      </c>
      <c r="BK79">
        <v>5097000000</v>
      </c>
      <c r="BL79">
        <v>5981000000</v>
      </c>
      <c r="BM79">
        <v>6160000000</v>
      </c>
      <c r="BN79">
        <v>7843000000</v>
      </c>
      <c r="BO79">
        <v>9177000000</v>
      </c>
      <c r="BP79">
        <v>8753000000</v>
      </c>
      <c r="BQ79">
        <v>8107000000</v>
      </c>
      <c r="BR79">
        <v>8895000000</v>
      </c>
    </row>
    <row r="80" spans="1:70">
      <c r="A80" t="s">
        <v>157</v>
      </c>
      <c r="B80" t="s">
        <v>158</v>
      </c>
      <c r="C80" t="s">
        <v>541</v>
      </c>
      <c r="D80" t="s">
        <v>542</v>
      </c>
      <c r="E80">
        <v>3000000</v>
      </c>
      <c r="G80">
        <v>3000000</v>
      </c>
      <c r="L80">
        <v>30000000</v>
      </c>
      <c r="O80">
        <v>40000000</v>
      </c>
      <c r="P80">
        <v>6000000</v>
      </c>
      <c r="Q80">
        <v>106000000</v>
      </c>
      <c r="AA80">
        <v>348000000</v>
      </c>
      <c r="AB80">
        <v>111000000</v>
      </c>
      <c r="AH80">
        <v>30000000</v>
      </c>
      <c r="AI80">
        <v>39000000</v>
      </c>
      <c r="AO80">
        <v>226000000</v>
      </c>
      <c r="AP80">
        <v>615000000</v>
      </c>
      <c r="AS80">
        <v>1424000000</v>
      </c>
    </row>
    <row r="81" spans="1:70">
      <c r="A81" t="s">
        <v>159</v>
      </c>
      <c r="B81" t="s">
        <v>160</v>
      </c>
      <c r="C81" t="s">
        <v>541</v>
      </c>
      <c r="D81" t="s">
        <v>542</v>
      </c>
      <c r="E81">
        <v>75000000</v>
      </c>
      <c r="F81">
        <v>5000000</v>
      </c>
      <c r="G81">
        <v>5000000</v>
      </c>
      <c r="J81">
        <v>3000000</v>
      </c>
      <c r="K81">
        <v>67000000</v>
      </c>
      <c r="L81">
        <v>39000000</v>
      </c>
      <c r="M81">
        <v>39000000</v>
      </c>
      <c r="N81">
        <v>39000000</v>
      </c>
      <c r="O81">
        <v>37000000</v>
      </c>
      <c r="P81">
        <v>40000000</v>
      </c>
      <c r="Q81">
        <v>30000000</v>
      </c>
      <c r="S81">
        <v>63000000</v>
      </c>
      <c r="T81">
        <v>63000000</v>
      </c>
      <c r="W81">
        <v>63000000</v>
      </c>
      <c r="X81">
        <v>63000000</v>
      </c>
      <c r="AA81">
        <v>15000000</v>
      </c>
      <c r="AG81">
        <v>1000000</v>
      </c>
      <c r="AJ81">
        <v>18000000</v>
      </c>
      <c r="AK81">
        <v>9000000</v>
      </c>
      <c r="AL81">
        <v>12000000</v>
      </c>
      <c r="AM81">
        <v>20000000</v>
      </c>
      <c r="AN81">
        <v>25000000</v>
      </c>
      <c r="AO81">
        <v>3000000</v>
      </c>
      <c r="AP81">
        <v>1000000</v>
      </c>
      <c r="AQ81">
        <v>17000000</v>
      </c>
      <c r="AR81">
        <v>18000000</v>
      </c>
      <c r="AS81">
        <v>12000000</v>
      </c>
      <c r="AT81">
        <v>29000000</v>
      </c>
      <c r="AU81">
        <v>35000000</v>
      </c>
      <c r="AV81">
        <v>35000000</v>
      </c>
      <c r="AW81">
        <v>28000000</v>
      </c>
      <c r="AX81">
        <v>41000000</v>
      </c>
      <c r="AY81">
        <v>124000000</v>
      </c>
      <c r="AZ81">
        <v>63000000</v>
      </c>
      <c r="BA81">
        <v>100000000</v>
      </c>
      <c r="BB81">
        <v>68000000</v>
      </c>
      <c r="BC81">
        <v>73000000</v>
      </c>
      <c r="BD81">
        <v>70000000</v>
      </c>
      <c r="BE81">
        <v>105000000</v>
      </c>
      <c r="BF81">
        <v>76000000</v>
      </c>
      <c r="BG81">
        <v>104000000</v>
      </c>
      <c r="BH81">
        <v>29000000</v>
      </c>
      <c r="BI81">
        <v>61000000</v>
      </c>
      <c r="BJ81">
        <v>32000000</v>
      </c>
      <c r="BK81">
        <v>43000000</v>
      </c>
      <c r="BL81">
        <v>29000000</v>
      </c>
      <c r="BM81">
        <v>16000000</v>
      </c>
      <c r="BN81">
        <v>18000000</v>
      </c>
      <c r="BO81">
        <v>42000000</v>
      </c>
      <c r="BP81">
        <v>51000000</v>
      </c>
      <c r="BQ81">
        <v>20000000</v>
      </c>
      <c r="BR81">
        <v>115000000</v>
      </c>
    </row>
    <row r="82" spans="1:70">
      <c r="A82" t="s">
        <v>161</v>
      </c>
      <c r="B82" t="s">
        <v>162</v>
      </c>
      <c r="C82" t="s">
        <v>541</v>
      </c>
      <c r="D82" t="s">
        <v>542</v>
      </c>
      <c r="AC82">
        <v>10000000</v>
      </c>
    </row>
    <row r="83" spans="1:70">
      <c r="A83" t="s">
        <v>163</v>
      </c>
      <c r="B83" t="s">
        <v>164</v>
      </c>
      <c r="C83" t="s">
        <v>541</v>
      </c>
      <c r="D83" t="s">
        <v>542</v>
      </c>
      <c r="E83">
        <v>866000000</v>
      </c>
      <c r="F83">
        <v>856000000</v>
      </c>
      <c r="G83">
        <v>912000000</v>
      </c>
      <c r="H83">
        <v>1330000000</v>
      </c>
      <c r="I83">
        <v>1574000000</v>
      </c>
      <c r="J83">
        <v>1333000000</v>
      </c>
      <c r="K83">
        <v>1896000000</v>
      </c>
      <c r="L83">
        <v>1602000000</v>
      </c>
      <c r="M83">
        <v>1504000000</v>
      </c>
      <c r="N83">
        <v>1518000000</v>
      </c>
      <c r="O83">
        <v>1735000000</v>
      </c>
      <c r="P83">
        <v>2363000000</v>
      </c>
      <c r="Q83">
        <v>2694000000</v>
      </c>
      <c r="R83">
        <v>2974000000</v>
      </c>
      <c r="S83">
        <v>2180000000</v>
      </c>
      <c r="T83">
        <v>2321000000</v>
      </c>
      <c r="U83">
        <v>2039000000</v>
      </c>
      <c r="V83">
        <v>2737000000</v>
      </c>
      <c r="W83">
        <v>3317000000</v>
      </c>
      <c r="X83">
        <v>2970000000</v>
      </c>
      <c r="Y83">
        <v>3851000000</v>
      </c>
      <c r="Z83">
        <v>3683000000</v>
      </c>
      <c r="AA83">
        <v>3789000000</v>
      </c>
      <c r="AB83">
        <v>3414000000</v>
      </c>
      <c r="AC83">
        <v>2932000000</v>
      </c>
      <c r="AD83">
        <v>3992000000</v>
      </c>
      <c r="AE83">
        <v>2962000000</v>
      </c>
      <c r="AF83">
        <v>1752000000</v>
      </c>
      <c r="AG83">
        <v>1960000000</v>
      </c>
      <c r="AH83">
        <v>2269000000</v>
      </c>
      <c r="AI83">
        <v>1799000000</v>
      </c>
      <c r="AJ83">
        <v>1166000000</v>
      </c>
      <c r="AK83">
        <v>1246000000</v>
      </c>
      <c r="AL83">
        <v>971000000</v>
      </c>
      <c r="AM83">
        <v>858000000</v>
      </c>
      <c r="AN83">
        <v>969000000</v>
      </c>
      <c r="AO83">
        <v>1839000000</v>
      </c>
      <c r="AP83">
        <v>3176000000</v>
      </c>
      <c r="AQ83">
        <v>3098000000</v>
      </c>
      <c r="AR83">
        <v>1683000000</v>
      </c>
      <c r="AS83">
        <v>966000000</v>
      </c>
      <c r="AT83">
        <v>1311000000</v>
      </c>
      <c r="AU83">
        <v>1375000000</v>
      </c>
      <c r="AV83">
        <v>1348000000</v>
      </c>
      <c r="AW83">
        <v>2117000000</v>
      </c>
      <c r="AX83">
        <v>1645000000</v>
      </c>
      <c r="AY83">
        <v>1484000000</v>
      </c>
      <c r="AZ83">
        <v>2145000000</v>
      </c>
      <c r="BA83">
        <v>1872000000</v>
      </c>
      <c r="BB83">
        <v>1845000000</v>
      </c>
      <c r="BC83">
        <v>888000000</v>
      </c>
      <c r="BD83">
        <v>2079000000</v>
      </c>
      <c r="BE83">
        <v>1338000000</v>
      </c>
      <c r="BF83">
        <v>1870000000</v>
      </c>
      <c r="BG83">
        <v>1763000000</v>
      </c>
      <c r="BH83">
        <v>2229000000</v>
      </c>
      <c r="BI83">
        <v>2193000000</v>
      </c>
      <c r="BJ83">
        <v>2336000000</v>
      </c>
      <c r="BK83">
        <v>1867000000</v>
      </c>
      <c r="BL83">
        <v>3753000000</v>
      </c>
      <c r="BM83">
        <v>2290000000</v>
      </c>
      <c r="BN83">
        <v>3904000000</v>
      </c>
      <c r="BO83">
        <v>3156000000</v>
      </c>
      <c r="BP83">
        <v>2175000000</v>
      </c>
      <c r="BQ83">
        <v>2472000000</v>
      </c>
      <c r="BR83">
        <v>3367000000</v>
      </c>
    </row>
    <row r="84" spans="1:70">
      <c r="A84" t="s">
        <v>165</v>
      </c>
      <c r="B84" t="s">
        <v>166</v>
      </c>
      <c r="C84" t="s">
        <v>541</v>
      </c>
      <c r="D84" t="s">
        <v>542</v>
      </c>
    </row>
    <row r="85" spans="1:70">
      <c r="A85" t="s">
        <v>167</v>
      </c>
      <c r="B85" t="s">
        <v>168</v>
      </c>
      <c r="C85" t="s">
        <v>541</v>
      </c>
      <c r="D85" t="s">
        <v>542</v>
      </c>
    </row>
    <row r="86" spans="1:70">
      <c r="A86" t="s">
        <v>169</v>
      </c>
      <c r="B86" t="s">
        <v>170</v>
      </c>
      <c r="C86" t="s">
        <v>541</v>
      </c>
      <c r="D86" t="s">
        <v>542</v>
      </c>
      <c r="R86">
        <v>1000000</v>
      </c>
    </row>
    <row r="87" spans="1:70">
      <c r="A87" t="s">
        <v>171</v>
      </c>
      <c r="B87" t="s">
        <v>172</v>
      </c>
      <c r="C87" t="s">
        <v>541</v>
      </c>
      <c r="D87" t="s">
        <v>542</v>
      </c>
      <c r="E87">
        <v>2187000000</v>
      </c>
      <c r="F87">
        <v>1401000000</v>
      </c>
      <c r="G87">
        <v>1065000000</v>
      </c>
      <c r="H87">
        <v>1244000000</v>
      </c>
      <c r="I87">
        <v>1408000000</v>
      </c>
      <c r="J87">
        <v>1498000000</v>
      </c>
      <c r="K87">
        <v>1421000000</v>
      </c>
      <c r="L87">
        <v>1879000000</v>
      </c>
      <c r="M87">
        <v>1679000000</v>
      </c>
      <c r="N87">
        <v>1615000000</v>
      </c>
      <c r="O87">
        <v>982000000</v>
      </c>
      <c r="P87">
        <v>2346000000</v>
      </c>
      <c r="Q87">
        <v>2684000000</v>
      </c>
      <c r="R87">
        <v>2791000000</v>
      </c>
      <c r="S87">
        <v>2249000000</v>
      </c>
      <c r="T87">
        <v>2228000000</v>
      </c>
      <c r="U87">
        <v>2522000000</v>
      </c>
      <c r="V87">
        <v>2195000000</v>
      </c>
      <c r="W87">
        <v>2206000000</v>
      </c>
      <c r="X87">
        <v>1543000000</v>
      </c>
      <c r="Y87">
        <v>1566000000</v>
      </c>
      <c r="Z87">
        <v>2356000000</v>
      </c>
      <c r="AA87">
        <v>2515000000</v>
      </c>
      <c r="AB87">
        <v>2537000000</v>
      </c>
      <c r="AC87">
        <v>2529000000</v>
      </c>
      <c r="AD87">
        <v>2142000000</v>
      </c>
      <c r="AE87">
        <v>1985000000</v>
      </c>
      <c r="AF87">
        <v>3603000000</v>
      </c>
      <c r="AG87">
        <v>2527000000</v>
      </c>
      <c r="AH87">
        <v>3503000000</v>
      </c>
      <c r="AI87">
        <v>1844000000</v>
      </c>
      <c r="AJ87">
        <v>1525000000</v>
      </c>
      <c r="AK87">
        <v>1093000000</v>
      </c>
      <c r="AL87">
        <v>1381000000</v>
      </c>
      <c r="AM87">
        <v>1526000000</v>
      </c>
      <c r="AN87">
        <v>1460000000</v>
      </c>
      <c r="AO87">
        <v>1616000000</v>
      </c>
      <c r="AP87">
        <v>2363000000</v>
      </c>
      <c r="AQ87">
        <v>1400000000</v>
      </c>
      <c r="AR87">
        <v>1315000000</v>
      </c>
      <c r="AS87">
        <v>1619000000</v>
      </c>
      <c r="AT87">
        <v>1352000000</v>
      </c>
      <c r="AU87">
        <v>1078000000</v>
      </c>
      <c r="AV87">
        <v>769000000</v>
      </c>
      <c r="AW87">
        <v>1231000000</v>
      </c>
      <c r="AX87">
        <v>990000000</v>
      </c>
      <c r="AY87">
        <v>957000000</v>
      </c>
      <c r="AZ87">
        <v>924000000</v>
      </c>
      <c r="BA87">
        <v>931000000</v>
      </c>
      <c r="BB87">
        <v>1071000000</v>
      </c>
      <c r="BC87">
        <v>1146000000</v>
      </c>
      <c r="BD87">
        <v>1001000000</v>
      </c>
      <c r="BE87">
        <v>813000000</v>
      </c>
      <c r="BF87">
        <v>1509000000</v>
      </c>
      <c r="BG87">
        <v>1658000000</v>
      </c>
      <c r="BH87">
        <v>1183000000</v>
      </c>
      <c r="BI87">
        <v>1344000000</v>
      </c>
      <c r="BJ87">
        <v>1104000000</v>
      </c>
      <c r="BK87">
        <v>682000000</v>
      </c>
      <c r="BL87">
        <v>886000000</v>
      </c>
      <c r="BM87">
        <v>652000000</v>
      </c>
      <c r="BN87">
        <v>639000000</v>
      </c>
      <c r="BO87">
        <v>1740000000</v>
      </c>
      <c r="BP87">
        <v>1320000000</v>
      </c>
      <c r="BQ87">
        <v>884000000</v>
      </c>
      <c r="BR87">
        <v>702000000</v>
      </c>
    </row>
    <row r="88" spans="1:70">
      <c r="A88" t="s">
        <v>173</v>
      </c>
      <c r="B88" t="s">
        <v>174</v>
      </c>
      <c r="C88" t="s">
        <v>541</v>
      </c>
      <c r="D88" t="s">
        <v>542</v>
      </c>
      <c r="AR88">
        <v>46000000</v>
      </c>
      <c r="AS88">
        <v>69000000</v>
      </c>
      <c r="AU88">
        <v>69000000</v>
      </c>
      <c r="AW88">
        <v>16000000</v>
      </c>
      <c r="BI88">
        <v>6000000</v>
      </c>
      <c r="BJ88">
        <v>7000000</v>
      </c>
    </row>
    <row r="89" spans="1:70">
      <c r="A89" t="s">
        <v>175</v>
      </c>
      <c r="B89" t="s">
        <v>176</v>
      </c>
      <c r="C89" t="s">
        <v>541</v>
      </c>
      <c r="D89" t="s">
        <v>542</v>
      </c>
      <c r="X89">
        <v>6000000</v>
      </c>
      <c r="AX89">
        <v>19000000</v>
      </c>
    </row>
    <row r="90" spans="1:70">
      <c r="A90" t="s">
        <v>177</v>
      </c>
      <c r="B90" t="s">
        <v>178</v>
      </c>
      <c r="C90" t="s">
        <v>541</v>
      </c>
      <c r="D90" t="s">
        <v>542</v>
      </c>
    </row>
    <row r="91" spans="1:70">
      <c r="A91" t="s">
        <v>179</v>
      </c>
      <c r="B91" t="s">
        <v>180</v>
      </c>
      <c r="C91" t="s">
        <v>541</v>
      </c>
      <c r="D91" t="s">
        <v>542</v>
      </c>
    </row>
    <row r="92" spans="1:70">
      <c r="A92" t="s">
        <v>181</v>
      </c>
      <c r="B92" t="s">
        <v>182</v>
      </c>
      <c r="C92" t="s">
        <v>541</v>
      </c>
      <c r="D92" t="s">
        <v>542</v>
      </c>
    </row>
    <row r="93" spans="1:70">
      <c r="A93" t="s">
        <v>183</v>
      </c>
      <c r="B93" t="s">
        <v>184</v>
      </c>
      <c r="C93" t="s">
        <v>541</v>
      </c>
      <c r="D93" t="s">
        <v>542</v>
      </c>
    </row>
    <row r="94" spans="1:70">
      <c r="A94" t="s">
        <v>185</v>
      </c>
      <c r="B94" t="s">
        <v>186</v>
      </c>
      <c r="C94" t="s">
        <v>541</v>
      </c>
      <c r="D94" t="s">
        <v>542</v>
      </c>
    </row>
    <row r="95" spans="1:70">
      <c r="A95" t="s">
        <v>187</v>
      </c>
      <c r="B95" t="s">
        <v>188</v>
      </c>
      <c r="C95" t="s">
        <v>541</v>
      </c>
      <c r="D95" t="s">
        <v>542</v>
      </c>
      <c r="I95">
        <v>7000000</v>
      </c>
      <c r="J95">
        <v>1000000</v>
      </c>
      <c r="AK95">
        <v>15000000</v>
      </c>
      <c r="AL95">
        <v>10000000</v>
      </c>
      <c r="AM95">
        <v>18000000</v>
      </c>
      <c r="AO95">
        <v>19000000</v>
      </c>
      <c r="AP95">
        <v>31000000</v>
      </c>
      <c r="AQ95">
        <v>9000000</v>
      </c>
      <c r="AR95">
        <v>3000000</v>
      </c>
      <c r="AS95">
        <v>2000000</v>
      </c>
      <c r="AT95">
        <v>2000000</v>
      </c>
      <c r="AV95">
        <v>6000000</v>
      </c>
      <c r="AW95">
        <v>22000000</v>
      </c>
      <c r="AX95">
        <v>13000000</v>
      </c>
      <c r="AY95">
        <v>23000000</v>
      </c>
      <c r="BJ95">
        <v>30000000</v>
      </c>
      <c r="BO95">
        <v>7000000</v>
      </c>
      <c r="BP95">
        <v>7000000</v>
      </c>
      <c r="BQ95">
        <v>20000000</v>
      </c>
      <c r="BR95">
        <v>2000000</v>
      </c>
    </row>
    <row r="96" spans="1:70">
      <c r="A96" t="s">
        <v>189</v>
      </c>
      <c r="B96" t="s">
        <v>190</v>
      </c>
      <c r="C96" t="s">
        <v>541</v>
      </c>
      <c r="D96" t="s">
        <v>542</v>
      </c>
    </row>
    <row r="97" spans="1:70">
      <c r="A97" t="s">
        <v>191</v>
      </c>
      <c r="B97" t="s">
        <v>192</v>
      </c>
      <c r="C97" t="s">
        <v>541</v>
      </c>
      <c r="D97" t="s">
        <v>542</v>
      </c>
    </row>
    <row r="98" spans="1:70">
      <c r="A98" t="s">
        <v>193</v>
      </c>
      <c r="B98" t="s">
        <v>194</v>
      </c>
      <c r="C98" t="s">
        <v>541</v>
      </c>
      <c r="D98" t="s">
        <v>542</v>
      </c>
    </row>
    <row r="99" spans="1:70">
      <c r="A99" t="s">
        <v>195</v>
      </c>
      <c r="B99" t="s">
        <v>196</v>
      </c>
      <c r="C99" t="s">
        <v>541</v>
      </c>
      <c r="D99" t="s">
        <v>542</v>
      </c>
    </row>
    <row r="100" spans="1:70">
      <c r="A100" t="s">
        <v>197</v>
      </c>
      <c r="B100" t="s">
        <v>198</v>
      </c>
      <c r="C100" t="s">
        <v>541</v>
      </c>
      <c r="D100" t="s">
        <v>542</v>
      </c>
      <c r="U100">
        <v>2000000</v>
      </c>
    </row>
    <row r="101" spans="1:70">
      <c r="A101" t="s">
        <v>199</v>
      </c>
      <c r="B101" t="s">
        <v>200</v>
      </c>
      <c r="C101" t="s">
        <v>541</v>
      </c>
      <c r="D101" t="s">
        <v>542</v>
      </c>
      <c r="E101">
        <v>10163000000</v>
      </c>
      <c r="F101">
        <v>9822000000</v>
      </c>
      <c r="G101">
        <v>9512000000</v>
      </c>
      <c r="H101">
        <v>13209000000</v>
      </c>
      <c r="I101">
        <v>17552000000</v>
      </c>
      <c r="J101">
        <v>16513000000</v>
      </c>
      <c r="K101">
        <v>14467000000</v>
      </c>
      <c r="L101">
        <v>13042000000</v>
      </c>
      <c r="M101">
        <v>13821000000</v>
      </c>
      <c r="N101">
        <v>16956000000</v>
      </c>
      <c r="O101">
        <v>13723000000</v>
      </c>
      <c r="P101">
        <v>19639000000</v>
      </c>
      <c r="Q101">
        <v>19066000000</v>
      </c>
      <c r="R101">
        <v>19082000000</v>
      </c>
      <c r="S101">
        <v>19721000000</v>
      </c>
      <c r="T101">
        <v>23637000000</v>
      </c>
      <c r="U101">
        <v>24392000000</v>
      </c>
      <c r="V101">
        <v>23398000000</v>
      </c>
      <c r="W101">
        <v>22872000000</v>
      </c>
      <c r="X101">
        <v>19261000000</v>
      </c>
      <c r="Y101">
        <v>21302000000</v>
      </c>
      <c r="Z101">
        <v>26200000000</v>
      </c>
      <c r="AA101">
        <v>26056000000</v>
      </c>
      <c r="AB101">
        <v>25465000000</v>
      </c>
      <c r="AC101">
        <v>23858000000</v>
      </c>
      <c r="AD101">
        <v>20854000000</v>
      </c>
      <c r="AE101">
        <v>20560000000</v>
      </c>
      <c r="AF101">
        <v>21303000000</v>
      </c>
      <c r="AG101">
        <v>20754000000</v>
      </c>
      <c r="AH101">
        <v>20875000000</v>
      </c>
      <c r="AI101">
        <v>18383000000</v>
      </c>
      <c r="AJ101">
        <v>20116000000</v>
      </c>
      <c r="AK101">
        <v>22817000000</v>
      </c>
      <c r="AL101">
        <v>23929000000</v>
      </c>
      <c r="AM101">
        <v>21352000000</v>
      </c>
      <c r="AN101">
        <v>21576000000</v>
      </c>
      <c r="AO101">
        <v>22415000000</v>
      </c>
      <c r="AP101">
        <v>27114000000</v>
      </c>
      <c r="AQ101">
        <v>26667000000</v>
      </c>
      <c r="AR101">
        <v>23249000000</v>
      </c>
      <c r="AS101">
        <v>18275000000</v>
      </c>
      <c r="AT101">
        <v>17162000000</v>
      </c>
      <c r="AU101">
        <v>16239000000</v>
      </c>
      <c r="AV101">
        <v>17439000000</v>
      </c>
      <c r="AW101">
        <v>20084000000</v>
      </c>
      <c r="AX101">
        <v>20332000000</v>
      </c>
      <c r="AY101">
        <v>22497000000</v>
      </c>
      <c r="AZ101">
        <v>24851000000</v>
      </c>
      <c r="BA101">
        <v>22271000000</v>
      </c>
      <c r="BB101">
        <v>22073000000</v>
      </c>
      <c r="BC101">
        <v>22616000000</v>
      </c>
      <c r="BD101">
        <v>27417000000</v>
      </c>
      <c r="BE101">
        <v>24384000000</v>
      </c>
      <c r="BF101">
        <v>23958000000</v>
      </c>
      <c r="BG101">
        <v>24503000000</v>
      </c>
      <c r="BH101">
        <v>25862000000</v>
      </c>
      <c r="BI101">
        <v>27514000000</v>
      </c>
      <c r="BJ101">
        <v>28574000000</v>
      </c>
      <c r="BK101">
        <v>24979000000</v>
      </c>
      <c r="BL101">
        <v>24545000000</v>
      </c>
      <c r="BM101">
        <v>22356000000</v>
      </c>
      <c r="BN101">
        <v>24375000000</v>
      </c>
      <c r="BO101">
        <v>29811000000</v>
      </c>
      <c r="BP101">
        <v>25365000000</v>
      </c>
      <c r="BQ101">
        <v>27951000000</v>
      </c>
      <c r="BR101">
        <v>31271000000</v>
      </c>
    </row>
    <row r="102" spans="1:70">
      <c r="A102" t="s">
        <v>201</v>
      </c>
      <c r="B102" t="s">
        <v>202</v>
      </c>
      <c r="C102" t="s">
        <v>541</v>
      </c>
      <c r="D102" t="s">
        <v>542</v>
      </c>
    </row>
    <row r="103" spans="1:70">
      <c r="A103" t="s">
        <v>203</v>
      </c>
      <c r="B103" t="s">
        <v>204</v>
      </c>
      <c r="C103" t="s">
        <v>541</v>
      </c>
      <c r="D103" t="s">
        <v>542</v>
      </c>
    </row>
    <row r="104" spans="1:70">
      <c r="A104" t="s">
        <v>205</v>
      </c>
      <c r="B104" t="s">
        <v>206</v>
      </c>
      <c r="C104" t="s">
        <v>541</v>
      </c>
      <c r="D104" t="s">
        <v>542</v>
      </c>
      <c r="L104">
        <v>2000000</v>
      </c>
      <c r="M104">
        <v>0</v>
      </c>
      <c r="P104">
        <v>1000000</v>
      </c>
    </row>
    <row r="105" spans="1:70">
      <c r="A105" t="s">
        <v>207</v>
      </c>
      <c r="B105" t="s">
        <v>208</v>
      </c>
      <c r="C105" t="s">
        <v>541</v>
      </c>
      <c r="D105" t="s">
        <v>542</v>
      </c>
      <c r="AS105">
        <v>10000000</v>
      </c>
      <c r="BE105">
        <v>0</v>
      </c>
      <c r="BJ105">
        <v>3000000</v>
      </c>
      <c r="BO105">
        <v>4000000</v>
      </c>
      <c r="BP105">
        <v>39000000</v>
      </c>
      <c r="BQ105">
        <v>53000000</v>
      </c>
    </row>
    <row r="106" spans="1:70">
      <c r="A106" t="s">
        <v>209</v>
      </c>
      <c r="B106" t="s">
        <v>210</v>
      </c>
      <c r="C106" t="s">
        <v>541</v>
      </c>
      <c r="D106" t="s">
        <v>542</v>
      </c>
    </row>
    <row r="107" spans="1:70">
      <c r="A107" t="s">
        <v>211</v>
      </c>
      <c r="B107" t="s">
        <v>212</v>
      </c>
      <c r="C107" t="s">
        <v>541</v>
      </c>
      <c r="D107" t="s">
        <v>542</v>
      </c>
      <c r="K107">
        <v>18000000</v>
      </c>
      <c r="L107">
        <v>18000000</v>
      </c>
      <c r="M107">
        <v>37000000</v>
      </c>
      <c r="N107">
        <v>28000000</v>
      </c>
      <c r="Q107">
        <v>8000000</v>
      </c>
      <c r="R107">
        <v>44000000</v>
      </c>
      <c r="S107">
        <v>8000000</v>
      </c>
      <c r="T107">
        <v>8000000</v>
      </c>
      <c r="Y107">
        <v>4000000</v>
      </c>
      <c r="Z107">
        <v>30000000</v>
      </c>
      <c r="AA107">
        <v>4000000</v>
      </c>
      <c r="AB107">
        <v>4000000</v>
      </c>
      <c r="AL107">
        <v>21000000</v>
      </c>
      <c r="AN107">
        <v>6000000</v>
      </c>
      <c r="AP107">
        <v>24000000</v>
      </c>
      <c r="AU107">
        <v>34000000</v>
      </c>
      <c r="AX107">
        <v>82000000</v>
      </c>
      <c r="AZ107">
        <v>9000000</v>
      </c>
      <c r="BF107">
        <v>41000000</v>
      </c>
      <c r="BN107">
        <v>2000000</v>
      </c>
      <c r="BQ107">
        <v>11000000</v>
      </c>
    </row>
    <row r="108" spans="1:70">
      <c r="A108" t="s">
        <v>213</v>
      </c>
      <c r="B108" t="s">
        <v>214</v>
      </c>
      <c r="C108" t="s">
        <v>541</v>
      </c>
      <c r="D108" t="s">
        <v>542</v>
      </c>
      <c r="E108">
        <v>323000000</v>
      </c>
      <c r="F108">
        <v>80000000</v>
      </c>
      <c r="L108">
        <v>787000000</v>
      </c>
      <c r="M108">
        <v>1084000000</v>
      </c>
      <c r="N108">
        <v>1062000000</v>
      </c>
      <c r="AN108">
        <v>5295000000</v>
      </c>
      <c r="AW108">
        <v>7421000000</v>
      </c>
      <c r="AY108">
        <v>7463000000</v>
      </c>
      <c r="BA108">
        <v>7957000000</v>
      </c>
      <c r="BD108">
        <v>11097000000</v>
      </c>
      <c r="BF108">
        <v>11699000000</v>
      </c>
      <c r="BG108">
        <v>8078000000</v>
      </c>
      <c r="BI108">
        <v>10714000000</v>
      </c>
      <c r="BJ108">
        <v>9131000000</v>
      </c>
      <c r="BK108">
        <v>9548000000</v>
      </c>
      <c r="BL108">
        <v>7874000000</v>
      </c>
      <c r="BM108">
        <v>5359000000</v>
      </c>
      <c r="BN108">
        <v>5012000000</v>
      </c>
      <c r="BO108">
        <v>6761000000</v>
      </c>
      <c r="BP108">
        <v>6165000000</v>
      </c>
      <c r="BQ108">
        <v>4844000000</v>
      </c>
    </row>
    <row r="109" spans="1:70">
      <c r="A109" t="s">
        <v>215</v>
      </c>
      <c r="B109" t="s">
        <v>216</v>
      </c>
      <c r="C109" t="s">
        <v>541</v>
      </c>
      <c r="D109" t="s">
        <v>542</v>
      </c>
      <c r="E109">
        <v>323000000</v>
      </c>
      <c r="F109">
        <v>80000000</v>
      </c>
      <c r="L109">
        <v>795000000</v>
      </c>
      <c r="M109">
        <v>1084000000</v>
      </c>
      <c r="N109">
        <v>1062000000</v>
      </c>
      <c r="AY109">
        <v>7488000000</v>
      </c>
      <c r="BI109">
        <v>10792000000</v>
      </c>
      <c r="BJ109">
        <v>9139000000</v>
      </c>
      <c r="BK109">
        <v>9551000000</v>
      </c>
      <c r="BL109">
        <v>7875000000</v>
      </c>
      <c r="BN109">
        <v>5087000000</v>
      </c>
      <c r="BO109">
        <v>6766000000</v>
      </c>
      <c r="BQ109">
        <v>4884000000</v>
      </c>
    </row>
    <row r="110" spans="1:70">
      <c r="A110" t="s">
        <v>217</v>
      </c>
      <c r="B110" t="s">
        <v>218</v>
      </c>
      <c r="C110" t="s">
        <v>541</v>
      </c>
      <c r="D110" t="s">
        <v>542</v>
      </c>
      <c r="I110">
        <v>1000000</v>
      </c>
      <c r="L110">
        <v>8000000</v>
      </c>
      <c r="M110">
        <v>0</v>
      </c>
      <c r="O110">
        <v>17000000</v>
      </c>
    </row>
    <row r="111" spans="1:70">
      <c r="A111" t="s">
        <v>219</v>
      </c>
      <c r="B111" t="s">
        <v>220</v>
      </c>
      <c r="C111" t="s">
        <v>541</v>
      </c>
      <c r="D111" t="s">
        <v>542</v>
      </c>
      <c r="I111">
        <v>1000000</v>
      </c>
      <c r="L111">
        <v>6000000</v>
      </c>
      <c r="P111">
        <v>4000000</v>
      </c>
      <c r="AS111">
        <v>4000000</v>
      </c>
    </row>
    <row r="112" spans="1:70">
      <c r="A112" t="s">
        <v>221</v>
      </c>
      <c r="B112" t="s">
        <v>222</v>
      </c>
      <c r="C112" t="s">
        <v>541</v>
      </c>
      <c r="D112" t="s">
        <v>542</v>
      </c>
      <c r="H112">
        <v>7000000</v>
      </c>
      <c r="O112">
        <v>12000000</v>
      </c>
      <c r="W112">
        <v>9000000</v>
      </c>
      <c r="Y112">
        <v>4000000</v>
      </c>
      <c r="AD112">
        <v>8000000</v>
      </c>
      <c r="AE112">
        <v>4000000</v>
      </c>
      <c r="AL112">
        <v>18000000</v>
      </c>
      <c r="AM112">
        <v>18000000</v>
      </c>
      <c r="AN112">
        <v>27000000</v>
      </c>
      <c r="AP112">
        <v>9000000</v>
      </c>
      <c r="AR112">
        <v>54000000</v>
      </c>
      <c r="AT112">
        <v>18000000</v>
      </c>
      <c r="AU112">
        <v>54000000</v>
      </c>
      <c r="AW112">
        <v>27000000</v>
      </c>
      <c r="AX112">
        <v>9000000</v>
      </c>
      <c r="AY112">
        <v>9000000</v>
      </c>
      <c r="BA112">
        <v>1000000</v>
      </c>
      <c r="BD112">
        <v>4000000</v>
      </c>
      <c r="BI112">
        <v>85000000</v>
      </c>
      <c r="BJ112">
        <v>94000000</v>
      </c>
      <c r="BK112">
        <v>15000000</v>
      </c>
      <c r="BL112">
        <v>9000000</v>
      </c>
      <c r="BN112">
        <v>17000000</v>
      </c>
    </row>
    <row r="113" spans="1:70">
      <c r="A113" t="s">
        <v>223</v>
      </c>
      <c r="B113" t="s">
        <v>224</v>
      </c>
      <c r="C113" t="s">
        <v>541</v>
      </c>
      <c r="D113" t="s">
        <v>542</v>
      </c>
      <c r="L113">
        <v>2000000</v>
      </c>
      <c r="M113">
        <v>0</v>
      </c>
      <c r="O113">
        <v>17000000</v>
      </c>
    </row>
    <row r="114" spans="1:70">
      <c r="A114" t="s">
        <v>225</v>
      </c>
      <c r="B114" t="s">
        <v>226</v>
      </c>
      <c r="C114" t="s">
        <v>541</v>
      </c>
      <c r="D114" t="s">
        <v>542</v>
      </c>
    </row>
    <row r="115" spans="1:70">
      <c r="A115" t="s">
        <v>227</v>
      </c>
      <c r="B115" t="s">
        <v>228</v>
      </c>
      <c r="C115" t="s">
        <v>541</v>
      </c>
      <c r="D115" t="s">
        <v>542</v>
      </c>
      <c r="M115">
        <v>1000000</v>
      </c>
      <c r="P115">
        <v>7000000</v>
      </c>
      <c r="Q115">
        <v>2000000</v>
      </c>
      <c r="R115">
        <v>21000000</v>
      </c>
      <c r="S115">
        <v>24000000</v>
      </c>
      <c r="T115">
        <v>31000000</v>
      </c>
      <c r="W115">
        <v>27000000</v>
      </c>
      <c r="X115">
        <v>22000000</v>
      </c>
      <c r="AA115">
        <v>2000000</v>
      </c>
      <c r="AG115">
        <v>1000000</v>
      </c>
      <c r="AI115">
        <v>7000000</v>
      </c>
      <c r="AK115">
        <v>7000000</v>
      </c>
      <c r="AL115">
        <v>9000000</v>
      </c>
      <c r="AM115">
        <v>2000000</v>
      </c>
      <c r="AN115">
        <v>2000000</v>
      </c>
      <c r="AS115">
        <v>21000000</v>
      </c>
      <c r="AT115">
        <v>2000000</v>
      </c>
      <c r="AU115">
        <v>0</v>
      </c>
      <c r="AV115">
        <v>4000000</v>
      </c>
      <c r="AW115">
        <v>31000000</v>
      </c>
      <c r="AX115">
        <v>19000000</v>
      </c>
      <c r="AY115">
        <v>33000000</v>
      </c>
      <c r="AZ115">
        <v>23000000</v>
      </c>
      <c r="BA115">
        <v>15000000</v>
      </c>
      <c r="BB115">
        <v>27000000</v>
      </c>
      <c r="BC115">
        <v>5000000</v>
      </c>
      <c r="BD115">
        <v>3000000</v>
      </c>
      <c r="BF115">
        <v>18000000</v>
      </c>
      <c r="BG115">
        <v>40000000</v>
      </c>
      <c r="BH115">
        <v>42000000</v>
      </c>
      <c r="BI115">
        <v>49000000</v>
      </c>
      <c r="BJ115">
        <v>56000000</v>
      </c>
      <c r="BK115">
        <v>47000000</v>
      </c>
      <c r="BL115">
        <v>20000000</v>
      </c>
      <c r="BM115">
        <v>153000000</v>
      </c>
      <c r="BN115">
        <v>54000000</v>
      </c>
      <c r="BO115">
        <v>7000000</v>
      </c>
      <c r="BP115">
        <v>41000000</v>
      </c>
      <c r="BQ115">
        <v>94000000</v>
      </c>
      <c r="BR115">
        <v>81000000</v>
      </c>
    </row>
    <row r="116" spans="1:70">
      <c r="A116" t="s">
        <v>229</v>
      </c>
      <c r="B116" t="s">
        <v>230</v>
      </c>
      <c r="C116" t="s">
        <v>541</v>
      </c>
      <c r="D116" t="s">
        <v>542</v>
      </c>
    </row>
    <row r="117" spans="1:70">
      <c r="A117" t="s">
        <v>231</v>
      </c>
      <c r="B117" t="s">
        <v>232</v>
      </c>
      <c r="C117" t="s">
        <v>541</v>
      </c>
      <c r="D117" t="s">
        <v>542</v>
      </c>
      <c r="AX117">
        <v>26000000</v>
      </c>
      <c r="AY117">
        <v>53000000</v>
      </c>
      <c r="AZ117">
        <v>51000000</v>
      </c>
      <c r="BA117">
        <v>45000000</v>
      </c>
      <c r="BB117">
        <v>45000000</v>
      </c>
      <c r="BC117">
        <v>42000000</v>
      </c>
      <c r="BD117">
        <v>1000000</v>
      </c>
      <c r="BE117">
        <v>44000000</v>
      </c>
      <c r="BF117">
        <v>44000000</v>
      </c>
      <c r="BG117">
        <v>23000000</v>
      </c>
      <c r="BH117">
        <v>10000000</v>
      </c>
      <c r="BN117">
        <v>13000000</v>
      </c>
      <c r="BO117">
        <v>46000000</v>
      </c>
      <c r="BQ117">
        <v>18000000</v>
      </c>
      <c r="BR117">
        <v>24000000</v>
      </c>
    </row>
    <row r="118" spans="1:70">
      <c r="A118" t="s">
        <v>233</v>
      </c>
      <c r="B118" t="s">
        <v>234</v>
      </c>
      <c r="C118" t="s">
        <v>541</v>
      </c>
      <c r="D118" t="s">
        <v>542</v>
      </c>
      <c r="G118">
        <v>3000000</v>
      </c>
      <c r="L118">
        <v>28000000</v>
      </c>
      <c r="O118">
        <v>23000000</v>
      </c>
      <c r="P118">
        <v>6000000</v>
      </c>
      <c r="Q118">
        <v>106000000</v>
      </c>
      <c r="R118">
        <v>6000000</v>
      </c>
      <c r="S118">
        <v>129000000</v>
      </c>
      <c r="T118">
        <v>86000000</v>
      </c>
      <c r="Y118">
        <v>1000000</v>
      </c>
      <c r="Z118">
        <v>1000000</v>
      </c>
      <c r="AA118">
        <v>1000000</v>
      </c>
      <c r="AB118">
        <v>1000000</v>
      </c>
      <c r="AC118">
        <v>1000000</v>
      </c>
      <c r="AD118">
        <v>1000000</v>
      </c>
      <c r="AE118">
        <v>1000000</v>
      </c>
      <c r="AF118">
        <v>1000000</v>
      </c>
      <c r="AG118">
        <v>1000000</v>
      </c>
      <c r="AH118">
        <v>1000000</v>
      </c>
      <c r="AI118">
        <v>0</v>
      </c>
      <c r="AJ118">
        <v>1000000</v>
      </c>
      <c r="AK118">
        <v>1000000</v>
      </c>
      <c r="AL118">
        <v>1000000</v>
      </c>
      <c r="AM118">
        <v>0</v>
      </c>
      <c r="AN118">
        <v>1000000</v>
      </c>
      <c r="AO118">
        <v>3000000</v>
      </c>
      <c r="AP118">
        <v>0</v>
      </c>
      <c r="AQ118">
        <v>0</v>
      </c>
      <c r="AR118">
        <v>0</v>
      </c>
      <c r="AS118">
        <v>0</v>
      </c>
      <c r="AT118">
        <v>0</v>
      </c>
      <c r="AU118">
        <v>9000000</v>
      </c>
      <c r="AV118">
        <v>12000000</v>
      </c>
      <c r="AW118">
        <v>3000000</v>
      </c>
      <c r="AX118">
        <v>4000000</v>
      </c>
      <c r="AY118">
        <v>78000000</v>
      </c>
      <c r="AZ118">
        <v>2000000</v>
      </c>
      <c r="BA118">
        <v>82000000</v>
      </c>
      <c r="BB118">
        <v>99000000</v>
      </c>
      <c r="BC118">
        <v>54000000</v>
      </c>
      <c r="BD118">
        <v>77000000</v>
      </c>
      <c r="BE118">
        <v>35000000</v>
      </c>
      <c r="BF118">
        <v>2000000</v>
      </c>
      <c r="BG118">
        <v>34000000</v>
      </c>
      <c r="BH118">
        <v>11000000</v>
      </c>
      <c r="BI118">
        <v>24000000</v>
      </c>
      <c r="BJ118">
        <v>24000000</v>
      </c>
      <c r="BK118">
        <v>9000000</v>
      </c>
      <c r="BL118">
        <v>9000000</v>
      </c>
      <c r="BM118">
        <v>16000000</v>
      </c>
      <c r="BN118">
        <v>2000000</v>
      </c>
      <c r="BO118">
        <v>48000000</v>
      </c>
      <c r="BP118">
        <v>170000000</v>
      </c>
      <c r="BQ118">
        <v>106000000</v>
      </c>
      <c r="BR118">
        <v>80000000</v>
      </c>
    </row>
    <row r="119" spans="1:70">
      <c r="A119" t="s">
        <v>235</v>
      </c>
      <c r="B119" t="s">
        <v>236</v>
      </c>
      <c r="C119" t="s">
        <v>541</v>
      </c>
      <c r="D119" t="s">
        <v>542</v>
      </c>
      <c r="E119">
        <v>3000000</v>
      </c>
      <c r="Y119">
        <v>28000000</v>
      </c>
      <c r="AG119">
        <v>169000000</v>
      </c>
      <c r="AH119">
        <v>20000000</v>
      </c>
    </row>
    <row r="120" spans="1:70">
      <c r="A120" t="s">
        <v>237</v>
      </c>
      <c r="B120" t="s">
        <v>238</v>
      </c>
      <c r="C120" t="s">
        <v>541</v>
      </c>
      <c r="D120" t="s">
        <v>542</v>
      </c>
      <c r="Y120">
        <v>0</v>
      </c>
      <c r="AL120">
        <v>5000000</v>
      </c>
    </row>
    <row r="121" spans="1:70">
      <c r="A121" t="s">
        <v>239</v>
      </c>
      <c r="B121" t="s">
        <v>240</v>
      </c>
      <c r="C121" t="s">
        <v>541</v>
      </c>
      <c r="D121" t="s">
        <v>542</v>
      </c>
      <c r="I121">
        <v>5000000</v>
      </c>
      <c r="J121">
        <v>34000000</v>
      </c>
      <c r="K121">
        <v>46000000</v>
      </c>
      <c r="L121">
        <v>45000000</v>
      </c>
      <c r="M121">
        <v>55000000</v>
      </c>
      <c r="N121">
        <v>48000000</v>
      </c>
      <c r="O121">
        <v>21000000</v>
      </c>
      <c r="P121">
        <v>27000000</v>
      </c>
      <c r="Q121">
        <v>35000000</v>
      </c>
      <c r="R121">
        <v>18000000</v>
      </c>
      <c r="S121">
        <v>43000000</v>
      </c>
      <c r="T121">
        <v>109000000</v>
      </c>
      <c r="U121">
        <v>80000000</v>
      </c>
      <c r="V121">
        <v>201000000</v>
      </c>
      <c r="W121">
        <v>222000000</v>
      </c>
      <c r="X121">
        <v>188000000</v>
      </c>
      <c r="Y121">
        <v>241000000</v>
      </c>
      <c r="Z121">
        <v>196000000</v>
      </c>
      <c r="AA121">
        <v>261000000</v>
      </c>
      <c r="AB121">
        <v>364000000</v>
      </c>
      <c r="AC121">
        <v>202000000</v>
      </c>
      <c r="AD121">
        <v>202000000</v>
      </c>
      <c r="AE121">
        <v>333000000</v>
      </c>
      <c r="AF121">
        <v>130000000</v>
      </c>
      <c r="AG121">
        <v>63000000</v>
      </c>
      <c r="AH121">
        <v>190000000</v>
      </c>
      <c r="AI121">
        <v>73000000</v>
      </c>
      <c r="AJ121">
        <v>157000000</v>
      </c>
      <c r="AK121">
        <v>354000000</v>
      </c>
      <c r="AL121">
        <v>416000000</v>
      </c>
      <c r="AM121">
        <v>337000000</v>
      </c>
      <c r="AN121">
        <v>206000000</v>
      </c>
      <c r="AO121">
        <v>335000000</v>
      </c>
      <c r="AP121">
        <v>271000000</v>
      </c>
      <c r="AQ121">
        <v>227000000</v>
      </c>
      <c r="AR121">
        <v>177000000</v>
      </c>
      <c r="AS121">
        <v>407000000</v>
      </c>
      <c r="AT121">
        <v>467000000</v>
      </c>
      <c r="AU121">
        <v>532000000</v>
      </c>
      <c r="AV121">
        <v>418000000</v>
      </c>
      <c r="AW121">
        <v>599000000</v>
      </c>
      <c r="AX121">
        <v>521000000</v>
      </c>
      <c r="AY121">
        <v>451000000</v>
      </c>
      <c r="AZ121">
        <v>613000000</v>
      </c>
      <c r="BA121">
        <v>389000000</v>
      </c>
      <c r="BB121">
        <v>819000000</v>
      </c>
      <c r="BC121">
        <v>695000000</v>
      </c>
      <c r="BD121">
        <v>590000000</v>
      </c>
      <c r="BE121">
        <v>482000000</v>
      </c>
      <c r="BF121">
        <v>414000000</v>
      </c>
      <c r="BG121">
        <v>408000000</v>
      </c>
      <c r="BH121">
        <v>573000000</v>
      </c>
      <c r="BI121">
        <v>1258000000</v>
      </c>
      <c r="BJ121">
        <v>1215000000</v>
      </c>
      <c r="BK121">
        <v>1142000000</v>
      </c>
      <c r="BL121">
        <v>385000000</v>
      </c>
      <c r="BM121">
        <v>356000000</v>
      </c>
      <c r="BN121">
        <v>687000000</v>
      </c>
      <c r="BO121">
        <v>1034000000</v>
      </c>
      <c r="BP121">
        <v>1272000000</v>
      </c>
      <c r="BQ121">
        <v>1163000000</v>
      </c>
      <c r="BR121">
        <v>2623000000</v>
      </c>
    </row>
    <row r="122" spans="1:70">
      <c r="A122" t="s">
        <v>241</v>
      </c>
      <c r="B122" t="s">
        <v>242</v>
      </c>
      <c r="C122" t="s">
        <v>541</v>
      </c>
      <c r="D122" t="s">
        <v>542</v>
      </c>
      <c r="E122">
        <v>105000000</v>
      </c>
      <c r="F122">
        <v>246000000</v>
      </c>
      <c r="G122">
        <v>262000000</v>
      </c>
      <c r="H122">
        <v>241000000</v>
      </c>
      <c r="I122">
        <v>385000000</v>
      </c>
      <c r="J122">
        <v>296000000</v>
      </c>
      <c r="K122">
        <v>243000000</v>
      </c>
      <c r="L122">
        <v>144000000</v>
      </c>
      <c r="M122">
        <v>197000000</v>
      </c>
      <c r="N122">
        <v>325000000</v>
      </c>
      <c r="O122">
        <v>280000000</v>
      </c>
      <c r="P122">
        <v>383000000</v>
      </c>
      <c r="Q122">
        <v>284000000</v>
      </c>
      <c r="R122">
        <v>328000000</v>
      </c>
      <c r="S122">
        <v>409000000</v>
      </c>
      <c r="T122">
        <v>520000000</v>
      </c>
      <c r="U122">
        <v>523000000</v>
      </c>
      <c r="V122">
        <v>505000000</v>
      </c>
      <c r="W122">
        <v>665000000</v>
      </c>
      <c r="X122">
        <v>1312000000</v>
      </c>
      <c r="Y122">
        <v>1163000000</v>
      </c>
      <c r="Z122">
        <v>1704000000</v>
      </c>
      <c r="AA122">
        <v>1674000000</v>
      </c>
      <c r="AB122">
        <v>1112000000</v>
      </c>
      <c r="AC122">
        <v>1232000000</v>
      </c>
      <c r="AD122">
        <v>868000000</v>
      </c>
      <c r="AE122">
        <v>223000000</v>
      </c>
      <c r="AF122">
        <v>626000000</v>
      </c>
      <c r="AG122">
        <v>389000000</v>
      </c>
      <c r="AH122">
        <v>316000000</v>
      </c>
      <c r="AI122">
        <v>200000000</v>
      </c>
      <c r="AJ122">
        <v>354000000</v>
      </c>
      <c r="AK122">
        <v>249000000</v>
      </c>
      <c r="AL122">
        <v>342000000</v>
      </c>
      <c r="AM122">
        <v>208000000</v>
      </c>
      <c r="AN122">
        <v>301000000</v>
      </c>
      <c r="AO122">
        <v>287000000</v>
      </c>
      <c r="AP122">
        <v>447000000</v>
      </c>
      <c r="AQ122">
        <v>423000000</v>
      </c>
      <c r="AR122">
        <v>516000000</v>
      </c>
      <c r="AS122">
        <v>205000000</v>
      </c>
      <c r="AT122">
        <v>267000000</v>
      </c>
      <c r="AU122">
        <v>474000000</v>
      </c>
      <c r="AV122">
        <v>359000000</v>
      </c>
      <c r="AW122">
        <v>261000000</v>
      </c>
      <c r="AX122">
        <v>832000000</v>
      </c>
      <c r="AY122">
        <v>538000000</v>
      </c>
      <c r="AZ122">
        <v>700000000</v>
      </c>
      <c r="BA122">
        <v>433000000</v>
      </c>
      <c r="BB122">
        <v>512000000</v>
      </c>
      <c r="BC122">
        <v>577000000</v>
      </c>
      <c r="BD122">
        <v>964000000</v>
      </c>
      <c r="BE122">
        <v>789000000</v>
      </c>
      <c r="BF122">
        <v>884000000</v>
      </c>
      <c r="BG122">
        <v>688000000</v>
      </c>
      <c r="BH122">
        <v>671000000</v>
      </c>
      <c r="BI122">
        <v>616000000</v>
      </c>
      <c r="BJ122">
        <v>703000000</v>
      </c>
      <c r="BK122">
        <v>535000000</v>
      </c>
      <c r="BL122">
        <v>372000000</v>
      </c>
      <c r="BM122">
        <v>821000000</v>
      </c>
      <c r="BN122">
        <v>1627000000</v>
      </c>
      <c r="BO122">
        <v>1713000000</v>
      </c>
      <c r="BP122">
        <v>1367000000</v>
      </c>
      <c r="BQ122">
        <v>1208000000</v>
      </c>
      <c r="BR122">
        <v>1923000000</v>
      </c>
    </row>
    <row r="123" spans="1:70">
      <c r="A123" t="s">
        <v>243</v>
      </c>
      <c r="B123" t="s">
        <v>244</v>
      </c>
      <c r="C123" t="s">
        <v>541</v>
      </c>
      <c r="D123" t="s">
        <v>542</v>
      </c>
    </row>
    <row r="124" spans="1:70">
      <c r="A124" t="s">
        <v>245</v>
      </c>
      <c r="B124" t="s">
        <v>246</v>
      </c>
      <c r="C124" t="s">
        <v>541</v>
      </c>
      <c r="D124" t="s">
        <v>542</v>
      </c>
      <c r="P124">
        <v>36000000</v>
      </c>
      <c r="R124">
        <v>22000000</v>
      </c>
      <c r="S124">
        <v>23000000</v>
      </c>
      <c r="T124">
        <v>50000000</v>
      </c>
      <c r="V124">
        <v>18000000</v>
      </c>
      <c r="AA124">
        <v>1000000</v>
      </c>
      <c r="AB124">
        <v>76000000</v>
      </c>
      <c r="AD124">
        <v>2000000</v>
      </c>
      <c r="AE124">
        <v>7000000</v>
      </c>
      <c r="AG124">
        <v>7000000</v>
      </c>
      <c r="AH124">
        <v>64000000</v>
      </c>
      <c r="AM124">
        <v>65000000</v>
      </c>
      <c r="AP124">
        <v>6000000</v>
      </c>
      <c r="AW124">
        <v>19000000</v>
      </c>
      <c r="AX124">
        <v>22000000</v>
      </c>
      <c r="AZ124">
        <v>13000000</v>
      </c>
      <c r="BA124">
        <v>13000000</v>
      </c>
      <c r="BB124">
        <v>28000000</v>
      </c>
      <c r="BC124">
        <v>117000000</v>
      </c>
      <c r="BE124">
        <v>21000000</v>
      </c>
      <c r="BF124">
        <v>35000000</v>
      </c>
      <c r="BG124">
        <v>114000000</v>
      </c>
      <c r="BH124">
        <v>16000000</v>
      </c>
      <c r="BI124">
        <v>18000000</v>
      </c>
      <c r="BJ124">
        <v>80000000</v>
      </c>
      <c r="BK124">
        <v>2000000</v>
      </c>
      <c r="BL124">
        <v>109000000</v>
      </c>
      <c r="BM124">
        <v>66000000</v>
      </c>
      <c r="BN124">
        <v>74000000</v>
      </c>
      <c r="BO124">
        <v>53000000</v>
      </c>
      <c r="BP124">
        <v>11000000</v>
      </c>
      <c r="BQ124">
        <v>226000000</v>
      </c>
    </row>
    <row r="125" spans="1:70">
      <c r="A125" t="s">
        <v>247</v>
      </c>
      <c r="B125" t="s">
        <v>248</v>
      </c>
      <c r="C125" t="s">
        <v>541</v>
      </c>
      <c r="D125" t="s">
        <v>542</v>
      </c>
      <c r="E125">
        <v>1000000</v>
      </c>
      <c r="F125">
        <v>61000000</v>
      </c>
      <c r="G125">
        <v>100000000</v>
      </c>
      <c r="H125">
        <v>8000000</v>
      </c>
      <c r="I125">
        <v>14000000</v>
      </c>
      <c r="K125">
        <v>5000000</v>
      </c>
      <c r="N125">
        <v>31000000</v>
      </c>
      <c r="P125">
        <v>15000000</v>
      </c>
      <c r="Q125">
        <v>9000000</v>
      </c>
      <c r="R125">
        <v>36000000</v>
      </c>
      <c r="S125">
        <v>55000000</v>
      </c>
      <c r="W125">
        <v>9000000</v>
      </c>
      <c r="X125">
        <v>11000000</v>
      </c>
      <c r="Y125">
        <v>167000000</v>
      </c>
      <c r="AB125">
        <v>17000000</v>
      </c>
      <c r="AC125">
        <v>17000000</v>
      </c>
      <c r="AD125">
        <v>44000000</v>
      </c>
      <c r="AE125">
        <v>92000000</v>
      </c>
      <c r="AH125">
        <v>15000000</v>
      </c>
      <c r="AI125">
        <v>30000000</v>
      </c>
      <c r="AJ125">
        <v>54000000</v>
      </c>
      <c r="AK125">
        <v>101000000</v>
      </c>
      <c r="AL125">
        <v>122000000</v>
      </c>
      <c r="AM125">
        <v>130000000</v>
      </c>
      <c r="AN125">
        <v>126000000</v>
      </c>
      <c r="AO125">
        <v>165000000</v>
      </c>
      <c r="AP125">
        <v>25000000</v>
      </c>
      <c r="AZ125">
        <v>40000000</v>
      </c>
      <c r="BJ125">
        <v>2000000</v>
      </c>
      <c r="BK125">
        <v>3000000</v>
      </c>
      <c r="BP125">
        <v>13000000</v>
      </c>
      <c r="BQ125">
        <v>21000000</v>
      </c>
      <c r="BR125">
        <v>28000000</v>
      </c>
    </row>
    <row r="126" spans="1:70">
      <c r="A126" t="s">
        <v>249</v>
      </c>
      <c r="B126" t="s">
        <v>250</v>
      </c>
      <c r="C126" t="s">
        <v>541</v>
      </c>
      <c r="D126" t="s">
        <v>542</v>
      </c>
      <c r="AN126">
        <v>13000000</v>
      </c>
      <c r="AO126">
        <v>12000000</v>
      </c>
      <c r="AP126">
        <v>3000000</v>
      </c>
      <c r="AQ126">
        <v>7000000</v>
      </c>
      <c r="AR126">
        <v>13000000</v>
      </c>
      <c r="AS126">
        <v>19000000</v>
      </c>
      <c r="AT126">
        <v>13000000</v>
      </c>
      <c r="AW126">
        <v>6000000</v>
      </c>
      <c r="AY126">
        <v>6000000</v>
      </c>
    </row>
    <row r="127" spans="1:70">
      <c r="A127" t="s">
        <v>251</v>
      </c>
      <c r="B127" t="s">
        <v>252</v>
      </c>
      <c r="C127" t="s">
        <v>541</v>
      </c>
      <c r="D127" t="s">
        <v>542</v>
      </c>
      <c r="Z127">
        <v>8000000</v>
      </c>
      <c r="AJ127">
        <v>2000000</v>
      </c>
      <c r="AL127">
        <v>2000000</v>
      </c>
    </row>
    <row r="128" spans="1:70">
      <c r="A128" t="s">
        <v>253</v>
      </c>
      <c r="B128" t="s">
        <v>254</v>
      </c>
      <c r="C128" t="s">
        <v>541</v>
      </c>
      <c r="D128" t="s">
        <v>542</v>
      </c>
      <c r="AN128">
        <v>57000000</v>
      </c>
      <c r="AV128">
        <v>92000000</v>
      </c>
      <c r="AY128">
        <v>18000000</v>
      </c>
      <c r="AZ128">
        <v>18000000</v>
      </c>
      <c r="BA128">
        <v>14000000</v>
      </c>
      <c r="BH128">
        <v>4000000</v>
      </c>
      <c r="BI128">
        <v>5000000</v>
      </c>
      <c r="BJ128">
        <v>5000000</v>
      </c>
      <c r="BQ128">
        <v>34000000</v>
      </c>
      <c r="BR128">
        <v>34000000</v>
      </c>
    </row>
    <row r="129" spans="1:70">
      <c r="A129" t="s">
        <v>255</v>
      </c>
      <c r="B129" t="s">
        <v>256</v>
      </c>
      <c r="C129" t="s">
        <v>541</v>
      </c>
      <c r="D129" t="s">
        <v>542</v>
      </c>
      <c r="AL129">
        <v>0</v>
      </c>
      <c r="AM129">
        <v>0</v>
      </c>
      <c r="AN129">
        <v>0</v>
      </c>
      <c r="AS129">
        <v>1000000</v>
      </c>
    </row>
    <row r="130" spans="1:70">
      <c r="A130" t="s">
        <v>257</v>
      </c>
      <c r="B130" t="s">
        <v>258</v>
      </c>
      <c r="C130" t="s">
        <v>541</v>
      </c>
      <c r="D130" t="s">
        <v>542</v>
      </c>
    </row>
    <row r="131" spans="1:70">
      <c r="A131" t="s">
        <v>259</v>
      </c>
      <c r="B131" t="s">
        <v>260</v>
      </c>
      <c r="C131" t="s">
        <v>541</v>
      </c>
      <c r="D131" t="s">
        <v>542</v>
      </c>
    </row>
    <row r="132" spans="1:70">
      <c r="A132" t="s">
        <v>261</v>
      </c>
      <c r="B132" t="s">
        <v>262</v>
      </c>
      <c r="C132" t="s">
        <v>541</v>
      </c>
      <c r="D132" t="s">
        <v>542</v>
      </c>
      <c r="Q132">
        <v>141000000</v>
      </c>
      <c r="X132">
        <v>105000000</v>
      </c>
      <c r="Y132">
        <v>105000000</v>
      </c>
      <c r="Z132">
        <v>130000000</v>
      </c>
      <c r="AA132">
        <v>65000000</v>
      </c>
      <c r="AC132">
        <v>126000000</v>
      </c>
      <c r="AD132">
        <v>28000000</v>
      </c>
      <c r="AE132">
        <v>73000000</v>
      </c>
      <c r="AG132">
        <v>54000000</v>
      </c>
      <c r="AH132">
        <v>48000000</v>
      </c>
      <c r="AI132">
        <v>72000000</v>
      </c>
      <c r="AJ132">
        <v>118000000</v>
      </c>
      <c r="AL132">
        <v>62000000</v>
      </c>
      <c r="AM132">
        <v>7000000</v>
      </c>
      <c r="AN132">
        <v>30000000</v>
      </c>
      <c r="AO132">
        <v>24000000</v>
      </c>
      <c r="AP132">
        <v>25000000</v>
      </c>
      <c r="AQ132">
        <v>32000000</v>
      </c>
      <c r="AS132">
        <v>36000000</v>
      </c>
      <c r="AT132">
        <v>230000000</v>
      </c>
      <c r="AV132">
        <v>96000000</v>
      </c>
      <c r="AW132">
        <v>74000000</v>
      </c>
      <c r="AX132">
        <v>109000000</v>
      </c>
      <c r="AY132">
        <v>158000000</v>
      </c>
      <c r="AZ132">
        <v>278000000</v>
      </c>
      <c r="BA132">
        <v>110000000</v>
      </c>
      <c r="BB132">
        <v>224000000</v>
      </c>
      <c r="BC132">
        <v>177000000</v>
      </c>
      <c r="BD132">
        <v>328000000</v>
      </c>
      <c r="BE132">
        <v>203000000</v>
      </c>
      <c r="BF132">
        <v>350000000</v>
      </c>
      <c r="BG132">
        <v>218000000</v>
      </c>
      <c r="BH132">
        <v>92000000</v>
      </c>
      <c r="BI132">
        <v>435000000</v>
      </c>
      <c r="BJ132">
        <v>700000000</v>
      </c>
      <c r="BK132">
        <v>1054000000</v>
      </c>
      <c r="BL132">
        <v>675000000</v>
      </c>
      <c r="BM132">
        <v>829000000</v>
      </c>
      <c r="BN132">
        <v>536000000</v>
      </c>
      <c r="BO132">
        <v>231000000</v>
      </c>
      <c r="BP132">
        <v>675000000</v>
      </c>
      <c r="BQ132">
        <v>1102000000</v>
      </c>
      <c r="BR132">
        <v>2020000000</v>
      </c>
    </row>
    <row r="133" spans="1:70">
      <c r="A133" t="s">
        <v>263</v>
      </c>
      <c r="B133" t="s">
        <v>264</v>
      </c>
      <c r="C133" t="s">
        <v>541</v>
      </c>
      <c r="D133" t="s">
        <v>542</v>
      </c>
      <c r="L133">
        <v>3000000</v>
      </c>
      <c r="X133">
        <v>22000000</v>
      </c>
      <c r="Y133">
        <v>6000000</v>
      </c>
      <c r="AC133">
        <v>4000000</v>
      </c>
      <c r="AQ133">
        <v>95000000</v>
      </c>
    </row>
    <row r="134" spans="1:70">
      <c r="A134" t="s">
        <v>265</v>
      </c>
      <c r="B134" t="s">
        <v>266</v>
      </c>
      <c r="C134" t="s">
        <v>541</v>
      </c>
      <c r="D134" t="s">
        <v>542</v>
      </c>
      <c r="E134">
        <v>2000000</v>
      </c>
      <c r="F134">
        <v>12000000</v>
      </c>
      <c r="G134">
        <v>6000000</v>
      </c>
      <c r="I134">
        <v>4000000</v>
      </c>
      <c r="L134">
        <v>0</v>
      </c>
      <c r="T134">
        <v>83000000</v>
      </c>
      <c r="AJ134">
        <v>138000000</v>
      </c>
      <c r="BL134">
        <v>32000000</v>
      </c>
    </row>
    <row r="135" spans="1:70">
      <c r="A135" t="s">
        <v>267</v>
      </c>
      <c r="B135" t="s">
        <v>268</v>
      </c>
      <c r="C135" t="s">
        <v>541</v>
      </c>
      <c r="D135" t="s">
        <v>542</v>
      </c>
    </row>
    <row r="136" spans="1:70">
      <c r="A136" t="s">
        <v>269</v>
      </c>
      <c r="B136" t="s">
        <v>270</v>
      </c>
      <c r="C136" t="s">
        <v>541</v>
      </c>
      <c r="D136" t="s">
        <v>542</v>
      </c>
      <c r="L136">
        <v>1000000</v>
      </c>
      <c r="AJ136">
        <v>1000000</v>
      </c>
      <c r="AU136">
        <v>48000000</v>
      </c>
    </row>
    <row r="137" spans="1:70">
      <c r="A137" t="s">
        <v>271</v>
      </c>
      <c r="B137" t="s">
        <v>272</v>
      </c>
      <c r="C137" t="s">
        <v>541</v>
      </c>
      <c r="D137" t="s">
        <v>542</v>
      </c>
    </row>
    <row r="138" spans="1:70">
      <c r="A138" t="s">
        <v>273</v>
      </c>
      <c r="B138" t="s">
        <v>274</v>
      </c>
      <c r="C138" t="s">
        <v>541</v>
      </c>
      <c r="D138" t="s">
        <v>542</v>
      </c>
      <c r="Q138">
        <v>0</v>
      </c>
      <c r="R138">
        <v>0</v>
      </c>
      <c r="T138">
        <v>26000000</v>
      </c>
      <c r="U138">
        <v>4000000</v>
      </c>
      <c r="W138">
        <v>8000000</v>
      </c>
      <c r="X138">
        <v>395000000</v>
      </c>
      <c r="Y138">
        <v>95000000</v>
      </c>
      <c r="Z138">
        <v>107000000</v>
      </c>
      <c r="AA138">
        <v>169000000</v>
      </c>
      <c r="AB138">
        <v>64000000</v>
      </c>
      <c r="AC138">
        <v>9000000</v>
      </c>
      <c r="AD138">
        <v>31000000</v>
      </c>
      <c r="AE138">
        <v>9000000</v>
      </c>
      <c r="AF138">
        <v>13000000</v>
      </c>
      <c r="AG138">
        <v>64000000</v>
      </c>
      <c r="AH138">
        <v>7000000</v>
      </c>
      <c r="AI138">
        <v>36000000</v>
      </c>
      <c r="AM138">
        <v>3000000</v>
      </c>
      <c r="AP138">
        <v>3000000</v>
      </c>
      <c r="AQ138">
        <v>10000000</v>
      </c>
      <c r="AU138">
        <v>21000000</v>
      </c>
      <c r="AV138">
        <v>16000000</v>
      </c>
      <c r="AW138">
        <v>113000000</v>
      </c>
      <c r="AX138">
        <v>113000000</v>
      </c>
      <c r="AY138">
        <v>18000000</v>
      </c>
      <c r="AZ138">
        <v>9000000</v>
      </c>
      <c r="BA138">
        <v>17000000</v>
      </c>
      <c r="BB138">
        <v>32000000</v>
      </c>
      <c r="BC138">
        <v>27000000</v>
      </c>
      <c r="BD138">
        <v>0</v>
      </c>
      <c r="BI138">
        <v>0</v>
      </c>
    </row>
    <row r="139" spans="1:70">
      <c r="A139" t="s">
        <v>275</v>
      </c>
      <c r="B139" t="s">
        <v>276</v>
      </c>
      <c r="C139" t="s">
        <v>541</v>
      </c>
      <c r="D139" t="s">
        <v>542</v>
      </c>
    </row>
    <row r="140" spans="1:70">
      <c r="A140" t="s">
        <v>277</v>
      </c>
      <c r="B140" t="s">
        <v>278</v>
      </c>
      <c r="C140" t="s">
        <v>541</v>
      </c>
      <c r="D140" t="s">
        <v>542</v>
      </c>
      <c r="E140">
        <v>8000000</v>
      </c>
      <c r="F140">
        <v>12000000</v>
      </c>
      <c r="G140">
        <v>6000000</v>
      </c>
      <c r="I140">
        <v>4000000</v>
      </c>
      <c r="T140">
        <v>83000000</v>
      </c>
    </row>
    <row r="141" spans="1:70">
      <c r="A141" t="s">
        <v>279</v>
      </c>
      <c r="B141" t="s">
        <v>280</v>
      </c>
      <c r="C141" t="s">
        <v>541</v>
      </c>
      <c r="D141" t="s">
        <v>542</v>
      </c>
      <c r="L141">
        <v>2000000</v>
      </c>
      <c r="M141">
        <v>0</v>
      </c>
    </row>
    <row r="142" spans="1:70">
      <c r="A142" t="s">
        <v>281</v>
      </c>
      <c r="B142" t="s">
        <v>282</v>
      </c>
      <c r="C142" t="s">
        <v>541</v>
      </c>
      <c r="D142" t="s">
        <v>542</v>
      </c>
      <c r="L142">
        <v>1000000</v>
      </c>
      <c r="M142">
        <v>0</v>
      </c>
      <c r="O142">
        <v>17000000</v>
      </c>
      <c r="R142">
        <v>0</v>
      </c>
    </row>
    <row r="143" spans="1:70">
      <c r="A143" t="s">
        <v>283</v>
      </c>
      <c r="B143" t="s">
        <v>284</v>
      </c>
      <c r="C143" t="s">
        <v>541</v>
      </c>
      <c r="D143" t="s">
        <v>542</v>
      </c>
    </row>
    <row r="144" spans="1:70">
      <c r="A144" t="s">
        <v>285</v>
      </c>
      <c r="B144" t="s">
        <v>286</v>
      </c>
      <c r="C144" t="s">
        <v>541</v>
      </c>
      <c r="D144" t="s">
        <v>542</v>
      </c>
      <c r="AQ144">
        <v>8000000</v>
      </c>
    </row>
    <row r="145" spans="1:70">
      <c r="A145" t="s">
        <v>287</v>
      </c>
      <c r="B145" t="s">
        <v>288</v>
      </c>
      <c r="C145" t="s">
        <v>541</v>
      </c>
      <c r="D145" t="s">
        <v>542</v>
      </c>
      <c r="E145">
        <v>0</v>
      </c>
      <c r="F145">
        <v>0</v>
      </c>
      <c r="G145">
        <v>9000000</v>
      </c>
      <c r="H145">
        <v>8000000</v>
      </c>
      <c r="I145">
        <v>2000000</v>
      </c>
      <c r="K145">
        <v>14000000</v>
      </c>
      <c r="L145">
        <v>23000000</v>
      </c>
      <c r="M145">
        <v>27000000</v>
      </c>
      <c r="N145">
        <v>37000000</v>
      </c>
      <c r="T145">
        <v>60000000</v>
      </c>
      <c r="BO145">
        <v>74000000</v>
      </c>
      <c r="BQ145">
        <v>162000000</v>
      </c>
    </row>
    <row r="146" spans="1:70">
      <c r="A146" t="s">
        <v>289</v>
      </c>
      <c r="B146" t="s">
        <v>290</v>
      </c>
      <c r="C146" t="s">
        <v>541</v>
      </c>
      <c r="D146" t="s">
        <v>542</v>
      </c>
      <c r="E146">
        <v>317000000</v>
      </c>
      <c r="F146">
        <v>80000000</v>
      </c>
      <c r="L146">
        <v>486000000</v>
      </c>
      <c r="M146">
        <v>796000000</v>
      </c>
      <c r="N146">
        <v>737000000</v>
      </c>
      <c r="AY146">
        <v>2026000000</v>
      </c>
      <c r="BI146">
        <v>3953000000</v>
      </c>
      <c r="BJ146">
        <v>2700000000</v>
      </c>
      <c r="BL146">
        <v>2479000000</v>
      </c>
      <c r="BN146">
        <v>2680000000</v>
      </c>
      <c r="BQ146">
        <v>2747000000</v>
      </c>
    </row>
    <row r="147" spans="1:70">
      <c r="A147" t="s">
        <v>291</v>
      </c>
      <c r="B147" t="s">
        <v>292</v>
      </c>
      <c r="C147" t="s">
        <v>541</v>
      </c>
      <c r="D147" t="s">
        <v>542</v>
      </c>
    </row>
    <row r="148" spans="1:70">
      <c r="A148" t="s">
        <v>293</v>
      </c>
      <c r="B148" t="s">
        <v>294</v>
      </c>
      <c r="C148" t="s">
        <v>541</v>
      </c>
      <c r="D148" t="s">
        <v>542</v>
      </c>
      <c r="E148">
        <v>293000000</v>
      </c>
      <c r="F148">
        <v>47000000</v>
      </c>
      <c r="G148">
        <v>56000000</v>
      </c>
      <c r="H148">
        <v>123000000</v>
      </c>
      <c r="I148">
        <v>312000000</v>
      </c>
      <c r="J148">
        <v>621000000</v>
      </c>
      <c r="K148">
        <v>947000000</v>
      </c>
      <c r="L148">
        <v>739000000</v>
      </c>
      <c r="R148">
        <v>826000000</v>
      </c>
      <c r="AN148">
        <v>5269000000</v>
      </c>
      <c r="AW148">
        <v>6974000000</v>
      </c>
      <c r="AX148">
        <v>5637000000</v>
      </c>
      <c r="AY148">
        <v>6575000000</v>
      </c>
      <c r="AZ148">
        <v>6607000000</v>
      </c>
      <c r="BA148">
        <v>7019000000</v>
      </c>
      <c r="BB148">
        <v>6510000000</v>
      </c>
      <c r="BC148">
        <v>8071000000</v>
      </c>
      <c r="BD148">
        <v>10186000000</v>
      </c>
      <c r="BE148">
        <v>10037000000</v>
      </c>
      <c r="BF148">
        <v>10566000000</v>
      </c>
      <c r="BG148">
        <v>6998000000</v>
      </c>
      <c r="BH148">
        <v>7918000000</v>
      </c>
      <c r="BI148">
        <v>9612000000</v>
      </c>
      <c r="BJ148">
        <v>8264000000</v>
      </c>
      <c r="BK148">
        <v>8823000000</v>
      </c>
      <c r="BL148">
        <v>7195000000</v>
      </c>
      <c r="BN148">
        <v>3918000000</v>
      </c>
      <c r="BO148">
        <v>5825000000</v>
      </c>
      <c r="BP148">
        <v>5338000000</v>
      </c>
      <c r="BQ148">
        <v>4133000000</v>
      </c>
      <c r="BR148">
        <v>3351000000</v>
      </c>
    </row>
    <row r="149" spans="1:70">
      <c r="A149" t="s">
        <v>295</v>
      </c>
      <c r="B149" t="s">
        <v>296</v>
      </c>
      <c r="C149" t="s">
        <v>541</v>
      </c>
      <c r="D149" t="s">
        <v>542</v>
      </c>
      <c r="AU149">
        <v>3000000</v>
      </c>
      <c r="BK149">
        <v>60000000</v>
      </c>
      <c r="BO149">
        <v>25000000</v>
      </c>
      <c r="BP149">
        <v>8000000</v>
      </c>
      <c r="BQ149">
        <v>3000000</v>
      </c>
    </row>
    <row r="150" spans="1:70">
      <c r="A150" t="s">
        <v>297</v>
      </c>
      <c r="B150" t="s">
        <v>298</v>
      </c>
      <c r="C150" t="s">
        <v>541</v>
      </c>
      <c r="D150" t="s">
        <v>542</v>
      </c>
      <c r="AZ150">
        <v>0</v>
      </c>
    </row>
    <row r="151" spans="1:70">
      <c r="A151" t="s">
        <v>299</v>
      </c>
      <c r="B151" t="s">
        <v>300</v>
      </c>
      <c r="C151" t="s">
        <v>541</v>
      </c>
      <c r="D151" t="s">
        <v>542</v>
      </c>
      <c r="AM151">
        <v>9000000</v>
      </c>
      <c r="BO151">
        <v>10000000</v>
      </c>
      <c r="BP151">
        <v>7000000</v>
      </c>
      <c r="BR151">
        <v>1000000</v>
      </c>
    </row>
    <row r="152" spans="1:70">
      <c r="A152" t="s">
        <v>301</v>
      </c>
      <c r="B152" t="s">
        <v>302</v>
      </c>
      <c r="C152" t="s">
        <v>541</v>
      </c>
      <c r="D152" t="s">
        <v>542</v>
      </c>
    </row>
    <row r="153" spans="1:70">
      <c r="A153" t="s">
        <v>303</v>
      </c>
      <c r="B153" t="s">
        <v>304</v>
      </c>
      <c r="C153" t="s">
        <v>541</v>
      </c>
      <c r="D153" t="s">
        <v>542</v>
      </c>
    </row>
    <row r="154" spans="1:70">
      <c r="A154" t="s">
        <v>305</v>
      </c>
      <c r="B154" t="s">
        <v>306</v>
      </c>
      <c r="C154" t="s">
        <v>541</v>
      </c>
      <c r="D154" t="s">
        <v>542</v>
      </c>
      <c r="G154">
        <v>2000000</v>
      </c>
      <c r="N154">
        <v>6000000</v>
      </c>
      <c r="W154">
        <v>6000000</v>
      </c>
      <c r="BO154">
        <v>21000000</v>
      </c>
      <c r="BP154">
        <v>47000000</v>
      </c>
      <c r="BQ154">
        <v>26000000</v>
      </c>
    </row>
    <row r="155" spans="1:70">
      <c r="A155" t="s">
        <v>307</v>
      </c>
      <c r="B155" t="s">
        <v>308</v>
      </c>
      <c r="C155" t="s">
        <v>541</v>
      </c>
      <c r="D155" t="s">
        <v>542</v>
      </c>
    </row>
    <row r="156" spans="1:70">
      <c r="A156" t="s">
        <v>309</v>
      </c>
      <c r="B156" t="s">
        <v>310</v>
      </c>
      <c r="C156" t="s">
        <v>541</v>
      </c>
      <c r="D156" t="s">
        <v>542</v>
      </c>
      <c r="AK156">
        <v>11000000</v>
      </c>
      <c r="AM156">
        <v>36000000</v>
      </c>
      <c r="AP156">
        <v>217000000</v>
      </c>
      <c r="AS156">
        <v>5000000</v>
      </c>
      <c r="AT156">
        <v>42000000</v>
      </c>
      <c r="AU156">
        <v>60000000</v>
      </c>
      <c r="AV156">
        <v>13000000</v>
      </c>
      <c r="AX156">
        <v>18000000</v>
      </c>
      <c r="AY156">
        <v>3000000</v>
      </c>
      <c r="AZ156">
        <v>19000000</v>
      </c>
      <c r="BA156">
        <v>29000000</v>
      </c>
      <c r="BB156">
        <v>20000000</v>
      </c>
      <c r="BD156">
        <v>12000000</v>
      </c>
    </row>
    <row r="157" spans="1:70">
      <c r="A157" t="s">
        <v>311</v>
      </c>
      <c r="B157" t="s">
        <v>312</v>
      </c>
      <c r="C157" t="s">
        <v>541</v>
      </c>
      <c r="D157" t="s">
        <v>542</v>
      </c>
    </row>
    <row r="158" spans="1:70">
      <c r="A158" t="s">
        <v>313</v>
      </c>
      <c r="B158" t="s">
        <v>314</v>
      </c>
      <c r="C158" t="s">
        <v>541</v>
      </c>
      <c r="D158" t="s">
        <v>542</v>
      </c>
    </row>
    <row r="159" spans="1:70">
      <c r="A159" t="s">
        <v>315</v>
      </c>
      <c r="B159" t="s">
        <v>316</v>
      </c>
      <c r="C159" t="s">
        <v>541</v>
      </c>
      <c r="D159" t="s">
        <v>542</v>
      </c>
      <c r="G159">
        <v>12000000</v>
      </c>
      <c r="H159">
        <v>8000000</v>
      </c>
      <c r="I159">
        <v>6000000</v>
      </c>
      <c r="J159">
        <v>34000000</v>
      </c>
      <c r="K159">
        <v>60000000</v>
      </c>
      <c r="L159">
        <v>102000000</v>
      </c>
      <c r="M159">
        <v>90000000</v>
      </c>
      <c r="N159">
        <v>69000000</v>
      </c>
      <c r="O159">
        <v>100000000</v>
      </c>
      <c r="Q159">
        <v>143000000</v>
      </c>
      <c r="X159">
        <v>642000000</v>
      </c>
      <c r="Z159">
        <v>438000000</v>
      </c>
      <c r="AC159">
        <v>272000000</v>
      </c>
      <c r="AD159">
        <v>292000000</v>
      </c>
      <c r="BP159">
        <v>1630000000</v>
      </c>
    </row>
    <row r="160" spans="1:70">
      <c r="A160" t="s">
        <v>317</v>
      </c>
      <c r="B160" t="s">
        <v>318</v>
      </c>
      <c r="C160" t="s">
        <v>541</v>
      </c>
      <c r="D160" t="s">
        <v>542</v>
      </c>
      <c r="AJ160">
        <v>8000000</v>
      </c>
      <c r="BL160">
        <v>1000000</v>
      </c>
    </row>
    <row r="161" spans="1:70">
      <c r="A161" t="s">
        <v>319</v>
      </c>
      <c r="B161" t="s">
        <v>320</v>
      </c>
      <c r="C161" t="s">
        <v>541</v>
      </c>
      <c r="D161" t="s">
        <v>542</v>
      </c>
    </row>
    <row r="162" spans="1:70">
      <c r="A162" t="s">
        <v>321</v>
      </c>
      <c r="B162" t="s">
        <v>322</v>
      </c>
      <c r="C162" t="s">
        <v>541</v>
      </c>
      <c r="D162" t="s">
        <v>542</v>
      </c>
      <c r="E162">
        <v>317000000</v>
      </c>
      <c r="F162">
        <v>80000000</v>
      </c>
      <c r="L162">
        <v>485000000</v>
      </c>
      <c r="M162">
        <v>796000000</v>
      </c>
      <c r="N162">
        <v>737000000</v>
      </c>
      <c r="AY162">
        <v>2008000000</v>
      </c>
      <c r="BI162">
        <v>3949000000</v>
      </c>
      <c r="BJ162">
        <v>2700000000</v>
      </c>
      <c r="BK162">
        <v>2381000000</v>
      </c>
      <c r="BL162">
        <v>2479000000</v>
      </c>
      <c r="BN162">
        <v>2680000000</v>
      </c>
      <c r="BQ162">
        <v>2536000000</v>
      </c>
    </row>
    <row r="163" spans="1:70">
      <c r="A163" t="s">
        <v>323</v>
      </c>
      <c r="B163" t="s">
        <v>324</v>
      </c>
      <c r="C163" t="s">
        <v>541</v>
      </c>
      <c r="D163" t="s">
        <v>542</v>
      </c>
      <c r="BO163">
        <v>31000000</v>
      </c>
      <c r="BP163">
        <v>59000000</v>
      </c>
    </row>
    <row r="164" spans="1:70">
      <c r="A164" t="s">
        <v>325</v>
      </c>
      <c r="B164" t="s">
        <v>326</v>
      </c>
      <c r="C164" t="s">
        <v>541</v>
      </c>
      <c r="D164" t="s">
        <v>542</v>
      </c>
    </row>
    <row r="165" spans="1:70">
      <c r="A165" t="s">
        <v>327</v>
      </c>
      <c r="B165" t="s">
        <v>328</v>
      </c>
      <c r="C165" t="s">
        <v>541</v>
      </c>
      <c r="D165" t="s">
        <v>542</v>
      </c>
      <c r="AW165">
        <v>10000000</v>
      </c>
      <c r="BH165">
        <v>5000000</v>
      </c>
    </row>
    <row r="166" spans="1:70">
      <c r="A166" t="s">
        <v>329</v>
      </c>
      <c r="B166" t="s">
        <v>330</v>
      </c>
      <c r="C166" t="s">
        <v>541</v>
      </c>
      <c r="D166" t="s">
        <v>542</v>
      </c>
    </row>
    <row r="167" spans="1:70">
      <c r="A167" t="s">
        <v>331</v>
      </c>
      <c r="B167" t="s">
        <v>332</v>
      </c>
      <c r="C167" t="s">
        <v>541</v>
      </c>
      <c r="D167" t="s">
        <v>542</v>
      </c>
      <c r="E167">
        <v>3000000</v>
      </c>
      <c r="F167">
        <v>0</v>
      </c>
      <c r="G167">
        <v>12000000</v>
      </c>
      <c r="H167">
        <v>8000000</v>
      </c>
      <c r="I167">
        <v>1000000</v>
      </c>
      <c r="K167">
        <v>14000000</v>
      </c>
      <c r="L167">
        <v>50000000</v>
      </c>
      <c r="M167">
        <v>32000000</v>
      </c>
      <c r="N167">
        <v>21000000</v>
      </c>
      <c r="O167">
        <v>79000000</v>
      </c>
      <c r="P167">
        <v>45000000</v>
      </c>
      <c r="R167">
        <v>28000000</v>
      </c>
      <c r="S167">
        <v>154000000</v>
      </c>
      <c r="Y167">
        <v>174000000</v>
      </c>
      <c r="AA167">
        <v>460000000</v>
      </c>
      <c r="AB167">
        <v>270000000</v>
      </c>
      <c r="AC167">
        <v>60000000</v>
      </c>
      <c r="AD167">
        <v>86000000</v>
      </c>
      <c r="AM167">
        <v>87000000</v>
      </c>
    </row>
    <row r="168" spans="1:70">
      <c r="A168" t="s">
        <v>333</v>
      </c>
      <c r="B168" t="s">
        <v>334</v>
      </c>
      <c r="C168" t="s">
        <v>541</v>
      </c>
      <c r="D168" t="s">
        <v>542</v>
      </c>
      <c r="AY168">
        <v>71000000</v>
      </c>
      <c r="AZ168">
        <v>109000000</v>
      </c>
      <c r="BC168">
        <v>18000000</v>
      </c>
      <c r="BJ168">
        <v>1000000</v>
      </c>
      <c r="BO168">
        <v>4000000</v>
      </c>
    </row>
    <row r="169" spans="1:70">
      <c r="A169" t="s">
        <v>335</v>
      </c>
      <c r="B169" t="s">
        <v>336</v>
      </c>
      <c r="C169" t="s">
        <v>541</v>
      </c>
      <c r="D169" t="s">
        <v>542</v>
      </c>
    </row>
    <row r="170" spans="1:70">
      <c r="A170" t="s">
        <v>337</v>
      </c>
      <c r="B170" t="s">
        <v>338</v>
      </c>
      <c r="C170" t="s">
        <v>541</v>
      </c>
      <c r="D170" t="s">
        <v>542</v>
      </c>
    </row>
    <row r="171" spans="1:70">
      <c r="A171" t="s">
        <v>339</v>
      </c>
      <c r="B171" t="s">
        <v>340</v>
      </c>
      <c r="C171" t="s">
        <v>541</v>
      </c>
      <c r="D171" t="s">
        <v>542</v>
      </c>
      <c r="V171">
        <v>1000000</v>
      </c>
    </row>
    <row r="172" spans="1:70">
      <c r="A172" t="s">
        <v>341</v>
      </c>
      <c r="B172" t="s">
        <v>342</v>
      </c>
      <c r="C172" t="s">
        <v>541</v>
      </c>
      <c r="D172" t="s">
        <v>542</v>
      </c>
    </row>
    <row r="173" spans="1:70">
      <c r="A173" t="s">
        <v>343</v>
      </c>
      <c r="B173" t="s">
        <v>344</v>
      </c>
      <c r="C173" t="s">
        <v>541</v>
      </c>
      <c r="D173" t="s">
        <v>542</v>
      </c>
    </row>
    <row r="174" spans="1:70">
      <c r="A174" t="s">
        <v>345</v>
      </c>
      <c r="B174" t="s">
        <v>346</v>
      </c>
      <c r="C174" t="s">
        <v>541</v>
      </c>
      <c r="D174" t="s">
        <v>542</v>
      </c>
      <c r="AS174">
        <v>1000000</v>
      </c>
    </row>
    <row r="175" spans="1:70">
      <c r="A175" t="s">
        <v>347</v>
      </c>
      <c r="B175" t="s">
        <v>348</v>
      </c>
      <c r="C175" t="s">
        <v>541</v>
      </c>
      <c r="D175" t="s">
        <v>542</v>
      </c>
      <c r="P175">
        <v>7000000</v>
      </c>
      <c r="AA175">
        <v>6000000</v>
      </c>
      <c r="AF175">
        <v>3000000</v>
      </c>
      <c r="AN175">
        <v>0</v>
      </c>
      <c r="AR175">
        <v>11000000</v>
      </c>
      <c r="BF175">
        <v>15000000</v>
      </c>
      <c r="BG175">
        <v>15000000</v>
      </c>
      <c r="BL175">
        <v>1000000</v>
      </c>
      <c r="BQ175">
        <v>20000000</v>
      </c>
    </row>
    <row r="176" spans="1:70">
      <c r="A176" t="s">
        <v>349</v>
      </c>
      <c r="B176" t="s">
        <v>350</v>
      </c>
      <c r="C176" t="s">
        <v>541</v>
      </c>
      <c r="D176" t="s">
        <v>542</v>
      </c>
      <c r="E176">
        <v>6193000000</v>
      </c>
      <c r="F176">
        <v>6587000000</v>
      </c>
      <c r="G176">
        <v>6315000000</v>
      </c>
      <c r="H176">
        <v>9670000000</v>
      </c>
      <c r="I176">
        <v>12763000000</v>
      </c>
      <c r="J176">
        <v>12121000000</v>
      </c>
      <c r="K176">
        <v>9056000000</v>
      </c>
      <c r="L176">
        <v>7510000000</v>
      </c>
      <c r="M176">
        <v>8817000000</v>
      </c>
      <c r="N176">
        <v>11815000000</v>
      </c>
      <c r="O176">
        <v>8548000000</v>
      </c>
      <c r="P176">
        <v>11896000000</v>
      </c>
      <c r="Q176">
        <v>10997000000</v>
      </c>
      <c r="R176">
        <v>12121000000</v>
      </c>
      <c r="S176">
        <v>12832000000</v>
      </c>
      <c r="T176">
        <v>15401000000</v>
      </c>
      <c r="U176">
        <v>15973000000</v>
      </c>
      <c r="V176">
        <v>14462000000</v>
      </c>
      <c r="W176">
        <v>13690000000</v>
      </c>
      <c r="X176">
        <v>9949000000</v>
      </c>
      <c r="Y176">
        <v>10767000000</v>
      </c>
      <c r="Z176">
        <v>13753000000</v>
      </c>
      <c r="AA176">
        <v>14202000000</v>
      </c>
      <c r="AB176">
        <v>13923000000</v>
      </c>
      <c r="AC176">
        <v>11967000000</v>
      </c>
      <c r="AD176">
        <v>10846000000</v>
      </c>
      <c r="AE176">
        <v>11851000000</v>
      </c>
      <c r="AF176">
        <v>12441000000</v>
      </c>
      <c r="AG176">
        <v>12153000000</v>
      </c>
      <c r="AH176">
        <v>11382000000</v>
      </c>
      <c r="AI176">
        <v>10783000000</v>
      </c>
      <c r="AJ176">
        <v>12673000000</v>
      </c>
      <c r="AK176">
        <v>14288000000</v>
      </c>
      <c r="AL176">
        <v>13915000000</v>
      </c>
      <c r="AM176">
        <v>11629000000</v>
      </c>
      <c r="AN176">
        <v>11472000000</v>
      </c>
      <c r="AO176">
        <v>10949000000</v>
      </c>
      <c r="AP176">
        <v>14569000000</v>
      </c>
      <c r="AQ176">
        <v>15878000000</v>
      </c>
      <c r="AR176">
        <v>11628000000</v>
      </c>
      <c r="AS176">
        <v>7747000000</v>
      </c>
      <c r="AT176">
        <v>5715000000</v>
      </c>
      <c r="AU176">
        <v>5049000000</v>
      </c>
      <c r="AV176">
        <v>5986000000</v>
      </c>
      <c r="AW176">
        <v>7158000000</v>
      </c>
      <c r="AX176">
        <v>6958000000</v>
      </c>
      <c r="AY176">
        <v>7751000000</v>
      </c>
      <c r="AZ176">
        <v>8204000000</v>
      </c>
      <c r="BA176">
        <v>7341000000</v>
      </c>
      <c r="BB176">
        <v>7349000000</v>
      </c>
      <c r="BC176">
        <v>8550000000</v>
      </c>
      <c r="BD176">
        <v>9318000000</v>
      </c>
      <c r="BE176">
        <v>9223000000</v>
      </c>
      <c r="BF176">
        <v>7940000000</v>
      </c>
      <c r="BG176">
        <v>9644000000</v>
      </c>
      <c r="BH176">
        <v>10612000000</v>
      </c>
      <c r="BI176">
        <v>9986000000</v>
      </c>
      <c r="BJ176">
        <v>11444000000</v>
      </c>
      <c r="BK176">
        <v>9372000000</v>
      </c>
      <c r="BL176">
        <v>10721000000</v>
      </c>
      <c r="BM176">
        <v>9853000000</v>
      </c>
      <c r="BN176">
        <v>11745000000</v>
      </c>
      <c r="BO176">
        <v>14652000000</v>
      </c>
      <c r="BP176">
        <v>11196000000</v>
      </c>
      <c r="BQ176">
        <v>13888000000</v>
      </c>
      <c r="BR176">
        <v>14292000000</v>
      </c>
    </row>
    <row r="177" spans="1:70">
      <c r="A177" t="s">
        <v>351</v>
      </c>
      <c r="B177" t="s">
        <v>352</v>
      </c>
      <c r="C177" t="s">
        <v>541</v>
      </c>
      <c r="D177" t="s">
        <v>542</v>
      </c>
    </row>
    <row r="178" spans="1:70">
      <c r="A178" t="s">
        <v>353</v>
      </c>
      <c r="B178" t="s">
        <v>354</v>
      </c>
      <c r="C178" t="s">
        <v>541</v>
      </c>
      <c r="D178" t="s">
        <v>542</v>
      </c>
    </row>
    <row r="179" spans="1:70">
      <c r="A179" t="s">
        <v>355</v>
      </c>
      <c r="B179" t="s">
        <v>356</v>
      </c>
      <c r="C179" t="s">
        <v>541</v>
      </c>
      <c r="D179" t="s">
        <v>542</v>
      </c>
      <c r="R179">
        <v>0</v>
      </c>
    </row>
    <row r="180" spans="1:70">
      <c r="A180" t="s">
        <v>357</v>
      </c>
      <c r="B180" t="s">
        <v>358</v>
      </c>
      <c r="C180" t="s">
        <v>541</v>
      </c>
      <c r="D180" t="s">
        <v>542</v>
      </c>
      <c r="AH180">
        <v>2000000</v>
      </c>
      <c r="AI180">
        <v>3000000</v>
      </c>
      <c r="AS180">
        <v>0</v>
      </c>
      <c r="BN180">
        <v>3000000</v>
      </c>
      <c r="BO180">
        <v>4000000</v>
      </c>
    </row>
    <row r="181" spans="1:70">
      <c r="A181" t="s">
        <v>359</v>
      </c>
      <c r="B181" t="s">
        <v>360</v>
      </c>
      <c r="C181" t="s">
        <v>541</v>
      </c>
      <c r="D181" t="s">
        <v>542</v>
      </c>
      <c r="AH181">
        <v>2000000</v>
      </c>
      <c r="AI181">
        <v>2000000</v>
      </c>
      <c r="AK181">
        <v>74000000</v>
      </c>
      <c r="AL181">
        <v>18000000</v>
      </c>
    </row>
    <row r="182" spans="1:70">
      <c r="A182" t="s">
        <v>361</v>
      </c>
      <c r="B182" t="s">
        <v>362</v>
      </c>
      <c r="C182" t="s">
        <v>541</v>
      </c>
      <c r="D182" t="s">
        <v>542</v>
      </c>
      <c r="E182">
        <v>38000000</v>
      </c>
      <c r="F182">
        <v>105000000</v>
      </c>
      <c r="G182">
        <v>69000000</v>
      </c>
      <c r="H182">
        <v>43000000</v>
      </c>
      <c r="I182">
        <v>95000000</v>
      </c>
      <c r="J182">
        <v>40000000</v>
      </c>
      <c r="K182">
        <v>144000000</v>
      </c>
      <c r="L182">
        <v>95000000</v>
      </c>
      <c r="M182">
        <v>352000000</v>
      </c>
      <c r="N182">
        <v>107000000</v>
      </c>
      <c r="O182">
        <v>5000000</v>
      </c>
      <c r="P182">
        <v>155000000</v>
      </c>
      <c r="Q182">
        <v>133000000</v>
      </c>
      <c r="R182">
        <v>203000000</v>
      </c>
      <c r="S182">
        <v>83000000</v>
      </c>
      <c r="T182">
        <v>148000000</v>
      </c>
      <c r="U182">
        <v>293000000</v>
      </c>
      <c r="V182">
        <v>444000000</v>
      </c>
      <c r="W182">
        <v>235000000</v>
      </c>
      <c r="X182">
        <v>243000000</v>
      </c>
      <c r="Y182">
        <v>612000000</v>
      </c>
      <c r="Z182">
        <v>801000000</v>
      </c>
      <c r="AA182">
        <v>661000000</v>
      </c>
      <c r="AB182">
        <v>457000000</v>
      </c>
      <c r="AC182">
        <v>364000000</v>
      </c>
      <c r="AD182">
        <v>180000000</v>
      </c>
      <c r="AE182">
        <v>357000000</v>
      </c>
      <c r="AF182">
        <v>506000000</v>
      </c>
      <c r="AG182">
        <v>776000000</v>
      </c>
      <c r="AH182">
        <v>558000000</v>
      </c>
      <c r="AI182">
        <v>416000000</v>
      </c>
      <c r="AJ182">
        <v>455000000</v>
      </c>
      <c r="AK182">
        <v>383000000</v>
      </c>
      <c r="AL182">
        <v>458000000</v>
      </c>
      <c r="AM182">
        <v>628000000</v>
      </c>
      <c r="AN182">
        <v>458000000</v>
      </c>
      <c r="AO182">
        <v>484000000</v>
      </c>
      <c r="AP182">
        <v>619000000</v>
      </c>
      <c r="AQ182">
        <v>642000000</v>
      </c>
      <c r="AR182">
        <v>355000000</v>
      </c>
      <c r="AS182">
        <v>281000000</v>
      </c>
      <c r="AT182">
        <v>199000000</v>
      </c>
      <c r="AU182">
        <v>233000000</v>
      </c>
      <c r="AV182">
        <v>331000000</v>
      </c>
      <c r="AW182">
        <v>202000000</v>
      </c>
      <c r="AX182">
        <v>496000000</v>
      </c>
      <c r="AY182">
        <v>1147000000</v>
      </c>
      <c r="AZ182">
        <v>1228000000</v>
      </c>
      <c r="BA182">
        <v>452000000</v>
      </c>
      <c r="BB182">
        <v>504000000</v>
      </c>
      <c r="BC182">
        <v>366000000</v>
      </c>
      <c r="BD182">
        <v>541000000</v>
      </c>
      <c r="BE182">
        <v>906000000</v>
      </c>
      <c r="BF182">
        <v>384000000</v>
      </c>
      <c r="BG182">
        <v>643000000</v>
      </c>
      <c r="BH182">
        <v>469000000</v>
      </c>
      <c r="BI182">
        <v>487000000</v>
      </c>
      <c r="BJ182">
        <v>1140000000</v>
      </c>
      <c r="BK182">
        <v>468000000</v>
      </c>
      <c r="BL182">
        <v>304000000</v>
      </c>
      <c r="BM182">
        <v>497000000</v>
      </c>
      <c r="BN182">
        <v>357000000</v>
      </c>
      <c r="BO182">
        <v>324000000</v>
      </c>
      <c r="BP182">
        <v>250000000</v>
      </c>
      <c r="BQ182">
        <v>370000000</v>
      </c>
      <c r="BR182">
        <v>601000000</v>
      </c>
    </row>
    <row r="183" spans="1:70">
      <c r="A183" t="s">
        <v>363</v>
      </c>
      <c r="B183" t="s">
        <v>364</v>
      </c>
      <c r="C183" t="s">
        <v>541</v>
      </c>
      <c r="D183" t="s">
        <v>542</v>
      </c>
      <c r="E183">
        <v>38000000</v>
      </c>
      <c r="G183">
        <v>37000000</v>
      </c>
      <c r="H183">
        <v>55000000</v>
      </c>
      <c r="I183">
        <v>139000000</v>
      </c>
      <c r="J183">
        <v>65000000</v>
      </c>
      <c r="K183">
        <v>80000000</v>
      </c>
      <c r="L183">
        <v>164000000</v>
      </c>
      <c r="M183">
        <v>77000000</v>
      </c>
      <c r="N183">
        <v>40000000</v>
      </c>
      <c r="P183">
        <v>4000000</v>
      </c>
      <c r="Q183">
        <v>29000000</v>
      </c>
      <c r="R183">
        <v>10000000</v>
      </c>
      <c r="T183">
        <v>6000000</v>
      </c>
      <c r="U183">
        <v>6000000</v>
      </c>
      <c r="V183">
        <v>6000000</v>
      </c>
      <c r="W183">
        <v>87000000</v>
      </c>
      <c r="X183">
        <v>135000000</v>
      </c>
      <c r="Y183">
        <v>121000000</v>
      </c>
      <c r="Z183">
        <v>238000000</v>
      </c>
      <c r="AA183">
        <v>49000000</v>
      </c>
      <c r="AB183">
        <v>35000000</v>
      </c>
      <c r="AD183">
        <v>42000000</v>
      </c>
      <c r="AE183">
        <v>29000000</v>
      </c>
      <c r="AF183">
        <v>54000000</v>
      </c>
      <c r="AG183">
        <v>34000000</v>
      </c>
      <c r="AH183">
        <v>127000000</v>
      </c>
      <c r="AI183">
        <v>85000000</v>
      </c>
      <c r="AJ183">
        <v>166000000</v>
      </c>
      <c r="AK183">
        <v>78000000</v>
      </c>
      <c r="AL183">
        <v>37000000</v>
      </c>
      <c r="AM183">
        <v>39000000</v>
      </c>
      <c r="AN183">
        <v>15000000</v>
      </c>
      <c r="AO183">
        <v>4000000</v>
      </c>
      <c r="AP183">
        <v>10000000</v>
      </c>
      <c r="AQ183">
        <v>3000000</v>
      </c>
      <c r="AR183">
        <v>3000000</v>
      </c>
      <c r="AS183">
        <v>2000000</v>
      </c>
      <c r="AT183">
        <v>31000000</v>
      </c>
      <c r="AU183">
        <v>78000000</v>
      </c>
      <c r="AV183">
        <v>91000000</v>
      </c>
      <c r="AW183">
        <v>59000000</v>
      </c>
      <c r="AX183">
        <v>6000000</v>
      </c>
      <c r="AY183">
        <v>14000000</v>
      </c>
      <c r="AZ183">
        <v>3000000</v>
      </c>
      <c r="BA183">
        <v>8000000</v>
      </c>
      <c r="BB183">
        <v>31000000</v>
      </c>
      <c r="BD183">
        <v>62000000</v>
      </c>
      <c r="BE183">
        <v>52000000</v>
      </c>
      <c r="BF183">
        <v>97000000</v>
      </c>
      <c r="BG183">
        <v>87000000</v>
      </c>
      <c r="BH183">
        <v>117000000</v>
      </c>
      <c r="BI183">
        <v>85000000</v>
      </c>
      <c r="BJ183">
        <v>98000000</v>
      </c>
      <c r="BK183">
        <v>71000000</v>
      </c>
      <c r="BL183">
        <v>27000000</v>
      </c>
      <c r="BM183">
        <v>60000000</v>
      </c>
      <c r="BN183">
        <v>102000000</v>
      </c>
      <c r="BO183">
        <v>120000000</v>
      </c>
      <c r="BP183">
        <v>327000000</v>
      </c>
      <c r="BQ183">
        <v>569000000</v>
      </c>
      <c r="BR183">
        <v>415000000</v>
      </c>
    </row>
    <row r="184" spans="1:70">
      <c r="A184" t="s">
        <v>365</v>
      </c>
      <c r="B184" t="s">
        <v>366</v>
      </c>
      <c r="C184" t="s">
        <v>541</v>
      </c>
      <c r="D184" t="s">
        <v>542</v>
      </c>
    </row>
    <row r="185" spans="1:70">
      <c r="A185" t="s">
        <v>367</v>
      </c>
      <c r="B185" t="s">
        <v>368</v>
      </c>
      <c r="C185" t="s">
        <v>541</v>
      </c>
      <c r="D185" t="s">
        <v>542</v>
      </c>
    </row>
    <row r="186" spans="1:70">
      <c r="A186" t="s">
        <v>369</v>
      </c>
      <c r="B186" t="s">
        <v>370</v>
      </c>
      <c r="C186" t="s">
        <v>541</v>
      </c>
      <c r="D186" t="s">
        <v>542</v>
      </c>
      <c r="L186">
        <v>1000000</v>
      </c>
      <c r="M186">
        <v>1000000</v>
      </c>
      <c r="N186">
        <v>0</v>
      </c>
      <c r="Q186">
        <v>0</v>
      </c>
      <c r="R186">
        <v>2000000</v>
      </c>
      <c r="S186">
        <v>5000000</v>
      </c>
      <c r="T186">
        <v>3000000</v>
      </c>
      <c r="Z186">
        <v>1000000</v>
      </c>
      <c r="AA186">
        <v>2000000</v>
      </c>
      <c r="AC186">
        <v>10000000</v>
      </c>
      <c r="AD186">
        <v>7000000</v>
      </c>
      <c r="AE186">
        <v>0</v>
      </c>
      <c r="AJ186">
        <v>34000000</v>
      </c>
      <c r="AK186">
        <v>4000000</v>
      </c>
      <c r="AM186">
        <v>3000000</v>
      </c>
      <c r="AR186">
        <v>1000000</v>
      </c>
      <c r="AS186">
        <v>1000000</v>
      </c>
      <c r="AU186">
        <v>1000000</v>
      </c>
      <c r="AW186">
        <v>1000000</v>
      </c>
      <c r="AX186">
        <v>0</v>
      </c>
      <c r="BE186">
        <v>75000000</v>
      </c>
      <c r="BH186">
        <v>1000000</v>
      </c>
      <c r="BI186">
        <v>6000000</v>
      </c>
      <c r="BK186">
        <v>7000000</v>
      </c>
      <c r="BO186">
        <v>29000000</v>
      </c>
      <c r="BP186">
        <v>20000000</v>
      </c>
    </row>
    <row r="187" spans="1:70">
      <c r="A187" t="s">
        <v>371</v>
      </c>
      <c r="B187" t="s">
        <v>372</v>
      </c>
      <c r="C187" t="s">
        <v>541</v>
      </c>
      <c r="D187" t="s">
        <v>542</v>
      </c>
      <c r="E187">
        <v>10157000000</v>
      </c>
      <c r="F187">
        <v>9822000000</v>
      </c>
      <c r="G187">
        <v>9512000000</v>
      </c>
      <c r="H187">
        <v>13209000000</v>
      </c>
      <c r="I187">
        <v>17552000000</v>
      </c>
      <c r="J187">
        <v>16513000000</v>
      </c>
      <c r="K187">
        <v>14467000000</v>
      </c>
      <c r="L187">
        <v>13023000000</v>
      </c>
      <c r="M187">
        <v>13818000000</v>
      </c>
      <c r="N187">
        <v>16956000000</v>
      </c>
      <c r="O187">
        <v>13723000000</v>
      </c>
      <c r="P187">
        <v>19631000000</v>
      </c>
      <c r="Q187">
        <v>18900000000</v>
      </c>
      <c r="R187">
        <v>19072000000</v>
      </c>
      <c r="S187">
        <v>19712000000</v>
      </c>
      <c r="T187">
        <v>23620000000</v>
      </c>
      <c r="U187">
        <v>24390000000</v>
      </c>
      <c r="V187">
        <v>23376000000</v>
      </c>
      <c r="W187">
        <v>22811000000</v>
      </c>
      <c r="X187">
        <v>19115000000</v>
      </c>
      <c r="Y187">
        <v>21265000000</v>
      </c>
      <c r="Z187">
        <v>26127000000</v>
      </c>
      <c r="AA187">
        <v>25965000000</v>
      </c>
      <c r="AB187">
        <v>25320000000</v>
      </c>
      <c r="AC187">
        <v>23636000000</v>
      </c>
      <c r="AD187">
        <v>20725000000</v>
      </c>
      <c r="AE187">
        <v>20496000000</v>
      </c>
      <c r="AF187">
        <v>21183000000</v>
      </c>
      <c r="AG187">
        <v>20677000000</v>
      </c>
      <c r="AH187">
        <v>20713000000</v>
      </c>
      <c r="AI187">
        <v>18316000000</v>
      </c>
      <c r="AJ187">
        <v>20071000000</v>
      </c>
      <c r="AK187">
        <v>20096000000</v>
      </c>
      <c r="AL187">
        <v>20336000000</v>
      </c>
      <c r="AM187">
        <v>19700000000</v>
      </c>
      <c r="AN187">
        <v>17710000000</v>
      </c>
      <c r="AO187">
        <v>18689000000</v>
      </c>
      <c r="AP187">
        <v>23562000000</v>
      </c>
      <c r="AQ187">
        <v>24389000000</v>
      </c>
      <c r="AR187">
        <v>18675000000</v>
      </c>
      <c r="AS187">
        <v>13768000000</v>
      </c>
      <c r="AT187">
        <v>11899000000</v>
      </c>
      <c r="AU187">
        <v>10497000000</v>
      </c>
      <c r="AV187">
        <v>12149000000</v>
      </c>
      <c r="AW187">
        <v>13663000000</v>
      </c>
      <c r="AX187">
        <v>15053000000</v>
      </c>
      <c r="AY187">
        <v>17333000000</v>
      </c>
      <c r="AZ187">
        <v>19299000000</v>
      </c>
      <c r="BA187">
        <v>16392000000</v>
      </c>
      <c r="BB187">
        <v>16922000000</v>
      </c>
      <c r="BC187">
        <v>16391000000</v>
      </c>
      <c r="BD187">
        <v>18615000000</v>
      </c>
      <c r="BE187">
        <v>16020000000</v>
      </c>
      <c r="BF187">
        <v>15856000000</v>
      </c>
      <c r="BG187">
        <v>19130000000</v>
      </c>
      <c r="BH187">
        <v>19991000000</v>
      </c>
      <c r="BI187">
        <v>20731000000</v>
      </c>
      <c r="BJ187">
        <v>22222000000</v>
      </c>
      <c r="BK187">
        <v>17954000000</v>
      </c>
      <c r="BL187">
        <v>19312000000</v>
      </c>
      <c r="BM187">
        <v>18737000000</v>
      </c>
      <c r="BN187">
        <v>22353000000</v>
      </c>
      <c r="BO187">
        <v>27780000000</v>
      </c>
      <c r="BP187">
        <v>24319000000</v>
      </c>
      <c r="BQ187">
        <v>26020000000</v>
      </c>
      <c r="BR187">
        <v>29619000000</v>
      </c>
    </row>
    <row r="188" spans="1:70">
      <c r="A188" t="s">
        <v>373</v>
      </c>
      <c r="B188" t="s">
        <v>374</v>
      </c>
      <c r="C188" t="s">
        <v>541</v>
      </c>
      <c r="D188" t="s">
        <v>542</v>
      </c>
      <c r="V188">
        <v>5000000</v>
      </c>
      <c r="AE188">
        <v>5000000</v>
      </c>
      <c r="AM188">
        <v>0</v>
      </c>
      <c r="AX188">
        <v>1000000</v>
      </c>
      <c r="BJ188">
        <v>7000000</v>
      </c>
    </row>
    <row r="189" spans="1:70">
      <c r="A189" t="s">
        <v>375</v>
      </c>
      <c r="B189" t="s">
        <v>376</v>
      </c>
      <c r="C189" t="s">
        <v>541</v>
      </c>
      <c r="D189" t="s">
        <v>542</v>
      </c>
    </row>
    <row r="190" spans="1:70">
      <c r="A190" t="s">
        <v>377</v>
      </c>
      <c r="B190" t="s">
        <v>378</v>
      </c>
      <c r="C190" t="s">
        <v>541</v>
      </c>
      <c r="D190" t="s">
        <v>542</v>
      </c>
      <c r="L190">
        <v>6000000</v>
      </c>
      <c r="P190">
        <v>3000000</v>
      </c>
      <c r="Y190">
        <v>15000000</v>
      </c>
      <c r="Z190">
        <v>30000000</v>
      </c>
      <c r="AA190">
        <v>30000000</v>
      </c>
      <c r="AD190">
        <v>12000000</v>
      </c>
      <c r="AH190">
        <v>1000000</v>
      </c>
      <c r="AI190">
        <v>82000000</v>
      </c>
      <c r="AJ190">
        <v>3000000</v>
      </c>
      <c r="AM190">
        <v>2000000</v>
      </c>
      <c r="AS190">
        <v>4000000</v>
      </c>
      <c r="AU190">
        <v>9000000</v>
      </c>
      <c r="AV190">
        <v>8000000</v>
      </c>
      <c r="AW190">
        <v>9000000</v>
      </c>
      <c r="AX190">
        <v>26000000</v>
      </c>
      <c r="AY190">
        <v>4000000</v>
      </c>
      <c r="BA190">
        <v>1000000</v>
      </c>
      <c r="BI190">
        <v>1000000</v>
      </c>
      <c r="BJ190">
        <v>3000000</v>
      </c>
      <c r="BK190">
        <v>3000000</v>
      </c>
      <c r="BL190">
        <v>1000000</v>
      </c>
      <c r="BN190">
        <v>72000000</v>
      </c>
      <c r="BO190">
        <v>1000000</v>
      </c>
      <c r="BP190">
        <v>5000000</v>
      </c>
      <c r="BQ190">
        <v>6000000</v>
      </c>
      <c r="BR190">
        <v>127000000</v>
      </c>
    </row>
    <row r="191" spans="1:70">
      <c r="A191" t="s">
        <v>379</v>
      </c>
      <c r="B191" t="s">
        <v>380</v>
      </c>
      <c r="C191" t="s">
        <v>541</v>
      </c>
      <c r="D191" t="s">
        <v>542</v>
      </c>
      <c r="X191">
        <v>2000000</v>
      </c>
      <c r="BL191">
        <v>1000000</v>
      </c>
    </row>
    <row r="192" spans="1:70">
      <c r="A192" t="s">
        <v>381</v>
      </c>
      <c r="B192" t="s">
        <v>382</v>
      </c>
      <c r="C192" t="s">
        <v>541</v>
      </c>
      <c r="D192" t="s">
        <v>542</v>
      </c>
      <c r="AA192">
        <v>50000000</v>
      </c>
      <c r="AT192">
        <v>14000000</v>
      </c>
      <c r="AW192">
        <v>5000000</v>
      </c>
    </row>
    <row r="193" spans="1:70">
      <c r="A193" t="s">
        <v>383</v>
      </c>
      <c r="B193" t="s">
        <v>384</v>
      </c>
      <c r="C193" t="s">
        <v>541</v>
      </c>
      <c r="D193" t="s">
        <v>542</v>
      </c>
      <c r="AE193">
        <v>1000000</v>
      </c>
      <c r="AZ193">
        <v>4000000</v>
      </c>
    </row>
    <row r="194" spans="1:70">
      <c r="A194" t="s">
        <v>385</v>
      </c>
      <c r="B194" t="s">
        <v>386</v>
      </c>
      <c r="C194" t="s">
        <v>541</v>
      </c>
      <c r="D194" t="s">
        <v>542</v>
      </c>
    </row>
    <row r="195" spans="1:70">
      <c r="A195" t="s">
        <v>387</v>
      </c>
      <c r="B195" t="s">
        <v>388</v>
      </c>
      <c r="C195" t="s">
        <v>541</v>
      </c>
      <c r="D195" t="s">
        <v>542</v>
      </c>
    </row>
    <row r="196" spans="1:70">
      <c r="A196" t="s">
        <v>389</v>
      </c>
      <c r="B196" t="s">
        <v>390</v>
      </c>
      <c r="C196" t="s">
        <v>541</v>
      </c>
      <c r="D196" t="s">
        <v>542</v>
      </c>
      <c r="E196">
        <v>0</v>
      </c>
      <c r="G196">
        <v>7000000</v>
      </c>
      <c r="H196">
        <v>111000000</v>
      </c>
      <c r="I196">
        <v>237000000</v>
      </c>
      <c r="J196">
        <v>234000000</v>
      </c>
      <c r="K196">
        <v>319000000</v>
      </c>
      <c r="L196">
        <v>309000000</v>
      </c>
      <c r="M196">
        <v>288000000</v>
      </c>
      <c r="N196">
        <v>323000000</v>
      </c>
      <c r="O196">
        <v>268000000</v>
      </c>
      <c r="P196">
        <v>278000000</v>
      </c>
      <c r="Q196">
        <v>276000000</v>
      </c>
      <c r="R196">
        <v>158000000</v>
      </c>
      <c r="S196">
        <v>249000000</v>
      </c>
      <c r="T196">
        <v>316000000</v>
      </c>
      <c r="U196">
        <v>425000000</v>
      </c>
      <c r="V196">
        <v>400000000</v>
      </c>
      <c r="W196">
        <v>336000000</v>
      </c>
      <c r="X196">
        <v>247000000</v>
      </c>
      <c r="Y196">
        <v>226000000</v>
      </c>
      <c r="Z196">
        <v>365000000</v>
      </c>
      <c r="AA196">
        <v>230000000</v>
      </c>
      <c r="AB196">
        <v>134000000</v>
      </c>
      <c r="AC196">
        <v>91000000</v>
      </c>
      <c r="AD196">
        <v>131000000</v>
      </c>
      <c r="AE196">
        <v>265000000</v>
      </c>
      <c r="AF196">
        <v>222000000</v>
      </c>
      <c r="AG196">
        <v>232000000</v>
      </c>
      <c r="AH196">
        <v>20000000</v>
      </c>
      <c r="AI196">
        <v>112000000</v>
      </c>
      <c r="AJ196">
        <v>62000000</v>
      </c>
      <c r="AK196">
        <v>57000000</v>
      </c>
      <c r="AM196">
        <v>133000000</v>
      </c>
      <c r="AN196">
        <v>179000000</v>
      </c>
      <c r="AO196">
        <v>57000000</v>
      </c>
      <c r="AP196">
        <v>23000000</v>
      </c>
      <c r="AQ196">
        <v>1000000</v>
      </c>
      <c r="AR196">
        <v>65000000</v>
      </c>
      <c r="AS196">
        <v>47000000</v>
      </c>
      <c r="AT196">
        <v>81000000</v>
      </c>
      <c r="AU196">
        <v>56000000</v>
      </c>
      <c r="AV196">
        <v>83000000</v>
      </c>
      <c r="AW196">
        <v>47000000</v>
      </c>
      <c r="AX196">
        <v>18000000</v>
      </c>
      <c r="AY196">
        <v>282000000</v>
      </c>
      <c r="AZ196">
        <v>163000000</v>
      </c>
      <c r="BA196">
        <v>73000000</v>
      </c>
      <c r="BB196">
        <v>75000000</v>
      </c>
      <c r="BC196">
        <v>28000000</v>
      </c>
      <c r="BD196">
        <v>8000000</v>
      </c>
      <c r="BE196">
        <v>31000000</v>
      </c>
      <c r="BF196">
        <v>147000000</v>
      </c>
      <c r="BG196">
        <v>33000000</v>
      </c>
      <c r="BH196">
        <v>2000000</v>
      </c>
      <c r="BI196">
        <v>5000000</v>
      </c>
      <c r="BJ196">
        <v>8000000</v>
      </c>
      <c r="BK196">
        <v>11000000</v>
      </c>
      <c r="BL196">
        <v>10000000</v>
      </c>
      <c r="BM196">
        <v>0</v>
      </c>
      <c r="BN196">
        <v>3000000</v>
      </c>
      <c r="BO196">
        <v>707000000</v>
      </c>
      <c r="BP196">
        <v>576000000</v>
      </c>
      <c r="BQ196">
        <v>145000000</v>
      </c>
      <c r="BR196">
        <v>59000000</v>
      </c>
    </row>
    <row r="197" spans="1:70">
      <c r="A197" t="s">
        <v>391</v>
      </c>
      <c r="B197" t="s">
        <v>392</v>
      </c>
      <c r="C197" t="s">
        <v>541</v>
      </c>
      <c r="D197" t="s">
        <v>542</v>
      </c>
      <c r="E197">
        <v>3000000</v>
      </c>
      <c r="L197">
        <v>2000000</v>
      </c>
      <c r="M197">
        <v>0</v>
      </c>
      <c r="P197">
        <v>1000000</v>
      </c>
      <c r="R197">
        <v>0</v>
      </c>
    </row>
    <row r="198" spans="1:70">
      <c r="A198" t="s">
        <v>393</v>
      </c>
      <c r="B198" t="s">
        <v>394</v>
      </c>
      <c r="C198" t="s">
        <v>541</v>
      </c>
      <c r="D198" t="s">
        <v>542</v>
      </c>
    </row>
    <row r="199" spans="1:70">
      <c r="A199" t="s">
        <v>395</v>
      </c>
      <c r="B199" t="s">
        <v>396</v>
      </c>
      <c r="C199" t="s">
        <v>541</v>
      </c>
      <c r="D199" t="s">
        <v>542</v>
      </c>
      <c r="S199">
        <v>8000000</v>
      </c>
      <c r="T199">
        <v>12000000</v>
      </c>
      <c r="X199">
        <v>20000000</v>
      </c>
      <c r="Y199">
        <v>43000000</v>
      </c>
      <c r="Z199">
        <v>27000000</v>
      </c>
      <c r="AA199">
        <v>129000000</v>
      </c>
      <c r="AB199">
        <v>231000000</v>
      </c>
      <c r="AC199">
        <v>185000000</v>
      </c>
      <c r="AD199">
        <v>154000000</v>
      </c>
      <c r="AE199">
        <v>53000000</v>
      </c>
      <c r="AF199">
        <v>189000000</v>
      </c>
      <c r="AG199">
        <v>179000000</v>
      </c>
      <c r="AH199">
        <v>65000000</v>
      </c>
      <c r="AI199">
        <v>6000000</v>
      </c>
      <c r="AJ199">
        <v>85000000</v>
      </c>
      <c r="AK199">
        <v>98000000</v>
      </c>
      <c r="AL199">
        <v>104000000</v>
      </c>
      <c r="AM199">
        <v>21000000</v>
      </c>
      <c r="AN199">
        <v>33000000</v>
      </c>
      <c r="AO199">
        <v>35000000</v>
      </c>
      <c r="AP199">
        <v>35000000</v>
      </c>
      <c r="AQ199">
        <v>59000000</v>
      </c>
      <c r="AR199">
        <v>42000000</v>
      </c>
      <c r="AS199">
        <v>40000000</v>
      </c>
      <c r="AT199">
        <v>53000000</v>
      </c>
      <c r="AU199">
        <v>150000000</v>
      </c>
      <c r="AV199">
        <v>129000000</v>
      </c>
      <c r="AW199">
        <v>42000000</v>
      </c>
      <c r="AX199">
        <v>15000000</v>
      </c>
      <c r="AY199">
        <v>15000000</v>
      </c>
      <c r="AZ199">
        <v>15000000</v>
      </c>
      <c r="BA199">
        <v>15000000</v>
      </c>
      <c r="BB199">
        <v>23000000</v>
      </c>
      <c r="BC199">
        <v>7000000</v>
      </c>
      <c r="BG199">
        <v>1000000</v>
      </c>
      <c r="BP199">
        <v>9000000</v>
      </c>
      <c r="BQ199">
        <v>211000000</v>
      </c>
      <c r="BR199">
        <v>44000000</v>
      </c>
    </row>
    <row r="200" spans="1:70">
      <c r="A200" t="s">
        <v>397</v>
      </c>
      <c r="B200" t="s">
        <v>398</v>
      </c>
      <c r="C200" t="s">
        <v>541</v>
      </c>
      <c r="D200" t="s">
        <v>542</v>
      </c>
      <c r="L200">
        <v>2000000</v>
      </c>
      <c r="P200">
        <v>3000000</v>
      </c>
      <c r="R200">
        <v>6000000</v>
      </c>
      <c r="S200">
        <v>11000000</v>
      </c>
      <c r="T200">
        <v>93000000</v>
      </c>
      <c r="U200">
        <v>21000000</v>
      </c>
      <c r="W200">
        <v>4000000</v>
      </c>
      <c r="X200">
        <v>4000000</v>
      </c>
      <c r="Y200">
        <v>2000000</v>
      </c>
      <c r="AB200">
        <v>1000000</v>
      </c>
      <c r="AE200">
        <v>1000000</v>
      </c>
      <c r="AF200">
        <v>1000000</v>
      </c>
      <c r="AH200">
        <v>71000000</v>
      </c>
      <c r="AL200">
        <v>2000000</v>
      </c>
      <c r="BA200">
        <v>99000000</v>
      </c>
      <c r="BB200">
        <v>46000000</v>
      </c>
      <c r="BD200">
        <v>0</v>
      </c>
      <c r="BE200">
        <v>0</v>
      </c>
      <c r="BG200">
        <v>18000000</v>
      </c>
      <c r="BH200">
        <v>7000000</v>
      </c>
      <c r="BI200">
        <v>172000000</v>
      </c>
      <c r="BJ200">
        <v>56000000</v>
      </c>
      <c r="BK200">
        <v>3000000</v>
      </c>
      <c r="BL200">
        <v>3000000</v>
      </c>
      <c r="BM200">
        <v>46000000</v>
      </c>
      <c r="BN200">
        <v>11000000</v>
      </c>
      <c r="BO200">
        <v>2000000</v>
      </c>
      <c r="BP200">
        <v>8000000</v>
      </c>
      <c r="BQ200">
        <v>37000000</v>
      </c>
      <c r="BR200">
        <v>1000000</v>
      </c>
    </row>
    <row r="201" spans="1:70">
      <c r="A201" t="s">
        <v>399</v>
      </c>
      <c r="B201" t="s">
        <v>400</v>
      </c>
      <c r="C201" t="s">
        <v>541</v>
      </c>
      <c r="D201" t="s">
        <v>542</v>
      </c>
    </row>
    <row r="202" spans="1:70">
      <c r="A202" t="s">
        <v>401</v>
      </c>
      <c r="B202" t="s">
        <v>402</v>
      </c>
      <c r="C202" t="s">
        <v>541</v>
      </c>
      <c r="D202" t="s">
        <v>542</v>
      </c>
    </row>
    <row r="203" spans="1:70">
      <c r="A203" t="s">
        <v>403</v>
      </c>
      <c r="B203" t="s">
        <v>404</v>
      </c>
      <c r="C203" t="s">
        <v>541</v>
      </c>
      <c r="D203" t="s">
        <v>542</v>
      </c>
    </row>
    <row r="204" spans="1:70">
      <c r="A204" t="s">
        <v>405</v>
      </c>
      <c r="B204" t="s">
        <v>406</v>
      </c>
      <c r="C204" t="s">
        <v>541</v>
      </c>
      <c r="D204" t="s">
        <v>542</v>
      </c>
      <c r="E204">
        <v>10157000000</v>
      </c>
      <c r="F204">
        <v>9822000000</v>
      </c>
      <c r="G204">
        <v>9505000000</v>
      </c>
      <c r="H204">
        <v>13098000000</v>
      </c>
      <c r="I204">
        <v>17310000000</v>
      </c>
      <c r="J204">
        <v>16245000000</v>
      </c>
      <c r="K204">
        <v>14102000000</v>
      </c>
      <c r="L204">
        <v>12669000000</v>
      </c>
      <c r="M204">
        <v>13475000000</v>
      </c>
      <c r="N204">
        <v>16583000000</v>
      </c>
      <c r="O204">
        <v>13434000000</v>
      </c>
      <c r="P204">
        <v>19328000000</v>
      </c>
      <c r="Q204">
        <v>18589000000</v>
      </c>
      <c r="R204">
        <v>18896000000</v>
      </c>
      <c r="S204">
        <v>19420000000</v>
      </c>
      <c r="T204">
        <v>23213000000</v>
      </c>
      <c r="U204">
        <v>23885000000</v>
      </c>
      <c r="V204">
        <v>22775000000</v>
      </c>
      <c r="W204">
        <v>22294000000</v>
      </c>
      <c r="X204">
        <v>18762000000</v>
      </c>
      <c r="Y204">
        <v>20783000000</v>
      </c>
      <c r="Z204">
        <v>25570000000</v>
      </c>
      <c r="AA204">
        <v>25474000000</v>
      </c>
      <c r="AB204">
        <v>24851000000</v>
      </c>
      <c r="AC204">
        <v>23381000000</v>
      </c>
      <c r="AD204">
        <v>20418000000</v>
      </c>
      <c r="AE204">
        <v>19903000000</v>
      </c>
      <c r="AF204">
        <v>20909000000</v>
      </c>
      <c r="AG204">
        <v>20403000000</v>
      </c>
      <c r="AH204">
        <v>20594000000</v>
      </c>
      <c r="AI204">
        <v>18183000000</v>
      </c>
      <c r="AJ204">
        <v>19888000000</v>
      </c>
      <c r="AK204">
        <v>19905000000</v>
      </c>
      <c r="AL204">
        <v>19868000000</v>
      </c>
      <c r="AM204">
        <v>19507000000</v>
      </c>
      <c r="AN204">
        <v>17399000000</v>
      </c>
      <c r="AO204">
        <v>18598000000</v>
      </c>
      <c r="AP204">
        <v>24239000000</v>
      </c>
      <c r="AQ204">
        <v>24982000000</v>
      </c>
      <c r="AR204">
        <v>20005000000</v>
      </c>
      <c r="AS204">
        <v>15000000000</v>
      </c>
      <c r="AT204">
        <v>11906000000</v>
      </c>
      <c r="AU204">
        <v>10282000000</v>
      </c>
      <c r="AV204">
        <v>12019000000</v>
      </c>
      <c r="AW204">
        <v>13251000000</v>
      </c>
      <c r="AX204">
        <v>14901000000</v>
      </c>
      <c r="AY204">
        <v>17057000000</v>
      </c>
      <c r="AZ204">
        <v>19016000000</v>
      </c>
      <c r="BA204">
        <v>16278000000</v>
      </c>
      <c r="BB204">
        <v>16438000000</v>
      </c>
      <c r="BC204">
        <v>16263000000</v>
      </c>
      <c r="BD204">
        <v>18621000000</v>
      </c>
      <c r="BE204">
        <v>17004000000</v>
      </c>
      <c r="BF204">
        <v>16094000000</v>
      </c>
      <c r="BG204">
        <v>19240000000</v>
      </c>
      <c r="BH204">
        <v>19769000000</v>
      </c>
      <c r="BI204">
        <v>19965000000</v>
      </c>
      <c r="BJ204">
        <v>21248000000</v>
      </c>
      <c r="BK204">
        <v>16942000000</v>
      </c>
      <c r="BL204">
        <v>18869000000</v>
      </c>
      <c r="BM204">
        <v>18291000000</v>
      </c>
      <c r="BN204">
        <v>21515000000</v>
      </c>
      <c r="BO204">
        <v>25503000000</v>
      </c>
      <c r="BP204">
        <v>21749000000</v>
      </c>
      <c r="BQ204">
        <v>24461000000</v>
      </c>
      <c r="BR204">
        <v>26564000000</v>
      </c>
    </row>
    <row r="205" spans="1:70">
      <c r="A205" t="s">
        <v>407</v>
      </c>
      <c r="B205" t="s">
        <v>408</v>
      </c>
      <c r="C205" t="s">
        <v>541</v>
      </c>
      <c r="D205" t="s">
        <v>542</v>
      </c>
    </row>
    <row r="206" spans="1:70">
      <c r="A206" t="s">
        <v>409</v>
      </c>
      <c r="B206" t="s">
        <v>410</v>
      </c>
      <c r="C206" t="s">
        <v>541</v>
      </c>
      <c r="D206" t="s">
        <v>542</v>
      </c>
      <c r="AL206">
        <v>40000000</v>
      </c>
      <c r="AR206">
        <v>9000000</v>
      </c>
      <c r="AY206">
        <v>2000000</v>
      </c>
      <c r="BD206">
        <v>0</v>
      </c>
      <c r="BK206">
        <v>3000000</v>
      </c>
      <c r="BL206">
        <v>11000000</v>
      </c>
      <c r="BN206">
        <v>12000000</v>
      </c>
      <c r="BO206">
        <v>1000000</v>
      </c>
      <c r="BP206">
        <v>54000000</v>
      </c>
      <c r="BQ206">
        <v>20000000</v>
      </c>
      <c r="BR206">
        <v>2000000</v>
      </c>
    </row>
    <row r="207" spans="1:70">
      <c r="A207" t="s">
        <v>411</v>
      </c>
      <c r="B207" t="s">
        <v>412</v>
      </c>
      <c r="C207" t="s">
        <v>541</v>
      </c>
      <c r="D207" t="s">
        <v>542</v>
      </c>
      <c r="P207">
        <v>6000000</v>
      </c>
      <c r="Q207">
        <v>10000000</v>
      </c>
      <c r="R207">
        <v>10000000</v>
      </c>
      <c r="S207">
        <v>1000000</v>
      </c>
      <c r="V207">
        <v>4000000</v>
      </c>
      <c r="W207">
        <v>32000000</v>
      </c>
      <c r="X207">
        <v>44000000</v>
      </c>
      <c r="Y207">
        <v>54000000</v>
      </c>
      <c r="Z207">
        <v>36000000</v>
      </c>
      <c r="AA207">
        <v>91000000</v>
      </c>
      <c r="AB207">
        <v>102000000</v>
      </c>
      <c r="AC207">
        <v>174000000</v>
      </c>
      <c r="AD207">
        <v>99000000</v>
      </c>
      <c r="AE207">
        <v>29000000</v>
      </c>
      <c r="AF207">
        <v>37000000</v>
      </c>
      <c r="AG207">
        <v>52000000</v>
      </c>
      <c r="AH207">
        <v>25000000</v>
      </c>
      <c r="AI207">
        <v>7000000</v>
      </c>
      <c r="AJ207">
        <v>6000000</v>
      </c>
      <c r="AK207">
        <v>15000000</v>
      </c>
      <c r="AL207">
        <v>16000000</v>
      </c>
      <c r="AM207">
        <v>29000000</v>
      </c>
      <c r="AN207">
        <v>11000000</v>
      </c>
      <c r="AO207">
        <v>5000000</v>
      </c>
      <c r="AP207">
        <v>13000000</v>
      </c>
      <c r="AQ207">
        <v>2000000</v>
      </c>
      <c r="AR207">
        <v>19000000</v>
      </c>
      <c r="AS207">
        <v>3000000</v>
      </c>
      <c r="AV207">
        <v>24000000</v>
      </c>
      <c r="AX207">
        <v>3000000</v>
      </c>
      <c r="AY207">
        <v>8000000</v>
      </c>
      <c r="AZ207">
        <v>32000000</v>
      </c>
      <c r="BB207">
        <v>2000000</v>
      </c>
      <c r="BC207">
        <v>1000000</v>
      </c>
      <c r="BD207">
        <v>0</v>
      </c>
      <c r="BF207">
        <v>216000000</v>
      </c>
      <c r="BO207">
        <v>1000000</v>
      </c>
      <c r="BP207">
        <v>1000000</v>
      </c>
      <c r="BQ207">
        <v>123000000</v>
      </c>
      <c r="BR207">
        <v>132000000</v>
      </c>
    </row>
    <row r="208" spans="1:70">
      <c r="A208" t="s">
        <v>413</v>
      </c>
      <c r="B208" t="s">
        <v>414</v>
      </c>
      <c r="C208" t="s">
        <v>541</v>
      </c>
      <c r="D208" t="s">
        <v>542</v>
      </c>
      <c r="AK208">
        <v>2643000000</v>
      </c>
      <c r="AL208">
        <v>3486000000</v>
      </c>
      <c r="AM208">
        <v>1537000000</v>
      </c>
      <c r="AN208">
        <v>3828000000</v>
      </c>
      <c r="AO208">
        <v>3639000000</v>
      </c>
      <c r="AP208">
        <v>3448000000</v>
      </c>
      <c r="AQ208">
        <v>2120000000</v>
      </c>
      <c r="AR208">
        <v>4409000000</v>
      </c>
      <c r="AS208">
        <v>4496000000</v>
      </c>
      <c r="AT208">
        <v>5250000000</v>
      </c>
      <c r="AU208">
        <v>5735000000</v>
      </c>
      <c r="AV208">
        <v>5266000000</v>
      </c>
      <c r="AW208">
        <v>6353000000</v>
      </c>
      <c r="AX208">
        <v>5199000000</v>
      </c>
      <c r="AY208">
        <v>5182000000</v>
      </c>
      <c r="AZ208">
        <v>5596000000</v>
      </c>
      <c r="BA208">
        <v>5998000000</v>
      </c>
      <c r="BB208">
        <v>5126000000</v>
      </c>
      <c r="BC208">
        <v>6227000000</v>
      </c>
      <c r="BD208">
        <v>8793000000</v>
      </c>
      <c r="BE208">
        <v>8335000000</v>
      </c>
      <c r="BF208">
        <v>7887000000</v>
      </c>
      <c r="BG208">
        <v>5404000000</v>
      </c>
      <c r="BH208">
        <v>5799000000</v>
      </c>
      <c r="BI208">
        <v>6751000000</v>
      </c>
      <c r="BJ208">
        <v>6395000000</v>
      </c>
      <c r="BK208">
        <v>7145000000</v>
      </c>
      <c r="BL208">
        <v>5374000000</v>
      </c>
      <c r="BM208">
        <v>3660000000</v>
      </c>
      <c r="BN208">
        <v>2397000000</v>
      </c>
      <c r="BO208">
        <v>2566000000</v>
      </c>
      <c r="BP208">
        <v>1513000000</v>
      </c>
      <c r="BQ208">
        <v>1994000000</v>
      </c>
      <c r="BR208">
        <v>1941000000</v>
      </c>
    </row>
    <row r="209" spans="1:70">
      <c r="A209" t="s">
        <v>415</v>
      </c>
      <c r="B209" t="s">
        <v>416</v>
      </c>
      <c r="C209" t="s">
        <v>541</v>
      </c>
      <c r="D209" t="s">
        <v>542</v>
      </c>
    </row>
    <row r="210" spans="1:70">
      <c r="A210" t="s">
        <v>417</v>
      </c>
      <c r="B210" t="s">
        <v>418</v>
      </c>
      <c r="C210" t="s">
        <v>541</v>
      </c>
      <c r="D210" t="s">
        <v>542</v>
      </c>
      <c r="M210">
        <v>1000000</v>
      </c>
      <c r="P210">
        <v>7000000</v>
      </c>
      <c r="Q210">
        <v>2000000</v>
      </c>
      <c r="R210">
        <v>21000000</v>
      </c>
      <c r="S210">
        <v>24000000</v>
      </c>
      <c r="T210">
        <v>31000000</v>
      </c>
      <c r="W210">
        <v>27000000</v>
      </c>
      <c r="X210">
        <v>22000000</v>
      </c>
      <c r="AA210">
        <v>2000000</v>
      </c>
      <c r="AG210">
        <v>1000000</v>
      </c>
      <c r="AI210">
        <v>7000000</v>
      </c>
      <c r="AK210">
        <v>7000000</v>
      </c>
      <c r="AL210">
        <v>9000000</v>
      </c>
      <c r="AM210">
        <v>2000000</v>
      </c>
      <c r="AN210">
        <v>2000000</v>
      </c>
      <c r="AS210">
        <v>21000000</v>
      </c>
      <c r="AT210">
        <v>2000000</v>
      </c>
      <c r="AU210">
        <v>0</v>
      </c>
      <c r="AV210">
        <v>4000000</v>
      </c>
      <c r="AW210">
        <v>31000000</v>
      </c>
      <c r="AX210">
        <v>19000000</v>
      </c>
      <c r="AY210">
        <v>33000000</v>
      </c>
      <c r="AZ210">
        <v>23000000</v>
      </c>
      <c r="BA210">
        <v>15000000</v>
      </c>
      <c r="BB210">
        <v>27000000</v>
      </c>
      <c r="BC210">
        <v>5000000</v>
      </c>
      <c r="BD210">
        <v>3000000</v>
      </c>
      <c r="BF210">
        <v>18000000</v>
      </c>
      <c r="BG210">
        <v>40000000</v>
      </c>
      <c r="BH210">
        <v>42000000</v>
      </c>
      <c r="BI210">
        <v>49000000</v>
      </c>
      <c r="BJ210">
        <v>56000000</v>
      </c>
      <c r="BK210">
        <v>47000000</v>
      </c>
      <c r="BL210">
        <v>20000000</v>
      </c>
      <c r="BM210">
        <v>153000000</v>
      </c>
      <c r="BN210">
        <v>54000000</v>
      </c>
      <c r="BO210">
        <v>7000000</v>
      </c>
      <c r="BP210">
        <v>41000000</v>
      </c>
      <c r="BQ210">
        <v>94000000</v>
      </c>
      <c r="BR210">
        <v>81000000</v>
      </c>
    </row>
    <row r="211" spans="1:70">
      <c r="A211" t="s">
        <v>419</v>
      </c>
      <c r="B211" t="s">
        <v>420</v>
      </c>
      <c r="C211" t="s">
        <v>541</v>
      </c>
      <c r="D211" t="s">
        <v>542</v>
      </c>
      <c r="L211">
        <v>4000000</v>
      </c>
      <c r="M211">
        <v>3000000</v>
      </c>
      <c r="Q211">
        <v>2000000</v>
      </c>
      <c r="U211">
        <v>0</v>
      </c>
      <c r="V211">
        <v>13000000</v>
      </c>
      <c r="X211">
        <v>5000000</v>
      </c>
      <c r="Z211">
        <v>33000000</v>
      </c>
      <c r="AC211">
        <v>6000000</v>
      </c>
      <c r="AD211">
        <v>4000000</v>
      </c>
      <c r="AL211">
        <v>12000000</v>
      </c>
      <c r="AO211">
        <v>1000000</v>
      </c>
      <c r="AY211">
        <v>18000000</v>
      </c>
      <c r="BC211">
        <v>1000000</v>
      </c>
      <c r="BD211">
        <v>58000000</v>
      </c>
      <c r="BH211">
        <v>3000000</v>
      </c>
      <c r="BI211">
        <v>5000000</v>
      </c>
      <c r="BP211">
        <v>3000000</v>
      </c>
    </row>
    <row r="212" spans="1:70">
      <c r="A212" t="s">
        <v>421</v>
      </c>
      <c r="B212" t="s">
        <v>422</v>
      </c>
      <c r="C212" t="s">
        <v>541</v>
      </c>
      <c r="D212" t="s">
        <v>542</v>
      </c>
      <c r="L212">
        <v>1000000</v>
      </c>
      <c r="AE212">
        <v>4000000</v>
      </c>
      <c r="BF212">
        <v>11000000</v>
      </c>
    </row>
    <row r="213" spans="1:70">
      <c r="A213" t="s">
        <v>423</v>
      </c>
      <c r="B213" t="s">
        <v>424</v>
      </c>
      <c r="C213" t="s">
        <v>541</v>
      </c>
      <c r="D213" t="s">
        <v>542</v>
      </c>
      <c r="L213">
        <v>1000000</v>
      </c>
      <c r="U213">
        <v>3000000</v>
      </c>
    </row>
    <row r="214" spans="1:70">
      <c r="A214" t="s">
        <v>425</v>
      </c>
      <c r="B214" t="s">
        <v>426</v>
      </c>
      <c r="C214" t="s">
        <v>541</v>
      </c>
      <c r="D214" t="s">
        <v>542</v>
      </c>
      <c r="P214">
        <v>2000000</v>
      </c>
      <c r="T214">
        <v>17000000</v>
      </c>
      <c r="W214">
        <v>29000000</v>
      </c>
      <c r="X214">
        <v>72000000</v>
      </c>
      <c r="Z214">
        <v>15000000</v>
      </c>
      <c r="AB214">
        <v>25000000</v>
      </c>
      <c r="AC214">
        <v>38000000</v>
      </c>
      <c r="AD214">
        <v>26000000</v>
      </c>
      <c r="AF214">
        <v>81000000</v>
      </c>
      <c r="AG214">
        <v>25000000</v>
      </c>
      <c r="AH214">
        <v>87000000</v>
      </c>
      <c r="AI214">
        <v>44000000</v>
      </c>
      <c r="AJ214">
        <v>3000000</v>
      </c>
      <c r="AK214">
        <v>3000000</v>
      </c>
      <c r="AL214">
        <v>11000000</v>
      </c>
      <c r="AM214">
        <v>30000000</v>
      </c>
      <c r="AO214">
        <v>1000000</v>
      </c>
      <c r="AP214">
        <v>46000000</v>
      </c>
      <c r="AQ214">
        <v>23000000</v>
      </c>
      <c r="AR214">
        <v>11000000</v>
      </c>
      <c r="AS214">
        <v>12000000</v>
      </c>
      <c r="AU214">
        <v>4000000</v>
      </c>
      <c r="AW214">
        <v>65000000</v>
      </c>
      <c r="BB214">
        <v>35000000</v>
      </c>
      <c r="BC214">
        <v>32000000</v>
      </c>
      <c r="BD214">
        <v>17000000</v>
      </c>
      <c r="BE214">
        <v>79000000</v>
      </c>
      <c r="BF214">
        <v>7000000</v>
      </c>
      <c r="BG214">
        <v>12000000</v>
      </c>
      <c r="BH214">
        <v>80000000</v>
      </c>
      <c r="BI214">
        <v>77000000</v>
      </c>
      <c r="BM214">
        <v>24000000</v>
      </c>
      <c r="BN214">
        <v>72000000</v>
      </c>
      <c r="BO214">
        <v>36000000</v>
      </c>
      <c r="BP214">
        <v>11000000</v>
      </c>
      <c r="BR214">
        <v>79000000</v>
      </c>
    </row>
    <row r="215" spans="1:70">
      <c r="A215" t="s">
        <v>427</v>
      </c>
      <c r="B215" t="s">
        <v>428</v>
      </c>
      <c r="C215" t="s">
        <v>541</v>
      </c>
      <c r="D215" t="s">
        <v>542</v>
      </c>
    </row>
    <row r="216" spans="1:70">
      <c r="A216" t="s">
        <v>429</v>
      </c>
      <c r="B216" t="s">
        <v>430</v>
      </c>
      <c r="C216" t="s">
        <v>541</v>
      </c>
      <c r="D216" t="s">
        <v>542</v>
      </c>
    </row>
    <row r="217" spans="1:70">
      <c r="A217" t="s">
        <v>431</v>
      </c>
      <c r="B217" t="s">
        <v>432</v>
      </c>
      <c r="C217" t="s">
        <v>541</v>
      </c>
      <c r="D217" t="s">
        <v>542</v>
      </c>
      <c r="AJ217">
        <v>1000000</v>
      </c>
    </row>
    <row r="218" spans="1:70">
      <c r="A218" t="s">
        <v>433</v>
      </c>
      <c r="B218" t="s">
        <v>434</v>
      </c>
      <c r="C218" t="s">
        <v>541</v>
      </c>
      <c r="D218" t="s">
        <v>542</v>
      </c>
    </row>
    <row r="219" spans="1:70">
      <c r="A219" t="s">
        <v>435</v>
      </c>
      <c r="B219" t="s">
        <v>436</v>
      </c>
      <c r="C219" t="s">
        <v>541</v>
      </c>
      <c r="D219" t="s">
        <v>542</v>
      </c>
    </row>
    <row r="220" spans="1:70">
      <c r="A220" t="s">
        <v>437</v>
      </c>
      <c r="B220" t="s">
        <v>438</v>
      </c>
      <c r="C220" t="s">
        <v>541</v>
      </c>
      <c r="D220" t="s">
        <v>542</v>
      </c>
      <c r="AO220">
        <v>20000000</v>
      </c>
      <c r="AP220">
        <v>5000000</v>
      </c>
      <c r="AT220">
        <v>20000000</v>
      </c>
      <c r="AY220">
        <v>5000000</v>
      </c>
      <c r="AZ220">
        <v>5000000</v>
      </c>
      <c r="BA220">
        <v>45000000</v>
      </c>
      <c r="BB220">
        <v>0</v>
      </c>
      <c r="BC220">
        <v>31000000</v>
      </c>
      <c r="BD220">
        <v>4000000</v>
      </c>
      <c r="BE220">
        <v>15000000</v>
      </c>
      <c r="BF220">
        <v>10000000</v>
      </c>
      <c r="BG220">
        <v>10000000</v>
      </c>
      <c r="BH220">
        <v>62000000</v>
      </c>
      <c r="BI220">
        <v>86000000</v>
      </c>
      <c r="BJ220">
        <v>20000000</v>
      </c>
      <c r="BK220">
        <v>29000000</v>
      </c>
      <c r="BL220">
        <v>26000000</v>
      </c>
      <c r="BM220">
        <v>50000000</v>
      </c>
      <c r="BN220">
        <v>3000000</v>
      </c>
      <c r="BR220">
        <v>39000000</v>
      </c>
    </row>
    <row r="221" spans="1:70">
      <c r="A221" t="s">
        <v>439</v>
      </c>
      <c r="B221" t="s">
        <v>440</v>
      </c>
      <c r="C221" t="s">
        <v>541</v>
      </c>
      <c r="D221" t="s">
        <v>542</v>
      </c>
      <c r="E221">
        <v>27000000</v>
      </c>
      <c r="F221">
        <v>33000000</v>
      </c>
      <c r="L221">
        <v>10000000</v>
      </c>
      <c r="M221">
        <v>9000000</v>
      </c>
      <c r="N221">
        <v>13000000</v>
      </c>
      <c r="O221">
        <v>2000000</v>
      </c>
      <c r="P221">
        <v>8000000</v>
      </c>
      <c r="Q221">
        <v>22000000</v>
      </c>
      <c r="R221">
        <v>2000000</v>
      </c>
      <c r="S221">
        <v>2000000</v>
      </c>
      <c r="T221">
        <v>29000000</v>
      </c>
      <c r="U221">
        <v>23000000</v>
      </c>
    </row>
    <row r="222" spans="1:70">
      <c r="A222" t="s">
        <v>441</v>
      </c>
      <c r="B222" t="s">
        <v>442</v>
      </c>
      <c r="C222" t="s">
        <v>541</v>
      </c>
      <c r="D222" t="s">
        <v>542</v>
      </c>
    </row>
    <row r="223" spans="1:70">
      <c r="A223" t="s">
        <v>443</v>
      </c>
      <c r="B223" t="s">
        <v>444</v>
      </c>
      <c r="C223" t="s">
        <v>541</v>
      </c>
      <c r="D223" t="s">
        <v>542</v>
      </c>
      <c r="E223">
        <v>27000000</v>
      </c>
      <c r="F223">
        <v>33000000</v>
      </c>
      <c r="L223">
        <v>10000000</v>
      </c>
      <c r="M223">
        <v>9000000</v>
      </c>
      <c r="N223">
        <v>13000000</v>
      </c>
      <c r="O223">
        <v>2000000</v>
      </c>
      <c r="P223">
        <v>8000000</v>
      </c>
      <c r="Q223">
        <v>22000000</v>
      </c>
      <c r="R223">
        <v>2000000</v>
      </c>
      <c r="S223">
        <v>2000000</v>
      </c>
      <c r="T223">
        <v>29000000</v>
      </c>
      <c r="U223">
        <v>23000000</v>
      </c>
    </row>
    <row r="224" spans="1:70">
      <c r="A224" t="s">
        <v>445</v>
      </c>
      <c r="B224" t="s">
        <v>446</v>
      </c>
      <c r="C224" t="s">
        <v>541</v>
      </c>
      <c r="D224" t="s">
        <v>542</v>
      </c>
    </row>
    <row r="225" spans="1:70">
      <c r="A225" t="s">
        <v>447</v>
      </c>
      <c r="B225" t="s">
        <v>448</v>
      </c>
      <c r="C225" t="s">
        <v>541</v>
      </c>
      <c r="D225" t="s">
        <v>542</v>
      </c>
    </row>
    <row r="226" spans="1:70">
      <c r="A226" t="s">
        <v>449</v>
      </c>
      <c r="B226" t="s">
        <v>450</v>
      </c>
      <c r="C226" t="s">
        <v>541</v>
      </c>
      <c r="D226" t="s">
        <v>542</v>
      </c>
    </row>
    <row r="227" spans="1:70">
      <c r="A227" t="s">
        <v>451</v>
      </c>
      <c r="B227" t="s">
        <v>452</v>
      </c>
      <c r="C227" t="s">
        <v>541</v>
      </c>
      <c r="D227" t="s">
        <v>542</v>
      </c>
      <c r="AL227">
        <v>178000000</v>
      </c>
      <c r="AM227">
        <v>40000000</v>
      </c>
      <c r="AN227">
        <v>100000000</v>
      </c>
      <c r="AO227">
        <v>62000000</v>
      </c>
      <c r="AP227">
        <v>58000000</v>
      </c>
      <c r="AQ227">
        <v>10000000</v>
      </c>
      <c r="AR227">
        <v>125000000</v>
      </c>
      <c r="AS227">
        <v>37000000</v>
      </c>
      <c r="AT227">
        <v>54000000</v>
      </c>
      <c r="AU227">
        <v>33000000</v>
      </c>
      <c r="AW227">
        <v>46000000</v>
      </c>
      <c r="AY227">
        <v>3000000</v>
      </c>
      <c r="AZ227">
        <v>22000000</v>
      </c>
      <c r="BA227">
        <v>9000000</v>
      </c>
      <c r="BE227">
        <v>5000000</v>
      </c>
      <c r="BF227">
        <v>1000000</v>
      </c>
      <c r="BG227">
        <v>8000000</v>
      </c>
      <c r="BH227">
        <v>3000000</v>
      </c>
      <c r="BI227">
        <v>20000000</v>
      </c>
      <c r="BJ227">
        <v>22000000</v>
      </c>
      <c r="BK227">
        <v>12000000</v>
      </c>
      <c r="BL227">
        <v>8000000</v>
      </c>
      <c r="BM227">
        <v>11000000</v>
      </c>
      <c r="BO227">
        <v>71000000</v>
      </c>
      <c r="BP227">
        <v>154000000</v>
      </c>
      <c r="BR227">
        <v>9000000</v>
      </c>
    </row>
    <row r="228" spans="1:70">
      <c r="A228" t="s">
        <v>453</v>
      </c>
      <c r="B228" t="s">
        <v>454</v>
      </c>
      <c r="C228" t="s">
        <v>541</v>
      </c>
      <c r="D228" t="s">
        <v>542</v>
      </c>
      <c r="BI228">
        <v>10000000</v>
      </c>
      <c r="BO228">
        <v>38000000</v>
      </c>
      <c r="BP228">
        <v>2000000</v>
      </c>
      <c r="BQ228">
        <v>3000000</v>
      </c>
    </row>
    <row r="229" spans="1:70">
      <c r="A229" t="s">
        <v>455</v>
      </c>
      <c r="B229" t="s">
        <v>456</v>
      </c>
      <c r="C229" t="s">
        <v>541</v>
      </c>
      <c r="D229" t="s">
        <v>542</v>
      </c>
      <c r="E229">
        <v>38000000</v>
      </c>
      <c r="F229">
        <v>46000000</v>
      </c>
      <c r="G229">
        <v>44000000</v>
      </c>
      <c r="H229">
        <v>13000000</v>
      </c>
      <c r="I229">
        <v>22000000</v>
      </c>
      <c r="J229">
        <v>32000000</v>
      </c>
      <c r="K229">
        <v>56000000</v>
      </c>
      <c r="L229">
        <v>55000000</v>
      </c>
      <c r="M229">
        <v>60000000</v>
      </c>
      <c r="N229">
        <v>36000000</v>
      </c>
      <c r="O229">
        <v>158000000</v>
      </c>
      <c r="P229">
        <v>547000000</v>
      </c>
      <c r="Q229">
        <v>163000000</v>
      </c>
      <c r="R229">
        <v>15000000</v>
      </c>
      <c r="S229">
        <v>75000000</v>
      </c>
      <c r="T229">
        <v>69000000</v>
      </c>
      <c r="U229">
        <v>101000000</v>
      </c>
      <c r="V229">
        <v>75000000</v>
      </c>
      <c r="W229">
        <v>55000000</v>
      </c>
      <c r="X229">
        <v>261000000</v>
      </c>
      <c r="Y229">
        <v>157000000</v>
      </c>
      <c r="Z229">
        <v>127000000</v>
      </c>
      <c r="AA229">
        <v>120000000</v>
      </c>
      <c r="AB229">
        <v>118000000</v>
      </c>
      <c r="AC229">
        <v>227000000</v>
      </c>
      <c r="AD229">
        <v>215000000</v>
      </c>
      <c r="AE229">
        <v>320000000</v>
      </c>
      <c r="AF229">
        <v>230000000</v>
      </c>
      <c r="AG229">
        <v>512000000</v>
      </c>
      <c r="AH229">
        <v>401000000</v>
      </c>
      <c r="AI229">
        <v>224000000</v>
      </c>
      <c r="AJ229">
        <v>155000000</v>
      </c>
      <c r="AK229">
        <v>147000000</v>
      </c>
      <c r="AL229">
        <v>103000000</v>
      </c>
      <c r="AM229">
        <v>111000000</v>
      </c>
      <c r="AN229">
        <v>226000000</v>
      </c>
      <c r="AO229">
        <v>344000000</v>
      </c>
      <c r="AP229">
        <v>99000000</v>
      </c>
      <c r="AQ229">
        <v>332000000</v>
      </c>
      <c r="AR229">
        <v>383000000</v>
      </c>
      <c r="AS229">
        <v>355000000</v>
      </c>
      <c r="AT229">
        <v>892000000</v>
      </c>
      <c r="AU229">
        <v>164000000</v>
      </c>
      <c r="AV229">
        <v>516000000</v>
      </c>
      <c r="AW229">
        <v>297000000</v>
      </c>
      <c r="AX229">
        <v>536000000</v>
      </c>
      <c r="AY229">
        <v>384000000</v>
      </c>
      <c r="AZ229">
        <v>332000000</v>
      </c>
      <c r="BA229">
        <v>461000000</v>
      </c>
      <c r="BB229">
        <v>389000000</v>
      </c>
      <c r="BC229">
        <v>612000000</v>
      </c>
      <c r="BD229">
        <v>658000000</v>
      </c>
      <c r="BE229">
        <v>436000000</v>
      </c>
      <c r="BF229">
        <v>383000000</v>
      </c>
      <c r="BG229">
        <v>340000000</v>
      </c>
      <c r="BH229">
        <v>178000000</v>
      </c>
      <c r="BI229">
        <v>248000000</v>
      </c>
      <c r="BJ229">
        <v>75000000</v>
      </c>
      <c r="BK229">
        <v>135000000</v>
      </c>
      <c r="BL229">
        <v>121000000</v>
      </c>
      <c r="BM229">
        <v>263000000</v>
      </c>
      <c r="BN229">
        <v>236000000</v>
      </c>
      <c r="BO229">
        <v>83000000</v>
      </c>
      <c r="BP229">
        <v>373000000</v>
      </c>
      <c r="BQ229">
        <v>405000000</v>
      </c>
      <c r="BR229">
        <v>235000000</v>
      </c>
    </row>
    <row r="230" spans="1:70">
      <c r="A230" t="s">
        <v>457</v>
      </c>
      <c r="B230" t="s">
        <v>458</v>
      </c>
      <c r="C230" t="s">
        <v>541</v>
      </c>
      <c r="D230" t="s">
        <v>542</v>
      </c>
    </row>
    <row r="231" spans="1:70">
      <c r="A231" t="s">
        <v>459</v>
      </c>
      <c r="B231" t="s">
        <v>460</v>
      </c>
      <c r="C231" t="s">
        <v>541</v>
      </c>
      <c r="D231" t="s">
        <v>542</v>
      </c>
    </row>
    <row r="232" spans="1:70">
      <c r="A232" t="s">
        <v>461</v>
      </c>
      <c r="B232" t="s">
        <v>462</v>
      </c>
      <c r="C232" t="s">
        <v>541</v>
      </c>
      <c r="D232" t="s">
        <v>542</v>
      </c>
      <c r="AN232">
        <v>1000000</v>
      </c>
    </row>
    <row r="233" spans="1:70">
      <c r="A233" t="s">
        <v>463</v>
      </c>
      <c r="B233" t="s">
        <v>464</v>
      </c>
      <c r="C233" t="s">
        <v>541</v>
      </c>
      <c r="D233" t="s">
        <v>542</v>
      </c>
      <c r="O233">
        <v>17000000</v>
      </c>
      <c r="S233">
        <v>2000000</v>
      </c>
      <c r="T233">
        <v>2000000</v>
      </c>
      <c r="V233">
        <v>0</v>
      </c>
      <c r="AA233">
        <v>178000000</v>
      </c>
      <c r="AB233">
        <v>46000000</v>
      </c>
      <c r="AC233">
        <v>1000000</v>
      </c>
      <c r="AD233">
        <v>32000000</v>
      </c>
      <c r="AE233">
        <v>31000000</v>
      </c>
      <c r="AG233">
        <v>15000000</v>
      </c>
      <c r="AK233">
        <v>40000000</v>
      </c>
      <c r="AL233">
        <v>40000000</v>
      </c>
      <c r="AO233">
        <v>0</v>
      </c>
      <c r="AP233">
        <v>0</v>
      </c>
      <c r="AY233">
        <v>3000000</v>
      </c>
      <c r="BB233">
        <v>33000000</v>
      </c>
      <c r="BC233">
        <v>30000000</v>
      </c>
    </row>
    <row r="234" spans="1:70">
      <c r="A234" t="s">
        <v>465</v>
      </c>
      <c r="B234" t="s">
        <v>466</v>
      </c>
      <c r="C234" t="s">
        <v>541</v>
      </c>
      <c r="D234" t="s">
        <v>542</v>
      </c>
    </row>
    <row r="235" spans="1:70">
      <c r="A235" t="s">
        <v>467</v>
      </c>
      <c r="B235" t="s">
        <v>468</v>
      </c>
      <c r="C235" t="s">
        <v>541</v>
      </c>
      <c r="D235" t="s">
        <v>542</v>
      </c>
      <c r="AF235">
        <v>20000000</v>
      </c>
    </row>
    <row r="236" spans="1:70">
      <c r="A236" t="s">
        <v>469</v>
      </c>
      <c r="B236" t="s">
        <v>470</v>
      </c>
      <c r="C236" t="s">
        <v>541</v>
      </c>
      <c r="D236" t="s">
        <v>542</v>
      </c>
      <c r="E236">
        <v>285000000</v>
      </c>
      <c r="F236">
        <v>35000000</v>
      </c>
      <c r="G236">
        <v>47000000</v>
      </c>
      <c r="H236">
        <v>19000000</v>
      </c>
      <c r="I236">
        <v>75000000</v>
      </c>
      <c r="J236">
        <v>387000000</v>
      </c>
      <c r="K236">
        <v>628000000</v>
      </c>
      <c r="L236">
        <v>426000000</v>
      </c>
      <c r="M236">
        <v>746000000</v>
      </c>
      <c r="N236">
        <v>669000000</v>
      </c>
      <c r="O236">
        <v>917000000</v>
      </c>
      <c r="AN236">
        <v>1008000000</v>
      </c>
      <c r="AR236">
        <v>399000000</v>
      </c>
      <c r="AV236">
        <v>708000000</v>
      </c>
      <c r="AW236">
        <v>442000000</v>
      </c>
      <c r="AX236">
        <v>350000000</v>
      </c>
      <c r="AY236">
        <v>871000000</v>
      </c>
      <c r="AZ236">
        <v>524000000</v>
      </c>
      <c r="BA236">
        <v>599000000</v>
      </c>
      <c r="BB236">
        <v>1138000000</v>
      </c>
      <c r="BC236">
        <v>1531000000</v>
      </c>
      <c r="BD236">
        <v>1312000000</v>
      </c>
      <c r="BE236">
        <v>1499000000</v>
      </c>
      <c r="BF236">
        <v>2115000000</v>
      </c>
      <c r="BG236">
        <v>1368000000</v>
      </c>
      <c r="BH236">
        <v>1841000000</v>
      </c>
      <c r="BI236">
        <v>2567000000</v>
      </c>
      <c r="BJ236">
        <v>1741000000</v>
      </c>
      <c r="BK236">
        <v>1416000000</v>
      </c>
      <c r="BL236">
        <v>1613000000</v>
      </c>
      <c r="BM236">
        <v>645000000</v>
      </c>
      <c r="BN236">
        <v>1364000000</v>
      </c>
      <c r="BO236">
        <v>2323000000</v>
      </c>
      <c r="BP236">
        <v>2745000000</v>
      </c>
      <c r="BQ236">
        <v>1329000000</v>
      </c>
      <c r="BR236">
        <v>880000000</v>
      </c>
    </row>
    <row r="237" spans="1:70">
      <c r="A237" t="s">
        <v>471</v>
      </c>
      <c r="B237" t="s">
        <v>472</v>
      </c>
      <c r="C237" t="s">
        <v>541</v>
      </c>
      <c r="D237" t="s">
        <v>542</v>
      </c>
      <c r="E237">
        <v>0</v>
      </c>
      <c r="G237">
        <v>7000000</v>
      </c>
      <c r="H237">
        <v>111000000</v>
      </c>
      <c r="I237">
        <v>237000000</v>
      </c>
      <c r="J237">
        <v>234000000</v>
      </c>
      <c r="K237">
        <v>319000000</v>
      </c>
      <c r="L237">
        <v>309000000</v>
      </c>
      <c r="M237">
        <v>288000000</v>
      </c>
      <c r="N237">
        <v>323000000</v>
      </c>
      <c r="O237">
        <v>268000000</v>
      </c>
      <c r="P237">
        <v>284000000</v>
      </c>
      <c r="Q237">
        <v>286000000</v>
      </c>
      <c r="R237">
        <v>168000000</v>
      </c>
      <c r="S237">
        <v>250000000</v>
      </c>
      <c r="V237">
        <v>404000000</v>
      </c>
      <c r="W237">
        <v>368000000</v>
      </c>
      <c r="X237">
        <v>291000000</v>
      </c>
      <c r="Y237">
        <v>303000000</v>
      </c>
      <c r="Z237">
        <v>412000000</v>
      </c>
      <c r="AB237">
        <v>240000000</v>
      </c>
      <c r="AE237">
        <v>302000000</v>
      </c>
      <c r="AM237">
        <v>2031000000</v>
      </c>
      <c r="AN237">
        <v>4268000000</v>
      </c>
      <c r="AO237">
        <v>4109000000</v>
      </c>
      <c r="AP237">
        <v>4692000000</v>
      </c>
      <c r="AQ237">
        <v>2946000000</v>
      </c>
      <c r="AR237">
        <v>6331000000</v>
      </c>
      <c r="AS237">
        <v>6393000000</v>
      </c>
      <c r="AT237">
        <v>6025000000</v>
      </c>
      <c r="AU237">
        <v>6385000000</v>
      </c>
      <c r="AV237">
        <v>6191000000</v>
      </c>
      <c r="AW237">
        <v>6813000000</v>
      </c>
      <c r="AX237">
        <v>5707000000</v>
      </c>
      <c r="AY237">
        <v>6228000000</v>
      </c>
      <c r="AZ237">
        <v>6684000000</v>
      </c>
      <c r="BA237">
        <v>6907000000</v>
      </c>
      <c r="BB237">
        <v>6011000000</v>
      </c>
      <c r="BC237">
        <v>7277000000</v>
      </c>
      <c r="BD237">
        <v>9805000000</v>
      </c>
      <c r="BE237">
        <v>10146000000</v>
      </c>
      <c r="BF237">
        <v>9389000000</v>
      </c>
      <c r="BG237">
        <v>6369000000</v>
      </c>
      <c r="BH237">
        <v>6671000000</v>
      </c>
      <c r="BI237">
        <v>7877000000</v>
      </c>
      <c r="BJ237">
        <v>7085000000</v>
      </c>
      <c r="BK237">
        <v>7852000000</v>
      </c>
      <c r="BL237">
        <v>5953000000</v>
      </c>
      <c r="BM237">
        <v>4161000000</v>
      </c>
      <c r="BN237">
        <v>3248000000</v>
      </c>
      <c r="BO237">
        <v>4137000000</v>
      </c>
      <c r="BP237">
        <v>2988000000</v>
      </c>
      <c r="BQ237">
        <v>2887000000</v>
      </c>
      <c r="BR237">
        <v>2865000000</v>
      </c>
    </row>
    <row r="238" spans="1:70">
      <c r="A238" t="s">
        <v>473</v>
      </c>
      <c r="B238" t="s">
        <v>474</v>
      </c>
      <c r="C238" t="s">
        <v>541</v>
      </c>
      <c r="D238" t="s">
        <v>542</v>
      </c>
    </row>
    <row r="239" spans="1:70">
      <c r="A239" t="s">
        <v>475</v>
      </c>
      <c r="B239" t="s">
        <v>476</v>
      </c>
      <c r="C239" t="s">
        <v>541</v>
      </c>
      <c r="D239" t="s">
        <v>542</v>
      </c>
      <c r="AV239">
        <v>7000000</v>
      </c>
      <c r="AW239">
        <v>7000000</v>
      </c>
      <c r="AY239">
        <v>79000000</v>
      </c>
      <c r="BI239">
        <v>2000000</v>
      </c>
      <c r="BJ239">
        <v>4000000</v>
      </c>
      <c r="BL239">
        <v>2000000</v>
      </c>
      <c r="BN239">
        <v>5000000</v>
      </c>
      <c r="BQ239">
        <v>15000000</v>
      </c>
    </row>
    <row r="240" spans="1:70">
      <c r="A240" t="s">
        <v>477</v>
      </c>
      <c r="B240" t="s">
        <v>478</v>
      </c>
      <c r="C240" t="s">
        <v>541</v>
      </c>
      <c r="D240" t="s">
        <v>542</v>
      </c>
    </row>
    <row r="241" spans="1:70">
      <c r="A241" t="s">
        <v>479</v>
      </c>
      <c r="B241" t="s">
        <v>480</v>
      </c>
      <c r="C241" t="s">
        <v>541</v>
      </c>
      <c r="D241" t="s">
        <v>542</v>
      </c>
    </row>
    <row r="242" spans="1:70">
      <c r="A242" t="s">
        <v>481</v>
      </c>
      <c r="B242" t="s">
        <v>482</v>
      </c>
      <c r="C242" t="s">
        <v>541</v>
      </c>
      <c r="D242" t="s">
        <v>542</v>
      </c>
      <c r="E242">
        <v>8000000</v>
      </c>
      <c r="F242">
        <v>12000000</v>
      </c>
      <c r="G242">
        <v>6000000</v>
      </c>
      <c r="I242">
        <v>4000000</v>
      </c>
      <c r="T242">
        <v>82000000</v>
      </c>
      <c r="BL242">
        <v>33000000</v>
      </c>
    </row>
    <row r="243" spans="1:70">
      <c r="A243" t="s">
        <v>483</v>
      </c>
      <c r="B243" t="s">
        <v>484</v>
      </c>
      <c r="C243" t="s">
        <v>541</v>
      </c>
      <c r="D243" t="s">
        <v>542</v>
      </c>
    </row>
    <row r="244" spans="1:70">
      <c r="A244" t="s">
        <v>485</v>
      </c>
      <c r="B244" t="s">
        <v>486</v>
      </c>
      <c r="C244" t="s">
        <v>541</v>
      </c>
      <c r="D244" t="s">
        <v>542</v>
      </c>
      <c r="E244">
        <v>3000000</v>
      </c>
      <c r="F244">
        <v>0</v>
      </c>
      <c r="G244">
        <v>12000000</v>
      </c>
      <c r="H244">
        <v>8000000</v>
      </c>
      <c r="I244">
        <v>1000000</v>
      </c>
      <c r="K244">
        <v>14000000</v>
      </c>
      <c r="L244">
        <v>50000000</v>
      </c>
      <c r="M244">
        <v>32000000</v>
      </c>
      <c r="N244">
        <v>21000000</v>
      </c>
      <c r="O244">
        <v>79000000</v>
      </c>
      <c r="P244">
        <v>45000000</v>
      </c>
      <c r="R244">
        <v>28000000</v>
      </c>
      <c r="S244">
        <v>154000000</v>
      </c>
      <c r="Y244">
        <v>174000000</v>
      </c>
      <c r="AA244">
        <v>460000000</v>
      </c>
      <c r="AB244">
        <v>270000000</v>
      </c>
      <c r="AC244">
        <v>60000000</v>
      </c>
      <c r="AD244">
        <v>86000000</v>
      </c>
      <c r="AM244">
        <v>87000000</v>
      </c>
      <c r="AP244">
        <v>14000000</v>
      </c>
    </row>
    <row r="245" spans="1:70">
      <c r="A245" t="s">
        <v>487</v>
      </c>
      <c r="B245" t="s">
        <v>488</v>
      </c>
      <c r="C245" t="s">
        <v>541</v>
      </c>
      <c r="D245" t="s">
        <v>542</v>
      </c>
    </row>
    <row r="246" spans="1:70">
      <c r="A246" t="s">
        <v>489</v>
      </c>
      <c r="B246" t="s">
        <v>490</v>
      </c>
      <c r="C246" t="s">
        <v>541</v>
      </c>
      <c r="D246" t="s">
        <v>542</v>
      </c>
      <c r="M246">
        <v>1000000</v>
      </c>
      <c r="P246">
        <v>7000000</v>
      </c>
      <c r="Q246">
        <v>2000000</v>
      </c>
      <c r="R246">
        <v>21000000</v>
      </c>
      <c r="S246">
        <v>24000000</v>
      </c>
      <c r="T246">
        <v>31000000</v>
      </c>
      <c r="W246">
        <v>27000000</v>
      </c>
      <c r="X246">
        <v>22000000</v>
      </c>
      <c r="AA246">
        <v>2000000</v>
      </c>
      <c r="AG246">
        <v>1000000</v>
      </c>
      <c r="AI246">
        <v>7000000</v>
      </c>
      <c r="AK246">
        <v>7000000</v>
      </c>
      <c r="AL246">
        <v>9000000</v>
      </c>
      <c r="AM246">
        <v>2000000</v>
      </c>
      <c r="AN246">
        <v>2000000</v>
      </c>
      <c r="AS246">
        <v>21000000</v>
      </c>
      <c r="AT246">
        <v>2000000</v>
      </c>
      <c r="AU246">
        <v>0</v>
      </c>
      <c r="AV246">
        <v>4000000</v>
      </c>
      <c r="AW246">
        <v>31000000</v>
      </c>
      <c r="AX246">
        <v>19000000</v>
      </c>
      <c r="AY246">
        <v>33000000</v>
      </c>
      <c r="AZ246">
        <v>23000000</v>
      </c>
      <c r="BA246">
        <v>15000000</v>
      </c>
      <c r="BB246">
        <v>27000000</v>
      </c>
      <c r="BC246">
        <v>5000000</v>
      </c>
      <c r="BD246">
        <v>3000000</v>
      </c>
      <c r="BF246">
        <v>18000000</v>
      </c>
      <c r="BG246">
        <v>40000000</v>
      </c>
      <c r="BH246">
        <v>42000000</v>
      </c>
      <c r="BI246">
        <v>49000000</v>
      </c>
      <c r="BJ246">
        <v>56000000</v>
      </c>
      <c r="BK246">
        <v>47000000</v>
      </c>
      <c r="BL246">
        <v>20000000</v>
      </c>
      <c r="BM246">
        <v>153000000</v>
      </c>
      <c r="BN246">
        <v>54000000</v>
      </c>
      <c r="BO246">
        <v>7000000</v>
      </c>
      <c r="BP246">
        <v>41000000</v>
      </c>
      <c r="BQ246">
        <v>94000000</v>
      </c>
      <c r="BR246">
        <v>81000000</v>
      </c>
    </row>
    <row r="247" spans="1:70">
      <c r="A247" t="s">
        <v>491</v>
      </c>
      <c r="B247" t="s">
        <v>492</v>
      </c>
      <c r="C247" t="s">
        <v>541</v>
      </c>
      <c r="D247" t="s">
        <v>542</v>
      </c>
      <c r="E247">
        <v>27000000</v>
      </c>
      <c r="F247">
        <v>33000000</v>
      </c>
      <c r="L247">
        <v>10000000</v>
      </c>
      <c r="M247">
        <v>9000000</v>
      </c>
      <c r="N247">
        <v>13000000</v>
      </c>
      <c r="O247">
        <v>2000000</v>
      </c>
      <c r="P247">
        <v>8000000</v>
      </c>
      <c r="Q247">
        <v>22000000</v>
      </c>
      <c r="R247">
        <v>2000000</v>
      </c>
      <c r="S247">
        <v>2000000</v>
      </c>
      <c r="T247">
        <v>29000000</v>
      </c>
      <c r="U247">
        <v>23000000</v>
      </c>
    </row>
    <row r="248" spans="1:70">
      <c r="A248" t="s">
        <v>493</v>
      </c>
      <c r="B248" t="s">
        <v>494</v>
      </c>
      <c r="C248" t="s">
        <v>541</v>
      </c>
      <c r="D248" t="s">
        <v>542</v>
      </c>
    </row>
    <row r="249" spans="1:70">
      <c r="A249" t="s">
        <v>495</v>
      </c>
      <c r="B249" t="s">
        <v>496</v>
      </c>
      <c r="C249" t="s">
        <v>541</v>
      </c>
      <c r="D249" t="s">
        <v>542</v>
      </c>
    </row>
    <row r="250" spans="1:70">
      <c r="A250" t="s">
        <v>497</v>
      </c>
      <c r="B250" t="s">
        <v>498</v>
      </c>
      <c r="C250" t="s">
        <v>541</v>
      </c>
      <c r="D250" t="s">
        <v>542</v>
      </c>
      <c r="Y250">
        <v>23000000</v>
      </c>
      <c r="Z250">
        <v>11000000</v>
      </c>
      <c r="AN250">
        <v>3000000</v>
      </c>
      <c r="AO250">
        <v>3000000</v>
      </c>
      <c r="AP250">
        <v>0</v>
      </c>
      <c r="AQ250">
        <v>3000000</v>
      </c>
      <c r="AR250">
        <v>46000000</v>
      </c>
      <c r="AS250">
        <v>21000000</v>
      </c>
      <c r="AT250">
        <v>5000000</v>
      </c>
      <c r="AU250">
        <v>28000000</v>
      </c>
      <c r="AV250">
        <v>45000000</v>
      </c>
      <c r="AW250">
        <v>30000000</v>
      </c>
      <c r="AX250">
        <v>26000000</v>
      </c>
      <c r="AY250">
        <v>68000000</v>
      </c>
      <c r="AZ250">
        <v>88000000</v>
      </c>
      <c r="BA250">
        <v>123000000</v>
      </c>
      <c r="BB250">
        <v>78000000</v>
      </c>
      <c r="BC250">
        <v>79000000</v>
      </c>
      <c r="BD250">
        <v>95000000</v>
      </c>
      <c r="BE250">
        <v>149000000</v>
      </c>
      <c r="BF250">
        <v>146000000</v>
      </c>
      <c r="BG250">
        <v>166000000</v>
      </c>
      <c r="BH250">
        <v>244000000</v>
      </c>
      <c r="BI250">
        <v>258000000</v>
      </c>
      <c r="BJ250">
        <v>184000000</v>
      </c>
      <c r="BK250">
        <v>257000000</v>
      </c>
      <c r="BL250">
        <v>286000000</v>
      </c>
      <c r="BM250">
        <v>275000000</v>
      </c>
      <c r="BN250">
        <v>526000000</v>
      </c>
      <c r="BO250">
        <v>628000000</v>
      </c>
      <c r="BP250">
        <v>698000000</v>
      </c>
      <c r="BQ250">
        <v>411000000</v>
      </c>
      <c r="BR250">
        <v>539000000</v>
      </c>
    </row>
    <row r="251" spans="1:70">
      <c r="A251" t="s">
        <v>499</v>
      </c>
      <c r="B251" t="s">
        <v>500</v>
      </c>
      <c r="C251" t="s">
        <v>541</v>
      </c>
      <c r="D251" t="s">
        <v>542</v>
      </c>
    </row>
    <row r="252" spans="1:70">
      <c r="A252" t="s">
        <v>501</v>
      </c>
      <c r="B252" t="s">
        <v>502</v>
      </c>
      <c r="C252" t="s">
        <v>541</v>
      </c>
      <c r="D252" t="s">
        <v>542</v>
      </c>
    </row>
    <row r="253" spans="1:70">
      <c r="A253" t="s">
        <v>503</v>
      </c>
      <c r="B253" t="s">
        <v>504</v>
      </c>
      <c r="C253" t="s">
        <v>541</v>
      </c>
      <c r="D253" t="s">
        <v>542</v>
      </c>
      <c r="M253">
        <v>0</v>
      </c>
      <c r="BI253">
        <v>4000000</v>
      </c>
    </row>
    <row r="254" spans="1:70">
      <c r="A254" t="s">
        <v>505</v>
      </c>
      <c r="B254" t="s">
        <v>506</v>
      </c>
      <c r="C254" t="s">
        <v>541</v>
      </c>
      <c r="D254" t="s">
        <v>542</v>
      </c>
      <c r="AK254">
        <v>165000000</v>
      </c>
      <c r="AL254">
        <v>84000000</v>
      </c>
      <c r="AM254">
        <v>240000000</v>
      </c>
      <c r="AN254">
        <v>169000000</v>
      </c>
      <c r="AO254">
        <v>223000000</v>
      </c>
      <c r="AP254">
        <v>573000000</v>
      </c>
      <c r="AQ254">
        <v>709000000</v>
      </c>
      <c r="AR254">
        <v>1107000000</v>
      </c>
      <c r="AS254">
        <v>1424000000</v>
      </c>
      <c r="AT254">
        <v>555000000</v>
      </c>
      <c r="AU254">
        <v>327000000</v>
      </c>
      <c r="AV254">
        <v>313000000</v>
      </c>
      <c r="AW254">
        <v>196000000</v>
      </c>
      <c r="AX254">
        <v>299000000</v>
      </c>
      <c r="AY254">
        <v>533000000</v>
      </c>
      <c r="AZ254">
        <v>640000000</v>
      </c>
      <c r="BA254">
        <v>397000000</v>
      </c>
      <c r="BB254">
        <v>444000000</v>
      </c>
      <c r="BC254">
        <v>519000000</v>
      </c>
      <c r="BD254">
        <v>569000000</v>
      </c>
      <c r="BE254">
        <v>1497000000</v>
      </c>
      <c r="BF254">
        <v>688000000</v>
      </c>
      <c r="BG254">
        <v>632000000</v>
      </c>
      <c r="BH254">
        <v>303000000</v>
      </c>
      <c r="BI254">
        <v>463000000</v>
      </c>
      <c r="BJ254">
        <v>377000000</v>
      </c>
      <c r="BK254">
        <v>310000000</v>
      </c>
      <c r="BL254">
        <v>162000000</v>
      </c>
      <c r="BM254">
        <v>114000000</v>
      </c>
      <c r="BN254">
        <v>201000000</v>
      </c>
      <c r="BO254">
        <v>102000000</v>
      </c>
      <c r="BP254">
        <v>29000000</v>
      </c>
      <c r="BQ254">
        <v>29000000</v>
      </c>
      <c r="BR254">
        <v>120000000</v>
      </c>
    </row>
    <row r="255" spans="1:70">
      <c r="A255" t="s">
        <v>507</v>
      </c>
      <c r="B255" t="s">
        <v>508</v>
      </c>
      <c r="C255" t="s">
        <v>541</v>
      </c>
      <c r="D255" t="s">
        <v>542</v>
      </c>
      <c r="E255">
        <v>317000000</v>
      </c>
      <c r="F255">
        <v>80000000</v>
      </c>
      <c r="L255">
        <v>462000000</v>
      </c>
      <c r="M255">
        <v>769000000</v>
      </c>
      <c r="N255">
        <v>700000000</v>
      </c>
      <c r="O255">
        <v>942000000</v>
      </c>
      <c r="P255">
        <v>1364000000</v>
      </c>
      <c r="Q255">
        <v>1385000000</v>
      </c>
      <c r="R255">
        <v>688000000</v>
      </c>
      <c r="AN255">
        <v>1261000000</v>
      </c>
      <c r="AW255">
        <v>969000000</v>
      </c>
      <c r="AY255">
        <v>1946000000</v>
      </c>
      <c r="BG255">
        <v>2551000000</v>
      </c>
      <c r="BI255">
        <v>3826000000</v>
      </c>
      <c r="BJ255">
        <v>2636000000</v>
      </c>
      <c r="BK255">
        <v>2331000000</v>
      </c>
      <c r="BL255">
        <v>2450000000</v>
      </c>
      <c r="BN255">
        <v>2510000000</v>
      </c>
      <c r="BQ255">
        <v>2374000000</v>
      </c>
    </row>
    <row r="256" spans="1:70">
      <c r="A256" t="s">
        <v>509</v>
      </c>
      <c r="B256" t="s">
        <v>510</v>
      </c>
      <c r="C256" t="s">
        <v>541</v>
      </c>
      <c r="D256" t="s">
        <v>542</v>
      </c>
      <c r="E256">
        <v>6000000</v>
      </c>
      <c r="AS256">
        <v>1000000</v>
      </c>
    </row>
    <row r="257" spans="1:70">
      <c r="A257" t="s">
        <v>511</v>
      </c>
      <c r="B257" t="s">
        <v>512</v>
      </c>
      <c r="C257" t="s">
        <v>541</v>
      </c>
      <c r="D257" t="s">
        <v>542</v>
      </c>
      <c r="E257">
        <v>6127000000</v>
      </c>
      <c r="F257">
        <v>6287000000</v>
      </c>
      <c r="G257">
        <v>6127000000</v>
      </c>
      <c r="H257">
        <v>9425000000</v>
      </c>
      <c r="I257">
        <v>12490000000</v>
      </c>
      <c r="J257">
        <v>12000000000</v>
      </c>
      <c r="K257">
        <v>8944000000</v>
      </c>
      <c r="L257">
        <v>7437000000</v>
      </c>
      <c r="M257">
        <v>8619000000</v>
      </c>
      <c r="N257">
        <v>11632000000</v>
      </c>
      <c r="O257">
        <v>8350000000</v>
      </c>
      <c r="P257">
        <v>11606000000</v>
      </c>
      <c r="Q257">
        <v>10674000000</v>
      </c>
      <c r="R257">
        <v>12003000000</v>
      </c>
      <c r="S257">
        <v>12742000000</v>
      </c>
      <c r="T257">
        <v>15342000000</v>
      </c>
      <c r="U257">
        <v>15714000000</v>
      </c>
      <c r="V257">
        <v>14324000000</v>
      </c>
      <c r="W257">
        <v>13513000000</v>
      </c>
      <c r="X257">
        <v>9786000000</v>
      </c>
      <c r="Y257">
        <v>10651000000</v>
      </c>
      <c r="Z257">
        <v>13648000000</v>
      </c>
      <c r="AA257">
        <v>13965000000</v>
      </c>
      <c r="AB257">
        <v>13826000000</v>
      </c>
      <c r="AC257">
        <v>11890000000</v>
      </c>
      <c r="AD257">
        <v>10763000000</v>
      </c>
      <c r="AE257">
        <v>11611000000</v>
      </c>
      <c r="AF257">
        <v>12191000000</v>
      </c>
      <c r="AG257">
        <v>12029000000</v>
      </c>
      <c r="AH257">
        <v>11349000000</v>
      </c>
      <c r="AI257">
        <v>10704000000</v>
      </c>
      <c r="AJ257">
        <v>12580000000</v>
      </c>
      <c r="AK257">
        <v>14141000000</v>
      </c>
      <c r="AL257">
        <v>13763000000</v>
      </c>
      <c r="AM257">
        <v>11464000000</v>
      </c>
      <c r="AN257">
        <v>11224000000</v>
      </c>
      <c r="AO257">
        <v>10781000000</v>
      </c>
      <c r="AP257">
        <v>14472000000</v>
      </c>
      <c r="AQ257">
        <v>15839000000</v>
      </c>
      <c r="AR257">
        <v>11548000000</v>
      </c>
      <c r="AS257">
        <v>7678000000</v>
      </c>
      <c r="AT257">
        <v>5591000000</v>
      </c>
      <c r="AU257">
        <v>4872000000</v>
      </c>
      <c r="AV257">
        <v>5684000000</v>
      </c>
      <c r="AW257">
        <v>6869000000</v>
      </c>
      <c r="AX257">
        <v>6724000000</v>
      </c>
      <c r="AY257">
        <v>7497000000</v>
      </c>
      <c r="AZ257">
        <v>7870000000</v>
      </c>
      <c r="BA257">
        <v>7089000000</v>
      </c>
      <c r="BB257">
        <v>7151000000</v>
      </c>
      <c r="BC257">
        <v>8354000000</v>
      </c>
      <c r="BD257">
        <v>9041000000</v>
      </c>
      <c r="BE257">
        <v>8965000000</v>
      </c>
      <c r="BF257">
        <v>7770000000</v>
      </c>
      <c r="BG257">
        <v>9455000000</v>
      </c>
      <c r="BH257">
        <v>10314000000</v>
      </c>
      <c r="BI257">
        <v>9890000000</v>
      </c>
      <c r="BJ257">
        <v>11381000000</v>
      </c>
      <c r="BK257">
        <v>9264000000</v>
      </c>
      <c r="BL257">
        <v>10498000000</v>
      </c>
      <c r="BM257">
        <v>9730000000</v>
      </c>
      <c r="BN257">
        <v>11601000000</v>
      </c>
      <c r="BO257">
        <v>14505000000</v>
      </c>
      <c r="BP257">
        <v>10920000000</v>
      </c>
      <c r="BQ257">
        <v>13651000000</v>
      </c>
      <c r="BR257">
        <v>13980000000</v>
      </c>
    </row>
    <row r="258" spans="1:70">
      <c r="A258" t="s">
        <v>513</v>
      </c>
      <c r="B258" t="s">
        <v>514</v>
      </c>
      <c r="C258" t="s">
        <v>541</v>
      </c>
      <c r="D258" t="s">
        <v>542</v>
      </c>
      <c r="AV258">
        <v>252000000</v>
      </c>
      <c r="AW258">
        <v>126000000</v>
      </c>
      <c r="AX258">
        <v>4000000</v>
      </c>
      <c r="BB258">
        <v>209000000</v>
      </c>
      <c r="BC258">
        <v>209000000</v>
      </c>
      <c r="BD258">
        <v>209000000</v>
      </c>
      <c r="BH258">
        <v>34000000</v>
      </c>
      <c r="BI258">
        <v>68000000</v>
      </c>
    </row>
    <row r="259" spans="1:70">
      <c r="A259" t="s">
        <v>515</v>
      </c>
      <c r="B259" t="s">
        <v>516</v>
      </c>
      <c r="C259" t="s">
        <v>541</v>
      </c>
      <c r="D259" t="s">
        <v>542</v>
      </c>
    </row>
    <row r="260" spans="1:70">
      <c r="A260" t="s">
        <v>517</v>
      </c>
      <c r="B260" t="s">
        <v>518</v>
      </c>
      <c r="C260" t="s">
        <v>541</v>
      </c>
      <c r="D260" t="s">
        <v>542</v>
      </c>
      <c r="N260">
        <v>16000000</v>
      </c>
      <c r="T260">
        <v>13000000</v>
      </c>
      <c r="AF260">
        <v>0</v>
      </c>
      <c r="AW260">
        <v>1000000</v>
      </c>
      <c r="AY260">
        <v>7000000</v>
      </c>
      <c r="BA260">
        <v>3000000</v>
      </c>
      <c r="BB260">
        <v>40000000</v>
      </c>
    </row>
    <row r="261" spans="1:70">
      <c r="A261" t="s">
        <v>519</v>
      </c>
      <c r="B261" t="s">
        <v>520</v>
      </c>
      <c r="C261" t="s">
        <v>541</v>
      </c>
      <c r="D261" t="s">
        <v>542</v>
      </c>
    </row>
    <row r="262" spans="1:70">
      <c r="A262" t="s">
        <v>521</v>
      </c>
      <c r="B262" t="s">
        <v>522</v>
      </c>
      <c r="C262" t="s">
        <v>541</v>
      </c>
      <c r="D262" t="s">
        <v>542</v>
      </c>
    </row>
    <row r="263" spans="1:70">
      <c r="A263" t="s">
        <v>523</v>
      </c>
      <c r="B263" t="s">
        <v>524</v>
      </c>
      <c r="C263" t="s">
        <v>541</v>
      </c>
      <c r="D263" t="s">
        <v>542</v>
      </c>
      <c r="Q263">
        <v>0</v>
      </c>
      <c r="AF263">
        <v>11000000</v>
      </c>
      <c r="AY263">
        <v>14000000</v>
      </c>
      <c r="BK263">
        <v>10000000</v>
      </c>
    </row>
    <row r="264" spans="1:70">
      <c r="A264" t="s">
        <v>525</v>
      </c>
      <c r="B264" t="s">
        <v>526</v>
      </c>
      <c r="C264" t="s">
        <v>541</v>
      </c>
      <c r="D264" t="s">
        <v>542</v>
      </c>
    </row>
    <row r="265" spans="1:70">
      <c r="A265" t="s">
        <v>527</v>
      </c>
      <c r="B265" t="s">
        <v>528</v>
      </c>
      <c r="C265" t="s">
        <v>541</v>
      </c>
      <c r="D265" t="s">
        <v>542</v>
      </c>
      <c r="E265">
        <v>17600000000</v>
      </c>
      <c r="F265">
        <v>16398000000</v>
      </c>
      <c r="G265">
        <v>17526000000</v>
      </c>
      <c r="H265">
        <v>20273000000</v>
      </c>
      <c r="I265">
        <v>26727000000</v>
      </c>
      <c r="J265">
        <v>25821000000</v>
      </c>
      <c r="K265">
        <v>25770000000</v>
      </c>
      <c r="L265">
        <v>25573000000</v>
      </c>
      <c r="M265">
        <v>26129000000</v>
      </c>
      <c r="N265">
        <v>28136000000</v>
      </c>
      <c r="O265">
        <v>25270000000</v>
      </c>
      <c r="P265">
        <v>32851000000</v>
      </c>
      <c r="Q265">
        <v>34526000000</v>
      </c>
      <c r="R265">
        <v>36300000000</v>
      </c>
      <c r="S265">
        <v>36584000000</v>
      </c>
      <c r="T265">
        <v>37148000000</v>
      </c>
      <c r="U265">
        <v>35973000000</v>
      </c>
      <c r="V265">
        <v>39967000000</v>
      </c>
      <c r="W265">
        <v>42371000000</v>
      </c>
      <c r="X265">
        <v>38356000000</v>
      </c>
      <c r="Y265">
        <v>42226000000</v>
      </c>
      <c r="Z265">
        <v>45806000000</v>
      </c>
      <c r="AA265">
        <v>46203000000</v>
      </c>
      <c r="AB265">
        <v>43912000000</v>
      </c>
      <c r="AC265">
        <v>41611000000</v>
      </c>
      <c r="AD265">
        <v>38167000000</v>
      </c>
      <c r="AE265">
        <v>39023000000</v>
      </c>
      <c r="AF265">
        <v>39395000000</v>
      </c>
      <c r="AG265">
        <v>36766000000</v>
      </c>
      <c r="AH265">
        <v>34908000000</v>
      </c>
      <c r="AI265">
        <v>30232000000</v>
      </c>
      <c r="AJ265">
        <v>28161000000</v>
      </c>
      <c r="AK265">
        <v>24306000000</v>
      </c>
      <c r="AL265">
        <v>25820000000</v>
      </c>
      <c r="AM265">
        <v>22947000000</v>
      </c>
      <c r="AN265">
        <v>22942000000</v>
      </c>
      <c r="AO265">
        <v>23732000000</v>
      </c>
      <c r="AP265">
        <v>28886000000</v>
      </c>
      <c r="AQ265">
        <v>27912000000</v>
      </c>
      <c r="AR265">
        <v>25383000000</v>
      </c>
      <c r="AS265">
        <v>20518000000</v>
      </c>
      <c r="AT265">
        <v>18495000000</v>
      </c>
      <c r="AU265">
        <v>17681000000</v>
      </c>
      <c r="AV265">
        <v>19146000000</v>
      </c>
      <c r="AW265">
        <v>21275000000</v>
      </c>
      <c r="AX265">
        <v>21389000000</v>
      </c>
      <c r="AY265">
        <v>24528000000</v>
      </c>
      <c r="AZ265">
        <v>26511000000</v>
      </c>
      <c r="BA265">
        <v>24120000000</v>
      </c>
      <c r="BB265">
        <v>24444000000</v>
      </c>
      <c r="BC265">
        <v>25832000000</v>
      </c>
      <c r="BD265">
        <v>29928000000</v>
      </c>
      <c r="BE265">
        <v>27937000000</v>
      </c>
      <c r="BF265">
        <v>27407000000</v>
      </c>
      <c r="BG265">
        <v>27127000000</v>
      </c>
      <c r="BH265">
        <v>28722000000</v>
      </c>
      <c r="BI265">
        <v>31481000000</v>
      </c>
      <c r="BJ265">
        <v>31279000000</v>
      </c>
      <c r="BK265">
        <v>27368000000</v>
      </c>
      <c r="BL265">
        <v>27036000000</v>
      </c>
      <c r="BM265">
        <v>24055000000</v>
      </c>
      <c r="BN265">
        <v>27084000000</v>
      </c>
      <c r="BO265">
        <v>33297000000</v>
      </c>
      <c r="BP265">
        <v>29527000000</v>
      </c>
      <c r="BQ265">
        <v>30721000000</v>
      </c>
      <c r="BR265">
        <v>33535000000</v>
      </c>
    </row>
    <row r="266" spans="1:70">
      <c r="A266" t="s">
        <v>529</v>
      </c>
      <c r="B266" t="s">
        <v>530</v>
      </c>
      <c r="C266" t="s">
        <v>541</v>
      </c>
      <c r="D266" t="s">
        <v>542</v>
      </c>
    </row>
    <row r="267" spans="1:70">
      <c r="A267" t="s">
        <v>531</v>
      </c>
      <c r="B267" t="s">
        <v>532</v>
      </c>
      <c r="C267" t="s">
        <v>541</v>
      </c>
      <c r="D267" t="s">
        <v>542</v>
      </c>
    </row>
    <row r="268" spans="1:70">
      <c r="A268" t="s">
        <v>533</v>
      </c>
      <c r="B268" t="s">
        <v>534</v>
      </c>
      <c r="C268" t="s">
        <v>541</v>
      </c>
      <c r="D268" t="s">
        <v>542</v>
      </c>
      <c r="T268">
        <v>6000000</v>
      </c>
      <c r="AD268">
        <v>3000000</v>
      </c>
      <c r="AE268">
        <v>51000000</v>
      </c>
    </row>
    <row r="269" spans="1:70">
      <c r="A269" t="s">
        <v>535</v>
      </c>
      <c r="B269" t="s">
        <v>536</v>
      </c>
      <c r="C269" t="s">
        <v>541</v>
      </c>
      <c r="D269" t="s">
        <v>542</v>
      </c>
      <c r="E269">
        <v>27000000</v>
      </c>
      <c r="F269">
        <v>33000000</v>
      </c>
      <c r="L269">
        <v>8000000</v>
      </c>
      <c r="M269">
        <v>9000000</v>
      </c>
      <c r="N269">
        <v>13000000</v>
      </c>
      <c r="O269">
        <v>2000000</v>
      </c>
      <c r="P269">
        <v>7000000</v>
      </c>
      <c r="Q269">
        <v>22000000</v>
      </c>
      <c r="R269">
        <v>1000000</v>
      </c>
      <c r="S269">
        <v>2000000</v>
      </c>
      <c r="T269">
        <v>29000000</v>
      </c>
      <c r="U269">
        <v>20000000</v>
      </c>
      <c r="V269">
        <v>0</v>
      </c>
      <c r="Y269">
        <v>49000000</v>
      </c>
      <c r="Z269">
        <v>49000000</v>
      </c>
      <c r="AA269">
        <v>1000000</v>
      </c>
      <c r="AD269">
        <v>25000000</v>
      </c>
      <c r="AE269">
        <v>25000000</v>
      </c>
      <c r="AF269">
        <v>28000000</v>
      </c>
      <c r="AG269">
        <v>25000000</v>
      </c>
      <c r="AH269">
        <v>0</v>
      </c>
      <c r="AJ269">
        <v>54000000</v>
      </c>
      <c r="AK269">
        <v>85000000</v>
      </c>
      <c r="AL269">
        <v>54000000</v>
      </c>
      <c r="AM269">
        <v>13000000</v>
      </c>
      <c r="AN269">
        <v>17000000</v>
      </c>
      <c r="AO269">
        <v>31000000</v>
      </c>
      <c r="AP269">
        <v>7000000</v>
      </c>
      <c r="AQ269">
        <v>14000000</v>
      </c>
      <c r="AR269">
        <v>24000000</v>
      </c>
      <c r="AS269">
        <v>21000000</v>
      </c>
      <c r="AT269">
        <v>32000000</v>
      </c>
      <c r="AU269">
        <v>22000000</v>
      </c>
      <c r="AV269">
        <v>47000000</v>
      </c>
      <c r="AW269">
        <v>74000000</v>
      </c>
      <c r="AX269">
        <v>36000000</v>
      </c>
      <c r="AY269">
        <v>200000000</v>
      </c>
      <c r="AZ269">
        <v>137000000</v>
      </c>
      <c r="BA269">
        <v>142000000</v>
      </c>
      <c r="BB269">
        <v>108000000</v>
      </c>
      <c r="BC269">
        <v>250000000</v>
      </c>
      <c r="BD269">
        <v>76000000</v>
      </c>
      <c r="BE269">
        <v>193000000</v>
      </c>
      <c r="BF269">
        <v>109000000</v>
      </c>
      <c r="BG269">
        <v>89000000</v>
      </c>
      <c r="BH269">
        <v>76000000</v>
      </c>
      <c r="BI269">
        <v>118000000</v>
      </c>
      <c r="BJ269">
        <v>100000000</v>
      </c>
      <c r="BK269">
        <v>118000000</v>
      </c>
      <c r="BL269">
        <v>129000000</v>
      </c>
      <c r="BM269">
        <v>150000000</v>
      </c>
      <c r="BN269">
        <v>143000000</v>
      </c>
      <c r="BO269">
        <v>113000000</v>
      </c>
      <c r="BP269">
        <v>105000000</v>
      </c>
      <c r="BQ269">
        <v>96000000</v>
      </c>
      <c r="BR269">
        <v>115000000</v>
      </c>
    </row>
    <row r="270" spans="1:70">
      <c r="A270" t="s">
        <v>537</v>
      </c>
      <c r="B270" t="s">
        <v>538</v>
      </c>
      <c r="C270" t="s">
        <v>541</v>
      </c>
      <c r="D270" t="s">
        <v>542</v>
      </c>
      <c r="AI270">
        <v>2000000</v>
      </c>
    </row>
    <row r="271" spans="1:70">
      <c r="A271" t="s">
        <v>539</v>
      </c>
      <c r="B271" t="s">
        <v>540</v>
      </c>
      <c r="C271" t="s">
        <v>541</v>
      </c>
      <c r="D271" t="s">
        <v>542</v>
      </c>
      <c r="I271">
        <v>1000000</v>
      </c>
      <c r="AT271">
        <v>4000000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E10E-7B45-4EDA-897E-296749605C16}">
  <dimension ref="A1:D3833"/>
  <sheetViews>
    <sheetView workbookViewId="0"/>
  </sheetViews>
  <sheetFormatPr defaultRowHeight="14.4"/>
  <cols>
    <col min="1" max="1" width="60.109375" bestFit="1" customWidth="1"/>
    <col min="2" max="2" width="14.33203125" bestFit="1" customWidth="1"/>
    <col min="3" max="3" width="6.88671875" bestFit="1" customWidth="1"/>
    <col min="4" max="4" width="13.109375" bestFit="1" customWidth="1"/>
  </cols>
  <sheetData>
    <row r="1" spans="1:4">
      <c r="A1" t="s">
        <v>3</v>
      </c>
      <c r="B1" t="s">
        <v>4</v>
      </c>
      <c r="C1" t="s">
        <v>681</v>
      </c>
      <c r="D1" t="s">
        <v>682</v>
      </c>
    </row>
    <row r="2" spans="1:4">
      <c r="A2" s="3" t="s">
        <v>11</v>
      </c>
      <c r="B2" s="3" t="s">
        <v>12</v>
      </c>
      <c r="C2">
        <v>2000</v>
      </c>
      <c r="D2">
        <v>522000000</v>
      </c>
    </row>
    <row r="3" spans="1:4">
      <c r="A3" s="3" t="s">
        <v>11</v>
      </c>
      <c r="B3" s="3" t="s">
        <v>12</v>
      </c>
      <c r="C3">
        <v>2001</v>
      </c>
      <c r="D3">
        <v>403000000</v>
      </c>
    </row>
    <row r="4" spans="1:4">
      <c r="A4" s="3" t="s">
        <v>11</v>
      </c>
      <c r="B4" s="3" t="s">
        <v>12</v>
      </c>
      <c r="C4">
        <v>2005</v>
      </c>
      <c r="D4">
        <v>598000000</v>
      </c>
    </row>
    <row r="5" spans="1:4">
      <c r="A5" s="3" t="s">
        <v>11</v>
      </c>
      <c r="B5" s="3" t="s">
        <v>12</v>
      </c>
      <c r="C5">
        <v>2006</v>
      </c>
      <c r="D5">
        <v>1035000000</v>
      </c>
    </row>
    <row r="6" spans="1:4">
      <c r="A6" s="3" t="s">
        <v>11</v>
      </c>
      <c r="B6" s="3" t="s">
        <v>12</v>
      </c>
      <c r="C6">
        <v>2007</v>
      </c>
      <c r="D6">
        <v>1081000000</v>
      </c>
    </row>
    <row r="7" spans="1:4">
      <c r="A7" s="3" t="s">
        <v>11</v>
      </c>
      <c r="B7" s="3" t="s">
        <v>12</v>
      </c>
      <c r="C7">
        <v>2008</v>
      </c>
      <c r="D7">
        <v>768000000</v>
      </c>
    </row>
    <row r="8" spans="1:4">
      <c r="A8" s="3" t="s">
        <v>11</v>
      </c>
      <c r="B8" s="3" t="s">
        <v>12</v>
      </c>
      <c r="C8">
        <v>2009</v>
      </c>
      <c r="D8">
        <v>420000000</v>
      </c>
    </row>
    <row r="9" spans="1:4">
      <c r="A9" s="3" t="s">
        <v>11</v>
      </c>
      <c r="B9" s="3" t="s">
        <v>12</v>
      </c>
      <c r="C9">
        <v>2011</v>
      </c>
      <c r="D9">
        <v>1131000000</v>
      </c>
    </row>
    <row r="10" spans="1:4">
      <c r="A10" s="3" t="s">
        <v>11</v>
      </c>
      <c r="B10" s="3" t="s">
        <v>12</v>
      </c>
      <c r="C10">
        <v>2012</v>
      </c>
      <c r="D10">
        <v>988000000</v>
      </c>
    </row>
    <row r="11" spans="1:4">
      <c r="A11" s="3" t="s">
        <v>11</v>
      </c>
      <c r="B11" s="3" t="s">
        <v>12</v>
      </c>
      <c r="C11">
        <v>2013</v>
      </c>
      <c r="D11">
        <v>563000000</v>
      </c>
    </row>
    <row r="12" spans="1:4">
      <c r="A12" s="3" t="s">
        <v>11</v>
      </c>
      <c r="B12" s="3" t="s">
        <v>12</v>
      </c>
      <c r="C12">
        <v>2014</v>
      </c>
      <c r="D12">
        <v>308000000</v>
      </c>
    </row>
    <row r="13" spans="1:4">
      <c r="A13" s="3" t="s">
        <v>11</v>
      </c>
      <c r="B13" s="3" t="s">
        <v>12</v>
      </c>
      <c r="C13">
        <v>2015</v>
      </c>
      <c r="D13">
        <v>330000000</v>
      </c>
    </row>
    <row r="14" spans="1:4">
      <c r="A14" s="3" t="s">
        <v>11</v>
      </c>
      <c r="B14" s="3" t="s">
        <v>12</v>
      </c>
      <c r="C14">
        <v>2022</v>
      </c>
      <c r="D14">
        <v>259000000</v>
      </c>
    </row>
    <row r="15" spans="1:4">
      <c r="A15" s="3" t="s">
        <v>11</v>
      </c>
      <c r="B15" s="3" t="s">
        <v>12</v>
      </c>
      <c r="C15">
        <v>2023</v>
      </c>
      <c r="D15">
        <v>166000000</v>
      </c>
    </row>
    <row r="16" spans="1:4">
      <c r="A16" s="3" t="s">
        <v>13</v>
      </c>
      <c r="B16" s="3" t="s">
        <v>14</v>
      </c>
      <c r="C16">
        <v>2002</v>
      </c>
      <c r="D16">
        <v>34000000</v>
      </c>
    </row>
    <row r="17" spans="1:4">
      <c r="A17" s="3" t="s">
        <v>13</v>
      </c>
      <c r="B17" s="3" t="s">
        <v>14</v>
      </c>
      <c r="C17">
        <v>2005</v>
      </c>
      <c r="D17">
        <v>33000000</v>
      </c>
    </row>
    <row r="18" spans="1:4">
      <c r="A18" s="3" t="s">
        <v>13</v>
      </c>
      <c r="B18" s="3" t="s">
        <v>14</v>
      </c>
      <c r="C18">
        <v>2006</v>
      </c>
      <c r="D18">
        <v>3000000</v>
      </c>
    </row>
    <row r="19" spans="1:4">
      <c r="A19" s="3" t="s">
        <v>13</v>
      </c>
      <c r="B19" s="3" t="s">
        <v>14</v>
      </c>
      <c r="C19">
        <v>2007</v>
      </c>
      <c r="D19">
        <v>40000000</v>
      </c>
    </row>
    <row r="20" spans="1:4">
      <c r="A20" s="3" t="s">
        <v>13</v>
      </c>
      <c r="B20" s="3" t="s">
        <v>14</v>
      </c>
      <c r="C20">
        <v>2008</v>
      </c>
      <c r="D20">
        <v>148000000</v>
      </c>
    </row>
    <row r="21" spans="1:4">
      <c r="A21" s="3" t="s">
        <v>13</v>
      </c>
      <c r="B21" s="3" t="s">
        <v>14</v>
      </c>
      <c r="C21">
        <v>2009</v>
      </c>
      <c r="D21">
        <v>326000000</v>
      </c>
    </row>
    <row r="22" spans="1:4">
      <c r="A22" s="3" t="s">
        <v>13</v>
      </c>
      <c r="B22" s="3" t="s">
        <v>14</v>
      </c>
      <c r="C22">
        <v>2010</v>
      </c>
      <c r="D22">
        <v>365000000</v>
      </c>
    </row>
    <row r="23" spans="1:4">
      <c r="A23" s="3" t="s">
        <v>13</v>
      </c>
      <c r="B23" s="3" t="s">
        <v>14</v>
      </c>
      <c r="C23">
        <v>2011</v>
      </c>
      <c r="D23">
        <v>632000000</v>
      </c>
    </row>
    <row r="24" spans="1:4">
      <c r="A24" s="3" t="s">
        <v>13</v>
      </c>
      <c r="B24" s="3" t="s">
        <v>14</v>
      </c>
      <c r="C24">
        <v>2012</v>
      </c>
      <c r="D24">
        <v>518000000</v>
      </c>
    </row>
    <row r="25" spans="1:4">
      <c r="A25" s="3" t="s">
        <v>13</v>
      </c>
      <c r="B25" s="3" t="s">
        <v>14</v>
      </c>
      <c r="C25">
        <v>2013</v>
      </c>
      <c r="D25">
        <v>253000000</v>
      </c>
    </row>
    <row r="26" spans="1:4">
      <c r="A26" s="3" t="s">
        <v>13</v>
      </c>
      <c r="B26" s="3" t="s">
        <v>14</v>
      </c>
      <c r="C26">
        <v>2014</v>
      </c>
      <c r="D26">
        <v>323000000</v>
      </c>
    </row>
    <row r="27" spans="1:4">
      <c r="A27" s="3" t="s">
        <v>13</v>
      </c>
      <c r="B27" s="3" t="s">
        <v>14</v>
      </c>
      <c r="C27">
        <v>2015</v>
      </c>
      <c r="D27">
        <v>131000000</v>
      </c>
    </row>
    <row r="28" spans="1:4">
      <c r="A28" s="3" t="s">
        <v>13</v>
      </c>
      <c r="B28" s="3" t="s">
        <v>14</v>
      </c>
      <c r="C28">
        <v>2016</v>
      </c>
      <c r="D28">
        <v>170000000</v>
      </c>
    </row>
    <row r="29" spans="1:4">
      <c r="A29" s="3" t="s">
        <v>13</v>
      </c>
      <c r="B29" s="3" t="s">
        <v>14</v>
      </c>
      <c r="C29">
        <v>2017</v>
      </c>
      <c r="D29">
        <v>235000000</v>
      </c>
    </row>
    <row r="30" spans="1:4">
      <c r="A30" s="3" t="s">
        <v>13</v>
      </c>
      <c r="B30" s="3" t="s">
        <v>14</v>
      </c>
      <c r="C30">
        <v>2018</v>
      </c>
      <c r="D30">
        <v>312000000</v>
      </c>
    </row>
    <row r="31" spans="1:4">
      <c r="A31" s="3" t="s">
        <v>13</v>
      </c>
      <c r="B31" s="3" t="s">
        <v>14</v>
      </c>
      <c r="C31">
        <v>2019</v>
      </c>
      <c r="D31">
        <v>379000000</v>
      </c>
    </row>
    <row r="32" spans="1:4">
      <c r="A32" s="3" t="s">
        <v>13</v>
      </c>
      <c r="B32" s="3" t="s">
        <v>14</v>
      </c>
      <c r="C32">
        <v>2020</v>
      </c>
      <c r="D32">
        <v>231000000</v>
      </c>
    </row>
    <row r="33" spans="1:4">
      <c r="A33" s="3" t="s">
        <v>13</v>
      </c>
      <c r="B33" s="3" t="s">
        <v>14</v>
      </c>
      <c r="C33">
        <v>2021</v>
      </c>
      <c r="D33">
        <v>65000000</v>
      </c>
    </row>
    <row r="34" spans="1:4">
      <c r="A34" s="3" t="s">
        <v>15</v>
      </c>
      <c r="B34" s="3" t="s">
        <v>16</v>
      </c>
      <c r="C34">
        <v>2000</v>
      </c>
      <c r="D34">
        <v>111000000</v>
      </c>
    </row>
    <row r="35" spans="1:4">
      <c r="A35" s="3" t="s">
        <v>15</v>
      </c>
      <c r="B35" s="3" t="s">
        <v>16</v>
      </c>
      <c r="C35">
        <v>2001</v>
      </c>
      <c r="D35">
        <v>56000000</v>
      </c>
    </row>
    <row r="36" spans="1:4">
      <c r="A36" s="3" t="s">
        <v>15</v>
      </c>
      <c r="B36" s="3" t="s">
        <v>16</v>
      </c>
      <c r="C36">
        <v>2002</v>
      </c>
      <c r="D36">
        <v>84000000</v>
      </c>
    </row>
    <row r="37" spans="1:4">
      <c r="A37" s="3" t="s">
        <v>15</v>
      </c>
      <c r="B37" s="3" t="s">
        <v>16</v>
      </c>
      <c r="C37">
        <v>2003</v>
      </c>
      <c r="D37">
        <v>159000000</v>
      </c>
    </row>
    <row r="38" spans="1:4">
      <c r="A38" s="3" t="s">
        <v>15</v>
      </c>
      <c r="B38" s="3" t="s">
        <v>16</v>
      </c>
      <c r="C38">
        <v>2004</v>
      </c>
      <c r="D38">
        <v>83000000</v>
      </c>
    </row>
    <row r="39" spans="1:4">
      <c r="A39" s="3" t="s">
        <v>15</v>
      </c>
      <c r="B39" s="3" t="s">
        <v>16</v>
      </c>
      <c r="C39">
        <v>2006</v>
      </c>
      <c r="D39">
        <v>102000000</v>
      </c>
    </row>
    <row r="40" spans="1:4">
      <c r="A40" s="3" t="s">
        <v>15</v>
      </c>
      <c r="B40" s="3" t="s">
        <v>16</v>
      </c>
      <c r="C40">
        <v>2007</v>
      </c>
      <c r="D40">
        <v>181000000</v>
      </c>
    </row>
    <row r="41" spans="1:4">
      <c r="A41" s="3" t="s">
        <v>15</v>
      </c>
      <c r="B41" s="3" t="s">
        <v>16</v>
      </c>
      <c r="C41">
        <v>2008</v>
      </c>
      <c r="D41">
        <v>164000000</v>
      </c>
    </row>
    <row r="42" spans="1:4">
      <c r="A42" s="3" t="s">
        <v>15</v>
      </c>
      <c r="B42" s="3" t="s">
        <v>16</v>
      </c>
      <c r="C42">
        <v>2009</v>
      </c>
      <c r="D42">
        <v>219000000</v>
      </c>
    </row>
    <row r="43" spans="1:4">
      <c r="A43" s="3" t="s">
        <v>15</v>
      </c>
      <c r="B43" s="3" t="s">
        <v>16</v>
      </c>
      <c r="C43">
        <v>2010</v>
      </c>
      <c r="D43">
        <v>367000000</v>
      </c>
    </row>
    <row r="44" spans="1:4">
      <c r="A44" s="3" t="s">
        <v>15</v>
      </c>
      <c r="B44" s="3" t="s">
        <v>16</v>
      </c>
      <c r="C44">
        <v>2011</v>
      </c>
      <c r="D44">
        <v>253000000</v>
      </c>
    </row>
    <row r="45" spans="1:4">
      <c r="A45" s="3" t="s">
        <v>15</v>
      </c>
      <c r="B45" s="3" t="s">
        <v>16</v>
      </c>
      <c r="C45">
        <v>2012</v>
      </c>
      <c r="D45">
        <v>224000000</v>
      </c>
    </row>
    <row r="46" spans="1:4">
      <c r="A46" s="3" t="s">
        <v>15</v>
      </c>
      <c r="B46" s="3" t="s">
        <v>16</v>
      </c>
      <c r="C46">
        <v>2013</v>
      </c>
      <c r="D46">
        <v>342000000</v>
      </c>
    </row>
    <row r="47" spans="1:4">
      <c r="A47" s="3" t="s">
        <v>15</v>
      </c>
      <c r="B47" s="3" t="s">
        <v>16</v>
      </c>
      <c r="C47">
        <v>2014</v>
      </c>
      <c r="D47">
        <v>580000000</v>
      </c>
    </row>
    <row r="48" spans="1:4">
      <c r="A48" s="3" t="s">
        <v>15</v>
      </c>
      <c r="B48" s="3" t="s">
        <v>16</v>
      </c>
      <c r="C48">
        <v>2015</v>
      </c>
      <c r="D48">
        <v>265000000</v>
      </c>
    </row>
    <row r="49" spans="1:4">
      <c r="A49" s="3" t="s">
        <v>15</v>
      </c>
      <c r="B49" s="3" t="s">
        <v>16</v>
      </c>
      <c r="C49">
        <v>2016</v>
      </c>
      <c r="D49">
        <v>223000000</v>
      </c>
    </row>
    <row r="50" spans="1:4">
      <c r="A50" s="3" t="s">
        <v>15</v>
      </c>
      <c r="B50" s="3" t="s">
        <v>16</v>
      </c>
      <c r="C50">
        <v>2017</v>
      </c>
      <c r="D50">
        <v>157000000</v>
      </c>
    </row>
    <row r="51" spans="1:4">
      <c r="A51" s="3" t="s">
        <v>15</v>
      </c>
      <c r="B51" s="3" t="s">
        <v>16</v>
      </c>
      <c r="C51">
        <v>2018</v>
      </c>
      <c r="D51">
        <v>159000000</v>
      </c>
    </row>
    <row r="52" spans="1:4">
      <c r="A52" s="3" t="s">
        <v>15</v>
      </c>
      <c r="B52" s="3" t="s">
        <v>16</v>
      </c>
      <c r="C52">
        <v>2019</v>
      </c>
      <c r="D52">
        <v>189000000</v>
      </c>
    </row>
    <row r="53" spans="1:4">
      <c r="A53" s="3" t="s">
        <v>15</v>
      </c>
      <c r="B53" s="3" t="s">
        <v>16</v>
      </c>
      <c r="C53">
        <v>2020</v>
      </c>
      <c r="D53">
        <v>205000000</v>
      </c>
    </row>
    <row r="54" spans="1:4">
      <c r="A54" s="3" t="s">
        <v>15</v>
      </c>
      <c r="B54" s="3" t="s">
        <v>16</v>
      </c>
      <c r="C54">
        <v>2021</v>
      </c>
      <c r="D54">
        <v>499000000</v>
      </c>
    </row>
    <row r="55" spans="1:4">
      <c r="A55" s="3" t="s">
        <v>15</v>
      </c>
      <c r="B55" s="3" t="s">
        <v>16</v>
      </c>
      <c r="C55">
        <v>2022</v>
      </c>
      <c r="D55">
        <v>324000000</v>
      </c>
    </row>
    <row r="56" spans="1:4">
      <c r="A56" s="3" t="s">
        <v>15</v>
      </c>
      <c r="B56" s="3" t="s">
        <v>16</v>
      </c>
      <c r="C56">
        <v>2023</v>
      </c>
      <c r="D56">
        <v>587000000</v>
      </c>
    </row>
    <row r="57" spans="1:4">
      <c r="A57" s="3" t="s">
        <v>15</v>
      </c>
      <c r="B57" s="3" t="s">
        <v>16</v>
      </c>
      <c r="C57">
        <v>2024</v>
      </c>
      <c r="D57">
        <v>433000000</v>
      </c>
    </row>
    <row r="58" spans="1:4">
      <c r="A58" s="3" t="s">
        <v>17</v>
      </c>
      <c r="B58" s="3" t="s">
        <v>18</v>
      </c>
      <c r="C58">
        <v>2000</v>
      </c>
      <c r="D58">
        <v>149000000</v>
      </c>
    </row>
    <row r="59" spans="1:4">
      <c r="A59" s="3" t="s">
        <v>17</v>
      </c>
      <c r="B59" s="3" t="s">
        <v>18</v>
      </c>
      <c r="C59">
        <v>2001</v>
      </c>
      <c r="D59">
        <v>157000000</v>
      </c>
    </row>
    <row r="60" spans="1:4">
      <c r="A60" s="3" t="s">
        <v>17</v>
      </c>
      <c r="B60" s="3" t="s">
        <v>18</v>
      </c>
      <c r="C60">
        <v>2002</v>
      </c>
      <c r="D60">
        <v>148000000</v>
      </c>
    </row>
    <row r="61" spans="1:4">
      <c r="A61" s="3" t="s">
        <v>17</v>
      </c>
      <c r="B61" s="3" t="s">
        <v>18</v>
      </c>
      <c r="C61">
        <v>2003</v>
      </c>
      <c r="D61">
        <v>48000000</v>
      </c>
    </row>
    <row r="62" spans="1:4">
      <c r="A62" s="3" t="s">
        <v>17</v>
      </c>
      <c r="B62" s="3" t="s">
        <v>18</v>
      </c>
      <c r="C62">
        <v>2004</v>
      </c>
      <c r="D62">
        <v>8000000</v>
      </c>
    </row>
    <row r="63" spans="1:4">
      <c r="A63" s="3" t="s">
        <v>17</v>
      </c>
      <c r="B63" s="3" t="s">
        <v>18</v>
      </c>
      <c r="C63">
        <v>2005</v>
      </c>
      <c r="D63">
        <v>38000000</v>
      </c>
    </row>
    <row r="64" spans="1:4">
      <c r="A64" s="3" t="s">
        <v>17</v>
      </c>
      <c r="B64" s="3" t="s">
        <v>18</v>
      </c>
      <c r="C64">
        <v>2006</v>
      </c>
      <c r="D64">
        <v>7000000</v>
      </c>
    </row>
    <row r="65" spans="1:4">
      <c r="A65" s="3" t="s">
        <v>17</v>
      </c>
      <c r="B65" s="3" t="s">
        <v>18</v>
      </c>
      <c r="C65">
        <v>2007</v>
      </c>
      <c r="D65">
        <v>35000000</v>
      </c>
    </row>
    <row r="66" spans="1:4">
      <c r="A66" s="3" t="s">
        <v>17</v>
      </c>
      <c r="B66" s="3" t="s">
        <v>18</v>
      </c>
      <c r="C66">
        <v>2008</v>
      </c>
      <c r="D66">
        <v>29000000</v>
      </c>
    </row>
    <row r="67" spans="1:4">
      <c r="A67" s="3" t="s">
        <v>17</v>
      </c>
      <c r="B67" s="3" t="s">
        <v>18</v>
      </c>
      <c r="C67">
        <v>2009</v>
      </c>
      <c r="D67">
        <v>20000000</v>
      </c>
    </row>
    <row r="68" spans="1:4">
      <c r="A68" s="3" t="s">
        <v>17</v>
      </c>
      <c r="B68" s="3" t="s">
        <v>18</v>
      </c>
      <c r="C68">
        <v>2013</v>
      </c>
      <c r="D68">
        <v>31000000</v>
      </c>
    </row>
    <row r="69" spans="1:4">
      <c r="A69" s="3" t="s">
        <v>17</v>
      </c>
      <c r="B69" s="3" t="s">
        <v>18</v>
      </c>
      <c r="C69">
        <v>2014</v>
      </c>
      <c r="D69">
        <v>2000000</v>
      </c>
    </row>
    <row r="70" spans="1:4">
      <c r="A70" s="3" t="s">
        <v>17</v>
      </c>
      <c r="B70" s="3" t="s">
        <v>18</v>
      </c>
      <c r="C70">
        <v>2015</v>
      </c>
      <c r="D70">
        <v>49000000</v>
      </c>
    </row>
    <row r="71" spans="1:4">
      <c r="A71" s="3" t="s">
        <v>17</v>
      </c>
      <c r="B71" s="3" t="s">
        <v>18</v>
      </c>
      <c r="C71">
        <v>2016</v>
      </c>
      <c r="D71">
        <v>156000000</v>
      </c>
    </row>
    <row r="72" spans="1:4">
      <c r="A72" s="3" t="s">
        <v>17</v>
      </c>
      <c r="B72" s="3" t="s">
        <v>18</v>
      </c>
      <c r="C72">
        <v>2017</v>
      </c>
      <c r="D72">
        <v>113000000</v>
      </c>
    </row>
    <row r="73" spans="1:4">
      <c r="A73" s="3" t="s">
        <v>17</v>
      </c>
      <c r="B73" s="3" t="s">
        <v>18</v>
      </c>
      <c r="C73">
        <v>2018</v>
      </c>
      <c r="D73">
        <v>274000000</v>
      </c>
    </row>
    <row r="74" spans="1:4">
      <c r="A74" s="3" t="s">
        <v>17</v>
      </c>
      <c r="B74" s="3" t="s">
        <v>18</v>
      </c>
      <c r="C74">
        <v>2019</v>
      </c>
      <c r="D74">
        <v>170000000</v>
      </c>
    </row>
    <row r="75" spans="1:4">
      <c r="A75" s="3" t="s">
        <v>17</v>
      </c>
      <c r="B75" s="3" t="s">
        <v>18</v>
      </c>
      <c r="C75">
        <v>2020</v>
      </c>
      <c r="D75">
        <v>51000000</v>
      </c>
    </row>
    <row r="76" spans="1:4">
      <c r="A76" s="3" t="s">
        <v>17</v>
      </c>
      <c r="B76" s="3" t="s">
        <v>18</v>
      </c>
      <c r="C76">
        <v>2022</v>
      </c>
      <c r="D76">
        <v>46000000</v>
      </c>
    </row>
    <row r="77" spans="1:4">
      <c r="A77" s="3" t="s">
        <v>17</v>
      </c>
      <c r="B77" s="3" t="s">
        <v>18</v>
      </c>
      <c r="C77">
        <v>2023</v>
      </c>
      <c r="D77">
        <v>15000000</v>
      </c>
    </row>
    <row r="78" spans="1:4">
      <c r="A78" s="3" t="s">
        <v>17</v>
      </c>
      <c r="B78" s="3" t="s">
        <v>18</v>
      </c>
      <c r="C78">
        <v>2024</v>
      </c>
      <c r="D78">
        <v>16000000</v>
      </c>
    </row>
    <row r="79" spans="1:4">
      <c r="A79" s="3" t="s">
        <v>19</v>
      </c>
      <c r="B79" s="3" t="s">
        <v>20</v>
      </c>
      <c r="C79">
        <v>2003</v>
      </c>
      <c r="D79">
        <v>2000000</v>
      </c>
    </row>
    <row r="80" spans="1:4">
      <c r="A80" s="3" t="s">
        <v>19</v>
      </c>
      <c r="B80" s="3" t="s">
        <v>20</v>
      </c>
      <c r="C80">
        <v>2005</v>
      </c>
      <c r="D80">
        <v>7000000</v>
      </c>
    </row>
    <row r="81" spans="1:4">
      <c r="A81" s="3" t="s">
        <v>19</v>
      </c>
      <c r="B81" s="3" t="s">
        <v>20</v>
      </c>
      <c r="C81">
        <v>2007</v>
      </c>
      <c r="D81">
        <v>5000000</v>
      </c>
    </row>
    <row r="82" spans="1:4">
      <c r="A82" s="3" t="s">
        <v>19</v>
      </c>
      <c r="B82" s="3" t="s">
        <v>20</v>
      </c>
      <c r="C82">
        <v>2012</v>
      </c>
      <c r="D82">
        <v>15000000</v>
      </c>
    </row>
    <row r="83" spans="1:4">
      <c r="A83" s="3" t="s">
        <v>19</v>
      </c>
      <c r="B83" s="3" t="s">
        <v>20</v>
      </c>
      <c r="C83">
        <v>2013</v>
      </c>
      <c r="D83">
        <v>7000000</v>
      </c>
    </row>
    <row r="84" spans="1:4">
      <c r="A84" s="3" t="s">
        <v>19</v>
      </c>
      <c r="B84" s="3" t="s">
        <v>20</v>
      </c>
      <c r="C84">
        <v>2014</v>
      </c>
      <c r="D84">
        <v>7000000</v>
      </c>
    </row>
    <row r="85" spans="1:4">
      <c r="A85" s="3" t="s">
        <v>19</v>
      </c>
      <c r="B85" s="3" t="s">
        <v>20</v>
      </c>
      <c r="C85">
        <v>2015</v>
      </c>
      <c r="D85">
        <v>7000000</v>
      </c>
    </row>
    <row r="86" spans="1:4">
      <c r="A86" s="3" t="s">
        <v>19</v>
      </c>
      <c r="B86" s="3" t="s">
        <v>20</v>
      </c>
      <c r="C86">
        <v>2017</v>
      </c>
      <c r="D86">
        <v>1000000</v>
      </c>
    </row>
    <row r="87" spans="1:4">
      <c r="A87" s="3" t="s">
        <v>19</v>
      </c>
      <c r="B87" s="3" t="s">
        <v>20</v>
      </c>
      <c r="C87">
        <v>2018</v>
      </c>
      <c r="D87">
        <v>1000000</v>
      </c>
    </row>
    <row r="88" spans="1:4">
      <c r="A88" s="3" t="s">
        <v>19</v>
      </c>
      <c r="B88" s="3" t="s">
        <v>20</v>
      </c>
      <c r="C88">
        <v>2019</v>
      </c>
      <c r="D88">
        <v>5000000</v>
      </c>
    </row>
    <row r="89" spans="1:4">
      <c r="A89" s="3" t="s">
        <v>19</v>
      </c>
      <c r="B89" s="3" t="s">
        <v>20</v>
      </c>
      <c r="C89">
        <v>2020</v>
      </c>
      <c r="D89">
        <v>12000000</v>
      </c>
    </row>
    <row r="90" spans="1:4">
      <c r="A90" s="3" t="s">
        <v>19</v>
      </c>
      <c r="B90" s="3" t="s">
        <v>20</v>
      </c>
      <c r="C90">
        <v>2021</v>
      </c>
      <c r="D90">
        <v>1000000</v>
      </c>
    </row>
    <row r="91" spans="1:4">
      <c r="A91" s="3" t="s">
        <v>19</v>
      </c>
      <c r="B91" s="3" t="s">
        <v>20</v>
      </c>
      <c r="C91">
        <v>2023</v>
      </c>
      <c r="D91">
        <v>1000000</v>
      </c>
    </row>
    <row r="92" spans="1:4">
      <c r="A92" s="3" t="s">
        <v>19</v>
      </c>
      <c r="B92" s="3" t="s">
        <v>20</v>
      </c>
      <c r="C92">
        <v>2024</v>
      </c>
      <c r="D92">
        <v>38000000</v>
      </c>
    </row>
    <row r="93" spans="1:4">
      <c r="A93" s="3" t="s">
        <v>23</v>
      </c>
      <c r="B93" s="3" t="s">
        <v>24</v>
      </c>
      <c r="C93">
        <v>2000</v>
      </c>
      <c r="D93">
        <v>2744000000</v>
      </c>
    </row>
    <row r="94" spans="1:4">
      <c r="A94" s="3" t="s">
        <v>23</v>
      </c>
      <c r="B94" s="3" t="s">
        <v>24</v>
      </c>
      <c r="C94">
        <v>2001</v>
      </c>
      <c r="D94">
        <v>2105000000</v>
      </c>
    </row>
    <row r="95" spans="1:4">
      <c r="A95" s="3" t="s">
        <v>23</v>
      </c>
      <c r="B95" s="3" t="s">
        <v>24</v>
      </c>
      <c r="C95">
        <v>2002</v>
      </c>
      <c r="D95">
        <v>2901000000</v>
      </c>
    </row>
    <row r="96" spans="1:4">
      <c r="A96" s="3" t="s">
        <v>23</v>
      </c>
      <c r="B96" s="3" t="s">
        <v>24</v>
      </c>
      <c r="C96">
        <v>2003</v>
      </c>
      <c r="D96">
        <v>2379000000</v>
      </c>
    </row>
    <row r="97" spans="1:4">
      <c r="A97" s="3" t="s">
        <v>23</v>
      </c>
      <c r="B97" s="3" t="s">
        <v>24</v>
      </c>
      <c r="C97">
        <v>2004</v>
      </c>
      <c r="D97">
        <v>4076000000</v>
      </c>
    </row>
    <row r="98" spans="1:4">
      <c r="A98" s="3" t="s">
        <v>23</v>
      </c>
      <c r="B98" s="3" t="s">
        <v>24</v>
      </c>
      <c r="C98">
        <v>2005</v>
      </c>
      <c r="D98">
        <v>4497000000</v>
      </c>
    </row>
    <row r="99" spans="1:4">
      <c r="A99" s="3" t="s">
        <v>23</v>
      </c>
      <c r="B99" s="3" t="s">
        <v>24</v>
      </c>
      <c r="C99">
        <v>2006</v>
      </c>
      <c r="D99">
        <v>4198000000</v>
      </c>
    </row>
    <row r="100" spans="1:4">
      <c r="A100" s="3" t="s">
        <v>23</v>
      </c>
      <c r="B100" s="3" t="s">
        <v>24</v>
      </c>
      <c r="C100">
        <v>2007</v>
      </c>
      <c r="D100">
        <v>3237000000</v>
      </c>
    </row>
    <row r="101" spans="1:4">
      <c r="A101" s="3" t="s">
        <v>23</v>
      </c>
      <c r="B101" s="3" t="s">
        <v>24</v>
      </c>
      <c r="C101">
        <v>2008</v>
      </c>
      <c r="D101">
        <v>4160000000</v>
      </c>
    </row>
    <row r="102" spans="1:4">
      <c r="A102" s="3" t="s">
        <v>23</v>
      </c>
      <c r="B102" s="3" t="s">
        <v>24</v>
      </c>
      <c r="C102">
        <v>2009</v>
      </c>
      <c r="D102">
        <v>4126000000</v>
      </c>
    </row>
    <row r="103" spans="1:4">
      <c r="A103" s="3" t="s">
        <v>23</v>
      </c>
      <c r="B103" s="3" t="s">
        <v>24</v>
      </c>
      <c r="C103">
        <v>2010</v>
      </c>
      <c r="D103">
        <v>5446000000</v>
      </c>
    </row>
    <row r="104" spans="1:4">
      <c r="A104" s="3" t="s">
        <v>23</v>
      </c>
      <c r="B104" s="3" t="s">
        <v>24</v>
      </c>
      <c r="C104">
        <v>2011</v>
      </c>
      <c r="D104">
        <v>7377000000</v>
      </c>
    </row>
    <row r="105" spans="1:4">
      <c r="A105" s="3" t="s">
        <v>23</v>
      </c>
      <c r="B105" s="3" t="s">
        <v>24</v>
      </c>
      <c r="C105">
        <v>2012</v>
      </c>
      <c r="D105">
        <v>6034000000</v>
      </c>
    </row>
    <row r="106" spans="1:4">
      <c r="A106" s="3" t="s">
        <v>23</v>
      </c>
      <c r="B106" s="3" t="s">
        <v>24</v>
      </c>
      <c r="C106">
        <v>2013</v>
      </c>
      <c r="D106">
        <v>7185000000</v>
      </c>
    </row>
    <row r="107" spans="1:4">
      <c r="A107" s="3" t="s">
        <v>23</v>
      </c>
      <c r="B107" s="3" t="s">
        <v>24</v>
      </c>
      <c r="C107">
        <v>2014</v>
      </c>
      <c r="D107">
        <v>7631000000</v>
      </c>
    </row>
    <row r="108" spans="1:4">
      <c r="A108" s="3" t="s">
        <v>23</v>
      </c>
      <c r="B108" s="3" t="s">
        <v>24</v>
      </c>
      <c r="C108">
        <v>2015</v>
      </c>
      <c r="D108">
        <v>10490000000</v>
      </c>
    </row>
    <row r="109" spans="1:4">
      <c r="A109" s="3" t="s">
        <v>23</v>
      </c>
      <c r="B109" s="3" t="s">
        <v>24</v>
      </c>
      <c r="C109">
        <v>2016</v>
      </c>
      <c r="D109">
        <v>12782000000</v>
      </c>
    </row>
    <row r="110" spans="1:4">
      <c r="A110" s="3" t="s">
        <v>23</v>
      </c>
      <c r="B110" s="3" t="s">
        <v>24</v>
      </c>
      <c r="C110">
        <v>2017</v>
      </c>
      <c r="D110">
        <v>11766000000</v>
      </c>
    </row>
    <row r="111" spans="1:4">
      <c r="A111" s="3" t="s">
        <v>23</v>
      </c>
      <c r="B111" s="3" t="s">
        <v>24</v>
      </c>
      <c r="C111">
        <v>2018</v>
      </c>
      <c r="D111">
        <v>9651000000</v>
      </c>
    </row>
    <row r="112" spans="1:4">
      <c r="A112" s="3" t="s">
        <v>23</v>
      </c>
      <c r="B112" s="3" t="s">
        <v>24</v>
      </c>
      <c r="C112">
        <v>2019</v>
      </c>
      <c r="D112">
        <v>8120000000</v>
      </c>
    </row>
    <row r="113" spans="1:4">
      <c r="A113" s="3" t="s">
        <v>23</v>
      </c>
      <c r="B113" s="3" t="s">
        <v>24</v>
      </c>
      <c r="C113">
        <v>2020</v>
      </c>
      <c r="D113">
        <v>6474000000</v>
      </c>
    </row>
    <row r="114" spans="1:4">
      <c r="A114" s="3" t="s">
        <v>23</v>
      </c>
      <c r="B114" s="3" t="s">
        <v>24</v>
      </c>
      <c r="C114">
        <v>2021</v>
      </c>
      <c r="D114">
        <v>8071000000</v>
      </c>
    </row>
    <row r="115" spans="1:4">
      <c r="A115" s="3" t="s">
        <v>23</v>
      </c>
      <c r="B115" s="3" t="s">
        <v>24</v>
      </c>
      <c r="C115">
        <v>2022</v>
      </c>
      <c r="D115">
        <v>10869000000</v>
      </c>
    </row>
    <row r="116" spans="1:4">
      <c r="A116" s="3" t="s">
        <v>23</v>
      </c>
      <c r="B116" s="3" t="s">
        <v>24</v>
      </c>
      <c r="C116">
        <v>2023</v>
      </c>
      <c r="D116">
        <v>7241000000</v>
      </c>
    </row>
    <row r="117" spans="1:4">
      <c r="A117" s="3" t="s">
        <v>23</v>
      </c>
      <c r="B117" s="3" t="s">
        <v>24</v>
      </c>
      <c r="C117">
        <v>2024</v>
      </c>
      <c r="D117">
        <v>5605000000</v>
      </c>
    </row>
    <row r="118" spans="1:4">
      <c r="A118" s="3" t="s">
        <v>25</v>
      </c>
      <c r="B118" s="3" t="s">
        <v>26</v>
      </c>
      <c r="C118">
        <v>2000</v>
      </c>
      <c r="D118">
        <v>244000000</v>
      </c>
    </row>
    <row r="119" spans="1:4">
      <c r="A119" s="3" t="s">
        <v>25</v>
      </c>
      <c r="B119" s="3" t="s">
        <v>26</v>
      </c>
      <c r="C119">
        <v>2001</v>
      </c>
      <c r="D119">
        <v>186000000</v>
      </c>
    </row>
    <row r="120" spans="1:4">
      <c r="A120" s="3" t="s">
        <v>25</v>
      </c>
      <c r="B120" s="3" t="s">
        <v>26</v>
      </c>
      <c r="C120">
        <v>2002</v>
      </c>
      <c r="D120">
        <v>223000000</v>
      </c>
    </row>
    <row r="121" spans="1:4">
      <c r="A121" s="3" t="s">
        <v>25</v>
      </c>
      <c r="B121" s="3" t="s">
        <v>26</v>
      </c>
      <c r="C121">
        <v>2003</v>
      </c>
      <c r="D121">
        <v>676000000</v>
      </c>
    </row>
    <row r="122" spans="1:4">
      <c r="A122" s="3" t="s">
        <v>25</v>
      </c>
      <c r="B122" s="3" t="s">
        <v>26</v>
      </c>
      <c r="C122">
        <v>2004</v>
      </c>
      <c r="D122">
        <v>1145000000</v>
      </c>
    </row>
    <row r="123" spans="1:4">
      <c r="A123" s="3" t="s">
        <v>25</v>
      </c>
      <c r="B123" s="3" t="s">
        <v>26</v>
      </c>
      <c r="C123">
        <v>2005</v>
      </c>
      <c r="D123">
        <v>2072000000</v>
      </c>
    </row>
    <row r="124" spans="1:4">
      <c r="A124" s="3" t="s">
        <v>25</v>
      </c>
      <c r="B124" s="3" t="s">
        <v>26</v>
      </c>
      <c r="C124">
        <v>2006</v>
      </c>
      <c r="D124">
        <v>1925000000</v>
      </c>
    </row>
    <row r="125" spans="1:4">
      <c r="A125" s="3" t="s">
        <v>25</v>
      </c>
      <c r="B125" s="3" t="s">
        <v>26</v>
      </c>
      <c r="C125">
        <v>2007</v>
      </c>
      <c r="D125">
        <v>819000000</v>
      </c>
    </row>
    <row r="126" spans="1:4">
      <c r="A126" s="3" t="s">
        <v>25</v>
      </c>
      <c r="B126" s="3" t="s">
        <v>26</v>
      </c>
      <c r="C126">
        <v>2008</v>
      </c>
      <c r="D126">
        <v>730000000</v>
      </c>
    </row>
    <row r="127" spans="1:4">
      <c r="A127" s="3" t="s">
        <v>25</v>
      </c>
      <c r="B127" s="3" t="s">
        <v>26</v>
      </c>
      <c r="C127">
        <v>2009</v>
      </c>
      <c r="D127">
        <v>604000000</v>
      </c>
    </row>
    <row r="128" spans="1:4">
      <c r="A128" s="3" t="s">
        <v>25</v>
      </c>
      <c r="B128" s="3" t="s">
        <v>26</v>
      </c>
      <c r="C128">
        <v>2010</v>
      </c>
      <c r="D128">
        <v>650000000</v>
      </c>
    </row>
    <row r="129" spans="1:4">
      <c r="A129" s="3" t="s">
        <v>25</v>
      </c>
      <c r="B129" s="3" t="s">
        <v>26</v>
      </c>
      <c r="C129">
        <v>2011</v>
      </c>
      <c r="D129">
        <v>1217000000</v>
      </c>
    </row>
    <row r="130" spans="1:4">
      <c r="A130" s="3" t="s">
        <v>25</v>
      </c>
      <c r="B130" s="3" t="s">
        <v>26</v>
      </c>
      <c r="C130">
        <v>2012</v>
      </c>
      <c r="D130">
        <v>1139000000</v>
      </c>
    </row>
    <row r="131" spans="1:4">
      <c r="A131" s="3" t="s">
        <v>25</v>
      </c>
      <c r="B131" s="3" t="s">
        <v>26</v>
      </c>
      <c r="C131">
        <v>2013</v>
      </c>
      <c r="D131">
        <v>2324000000</v>
      </c>
    </row>
    <row r="132" spans="1:4">
      <c r="A132" s="3" t="s">
        <v>25</v>
      </c>
      <c r="B132" s="3" t="s">
        <v>26</v>
      </c>
      <c r="C132">
        <v>2014</v>
      </c>
      <c r="D132">
        <v>736000000</v>
      </c>
    </row>
    <row r="133" spans="1:4">
      <c r="A133" s="3" t="s">
        <v>25</v>
      </c>
      <c r="B133" s="3" t="s">
        <v>26</v>
      </c>
      <c r="C133">
        <v>2015</v>
      </c>
      <c r="D133">
        <v>1691000000</v>
      </c>
    </row>
    <row r="134" spans="1:4">
      <c r="A134" s="3" t="s">
        <v>25</v>
      </c>
      <c r="B134" s="3" t="s">
        <v>26</v>
      </c>
      <c r="C134">
        <v>2016</v>
      </c>
      <c r="D134">
        <v>1491000000</v>
      </c>
    </row>
    <row r="135" spans="1:4">
      <c r="A135" s="3" t="s">
        <v>25</v>
      </c>
      <c r="B135" s="3" t="s">
        <v>26</v>
      </c>
      <c r="C135">
        <v>2017</v>
      </c>
      <c r="D135">
        <v>909000000</v>
      </c>
    </row>
    <row r="136" spans="1:4">
      <c r="A136" s="3" t="s">
        <v>25</v>
      </c>
      <c r="B136" s="3" t="s">
        <v>26</v>
      </c>
      <c r="C136">
        <v>2018</v>
      </c>
      <c r="D136">
        <v>1165000000</v>
      </c>
    </row>
    <row r="137" spans="1:4">
      <c r="A137" s="3" t="s">
        <v>25</v>
      </c>
      <c r="B137" s="3" t="s">
        <v>26</v>
      </c>
      <c r="C137">
        <v>2019</v>
      </c>
      <c r="D137">
        <v>750000000</v>
      </c>
    </row>
    <row r="138" spans="1:4">
      <c r="A138" s="3" t="s">
        <v>25</v>
      </c>
      <c r="B138" s="3" t="s">
        <v>26</v>
      </c>
      <c r="C138">
        <v>2020</v>
      </c>
      <c r="D138">
        <v>660000000</v>
      </c>
    </row>
    <row r="139" spans="1:4">
      <c r="A139" s="3" t="s">
        <v>25</v>
      </c>
      <c r="B139" s="3" t="s">
        <v>26</v>
      </c>
      <c r="C139">
        <v>2021</v>
      </c>
      <c r="D139">
        <v>577000000</v>
      </c>
    </row>
    <row r="140" spans="1:4">
      <c r="A140" s="3" t="s">
        <v>25</v>
      </c>
      <c r="B140" s="3" t="s">
        <v>26</v>
      </c>
      <c r="C140">
        <v>2022</v>
      </c>
      <c r="D140">
        <v>756000000</v>
      </c>
    </row>
    <row r="141" spans="1:4">
      <c r="A141" s="3" t="s">
        <v>25</v>
      </c>
      <c r="B141" s="3" t="s">
        <v>26</v>
      </c>
      <c r="C141">
        <v>2023</v>
      </c>
      <c r="D141">
        <v>918000000</v>
      </c>
    </row>
    <row r="142" spans="1:4">
      <c r="A142" s="3" t="s">
        <v>25</v>
      </c>
      <c r="B142" s="3" t="s">
        <v>26</v>
      </c>
      <c r="C142">
        <v>2024</v>
      </c>
      <c r="D142">
        <v>1086000000</v>
      </c>
    </row>
    <row r="143" spans="1:4">
      <c r="A143" s="3" t="s">
        <v>27</v>
      </c>
      <c r="B143" s="3" t="s">
        <v>28</v>
      </c>
      <c r="C143">
        <v>2000</v>
      </c>
      <c r="D143">
        <v>208000000</v>
      </c>
    </row>
    <row r="144" spans="1:4">
      <c r="A144" s="3" t="s">
        <v>27</v>
      </c>
      <c r="B144" s="3" t="s">
        <v>28</v>
      </c>
      <c r="C144">
        <v>2001</v>
      </c>
      <c r="D144">
        <v>6000000</v>
      </c>
    </row>
    <row r="145" spans="1:4">
      <c r="A145" s="3" t="s">
        <v>27</v>
      </c>
      <c r="B145" s="3" t="s">
        <v>28</v>
      </c>
      <c r="C145">
        <v>2002</v>
      </c>
      <c r="D145">
        <v>15000000</v>
      </c>
    </row>
    <row r="146" spans="1:4">
      <c r="A146" s="3" t="s">
        <v>27</v>
      </c>
      <c r="B146" s="3" t="s">
        <v>28</v>
      </c>
      <c r="C146">
        <v>2003</v>
      </c>
      <c r="D146">
        <v>11000000</v>
      </c>
    </row>
    <row r="147" spans="1:4">
      <c r="A147" s="3" t="s">
        <v>27</v>
      </c>
      <c r="B147" s="3" t="s">
        <v>28</v>
      </c>
      <c r="C147">
        <v>2004</v>
      </c>
      <c r="D147">
        <v>161000000</v>
      </c>
    </row>
    <row r="148" spans="1:4">
      <c r="A148" s="3" t="s">
        <v>27</v>
      </c>
      <c r="B148" s="3" t="s">
        <v>28</v>
      </c>
      <c r="C148">
        <v>2005</v>
      </c>
      <c r="D148">
        <v>3000000</v>
      </c>
    </row>
    <row r="149" spans="1:4">
      <c r="A149" s="3" t="s">
        <v>27</v>
      </c>
      <c r="B149" s="3" t="s">
        <v>28</v>
      </c>
      <c r="C149">
        <v>2006</v>
      </c>
      <c r="D149">
        <v>9000000</v>
      </c>
    </row>
    <row r="150" spans="1:4">
      <c r="A150" s="3" t="s">
        <v>27</v>
      </c>
      <c r="B150" s="3" t="s">
        <v>28</v>
      </c>
      <c r="C150">
        <v>2007</v>
      </c>
      <c r="D150">
        <v>24000000</v>
      </c>
    </row>
    <row r="151" spans="1:4">
      <c r="A151" s="3" t="s">
        <v>27</v>
      </c>
      <c r="B151" s="3" t="s">
        <v>28</v>
      </c>
      <c r="C151">
        <v>2008</v>
      </c>
      <c r="D151">
        <v>21000000</v>
      </c>
    </row>
    <row r="152" spans="1:4">
      <c r="A152" s="3" t="s">
        <v>27</v>
      </c>
      <c r="B152" s="3" t="s">
        <v>28</v>
      </c>
      <c r="C152">
        <v>2009</v>
      </c>
      <c r="D152">
        <v>15000000</v>
      </c>
    </row>
    <row r="153" spans="1:4">
      <c r="A153" s="3" t="s">
        <v>27</v>
      </c>
      <c r="B153" s="3" t="s">
        <v>28</v>
      </c>
      <c r="C153">
        <v>2010</v>
      </c>
      <c r="D153">
        <v>11000000</v>
      </c>
    </row>
    <row r="154" spans="1:4">
      <c r="A154" s="3" t="s">
        <v>27</v>
      </c>
      <c r="B154" s="3" t="s">
        <v>28</v>
      </c>
      <c r="C154">
        <v>2011</v>
      </c>
      <c r="D154">
        <v>16000000</v>
      </c>
    </row>
    <row r="155" spans="1:4">
      <c r="A155" s="3" t="s">
        <v>27</v>
      </c>
      <c r="B155" s="3" t="s">
        <v>28</v>
      </c>
      <c r="C155">
        <v>2012</v>
      </c>
      <c r="D155">
        <v>5000000</v>
      </c>
    </row>
    <row r="156" spans="1:4">
      <c r="A156" s="3" t="s">
        <v>27</v>
      </c>
      <c r="B156" s="3" t="s">
        <v>28</v>
      </c>
      <c r="C156">
        <v>2013</v>
      </c>
      <c r="D156">
        <v>13000000</v>
      </c>
    </row>
    <row r="157" spans="1:4">
      <c r="A157" s="3" t="s">
        <v>27</v>
      </c>
      <c r="B157" s="3" t="s">
        <v>28</v>
      </c>
      <c r="C157">
        <v>2014</v>
      </c>
      <c r="D157">
        <v>6000000</v>
      </c>
    </row>
    <row r="158" spans="1:4">
      <c r="A158" s="3" t="s">
        <v>27</v>
      </c>
      <c r="B158" s="3" t="s">
        <v>28</v>
      </c>
      <c r="C158">
        <v>2015</v>
      </c>
      <c r="D158">
        <v>18000000</v>
      </c>
    </row>
    <row r="159" spans="1:4">
      <c r="A159" s="3" t="s">
        <v>27</v>
      </c>
      <c r="B159" s="3" t="s">
        <v>28</v>
      </c>
      <c r="C159">
        <v>2016</v>
      </c>
      <c r="D159">
        <v>17000000</v>
      </c>
    </row>
    <row r="160" spans="1:4">
      <c r="A160" s="3" t="s">
        <v>27</v>
      </c>
      <c r="B160" s="3" t="s">
        <v>28</v>
      </c>
      <c r="C160">
        <v>2017</v>
      </c>
      <c r="D160">
        <v>47000000</v>
      </c>
    </row>
    <row r="161" spans="1:4">
      <c r="A161" s="3" t="s">
        <v>27</v>
      </c>
      <c r="B161" s="3" t="s">
        <v>28</v>
      </c>
      <c r="C161">
        <v>2018</v>
      </c>
      <c r="D161">
        <v>19000000</v>
      </c>
    </row>
    <row r="162" spans="1:4">
      <c r="A162" s="3" t="s">
        <v>27</v>
      </c>
      <c r="B162" s="3" t="s">
        <v>28</v>
      </c>
      <c r="C162">
        <v>2019</v>
      </c>
      <c r="D162">
        <v>51000000</v>
      </c>
    </row>
    <row r="163" spans="1:4">
      <c r="A163" s="3" t="s">
        <v>27</v>
      </c>
      <c r="B163" s="3" t="s">
        <v>28</v>
      </c>
      <c r="C163">
        <v>2020</v>
      </c>
      <c r="D163">
        <v>7000000</v>
      </c>
    </row>
    <row r="164" spans="1:4">
      <c r="A164" s="3" t="s">
        <v>27</v>
      </c>
      <c r="B164" s="3" t="s">
        <v>28</v>
      </c>
      <c r="C164">
        <v>2021</v>
      </c>
      <c r="D164">
        <v>77000000</v>
      </c>
    </row>
    <row r="165" spans="1:4">
      <c r="A165" s="3" t="s">
        <v>27</v>
      </c>
      <c r="B165" s="3" t="s">
        <v>28</v>
      </c>
      <c r="C165">
        <v>2022</v>
      </c>
      <c r="D165">
        <v>50000000</v>
      </c>
    </row>
    <row r="166" spans="1:4">
      <c r="A166" s="3" t="s">
        <v>27</v>
      </c>
      <c r="B166" s="3" t="s">
        <v>28</v>
      </c>
      <c r="C166">
        <v>2023</v>
      </c>
      <c r="D166">
        <v>22000000</v>
      </c>
    </row>
    <row r="167" spans="1:4">
      <c r="A167" s="3" t="s">
        <v>27</v>
      </c>
      <c r="B167" s="3" t="s">
        <v>28</v>
      </c>
      <c r="C167">
        <v>2024</v>
      </c>
      <c r="D167">
        <v>45000000</v>
      </c>
    </row>
    <row r="168" spans="1:4">
      <c r="A168" s="3" t="s">
        <v>29</v>
      </c>
      <c r="B168" s="3" t="s">
        <v>30</v>
      </c>
      <c r="C168">
        <v>2004</v>
      </c>
      <c r="D168">
        <v>118000000</v>
      </c>
    </row>
    <row r="169" spans="1:4">
      <c r="A169" s="3" t="s">
        <v>29</v>
      </c>
      <c r="B169" s="3" t="s">
        <v>30</v>
      </c>
      <c r="C169">
        <v>2007</v>
      </c>
      <c r="D169">
        <v>1000000</v>
      </c>
    </row>
    <row r="170" spans="1:4">
      <c r="A170" s="3" t="s">
        <v>29</v>
      </c>
      <c r="B170" s="3" t="s">
        <v>30</v>
      </c>
      <c r="C170">
        <v>2009</v>
      </c>
      <c r="D170">
        <v>46000000</v>
      </c>
    </row>
    <row r="171" spans="1:4">
      <c r="A171" s="3" t="s">
        <v>29</v>
      </c>
      <c r="B171" s="3" t="s">
        <v>30</v>
      </c>
      <c r="C171">
        <v>2010</v>
      </c>
      <c r="D171">
        <v>52000000</v>
      </c>
    </row>
    <row r="172" spans="1:4">
      <c r="A172" s="3" t="s">
        <v>29</v>
      </c>
      <c r="B172" s="3" t="s">
        <v>30</v>
      </c>
      <c r="C172">
        <v>2011</v>
      </c>
      <c r="D172">
        <v>5000000</v>
      </c>
    </row>
    <row r="173" spans="1:4">
      <c r="A173" s="3" t="s">
        <v>29</v>
      </c>
      <c r="B173" s="3" t="s">
        <v>30</v>
      </c>
      <c r="C173">
        <v>2013</v>
      </c>
      <c r="D173">
        <v>52000000</v>
      </c>
    </row>
    <row r="174" spans="1:4">
      <c r="A174" s="3" t="s">
        <v>29</v>
      </c>
      <c r="B174" s="3" t="s">
        <v>30</v>
      </c>
      <c r="C174">
        <v>2016</v>
      </c>
      <c r="D174">
        <v>112000000</v>
      </c>
    </row>
    <row r="175" spans="1:4">
      <c r="A175" s="3" t="s">
        <v>29</v>
      </c>
      <c r="B175" s="3" t="s">
        <v>30</v>
      </c>
      <c r="C175">
        <v>2017</v>
      </c>
      <c r="D175">
        <v>22000000</v>
      </c>
    </row>
    <row r="176" spans="1:4">
      <c r="A176" s="3" t="s">
        <v>29</v>
      </c>
      <c r="B176" s="3" t="s">
        <v>30</v>
      </c>
      <c r="C176">
        <v>2019</v>
      </c>
      <c r="D176">
        <v>248000000</v>
      </c>
    </row>
    <row r="177" spans="1:4">
      <c r="A177" s="3" t="s">
        <v>29</v>
      </c>
      <c r="B177" s="3" t="s">
        <v>30</v>
      </c>
      <c r="C177">
        <v>2021</v>
      </c>
      <c r="D177">
        <v>32000000</v>
      </c>
    </row>
    <row r="178" spans="1:4">
      <c r="A178" s="3" t="s">
        <v>29</v>
      </c>
      <c r="B178" s="3" t="s">
        <v>30</v>
      </c>
      <c r="C178">
        <v>2022</v>
      </c>
      <c r="D178">
        <v>29000000</v>
      </c>
    </row>
    <row r="179" spans="1:4">
      <c r="A179" s="3" t="s">
        <v>29</v>
      </c>
      <c r="B179" s="3" t="s">
        <v>30</v>
      </c>
      <c r="C179">
        <v>2023</v>
      </c>
      <c r="D179">
        <v>7000000</v>
      </c>
    </row>
    <row r="180" spans="1:4">
      <c r="A180" s="3" t="s">
        <v>29</v>
      </c>
      <c r="B180" s="3" t="s">
        <v>30</v>
      </c>
      <c r="C180">
        <v>2024</v>
      </c>
      <c r="D180">
        <v>32000000</v>
      </c>
    </row>
    <row r="181" spans="1:4">
      <c r="A181" s="3" t="s">
        <v>33</v>
      </c>
      <c r="B181" s="3" t="s">
        <v>34</v>
      </c>
      <c r="C181">
        <v>2022</v>
      </c>
      <c r="D181">
        <v>0</v>
      </c>
    </row>
    <row r="182" spans="1:4">
      <c r="A182" s="3" t="s">
        <v>33</v>
      </c>
      <c r="B182" s="3" t="s">
        <v>34</v>
      </c>
      <c r="C182">
        <v>2023</v>
      </c>
      <c r="D182">
        <v>0</v>
      </c>
    </row>
    <row r="183" spans="1:4">
      <c r="A183" s="3" t="s">
        <v>35</v>
      </c>
      <c r="B183" s="3" t="s">
        <v>36</v>
      </c>
      <c r="C183">
        <v>2000</v>
      </c>
      <c r="D183">
        <v>326000000</v>
      </c>
    </row>
    <row r="184" spans="1:4">
      <c r="A184" s="3" t="s">
        <v>35</v>
      </c>
      <c r="B184" s="3" t="s">
        <v>36</v>
      </c>
      <c r="C184">
        <v>2001</v>
      </c>
      <c r="D184">
        <v>1215000000</v>
      </c>
    </row>
    <row r="185" spans="1:4">
      <c r="A185" s="3" t="s">
        <v>35</v>
      </c>
      <c r="B185" s="3" t="s">
        <v>36</v>
      </c>
      <c r="C185">
        <v>2002</v>
      </c>
      <c r="D185">
        <v>638000000</v>
      </c>
    </row>
    <row r="186" spans="1:4">
      <c r="A186" s="3" t="s">
        <v>35</v>
      </c>
      <c r="B186" s="3" t="s">
        <v>36</v>
      </c>
      <c r="C186">
        <v>2003</v>
      </c>
      <c r="D186">
        <v>765000000</v>
      </c>
    </row>
    <row r="187" spans="1:4">
      <c r="A187" s="3" t="s">
        <v>35</v>
      </c>
      <c r="B187" s="3" t="s">
        <v>36</v>
      </c>
      <c r="C187">
        <v>2004</v>
      </c>
      <c r="D187">
        <v>447000000</v>
      </c>
    </row>
    <row r="188" spans="1:4">
      <c r="A188" s="3" t="s">
        <v>35</v>
      </c>
      <c r="B188" s="3" t="s">
        <v>36</v>
      </c>
      <c r="C188">
        <v>2005</v>
      </c>
      <c r="D188">
        <v>458000000</v>
      </c>
    </row>
    <row r="189" spans="1:4">
      <c r="A189" s="3" t="s">
        <v>35</v>
      </c>
      <c r="B189" s="3" t="s">
        <v>36</v>
      </c>
      <c r="C189">
        <v>2006</v>
      </c>
      <c r="D189">
        <v>721000000</v>
      </c>
    </row>
    <row r="190" spans="1:4">
      <c r="A190" s="3" t="s">
        <v>35</v>
      </c>
      <c r="B190" s="3" t="s">
        <v>36</v>
      </c>
      <c r="C190">
        <v>2007</v>
      </c>
      <c r="D190">
        <v>618000000</v>
      </c>
    </row>
    <row r="191" spans="1:4">
      <c r="A191" s="3" t="s">
        <v>35</v>
      </c>
      <c r="B191" s="3" t="s">
        <v>36</v>
      </c>
      <c r="C191">
        <v>2008</v>
      </c>
      <c r="D191">
        <v>430000000</v>
      </c>
    </row>
    <row r="192" spans="1:4">
      <c r="A192" s="3" t="s">
        <v>35</v>
      </c>
      <c r="B192" s="3" t="s">
        <v>36</v>
      </c>
      <c r="C192">
        <v>2009</v>
      </c>
      <c r="D192">
        <v>805000000</v>
      </c>
    </row>
    <row r="193" spans="1:4">
      <c r="A193" s="3" t="s">
        <v>35</v>
      </c>
      <c r="B193" s="3" t="s">
        <v>36</v>
      </c>
      <c r="C193">
        <v>2010</v>
      </c>
      <c r="D193">
        <v>1558000000</v>
      </c>
    </row>
    <row r="194" spans="1:4">
      <c r="A194" s="3" t="s">
        <v>35</v>
      </c>
      <c r="B194" s="3" t="s">
        <v>36</v>
      </c>
      <c r="C194">
        <v>2011</v>
      </c>
      <c r="D194">
        <v>1582000000</v>
      </c>
    </row>
    <row r="195" spans="1:4">
      <c r="A195" s="3" t="s">
        <v>35</v>
      </c>
      <c r="B195" s="3" t="s">
        <v>36</v>
      </c>
      <c r="C195">
        <v>2012</v>
      </c>
      <c r="D195">
        <v>787000000</v>
      </c>
    </row>
    <row r="196" spans="1:4">
      <c r="A196" s="3" t="s">
        <v>35</v>
      </c>
      <c r="B196" s="3" t="s">
        <v>36</v>
      </c>
      <c r="C196">
        <v>2013</v>
      </c>
      <c r="D196">
        <v>220000000</v>
      </c>
    </row>
    <row r="197" spans="1:4">
      <c r="A197" s="3" t="s">
        <v>35</v>
      </c>
      <c r="B197" s="3" t="s">
        <v>36</v>
      </c>
      <c r="C197">
        <v>2014</v>
      </c>
      <c r="D197">
        <v>848000000</v>
      </c>
    </row>
    <row r="198" spans="1:4">
      <c r="A198" s="3" t="s">
        <v>35</v>
      </c>
      <c r="B198" s="3" t="s">
        <v>36</v>
      </c>
      <c r="C198">
        <v>2015</v>
      </c>
      <c r="D198">
        <v>1445000000</v>
      </c>
    </row>
    <row r="199" spans="1:4">
      <c r="A199" s="3" t="s">
        <v>35</v>
      </c>
      <c r="B199" s="3" t="s">
        <v>36</v>
      </c>
      <c r="C199">
        <v>2016</v>
      </c>
      <c r="D199">
        <v>1012000000</v>
      </c>
    </row>
    <row r="200" spans="1:4">
      <c r="A200" s="3" t="s">
        <v>35</v>
      </c>
      <c r="B200" s="3" t="s">
        <v>36</v>
      </c>
      <c r="C200">
        <v>2017</v>
      </c>
      <c r="D200">
        <v>1664000000</v>
      </c>
    </row>
    <row r="201" spans="1:4">
      <c r="A201" s="3" t="s">
        <v>35</v>
      </c>
      <c r="B201" s="3" t="s">
        <v>36</v>
      </c>
      <c r="C201">
        <v>2018</v>
      </c>
      <c r="D201">
        <v>1553000000</v>
      </c>
    </row>
    <row r="202" spans="1:4">
      <c r="A202" s="3" t="s">
        <v>35</v>
      </c>
      <c r="B202" s="3" t="s">
        <v>36</v>
      </c>
      <c r="C202">
        <v>2019</v>
      </c>
      <c r="D202">
        <v>1159000000</v>
      </c>
    </row>
    <row r="203" spans="1:4">
      <c r="A203" s="3" t="s">
        <v>35</v>
      </c>
      <c r="B203" s="3" t="s">
        <v>36</v>
      </c>
      <c r="C203">
        <v>2020</v>
      </c>
      <c r="D203">
        <v>1632000000</v>
      </c>
    </row>
    <row r="204" spans="1:4">
      <c r="A204" s="3" t="s">
        <v>35</v>
      </c>
      <c r="B204" s="3" t="s">
        <v>36</v>
      </c>
      <c r="C204">
        <v>2021</v>
      </c>
      <c r="D204">
        <v>1218000000</v>
      </c>
    </row>
    <row r="205" spans="1:4">
      <c r="A205" s="3" t="s">
        <v>35</v>
      </c>
      <c r="B205" s="3" t="s">
        <v>36</v>
      </c>
      <c r="C205">
        <v>2022</v>
      </c>
      <c r="D205">
        <v>809000000</v>
      </c>
    </row>
    <row r="206" spans="1:4">
      <c r="A206" s="3" t="s">
        <v>35</v>
      </c>
      <c r="B206" s="3" t="s">
        <v>36</v>
      </c>
      <c r="C206">
        <v>2023</v>
      </c>
      <c r="D206">
        <v>376000000</v>
      </c>
    </row>
    <row r="207" spans="1:4">
      <c r="A207" s="3" t="s">
        <v>35</v>
      </c>
      <c r="B207" s="3" t="s">
        <v>36</v>
      </c>
      <c r="C207">
        <v>2024</v>
      </c>
      <c r="D207">
        <v>1077000000</v>
      </c>
    </row>
    <row r="208" spans="1:4">
      <c r="A208" s="3" t="s">
        <v>37</v>
      </c>
      <c r="B208" s="3" t="s">
        <v>38</v>
      </c>
      <c r="C208">
        <v>2000</v>
      </c>
      <c r="D208">
        <v>25000000</v>
      </c>
    </row>
    <row r="209" spans="1:4">
      <c r="A209" s="3" t="s">
        <v>37</v>
      </c>
      <c r="B209" s="3" t="s">
        <v>38</v>
      </c>
      <c r="C209">
        <v>2001</v>
      </c>
      <c r="D209">
        <v>15000000</v>
      </c>
    </row>
    <row r="210" spans="1:4">
      <c r="A210" s="3" t="s">
        <v>37</v>
      </c>
      <c r="B210" s="3" t="s">
        <v>38</v>
      </c>
      <c r="C210">
        <v>2002</v>
      </c>
      <c r="D210">
        <v>81000000</v>
      </c>
    </row>
    <row r="211" spans="1:4">
      <c r="A211" s="3" t="s">
        <v>37</v>
      </c>
      <c r="B211" s="3" t="s">
        <v>38</v>
      </c>
      <c r="C211">
        <v>2003</v>
      </c>
      <c r="D211">
        <v>41000000</v>
      </c>
    </row>
    <row r="212" spans="1:4">
      <c r="A212" s="3" t="s">
        <v>37</v>
      </c>
      <c r="B212" s="3" t="s">
        <v>38</v>
      </c>
      <c r="C212">
        <v>2004</v>
      </c>
      <c r="D212">
        <v>56000000</v>
      </c>
    </row>
    <row r="213" spans="1:4">
      <c r="A213" s="3" t="s">
        <v>37</v>
      </c>
      <c r="B213" s="3" t="s">
        <v>38</v>
      </c>
      <c r="C213">
        <v>2005</v>
      </c>
      <c r="D213">
        <v>26000000</v>
      </c>
    </row>
    <row r="214" spans="1:4">
      <c r="A214" s="3" t="s">
        <v>37</v>
      </c>
      <c r="B214" s="3" t="s">
        <v>38</v>
      </c>
      <c r="C214">
        <v>2006</v>
      </c>
      <c r="D214">
        <v>5000000</v>
      </c>
    </row>
    <row r="215" spans="1:4">
      <c r="A215" s="3" t="s">
        <v>37</v>
      </c>
      <c r="B215" s="3" t="s">
        <v>38</v>
      </c>
      <c r="C215">
        <v>2007</v>
      </c>
      <c r="D215">
        <v>269000000</v>
      </c>
    </row>
    <row r="216" spans="1:4">
      <c r="A216" s="3" t="s">
        <v>37</v>
      </c>
      <c r="B216" s="3" t="s">
        <v>38</v>
      </c>
      <c r="C216">
        <v>2008</v>
      </c>
      <c r="D216">
        <v>190000000</v>
      </c>
    </row>
    <row r="217" spans="1:4">
      <c r="A217" s="3" t="s">
        <v>37</v>
      </c>
      <c r="B217" s="3" t="s">
        <v>38</v>
      </c>
      <c r="C217">
        <v>2009</v>
      </c>
      <c r="D217">
        <v>286000000</v>
      </c>
    </row>
    <row r="218" spans="1:4">
      <c r="A218" s="3" t="s">
        <v>37</v>
      </c>
      <c r="B218" s="3" t="s">
        <v>38</v>
      </c>
      <c r="C218">
        <v>2010</v>
      </c>
      <c r="D218">
        <v>5000000</v>
      </c>
    </row>
    <row r="219" spans="1:4">
      <c r="A219" s="3" t="s">
        <v>37</v>
      </c>
      <c r="B219" s="3" t="s">
        <v>38</v>
      </c>
      <c r="C219">
        <v>2011</v>
      </c>
      <c r="D219">
        <v>6000000</v>
      </c>
    </row>
    <row r="220" spans="1:4">
      <c r="A220" s="3" t="s">
        <v>37</v>
      </c>
      <c r="B220" s="3" t="s">
        <v>38</v>
      </c>
      <c r="C220">
        <v>2012</v>
      </c>
      <c r="D220">
        <v>6000000</v>
      </c>
    </row>
    <row r="221" spans="1:4">
      <c r="A221" s="3" t="s">
        <v>37</v>
      </c>
      <c r="B221" s="3" t="s">
        <v>38</v>
      </c>
      <c r="C221">
        <v>2013</v>
      </c>
      <c r="D221">
        <v>5000000</v>
      </c>
    </row>
    <row r="222" spans="1:4">
      <c r="A222" s="3" t="s">
        <v>37</v>
      </c>
      <c r="B222" s="3" t="s">
        <v>38</v>
      </c>
      <c r="C222">
        <v>2014</v>
      </c>
      <c r="D222">
        <v>2000000</v>
      </c>
    </row>
    <row r="223" spans="1:4">
      <c r="A223" s="3" t="s">
        <v>37</v>
      </c>
      <c r="B223" s="3" t="s">
        <v>38</v>
      </c>
      <c r="C223">
        <v>2015</v>
      </c>
      <c r="D223">
        <v>1000000</v>
      </c>
    </row>
    <row r="224" spans="1:4">
      <c r="A224" s="3" t="s">
        <v>37</v>
      </c>
      <c r="B224" s="3" t="s">
        <v>38</v>
      </c>
      <c r="C224">
        <v>2016</v>
      </c>
      <c r="D224">
        <v>13000000</v>
      </c>
    </row>
    <row r="225" spans="1:4">
      <c r="A225" s="3" t="s">
        <v>37</v>
      </c>
      <c r="B225" s="3" t="s">
        <v>38</v>
      </c>
      <c r="C225">
        <v>2017</v>
      </c>
      <c r="D225">
        <v>10000000</v>
      </c>
    </row>
    <row r="226" spans="1:4">
      <c r="A226" s="3" t="s">
        <v>37</v>
      </c>
      <c r="B226" s="3" t="s">
        <v>38</v>
      </c>
      <c r="C226">
        <v>2018</v>
      </c>
      <c r="D226">
        <v>6000000</v>
      </c>
    </row>
    <row r="227" spans="1:4">
      <c r="A227" s="3" t="s">
        <v>37</v>
      </c>
      <c r="B227" s="3" t="s">
        <v>38</v>
      </c>
      <c r="C227">
        <v>2019</v>
      </c>
      <c r="D227">
        <v>18000000</v>
      </c>
    </row>
    <row r="228" spans="1:4">
      <c r="A228" s="3" t="s">
        <v>37</v>
      </c>
      <c r="B228" s="3" t="s">
        <v>38</v>
      </c>
      <c r="C228">
        <v>2020</v>
      </c>
      <c r="D228">
        <v>14000000</v>
      </c>
    </row>
    <row r="229" spans="1:4">
      <c r="A229" s="3" t="s">
        <v>37</v>
      </c>
      <c r="B229" s="3" t="s">
        <v>38</v>
      </c>
      <c r="C229">
        <v>2021</v>
      </c>
      <c r="D229">
        <v>34000000</v>
      </c>
    </row>
    <row r="230" spans="1:4">
      <c r="A230" s="3" t="s">
        <v>37</v>
      </c>
      <c r="B230" s="3" t="s">
        <v>38</v>
      </c>
      <c r="C230">
        <v>2022</v>
      </c>
      <c r="D230">
        <v>5000000</v>
      </c>
    </row>
    <row r="231" spans="1:4">
      <c r="A231" s="3" t="s">
        <v>37</v>
      </c>
      <c r="B231" s="3" t="s">
        <v>38</v>
      </c>
      <c r="C231">
        <v>2023</v>
      </c>
      <c r="D231">
        <v>17000000</v>
      </c>
    </row>
    <row r="232" spans="1:4">
      <c r="A232" s="3" t="s">
        <v>37</v>
      </c>
      <c r="B232" s="3" t="s">
        <v>38</v>
      </c>
      <c r="C232">
        <v>2024</v>
      </c>
      <c r="D232">
        <v>13000000</v>
      </c>
    </row>
    <row r="233" spans="1:4">
      <c r="A233" s="3" t="s">
        <v>39</v>
      </c>
      <c r="B233" s="3" t="s">
        <v>40</v>
      </c>
      <c r="C233">
        <v>2000</v>
      </c>
      <c r="D233">
        <v>3000000</v>
      </c>
    </row>
    <row r="234" spans="1:4">
      <c r="A234" s="3" t="s">
        <v>39</v>
      </c>
      <c r="B234" s="3" t="s">
        <v>40</v>
      </c>
      <c r="C234">
        <v>2002</v>
      </c>
      <c r="D234">
        <v>89000000</v>
      </c>
    </row>
    <row r="235" spans="1:4">
      <c r="A235" s="3" t="s">
        <v>39</v>
      </c>
      <c r="B235" s="3" t="s">
        <v>40</v>
      </c>
      <c r="C235">
        <v>2004</v>
      </c>
      <c r="D235">
        <v>4000000</v>
      </c>
    </row>
    <row r="236" spans="1:4">
      <c r="A236" s="3" t="s">
        <v>39</v>
      </c>
      <c r="B236" s="3" t="s">
        <v>40</v>
      </c>
      <c r="C236">
        <v>2005</v>
      </c>
      <c r="D236">
        <v>63000000</v>
      </c>
    </row>
    <row r="237" spans="1:4">
      <c r="A237" s="3" t="s">
        <v>39</v>
      </c>
      <c r="B237" s="3" t="s">
        <v>40</v>
      </c>
      <c r="C237">
        <v>2006</v>
      </c>
      <c r="D237">
        <v>168000000</v>
      </c>
    </row>
    <row r="238" spans="1:4">
      <c r="A238" s="3" t="s">
        <v>39</v>
      </c>
      <c r="B238" s="3" t="s">
        <v>40</v>
      </c>
      <c r="C238">
        <v>2007</v>
      </c>
      <c r="D238">
        <v>213000000</v>
      </c>
    </row>
    <row r="239" spans="1:4">
      <c r="A239" s="3" t="s">
        <v>39</v>
      </c>
      <c r="B239" s="3" t="s">
        <v>40</v>
      </c>
      <c r="C239">
        <v>2008</v>
      </c>
      <c r="D239">
        <v>34000000</v>
      </c>
    </row>
    <row r="240" spans="1:4">
      <c r="A240" s="3" t="s">
        <v>39</v>
      </c>
      <c r="B240" s="3" t="s">
        <v>40</v>
      </c>
      <c r="C240">
        <v>2009</v>
      </c>
      <c r="D240">
        <v>147000000</v>
      </c>
    </row>
    <row r="241" spans="1:4">
      <c r="A241" s="3" t="s">
        <v>39</v>
      </c>
      <c r="B241" s="3" t="s">
        <v>40</v>
      </c>
      <c r="C241">
        <v>2010</v>
      </c>
      <c r="D241">
        <v>163000000</v>
      </c>
    </row>
    <row r="242" spans="1:4">
      <c r="A242" s="3" t="s">
        <v>39</v>
      </c>
      <c r="B242" s="3" t="s">
        <v>40</v>
      </c>
      <c r="C242">
        <v>2011</v>
      </c>
      <c r="D242">
        <v>569000000</v>
      </c>
    </row>
    <row r="243" spans="1:4">
      <c r="A243" s="3" t="s">
        <v>39</v>
      </c>
      <c r="B243" s="3" t="s">
        <v>40</v>
      </c>
      <c r="C243">
        <v>2012</v>
      </c>
      <c r="D243">
        <v>397000000</v>
      </c>
    </row>
    <row r="244" spans="1:4">
      <c r="A244" s="3" t="s">
        <v>39</v>
      </c>
      <c r="B244" s="3" t="s">
        <v>40</v>
      </c>
      <c r="C244">
        <v>2013</v>
      </c>
      <c r="D244">
        <v>398000000</v>
      </c>
    </row>
    <row r="245" spans="1:4">
      <c r="A245" s="3" t="s">
        <v>39</v>
      </c>
      <c r="B245" s="3" t="s">
        <v>40</v>
      </c>
      <c r="C245">
        <v>2014</v>
      </c>
      <c r="D245">
        <v>642000000</v>
      </c>
    </row>
    <row r="246" spans="1:4">
      <c r="A246" s="3" t="s">
        <v>39</v>
      </c>
      <c r="B246" s="3" t="s">
        <v>40</v>
      </c>
      <c r="C246">
        <v>2015</v>
      </c>
      <c r="D246">
        <v>351000000</v>
      </c>
    </row>
    <row r="247" spans="1:4">
      <c r="A247" s="3" t="s">
        <v>39</v>
      </c>
      <c r="B247" s="3" t="s">
        <v>40</v>
      </c>
      <c r="C247">
        <v>2016</v>
      </c>
      <c r="D247">
        <v>287000000</v>
      </c>
    </row>
    <row r="248" spans="1:4">
      <c r="A248" s="3" t="s">
        <v>39</v>
      </c>
      <c r="B248" s="3" t="s">
        <v>40</v>
      </c>
      <c r="C248">
        <v>2017</v>
      </c>
      <c r="D248">
        <v>290000000</v>
      </c>
    </row>
    <row r="249" spans="1:4">
      <c r="A249" s="3" t="s">
        <v>39</v>
      </c>
      <c r="B249" s="3" t="s">
        <v>40</v>
      </c>
      <c r="C249">
        <v>2018</v>
      </c>
      <c r="D249">
        <v>375000000</v>
      </c>
    </row>
    <row r="250" spans="1:4">
      <c r="A250" s="3" t="s">
        <v>39</v>
      </c>
      <c r="B250" s="3" t="s">
        <v>40</v>
      </c>
      <c r="C250">
        <v>2019</v>
      </c>
      <c r="D250">
        <v>44000000</v>
      </c>
    </row>
    <row r="251" spans="1:4">
      <c r="A251" s="3" t="s">
        <v>39</v>
      </c>
      <c r="B251" s="3" t="s">
        <v>40</v>
      </c>
      <c r="C251">
        <v>2020</v>
      </c>
      <c r="D251">
        <v>51000000</v>
      </c>
    </row>
    <row r="252" spans="1:4">
      <c r="A252" s="3" t="s">
        <v>39</v>
      </c>
      <c r="B252" s="3" t="s">
        <v>40</v>
      </c>
      <c r="C252">
        <v>2022</v>
      </c>
      <c r="D252">
        <v>9000000</v>
      </c>
    </row>
    <row r="253" spans="1:4">
      <c r="A253" s="3" t="s">
        <v>39</v>
      </c>
      <c r="B253" s="3" t="s">
        <v>40</v>
      </c>
      <c r="C253">
        <v>2023</v>
      </c>
      <c r="D253">
        <v>3000000</v>
      </c>
    </row>
    <row r="254" spans="1:4">
      <c r="A254" s="3" t="s">
        <v>39</v>
      </c>
      <c r="B254" s="3" t="s">
        <v>40</v>
      </c>
      <c r="C254">
        <v>2024</v>
      </c>
      <c r="D254">
        <v>75000000</v>
      </c>
    </row>
    <row r="255" spans="1:4">
      <c r="A255" s="3" t="s">
        <v>41</v>
      </c>
      <c r="B255" s="3" t="s">
        <v>42</v>
      </c>
      <c r="C255">
        <v>2001</v>
      </c>
      <c r="D255">
        <v>1000000</v>
      </c>
    </row>
    <row r="256" spans="1:4">
      <c r="A256" s="3" t="s">
        <v>41</v>
      </c>
      <c r="B256" s="3" t="s">
        <v>42</v>
      </c>
      <c r="C256">
        <v>2002</v>
      </c>
      <c r="D256">
        <v>3000000</v>
      </c>
    </row>
    <row r="257" spans="1:4">
      <c r="A257" s="3" t="s">
        <v>41</v>
      </c>
      <c r="B257" s="3" t="s">
        <v>42</v>
      </c>
      <c r="C257">
        <v>2009</v>
      </c>
      <c r="D257">
        <v>1000000</v>
      </c>
    </row>
    <row r="258" spans="1:4">
      <c r="A258" s="3" t="s">
        <v>41</v>
      </c>
      <c r="B258" s="3" t="s">
        <v>42</v>
      </c>
      <c r="C258">
        <v>2010</v>
      </c>
      <c r="D258">
        <v>2000000</v>
      </c>
    </row>
    <row r="259" spans="1:4">
      <c r="A259" s="3" t="s">
        <v>41</v>
      </c>
      <c r="B259" s="3" t="s">
        <v>42</v>
      </c>
      <c r="C259">
        <v>2012</v>
      </c>
      <c r="D259">
        <v>5000000</v>
      </c>
    </row>
    <row r="260" spans="1:4">
      <c r="A260" s="3" t="s">
        <v>41</v>
      </c>
      <c r="B260" s="3" t="s">
        <v>42</v>
      </c>
      <c r="C260">
        <v>2015</v>
      </c>
      <c r="D260">
        <v>1000000</v>
      </c>
    </row>
    <row r="261" spans="1:4">
      <c r="A261" s="3" t="s">
        <v>41</v>
      </c>
      <c r="B261" s="3" t="s">
        <v>42</v>
      </c>
      <c r="C261">
        <v>2016</v>
      </c>
      <c r="D261">
        <v>3000000</v>
      </c>
    </row>
    <row r="262" spans="1:4">
      <c r="A262" s="3" t="s">
        <v>41</v>
      </c>
      <c r="B262" s="3" t="s">
        <v>42</v>
      </c>
      <c r="C262">
        <v>2019</v>
      </c>
      <c r="D262">
        <v>2000000</v>
      </c>
    </row>
    <row r="263" spans="1:4">
      <c r="A263" s="3" t="s">
        <v>43</v>
      </c>
      <c r="B263" s="3" t="s">
        <v>44</v>
      </c>
      <c r="C263">
        <v>2000</v>
      </c>
      <c r="D263">
        <v>36000000</v>
      </c>
    </row>
    <row r="264" spans="1:4">
      <c r="A264" s="3" t="s">
        <v>43</v>
      </c>
      <c r="B264" s="3" t="s">
        <v>44</v>
      </c>
      <c r="C264">
        <v>2001</v>
      </c>
      <c r="D264">
        <v>30000000</v>
      </c>
    </row>
    <row r="265" spans="1:4">
      <c r="A265" s="3" t="s">
        <v>43</v>
      </c>
      <c r="B265" s="3" t="s">
        <v>44</v>
      </c>
      <c r="C265">
        <v>2002</v>
      </c>
      <c r="D265">
        <v>48000000</v>
      </c>
    </row>
    <row r="266" spans="1:4">
      <c r="A266" s="3" t="s">
        <v>43</v>
      </c>
      <c r="B266" s="3" t="s">
        <v>44</v>
      </c>
      <c r="C266">
        <v>2003</v>
      </c>
      <c r="D266">
        <v>21000000</v>
      </c>
    </row>
    <row r="267" spans="1:4">
      <c r="A267" s="3" t="s">
        <v>43</v>
      </c>
      <c r="B267" s="3" t="s">
        <v>44</v>
      </c>
      <c r="C267">
        <v>2004</v>
      </c>
      <c r="D267">
        <v>15000000</v>
      </c>
    </row>
    <row r="268" spans="1:4">
      <c r="A268" s="3" t="s">
        <v>43</v>
      </c>
      <c r="B268" s="3" t="s">
        <v>44</v>
      </c>
      <c r="C268">
        <v>2005</v>
      </c>
      <c r="D268">
        <v>3000000</v>
      </c>
    </row>
    <row r="269" spans="1:4">
      <c r="A269" s="3" t="s">
        <v>43</v>
      </c>
      <c r="B269" s="3" t="s">
        <v>44</v>
      </c>
      <c r="C269">
        <v>2006</v>
      </c>
      <c r="D269">
        <v>15000000</v>
      </c>
    </row>
    <row r="270" spans="1:4">
      <c r="A270" s="3" t="s">
        <v>43</v>
      </c>
      <c r="B270" s="3" t="s">
        <v>44</v>
      </c>
      <c r="C270">
        <v>2007</v>
      </c>
      <c r="D270">
        <v>171000000</v>
      </c>
    </row>
    <row r="271" spans="1:4">
      <c r="A271" s="3" t="s">
        <v>43</v>
      </c>
      <c r="B271" s="3" t="s">
        <v>44</v>
      </c>
      <c r="C271">
        <v>2008</v>
      </c>
      <c r="D271">
        <v>191000000</v>
      </c>
    </row>
    <row r="272" spans="1:4">
      <c r="A272" s="3" t="s">
        <v>43</v>
      </c>
      <c r="B272" s="3" t="s">
        <v>44</v>
      </c>
      <c r="C272">
        <v>2009</v>
      </c>
      <c r="D272">
        <v>87000000</v>
      </c>
    </row>
    <row r="273" spans="1:4">
      <c r="A273" s="3" t="s">
        <v>43</v>
      </c>
      <c r="B273" s="3" t="s">
        <v>44</v>
      </c>
      <c r="C273">
        <v>2010</v>
      </c>
      <c r="D273">
        <v>40000000</v>
      </c>
    </row>
    <row r="274" spans="1:4">
      <c r="A274" s="3" t="s">
        <v>43</v>
      </c>
      <c r="B274" s="3" t="s">
        <v>44</v>
      </c>
      <c r="C274">
        <v>2011</v>
      </c>
      <c r="D274">
        <v>27000000</v>
      </c>
    </row>
    <row r="275" spans="1:4">
      <c r="A275" s="3" t="s">
        <v>43</v>
      </c>
      <c r="B275" s="3" t="s">
        <v>44</v>
      </c>
      <c r="C275">
        <v>2012</v>
      </c>
      <c r="D275">
        <v>33000000</v>
      </c>
    </row>
    <row r="276" spans="1:4">
      <c r="A276" s="3" t="s">
        <v>43</v>
      </c>
      <c r="B276" s="3" t="s">
        <v>44</v>
      </c>
      <c r="C276">
        <v>2013</v>
      </c>
      <c r="D276">
        <v>48000000</v>
      </c>
    </row>
    <row r="277" spans="1:4">
      <c r="A277" s="3" t="s">
        <v>43</v>
      </c>
      <c r="B277" s="3" t="s">
        <v>44</v>
      </c>
      <c r="C277">
        <v>2014</v>
      </c>
      <c r="D277">
        <v>99000000</v>
      </c>
    </row>
    <row r="278" spans="1:4">
      <c r="A278" s="3" t="s">
        <v>43</v>
      </c>
      <c r="B278" s="3" t="s">
        <v>44</v>
      </c>
      <c r="C278">
        <v>2015</v>
      </c>
      <c r="D278">
        <v>52000000</v>
      </c>
    </row>
    <row r="279" spans="1:4">
      <c r="A279" s="3" t="s">
        <v>43</v>
      </c>
      <c r="B279" s="3" t="s">
        <v>44</v>
      </c>
      <c r="C279">
        <v>2016</v>
      </c>
      <c r="D279">
        <v>4000000</v>
      </c>
    </row>
    <row r="280" spans="1:4">
      <c r="A280" s="3" t="s">
        <v>43</v>
      </c>
      <c r="B280" s="3" t="s">
        <v>44</v>
      </c>
      <c r="C280">
        <v>2017</v>
      </c>
      <c r="D280">
        <v>7000000</v>
      </c>
    </row>
    <row r="281" spans="1:4">
      <c r="A281" s="3" t="s">
        <v>43</v>
      </c>
      <c r="B281" s="3" t="s">
        <v>44</v>
      </c>
      <c r="C281">
        <v>2018</v>
      </c>
      <c r="D281">
        <v>1000000</v>
      </c>
    </row>
    <row r="282" spans="1:4">
      <c r="A282" s="3" t="s">
        <v>43</v>
      </c>
      <c r="B282" s="3" t="s">
        <v>44</v>
      </c>
      <c r="C282">
        <v>2019</v>
      </c>
      <c r="D282">
        <v>9000000</v>
      </c>
    </row>
    <row r="283" spans="1:4">
      <c r="A283" s="3" t="s">
        <v>43</v>
      </c>
      <c r="B283" s="3" t="s">
        <v>44</v>
      </c>
      <c r="C283">
        <v>2020</v>
      </c>
      <c r="D283">
        <v>90000000</v>
      </c>
    </row>
    <row r="284" spans="1:4">
      <c r="A284" s="3" t="s">
        <v>43</v>
      </c>
      <c r="B284" s="3" t="s">
        <v>44</v>
      </c>
      <c r="C284">
        <v>2021</v>
      </c>
      <c r="D284">
        <v>255000000</v>
      </c>
    </row>
    <row r="285" spans="1:4">
      <c r="A285" s="3" t="s">
        <v>43</v>
      </c>
      <c r="B285" s="3" t="s">
        <v>44</v>
      </c>
      <c r="C285">
        <v>2022</v>
      </c>
      <c r="D285">
        <v>170000000</v>
      </c>
    </row>
    <row r="286" spans="1:4">
      <c r="A286" s="3" t="s">
        <v>43</v>
      </c>
      <c r="B286" s="3" t="s">
        <v>44</v>
      </c>
      <c r="C286">
        <v>2023</v>
      </c>
      <c r="D286">
        <v>12000000</v>
      </c>
    </row>
    <row r="287" spans="1:4">
      <c r="A287" s="3" t="s">
        <v>43</v>
      </c>
      <c r="B287" s="3" t="s">
        <v>44</v>
      </c>
      <c r="C287">
        <v>2024</v>
      </c>
      <c r="D287">
        <v>508000000</v>
      </c>
    </row>
    <row r="288" spans="1:4">
      <c r="A288" s="3" t="s">
        <v>45</v>
      </c>
      <c r="B288" s="3" t="s">
        <v>46</v>
      </c>
      <c r="C288">
        <v>2002</v>
      </c>
      <c r="D288">
        <v>7000000</v>
      </c>
    </row>
    <row r="289" spans="1:4">
      <c r="A289" s="3" t="s">
        <v>45</v>
      </c>
      <c r="B289" s="3" t="s">
        <v>46</v>
      </c>
      <c r="C289">
        <v>2007</v>
      </c>
      <c r="D289">
        <v>3000000</v>
      </c>
    </row>
    <row r="290" spans="1:4">
      <c r="A290" s="3" t="s">
        <v>45</v>
      </c>
      <c r="B290" s="3" t="s">
        <v>46</v>
      </c>
      <c r="C290">
        <v>2009</v>
      </c>
      <c r="D290">
        <v>1000000</v>
      </c>
    </row>
    <row r="291" spans="1:4">
      <c r="A291" s="3" t="s">
        <v>45</v>
      </c>
      <c r="B291" s="3" t="s">
        <v>46</v>
      </c>
      <c r="C291">
        <v>2010</v>
      </c>
      <c r="D291">
        <v>0</v>
      </c>
    </row>
    <row r="292" spans="1:4">
      <c r="A292" s="3" t="s">
        <v>45</v>
      </c>
      <c r="B292" s="3" t="s">
        <v>46</v>
      </c>
      <c r="C292">
        <v>2011</v>
      </c>
      <c r="D292">
        <v>0</v>
      </c>
    </row>
    <row r="293" spans="1:4">
      <c r="A293" s="3" t="s">
        <v>45</v>
      </c>
      <c r="B293" s="3" t="s">
        <v>46</v>
      </c>
      <c r="C293">
        <v>2012</v>
      </c>
      <c r="D293">
        <v>20000000</v>
      </c>
    </row>
    <row r="294" spans="1:4">
      <c r="A294" s="3" t="s">
        <v>45</v>
      </c>
      <c r="B294" s="3" t="s">
        <v>46</v>
      </c>
      <c r="C294">
        <v>2013</v>
      </c>
      <c r="D294">
        <v>3000000</v>
      </c>
    </row>
    <row r="295" spans="1:4">
      <c r="A295" s="3" t="s">
        <v>45</v>
      </c>
      <c r="B295" s="3" t="s">
        <v>46</v>
      </c>
      <c r="C295">
        <v>2016</v>
      </c>
      <c r="D295">
        <v>1000000</v>
      </c>
    </row>
    <row r="296" spans="1:4">
      <c r="A296" s="3" t="s">
        <v>45</v>
      </c>
      <c r="B296" s="3" t="s">
        <v>46</v>
      </c>
      <c r="C296">
        <v>2020</v>
      </c>
      <c r="D296">
        <v>1000000</v>
      </c>
    </row>
    <row r="297" spans="1:4">
      <c r="A297" s="3" t="s">
        <v>45</v>
      </c>
      <c r="B297" s="3" t="s">
        <v>46</v>
      </c>
      <c r="C297">
        <v>2022</v>
      </c>
      <c r="D297">
        <v>3000000</v>
      </c>
    </row>
    <row r="298" spans="1:4">
      <c r="A298" s="3" t="s">
        <v>45</v>
      </c>
      <c r="B298" s="3" t="s">
        <v>46</v>
      </c>
      <c r="C298">
        <v>2023</v>
      </c>
      <c r="D298">
        <v>12000000</v>
      </c>
    </row>
    <row r="299" spans="1:4">
      <c r="A299" s="3" t="s">
        <v>45</v>
      </c>
      <c r="B299" s="3" t="s">
        <v>46</v>
      </c>
      <c r="C299">
        <v>2024</v>
      </c>
      <c r="D299">
        <v>7000000</v>
      </c>
    </row>
    <row r="300" spans="1:4">
      <c r="A300" s="3" t="s">
        <v>47</v>
      </c>
      <c r="B300" s="3" t="s">
        <v>48</v>
      </c>
      <c r="C300">
        <v>2005</v>
      </c>
      <c r="D300">
        <v>12000000</v>
      </c>
    </row>
    <row r="301" spans="1:4">
      <c r="A301" s="3" t="s">
        <v>47</v>
      </c>
      <c r="B301" s="3" t="s">
        <v>48</v>
      </c>
      <c r="C301">
        <v>2006</v>
      </c>
      <c r="D301">
        <v>4000000</v>
      </c>
    </row>
    <row r="302" spans="1:4">
      <c r="A302" s="3" t="s">
        <v>47</v>
      </c>
      <c r="B302" s="3" t="s">
        <v>48</v>
      </c>
      <c r="C302">
        <v>2007</v>
      </c>
      <c r="D302">
        <v>4000000</v>
      </c>
    </row>
    <row r="303" spans="1:4">
      <c r="A303" s="3" t="s">
        <v>47</v>
      </c>
      <c r="B303" s="3" t="s">
        <v>48</v>
      </c>
      <c r="C303">
        <v>2009</v>
      </c>
      <c r="D303">
        <v>3000000</v>
      </c>
    </row>
    <row r="304" spans="1:4">
      <c r="A304" s="3" t="s">
        <v>47</v>
      </c>
      <c r="B304" s="3" t="s">
        <v>48</v>
      </c>
      <c r="C304">
        <v>2010</v>
      </c>
      <c r="D304">
        <v>0</v>
      </c>
    </row>
    <row r="305" spans="1:4">
      <c r="A305" s="3" t="s">
        <v>47</v>
      </c>
      <c r="B305" s="3" t="s">
        <v>48</v>
      </c>
      <c r="C305">
        <v>2011</v>
      </c>
      <c r="D305">
        <v>16000000</v>
      </c>
    </row>
    <row r="306" spans="1:4">
      <c r="A306" s="3" t="s">
        <v>47</v>
      </c>
      <c r="B306" s="3" t="s">
        <v>48</v>
      </c>
      <c r="C306">
        <v>2012</v>
      </c>
      <c r="D306">
        <v>3000000</v>
      </c>
    </row>
    <row r="307" spans="1:4">
      <c r="A307" s="3" t="s">
        <v>47</v>
      </c>
      <c r="B307" s="3" t="s">
        <v>48</v>
      </c>
      <c r="C307">
        <v>2015</v>
      </c>
      <c r="D307">
        <v>5000000</v>
      </c>
    </row>
    <row r="308" spans="1:4">
      <c r="A308" s="3" t="s">
        <v>47</v>
      </c>
      <c r="B308" s="3" t="s">
        <v>48</v>
      </c>
      <c r="C308">
        <v>2016</v>
      </c>
      <c r="D308">
        <v>7000000</v>
      </c>
    </row>
    <row r="309" spans="1:4">
      <c r="A309" s="3" t="s">
        <v>47</v>
      </c>
      <c r="B309" s="3" t="s">
        <v>48</v>
      </c>
      <c r="C309">
        <v>2017</v>
      </c>
      <c r="D309">
        <v>2000000</v>
      </c>
    </row>
    <row r="310" spans="1:4">
      <c r="A310" s="3" t="s">
        <v>47</v>
      </c>
      <c r="B310" s="3" t="s">
        <v>48</v>
      </c>
      <c r="C310">
        <v>2018</v>
      </c>
      <c r="D310">
        <v>24000000</v>
      </c>
    </row>
    <row r="311" spans="1:4">
      <c r="A311" s="3" t="s">
        <v>47</v>
      </c>
      <c r="B311" s="3" t="s">
        <v>48</v>
      </c>
      <c r="C311">
        <v>2019</v>
      </c>
      <c r="D311">
        <v>7000000</v>
      </c>
    </row>
    <row r="312" spans="1:4">
      <c r="A312" s="3" t="s">
        <v>47</v>
      </c>
      <c r="B312" s="3" t="s">
        <v>48</v>
      </c>
      <c r="C312">
        <v>2020</v>
      </c>
      <c r="D312">
        <v>3000000</v>
      </c>
    </row>
    <row r="313" spans="1:4">
      <c r="A313" s="3" t="s">
        <v>47</v>
      </c>
      <c r="B313" s="3" t="s">
        <v>48</v>
      </c>
      <c r="C313">
        <v>2021</v>
      </c>
      <c r="D313">
        <v>26000000</v>
      </c>
    </row>
    <row r="314" spans="1:4">
      <c r="A314" s="3" t="s">
        <v>47</v>
      </c>
      <c r="B314" s="3" t="s">
        <v>48</v>
      </c>
      <c r="C314">
        <v>2022</v>
      </c>
      <c r="D314">
        <v>12000000</v>
      </c>
    </row>
    <row r="315" spans="1:4">
      <c r="A315" s="3" t="s">
        <v>47</v>
      </c>
      <c r="B315" s="3" t="s">
        <v>48</v>
      </c>
      <c r="C315">
        <v>2023</v>
      </c>
      <c r="D315">
        <v>19000000</v>
      </c>
    </row>
    <row r="316" spans="1:4">
      <c r="A316" s="3" t="s">
        <v>47</v>
      </c>
      <c r="B316" s="3" t="s">
        <v>48</v>
      </c>
      <c r="C316">
        <v>2024</v>
      </c>
      <c r="D316">
        <v>37000000</v>
      </c>
    </row>
    <row r="317" spans="1:4">
      <c r="A317" s="3" t="s">
        <v>49</v>
      </c>
      <c r="B317" s="3" t="s">
        <v>50</v>
      </c>
      <c r="C317">
        <v>2000</v>
      </c>
      <c r="D317">
        <v>200000000</v>
      </c>
    </row>
    <row r="318" spans="1:4">
      <c r="A318" s="3" t="s">
        <v>49</v>
      </c>
      <c r="B318" s="3" t="s">
        <v>50</v>
      </c>
      <c r="C318">
        <v>2001</v>
      </c>
      <c r="D318">
        <v>274000000</v>
      </c>
    </row>
    <row r="319" spans="1:4">
      <c r="A319" s="3" t="s">
        <v>49</v>
      </c>
      <c r="B319" s="3" t="s">
        <v>50</v>
      </c>
      <c r="C319">
        <v>2002</v>
      </c>
      <c r="D319">
        <v>37000000</v>
      </c>
    </row>
    <row r="320" spans="1:4">
      <c r="A320" s="3" t="s">
        <v>49</v>
      </c>
      <c r="B320" s="3" t="s">
        <v>50</v>
      </c>
      <c r="C320">
        <v>2003</v>
      </c>
      <c r="D320">
        <v>8000000</v>
      </c>
    </row>
    <row r="321" spans="1:4">
      <c r="A321" s="3" t="s">
        <v>49</v>
      </c>
      <c r="B321" s="3" t="s">
        <v>50</v>
      </c>
      <c r="C321">
        <v>2004</v>
      </c>
      <c r="D321">
        <v>32000000</v>
      </c>
    </row>
    <row r="322" spans="1:4">
      <c r="A322" s="3" t="s">
        <v>49</v>
      </c>
      <c r="B322" s="3" t="s">
        <v>50</v>
      </c>
      <c r="C322">
        <v>2005</v>
      </c>
      <c r="D322">
        <v>10000000</v>
      </c>
    </row>
    <row r="323" spans="1:4">
      <c r="A323" s="3" t="s">
        <v>49</v>
      </c>
      <c r="B323" s="3" t="s">
        <v>50</v>
      </c>
      <c r="C323">
        <v>2006</v>
      </c>
      <c r="D323">
        <v>221000000</v>
      </c>
    </row>
    <row r="324" spans="1:4">
      <c r="A324" s="3" t="s">
        <v>49</v>
      </c>
      <c r="B324" s="3" t="s">
        <v>50</v>
      </c>
      <c r="C324">
        <v>2007</v>
      </c>
      <c r="D324">
        <v>82000000</v>
      </c>
    </row>
    <row r="325" spans="1:4">
      <c r="A325" s="3" t="s">
        <v>49</v>
      </c>
      <c r="B325" s="3" t="s">
        <v>50</v>
      </c>
      <c r="C325">
        <v>2008</v>
      </c>
      <c r="D325">
        <v>12000000</v>
      </c>
    </row>
    <row r="326" spans="1:4">
      <c r="A326" s="3" t="s">
        <v>49</v>
      </c>
      <c r="B326" s="3" t="s">
        <v>50</v>
      </c>
      <c r="C326">
        <v>2010</v>
      </c>
      <c r="D326">
        <v>36000000</v>
      </c>
    </row>
    <row r="327" spans="1:4">
      <c r="A327" s="3" t="s">
        <v>49</v>
      </c>
      <c r="B327" s="3" t="s">
        <v>50</v>
      </c>
      <c r="C327">
        <v>2011</v>
      </c>
      <c r="D327">
        <v>120000000</v>
      </c>
    </row>
    <row r="328" spans="1:4">
      <c r="A328" s="3" t="s">
        <v>49</v>
      </c>
      <c r="B328" s="3" t="s">
        <v>50</v>
      </c>
      <c r="C328">
        <v>2012</v>
      </c>
      <c r="D328">
        <v>199000000</v>
      </c>
    </row>
    <row r="329" spans="1:4">
      <c r="A329" s="3" t="s">
        <v>49</v>
      </c>
      <c r="B329" s="3" t="s">
        <v>50</v>
      </c>
      <c r="C329">
        <v>2013</v>
      </c>
      <c r="D329">
        <v>648000000</v>
      </c>
    </row>
    <row r="330" spans="1:4">
      <c r="A330" s="3" t="s">
        <v>49</v>
      </c>
      <c r="B330" s="3" t="s">
        <v>50</v>
      </c>
      <c r="C330">
        <v>2014</v>
      </c>
      <c r="D330">
        <v>207000000</v>
      </c>
    </row>
    <row r="331" spans="1:4">
      <c r="A331" s="3" t="s">
        <v>49</v>
      </c>
      <c r="B331" s="3" t="s">
        <v>50</v>
      </c>
      <c r="C331">
        <v>2015</v>
      </c>
      <c r="D331">
        <v>638000000</v>
      </c>
    </row>
    <row r="332" spans="1:4">
      <c r="A332" s="3" t="s">
        <v>49</v>
      </c>
      <c r="B332" s="3" t="s">
        <v>50</v>
      </c>
      <c r="C332">
        <v>2016</v>
      </c>
      <c r="D332">
        <v>455000000</v>
      </c>
    </row>
    <row r="333" spans="1:4">
      <c r="A333" s="3" t="s">
        <v>49</v>
      </c>
      <c r="B333" s="3" t="s">
        <v>50</v>
      </c>
      <c r="C333">
        <v>2017</v>
      </c>
      <c r="D333">
        <v>334000000</v>
      </c>
    </row>
    <row r="334" spans="1:4">
      <c r="A334" s="3" t="s">
        <v>49</v>
      </c>
      <c r="B334" s="3" t="s">
        <v>50</v>
      </c>
      <c r="C334">
        <v>2018</v>
      </c>
      <c r="D334">
        <v>161000000</v>
      </c>
    </row>
    <row r="335" spans="1:4">
      <c r="A335" s="3" t="s">
        <v>49</v>
      </c>
      <c r="B335" s="3" t="s">
        <v>50</v>
      </c>
      <c r="C335">
        <v>2019</v>
      </c>
      <c r="D335">
        <v>713000000</v>
      </c>
    </row>
    <row r="336" spans="1:4">
      <c r="A336" s="3" t="s">
        <v>49</v>
      </c>
      <c r="B336" s="3" t="s">
        <v>50</v>
      </c>
      <c r="C336">
        <v>2020</v>
      </c>
      <c r="D336">
        <v>70000000</v>
      </c>
    </row>
    <row r="337" spans="1:4">
      <c r="A337" s="3" t="s">
        <v>49</v>
      </c>
      <c r="B337" s="3" t="s">
        <v>50</v>
      </c>
      <c r="C337">
        <v>2021</v>
      </c>
      <c r="D337">
        <v>60000000</v>
      </c>
    </row>
    <row r="338" spans="1:4">
      <c r="A338" s="3" t="s">
        <v>49</v>
      </c>
      <c r="B338" s="3" t="s">
        <v>50</v>
      </c>
      <c r="C338">
        <v>2022</v>
      </c>
      <c r="D338">
        <v>331000000</v>
      </c>
    </row>
    <row r="339" spans="1:4">
      <c r="A339" s="3" t="s">
        <v>49</v>
      </c>
      <c r="B339" s="3" t="s">
        <v>50</v>
      </c>
      <c r="C339">
        <v>2023</v>
      </c>
      <c r="D339">
        <v>74000000</v>
      </c>
    </row>
    <row r="340" spans="1:4">
      <c r="A340" s="3" t="s">
        <v>49</v>
      </c>
      <c r="B340" s="3" t="s">
        <v>50</v>
      </c>
      <c r="C340">
        <v>2024</v>
      </c>
      <c r="D340">
        <v>70000000</v>
      </c>
    </row>
    <row r="341" spans="1:4">
      <c r="A341" s="3" t="s">
        <v>51</v>
      </c>
      <c r="B341" s="3" t="s">
        <v>52</v>
      </c>
      <c r="C341">
        <v>2003</v>
      </c>
      <c r="D341">
        <v>2000000</v>
      </c>
    </row>
    <row r="342" spans="1:4">
      <c r="A342" s="3" t="s">
        <v>51</v>
      </c>
      <c r="B342" s="3" t="s">
        <v>52</v>
      </c>
      <c r="C342">
        <v>2004</v>
      </c>
      <c r="D342">
        <v>13000000</v>
      </c>
    </row>
    <row r="343" spans="1:4">
      <c r="A343" s="3" t="s">
        <v>51</v>
      </c>
      <c r="B343" s="3" t="s">
        <v>52</v>
      </c>
      <c r="C343">
        <v>2005</v>
      </c>
      <c r="D343">
        <v>132000000</v>
      </c>
    </row>
    <row r="344" spans="1:4">
      <c r="A344" s="3" t="s">
        <v>51</v>
      </c>
      <c r="B344" s="3" t="s">
        <v>52</v>
      </c>
      <c r="C344">
        <v>2006</v>
      </c>
      <c r="D344">
        <v>22000000</v>
      </c>
    </row>
    <row r="345" spans="1:4">
      <c r="A345" s="3" t="s">
        <v>51</v>
      </c>
      <c r="B345" s="3" t="s">
        <v>52</v>
      </c>
      <c r="C345">
        <v>2007</v>
      </c>
      <c r="D345">
        <v>48000000</v>
      </c>
    </row>
    <row r="346" spans="1:4">
      <c r="A346" s="3" t="s">
        <v>51</v>
      </c>
      <c r="B346" s="3" t="s">
        <v>52</v>
      </c>
      <c r="C346">
        <v>2008</v>
      </c>
      <c r="D346">
        <v>117000000</v>
      </c>
    </row>
    <row r="347" spans="1:4">
      <c r="A347" s="3" t="s">
        <v>51</v>
      </c>
      <c r="B347" s="3" t="s">
        <v>52</v>
      </c>
      <c r="C347">
        <v>2009</v>
      </c>
      <c r="D347">
        <v>119000000</v>
      </c>
    </row>
    <row r="348" spans="1:4">
      <c r="A348" s="3" t="s">
        <v>51</v>
      </c>
      <c r="B348" s="3" t="s">
        <v>52</v>
      </c>
      <c r="C348">
        <v>2010</v>
      </c>
      <c r="D348">
        <v>8000000</v>
      </c>
    </row>
    <row r="349" spans="1:4">
      <c r="A349" s="3" t="s">
        <v>51</v>
      </c>
      <c r="B349" s="3" t="s">
        <v>52</v>
      </c>
      <c r="C349">
        <v>2011</v>
      </c>
      <c r="D349">
        <v>29000000</v>
      </c>
    </row>
    <row r="350" spans="1:4">
      <c r="A350" s="3" t="s">
        <v>51</v>
      </c>
      <c r="B350" s="3" t="s">
        <v>52</v>
      </c>
      <c r="C350">
        <v>2012</v>
      </c>
      <c r="D350">
        <v>5000000</v>
      </c>
    </row>
    <row r="351" spans="1:4">
      <c r="A351" s="3" t="s">
        <v>51</v>
      </c>
      <c r="B351" s="3" t="s">
        <v>52</v>
      </c>
      <c r="C351">
        <v>2015</v>
      </c>
      <c r="D351">
        <v>4000000</v>
      </c>
    </row>
    <row r="352" spans="1:4">
      <c r="A352" s="3" t="s">
        <v>51</v>
      </c>
      <c r="B352" s="3" t="s">
        <v>52</v>
      </c>
      <c r="C352">
        <v>2019</v>
      </c>
      <c r="D352">
        <v>2000000</v>
      </c>
    </row>
    <row r="353" spans="1:4">
      <c r="A353" s="3" t="s">
        <v>51</v>
      </c>
      <c r="B353" s="3" t="s">
        <v>52</v>
      </c>
      <c r="C353">
        <v>2020</v>
      </c>
      <c r="D353">
        <v>44000000</v>
      </c>
    </row>
    <row r="354" spans="1:4">
      <c r="A354" s="3" t="s">
        <v>51</v>
      </c>
      <c r="B354" s="3" t="s">
        <v>52</v>
      </c>
      <c r="C354">
        <v>2021</v>
      </c>
      <c r="D354">
        <v>1000000</v>
      </c>
    </row>
    <row r="355" spans="1:4">
      <c r="A355" s="3" t="s">
        <v>51</v>
      </c>
      <c r="B355" s="3" t="s">
        <v>52</v>
      </c>
      <c r="C355">
        <v>2022</v>
      </c>
      <c r="D355">
        <v>3000000</v>
      </c>
    </row>
    <row r="356" spans="1:4">
      <c r="A356" s="3" t="s">
        <v>53</v>
      </c>
      <c r="B356" s="3" t="s">
        <v>54</v>
      </c>
      <c r="C356">
        <v>2000</v>
      </c>
      <c r="D356">
        <v>299000000</v>
      </c>
    </row>
    <row r="357" spans="1:4">
      <c r="A357" s="3" t="s">
        <v>53</v>
      </c>
      <c r="B357" s="3" t="s">
        <v>54</v>
      </c>
      <c r="C357">
        <v>2001</v>
      </c>
      <c r="D357">
        <v>28000000</v>
      </c>
    </row>
    <row r="358" spans="1:4">
      <c r="A358" s="3" t="s">
        <v>53</v>
      </c>
      <c r="B358" s="3" t="s">
        <v>54</v>
      </c>
      <c r="C358">
        <v>2002</v>
      </c>
      <c r="D358">
        <v>52000000</v>
      </c>
    </row>
    <row r="359" spans="1:4">
      <c r="A359" s="3" t="s">
        <v>53</v>
      </c>
      <c r="B359" s="3" t="s">
        <v>54</v>
      </c>
      <c r="C359">
        <v>2003</v>
      </c>
      <c r="D359">
        <v>1000000</v>
      </c>
    </row>
    <row r="360" spans="1:4">
      <c r="A360" s="3" t="s">
        <v>53</v>
      </c>
      <c r="B360" s="3" t="s">
        <v>54</v>
      </c>
      <c r="C360">
        <v>2004</v>
      </c>
      <c r="D360">
        <v>10000000</v>
      </c>
    </row>
    <row r="361" spans="1:4">
      <c r="A361" s="3" t="s">
        <v>53</v>
      </c>
      <c r="B361" s="3" t="s">
        <v>54</v>
      </c>
      <c r="C361">
        <v>2005</v>
      </c>
      <c r="D361">
        <v>66000000</v>
      </c>
    </row>
    <row r="362" spans="1:4">
      <c r="A362" s="3" t="s">
        <v>53</v>
      </c>
      <c r="B362" s="3" t="s">
        <v>54</v>
      </c>
      <c r="C362">
        <v>2006</v>
      </c>
      <c r="D362">
        <v>63000000</v>
      </c>
    </row>
    <row r="363" spans="1:4">
      <c r="A363" s="3" t="s">
        <v>53</v>
      </c>
      <c r="B363" s="3" t="s">
        <v>54</v>
      </c>
      <c r="C363">
        <v>2007</v>
      </c>
      <c r="D363">
        <v>27000000</v>
      </c>
    </row>
    <row r="364" spans="1:4">
      <c r="A364" s="3" t="s">
        <v>53</v>
      </c>
      <c r="B364" s="3" t="s">
        <v>54</v>
      </c>
      <c r="C364">
        <v>2008</v>
      </c>
      <c r="D364">
        <v>21000000</v>
      </c>
    </row>
    <row r="365" spans="1:4">
      <c r="A365" s="3" t="s">
        <v>53</v>
      </c>
      <c r="B365" s="3" t="s">
        <v>54</v>
      </c>
      <c r="C365">
        <v>2010</v>
      </c>
      <c r="D365">
        <v>98000000</v>
      </c>
    </row>
    <row r="366" spans="1:4">
      <c r="A366" s="3" t="s">
        <v>53</v>
      </c>
      <c r="B366" s="3" t="s">
        <v>54</v>
      </c>
      <c r="C366">
        <v>2011</v>
      </c>
      <c r="D366">
        <v>4000000</v>
      </c>
    </row>
    <row r="367" spans="1:4">
      <c r="A367" s="3" t="s">
        <v>53</v>
      </c>
      <c r="B367" s="3" t="s">
        <v>54</v>
      </c>
      <c r="C367">
        <v>2012</v>
      </c>
      <c r="D367">
        <v>24000000</v>
      </c>
    </row>
    <row r="368" spans="1:4">
      <c r="A368" s="3" t="s">
        <v>53</v>
      </c>
      <c r="B368" s="3" t="s">
        <v>54</v>
      </c>
      <c r="C368">
        <v>2013</v>
      </c>
      <c r="D368">
        <v>69000000</v>
      </c>
    </row>
    <row r="369" spans="1:4">
      <c r="A369" s="3" t="s">
        <v>53</v>
      </c>
      <c r="B369" s="3" t="s">
        <v>54</v>
      </c>
      <c r="C369">
        <v>2014</v>
      </c>
      <c r="D369">
        <v>1000000</v>
      </c>
    </row>
    <row r="370" spans="1:4">
      <c r="A370" s="3" t="s">
        <v>53</v>
      </c>
      <c r="B370" s="3" t="s">
        <v>54</v>
      </c>
      <c r="C370">
        <v>2015</v>
      </c>
      <c r="D370">
        <v>17000000</v>
      </c>
    </row>
    <row r="371" spans="1:4">
      <c r="A371" s="3" t="s">
        <v>53</v>
      </c>
      <c r="B371" s="3" t="s">
        <v>54</v>
      </c>
      <c r="C371">
        <v>2016</v>
      </c>
      <c r="D371">
        <v>30000000</v>
      </c>
    </row>
    <row r="372" spans="1:4">
      <c r="A372" s="3" t="s">
        <v>53</v>
      </c>
      <c r="B372" s="3" t="s">
        <v>54</v>
      </c>
      <c r="C372">
        <v>2017</v>
      </c>
      <c r="D372">
        <v>27000000</v>
      </c>
    </row>
    <row r="373" spans="1:4">
      <c r="A373" s="3" t="s">
        <v>53</v>
      </c>
      <c r="B373" s="3" t="s">
        <v>54</v>
      </c>
      <c r="C373">
        <v>2018</v>
      </c>
      <c r="D373">
        <v>72000000</v>
      </c>
    </row>
    <row r="374" spans="1:4">
      <c r="A374" s="3" t="s">
        <v>53</v>
      </c>
      <c r="B374" s="3" t="s">
        <v>54</v>
      </c>
      <c r="C374">
        <v>2019</v>
      </c>
      <c r="D374">
        <v>21000000</v>
      </c>
    </row>
    <row r="375" spans="1:4">
      <c r="A375" s="3" t="s">
        <v>53</v>
      </c>
      <c r="B375" s="3" t="s">
        <v>54</v>
      </c>
      <c r="C375">
        <v>2020</v>
      </c>
      <c r="D375">
        <v>27000000</v>
      </c>
    </row>
    <row r="376" spans="1:4">
      <c r="A376" s="3" t="s">
        <v>53</v>
      </c>
      <c r="B376" s="3" t="s">
        <v>54</v>
      </c>
      <c r="C376">
        <v>2021</v>
      </c>
      <c r="D376">
        <v>184000000</v>
      </c>
    </row>
    <row r="377" spans="1:4">
      <c r="A377" s="3" t="s">
        <v>53</v>
      </c>
      <c r="B377" s="3" t="s">
        <v>54</v>
      </c>
      <c r="C377">
        <v>2022</v>
      </c>
      <c r="D377">
        <v>259000000</v>
      </c>
    </row>
    <row r="378" spans="1:4">
      <c r="A378" s="3" t="s">
        <v>53</v>
      </c>
      <c r="B378" s="3" t="s">
        <v>54</v>
      </c>
      <c r="C378">
        <v>2023</v>
      </c>
      <c r="D378">
        <v>294000000</v>
      </c>
    </row>
    <row r="379" spans="1:4">
      <c r="A379" s="3" t="s">
        <v>53</v>
      </c>
      <c r="B379" s="3" t="s">
        <v>54</v>
      </c>
      <c r="C379">
        <v>2024</v>
      </c>
      <c r="D379">
        <v>850000000</v>
      </c>
    </row>
    <row r="380" spans="1:4">
      <c r="A380" s="3" t="s">
        <v>55</v>
      </c>
      <c r="B380" s="3" t="s">
        <v>56</v>
      </c>
      <c r="C380">
        <v>2000</v>
      </c>
      <c r="D380">
        <v>33000000</v>
      </c>
    </row>
    <row r="381" spans="1:4">
      <c r="A381" s="3" t="s">
        <v>55</v>
      </c>
      <c r="B381" s="3" t="s">
        <v>56</v>
      </c>
      <c r="C381">
        <v>2005</v>
      </c>
      <c r="D381">
        <v>3000000</v>
      </c>
    </row>
    <row r="382" spans="1:4">
      <c r="A382" s="3" t="s">
        <v>55</v>
      </c>
      <c r="B382" s="3" t="s">
        <v>56</v>
      </c>
      <c r="C382">
        <v>2009</v>
      </c>
      <c r="D382">
        <v>1000000</v>
      </c>
    </row>
    <row r="383" spans="1:4">
      <c r="A383" s="3" t="s">
        <v>55</v>
      </c>
      <c r="B383" s="3" t="s">
        <v>56</v>
      </c>
      <c r="C383">
        <v>2014</v>
      </c>
      <c r="D383">
        <v>30000000</v>
      </c>
    </row>
    <row r="384" spans="1:4">
      <c r="A384" s="3" t="s">
        <v>55</v>
      </c>
      <c r="B384" s="3" t="s">
        <v>56</v>
      </c>
      <c r="C384">
        <v>2015</v>
      </c>
      <c r="D384">
        <v>16000000</v>
      </c>
    </row>
    <row r="385" spans="1:4">
      <c r="A385" s="3" t="s">
        <v>55</v>
      </c>
      <c r="B385" s="3" t="s">
        <v>56</v>
      </c>
      <c r="C385">
        <v>2016</v>
      </c>
      <c r="D385">
        <v>20000000</v>
      </c>
    </row>
    <row r="386" spans="1:4">
      <c r="A386" s="3" t="s">
        <v>55</v>
      </c>
      <c r="B386" s="3" t="s">
        <v>56</v>
      </c>
      <c r="C386">
        <v>2017</v>
      </c>
      <c r="D386">
        <v>12000000</v>
      </c>
    </row>
    <row r="387" spans="1:4">
      <c r="A387" s="3" t="s">
        <v>57</v>
      </c>
      <c r="B387" s="3" t="s">
        <v>58</v>
      </c>
      <c r="C387">
        <v>2017</v>
      </c>
      <c r="D387">
        <v>0</v>
      </c>
    </row>
    <row r="388" spans="1:4">
      <c r="A388" s="3" t="s">
        <v>57</v>
      </c>
      <c r="B388" s="3" t="s">
        <v>58</v>
      </c>
      <c r="C388">
        <v>2019</v>
      </c>
      <c r="D388">
        <v>0</v>
      </c>
    </row>
    <row r="389" spans="1:4">
      <c r="A389" s="3" t="s">
        <v>57</v>
      </c>
      <c r="B389" s="3" t="s">
        <v>58</v>
      </c>
      <c r="C389">
        <v>2020</v>
      </c>
      <c r="D389">
        <v>0</v>
      </c>
    </row>
    <row r="390" spans="1:4">
      <c r="A390" s="3" t="s">
        <v>57</v>
      </c>
      <c r="B390" s="3" t="s">
        <v>58</v>
      </c>
      <c r="C390">
        <v>2021</v>
      </c>
      <c r="D390">
        <v>12000000</v>
      </c>
    </row>
    <row r="391" spans="1:4">
      <c r="A391" s="3" t="s">
        <v>59</v>
      </c>
      <c r="B391" s="3" t="s">
        <v>60</v>
      </c>
      <c r="C391">
        <v>2005</v>
      </c>
      <c r="D391">
        <v>6000000</v>
      </c>
    </row>
    <row r="392" spans="1:4">
      <c r="A392" s="3" t="s">
        <v>59</v>
      </c>
      <c r="B392" s="3" t="s">
        <v>60</v>
      </c>
      <c r="C392">
        <v>2006</v>
      </c>
      <c r="D392">
        <v>140000000</v>
      </c>
    </row>
    <row r="393" spans="1:4">
      <c r="A393" s="3" t="s">
        <v>59</v>
      </c>
      <c r="B393" s="3" t="s">
        <v>60</v>
      </c>
      <c r="C393">
        <v>2009</v>
      </c>
      <c r="D393">
        <v>3000000</v>
      </c>
    </row>
    <row r="394" spans="1:4">
      <c r="A394" s="3" t="s">
        <v>59</v>
      </c>
      <c r="B394" s="3" t="s">
        <v>60</v>
      </c>
      <c r="C394">
        <v>2011</v>
      </c>
      <c r="D394">
        <v>75000000</v>
      </c>
    </row>
    <row r="395" spans="1:4">
      <c r="A395" s="3" t="s">
        <v>59</v>
      </c>
      <c r="B395" s="3" t="s">
        <v>60</v>
      </c>
      <c r="C395">
        <v>2012</v>
      </c>
      <c r="D395">
        <v>75000000</v>
      </c>
    </row>
    <row r="396" spans="1:4">
      <c r="A396" s="3" t="s">
        <v>59</v>
      </c>
      <c r="B396" s="3" t="s">
        <v>60</v>
      </c>
      <c r="C396">
        <v>2013</v>
      </c>
      <c r="D396">
        <v>75000000</v>
      </c>
    </row>
    <row r="397" spans="1:4">
      <c r="A397" s="3" t="s">
        <v>59</v>
      </c>
      <c r="B397" s="3" t="s">
        <v>60</v>
      </c>
      <c r="C397">
        <v>2014</v>
      </c>
      <c r="D397">
        <v>66000000</v>
      </c>
    </row>
    <row r="398" spans="1:4">
      <c r="A398" s="3" t="s">
        <v>59</v>
      </c>
      <c r="B398" s="3" t="s">
        <v>60</v>
      </c>
      <c r="C398">
        <v>2015</v>
      </c>
      <c r="D398">
        <v>98000000</v>
      </c>
    </row>
    <row r="399" spans="1:4">
      <c r="A399" s="3" t="s">
        <v>59</v>
      </c>
      <c r="B399" s="3" t="s">
        <v>60</v>
      </c>
      <c r="C399">
        <v>2016</v>
      </c>
      <c r="D399">
        <v>120000000</v>
      </c>
    </row>
    <row r="400" spans="1:4">
      <c r="A400" s="3" t="s">
        <v>59</v>
      </c>
      <c r="B400" s="3" t="s">
        <v>60</v>
      </c>
      <c r="C400">
        <v>2017</v>
      </c>
      <c r="D400">
        <v>158000000</v>
      </c>
    </row>
    <row r="401" spans="1:4">
      <c r="A401" s="3" t="s">
        <v>59</v>
      </c>
      <c r="B401" s="3" t="s">
        <v>60</v>
      </c>
      <c r="C401">
        <v>2018</v>
      </c>
      <c r="D401">
        <v>142000000</v>
      </c>
    </row>
    <row r="402" spans="1:4">
      <c r="A402" s="3" t="s">
        <v>59</v>
      </c>
      <c r="B402" s="3" t="s">
        <v>60</v>
      </c>
      <c r="C402">
        <v>2019</v>
      </c>
      <c r="D402">
        <v>333000000</v>
      </c>
    </row>
    <row r="403" spans="1:4">
      <c r="A403" s="3" t="s">
        <v>59</v>
      </c>
      <c r="B403" s="3" t="s">
        <v>60</v>
      </c>
      <c r="C403">
        <v>2020</v>
      </c>
      <c r="D403">
        <v>13000000</v>
      </c>
    </row>
    <row r="404" spans="1:4">
      <c r="A404" s="3" t="s">
        <v>59</v>
      </c>
      <c r="B404" s="3" t="s">
        <v>60</v>
      </c>
      <c r="C404">
        <v>2021</v>
      </c>
      <c r="D404">
        <v>69000000</v>
      </c>
    </row>
    <row r="405" spans="1:4">
      <c r="A405" s="3" t="s">
        <v>59</v>
      </c>
      <c r="B405" s="3" t="s">
        <v>60</v>
      </c>
      <c r="C405">
        <v>2022</v>
      </c>
      <c r="D405">
        <v>215000000</v>
      </c>
    </row>
    <row r="406" spans="1:4">
      <c r="A406" s="3" t="s">
        <v>59</v>
      </c>
      <c r="B406" s="3" t="s">
        <v>60</v>
      </c>
      <c r="C406">
        <v>2023</v>
      </c>
      <c r="D406">
        <v>178000000</v>
      </c>
    </row>
    <row r="407" spans="1:4">
      <c r="A407" s="3" t="s">
        <v>59</v>
      </c>
      <c r="B407" s="3" t="s">
        <v>60</v>
      </c>
      <c r="C407">
        <v>2024</v>
      </c>
      <c r="D407">
        <v>399000000</v>
      </c>
    </row>
    <row r="408" spans="1:4">
      <c r="A408" s="3" t="s">
        <v>61</v>
      </c>
      <c r="B408" s="3" t="s">
        <v>62</v>
      </c>
      <c r="C408">
        <v>2000</v>
      </c>
      <c r="D408">
        <v>1000000</v>
      </c>
    </row>
    <row r="409" spans="1:4">
      <c r="A409" s="3" t="s">
        <v>61</v>
      </c>
      <c r="B409" s="3" t="s">
        <v>62</v>
      </c>
      <c r="C409">
        <v>2016</v>
      </c>
      <c r="D409">
        <v>2000000</v>
      </c>
    </row>
    <row r="410" spans="1:4">
      <c r="A410" s="3" t="s">
        <v>61</v>
      </c>
      <c r="B410" s="3" t="s">
        <v>62</v>
      </c>
      <c r="C410">
        <v>2023</v>
      </c>
      <c r="D410">
        <v>1000000</v>
      </c>
    </row>
    <row r="411" spans="1:4">
      <c r="A411" s="3" t="s">
        <v>65</v>
      </c>
      <c r="B411" s="3" t="s">
        <v>66</v>
      </c>
      <c r="C411">
        <v>2000</v>
      </c>
      <c r="D411">
        <v>19000000</v>
      </c>
    </row>
    <row r="412" spans="1:4">
      <c r="A412" s="3" t="s">
        <v>65</v>
      </c>
      <c r="B412" s="3" t="s">
        <v>66</v>
      </c>
      <c r="C412">
        <v>2003</v>
      </c>
      <c r="D412">
        <v>5000000</v>
      </c>
    </row>
    <row r="413" spans="1:4">
      <c r="A413" s="3" t="s">
        <v>65</v>
      </c>
      <c r="B413" s="3" t="s">
        <v>66</v>
      </c>
      <c r="C413">
        <v>2004</v>
      </c>
      <c r="D413">
        <v>1000000</v>
      </c>
    </row>
    <row r="414" spans="1:4">
      <c r="A414" s="3" t="s">
        <v>65</v>
      </c>
      <c r="B414" s="3" t="s">
        <v>66</v>
      </c>
      <c r="C414">
        <v>2005</v>
      </c>
      <c r="D414">
        <v>1000000</v>
      </c>
    </row>
    <row r="415" spans="1:4">
      <c r="A415" s="3" t="s">
        <v>65</v>
      </c>
      <c r="B415" s="3" t="s">
        <v>66</v>
      </c>
      <c r="C415">
        <v>2006</v>
      </c>
      <c r="D415">
        <v>9000000</v>
      </c>
    </row>
    <row r="416" spans="1:4">
      <c r="A416" s="3" t="s">
        <v>65</v>
      </c>
      <c r="B416" s="3" t="s">
        <v>66</v>
      </c>
      <c r="C416">
        <v>2007</v>
      </c>
      <c r="D416">
        <v>2000000</v>
      </c>
    </row>
    <row r="417" spans="1:4">
      <c r="A417" s="3" t="s">
        <v>65</v>
      </c>
      <c r="B417" s="3" t="s">
        <v>66</v>
      </c>
      <c r="C417">
        <v>2008</v>
      </c>
      <c r="D417">
        <v>3000000</v>
      </c>
    </row>
    <row r="418" spans="1:4">
      <c r="A418" s="3" t="s">
        <v>65</v>
      </c>
      <c r="B418" s="3" t="s">
        <v>66</v>
      </c>
      <c r="C418">
        <v>2009</v>
      </c>
      <c r="D418">
        <v>6000000</v>
      </c>
    </row>
    <row r="419" spans="1:4">
      <c r="A419" s="3" t="s">
        <v>65</v>
      </c>
      <c r="B419" s="3" t="s">
        <v>66</v>
      </c>
      <c r="C419">
        <v>2010</v>
      </c>
      <c r="D419">
        <v>1000000</v>
      </c>
    </row>
    <row r="420" spans="1:4">
      <c r="A420" s="3" t="s">
        <v>65</v>
      </c>
      <c r="B420" s="3" t="s">
        <v>66</v>
      </c>
      <c r="C420">
        <v>2011</v>
      </c>
      <c r="D420">
        <v>25000000</v>
      </c>
    </row>
    <row r="421" spans="1:4">
      <c r="A421" s="3" t="s">
        <v>65</v>
      </c>
      <c r="B421" s="3" t="s">
        <v>66</v>
      </c>
      <c r="C421">
        <v>2012</v>
      </c>
      <c r="D421">
        <v>12000000</v>
      </c>
    </row>
    <row r="422" spans="1:4">
      <c r="A422" s="3" t="s">
        <v>65</v>
      </c>
      <c r="B422" s="3" t="s">
        <v>66</v>
      </c>
      <c r="C422">
        <v>2013</v>
      </c>
      <c r="D422">
        <v>1000000</v>
      </c>
    </row>
    <row r="423" spans="1:4">
      <c r="A423" s="3" t="s">
        <v>65</v>
      </c>
      <c r="B423" s="3" t="s">
        <v>66</v>
      </c>
      <c r="C423">
        <v>2014</v>
      </c>
      <c r="D423">
        <v>46000000</v>
      </c>
    </row>
    <row r="424" spans="1:4">
      <c r="A424" s="3" t="s">
        <v>65</v>
      </c>
      <c r="B424" s="3" t="s">
        <v>66</v>
      </c>
      <c r="C424">
        <v>2016</v>
      </c>
      <c r="D424">
        <v>27000000</v>
      </c>
    </row>
    <row r="425" spans="1:4">
      <c r="A425" s="3" t="s">
        <v>65</v>
      </c>
      <c r="B425" s="3" t="s">
        <v>66</v>
      </c>
      <c r="C425">
        <v>2017</v>
      </c>
      <c r="D425">
        <v>7000000</v>
      </c>
    </row>
    <row r="426" spans="1:4">
      <c r="A426" s="3" t="s">
        <v>65</v>
      </c>
      <c r="B426" s="3" t="s">
        <v>66</v>
      </c>
      <c r="C426">
        <v>2018</v>
      </c>
      <c r="D426">
        <v>2000000</v>
      </c>
    </row>
    <row r="427" spans="1:4">
      <c r="A427" s="3" t="s">
        <v>65</v>
      </c>
      <c r="B427" s="3" t="s">
        <v>66</v>
      </c>
      <c r="C427">
        <v>2019</v>
      </c>
      <c r="D427">
        <v>34000000</v>
      </c>
    </row>
    <row r="428" spans="1:4">
      <c r="A428" s="3" t="s">
        <v>65</v>
      </c>
      <c r="B428" s="3" t="s">
        <v>66</v>
      </c>
      <c r="C428">
        <v>2020</v>
      </c>
      <c r="D428">
        <v>26000000</v>
      </c>
    </row>
    <row r="429" spans="1:4">
      <c r="A429" s="3" t="s">
        <v>65</v>
      </c>
      <c r="B429" s="3" t="s">
        <v>66</v>
      </c>
      <c r="C429">
        <v>2024</v>
      </c>
      <c r="D429">
        <v>0</v>
      </c>
    </row>
    <row r="430" spans="1:4">
      <c r="A430" s="3" t="s">
        <v>67</v>
      </c>
      <c r="B430" s="3" t="s">
        <v>68</v>
      </c>
      <c r="C430">
        <v>2000</v>
      </c>
      <c r="D430">
        <v>86000000</v>
      </c>
    </row>
    <row r="431" spans="1:4">
      <c r="A431" s="3" t="s">
        <v>67</v>
      </c>
      <c r="B431" s="3" t="s">
        <v>68</v>
      </c>
      <c r="C431">
        <v>2001</v>
      </c>
      <c r="D431">
        <v>573000000</v>
      </c>
    </row>
    <row r="432" spans="1:4">
      <c r="A432" s="3" t="s">
        <v>67</v>
      </c>
      <c r="B432" s="3" t="s">
        <v>68</v>
      </c>
      <c r="C432">
        <v>2002</v>
      </c>
      <c r="D432">
        <v>221000000</v>
      </c>
    </row>
    <row r="433" spans="1:4">
      <c r="A433" s="3" t="s">
        <v>67</v>
      </c>
      <c r="B433" s="3" t="s">
        <v>68</v>
      </c>
      <c r="C433">
        <v>2003</v>
      </c>
      <c r="D433">
        <v>110000000</v>
      </c>
    </row>
    <row r="434" spans="1:4">
      <c r="A434" s="3" t="s">
        <v>67</v>
      </c>
      <c r="B434" s="3" t="s">
        <v>68</v>
      </c>
      <c r="C434">
        <v>2004</v>
      </c>
      <c r="D434">
        <v>85000000</v>
      </c>
    </row>
    <row r="435" spans="1:4">
      <c r="A435" s="3" t="s">
        <v>67</v>
      </c>
      <c r="B435" s="3" t="s">
        <v>68</v>
      </c>
      <c r="C435">
        <v>2005</v>
      </c>
      <c r="D435">
        <v>223000000</v>
      </c>
    </row>
    <row r="436" spans="1:4">
      <c r="A436" s="3" t="s">
        <v>67</v>
      </c>
      <c r="B436" s="3" t="s">
        <v>68</v>
      </c>
      <c r="C436">
        <v>2006</v>
      </c>
      <c r="D436">
        <v>178000000</v>
      </c>
    </row>
    <row r="437" spans="1:4">
      <c r="A437" s="3" t="s">
        <v>67</v>
      </c>
      <c r="B437" s="3" t="s">
        <v>68</v>
      </c>
      <c r="C437">
        <v>2007</v>
      </c>
      <c r="D437">
        <v>188000000</v>
      </c>
    </row>
    <row r="438" spans="1:4">
      <c r="A438" s="3" t="s">
        <v>67</v>
      </c>
      <c r="B438" s="3" t="s">
        <v>68</v>
      </c>
      <c r="C438">
        <v>2008</v>
      </c>
      <c r="D438">
        <v>178000000</v>
      </c>
    </row>
    <row r="439" spans="1:4">
      <c r="A439" s="3" t="s">
        <v>67</v>
      </c>
      <c r="B439" s="3" t="s">
        <v>68</v>
      </c>
      <c r="C439">
        <v>2009</v>
      </c>
      <c r="D439">
        <v>135000000</v>
      </c>
    </row>
    <row r="440" spans="1:4">
      <c r="A440" s="3" t="s">
        <v>67</v>
      </c>
      <c r="B440" s="3" t="s">
        <v>68</v>
      </c>
      <c r="C440">
        <v>2010</v>
      </c>
      <c r="D440">
        <v>256000000</v>
      </c>
    </row>
    <row r="441" spans="1:4">
      <c r="A441" s="3" t="s">
        <v>67</v>
      </c>
      <c r="B441" s="3" t="s">
        <v>68</v>
      </c>
      <c r="C441">
        <v>2011</v>
      </c>
      <c r="D441">
        <v>231000000</v>
      </c>
    </row>
    <row r="442" spans="1:4">
      <c r="A442" s="3" t="s">
        <v>67</v>
      </c>
      <c r="B442" s="3" t="s">
        <v>68</v>
      </c>
      <c r="C442">
        <v>2012</v>
      </c>
      <c r="D442">
        <v>317000000</v>
      </c>
    </row>
    <row r="443" spans="1:4">
      <c r="A443" s="3" t="s">
        <v>67</v>
      </c>
      <c r="B443" s="3" t="s">
        <v>68</v>
      </c>
      <c r="C443">
        <v>2013</v>
      </c>
      <c r="D443">
        <v>217000000</v>
      </c>
    </row>
    <row r="444" spans="1:4">
      <c r="A444" s="3" t="s">
        <v>67</v>
      </c>
      <c r="B444" s="3" t="s">
        <v>68</v>
      </c>
      <c r="C444">
        <v>2014</v>
      </c>
      <c r="D444">
        <v>201000000</v>
      </c>
    </row>
    <row r="445" spans="1:4">
      <c r="A445" s="3" t="s">
        <v>67</v>
      </c>
      <c r="B445" s="3" t="s">
        <v>68</v>
      </c>
      <c r="C445">
        <v>2015</v>
      </c>
      <c r="D445">
        <v>202000000</v>
      </c>
    </row>
    <row r="446" spans="1:4">
      <c r="A446" s="3" t="s">
        <v>67</v>
      </c>
      <c r="B446" s="3" t="s">
        <v>68</v>
      </c>
      <c r="C446">
        <v>2016</v>
      </c>
      <c r="D446">
        <v>111000000</v>
      </c>
    </row>
    <row r="447" spans="1:4">
      <c r="A447" s="3" t="s">
        <v>67</v>
      </c>
      <c r="B447" s="3" t="s">
        <v>68</v>
      </c>
      <c r="C447">
        <v>2017</v>
      </c>
      <c r="D447">
        <v>96000000</v>
      </c>
    </row>
    <row r="448" spans="1:4">
      <c r="A448" s="3" t="s">
        <v>67</v>
      </c>
      <c r="B448" s="3" t="s">
        <v>68</v>
      </c>
      <c r="C448">
        <v>2018</v>
      </c>
      <c r="D448">
        <v>258000000</v>
      </c>
    </row>
    <row r="449" spans="1:4">
      <c r="A449" s="3" t="s">
        <v>67</v>
      </c>
      <c r="B449" s="3" t="s">
        <v>68</v>
      </c>
      <c r="C449">
        <v>2019</v>
      </c>
      <c r="D449">
        <v>125000000</v>
      </c>
    </row>
    <row r="450" spans="1:4">
      <c r="A450" s="3" t="s">
        <v>67</v>
      </c>
      <c r="B450" s="3" t="s">
        <v>68</v>
      </c>
      <c r="C450">
        <v>2020</v>
      </c>
      <c r="D450">
        <v>134000000</v>
      </c>
    </row>
    <row r="451" spans="1:4">
      <c r="A451" s="3" t="s">
        <v>67</v>
      </c>
      <c r="B451" s="3" t="s">
        <v>68</v>
      </c>
      <c r="C451">
        <v>2021</v>
      </c>
      <c r="D451">
        <v>240000000</v>
      </c>
    </row>
    <row r="452" spans="1:4">
      <c r="A452" s="3" t="s">
        <v>67</v>
      </c>
      <c r="B452" s="3" t="s">
        <v>68</v>
      </c>
      <c r="C452">
        <v>2022</v>
      </c>
      <c r="D452">
        <v>469000000</v>
      </c>
    </row>
    <row r="453" spans="1:4">
      <c r="A453" s="3" t="s">
        <v>67</v>
      </c>
      <c r="B453" s="3" t="s">
        <v>68</v>
      </c>
      <c r="C453">
        <v>2023</v>
      </c>
      <c r="D453">
        <v>193000000</v>
      </c>
    </row>
    <row r="454" spans="1:4">
      <c r="A454" s="3" t="s">
        <v>67</v>
      </c>
      <c r="B454" s="3" t="s">
        <v>68</v>
      </c>
      <c r="C454">
        <v>2024</v>
      </c>
      <c r="D454">
        <v>450000000</v>
      </c>
    </row>
    <row r="455" spans="1:4">
      <c r="A455" s="3" t="s">
        <v>69</v>
      </c>
      <c r="B455" s="3" t="s">
        <v>70</v>
      </c>
      <c r="C455">
        <v>2007</v>
      </c>
      <c r="D455">
        <v>10000000</v>
      </c>
    </row>
    <row r="456" spans="1:4">
      <c r="A456" s="3" t="s">
        <v>69</v>
      </c>
      <c r="B456" s="3" t="s">
        <v>70</v>
      </c>
      <c r="C456">
        <v>2008</v>
      </c>
      <c r="D456">
        <v>10000000</v>
      </c>
    </row>
    <row r="457" spans="1:4">
      <c r="A457" s="3" t="s">
        <v>69</v>
      </c>
      <c r="B457" s="3" t="s">
        <v>70</v>
      </c>
      <c r="C457">
        <v>2009</v>
      </c>
      <c r="D457">
        <v>10000000</v>
      </c>
    </row>
    <row r="458" spans="1:4">
      <c r="A458" s="3" t="s">
        <v>71</v>
      </c>
      <c r="B458" s="3" t="s">
        <v>72</v>
      </c>
      <c r="C458">
        <v>2001</v>
      </c>
      <c r="D458">
        <v>5000000</v>
      </c>
    </row>
    <row r="459" spans="1:4">
      <c r="A459" s="3" t="s">
        <v>71</v>
      </c>
      <c r="B459" s="3" t="s">
        <v>72</v>
      </c>
      <c r="C459">
        <v>2002</v>
      </c>
      <c r="D459">
        <v>1000000</v>
      </c>
    </row>
    <row r="460" spans="1:4">
      <c r="A460" s="3" t="s">
        <v>71</v>
      </c>
      <c r="B460" s="3" t="s">
        <v>72</v>
      </c>
      <c r="C460">
        <v>2003</v>
      </c>
      <c r="D460">
        <v>0</v>
      </c>
    </row>
    <row r="461" spans="1:4">
      <c r="A461" s="3" t="s">
        <v>71</v>
      </c>
      <c r="B461" s="3" t="s">
        <v>72</v>
      </c>
      <c r="C461">
        <v>2004</v>
      </c>
      <c r="D461">
        <v>0</v>
      </c>
    </row>
    <row r="462" spans="1:4">
      <c r="A462" s="3" t="s">
        <v>71</v>
      </c>
      <c r="B462" s="3" t="s">
        <v>72</v>
      </c>
      <c r="C462">
        <v>2005</v>
      </c>
      <c r="D462">
        <v>1000000</v>
      </c>
    </row>
    <row r="463" spans="1:4">
      <c r="A463" s="3" t="s">
        <v>71</v>
      </c>
      <c r="B463" s="3" t="s">
        <v>72</v>
      </c>
      <c r="C463">
        <v>2006</v>
      </c>
      <c r="D463">
        <v>1000000</v>
      </c>
    </row>
    <row r="464" spans="1:4">
      <c r="A464" s="3" t="s">
        <v>71</v>
      </c>
      <c r="B464" s="3" t="s">
        <v>72</v>
      </c>
      <c r="C464">
        <v>2009</v>
      </c>
      <c r="D464">
        <v>33000000</v>
      </c>
    </row>
    <row r="465" spans="1:4">
      <c r="A465" s="3" t="s">
        <v>71</v>
      </c>
      <c r="B465" s="3" t="s">
        <v>72</v>
      </c>
      <c r="C465">
        <v>2010</v>
      </c>
      <c r="D465">
        <v>33000000</v>
      </c>
    </row>
    <row r="466" spans="1:4">
      <c r="A466" s="3" t="s">
        <v>71</v>
      </c>
      <c r="B466" s="3" t="s">
        <v>72</v>
      </c>
      <c r="C466">
        <v>2011</v>
      </c>
      <c r="D466">
        <v>229000000</v>
      </c>
    </row>
    <row r="467" spans="1:4">
      <c r="A467" s="3" t="s">
        <v>71</v>
      </c>
      <c r="B467" s="3" t="s">
        <v>72</v>
      </c>
      <c r="C467">
        <v>2012</v>
      </c>
      <c r="D467">
        <v>20000000</v>
      </c>
    </row>
    <row r="468" spans="1:4">
      <c r="A468" s="3" t="s">
        <v>71</v>
      </c>
      <c r="B468" s="3" t="s">
        <v>72</v>
      </c>
      <c r="C468">
        <v>2013</v>
      </c>
      <c r="D468">
        <v>15000000</v>
      </c>
    </row>
    <row r="469" spans="1:4">
      <c r="A469" s="3" t="s">
        <v>71</v>
      </c>
      <c r="B469" s="3" t="s">
        <v>72</v>
      </c>
      <c r="C469">
        <v>2014</v>
      </c>
      <c r="D469">
        <v>121000000</v>
      </c>
    </row>
    <row r="470" spans="1:4">
      <c r="A470" s="3" t="s">
        <v>71</v>
      </c>
      <c r="B470" s="3" t="s">
        <v>72</v>
      </c>
      <c r="C470">
        <v>2015</v>
      </c>
      <c r="D470">
        <v>36000000</v>
      </c>
    </row>
    <row r="471" spans="1:4">
      <c r="A471" s="3" t="s">
        <v>71</v>
      </c>
      <c r="B471" s="3" t="s">
        <v>72</v>
      </c>
      <c r="C471">
        <v>2023</v>
      </c>
      <c r="D471">
        <v>11000000</v>
      </c>
    </row>
    <row r="472" spans="1:4">
      <c r="A472" s="3" t="s">
        <v>71</v>
      </c>
      <c r="B472" s="3" t="s">
        <v>72</v>
      </c>
      <c r="C472">
        <v>2024</v>
      </c>
      <c r="D472">
        <v>28000000</v>
      </c>
    </row>
    <row r="473" spans="1:4">
      <c r="A473" s="3" t="s">
        <v>73</v>
      </c>
      <c r="B473" s="3" t="s">
        <v>74</v>
      </c>
      <c r="C473">
        <v>2004</v>
      </c>
      <c r="D473">
        <v>0</v>
      </c>
    </row>
    <row r="474" spans="1:4">
      <c r="A474" s="3" t="s">
        <v>73</v>
      </c>
      <c r="B474" s="3" t="s">
        <v>74</v>
      </c>
      <c r="C474">
        <v>2015</v>
      </c>
      <c r="D474">
        <v>1000000</v>
      </c>
    </row>
    <row r="475" spans="1:4">
      <c r="A475" s="3" t="s">
        <v>73</v>
      </c>
      <c r="B475" s="3" t="s">
        <v>74</v>
      </c>
      <c r="C475">
        <v>2016</v>
      </c>
      <c r="D475">
        <v>1000000</v>
      </c>
    </row>
    <row r="476" spans="1:4">
      <c r="A476" s="3" t="s">
        <v>73</v>
      </c>
      <c r="B476" s="3" t="s">
        <v>74</v>
      </c>
      <c r="C476">
        <v>2021</v>
      </c>
      <c r="D476">
        <v>5000000</v>
      </c>
    </row>
    <row r="477" spans="1:4">
      <c r="A477" s="3" t="s">
        <v>75</v>
      </c>
      <c r="B477" s="3" t="s">
        <v>76</v>
      </c>
      <c r="C477">
        <v>2000</v>
      </c>
      <c r="D477">
        <v>54000000</v>
      </c>
    </row>
    <row r="478" spans="1:4">
      <c r="A478" s="3" t="s">
        <v>75</v>
      </c>
      <c r="B478" s="3" t="s">
        <v>76</v>
      </c>
      <c r="C478">
        <v>2001</v>
      </c>
      <c r="D478">
        <v>15000000</v>
      </c>
    </row>
    <row r="479" spans="1:4">
      <c r="A479" s="3" t="s">
        <v>75</v>
      </c>
      <c r="B479" s="3" t="s">
        <v>76</v>
      </c>
      <c r="C479">
        <v>2002</v>
      </c>
      <c r="D479">
        <v>1000000</v>
      </c>
    </row>
    <row r="480" spans="1:4">
      <c r="A480" s="3" t="s">
        <v>75</v>
      </c>
      <c r="B480" s="3" t="s">
        <v>76</v>
      </c>
      <c r="C480">
        <v>2003</v>
      </c>
      <c r="D480">
        <v>11000000</v>
      </c>
    </row>
    <row r="481" spans="1:4">
      <c r="A481" s="3" t="s">
        <v>75</v>
      </c>
      <c r="B481" s="3" t="s">
        <v>76</v>
      </c>
      <c r="C481">
        <v>2004</v>
      </c>
      <c r="D481">
        <v>10000000</v>
      </c>
    </row>
    <row r="482" spans="1:4">
      <c r="A482" s="3" t="s">
        <v>75</v>
      </c>
      <c r="B482" s="3" t="s">
        <v>76</v>
      </c>
      <c r="C482">
        <v>2009</v>
      </c>
      <c r="D482">
        <v>10000000</v>
      </c>
    </row>
    <row r="483" spans="1:4">
      <c r="A483" s="3" t="s">
        <v>75</v>
      </c>
      <c r="B483" s="3" t="s">
        <v>76</v>
      </c>
      <c r="C483">
        <v>2010</v>
      </c>
      <c r="D483">
        <v>10000000</v>
      </c>
    </row>
    <row r="484" spans="1:4">
      <c r="A484" s="3" t="s">
        <v>75</v>
      </c>
      <c r="B484" s="3" t="s">
        <v>76</v>
      </c>
      <c r="C484">
        <v>2012</v>
      </c>
      <c r="D484">
        <v>6000000</v>
      </c>
    </row>
    <row r="485" spans="1:4">
      <c r="A485" s="3" t="s">
        <v>75</v>
      </c>
      <c r="B485" s="3" t="s">
        <v>76</v>
      </c>
      <c r="C485">
        <v>2013</v>
      </c>
      <c r="D485">
        <v>8000000</v>
      </c>
    </row>
    <row r="486" spans="1:4">
      <c r="A486" s="3" t="s">
        <v>75</v>
      </c>
      <c r="B486" s="3" t="s">
        <v>76</v>
      </c>
      <c r="C486">
        <v>2016</v>
      </c>
      <c r="D486">
        <v>5000000</v>
      </c>
    </row>
    <row r="487" spans="1:4">
      <c r="A487" s="3" t="s">
        <v>75</v>
      </c>
      <c r="B487" s="3" t="s">
        <v>76</v>
      </c>
      <c r="C487">
        <v>2018</v>
      </c>
      <c r="D487">
        <v>5000000</v>
      </c>
    </row>
    <row r="488" spans="1:4">
      <c r="A488" s="3" t="s">
        <v>75</v>
      </c>
      <c r="B488" s="3" t="s">
        <v>76</v>
      </c>
      <c r="C488">
        <v>2019</v>
      </c>
      <c r="D488">
        <v>7000000</v>
      </c>
    </row>
    <row r="489" spans="1:4">
      <c r="A489" s="3" t="s">
        <v>75</v>
      </c>
      <c r="B489" s="3" t="s">
        <v>76</v>
      </c>
      <c r="C489">
        <v>2020</v>
      </c>
      <c r="D489">
        <v>76000000</v>
      </c>
    </row>
    <row r="490" spans="1:4">
      <c r="A490" s="3" t="s">
        <v>75</v>
      </c>
      <c r="B490" s="3" t="s">
        <v>76</v>
      </c>
      <c r="C490">
        <v>2021</v>
      </c>
      <c r="D490">
        <v>16000000</v>
      </c>
    </row>
    <row r="491" spans="1:4">
      <c r="A491" s="3" t="s">
        <v>75</v>
      </c>
      <c r="B491" s="3" t="s">
        <v>76</v>
      </c>
      <c r="C491">
        <v>2022</v>
      </c>
      <c r="D491">
        <v>11000000</v>
      </c>
    </row>
    <row r="492" spans="1:4">
      <c r="A492" s="3" t="s">
        <v>75</v>
      </c>
      <c r="B492" s="3" t="s">
        <v>76</v>
      </c>
      <c r="C492">
        <v>2023</v>
      </c>
      <c r="D492">
        <v>1000000</v>
      </c>
    </row>
    <row r="493" spans="1:4">
      <c r="A493" s="3" t="s">
        <v>75</v>
      </c>
      <c r="B493" s="3" t="s">
        <v>76</v>
      </c>
      <c r="C493">
        <v>2024</v>
      </c>
      <c r="D493">
        <v>11000000</v>
      </c>
    </row>
    <row r="494" spans="1:4">
      <c r="A494" s="3" t="s">
        <v>77</v>
      </c>
      <c r="B494" s="3" t="s">
        <v>78</v>
      </c>
      <c r="C494">
        <v>2006</v>
      </c>
      <c r="D494">
        <v>9000000</v>
      </c>
    </row>
    <row r="495" spans="1:4">
      <c r="A495" s="3" t="s">
        <v>77</v>
      </c>
      <c r="B495" s="3" t="s">
        <v>78</v>
      </c>
      <c r="C495">
        <v>2008</v>
      </c>
      <c r="D495">
        <v>0</v>
      </c>
    </row>
    <row r="496" spans="1:4">
      <c r="A496" s="3" t="s">
        <v>77</v>
      </c>
      <c r="B496" s="3" t="s">
        <v>78</v>
      </c>
      <c r="C496">
        <v>2011</v>
      </c>
      <c r="D496">
        <v>7000000</v>
      </c>
    </row>
    <row r="497" spans="1:4">
      <c r="A497" s="3" t="s">
        <v>77</v>
      </c>
      <c r="B497" s="3" t="s">
        <v>78</v>
      </c>
      <c r="C497">
        <v>2018</v>
      </c>
      <c r="D497">
        <v>2000000</v>
      </c>
    </row>
    <row r="498" spans="1:4">
      <c r="A498" s="3" t="s">
        <v>77</v>
      </c>
      <c r="B498" s="3" t="s">
        <v>78</v>
      </c>
      <c r="C498">
        <v>2020</v>
      </c>
      <c r="D498">
        <v>1000000</v>
      </c>
    </row>
    <row r="499" spans="1:4">
      <c r="A499" s="3" t="s">
        <v>77</v>
      </c>
      <c r="B499" s="3" t="s">
        <v>78</v>
      </c>
      <c r="C499">
        <v>2021</v>
      </c>
      <c r="D499">
        <v>44000000</v>
      </c>
    </row>
    <row r="500" spans="1:4">
      <c r="A500" s="3" t="s">
        <v>77</v>
      </c>
      <c r="B500" s="3" t="s">
        <v>78</v>
      </c>
      <c r="C500">
        <v>2022</v>
      </c>
      <c r="D500">
        <v>2000000</v>
      </c>
    </row>
    <row r="501" spans="1:4">
      <c r="A501" s="3" t="s">
        <v>77</v>
      </c>
      <c r="B501" s="3" t="s">
        <v>78</v>
      </c>
      <c r="C501">
        <v>2023</v>
      </c>
      <c r="D501">
        <v>43000000</v>
      </c>
    </row>
    <row r="502" spans="1:4">
      <c r="A502" s="3" t="s">
        <v>79</v>
      </c>
      <c r="B502" s="3" t="s">
        <v>80</v>
      </c>
      <c r="C502">
        <v>2000</v>
      </c>
      <c r="D502">
        <v>529000000</v>
      </c>
    </row>
    <row r="503" spans="1:4">
      <c r="A503" s="3" t="s">
        <v>79</v>
      </c>
      <c r="B503" s="3" t="s">
        <v>80</v>
      </c>
      <c r="C503">
        <v>2001</v>
      </c>
      <c r="D503">
        <v>520000000</v>
      </c>
    </row>
    <row r="504" spans="1:4">
      <c r="A504" s="3" t="s">
        <v>79</v>
      </c>
      <c r="B504" s="3" t="s">
        <v>80</v>
      </c>
      <c r="C504">
        <v>2002</v>
      </c>
      <c r="D504">
        <v>418000000</v>
      </c>
    </row>
    <row r="505" spans="1:4">
      <c r="A505" s="3" t="s">
        <v>79</v>
      </c>
      <c r="B505" s="3" t="s">
        <v>80</v>
      </c>
      <c r="C505">
        <v>2003</v>
      </c>
      <c r="D505">
        <v>140000000</v>
      </c>
    </row>
    <row r="506" spans="1:4">
      <c r="A506" s="3" t="s">
        <v>79</v>
      </c>
      <c r="B506" s="3" t="s">
        <v>80</v>
      </c>
      <c r="C506">
        <v>2004</v>
      </c>
      <c r="D506">
        <v>341000000</v>
      </c>
    </row>
    <row r="507" spans="1:4">
      <c r="A507" s="3" t="s">
        <v>79</v>
      </c>
      <c r="B507" s="3" t="s">
        <v>80</v>
      </c>
      <c r="C507">
        <v>2005</v>
      </c>
      <c r="D507">
        <v>106000000</v>
      </c>
    </row>
    <row r="508" spans="1:4">
      <c r="A508" s="3" t="s">
        <v>79</v>
      </c>
      <c r="B508" s="3" t="s">
        <v>80</v>
      </c>
      <c r="C508">
        <v>2006</v>
      </c>
      <c r="D508">
        <v>97000000</v>
      </c>
    </row>
    <row r="509" spans="1:4">
      <c r="A509" s="3" t="s">
        <v>79</v>
      </c>
      <c r="B509" s="3" t="s">
        <v>80</v>
      </c>
      <c r="C509">
        <v>2007</v>
      </c>
      <c r="D509">
        <v>478000000</v>
      </c>
    </row>
    <row r="510" spans="1:4">
      <c r="A510" s="3" t="s">
        <v>79</v>
      </c>
      <c r="B510" s="3" t="s">
        <v>80</v>
      </c>
      <c r="C510">
        <v>2008</v>
      </c>
      <c r="D510">
        <v>423000000</v>
      </c>
    </row>
    <row r="511" spans="1:4">
      <c r="A511" s="3" t="s">
        <v>79</v>
      </c>
      <c r="B511" s="3" t="s">
        <v>80</v>
      </c>
      <c r="C511">
        <v>2009</v>
      </c>
      <c r="D511">
        <v>104000000</v>
      </c>
    </row>
    <row r="512" spans="1:4">
      <c r="A512" s="3" t="s">
        <v>79</v>
      </c>
      <c r="B512" s="3" t="s">
        <v>80</v>
      </c>
      <c r="C512">
        <v>2010</v>
      </c>
      <c r="D512">
        <v>242000000</v>
      </c>
    </row>
    <row r="513" spans="1:4">
      <c r="A513" s="3" t="s">
        <v>79</v>
      </c>
      <c r="B513" s="3" t="s">
        <v>80</v>
      </c>
      <c r="C513">
        <v>2011</v>
      </c>
      <c r="D513">
        <v>356000000</v>
      </c>
    </row>
    <row r="514" spans="1:4">
      <c r="A514" s="3" t="s">
        <v>79</v>
      </c>
      <c r="B514" s="3" t="s">
        <v>80</v>
      </c>
      <c r="C514">
        <v>2012</v>
      </c>
      <c r="D514">
        <v>207000000</v>
      </c>
    </row>
    <row r="515" spans="1:4">
      <c r="A515" s="3" t="s">
        <v>79</v>
      </c>
      <c r="B515" s="3" t="s">
        <v>80</v>
      </c>
      <c r="C515">
        <v>2013</v>
      </c>
      <c r="D515">
        <v>202000000</v>
      </c>
    </row>
    <row r="516" spans="1:4">
      <c r="A516" s="3" t="s">
        <v>79</v>
      </c>
      <c r="B516" s="3" t="s">
        <v>80</v>
      </c>
      <c r="C516">
        <v>2014</v>
      </c>
      <c r="D516">
        <v>316000000</v>
      </c>
    </row>
    <row r="517" spans="1:4">
      <c r="A517" s="3" t="s">
        <v>79</v>
      </c>
      <c r="B517" s="3" t="s">
        <v>80</v>
      </c>
      <c r="C517">
        <v>2015</v>
      </c>
      <c r="D517">
        <v>408000000</v>
      </c>
    </row>
    <row r="518" spans="1:4">
      <c r="A518" s="3" t="s">
        <v>79</v>
      </c>
      <c r="B518" s="3" t="s">
        <v>80</v>
      </c>
      <c r="C518">
        <v>2016</v>
      </c>
      <c r="D518">
        <v>246000000</v>
      </c>
    </row>
    <row r="519" spans="1:4">
      <c r="A519" s="3" t="s">
        <v>79</v>
      </c>
      <c r="B519" s="3" t="s">
        <v>80</v>
      </c>
      <c r="C519">
        <v>2017</v>
      </c>
      <c r="D519">
        <v>354000000</v>
      </c>
    </row>
    <row r="520" spans="1:4">
      <c r="A520" s="3" t="s">
        <v>79</v>
      </c>
      <c r="B520" s="3" t="s">
        <v>80</v>
      </c>
      <c r="C520">
        <v>2018</v>
      </c>
      <c r="D520">
        <v>185000000</v>
      </c>
    </row>
    <row r="521" spans="1:4">
      <c r="A521" s="3" t="s">
        <v>79</v>
      </c>
      <c r="B521" s="3" t="s">
        <v>80</v>
      </c>
      <c r="C521">
        <v>2019</v>
      </c>
      <c r="D521">
        <v>187000000</v>
      </c>
    </row>
    <row r="522" spans="1:4">
      <c r="A522" s="3" t="s">
        <v>79</v>
      </c>
      <c r="B522" s="3" t="s">
        <v>80</v>
      </c>
      <c r="C522">
        <v>2020</v>
      </c>
      <c r="D522">
        <v>248000000</v>
      </c>
    </row>
    <row r="523" spans="1:4">
      <c r="A523" s="3" t="s">
        <v>79</v>
      </c>
      <c r="B523" s="3" t="s">
        <v>80</v>
      </c>
      <c r="C523">
        <v>2021</v>
      </c>
      <c r="D523">
        <v>357000000</v>
      </c>
    </row>
    <row r="524" spans="1:4">
      <c r="A524" s="3" t="s">
        <v>79</v>
      </c>
      <c r="B524" s="3" t="s">
        <v>80</v>
      </c>
      <c r="C524">
        <v>2022</v>
      </c>
      <c r="D524">
        <v>214000000</v>
      </c>
    </row>
    <row r="525" spans="1:4">
      <c r="A525" s="3" t="s">
        <v>79</v>
      </c>
      <c r="B525" s="3" t="s">
        <v>80</v>
      </c>
      <c r="C525">
        <v>2023</v>
      </c>
      <c r="D525">
        <v>73000000</v>
      </c>
    </row>
    <row r="526" spans="1:4">
      <c r="A526" s="3" t="s">
        <v>79</v>
      </c>
      <c r="B526" s="3" t="s">
        <v>80</v>
      </c>
      <c r="C526">
        <v>2024</v>
      </c>
      <c r="D526">
        <v>198000000</v>
      </c>
    </row>
    <row r="527" spans="1:4">
      <c r="A527" s="3" t="s">
        <v>81</v>
      </c>
      <c r="B527" s="3" t="s">
        <v>82</v>
      </c>
      <c r="C527">
        <v>2000</v>
      </c>
      <c r="D527">
        <v>233000000</v>
      </c>
    </row>
    <row r="528" spans="1:4">
      <c r="A528" s="3" t="s">
        <v>81</v>
      </c>
      <c r="B528" s="3" t="s">
        <v>82</v>
      </c>
      <c r="C528">
        <v>2001</v>
      </c>
      <c r="D528">
        <v>254000000</v>
      </c>
    </row>
    <row r="529" spans="1:4">
      <c r="A529" s="3" t="s">
        <v>81</v>
      </c>
      <c r="B529" s="3" t="s">
        <v>82</v>
      </c>
      <c r="C529">
        <v>2002</v>
      </c>
      <c r="D529">
        <v>369000000</v>
      </c>
    </row>
    <row r="530" spans="1:4">
      <c r="A530" s="3" t="s">
        <v>81</v>
      </c>
      <c r="B530" s="3" t="s">
        <v>82</v>
      </c>
      <c r="C530">
        <v>2003</v>
      </c>
      <c r="D530">
        <v>541000000</v>
      </c>
    </row>
    <row r="531" spans="1:4">
      <c r="A531" s="3" t="s">
        <v>81</v>
      </c>
      <c r="B531" s="3" t="s">
        <v>82</v>
      </c>
      <c r="C531">
        <v>2004</v>
      </c>
      <c r="D531">
        <v>694000000</v>
      </c>
    </row>
    <row r="532" spans="1:4">
      <c r="A532" s="3" t="s">
        <v>81</v>
      </c>
      <c r="B532" s="3" t="s">
        <v>82</v>
      </c>
      <c r="C532">
        <v>2005</v>
      </c>
      <c r="D532">
        <v>1330000000</v>
      </c>
    </row>
    <row r="533" spans="1:4">
      <c r="A533" s="3" t="s">
        <v>81</v>
      </c>
      <c r="B533" s="3" t="s">
        <v>82</v>
      </c>
      <c r="C533">
        <v>2006</v>
      </c>
      <c r="D533">
        <v>896000000</v>
      </c>
    </row>
    <row r="534" spans="1:4">
      <c r="A534" s="3" t="s">
        <v>81</v>
      </c>
      <c r="B534" s="3" t="s">
        <v>82</v>
      </c>
      <c r="C534">
        <v>2007</v>
      </c>
      <c r="D534">
        <v>1419000000</v>
      </c>
    </row>
    <row r="535" spans="1:4">
      <c r="A535" s="3" t="s">
        <v>81</v>
      </c>
      <c r="B535" s="3" t="s">
        <v>82</v>
      </c>
      <c r="C535">
        <v>2008</v>
      </c>
      <c r="D535">
        <v>1064000000</v>
      </c>
    </row>
    <row r="536" spans="1:4">
      <c r="A536" s="3" t="s">
        <v>81</v>
      </c>
      <c r="B536" s="3" t="s">
        <v>82</v>
      </c>
      <c r="C536">
        <v>2009</v>
      </c>
      <c r="D536">
        <v>505000000</v>
      </c>
    </row>
    <row r="537" spans="1:4">
      <c r="A537" s="3" t="s">
        <v>81</v>
      </c>
      <c r="B537" s="3" t="s">
        <v>82</v>
      </c>
      <c r="C537">
        <v>2010</v>
      </c>
      <c r="D537">
        <v>453000000</v>
      </c>
    </row>
    <row r="538" spans="1:4">
      <c r="A538" s="3" t="s">
        <v>81</v>
      </c>
      <c r="B538" s="3" t="s">
        <v>82</v>
      </c>
      <c r="C538">
        <v>2011</v>
      </c>
      <c r="D538">
        <v>443000000</v>
      </c>
    </row>
    <row r="539" spans="1:4">
      <c r="A539" s="3" t="s">
        <v>81</v>
      </c>
      <c r="B539" s="3" t="s">
        <v>82</v>
      </c>
      <c r="C539">
        <v>2012</v>
      </c>
      <c r="D539">
        <v>328000000</v>
      </c>
    </row>
    <row r="540" spans="1:4">
      <c r="A540" s="3" t="s">
        <v>81</v>
      </c>
      <c r="B540" s="3" t="s">
        <v>82</v>
      </c>
      <c r="C540">
        <v>2013</v>
      </c>
      <c r="D540">
        <v>287000000</v>
      </c>
    </row>
    <row r="541" spans="1:4">
      <c r="A541" s="3" t="s">
        <v>81</v>
      </c>
      <c r="B541" s="3" t="s">
        <v>82</v>
      </c>
      <c r="C541">
        <v>2014</v>
      </c>
      <c r="D541">
        <v>327000000</v>
      </c>
    </row>
    <row r="542" spans="1:4">
      <c r="A542" s="3" t="s">
        <v>81</v>
      </c>
      <c r="B542" s="3" t="s">
        <v>82</v>
      </c>
      <c r="C542">
        <v>2016</v>
      </c>
      <c r="D542">
        <v>357000000</v>
      </c>
    </row>
    <row r="543" spans="1:4">
      <c r="A543" s="3" t="s">
        <v>81</v>
      </c>
      <c r="B543" s="3" t="s">
        <v>82</v>
      </c>
      <c r="C543">
        <v>2017</v>
      </c>
      <c r="D543">
        <v>352000000</v>
      </c>
    </row>
    <row r="544" spans="1:4">
      <c r="A544" s="3" t="s">
        <v>81</v>
      </c>
      <c r="B544" s="3" t="s">
        <v>82</v>
      </c>
      <c r="C544">
        <v>2018</v>
      </c>
      <c r="D544">
        <v>205000000</v>
      </c>
    </row>
    <row r="545" spans="1:4">
      <c r="A545" s="3" t="s">
        <v>81</v>
      </c>
      <c r="B545" s="3" t="s">
        <v>82</v>
      </c>
      <c r="C545">
        <v>2019</v>
      </c>
      <c r="D545">
        <v>354000000</v>
      </c>
    </row>
    <row r="546" spans="1:4">
      <c r="A546" s="3" t="s">
        <v>81</v>
      </c>
      <c r="B546" s="3" t="s">
        <v>82</v>
      </c>
      <c r="C546">
        <v>2020</v>
      </c>
      <c r="D546">
        <v>607000000</v>
      </c>
    </row>
    <row r="547" spans="1:4">
      <c r="A547" s="3" t="s">
        <v>81</v>
      </c>
      <c r="B547" s="3" t="s">
        <v>82</v>
      </c>
      <c r="C547">
        <v>2021</v>
      </c>
      <c r="D547">
        <v>378000000</v>
      </c>
    </row>
    <row r="548" spans="1:4">
      <c r="A548" s="3" t="s">
        <v>81</v>
      </c>
      <c r="B548" s="3" t="s">
        <v>82</v>
      </c>
      <c r="C548">
        <v>2022</v>
      </c>
      <c r="D548">
        <v>868000000</v>
      </c>
    </row>
    <row r="549" spans="1:4">
      <c r="A549" s="3" t="s">
        <v>81</v>
      </c>
      <c r="B549" s="3" t="s">
        <v>82</v>
      </c>
      <c r="C549">
        <v>2023</v>
      </c>
      <c r="D549">
        <v>2461000000</v>
      </c>
    </row>
    <row r="550" spans="1:4">
      <c r="A550" s="3" t="s">
        <v>81</v>
      </c>
      <c r="B550" s="3" t="s">
        <v>82</v>
      </c>
      <c r="C550">
        <v>2024</v>
      </c>
      <c r="D550">
        <v>3002000000</v>
      </c>
    </row>
    <row r="551" spans="1:4">
      <c r="A551" s="3" t="s">
        <v>83</v>
      </c>
      <c r="B551" s="3" t="s">
        <v>84</v>
      </c>
      <c r="C551">
        <v>2000</v>
      </c>
      <c r="D551">
        <v>15000000</v>
      </c>
    </row>
    <row r="552" spans="1:4">
      <c r="A552" s="3" t="s">
        <v>83</v>
      </c>
      <c r="B552" s="3" t="s">
        <v>84</v>
      </c>
      <c r="C552">
        <v>2001</v>
      </c>
      <c r="D552">
        <v>60000000</v>
      </c>
    </row>
    <row r="553" spans="1:4">
      <c r="A553" s="3" t="s">
        <v>83</v>
      </c>
      <c r="B553" s="3" t="s">
        <v>84</v>
      </c>
      <c r="C553">
        <v>2002</v>
      </c>
      <c r="D553">
        <v>58000000</v>
      </c>
    </row>
    <row r="554" spans="1:4">
      <c r="A554" s="3" t="s">
        <v>83</v>
      </c>
      <c r="B554" s="3" t="s">
        <v>84</v>
      </c>
      <c r="C554">
        <v>2003</v>
      </c>
      <c r="D554">
        <v>117000000</v>
      </c>
    </row>
    <row r="555" spans="1:4">
      <c r="A555" s="3" t="s">
        <v>83</v>
      </c>
      <c r="B555" s="3" t="s">
        <v>84</v>
      </c>
      <c r="C555">
        <v>2004</v>
      </c>
      <c r="D555">
        <v>203000000</v>
      </c>
    </row>
    <row r="556" spans="1:4">
      <c r="A556" s="3" t="s">
        <v>83</v>
      </c>
      <c r="B556" s="3" t="s">
        <v>84</v>
      </c>
      <c r="C556">
        <v>2005</v>
      </c>
      <c r="D556">
        <v>168000000</v>
      </c>
    </row>
    <row r="557" spans="1:4">
      <c r="A557" s="3" t="s">
        <v>83</v>
      </c>
      <c r="B557" s="3" t="s">
        <v>84</v>
      </c>
      <c r="C557">
        <v>2006</v>
      </c>
      <c r="D557">
        <v>83000000</v>
      </c>
    </row>
    <row r="558" spans="1:4">
      <c r="A558" s="3" t="s">
        <v>83</v>
      </c>
      <c r="B558" s="3" t="s">
        <v>84</v>
      </c>
      <c r="C558">
        <v>2007</v>
      </c>
      <c r="D558">
        <v>108000000</v>
      </c>
    </row>
    <row r="559" spans="1:4">
      <c r="A559" s="3" t="s">
        <v>83</v>
      </c>
      <c r="B559" s="3" t="s">
        <v>84</v>
      </c>
      <c r="C559">
        <v>2008</v>
      </c>
      <c r="D559">
        <v>15000000</v>
      </c>
    </row>
    <row r="560" spans="1:4">
      <c r="A560" s="3" t="s">
        <v>83</v>
      </c>
      <c r="B560" s="3" t="s">
        <v>84</v>
      </c>
      <c r="C560">
        <v>2009</v>
      </c>
      <c r="D560">
        <v>36000000</v>
      </c>
    </row>
    <row r="561" spans="1:4">
      <c r="A561" s="3" t="s">
        <v>83</v>
      </c>
      <c r="B561" s="3" t="s">
        <v>84</v>
      </c>
      <c r="C561">
        <v>2010</v>
      </c>
      <c r="D561">
        <v>38000000</v>
      </c>
    </row>
    <row r="562" spans="1:4">
      <c r="A562" s="3" t="s">
        <v>83</v>
      </c>
      <c r="B562" s="3" t="s">
        <v>84</v>
      </c>
      <c r="C562">
        <v>2011</v>
      </c>
      <c r="D562">
        <v>24000000</v>
      </c>
    </row>
    <row r="563" spans="1:4">
      <c r="A563" s="3" t="s">
        <v>83</v>
      </c>
      <c r="B563" s="3" t="s">
        <v>84</v>
      </c>
      <c r="C563">
        <v>2012</v>
      </c>
      <c r="D563">
        <v>2000000</v>
      </c>
    </row>
    <row r="564" spans="1:4">
      <c r="A564" s="3" t="s">
        <v>83</v>
      </c>
      <c r="B564" s="3" t="s">
        <v>84</v>
      </c>
      <c r="C564">
        <v>2014</v>
      </c>
      <c r="D564">
        <v>5000000</v>
      </c>
    </row>
    <row r="565" spans="1:4">
      <c r="A565" s="3" t="s">
        <v>83</v>
      </c>
      <c r="B565" s="3" t="s">
        <v>84</v>
      </c>
      <c r="C565">
        <v>2015</v>
      </c>
      <c r="D565">
        <v>10000000</v>
      </c>
    </row>
    <row r="566" spans="1:4">
      <c r="A566" s="3" t="s">
        <v>83</v>
      </c>
      <c r="B566" s="3" t="s">
        <v>84</v>
      </c>
      <c r="C566">
        <v>2016</v>
      </c>
      <c r="D566">
        <v>70000000</v>
      </c>
    </row>
    <row r="567" spans="1:4">
      <c r="A567" s="3" t="s">
        <v>83</v>
      </c>
      <c r="B567" s="3" t="s">
        <v>84</v>
      </c>
      <c r="C567">
        <v>2022</v>
      </c>
      <c r="D567">
        <v>15000000</v>
      </c>
    </row>
    <row r="568" spans="1:4">
      <c r="A568" s="3" t="s">
        <v>83</v>
      </c>
      <c r="B568" s="3" t="s">
        <v>84</v>
      </c>
      <c r="C568">
        <v>2023</v>
      </c>
      <c r="D568">
        <v>33000000</v>
      </c>
    </row>
    <row r="569" spans="1:4">
      <c r="A569" s="3" t="s">
        <v>87</v>
      </c>
      <c r="B569" s="3" t="s">
        <v>88</v>
      </c>
      <c r="C569">
        <v>2000</v>
      </c>
      <c r="D569">
        <v>230000000</v>
      </c>
    </row>
    <row r="570" spans="1:4">
      <c r="A570" s="3" t="s">
        <v>87</v>
      </c>
      <c r="B570" s="3" t="s">
        <v>88</v>
      </c>
      <c r="C570">
        <v>2001</v>
      </c>
      <c r="D570">
        <v>60000000</v>
      </c>
    </row>
    <row r="571" spans="1:4">
      <c r="A571" s="3" t="s">
        <v>87</v>
      </c>
      <c r="B571" s="3" t="s">
        <v>88</v>
      </c>
      <c r="C571">
        <v>2002</v>
      </c>
      <c r="D571">
        <v>75000000</v>
      </c>
    </row>
    <row r="572" spans="1:4">
      <c r="A572" s="3" t="s">
        <v>87</v>
      </c>
      <c r="B572" s="3" t="s">
        <v>88</v>
      </c>
      <c r="C572">
        <v>2003</v>
      </c>
      <c r="D572">
        <v>188000000</v>
      </c>
    </row>
    <row r="573" spans="1:4">
      <c r="A573" s="3" t="s">
        <v>87</v>
      </c>
      <c r="B573" s="3" t="s">
        <v>88</v>
      </c>
      <c r="C573">
        <v>2004</v>
      </c>
      <c r="D573">
        <v>64000000</v>
      </c>
    </row>
    <row r="574" spans="1:4">
      <c r="A574" s="3" t="s">
        <v>87</v>
      </c>
      <c r="B574" s="3" t="s">
        <v>88</v>
      </c>
      <c r="C574">
        <v>2005</v>
      </c>
      <c r="D574">
        <v>446000000</v>
      </c>
    </row>
    <row r="575" spans="1:4">
      <c r="A575" s="3" t="s">
        <v>87</v>
      </c>
      <c r="B575" s="3" t="s">
        <v>88</v>
      </c>
      <c r="C575">
        <v>2006</v>
      </c>
      <c r="D575">
        <v>1097000000</v>
      </c>
    </row>
    <row r="576" spans="1:4">
      <c r="A576" s="3" t="s">
        <v>87</v>
      </c>
      <c r="B576" s="3" t="s">
        <v>88</v>
      </c>
      <c r="C576">
        <v>2007</v>
      </c>
      <c r="D576">
        <v>659000000</v>
      </c>
    </row>
    <row r="577" spans="1:4">
      <c r="A577" s="3" t="s">
        <v>87</v>
      </c>
      <c r="B577" s="3" t="s">
        <v>88</v>
      </c>
      <c r="C577">
        <v>2008</v>
      </c>
      <c r="D577">
        <v>395000000</v>
      </c>
    </row>
    <row r="578" spans="1:4">
      <c r="A578" s="3" t="s">
        <v>87</v>
      </c>
      <c r="B578" s="3" t="s">
        <v>88</v>
      </c>
      <c r="C578">
        <v>2009</v>
      </c>
      <c r="D578">
        <v>329000000</v>
      </c>
    </row>
    <row r="579" spans="1:4">
      <c r="A579" s="3" t="s">
        <v>87</v>
      </c>
      <c r="B579" s="3" t="s">
        <v>88</v>
      </c>
      <c r="C579">
        <v>2010</v>
      </c>
      <c r="D579">
        <v>474000000</v>
      </c>
    </row>
    <row r="580" spans="1:4">
      <c r="A580" s="3" t="s">
        <v>87</v>
      </c>
      <c r="B580" s="3" t="s">
        <v>88</v>
      </c>
      <c r="C580">
        <v>2011</v>
      </c>
      <c r="D580">
        <v>326000000</v>
      </c>
    </row>
    <row r="581" spans="1:4">
      <c r="A581" s="3" t="s">
        <v>87</v>
      </c>
      <c r="B581" s="3" t="s">
        <v>88</v>
      </c>
      <c r="C581">
        <v>2012</v>
      </c>
      <c r="D581">
        <v>61000000</v>
      </c>
    </row>
    <row r="582" spans="1:4">
      <c r="A582" s="3" t="s">
        <v>87</v>
      </c>
      <c r="B582" s="3" t="s">
        <v>88</v>
      </c>
      <c r="C582">
        <v>2013</v>
      </c>
      <c r="D582">
        <v>55000000</v>
      </c>
    </row>
    <row r="583" spans="1:4">
      <c r="A583" s="3" t="s">
        <v>87</v>
      </c>
      <c r="B583" s="3" t="s">
        <v>88</v>
      </c>
      <c r="C583">
        <v>2014</v>
      </c>
      <c r="D583">
        <v>135000000</v>
      </c>
    </row>
    <row r="584" spans="1:4">
      <c r="A584" s="3" t="s">
        <v>87</v>
      </c>
      <c r="B584" s="3" t="s">
        <v>88</v>
      </c>
      <c r="C584">
        <v>2015</v>
      </c>
      <c r="D584">
        <v>135000000</v>
      </c>
    </row>
    <row r="585" spans="1:4">
      <c r="A585" s="3" t="s">
        <v>87</v>
      </c>
      <c r="B585" s="3" t="s">
        <v>88</v>
      </c>
      <c r="C585">
        <v>2016</v>
      </c>
      <c r="D585">
        <v>70000000</v>
      </c>
    </row>
    <row r="586" spans="1:4">
      <c r="A586" s="3" t="s">
        <v>87</v>
      </c>
      <c r="B586" s="3" t="s">
        <v>88</v>
      </c>
      <c r="C586">
        <v>2017</v>
      </c>
      <c r="D586">
        <v>49000000</v>
      </c>
    </row>
    <row r="587" spans="1:4">
      <c r="A587" s="3" t="s">
        <v>87</v>
      </c>
      <c r="B587" s="3" t="s">
        <v>88</v>
      </c>
      <c r="C587">
        <v>2018</v>
      </c>
      <c r="D587">
        <v>74000000</v>
      </c>
    </row>
    <row r="588" spans="1:4">
      <c r="A588" s="3" t="s">
        <v>87</v>
      </c>
      <c r="B588" s="3" t="s">
        <v>88</v>
      </c>
      <c r="C588">
        <v>2019</v>
      </c>
      <c r="D588">
        <v>16000000</v>
      </c>
    </row>
    <row r="589" spans="1:4">
      <c r="A589" s="3" t="s">
        <v>87</v>
      </c>
      <c r="B589" s="3" t="s">
        <v>88</v>
      </c>
      <c r="C589">
        <v>2020</v>
      </c>
      <c r="D589">
        <v>304000000</v>
      </c>
    </row>
    <row r="590" spans="1:4">
      <c r="A590" s="3" t="s">
        <v>87</v>
      </c>
      <c r="B590" s="3" t="s">
        <v>88</v>
      </c>
      <c r="C590">
        <v>2021</v>
      </c>
      <c r="D590">
        <v>66000000</v>
      </c>
    </row>
    <row r="591" spans="1:4">
      <c r="A591" s="3" t="s">
        <v>87</v>
      </c>
      <c r="B591" s="3" t="s">
        <v>88</v>
      </c>
      <c r="C591">
        <v>2022</v>
      </c>
      <c r="D591">
        <v>207000000</v>
      </c>
    </row>
    <row r="592" spans="1:4">
      <c r="A592" s="3" t="s">
        <v>87</v>
      </c>
      <c r="B592" s="3" t="s">
        <v>88</v>
      </c>
      <c r="C592">
        <v>2023</v>
      </c>
      <c r="D592">
        <v>9000000</v>
      </c>
    </row>
    <row r="593" spans="1:4">
      <c r="A593" s="3" t="s">
        <v>87</v>
      </c>
      <c r="B593" s="3" t="s">
        <v>88</v>
      </c>
      <c r="C593">
        <v>2024</v>
      </c>
      <c r="D593">
        <v>14000000</v>
      </c>
    </row>
    <row r="594" spans="1:4">
      <c r="A594" s="3" t="s">
        <v>89</v>
      </c>
      <c r="B594" s="3" t="s">
        <v>90</v>
      </c>
      <c r="C594">
        <v>2000</v>
      </c>
      <c r="D594">
        <v>2473000000</v>
      </c>
    </row>
    <row r="595" spans="1:4">
      <c r="A595" s="3" t="s">
        <v>89</v>
      </c>
      <c r="B595" s="3" t="s">
        <v>90</v>
      </c>
      <c r="C595">
        <v>2001</v>
      </c>
      <c r="D595">
        <v>2755000000</v>
      </c>
    </row>
    <row r="596" spans="1:4">
      <c r="A596" s="3" t="s">
        <v>89</v>
      </c>
      <c r="B596" s="3" t="s">
        <v>90</v>
      </c>
      <c r="C596">
        <v>2002</v>
      </c>
      <c r="D596">
        <v>2830000000</v>
      </c>
    </row>
    <row r="597" spans="1:4">
      <c r="A597" s="3" t="s">
        <v>89</v>
      </c>
      <c r="B597" s="3" t="s">
        <v>90</v>
      </c>
      <c r="C597">
        <v>2003</v>
      </c>
      <c r="D597">
        <v>2326000000</v>
      </c>
    </row>
    <row r="598" spans="1:4">
      <c r="A598" s="3" t="s">
        <v>89</v>
      </c>
      <c r="B598" s="3" t="s">
        <v>90</v>
      </c>
      <c r="C598">
        <v>2004</v>
      </c>
      <c r="D598">
        <v>3236000000</v>
      </c>
    </row>
    <row r="599" spans="1:4">
      <c r="A599" s="3" t="s">
        <v>89</v>
      </c>
      <c r="B599" s="3" t="s">
        <v>90</v>
      </c>
      <c r="C599">
        <v>2005</v>
      </c>
      <c r="D599">
        <v>3467000000</v>
      </c>
    </row>
    <row r="600" spans="1:4">
      <c r="A600" s="3" t="s">
        <v>89</v>
      </c>
      <c r="B600" s="3" t="s">
        <v>90</v>
      </c>
      <c r="C600">
        <v>2006</v>
      </c>
      <c r="D600">
        <v>2831000000</v>
      </c>
    </row>
    <row r="601" spans="1:4">
      <c r="A601" s="3" t="s">
        <v>89</v>
      </c>
      <c r="B601" s="3" t="s">
        <v>90</v>
      </c>
      <c r="C601">
        <v>2007</v>
      </c>
      <c r="D601">
        <v>1699000000</v>
      </c>
    </row>
    <row r="602" spans="1:4">
      <c r="A602" s="3" t="s">
        <v>89</v>
      </c>
      <c r="B602" s="3" t="s">
        <v>90</v>
      </c>
      <c r="C602">
        <v>2008</v>
      </c>
      <c r="D602">
        <v>1784000000</v>
      </c>
    </row>
    <row r="603" spans="1:4">
      <c r="A603" s="3" t="s">
        <v>89</v>
      </c>
      <c r="B603" s="3" t="s">
        <v>90</v>
      </c>
      <c r="C603">
        <v>2009</v>
      </c>
      <c r="D603">
        <v>1382000000</v>
      </c>
    </row>
    <row r="604" spans="1:4">
      <c r="A604" s="3" t="s">
        <v>89</v>
      </c>
      <c r="B604" s="3" t="s">
        <v>90</v>
      </c>
      <c r="C604">
        <v>2010</v>
      </c>
      <c r="D604">
        <v>940000000</v>
      </c>
    </row>
    <row r="605" spans="1:4">
      <c r="A605" s="3" t="s">
        <v>89</v>
      </c>
      <c r="B605" s="3" t="s">
        <v>90</v>
      </c>
      <c r="C605">
        <v>2011</v>
      </c>
      <c r="D605">
        <v>1033000000</v>
      </c>
    </row>
    <row r="606" spans="1:4">
      <c r="A606" s="3" t="s">
        <v>89</v>
      </c>
      <c r="B606" s="3" t="s">
        <v>90</v>
      </c>
      <c r="C606">
        <v>2012</v>
      </c>
      <c r="D606">
        <v>1542000000</v>
      </c>
    </row>
    <row r="607" spans="1:4">
      <c r="A607" s="3" t="s">
        <v>89</v>
      </c>
      <c r="B607" s="3" t="s">
        <v>90</v>
      </c>
      <c r="C607">
        <v>2013</v>
      </c>
      <c r="D607">
        <v>1221000000</v>
      </c>
    </row>
    <row r="608" spans="1:4">
      <c r="A608" s="3" t="s">
        <v>89</v>
      </c>
      <c r="B608" s="3" t="s">
        <v>90</v>
      </c>
      <c r="C608">
        <v>2014</v>
      </c>
      <c r="D608">
        <v>1033000000</v>
      </c>
    </row>
    <row r="609" spans="1:4">
      <c r="A609" s="3" t="s">
        <v>89</v>
      </c>
      <c r="B609" s="3" t="s">
        <v>90</v>
      </c>
      <c r="C609">
        <v>2015</v>
      </c>
      <c r="D609">
        <v>1190000000</v>
      </c>
    </row>
    <row r="610" spans="1:4">
      <c r="A610" s="3" t="s">
        <v>89</v>
      </c>
      <c r="B610" s="3" t="s">
        <v>90</v>
      </c>
      <c r="C610">
        <v>2016</v>
      </c>
      <c r="D610">
        <v>1209000000</v>
      </c>
    </row>
    <row r="611" spans="1:4">
      <c r="A611" s="3" t="s">
        <v>89</v>
      </c>
      <c r="B611" s="3" t="s">
        <v>90</v>
      </c>
      <c r="C611">
        <v>2017</v>
      </c>
      <c r="D611">
        <v>1546000000</v>
      </c>
    </row>
    <row r="612" spans="1:4">
      <c r="A612" s="3" t="s">
        <v>89</v>
      </c>
      <c r="B612" s="3" t="s">
        <v>90</v>
      </c>
      <c r="C612">
        <v>2018</v>
      </c>
      <c r="D612">
        <v>2254000000</v>
      </c>
    </row>
    <row r="613" spans="1:4">
      <c r="A613" s="3" t="s">
        <v>89</v>
      </c>
      <c r="B613" s="3" t="s">
        <v>90</v>
      </c>
      <c r="C613">
        <v>2019</v>
      </c>
      <c r="D613">
        <v>1571000000</v>
      </c>
    </row>
    <row r="614" spans="1:4">
      <c r="A614" s="3" t="s">
        <v>89</v>
      </c>
      <c r="B614" s="3" t="s">
        <v>90</v>
      </c>
      <c r="C614">
        <v>2020</v>
      </c>
      <c r="D614">
        <v>775000000</v>
      </c>
    </row>
    <row r="615" spans="1:4">
      <c r="A615" s="3" t="s">
        <v>89</v>
      </c>
      <c r="B615" s="3" t="s">
        <v>90</v>
      </c>
      <c r="C615">
        <v>2021</v>
      </c>
      <c r="D615">
        <v>685000000</v>
      </c>
    </row>
    <row r="616" spans="1:4">
      <c r="A616" s="3" t="s">
        <v>89</v>
      </c>
      <c r="B616" s="3" t="s">
        <v>90</v>
      </c>
      <c r="C616">
        <v>2022</v>
      </c>
      <c r="D616">
        <v>646000000</v>
      </c>
    </row>
    <row r="617" spans="1:4">
      <c r="A617" s="3" t="s">
        <v>89</v>
      </c>
      <c r="B617" s="3" t="s">
        <v>90</v>
      </c>
      <c r="C617">
        <v>2023</v>
      </c>
      <c r="D617">
        <v>428000000</v>
      </c>
    </row>
    <row r="618" spans="1:4">
      <c r="A618" s="3" t="s">
        <v>89</v>
      </c>
      <c r="B618" s="3" t="s">
        <v>90</v>
      </c>
      <c r="C618">
        <v>2024</v>
      </c>
      <c r="D618">
        <v>71000000</v>
      </c>
    </row>
    <row r="619" spans="1:4">
      <c r="A619" s="3" t="s">
        <v>91</v>
      </c>
      <c r="B619" s="3" t="s">
        <v>92</v>
      </c>
      <c r="C619">
        <v>2000</v>
      </c>
      <c r="D619">
        <v>0</v>
      </c>
    </row>
    <row r="620" spans="1:4">
      <c r="A620" s="3" t="s">
        <v>91</v>
      </c>
      <c r="B620" s="3" t="s">
        <v>92</v>
      </c>
      <c r="C620">
        <v>2002</v>
      </c>
      <c r="D620">
        <v>32000000</v>
      </c>
    </row>
    <row r="621" spans="1:4">
      <c r="A621" s="3" t="s">
        <v>91</v>
      </c>
      <c r="B621" s="3" t="s">
        <v>92</v>
      </c>
      <c r="C621">
        <v>2003</v>
      </c>
      <c r="D621">
        <v>61000000</v>
      </c>
    </row>
    <row r="622" spans="1:4">
      <c r="A622" s="3" t="s">
        <v>91</v>
      </c>
      <c r="B622" s="3" t="s">
        <v>92</v>
      </c>
      <c r="C622">
        <v>2004</v>
      </c>
      <c r="D622">
        <v>9000000</v>
      </c>
    </row>
    <row r="623" spans="1:4">
      <c r="A623" s="3" t="s">
        <v>91</v>
      </c>
      <c r="B623" s="3" t="s">
        <v>92</v>
      </c>
      <c r="C623">
        <v>2014</v>
      </c>
      <c r="D623">
        <v>6000000</v>
      </c>
    </row>
    <row r="624" spans="1:4">
      <c r="A624" s="3" t="s">
        <v>91</v>
      </c>
      <c r="B624" s="3" t="s">
        <v>92</v>
      </c>
      <c r="C624">
        <v>2015</v>
      </c>
      <c r="D624">
        <v>5000000</v>
      </c>
    </row>
    <row r="625" spans="1:4">
      <c r="A625" s="3" t="s">
        <v>91</v>
      </c>
      <c r="B625" s="3" t="s">
        <v>92</v>
      </c>
      <c r="C625">
        <v>2016</v>
      </c>
      <c r="D625">
        <v>5000000</v>
      </c>
    </row>
    <row r="626" spans="1:4">
      <c r="A626" s="3" t="s">
        <v>91</v>
      </c>
      <c r="B626" s="3" t="s">
        <v>92</v>
      </c>
      <c r="C626">
        <v>2017</v>
      </c>
      <c r="D626">
        <v>14000000</v>
      </c>
    </row>
    <row r="627" spans="1:4">
      <c r="A627" s="3" t="s">
        <v>91</v>
      </c>
      <c r="B627" s="3" t="s">
        <v>92</v>
      </c>
      <c r="C627">
        <v>2018</v>
      </c>
      <c r="D627">
        <v>10000000</v>
      </c>
    </row>
    <row r="628" spans="1:4">
      <c r="A628" s="3" t="s">
        <v>91</v>
      </c>
      <c r="B628" s="3" t="s">
        <v>92</v>
      </c>
      <c r="C628">
        <v>2019</v>
      </c>
      <c r="D628">
        <v>15000000</v>
      </c>
    </row>
    <row r="629" spans="1:4">
      <c r="A629" s="3" t="s">
        <v>91</v>
      </c>
      <c r="B629" s="3" t="s">
        <v>92</v>
      </c>
      <c r="C629">
        <v>2020</v>
      </c>
      <c r="D629">
        <v>3000000</v>
      </c>
    </row>
    <row r="630" spans="1:4">
      <c r="A630" s="3" t="s">
        <v>91</v>
      </c>
      <c r="B630" s="3" t="s">
        <v>92</v>
      </c>
      <c r="C630">
        <v>2021</v>
      </c>
      <c r="D630">
        <v>7000000</v>
      </c>
    </row>
    <row r="631" spans="1:4">
      <c r="A631" s="3" t="s">
        <v>91</v>
      </c>
      <c r="B631" s="3" t="s">
        <v>92</v>
      </c>
      <c r="C631">
        <v>2022</v>
      </c>
      <c r="D631">
        <v>22000000</v>
      </c>
    </row>
    <row r="632" spans="1:4">
      <c r="A632" s="3" t="s">
        <v>91</v>
      </c>
      <c r="B632" s="3" t="s">
        <v>92</v>
      </c>
      <c r="C632">
        <v>2023</v>
      </c>
      <c r="D632">
        <v>70000000</v>
      </c>
    </row>
    <row r="633" spans="1:4">
      <c r="A633" s="3" t="s">
        <v>91</v>
      </c>
      <c r="B633" s="3" t="s">
        <v>92</v>
      </c>
      <c r="C633">
        <v>2024</v>
      </c>
      <c r="D633">
        <v>7000000</v>
      </c>
    </row>
    <row r="634" spans="1:4">
      <c r="A634" s="3" t="s">
        <v>93</v>
      </c>
      <c r="B634" s="3" t="s">
        <v>94</v>
      </c>
      <c r="C634">
        <v>2001</v>
      </c>
      <c r="D634">
        <v>6000000</v>
      </c>
    </row>
    <row r="635" spans="1:4">
      <c r="A635" s="3" t="s">
        <v>93</v>
      </c>
      <c r="B635" s="3" t="s">
        <v>94</v>
      </c>
      <c r="C635">
        <v>2002</v>
      </c>
      <c r="D635">
        <v>10000000</v>
      </c>
    </row>
    <row r="636" spans="1:4">
      <c r="A636" s="3" t="s">
        <v>93</v>
      </c>
      <c r="B636" s="3" t="s">
        <v>94</v>
      </c>
      <c r="C636">
        <v>2005</v>
      </c>
      <c r="D636">
        <v>5000000</v>
      </c>
    </row>
    <row r="637" spans="1:4">
      <c r="A637" s="3" t="s">
        <v>93</v>
      </c>
      <c r="B637" s="3" t="s">
        <v>94</v>
      </c>
      <c r="C637">
        <v>2006</v>
      </c>
      <c r="D637">
        <v>3000000</v>
      </c>
    </row>
    <row r="638" spans="1:4">
      <c r="A638" s="3" t="s">
        <v>93</v>
      </c>
      <c r="B638" s="3" t="s">
        <v>94</v>
      </c>
      <c r="C638">
        <v>2008</v>
      </c>
      <c r="D638">
        <v>1000000</v>
      </c>
    </row>
    <row r="639" spans="1:4">
      <c r="A639" s="3" t="s">
        <v>93</v>
      </c>
      <c r="B639" s="3" t="s">
        <v>94</v>
      </c>
      <c r="C639">
        <v>2010</v>
      </c>
      <c r="D639">
        <v>10000000</v>
      </c>
    </row>
    <row r="640" spans="1:4">
      <c r="A640" s="3" t="s">
        <v>93</v>
      </c>
      <c r="B640" s="3" t="s">
        <v>94</v>
      </c>
      <c r="C640">
        <v>2012</v>
      </c>
      <c r="D640">
        <v>9000000</v>
      </c>
    </row>
    <row r="641" spans="1:4">
      <c r="A641" s="3" t="s">
        <v>93</v>
      </c>
      <c r="B641" s="3" t="s">
        <v>94</v>
      </c>
      <c r="C641">
        <v>2013</v>
      </c>
      <c r="D641">
        <v>139000000</v>
      </c>
    </row>
    <row r="642" spans="1:4">
      <c r="A642" s="3" t="s">
        <v>93</v>
      </c>
      <c r="B642" s="3" t="s">
        <v>94</v>
      </c>
      <c r="C642">
        <v>2014</v>
      </c>
      <c r="D642">
        <v>124000000</v>
      </c>
    </row>
    <row r="643" spans="1:4">
      <c r="A643" s="3" t="s">
        <v>93</v>
      </c>
      <c r="B643" s="3" t="s">
        <v>94</v>
      </c>
      <c r="C643">
        <v>2015</v>
      </c>
      <c r="D643">
        <v>10000000</v>
      </c>
    </row>
    <row r="644" spans="1:4">
      <c r="A644" s="3" t="s">
        <v>93</v>
      </c>
      <c r="B644" s="3" t="s">
        <v>94</v>
      </c>
      <c r="C644">
        <v>2016</v>
      </c>
      <c r="D644">
        <v>23000000</v>
      </c>
    </row>
    <row r="645" spans="1:4">
      <c r="A645" s="3" t="s">
        <v>93</v>
      </c>
      <c r="B645" s="3" t="s">
        <v>94</v>
      </c>
      <c r="C645">
        <v>2017</v>
      </c>
      <c r="D645">
        <v>8000000</v>
      </c>
    </row>
    <row r="646" spans="1:4">
      <c r="A646" s="3" t="s">
        <v>93</v>
      </c>
      <c r="B646" s="3" t="s">
        <v>94</v>
      </c>
      <c r="C646">
        <v>2018</v>
      </c>
      <c r="D646">
        <v>2000000</v>
      </c>
    </row>
    <row r="647" spans="1:4">
      <c r="A647" s="3" t="s">
        <v>93</v>
      </c>
      <c r="B647" s="3" t="s">
        <v>94</v>
      </c>
      <c r="C647">
        <v>2019</v>
      </c>
      <c r="D647">
        <v>4000000</v>
      </c>
    </row>
    <row r="648" spans="1:4">
      <c r="A648" s="3" t="s">
        <v>93</v>
      </c>
      <c r="B648" s="3" t="s">
        <v>94</v>
      </c>
      <c r="C648">
        <v>2020</v>
      </c>
      <c r="D648">
        <v>2000000</v>
      </c>
    </row>
    <row r="649" spans="1:4">
      <c r="A649" s="3" t="s">
        <v>93</v>
      </c>
      <c r="B649" s="3" t="s">
        <v>94</v>
      </c>
      <c r="C649">
        <v>2021</v>
      </c>
      <c r="D649">
        <v>4000000</v>
      </c>
    </row>
    <row r="650" spans="1:4">
      <c r="A650" s="3" t="s">
        <v>93</v>
      </c>
      <c r="B650" s="3" t="s">
        <v>94</v>
      </c>
      <c r="C650">
        <v>2022</v>
      </c>
      <c r="D650">
        <v>2000000</v>
      </c>
    </row>
    <row r="651" spans="1:4">
      <c r="A651" s="3" t="s">
        <v>93</v>
      </c>
      <c r="B651" s="3" t="s">
        <v>94</v>
      </c>
      <c r="C651">
        <v>2023</v>
      </c>
      <c r="D651">
        <v>2000000</v>
      </c>
    </row>
    <row r="652" spans="1:4">
      <c r="A652" s="3" t="s">
        <v>95</v>
      </c>
      <c r="B652" s="3" t="s">
        <v>96</v>
      </c>
      <c r="C652">
        <v>2000</v>
      </c>
      <c r="D652">
        <v>89000000</v>
      </c>
    </row>
    <row r="653" spans="1:4">
      <c r="A653" s="3" t="s">
        <v>95</v>
      </c>
      <c r="B653" s="3" t="s">
        <v>96</v>
      </c>
      <c r="C653">
        <v>2001</v>
      </c>
      <c r="D653">
        <v>11000000</v>
      </c>
    </row>
    <row r="654" spans="1:4">
      <c r="A654" s="3" t="s">
        <v>95</v>
      </c>
      <c r="B654" s="3" t="s">
        <v>96</v>
      </c>
      <c r="C654">
        <v>2002</v>
      </c>
      <c r="D654">
        <v>18000000</v>
      </c>
    </row>
    <row r="655" spans="1:4">
      <c r="A655" s="3" t="s">
        <v>95</v>
      </c>
      <c r="B655" s="3" t="s">
        <v>96</v>
      </c>
      <c r="C655">
        <v>2005</v>
      </c>
      <c r="D655">
        <v>26000000</v>
      </c>
    </row>
    <row r="656" spans="1:4">
      <c r="A656" s="3" t="s">
        <v>95</v>
      </c>
      <c r="B656" s="3" t="s">
        <v>96</v>
      </c>
      <c r="C656">
        <v>2006</v>
      </c>
      <c r="D656">
        <v>24000000</v>
      </c>
    </row>
    <row r="657" spans="1:4">
      <c r="A657" s="3" t="s">
        <v>95</v>
      </c>
      <c r="B657" s="3" t="s">
        <v>96</v>
      </c>
      <c r="C657">
        <v>2008</v>
      </c>
      <c r="D657">
        <v>18000000</v>
      </c>
    </row>
    <row r="658" spans="1:4">
      <c r="A658" s="3" t="s">
        <v>95</v>
      </c>
      <c r="B658" s="3" t="s">
        <v>96</v>
      </c>
      <c r="C658">
        <v>2009</v>
      </c>
      <c r="D658">
        <v>37000000</v>
      </c>
    </row>
    <row r="659" spans="1:4">
      <c r="A659" s="3" t="s">
        <v>95</v>
      </c>
      <c r="B659" s="3" t="s">
        <v>96</v>
      </c>
      <c r="C659">
        <v>2010</v>
      </c>
      <c r="D659">
        <v>156000000</v>
      </c>
    </row>
    <row r="660" spans="1:4">
      <c r="A660" s="3" t="s">
        <v>95</v>
      </c>
      <c r="B660" s="3" t="s">
        <v>96</v>
      </c>
      <c r="C660">
        <v>2012</v>
      </c>
      <c r="D660">
        <v>15000000</v>
      </c>
    </row>
    <row r="661" spans="1:4">
      <c r="A661" s="3" t="s">
        <v>95</v>
      </c>
      <c r="B661" s="3" t="s">
        <v>96</v>
      </c>
      <c r="C661">
        <v>2013</v>
      </c>
      <c r="D661">
        <v>1000000</v>
      </c>
    </row>
    <row r="662" spans="1:4">
      <c r="A662" s="3" t="s">
        <v>95</v>
      </c>
      <c r="B662" s="3" t="s">
        <v>96</v>
      </c>
      <c r="C662">
        <v>2015</v>
      </c>
      <c r="D662">
        <v>3000000</v>
      </c>
    </row>
    <row r="663" spans="1:4">
      <c r="A663" s="3" t="s">
        <v>95</v>
      </c>
      <c r="B663" s="3" t="s">
        <v>96</v>
      </c>
      <c r="C663">
        <v>2016</v>
      </c>
      <c r="D663">
        <v>43000000</v>
      </c>
    </row>
    <row r="664" spans="1:4">
      <c r="A664" s="3" t="s">
        <v>95</v>
      </c>
      <c r="B664" s="3" t="s">
        <v>96</v>
      </c>
      <c r="C664">
        <v>2018</v>
      </c>
      <c r="D664">
        <v>1000000</v>
      </c>
    </row>
    <row r="665" spans="1:4">
      <c r="A665" s="3" t="s">
        <v>95</v>
      </c>
      <c r="B665" s="3" t="s">
        <v>96</v>
      </c>
      <c r="C665">
        <v>2020</v>
      </c>
      <c r="D665">
        <v>9000000</v>
      </c>
    </row>
    <row r="666" spans="1:4">
      <c r="A666" s="3" t="s">
        <v>95</v>
      </c>
      <c r="B666" s="3" t="s">
        <v>96</v>
      </c>
      <c r="C666">
        <v>2023</v>
      </c>
      <c r="D666">
        <v>27000000</v>
      </c>
    </row>
    <row r="667" spans="1:4">
      <c r="A667" s="3" t="s">
        <v>95</v>
      </c>
      <c r="B667" s="3" t="s">
        <v>96</v>
      </c>
      <c r="C667">
        <v>2024</v>
      </c>
      <c r="D667">
        <v>40000000</v>
      </c>
    </row>
    <row r="668" spans="1:4">
      <c r="A668" s="3" t="s">
        <v>97</v>
      </c>
      <c r="B668" s="3" t="s">
        <v>98</v>
      </c>
      <c r="C668">
        <v>2000</v>
      </c>
      <c r="D668">
        <v>0</v>
      </c>
    </row>
    <row r="669" spans="1:4">
      <c r="A669" s="3" t="s">
        <v>97</v>
      </c>
      <c r="B669" s="3" t="s">
        <v>98</v>
      </c>
      <c r="C669">
        <v>2003</v>
      </c>
      <c r="D669">
        <v>8000000</v>
      </c>
    </row>
    <row r="670" spans="1:4">
      <c r="A670" s="3" t="s">
        <v>97</v>
      </c>
      <c r="B670" s="3" t="s">
        <v>98</v>
      </c>
      <c r="C670">
        <v>2004</v>
      </c>
      <c r="D670">
        <v>7000000</v>
      </c>
    </row>
    <row r="671" spans="1:4">
      <c r="A671" s="3" t="s">
        <v>97</v>
      </c>
      <c r="B671" s="3" t="s">
        <v>98</v>
      </c>
      <c r="C671">
        <v>2005</v>
      </c>
      <c r="D671">
        <v>4000000</v>
      </c>
    </row>
    <row r="672" spans="1:4">
      <c r="A672" s="3" t="s">
        <v>97</v>
      </c>
      <c r="B672" s="3" t="s">
        <v>98</v>
      </c>
      <c r="C672">
        <v>2006</v>
      </c>
      <c r="D672">
        <v>1000000</v>
      </c>
    </row>
    <row r="673" spans="1:4">
      <c r="A673" s="3" t="s">
        <v>97</v>
      </c>
      <c r="B673" s="3" t="s">
        <v>98</v>
      </c>
      <c r="C673">
        <v>2007</v>
      </c>
      <c r="D673">
        <v>0</v>
      </c>
    </row>
    <row r="674" spans="1:4">
      <c r="A674" s="3" t="s">
        <v>97</v>
      </c>
      <c r="B674" s="3" t="s">
        <v>98</v>
      </c>
      <c r="C674">
        <v>2009</v>
      </c>
      <c r="D674">
        <v>4000000</v>
      </c>
    </row>
    <row r="675" spans="1:4">
      <c r="A675" s="3" t="s">
        <v>97</v>
      </c>
      <c r="B675" s="3" t="s">
        <v>98</v>
      </c>
      <c r="C675">
        <v>2010</v>
      </c>
      <c r="D675">
        <v>32000000</v>
      </c>
    </row>
    <row r="676" spans="1:4">
      <c r="A676" s="3" t="s">
        <v>97</v>
      </c>
      <c r="B676" s="3" t="s">
        <v>98</v>
      </c>
      <c r="C676">
        <v>2011</v>
      </c>
      <c r="D676">
        <v>5000000</v>
      </c>
    </row>
    <row r="677" spans="1:4">
      <c r="A677" s="3" t="s">
        <v>97</v>
      </c>
      <c r="B677" s="3" t="s">
        <v>98</v>
      </c>
      <c r="C677">
        <v>2012</v>
      </c>
      <c r="D677">
        <v>26000000</v>
      </c>
    </row>
    <row r="678" spans="1:4">
      <c r="A678" s="3" t="s">
        <v>97</v>
      </c>
      <c r="B678" s="3" t="s">
        <v>98</v>
      </c>
      <c r="C678">
        <v>2013</v>
      </c>
      <c r="D678">
        <v>35000000</v>
      </c>
    </row>
    <row r="679" spans="1:4">
      <c r="A679" s="3" t="s">
        <v>97</v>
      </c>
      <c r="B679" s="3" t="s">
        <v>98</v>
      </c>
      <c r="C679">
        <v>2014</v>
      </c>
      <c r="D679">
        <v>6000000</v>
      </c>
    </row>
    <row r="680" spans="1:4">
      <c r="A680" s="3" t="s">
        <v>97</v>
      </c>
      <c r="B680" s="3" t="s">
        <v>98</v>
      </c>
      <c r="C680">
        <v>2015</v>
      </c>
      <c r="D680">
        <v>2000000</v>
      </c>
    </row>
    <row r="681" spans="1:4">
      <c r="A681" s="3" t="s">
        <v>97</v>
      </c>
      <c r="B681" s="3" t="s">
        <v>98</v>
      </c>
      <c r="C681">
        <v>2018</v>
      </c>
      <c r="D681">
        <v>0</v>
      </c>
    </row>
    <row r="682" spans="1:4">
      <c r="A682" s="3" t="s">
        <v>97</v>
      </c>
      <c r="B682" s="3" t="s">
        <v>98</v>
      </c>
      <c r="C682">
        <v>2019</v>
      </c>
      <c r="D682">
        <v>3000000</v>
      </c>
    </row>
    <row r="683" spans="1:4">
      <c r="A683" s="3" t="s">
        <v>97</v>
      </c>
      <c r="B683" s="3" t="s">
        <v>98</v>
      </c>
      <c r="C683">
        <v>2021</v>
      </c>
      <c r="D683">
        <v>3000000</v>
      </c>
    </row>
    <row r="684" spans="1:4">
      <c r="A684" s="3" t="s">
        <v>97</v>
      </c>
      <c r="B684" s="3" t="s">
        <v>98</v>
      </c>
      <c r="C684">
        <v>2024</v>
      </c>
      <c r="D684">
        <v>9000000</v>
      </c>
    </row>
    <row r="685" spans="1:4">
      <c r="A685" s="3" t="s">
        <v>99</v>
      </c>
      <c r="B685" s="3" t="s">
        <v>100</v>
      </c>
      <c r="C685">
        <v>2000</v>
      </c>
      <c r="D685">
        <v>68000000</v>
      </c>
    </row>
    <row r="686" spans="1:4">
      <c r="A686" s="3" t="s">
        <v>99</v>
      </c>
      <c r="B686" s="3" t="s">
        <v>100</v>
      </c>
      <c r="C686">
        <v>2001</v>
      </c>
      <c r="D686">
        <v>268000000</v>
      </c>
    </row>
    <row r="687" spans="1:4">
      <c r="A687" s="3" t="s">
        <v>99</v>
      </c>
      <c r="B687" s="3" t="s">
        <v>100</v>
      </c>
      <c r="C687">
        <v>2002</v>
      </c>
      <c r="D687">
        <v>173000000</v>
      </c>
    </row>
    <row r="688" spans="1:4">
      <c r="A688" s="3" t="s">
        <v>99</v>
      </c>
      <c r="B688" s="3" t="s">
        <v>100</v>
      </c>
      <c r="C688">
        <v>2003</v>
      </c>
      <c r="D688">
        <v>145000000</v>
      </c>
    </row>
    <row r="689" spans="1:4">
      <c r="A689" s="3" t="s">
        <v>99</v>
      </c>
      <c r="B689" s="3" t="s">
        <v>100</v>
      </c>
      <c r="C689">
        <v>2004</v>
      </c>
      <c r="D689">
        <v>18000000</v>
      </c>
    </row>
    <row r="690" spans="1:4">
      <c r="A690" s="3" t="s">
        <v>99</v>
      </c>
      <c r="B690" s="3" t="s">
        <v>100</v>
      </c>
      <c r="C690">
        <v>2005</v>
      </c>
      <c r="D690">
        <v>18000000</v>
      </c>
    </row>
    <row r="691" spans="1:4">
      <c r="A691" s="3" t="s">
        <v>99</v>
      </c>
      <c r="B691" s="3" t="s">
        <v>100</v>
      </c>
      <c r="C691">
        <v>2006</v>
      </c>
      <c r="D691">
        <v>54000000</v>
      </c>
    </row>
    <row r="692" spans="1:4">
      <c r="A692" s="3" t="s">
        <v>99</v>
      </c>
      <c r="B692" s="3" t="s">
        <v>100</v>
      </c>
      <c r="C692">
        <v>2007</v>
      </c>
      <c r="D692">
        <v>237000000</v>
      </c>
    </row>
    <row r="693" spans="1:4">
      <c r="A693" s="3" t="s">
        <v>99</v>
      </c>
      <c r="B693" s="3" t="s">
        <v>100</v>
      </c>
      <c r="C693">
        <v>2008</v>
      </c>
      <c r="D693">
        <v>110000000</v>
      </c>
    </row>
    <row r="694" spans="1:4">
      <c r="A694" s="3" t="s">
        <v>99</v>
      </c>
      <c r="B694" s="3" t="s">
        <v>100</v>
      </c>
      <c r="C694">
        <v>2009</v>
      </c>
      <c r="D694">
        <v>263000000</v>
      </c>
    </row>
    <row r="695" spans="1:4">
      <c r="A695" s="3" t="s">
        <v>99</v>
      </c>
      <c r="B695" s="3" t="s">
        <v>100</v>
      </c>
      <c r="C695">
        <v>2010</v>
      </c>
      <c r="D695">
        <v>259000000</v>
      </c>
    </row>
    <row r="696" spans="1:4">
      <c r="A696" s="3" t="s">
        <v>99</v>
      </c>
      <c r="B696" s="3" t="s">
        <v>100</v>
      </c>
      <c r="C696">
        <v>2011</v>
      </c>
      <c r="D696">
        <v>145000000</v>
      </c>
    </row>
    <row r="697" spans="1:4">
      <c r="A697" s="3" t="s">
        <v>99</v>
      </c>
      <c r="B697" s="3" t="s">
        <v>100</v>
      </c>
      <c r="C697">
        <v>2012</v>
      </c>
      <c r="D697">
        <v>200000000</v>
      </c>
    </row>
    <row r="698" spans="1:4">
      <c r="A698" s="3" t="s">
        <v>99</v>
      </c>
      <c r="B698" s="3" t="s">
        <v>100</v>
      </c>
      <c r="C698">
        <v>2013</v>
      </c>
      <c r="D698">
        <v>173000000</v>
      </c>
    </row>
    <row r="699" spans="1:4">
      <c r="A699" s="3" t="s">
        <v>99</v>
      </c>
      <c r="B699" s="3" t="s">
        <v>100</v>
      </c>
      <c r="C699">
        <v>2014</v>
      </c>
      <c r="D699">
        <v>170000000</v>
      </c>
    </row>
    <row r="700" spans="1:4">
      <c r="A700" s="3" t="s">
        <v>99</v>
      </c>
      <c r="B700" s="3" t="s">
        <v>100</v>
      </c>
      <c r="C700">
        <v>2015</v>
      </c>
      <c r="D700">
        <v>193000000</v>
      </c>
    </row>
    <row r="701" spans="1:4">
      <c r="A701" s="3" t="s">
        <v>99</v>
      </c>
      <c r="B701" s="3" t="s">
        <v>100</v>
      </c>
      <c r="C701">
        <v>2016</v>
      </c>
      <c r="D701">
        <v>18000000</v>
      </c>
    </row>
    <row r="702" spans="1:4">
      <c r="A702" s="3" t="s">
        <v>99</v>
      </c>
      <c r="B702" s="3" t="s">
        <v>100</v>
      </c>
      <c r="C702">
        <v>2017</v>
      </c>
      <c r="D702">
        <v>91000000</v>
      </c>
    </row>
    <row r="703" spans="1:4">
      <c r="A703" s="3" t="s">
        <v>99</v>
      </c>
      <c r="B703" s="3" t="s">
        <v>100</v>
      </c>
      <c r="C703">
        <v>2018</v>
      </c>
      <c r="D703">
        <v>16000000</v>
      </c>
    </row>
    <row r="704" spans="1:4">
      <c r="A704" s="3" t="s">
        <v>99</v>
      </c>
      <c r="B704" s="3" t="s">
        <v>100</v>
      </c>
      <c r="C704">
        <v>2019</v>
      </c>
      <c r="D704">
        <v>22000000</v>
      </c>
    </row>
    <row r="705" spans="1:4">
      <c r="A705" s="3" t="s">
        <v>99</v>
      </c>
      <c r="B705" s="3" t="s">
        <v>100</v>
      </c>
      <c r="C705">
        <v>2020</v>
      </c>
      <c r="D705">
        <v>80000000</v>
      </c>
    </row>
    <row r="706" spans="1:4">
      <c r="A706" s="3" t="s">
        <v>99</v>
      </c>
      <c r="B706" s="3" t="s">
        <v>100</v>
      </c>
      <c r="C706">
        <v>2021</v>
      </c>
      <c r="D706">
        <v>45000000</v>
      </c>
    </row>
    <row r="707" spans="1:4">
      <c r="A707" s="3" t="s">
        <v>99</v>
      </c>
      <c r="B707" s="3" t="s">
        <v>100</v>
      </c>
      <c r="C707">
        <v>2022</v>
      </c>
      <c r="D707">
        <v>50000000</v>
      </c>
    </row>
    <row r="708" spans="1:4">
      <c r="A708" s="3" t="s">
        <v>99</v>
      </c>
      <c r="B708" s="3" t="s">
        <v>100</v>
      </c>
      <c r="C708">
        <v>2023</v>
      </c>
      <c r="D708">
        <v>3000000</v>
      </c>
    </row>
    <row r="709" spans="1:4">
      <c r="A709" s="3" t="s">
        <v>99</v>
      </c>
      <c r="B709" s="3" t="s">
        <v>100</v>
      </c>
      <c r="C709">
        <v>2024</v>
      </c>
      <c r="D709">
        <v>12000000</v>
      </c>
    </row>
    <row r="710" spans="1:4">
      <c r="A710" s="3" t="s">
        <v>101</v>
      </c>
      <c r="B710" s="3" t="s">
        <v>102</v>
      </c>
      <c r="C710">
        <v>2008</v>
      </c>
      <c r="D710">
        <v>6000000</v>
      </c>
    </row>
    <row r="711" spans="1:4">
      <c r="A711" s="3" t="s">
        <v>101</v>
      </c>
      <c r="B711" s="3" t="s">
        <v>102</v>
      </c>
      <c r="C711">
        <v>2012</v>
      </c>
      <c r="D711">
        <v>1000000</v>
      </c>
    </row>
    <row r="712" spans="1:4">
      <c r="A712" s="3" t="s">
        <v>103</v>
      </c>
      <c r="B712" s="3" t="s">
        <v>104</v>
      </c>
      <c r="C712">
        <v>2000</v>
      </c>
      <c r="D712">
        <v>1000000</v>
      </c>
    </row>
    <row r="713" spans="1:4">
      <c r="A713" s="3" t="s">
        <v>103</v>
      </c>
      <c r="B713" s="3" t="s">
        <v>104</v>
      </c>
      <c r="C713">
        <v>2009</v>
      </c>
      <c r="D713">
        <v>2000000</v>
      </c>
    </row>
    <row r="714" spans="1:4">
      <c r="A714" s="3" t="s">
        <v>103</v>
      </c>
      <c r="B714" s="3" t="s">
        <v>104</v>
      </c>
      <c r="C714">
        <v>2012</v>
      </c>
      <c r="D714">
        <v>10000000</v>
      </c>
    </row>
    <row r="715" spans="1:4">
      <c r="A715" s="3" t="s">
        <v>103</v>
      </c>
      <c r="B715" s="3" t="s">
        <v>104</v>
      </c>
      <c r="C715">
        <v>2019</v>
      </c>
      <c r="D715">
        <v>3000000</v>
      </c>
    </row>
    <row r="716" spans="1:4">
      <c r="A716" s="3" t="s">
        <v>105</v>
      </c>
      <c r="B716" s="3" t="s">
        <v>106</v>
      </c>
      <c r="C716">
        <v>2018</v>
      </c>
      <c r="D716">
        <v>0</v>
      </c>
    </row>
    <row r="717" spans="1:4">
      <c r="A717" s="3" t="s">
        <v>105</v>
      </c>
      <c r="B717" s="3" t="s">
        <v>106</v>
      </c>
      <c r="C717">
        <v>2019</v>
      </c>
      <c r="D717">
        <v>8000000</v>
      </c>
    </row>
    <row r="718" spans="1:4">
      <c r="A718" s="3" t="s">
        <v>109</v>
      </c>
      <c r="B718" s="3" t="s">
        <v>110</v>
      </c>
      <c r="C718">
        <v>2004</v>
      </c>
      <c r="D718">
        <v>8000000</v>
      </c>
    </row>
    <row r="719" spans="1:4">
      <c r="A719" s="3" t="s">
        <v>115</v>
      </c>
      <c r="B719" s="3" t="s">
        <v>116</v>
      </c>
      <c r="C719">
        <v>2000</v>
      </c>
      <c r="D719">
        <v>4000000</v>
      </c>
    </row>
    <row r="720" spans="1:4">
      <c r="A720" s="3" t="s">
        <v>115</v>
      </c>
      <c r="B720" s="3" t="s">
        <v>116</v>
      </c>
      <c r="C720">
        <v>2001</v>
      </c>
      <c r="D720">
        <v>180000000</v>
      </c>
    </row>
    <row r="721" spans="1:4">
      <c r="A721" s="3" t="s">
        <v>115</v>
      </c>
      <c r="B721" s="3" t="s">
        <v>116</v>
      </c>
      <c r="C721">
        <v>2002</v>
      </c>
      <c r="D721">
        <v>66000000</v>
      </c>
    </row>
    <row r="722" spans="1:4">
      <c r="A722" s="3" t="s">
        <v>115</v>
      </c>
      <c r="B722" s="3" t="s">
        <v>116</v>
      </c>
      <c r="C722">
        <v>2003</v>
      </c>
      <c r="D722">
        <v>6000000</v>
      </c>
    </row>
    <row r="723" spans="1:4">
      <c r="A723" s="3" t="s">
        <v>115</v>
      </c>
      <c r="B723" s="3" t="s">
        <v>116</v>
      </c>
      <c r="C723">
        <v>2004</v>
      </c>
      <c r="D723">
        <v>16000000</v>
      </c>
    </row>
    <row r="724" spans="1:4">
      <c r="A724" s="3" t="s">
        <v>115</v>
      </c>
      <c r="B724" s="3" t="s">
        <v>116</v>
      </c>
      <c r="C724">
        <v>2005</v>
      </c>
      <c r="D724">
        <v>18000000</v>
      </c>
    </row>
    <row r="725" spans="1:4">
      <c r="A725" s="3" t="s">
        <v>115</v>
      </c>
      <c r="B725" s="3" t="s">
        <v>116</v>
      </c>
      <c r="C725">
        <v>2006</v>
      </c>
      <c r="D725">
        <v>22000000</v>
      </c>
    </row>
    <row r="726" spans="1:4">
      <c r="A726" s="3" t="s">
        <v>115</v>
      </c>
      <c r="B726" s="3" t="s">
        <v>116</v>
      </c>
      <c r="C726">
        <v>2007</v>
      </c>
      <c r="D726">
        <v>16000000</v>
      </c>
    </row>
    <row r="727" spans="1:4">
      <c r="A727" s="3" t="s">
        <v>115</v>
      </c>
      <c r="B727" s="3" t="s">
        <v>116</v>
      </c>
      <c r="C727">
        <v>2010</v>
      </c>
      <c r="D727">
        <v>44000000</v>
      </c>
    </row>
    <row r="728" spans="1:4">
      <c r="A728" s="3" t="s">
        <v>115</v>
      </c>
      <c r="B728" s="3" t="s">
        <v>116</v>
      </c>
      <c r="C728">
        <v>2011</v>
      </c>
      <c r="D728">
        <v>41000000</v>
      </c>
    </row>
    <row r="729" spans="1:4">
      <c r="A729" s="3" t="s">
        <v>115</v>
      </c>
      <c r="B729" s="3" t="s">
        <v>116</v>
      </c>
      <c r="C729">
        <v>2012</v>
      </c>
      <c r="D729">
        <v>6000000</v>
      </c>
    </row>
    <row r="730" spans="1:4">
      <c r="A730" s="3" t="s">
        <v>115</v>
      </c>
      <c r="B730" s="3" t="s">
        <v>116</v>
      </c>
      <c r="C730">
        <v>2017</v>
      </c>
      <c r="D730">
        <v>30000000</v>
      </c>
    </row>
    <row r="731" spans="1:4">
      <c r="A731" s="3" t="s">
        <v>115</v>
      </c>
      <c r="B731" s="3" t="s">
        <v>116</v>
      </c>
      <c r="C731">
        <v>2019</v>
      </c>
      <c r="D731">
        <v>20000000</v>
      </c>
    </row>
    <row r="732" spans="1:4">
      <c r="A732" s="3" t="s">
        <v>115</v>
      </c>
      <c r="B732" s="3" t="s">
        <v>116</v>
      </c>
      <c r="C732">
        <v>2020</v>
      </c>
      <c r="D732">
        <v>31000000</v>
      </c>
    </row>
    <row r="733" spans="1:4">
      <c r="A733" s="3" t="s">
        <v>115</v>
      </c>
      <c r="B733" s="3" t="s">
        <v>116</v>
      </c>
      <c r="C733">
        <v>2021</v>
      </c>
      <c r="D733">
        <v>12000000</v>
      </c>
    </row>
    <row r="734" spans="1:4">
      <c r="A734" s="3" t="s">
        <v>115</v>
      </c>
      <c r="B734" s="3" t="s">
        <v>116</v>
      </c>
      <c r="C734">
        <v>2023</v>
      </c>
      <c r="D734">
        <v>8000000</v>
      </c>
    </row>
    <row r="735" spans="1:4">
      <c r="A735" s="3" t="s">
        <v>115</v>
      </c>
      <c r="B735" s="3" t="s">
        <v>116</v>
      </c>
      <c r="C735">
        <v>2024</v>
      </c>
      <c r="D735">
        <v>120000000</v>
      </c>
    </row>
    <row r="736" spans="1:4">
      <c r="A736" s="3" t="s">
        <v>117</v>
      </c>
      <c r="B736" s="3" t="s">
        <v>118</v>
      </c>
      <c r="C736">
        <v>2000</v>
      </c>
      <c r="D736">
        <v>13000000</v>
      </c>
    </row>
    <row r="737" spans="1:4">
      <c r="A737" s="3" t="s">
        <v>117</v>
      </c>
      <c r="B737" s="3" t="s">
        <v>118</v>
      </c>
      <c r="C737">
        <v>2001</v>
      </c>
      <c r="D737">
        <v>57000000</v>
      </c>
    </row>
    <row r="738" spans="1:4">
      <c r="A738" s="3" t="s">
        <v>117</v>
      </c>
      <c r="B738" s="3" t="s">
        <v>118</v>
      </c>
      <c r="C738">
        <v>2002</v>
      </c>
      <c r="D738">
        <v>42000000</v>
      </c>
    </row>
    <row r="739" spans="1:4">
      <c r="A739" s="3" t="s">
        <v>117</v>
      </c>
      <c r="B739" s="3" t="s">
        <v>118</v>
      </c>
      <c r="C739">
        <v>2003</v>
      </c>
      <c r="D739">
        <v>94000000</v>
      </c>
    </row>
    <row r="740" spans="1:4">
      <c r="A740" s="3" t="s">
        <v>117</v>
      </c>
      <c r="B740" s="3" t="s">
        <v>118</v>
      </c>
      <c r="C740">
        <v>2004</v>
      </c>
      <c r="D740">
        <v>6000000</v>
      </c>
    </row>
    <row r="741" spans="1:4">
      <c r="A741" s="3" t="s">
        <v>117</v>
      </c>
      <c r="B741" s="3" t="s">
        <v>118</v>
      </c>
      <c r="C741">
        <v>2005</v>
      </c>
      <c r="D741">
        <v>600000000</v>
      </c>
    </row>
    <row r="742" spans="1:4">
      <c r="A742" s="3" t="s">
        <v>117</v>
      </c>
      <c r="B742" s="3" t="s">
        <v>118</v>
      </c>
      <c r="C742">
        <v>2006</v>
      </c>
      <c r="D742">
        <v>46000000</v>
      </c>
    </row>
    <row r="743" spans="1:4">
      <c r="A743" s="3" t="s">
        <v>117</v>
      </c>
      <c r="B743" s="3" t="s">
        <v>118</v>
      </c>
      <c r="C743">
        <v>2007</v>
      </c>
      <c r="D743">
        <v>10000000</v>
      </c>
    </row>
    <row r="744" spans="1:4">
      <c r="A744" s="3" t="s">
        <v>117</v>
      </c>
      <c r="B744" s="3" t="s">
        <v>118</v>
      </c>
      <c r="C744">
        <v>2008</v>
      </c>
      <c r="D744">
        <v>25000000</v>
      </c>
    </row>
    <row r="745" spans="1:4">
      <c r="A745" s="3" t="s">
        <v>117</v>
      </c>
      <c r="B745" s="3" t="s">
        <v>118</v>
      </c>
      <c r="C745">
        <v>2009</v>
      </c>
      <c r="D745">
        <v>26000000</v>
      </c>
    </row>
    <row r="746" spans="1:4">
      <c r="A746" s="3" t="s">
        <v>117</v>
      </c>
      <c r="B746" s="3" t="s">
        <v>118</v>
      </c>
      <c r="C746">
        <v>2010</v>
      </c>
      <c r="D746">
        <v>50000000</v>
      </c>
    </row>
    <row r="747" spans="1:4">
      <c r="A747" s="3" t="s">
        <v>117</v>
      </c>
      <c r="B747" s="3" t="s">
        <v>118</v>
      </c>
      <c r="C747">
        <v>2011</v>
      </c>
      <c r="D747">
        <v>112000000</v>
      </c>
    </row>
    <row r="748" spans="1:4">
      <c r="A748" s="3" t="s">
        <v>117</v>
      </c>
      <c r="B748" s="3" t="s">
        <v>118</v>
      </c>
      <c r="C748">
        <v>2012</v>
      </c>
      <c r="D748">
        <v>44000000</v>
      </c>
    </row>
    <row r="749" spans="1:4">
      <c r="A749" s="3" t="s">
        <v>117</v>
      </c>
      <c r="B749" s="3" t="s">
        <v>118</v>
      </c>
      <c r="C749">
        <v>2013</v>
      </c>
      <c r="D749">
        <v>18000000</v>
      </c>
    </row>
    <row r="750" spans="1:4">
      <c r="A750" s="3" t="s">
        <v>117</v>
      </c>
      <c r="B750" s="3" t="s">
        <v>118</v>
      </c>
      <c r="C750">
        <v>2016</v>
      </c>
      <c r="D750">
        <v>7000000</v>
      </c>
    </row>
    <row r="751" spans="1:4">
      <c r="A751" s="3" t="s">
        <v>117</v>
      </c>
      <c r="B751" s="3" t="s">
        <v>118</v>
      </c>
      <c r="C751">
        <v>2018</v>
      </c>
      <c r="D751">
        <v>7000000</v>
      </c>
    </row>
    <row r="752" spans="1:4">
      <c r="A752" s="3" t="s">
        <v>117</v>
      </c>
      <c r="B752" s="3" t="s">
        <v>118</v>
      </c>
      <c r="C752">
        <v>2019</v>
      </c>
      <c r="D752">
        <v>1000000</v>
      </c>
    </row>
    <row r="753" spans="1:4">
      <c r="A753" s="3" t="s">
        <v>117</v>
      </c>
      <c r="B753" s="3" t="s">
        <v>118</v>
      </c>
      <c r="C753">
        <v>2020</v>
      </c>
      <c r="D753">
        <v>8000000</v>
      </c>
    </row>
    <row r="754" spans="1:4">
      <c r="A754" s="3" t="s">
        <v>117</v>
      </c>
      <c r="B754" s="3" t="s">
        <v>118</v>
      </c>
      <c r="C754">
        <v>2021</v>
      </c>
      <c r="D754">
        <v>32000000</v>
      </c>
    </row>
    <row r="755" spans="1:4">
      <c r="A755" s="3" t="s">
        <v>117</v>
      </c>
      <c r="B755" s="3" t="s">
        <v>118</v>
      </c>
      <c r="C755">
        <v>2022</v>
      </c>
      <c r="D755">
        <v>69000000</v>
      </c>
    </row>
    <row r="756" spans="1:4">
      <c r="A756" s="3" t="s">
        <v>117</v>
      </c>
      <c r="B756" s="3" t="s">
        <v>118</v>
      </c>
      <c r="C756">
        <v>2023</v>
      </c>
      <c r="D756">
        <v>148000000</v>
      </c>
    </row>
    <row r="757" spans="1:4">
      <c r="A757" s="3" t="s">
        <v>117</v>
      </c>
      <c r="B757" s="3" t="s">
        <v>118</v>
      </c>
      <c r="C757">
        <v>2024</v>
      </c>
      <c r="D757">
        <v>58000000</v>
      </c>
    </row>
    <row r="758" spans="1:4">
      <c r="A758" s="3" t="s">
        <v>119</v>
      </c>
      <c r="B758" s="3" t="s">
        <v>120</v>
      </c>
      <c r="C758">
        <v>2000</v>
      </c>
      <c r="D758">
        <v>113000000</v>
      </c>
    </row>
    <row r="759" spans="1:4">
      <c r="A759" s="3" t="s">
        <v>119</v>
      </c>
      <c r="B759" s="3" t="s">
        <v>120</v>
      </c>
      <c r="C759">
        <v>2001</v>
      </c>
      <c r="D759">
        <v>133000000</v>
      </c>
    </row>
    <row r="760" spans="1:4">
      <c r="A760" s="3" t="s">
        <v>119</v>
      </c>
      <c r="B760" s="3" t="s">
        <v>120</v>
      </c>
      <c r="C760">
        <v>2002</v>
      </c>
      <c r="D760">
        <v>71000000</v>
      </c>
    </row>
    <row r="761" spans="1:4">
      <c r="A761" s="3" t="s">
        <v>119</v>
      </c>
      <c r="B761" s="3" t="s">
        <v>120</v>
      </c>
      <c r="C761">
        <v>2003</v>
      </c>
      <c r="D761">
        <v>70000000</v>
      </c>
    </row>
    <row r="762" spans="1:4">
      <c r="A762" s="3" t="s">
        <v>119</v>
      </c>
      <c r="B762" s="3" t="s">
        <v>120</v>
      </c>
      <c r="C762">
        <v>2004</v>
      </c>
      <c r="D762">
        <v>245000000</v>
      </c>
    </row>
    <row r="763" spans="1:4">
      <c r="A763" s="3" t="s">
        <v>119</v>
      </c>
      <c r="B763" s="3" t="s">
        <v>120</v>
      </c>
      <c r="C763">
        <v>2005</v>
      </c>
      <c r="D763">
        <v>206000000</v>
      </c>
    </row>
    <row r="764" spans="1:4">
      <c r="A764" s="3" t="s">
        <v>119</v>
      </c>
      <c r="B764" s="3" t="s">
        <v>120</v>
      </c>
      <c r="C764">
        <v>2006</v>
      </c>
      <c r="D764">
        <v>413000000</v>
      </c>
    </row>
    <row r="765" spans="1:4">
      <c r="A765" s="3" t="s">
        <v>119</v>
      </c>
      <c r="B765" s="3" t="s">
        <v>120</v>
      </c>
      <c r="C765">
        <v>2007</v>
      </c>
      <c r="D765">
        <v>46000000</v>
      </c>
    </row>
    <row r="766" spans="1:4">
      <c r="A766" s="3" t="s">
        <v>119</v>
      </c>
      <c r="B766" s="3" t="s">
        <v>120</v>
      </c>
      <c r="C766">
        <v>2008</v>
      </c>
      <c r="D766">
        <v>277000000</v>
      </c>
    </row>
    <row r="767" spans="1:4">
      <c r="A767" s="3" t="s">
        <v>119</v>
      </c>
      <c r="B767" s="3" t="s">
        <v>120</v>
      </c>
      <c r="C767">
        <v>2009</v>
      </c>
      <c r="D767">
        <v>329000000</v>
      </c>
    </row>
    <row r="768" spans="1:4">
      <c r="A768" s="3" t="s">
        <v>119</v>
      </c>
      <c r="B768" s="3" t="s">
        <v>120</v>
      </c>
      <c r="C768">
        <v>2010</v>
      </c>
      <c r="D768">
        <v>301000000</v>
      </c>
    </row>
    <row r="769" spans="1:4">
      <c r="A769" s="3" t="s">
        <v>119</v>
      </c>
      <c r="B769" s="3" t="s">
        <v>120</v>
      </c>
      <c r="C769">
        <v>2011</v>
      </c>
      <c r="D769">
        <v>79000000</v>
      </c>
    </row>
    <row r="770" spans="1:4">
      <c r="A770" s="3" t="s">
        <v>119</v>
      </c>
      <c r="B770" s="3" t="s">
        <v>120</v>
      </c>
      <c r="C770">
        <v>2012</v>
      </c>
      <c r="D770">
        <v>140000000</v>
      </c>
    </row>
    <row r="771" spans="1:4">
      <c r="A771" s="3" t="s">
        <v>119</v>
      </c>
      <c r="B771" s="3" t="s">
        <v>120</v>
      </c>
      <c r="C771">
        <v>2013</v>
      </c>
      <c r="D771">
        <v>103000000</v>
      </c>
    </row>
    <row r="772" spans="1:4">
      <c r="A772" s="3" t="s">
        <v>119</v>
      </c>
      <c r="B772" s="3" t="s">
        <v>120</v>
      </c>
      <c r="C772">
        <v>2014</v>
      </c>
      <c r="D772">
        <v>77000000</v>
      </c>
    </row>
    <row r="773" spans="1:4">
      <c r="A773" s="3" t="s">
        <v>119</v>
      </c>
      <c r="B773" s="3" t="s">
        <v>120</v>
      </c>
      <c r="C773">
        <v>2015</v>
      </c>
      <c r="D773">
        <v>119000000</v>
      </c>
    </row>
    <row r="774" spans="1:4">
      <c r="A774" s="3" t="s">
        <v>119</v>
      </c>
      <c r="B774" s="3" t="s">
        <v>120</v>
      </c>
      <c r="C774">
        <v>2016</v>
      </c>
      <c r="D774">
        <v>55000000</v>
      </c>
    </row>
    <row r="775" spans="1:4">
      <c r="A775" s="3" t="s">
        <v>119</v>
      </c>
      <c r="B775" s="3" t="s">
        <v>120</v>
      </c>
      <c r="C775">
        <v>2017</v>
      </c>
      <c r="D775">
        <v>43000000</v>
      </c>
    </row>
    <row r="776" spans="1:4">
      <c r="A776" s="3" t="s">
        <v>119</v>
      </c>
      <c r="B776" s="3" t="s">
        <v>120</v>
      </c>
      <c r="C776">
        <v>2018</v>
      </c>
      <c r="D776">
        <v>14000000</v>
      </c>
    </row>
    <row r="777" spans="1:4">
      <c r="A777" s="3" t="s">
        <v>119</v>
      </c>
      <c r="B777" s="3" t="s">
        <v>120</v>
      </c>
      <c r="C777">
        <v>2019</v>
      </c>
      <c r="D777">
        <v>38000000</v>
      </c>
    </row>
    <row r="778" spans="1:4">
      <c r="A778" s="3" t="s">
        <v>119</v>
      </c>
      <c r="B778" s="3" t="s">
        <v>120</v>
      </c>
      <c r="C778">
        <v>2020</v>
      </c>
      <c r="D778">
        <v>105000000</v>
      </c>
    </row>
    <row r="779" spans="1:4">
      <c r="A779" s="3" t="s">
        <v>119</v>
      </c>
      <c r="B779" s="3" t="s">
        <v>120</v>
      </c>
      <c r="C779">
        <v>2021</v>
      </c>
      <c r="D779">
        <v>235000000</v>
      </c>
    </row>
    <row r="780" spans="1:4">
      <c r="A780" s="3" t="s">
        <v>119</v>
      </c>
      <c r="B780" s="3" t="s">
        <v>120</v>
      </c>
      <c r="C780">
        <v>2022</v>
      </c>
      <c r="D780">
        <v>269000000</v>
      </c>
    </row>
    <row r="781" spans="1:4">
      <c r="A781" s="3" t="s">
        <v>119</v>
      </c>
      <c r="B781" s="3" t="s">
        <v>120</v>
      </c>
      <c r="C781">
        <v>2023</v>
      </c>
      <c r="D781">
        <v>203000000</v>
      </c>
    </row>
    <row r="782" spans="1:4">
      <c r="A782" s="3" t="s">
        <v>119</v>
      </c>
      <c r="B782" s="3" t="s">
        <v>120</v>
      </c>
      <c r="C782">
        <v>2024</v>
      </c>
      <c r="D782">
        <v>240000000</v>
      </c>
    </row>
    <row r="783" spans="1:4">
      <c r="A783" s="3" t="s">
        <v>121</v>
      </c>
      <c r="B783" s="3" t="s">
        <v>122</v>
      </c>
      <c r="C783">
        <v>2000</v>
      </c>
      <c r="D783">
        <v>1000000</v>
      </c>
    </row>
    <row r="784" spans="1:4">
      <c r="A784" s="3" t="s">
        <v>121</v>
      </c>
      <c r="B784" s="3" t="s">
        <v>122</v>
      </c>
      <c r="C784">
        <v>2002</v>
      </c>
      <c r="D784">
        <v>3000000</v>
      </c>
    </row>
    <row r="785" spans="1:4">
      <c r="A785" s="3" t="s">
        <v>121</v>
      </c>
      <c r="B785" s="3" t="s">
        <v>122</v>
      </c>
      <c r="C785">
        <v>2004</v>
      </c>
      <c r="D785">
        <v>4000000</v>
      </c>
    </row>
    <row r="786" spans="1:4">
      <c r="A786" s="3" t="s">
        <v>121</v>
      </c>
      <c r="B786" s="3" t="s">
        <v>122</v>
      </c>
      <c r="C786">
        <v>2005</v>
      </c>
      <c r="D786">
        <v>7000000</v>
      </c>
    </row>
    <row r="787" spans="1:4">
      <c r="A787" s="3" t="s">
        <v>121</v>
      </c>
      <c r="B787" s="3" t="s">
        <v>122</v>
      </c>
      <c r="C787">
        <v>2012</v>
      </c>
      <c r="D787">
        <v>6000000</v>
      </c>
    </row>
    <row r="788" spans="1:4">
      <c r="A788" s="3" t="s">
        <v>121</v>
      </c>
      <c r="B788" s="3" t="s">
        <v>122</v>
      </c>
      <c r="C788">
        <v>2013</v>
      </c>
      <c r="D788">
        <v>5000000</v>
      </c>
    </row>
    <row r="789" spans="1:4">
      <c r="A789" s="3" t="s">
        <v>121</v>
      </c>
      <c r="B789" s="3" t="s">
        <v>122</v>
      </c>
      <c r="C789">
        <v>2014</v>
      </c>
      <c r="D789">
        <v>15000000</v>
      </c>
    </row>
    <row r="790" spans="1:4">
      <c r="A790" s="3" t="s">
        <v>121</v>
      </c>
      <c r="B790" s="3" t="s">
        <v>122</v>
      </c>
      <c r="C790">
        <v>2015</v>
      </c>
      <c r="D790">
        <v>4000000</v>
      </c>
    </row>
    <row r="791" spans="1:4">
      <c r="A791" s="3" t="s">
        <v>121</v>
      </c>
      <c r="B791" s="3" t="s">
        <v>122</v>
      </c>
      <c r="C791">
        <v>2016</v>
      </c>
      <c r="D791">
        <v>11000000</v>
      </c>
    </row>
    <row r="792" spans="1:4">
      <c r="A792" s="3" t="s">
        <v>121</v>
      </c>
      <c r="B792" s="3" t="s">
        <v>122</v>
      </c>
      <c r="C792">
        <v>2019</v>
      </c>
      <c r="D792">
        <v>11000000</v>
      </c>
    </row>
    <row r="793" spans="1:4">
      <c r="A793" s="3" t="s">
        <v>121</v>
      </c>
      <c r="B793" s="3" t="s">
        <v>122</v>
      </c>
      <c r="C793">
        <v>2020</v>
      </c>
      <c r="D793">
        <v>1000000</v>
      </c>
    </row>
    <row r="794" spans="1:4">
      <c r="A794" s="3" t="s">
        <v>121</v>
      </c>
      <c r="B794" s="3" t="s">
        <v>122</v>
      </c>
      <c r="C794">
        <v>2021</v>
      </c>
      <c r="D794">
        <v>46000000</v>
      </c>
    </row>
    <row r="795" spans="1:4">
      <c r="A795" s="3" t="s">
        <v>121</v>
      </c>
      <c r="B795" s="3" t="s">
        <v>122</v>
      </c>
      <c r="C795">
        <v>2022</v>
      </c>
      <c r="D795">
        <v>19000000</v>
      </c>
    </row>
    <row r="796" spans="1:4">
      <c r="A796" s="3" t="s">
        <v>121</v>
      </c>
      <c r="B796" s="3" t="s">
        <v>122</v>
      </c>
      <c r="C796">
        <v>2023</v>
      </c>
      <c r="D796">
        <v>0</v>
      </c>
    </row>
    <row r="797" spans="1:4">
      <c r="A797" s="3" t="s">
        <v>125</v>
      </c>
      <c r="B797" s="3" t="s">
        <v>126</v>
      </c>
      <c r="C797">
        <v>2000</v>
      </c>
      <c r="D797">
        <v>50000000</v>
      </c>
    </row>
    <row r="798" spans="1:4">
      <c r="A798" s="3" t="s">
        <v>125</v>
      </c>
      <c r="B798" s="3" t="s">
        <v>126</v>
      </c>
      <c r="C798">
        <v>2001</v>
      </c>
      <c r="D798">
        <v>148000000</v>
      </c>
    </row>
    <row r="799" spans="1:4">
      <c r="A799" s="3" t="s">
        <v>125</v>
      </c>
      <c r="B799" s="3" t="s">
        <v>126</v>
      </c>
      <c r="C799">
        <v>2002</v>
      </c>
      <c r="D799">
        <v>39000000</v>
      </c>
    </row>
    <row r="800" spans="1:4">
      <c r="A800" s="3" t="s">
        <v>125</v>
      </c>
      <c r="B800" s="3" t="s">
        <v>126</v>
      </c>
      <c r="C800">
        <v>2003</v>
      </c>
      <c r="D800">
        <v>48000000</v>
      </c>
    </row>
    <row r="801" spans="1:4">
      <c r="A801" s="3" t="s">
        <v>125</v>
      </c>
      <c r="B801" s="3" t="s">
        <v>126</v>
      </c>
      <c r="C801">
        <v>2004</v>
      </c>
      <c r="D801">
        <v>232000000</v>
      </c>
    </row>
    <row r="802" spans="1:4">
      <c r="A802" s="3" t="s">
        <v>125</v>
      </c>
      <c r="B802" s="3" t="s">
        <v>126</v>
      </c>
      <c r="C802">
        <v>2005</v>
      </c>
      <c r="D802">
        <v>117000000</v>
      </c>
    </row>
    <row r="803" spans="1:4">
      <c r="A803" s="3" t="s">
        <v>125</v>
      </c>
      <c r="B803" s="3" t="s">
        <v>126</v>
      </c>
      <c r="C803">
        <v>2006</v>
      </c>
      <c r="D803">
        <v>86000000</v>
      </c>
    </row>
    <row r="804" spans="1:4">
      <c r="A804" s="3" t="s">
        <v>125</v>
      </c>
      <c r="B804" s="3" t="s">
        <v>126</v>
      </c>
      <c r="C804">
        <v>2007</v>
      </c>
      <c r="D804">
        <v>133000000</v>
      </c>
    </row>
    <row r="805" spans="1:4">
      <c r="A805" s="3" t="s">
        <v>125</v>
      </c>
      <c r="B805" s="3" t="s">
        <v>126</v>
      </c>
      <c r="C805">
        <v>2008</v>
      </c>
      <c r="D805">
        <v>98000000</v>
      </c>
    </row>
    <row r="806" spans="1:4">
      <c r="A806" s="3" t="s">
        <v>125</v>
      </c>
      <c r="B806" s="3" t="s">
        <v>126</v>
      </c>
      <c r="C806">
        <v>2009</v>
      </c>
      <c r="D806">
        <v>134000000</v>
      </c>
    </row>
    <row r="807" spans="1:4">
      <c r="A807" s="3" t="s">
        <v>125</v>
      </c>
      <c r="B807" s="3" t="s">
        <v>126</v>
      </c>
      <c r="C807">
        <v>2010</v>
      </c>
      <c r="D807">
        <v>22000000</v>
      </c>
    </row>
    <row r="808" spans="1:4">
      <c r="A808" s="3" t="s">
        <v>125</v>
      </c>
      <c r="B808" s="3" t="s">
        <v>126</v>
      </c>
      <c r="C808">
        <v>2011</v>
      </c>
      <c r="D808">
        <v>6000000</v>
      </c>
    </row>
    <row r="809" spans="1:4">
      <c r="A809" s="3" t="s">
        <v>125</v>
      </c>
      <c r="B809" s="3" t="s">
        <v>126</v>
      </c>
      <c r="C809">
        <v>2012</v>
      </c>
      <c r="D809">
        <v>103000000</v>
      </c>
    </row>
    <row r="810" spans="1:4">
      <c r="A810" s="3" t="s">
        <v>125</v>
      </c>
      <c r="B810" s="3" t="s">
        <v>126</v>
      </c>
      <c r="C810">
        <v>2013</v>
      </c>
      <c r="D810">
        <v>34000000</v>
      </c>
    </row>
    <row r="811" spans="1:4">
      <c r="A811" s="3" t="s">
        <v>125</v>
      </c>
      <c r="B811" s="3" t="s">
        <v>126</v>
      </c>
      <c r="C811">
        <v>2014</v>
      </c>
      <c r="D811">
        <v>176000000</v>
      </c>
    </row>
    <row r="812" spans="1:4">
      <c r="A812" s="3" t="s">
        <v>125</v>
      </c>
      <c r="B812" s="3" t="s">
        <v>126</v>
      </c>
      <c r="C812">
        <v>2015</v>
      </c>
      <c r="D812">
        <v>42000000</v>
      </c>
    </row>
    <row r="813" spans="1:4">
      <c r="A813" s="3" t="s">
        <v>125</v>
      </c>
      <c r="B813" s="3" t="s">
        <v>126</v>
      </c>
      <c r="C813">
        <v>2016</v>
      </c>
      <c r="D813">
        <v>103000000</v>
      </c>
    </row>
    <row r="814" spans="1:4">
      <c r="A814" s="3" t="s">
        <v>125</v>
      </c>
      <c r="B814" s="3" t="s">
        <v>126</v>
      </c>
      <c r="C814">
        <v>2017</v>
      </c>
      <c r="D814">
        <v>53000000</v>
      </c>
    </row>
    <row r="815" spans="1:4">
      <c r="A815" s="3" t="s">
        <v>125</v>
      </c>
      <c r="B815" s="3" t="s">
        <v>126</v>
      </c>
      <c r="C815">
        <v>2018</v>
      </c>
      <c r="D815">
        <v>54000000</v>
      </c>
    </row>
    <row r="816" spans="1:4">
      <c r="A816" s="3" t="s">
        <v>125</v>
      </c>
      <c r="B816" s="3" t="s">
        <v>126</v>
      </c>
      <c r="C816">
        <v>2019</v>
      </c>
      <c r="D816">
        <v>55000000</v>
      </c>
    </row>
    <row r="817" spans="1:4">
      <c r="A817" s="3" t="s">
        <v>125</v>
      </c>
      <c r="B817" s="3" t="s">
        <v>126</v>
      </c>
      <c r="C817">
        <v>2020</v>
      </c>
      <c r="D817">
        <v>63000000</v>
      </c>
    </row>
    <row r="818" spans="1:4">
      <c r="A818" s="3" t="s">
        <v>125</v>
      </c>
      <c r="B818" s="3" t="s">
        <v>126</v>
      </c>
      <c r="C818">
        <v>2021</v>
      </c>
      <c r="D818">
        <v>264000000</v>
      </c>
    </row>
    <row r="819" spans="1:4">
      <c r="A819" s="3" t="s">
        <v>125</v>
      </c>
      <c r="B819" s="3" t="s">
        <v>126</v>
      </c>
      <c r="C819">
        <v>2022</v>
      </c>
      <c r="D819">
        <v>214000000</v>
      </c>
    </row>
    <row r="820" spans="1:4">
      <c r="A820" s="3" t="s">
        <v>125</v>
      </c>
      <c r="B820" s="3" t="s">
        <v>126</v>
      </c>
      <c r="C820">
        <v>2023</v>
      </c>
      <c r="D820">
        <v>280000000</v>
      </c>
    </row>
    <row r="821" spans="1:4">
      <c r="A821" s="3" t="s">
        <v>125</v>
      </c>
      <c r="B821" s="3" t="s">
        <v>126</v>
      </c>
      <c r="C821">
        <v>2024</v>
      </c>
      <c r="D821">
        <v>440000000</v>
      </c>
    </row>
    <row r="822" spans="1:4">
      <c r="A822" s="3" t="s">
        <v>127</v>
      </c>
      <c r="B822" s="3" t="s">
        <v>128</v>
      </c>
      <c r="C822">
        <v>2000</v>
      </c>
      <c r="D822">
        <v>13000000</v>
      </c>
    </row>
    <row r="823" spans="1:4">
      <c r="A823" s="3" t="s">
        <v>127</v>
      </c>
      <c r="B823" s="3" t="s">
        <v>128</v>
      </c>
      <c r="C823">
        <v>2001</v>
      </c>
      <c r="D823">
        <v>5000000</v>
      </c>
    </row>
    <row r="824" spans="1:4">
      <c r="A824" s="3" t="s">
        <v>127</v>
      </c>
      <c r="B824" s="3" t="s">
        <v>128</v>
      </c>
      <c r="C824">
        <v>2002</v>
      </c>
      <c r="D824">
        <v>0</v>
      </c>
    </row>
    <row r="825" spans="1:4">
      <c r="A825" s="3" t="s">
        <v>127</v>
      </c>
      <c r="B825" s="3" t="s">
        <v>128</v>
      </c>
      <c r="C825">
        <v>2003</v>
      </c>
      <c r="D825">
        <v>9000000</v>
      </c>
    </row>
    <row r="826" spans="1:4">
      <c r="A826" s="3" t="s">
        <v>127</v>
      </c>
      <c r="B826" s="3" t="s">
        <v>128</v>
      </c>
      <c r="C826">
        <v>2004</v>
      </c>
      <c r="D826">
        <v>36000000</v>
      </c>
    </row>
    <row r="827" spans="1:4">
      <c r="A827" s="3" t="s">
        <v>127</v>
      </c>
      <c r="B827" s="3" t="s">
        <v>128</v>
      </c>
      <c r="C827">
        <v>2005</v>
      </c>
      <c r="D827">
        <v>2000000</v>
      </c>
    </row>
    <row r="828" spans="1:4">
      <c r="A828" s="3" t="s">
        <v>127</v>
      </c>
      <c r="B828" s="3" t="s">
        <v>128</v>
      </c>
      <c r="C828">
        <v>2009</v>
      </c>
      <c r="D828">
        <v>10000000</v>
      </c>
    </row>
    <row r="829" spans="1:4">
      <c r="A829" s="3" t="s">
        <v>127</v>
      </c>
      <c r="B829" s="3" t="s">
        <v>128</v>
      </c>
      <c r="C829">
        <v>2010</v>
      </c>
      <c r="D829">
        <v>51000000</v>
      </c>
    </row>
    <row r="830" spans="1:4">
      <c r="A830" s="3" t="s">
        <v>127</v>
      </c>
      <c r="B830" s="3" t="s">
        <v>128</v>
      </c>
      <c r="C830">
        <v>2011</v>
      </c>
      <c r="D830">
        <v>12000000</v>
      </c>
    </row>
    <row r="831" spans="1:4">
      <c r="A831" s="3" t="s">
        <v>127</v>
      </c>
      <c r="B831" s="3" t="s">
        <v>128</v>
      </c>
      <c r="C831">
        <v>2015</v>
      </c>
      <c r="D831">
        <v>1000000</v>
      </c>
    </row>
    <row r="832" spans="1:4">
      <c r="A832" s="3" t="s">
        <v>127</v>
      </c>
      <c r="B832" s="3" t="s">
        <v>128</v>
      </c>
      <c r="C832">
        <v>2016</v>
      </c>
      <c r="D832">
        <v>0</v>
      </c>
    </row>
    <row r="833" spans="1:4">
      <c r="A833" s="3" t="s">
        <v>127</v>
      </c>
      <c r="B833" s="3" t="s">
        <v>128</v>
      </c>
      <c r="C833">
        <v>2020</v>
      </c>
      <c r="D833">
        <v>4000000</v>
      </c>
    </row>
    <row r="834" spans="1:4">
      <c r="A834" s="3" t="s">
        <v>127</v>
      </c>
      <c r="B834" s="3" t="s">
        <v>128</v>
      </c>
      <c r="C834">
        <v>2022</v>
      </c>
      <c r="D834">
        <v>5000000</v>
      </c>
    </row>
    <row r="835" spans="1:4">
      <c r="A835" s="3" t="s">
        <v>127</v>
      </c>
      <c r="B835" s="3" t="s">
        <v>128</v>
      </c>
      <c r="C835">
        <v>2023</v>
      </c>
      <c r="D835">
        <v>9000000</v>
      </c>
    </row>
    <row r="836" spans="1:4">
      <c r="A836" s="3" t="s">
        <v>127</v>
      </c>
      <c r="B836" s="3" t="s">
        <v>128</v>
      </c>
      <c r="C836">
        <v>2024</v>
      </c>
      <c r="D836">
        <v>10000000</v>
      </c>
    </row>
    <row r="837" spans="1:4">
      <c r="A837" s="3" t="s">
        <v>129</v>
      </c>
      <c r="B837" s="3" t="s">
        <v>130</v>
      </c>
      <c r="C837">
        <v>2000</v>
      </c>
      <c r="D837">
        <v>405000000</v>
      </c>
    </row>
    <row r="838" spans="1:4">
      <c r="A838" s="3" t="s">
        <v>129</v>
      </c>
      <c r="B838" s="3" t="s">
        <v>130</v>
      </c>
      <c r="C838">
        <v>2001</v>
      </c>
      <c r="D838">
        <v>539000000</v>
      </c>
    </row>
    <row r="839" spans="1:4">
      <c r="A839" s="3" t="s">
        <v>129</v>
      </c>
      <c r="B839" s="3" t="s">
        <v>130</v>
      </c>
      <c r="C839">
        <v>2002</v>
      </c>
      <c r="D839">
        <v>252000000</v>
      </c>
    </row>
    <row r="840" spans="1:4">
      <c r="A840" s="3" t="s">
        <v>129</v>
      </c>
      <c r="B840" s="3" t="s">
        <v>130</v>
      </c>
      <c r="C840">
        <v>2003</v>
      </c>
      <c r="D840">
        <v>204000000</v>
      </c>
    </row>
    <row r="841" spans="1:4">
      <c r="A841" s="3" t="s">
        <v>129</v>
      </c>
      <c r="B841" s="3" t="s">
        <v>130</v>
      </c>
      <c r="C841">
        <v>2004</v>
      </c>
      <c r="D841">
        <v>251000000</v>
      </c>
    </row>
    <row r="842" spans="1:4">
      <c r="A842" s="3" t="s">
        <v>129</v>
      </c>
      <c r="B842" s="3" t="s">
        <v>130</v>
      </c>
      <c r="C842">
        <v>2005</v>
      </c>
      <c r="D842">
        <v>159000000</v>
      </c>
    </row>
    <row r="843" spans="1:4">
      <c r="A843" s="3" t="s">
        <v>129</v>
      </c>
      <c r="B843" s="3" t="s">
        <v>130</v>
      </c>
      <c r="C843">
        <v>2006</v>
      </c>
      <c r="D843">
        <v>340000000</v>
      </c>
    </row>
    <row r="844" spans="1:4">
      <c r="A844" s="3" t="s">
        <v>129</v>
      </c>
      <c r="B844" s="3" t="s">
        <v>130</v>
      </c>
      <c r="C844">
        <v>2007</v>
      </c>
      <c r="D844">
        <v>507000000</v>
      </c>
    </row>
    <row r="845" spans="1:4">
      <c r="A845" s="3" t="s">
        <v>129</v>
      </c>
      <c r="B845" s="3" t="s">
        <v>130</v>
      </c>
      <c r="C845">
        <v>2008</v>
      </c>
      <c r="D845">
        <v>1522000000</v>
      </c>
    </row>
    <row r="846" spans="1:4">
      <c r="A846" s="3" t="s">
        <v>129</v>
      </c>
      <c r="B846" s="3" t="s">
        <v>130</v>
      </c>
      <c r="C846">
        <v>2009</v>
      </c>
      <c r="D846">
        <v>1076000000</v>
      </c>
    </row>
    <row r="847" spans="1:4">
      <c r="A847" s="3" t="s">
        <v>129</v>
      </c>
      <c r="B847" s="3" t="s">
        <v>130</v>
      </c>
      <c r="C847">
        <v>2010</v>
      </c>
      <c r="D847">
        <v>831000000</v>
      </c>
    </row>
    <row r="848" spans="1:4">
      <c r="A848" s="3" t="s">
        <v>129</v>
      </c>
      <c r="B848" s="3" t="s">
        <v>130</v>
      </c>
      <c r="C848">
        <v>2011</v>
      </c>
      <c r="D848">
        <v>1133000000</v>
      </c>
    </row>
    <row r="849" spans="1:4">
      <c r="A849" s="3" t="s">
        <v>129</v>
      </c>
      <c r="B849" s="3" t="s">
        <v>130</v>
      </c>
      <c r="C849">
        <v>2012</v>
      </c>
      <c r="D849">
        <v>662000000</v>
      </c>
    </row>
    <row r="850" spans="1:4">
      <c r="A850" s="3" t="s">
        <v>129</v>
      </c>
      <c r="B850" s="3" t="s">
        <v>130</v>
      </c>
      <c r="C850">
        <v>2013</v>
      </c>
      <c r="D850">
        <v>361000000</v>
      </c>
    </row>
    <row r="851" spans="1:4">
      <c r="A851" s="3" t="s">
        <v>129</v>
      </c>
      <c r="B851" s="3" t="s">
        <v>130</v>
      </c>
      <c r="C851">
        <v>2014</v>
      </c>
      <c r="D851">
        <v>715000000</v>
      </c>
    </row>
    <row r="852" spans="1:4">
      <c r="A852" s="3" t="s">
        <v>129</v>
      </c>
      <c r="B852" s="3" t="s">
        <v>130</v>
      </c>
      <c r="C852">
        <v>2015</v>
      </c>
      <c r="D852">
        <v>897000000</v>
      </c>
    </row>
    <row r="853" spans="1:4">
      <c r="A853" s="3" t="s">
        <v>129</v>
      </c>
      <c r="B853" s="3" t="s">
        <v>130</v>
      </c>
      <c r="C853">
        <v>2016</v>
      </c>
      <c r="D853">
        <v>2916000000</v>
      </c>
    </row>
    <row r="854" spans="1:4">
      <c r="A854" s="3" t="s">
        <v>129</v>
      </c>
      <c r="B854" s="3" t="s">
        <v>130</v>
      </c>
      <c r="C854">
        <v>2017</v>
      </c>
      <c r="D854">
        <v>1158000000</v>
      </c>
    </row>
    <row r="855" spans="1:4">
      <c r="A855" s="3" t="s">
        <v>129</v>
      </c>
      <c r="B855" s="3" t="s">
        <v>130</v>
      </c>
      <c r="C855">
        <v>2018</v>
      </c>
      <c r="D855">
        <v>1278000000</v>
      </c>
    </row>
    <row r="856" spans="1:4">
      <c r="A856" s="3" t="s">
        <v>129</v>
      </c>
      <c r="B856" s="3" t="s">
        <v>130</v>
      </c>
      <c r="C856">
        <v>2019</v>
      </c>
      <c r="D856">
        <v>167000000</v>
      </c>
    </row>
    <row r="857" spans="1:4">
      <c r="A857" s="3" t="s">
        <v>129</v>
      </c>
      <c r="B857" s="3" t="s">
        <v>130</v>
      </c>
      <c r="C857">
        <v>2020</v>
      </c>
      <c r="D857">
        <v>601000000</v>
      </c>
    </row>
    <row r="858" spans="1:4">
      <c r="A858" s="3" t="s">
        <v>129</v>
      </c>
      <c r="B858" s="3" t="s">
        <v>130</v>
      </c>
      <c r="C858">
        <v>2021</v>
      </c>
      <c r="D858">
        <v>164000000</v>
      </c>
    </row>
    <row r="859" spans="1:4">
      <c r="A859" s="3" t="s">
        <v>129</v>
      </c>
      <c r="B859" s="3" t="s">
        <v>130</v>
      </c>
      <c r="C859">
        <v>2022</v>
      </c>
      <c r="D859">
        <v>450000000</v>
      </c>
    </row>
    <row r="860" spans="1:4">
      <c r="A860" s="3" t="s">
        <v>129</v>
      </c>
      <c r="B860" s="3" t="s">
        <v>130</v>
      </c>
      <c r="C860">
        <v>2023</v>
      </c>
      <c r="D860">
        <v>394000000</v>
      </c>
    </row>
    <row r="861" spans="1:4">
      <c r="A861" s="3" t="s">
        <v>129</v>
      </c>
      <c r="B861" s="3" t="s">
        <v>130</v>
      </c>
      <c r="C861">
        <v>2024</v>
      </c>
      <c r="D861">
        <v>205000000</v>
      </c>
    </row>
    <row r="862" spans="1:4">
      <c r="A862" s="3" t="s">
        <v>131</v>
      </c>
      <c r="B862" s="3" t="s">
        <v>132</v>
      </c>
      <c r="C862">
        <v>2000</v>
      </c>
      <c r="D862">
        <v>2844000000</v>
      </c>
    </row>
    <row r="863" spans="1:4">
      <c r="A863" s="3" t="s">
        <v>131</v>
      </c>
      <c r="B863" s="3" t="s">
        <v>132</v>
      </c>
      <c r="C863">
        <v>2001</v>
      </c>
      <c r="D863">
        <v>3245000000</v>
      </c>
    </row>
    <row r="864" spans="1:4">
      <c r="A864" s="3" t="s">
        <v>131</v>
      </c>
      <c r="B864" s="3" t="s">
        <v>132</v>
      </c>
      <c r="C864">
        <v>2002</v>
      </c>
      <c r="D864">
        <v>3476000000</v>
      </c>
    </row>
    <row r="865" spans="1:4">
      <c r="A865" s="3" t="s">
        <v>131</v>
      </c>
      <c r="B865" s="3" t="s">
        <v>132</v>
      </c>
      <c r="C865">
        <v>2003</v>
      </c>
      <c r="D865">
        <v>3167000000</v>
      </c>
    </row>
    <row r="866" spans="1:4">
      <c r="A866" s="3" t="s">
        <v>131</v>
      </c>
      <c r="B866" s="3" t="s">
        <v>132</v>
      </c>
      <c r="C866">
        <v>2004</v>
      </c>
      <c r="D866">
        <v>4052000000</v>
      </c>
    </row>
    <row r="867" spans="1:4">
      <c r="A867" s="3" t="s">
        <v>131</v>
      </c>
      <c r="B867" s="3" t="s">
        <v>132</v>
      </c>
      <c r="C867">
        <v>2005</v>
      </c>
      <c r="D867">
        <v>4093000000</v>
      </c>
    </row>
    <row r="868" spans="1:4">
      <c r="A868" s="3" t="s">
        <v>131</v>
      </c>
      <c r="B868" s="3" t="s">
        <v>132</v>
      </c>
      <c r="C868">
        <v>2006</v>
      </c>
      <c r="D868">
        <v>3467000000</v>
      </c>
    </row>
    <row r="869" spans="1:4">
      <c r="A869" s="3" t="s">
        <v>131</v>
      </c>
      <c r="B869" s="3" t="s">
        <v>132</v>
      </c>
      <c r="C869">
        <v>2007</v>
      </c>
      <c r="D869">
        <v>3021000000</v>
      </c>
    </row>
    <row r="870" spans="1:4">
      <c r="A870" s="3" t="s">
        <v>131</v>
      </c>
      <c r="B870" s="3" t="s">
        <v>132</v>
      </c>
      <c r="C870">
        <v>2008</v>
      </c>
      <c r="D870">
        <v>2835000000</v>
      </c>
    </row>
    <row r="871" spans="1:4">
      <c r="A871" s="3" t="s">
        <v>131</v>
      </c>
      <c r="B871" s="3" t="s">
        <v>132</v>
      </c>
      <c r="C871">
        <v>2009</v>
      </c>
      <c r="D871">
        <v>3333000000</v>
      </c>
    </row>
    <row r="872" spans="1:4">
      <c r="A872" s="3" t="s">
        <v>131</v>
      </c>
      <c r="B872" s="3" t="s">
        <v>132</v>
      </c>
      <c r="C872">
        <v>2010</v>
      </c>
      <c r="D872">
        <v>1777000000</v>
      </c>
    </row>
    <row r="873" spans="1:4">
      <c r="A873" s="3" t="s">
        <v>131</v>
      </c>
      <c r="B873" s="3" t="s">
        <v>132</v>
      </c>
      <c r="C873">
        <v>2011</v>
      </c>
      <c r="D873">
        <v>3325000000</v>
      </c>
    </row>
    <row r="874" spans="1:4">
      <c r="A874" s="3" t="s">
        <v>131</v>
      </c>
      <c r="B874" s="3" t="s">
        <v>132</v>
      </c>
      <c r="C874">
        <v>2012</v>
      </c>
      <c r="D874">
        <v>3377000000</v>
      </c>
    </row>
    <row r="875" spans="1:4">
      <c r="A875" s="3" t="s">
        <v>131</v>
      </c>
      <c r="B875" s="3" t="s">
        <v>132</v>
      </c>
      <c r="C875">
        <v>2013</v>
      </c>
      <c r="D875">
        <v>3301000000</v>
      </c>
    </row>
    <row r="876" spans="1:4">
      <c r="A876" s="3" t="s">
        <v>131</v>
      </c>
      <c r="B876" s="3" t="s">
        <v>132</v>
      </c>
      <c r="C876">
        <v>2014</v>
      </c>
      <c r="D876">
        <v>3762000000</v>
      </c>
    </row>
    <row r="877" spans="1:4">
      <c r="A877" s="3" t="s">
        <v>131</v>
      </c>
      <c r="B877" s="3" t="s">
        <v>132</v>
      </c>
      <c r="C877">
        <v>2015</v>
      </c>
      <c r="D877">
        <v>3290000000</v>
      </c>
    </row>
    <row r="878" spans="1:4">
      <c r="A878" s="3" t="s">
        <v>131</v>
      </c>
      <c r="B878" s="3" t="s">
        <v>132</v>
      </c>
      <c r="C878">
        <v>2016</v>
      </c>
      <c r="D878">
        <v>3613000000</v>
      </c>
    </row>
    <row r="879" spans="1:4">
      <c r="A879" s="3" t="s">
        <v>131</v>
      </c>
      <c r="B879" s="3" t="s">
        <v>132</v>
      </c>
      <c r="C879">
        <v>2017</v>
      </c>
      <c r="D879">
        <v>4505000000</v>
      </c>
    </row>
    <row r="880" spans="1:4">
      <c r="A880" s="3" t="s">
        <v>131</v>
      </c>
      <c r="B880" s="3" t="s">
        <v>132</v>
      </c>
      <c r="C880">
        <v>2018</v>
      </c>
      <c r="D880">
        <v>4313000000</v>
      </c>
    </row>
    <row r="881" spans="1:4">
      <c r="A881" s="3" t="s">
        <v>131</v>
      </c>
      <c r="B881" s="3" t="s">
        <v>132</v>
      </c>
      <c r="C881">
        <v>2019</v>
      </c>
      <c r="D881">
        <v>2807000000</v>
      </c>
    </row>
    <row r="882" spans="1:4">
      <c r="A882" s="3" t="s">
        <v>131</v>
      </c>
      <c r="B882" s="3" t="s">
        <v>132</v>
      </c>
      <c r="C882">
        <v>2020</v>
      </c>
      <c r="D882">
        <v>1921000000</v>
      </c>
    </row>
    <row r="883" spans="1:4">
      <c r="A883" s="3" t="s">
        <v>131</v>
      </c>
      <c r="B883" s="3" t="s">
        <v>132</v>
      </c>
      <c r="C883">
        <v>2021</v>
      </c>
      <c r="D883">
        <v>2100000000</v>
      </c>
    </row>
    <row r="884" spans="1:4">
      <c r="A884" s="3" t="s">
        <v>131</v>
      </c>
      <c r="B884" s="3" t="s">
        <v>132</v>
      </c>
      <c r="C884">
        <v>2022</v>
      </c>
      <c r="D884">
        <v>1717000000</v>
      </c>
    </row>
    <row r="885" spans="1:4">
      <c r="A885" s="3" t="s">
        <v>131</v>
      </c>
      <c r="B885" s="3" t="s">
        <v>132</v>
      </c>
      <c r="C885">
        <v>2023</v>
      </c>
      <c r="D885">
        <v>1479000000</v>
      </c>
    </row>
    <row r="886" spans="1:4">
      <c r="A886" s="3" t="s">
        <v>131</v>
      </c>
      <c r="B886" s="3" t="s">
        <v>132</v>
      </c>
      <c r="C886">
        <v>2024</v>
      </c>
      <c r="D886">
        <v>944000000</v>
      </c>
    </row>
    <row r="887" spans="1:4">
      <c r="A887" s="3" t="s">
        <v>133</v>
      </c>
      <c r="B887" s="3" t="s">
        <v>134</v>
      </c>
      <c r="C887">
        <v>2000</v>
      </c>
      <c r="D887">
        <v>6325000000</v>
      </c>
    </row>
    <row r="888" spans="1:4">
      <c r="A888" s="3" t="s">
        <v>133</v>
      </c>
      <c r="B888" s="3" t="s">
        <v>134</v>
      </c>
      <c r="C888">
        <v>2001</v>
      </c>
      <c r="D888">
        <v>5193000000</v>
      </c>
    </row>
    <row r="889" spans="1:4">
      <c r="A889" s="3" t="s">
        <v>133</v>
      </c>
      <c r="B889" s="3" t="s">
        <v>134</v>
      </c>
      <c r="C889">
        <v>2002</v>
      </c>
      <c r="D889">
        <v>6980000000</v>
      </c>
    </row>
    <row r="890" spans="1:4">
      <c r="A890" s="3" t="s">
        <v>133</v>
      </c>
      <c r="B890" s="3" t="s">
        <v>134</v>
      </c>
      <c r="C890">
        <v>2003</v>
      </c>
      <c r="D890">
        <v>6439000000</v>
      </c>
    </row>
    <row r="891" spans="1:4">
      <c r="A891" s="3" t="s">
        <v>133</v>
      </c>
      <c r="B891" s="3" t="s">
        <v>134</v>
      </c>
      <c r="C891">
        <v>2004</v>
      </c>
      <c r="D891">
        <v>7750000000</v>
      </c>
    </row>
    <row r="892" spans="1:4">
      <c r="A892" s="3" t="s">
        <v>133</v>
      </c>
      <c r="B892" s="3" t="s">
        <v>134</v>
      </c>
      <c r="C892">
        <v>2005</v>
      </c>
      <c r="D892">
        <v>6525000000</v>
      </c>
    </row>
    <row r="893" spans="1:4">
      <c r="A893" s="3" t="s">
        <v>133</v>
      </c>
      <c r="B893" s="3" t="s">
        <v>134</v>
      </c>
      <c r="C893">
        <v>2006</v>
      </c>
      <c r="D893">
        <v>7518000000</v>
      </c>
    </row>
    <row r="894" spans="1:4">
      <c r="A894" s="3" t="s">
        <v>133</v>
      </c>
      <c r="B894" s="3" t="s">
        <v>134</v>
      </c>
      <c r="C894">
        <v>2007</v>
      </c>
      <c r="D894">
        <v>9375000000</v>
      </c>
    </row>
    <row r="895" spans="1:4">
      <c r="A895" s="3" t="s">
        <v>133</v>
      </c>
      <c r="B895" s="3" t="s">
        <v>134</v>
      </c>
      <c r="C895">
        <v>2008</v>
      </c>
      <c r="D895">
        <v>8654000000</v>
      </c>
    </row>
    <row r="896" spans="1:4">
      <c r="A896" s="3" t="s">
        <v>133</v>
      </c>
      <c r="B896" s="3" t="s">
        <v>134</v>
      </c>
      <c r="C896">
        <v>2009</v>
      </c>
      <c r="D896">
        <v>8027000000</v>
      </c>
    </row>
    <row r="897" spans="1:4">
      <c r="A897" s="3" t="s">
        <v>133</v>
      </c>
      <c r="B897" s="3" t="s">
        <v>134</v>
      </c>
      <c r="C897">
        <v>2010</v>
      </c>
      <c r="D897">
        <v>10523000000</v>
      </c>
    </row>
    <row r="898" spans="1:4">
      <c r="A898" s="3" t="s">
        <v>133</v>
      </c>
      <c r="B898" s="3" t="s">
        <v>134</v>
      </c>
      <c r="C898">
        <v>2011</v>
      </c>
      <c r="D898">
        <v>12247000000</v>
      </c>
    </row>
    <row r="899" spans="1:4">
      <c r="A899" s="3" t="s">
        <v>133</v>
      </c>
      <c r="B899" s="3" t="s">
        <v>134</v>
      </c>
      <c r="C899">
        <v>2012</v>
      </c>
      <c r="D899">
        <v>12356000000</v>
      </c>
    </row>
    <row r="900" spans="1:4">
      <c r="A900" s="3" t="s">
        <v>133</v>
      </c>
      <c r="B900" s="3" t="s">
        <v>134</v>
      </c>
      <c r="C900">
        <v>2013</v>
      </c>
      <c r="D900">
        <v>14258000000</v>
      </c>
    </row>
    <row r="901" spans="1:4">
      <c r="A901" s="3" t="s">
        <v>133</v>
      </c>
      <c r="B901" s="3" t="s">
        <v>134</v>
      </c>
      <c r="C901">
        <v>2014</v>
      </c>
      <c r="D901">
        <v>12661000000</v>
      </c>
    </row>
    <row r="902" spans="1:4">
      <c r="A902" s="3" t="s">
        <v>133</v>
      </c>
      <c r="B902" s="3" t="s">
        <v>134</v>
      </c>
      <c r="C902">
        <v>2015</v>
      </c>
      <c r="D902">
        <v>13382000000</v>
      </c>
    </row>
    <row r="903" spans="1:4">
      <c r="A903" s="3" t="s">
        <v>133</v>
      </c>
      <c r="B903" s="3" t="s">
        <v>134</v>
      </c>
      <c r="C903">
        <v>2016</v>
      </c>
      <c r="D903">
        <v>15366000000</v>
      </c>
    </row>
    <row r="904" spans="1:4">
      <c r="A904" s="3" t="s">
        <v>133</v>
      </c>
      <c r="B904" s="3" t="s">
        <v>134</v>
      </c>
      <c r="C904">
        <v>2017</v>
      </c>
      <c r="D904">
        <v>15043000000</v>
      </c>
    </row>
    <row r="905" spans="1:4">
      <c r="A905" s="3" t="s">
        <v>133</v>
      </c>
      <c r="B905" s="3" t="s">
        <v>134</v>
      </c>
      <c r="C905">
        <v>2018</v>
      </c>
      <c r="D905">
        <v>11364000000</v>
      </c>
    </row>
    <row r="906" spans="1:4">
      <c r="A906" s="3" t="s">
        <v>133</v>
      </c>
      <c r="B906" s="3" t="s">
        <v>134</v>
      </c>
      <c r="C906">
        <v>2019</v>
      </c>
      <c r="D906">
        <v>11568000000</v>
      </c>
    </row>
    <row r="907" spans="1:4">
      <c r="A907" s="3" t="s">
        <v>133</v>
      </c>
      <c r="B907" s="3" t="s">
        <v>134</v>
      </c>
      <c r="C907">
        <v>2020</v>
      </c>
      <c r="D907">
        <v>9916000000</v>
      </c>
    </row>
    <row r="908" spans="1:4">
      <c r="A908" s="3" t="s">
        <v>133</v>
      </c>
      <c r="B908" s="3" t="s">
        <v>134</v>
      </c>
      <c r="C908">
        <v>2021</v>
      </c>
      <c r="D908">
        <v>10767000000</v>
      </c>
    </row>
    <row r="909" spans="1:4">
      <c r="A909" s="3" t="s">
        <v>133</v>
      </c>
      <c r="B909" s="3" t="s">
        <v>134</v>
      </c>
      <c r="C909">
        <v>2022</v>
      </c>
      <c r="D909">
        <v>11082000000</v>
      </c>
    </row>
    <row r="910" spans="1:4">
      <c r="A910" s="3" t="s">
        <v>133</v>
      </c>
      <c r="B910" s="3" t="s">
        <v>134</v>
      </c>
      <c r="C910">
        <v>2023</v>
      </c>
      <c r="D910">
        <v>9609000000</v>
      </c>
    </row>
    <row r="911" spans="1:4">
      <c r="A911" s="3" t="s">
        <v>133</v>
      </c>
      <c r="B911" s="3" t="s">
        <v>134</v>
      </c>
      <c r="C911">
        <v>2024</v>
      </c>
      <c r="D911">
        <v>6906000000</v>
      </c>
    </row>
    <row r="912" spans="1:4">
      <c r="A912" s="3" t="s">
        <v>135</v>
      </c>
      <c r="B912" s="3" t="s">
        <v>136</v>
      </c>
      <c r="C912">
        <v>2000</v>
      </c>
      <c r="D912">
        <v>6434000000</v>
      </c>
    </row>
    <row r="913" spans="1:4">
      <c r="A913" s="3" t="s">
        <v>135</v>
      </c>
      <c r="B913" s="3" t="s">
        <v>136</v>
      </c>
      <c r="C913">
        <v>2001</v>
      </c>
      <c r="D913">
        <v>6293000000</v>
      </c>
    </row>
    <row r="914" spans="1:4">
      <c r="A914" s="3" t="s">
        <v>135</v>
      </c>
      <c r="B914" s="3" t="s">
        <v>136</v>
      </c>
      <c r="C914">
        <v>2002</v>
      </c>
      <c r="D914">
        <v>5613000000</v>
      </c>
    </row>
    <row r="915" spans="1:4">
      <c r="A915" s="3" t="s">
        <v>135</v>
      </c>
      <c r="B915" s="3" t="s">
        <v>136</v>
      </c>
      <c r="C915">
        <v>2003</v>
      </c>
      <c r="D915">
        <v>5502000000</v>
      </c>
    </row>
    <row r="916" spans="1:4">
      <c r="A916" s="3" t="s">
        <v>135</v>
      </c>
      <c r="B916" s="3" t="s">
        <v>136</v>
      </c>
      <c r="C916">
        <v>2004</v>
      </c>
      <c r="D916">
        <v>6744000000</v>
      </c>
    </row>
    <row r="917" spans="1:4">
      <c r="A917" s="3" t="s">
        <v>135</v>
      </c>
      <c r="B917" s="3" t="s">
        <v>136</v>
      </c>
      <c r="C917">
        <v>2005</v>
      </c>
      <c r="D917">
        <v>6961000000</v>
      </c>
    </row>
    <row r="918" spans="1:4">
      <c r="A918" s="3" t="s">
        <v>135</v>
      </c>
      <c r="B918" s="3" t="s">
        <v>136</v>
      </c>
      <c r="C918">
        <v>2006</v>
      </c>
      <c r="D918">
        <v>6899000000</v>
      </c>
    </row>
    <row r="919" spans="1:4">
      <c r="A919" s="3" t="s">
        <v>135</v>
      </c>
      <c r="B919" s="3" t="s">
        <v>136</v>
      </c>
      <c r="C919">
        <v>2007</v>
      </c>
      <c r="D919">
        <v>6412000000</v>
      </c>
    </row>
    <row r="920" spans="1:4">
      <c r="A920" s="3" t="s">
        <v>135</v>
      </c>
      <c r="B920" s="3" t="s">
        <v>136</v>
      </c>
      <c r="C920">
        <v>2008</v>
      </c>
      <c r="D920">
        <v>7066000000</v>
      </c>
    </row>
    <row r="921" spans="1:4">
      <c r="A921" s="3" t="s">
        <v>135</v>
      </c>
      <c r="B921" s="3" t="s">
        <v>136</v>
      </c>
      <c r="C921">
        <v>2009</v>
      </c>
      <c r="D921">
        <v>7454000000</v>
      </c>
    </row>
    <row r="922" spans="1:4">
      <c r="A922" s="3" t="s">
        <v>135</v>
      </c>
      <c r="B922" s="3" t="s">
        <v>136</v>
      </c>
      <c r="C922">
        <v>2010</v>
      </c>
      <c r="D922">
        <v>6411000000</v>
      </c>
    </row>
    <row r="923" spans="1:4">
      <c r="A923" s="3" t="s">
        <v>135</v>
      </c>
      <c r="B923" s="3" t="s">
        <v>136</v>
      </c>
      <c r="C923">
        <v>2011</v>
      </c>
      <c r="D923">
        <v>8084000000</v>
      </c>
    </row>
    <row r="924" spans="1:4">
      <c r="A924" s="3" t="s">
        <v>135</v>
      </c>
      <c r="B924" s="3" t="s">
        <v>136</v>
      </c>
      <c r="C924">
        <v>2012</v>
      </c>
      <c r="D924">
        <v>6687000000</v>
      </c>
    </row>
    <row r="925" spans="1:4">
      <c r="A925" s="3" t="s">
        <v>135</v>
      </c>
      <c r="B925" s="3" t="s">
        <v>136</v>
      </c>
      <c r="C925">
        <v>2013</v>
      </c>
      <c r="D925">
        <v>5459000000</v>
      </c>
    </row>
    <row r="926" spans="1:4">
      <c r="A926" s="3" t="s">
        <v>135</v>
      </c>
      <c r="B926" s="3" t="s">
        <v>136</v>
      </c>
      <c r="C926">
        <v>2014</v>
      </c>
      <c r="D926">
        <v>7021000000</v>
      </c>
    </row>
    <row r="927" spans="1:4">
      <c r="A927" s="3" t="s">
        <v>135</v>
      </c>
      <c r="B927" s="3" t="s">
        <v>136</v>
      </c>
      <c r="C927">
        <v>2015</v>
      </c>
      <c r="D927">
        <v>6158000000</v>
      </c>
    </row>
    <row r="928" spans="1:4">
      <c r="A928" s="3" t="s">
        <v>135</v>
      </c>
      <c r="B928" s="3" t="s">
        <v>136</v>
      </c>
      <c r="C928">
        <v>2016</v>
      </c>
      <c r="D928">
        <v>6730000000</v>
      </c>
    </row>
    <row r="929" spans="1:4">
      <c r="A929" s="3" t="s">
        <v>135</v>
      </c>
      <c r="B929" s="3" t="s">
        <v>136</v>
      </c>
      <c r="C929">
        <v>2017</v>
      </c>
      <c r="D929">
        <v>8472000000</v>
      </c>
    </row>
    <row r="930" spans="1:4">
      <c r="A930" s="3" t="s">
        <v>135</v>
      </c>
      <c r="B930" s="3" t="s">
        <v>136</v>
      </c>
      <c r="C930">
        <v>2018</v>
      </c>
      <c r="D930">
        <v>8320000000</v>
      </c>
    </row>
    <row r="931" spans="1:4">
      <c r="A931" s="3" t="s">
        <v>135</v>
      </c>
      <c r="B931" s="3" t="s">
        <v>136</v>
      </c>
      <c r="C931">
        <v>2019</v>
      </c>
      <c r="D931">
        <v>7108000000</v>
      </c>
    </row>
    <row r="932" spans="1:4">
      <c r="A932" s="3" t="s">
        <v>135</v>
      </c>
      <c r="B932" s="3" t="s">
        <v>136</v>
      </c>
      <c r="C932">
        <v>2020</v>
      </c>
      <c r="D932">
        <v>6195000000</v>
      </c>
    </row>
    <row r="933" spans="1:4">
      <c r="A933" s="3" t="s">
        <v>135</v>
      </c>
      <c r="B933" s="3" t="s">
        <v>136</v>
      </c>
      <c r="C933">
        <v>2021</v>
      </c>
      <c r="D933">
        <v>5559000000</v>
      </c>
    </row>
    <row r="934" spans="1:4">
      <c r="A934" s="3" t="s">
        <v>135</v>
      </c>
      <c r="B934" s="3" t="s">
        <v>136</v>
      </c>
      <c r="C934">
        <v>2022</v>
      </c>
      <c r="D934">
        <v>5264000000</v>
      </c>
    </row>
    <row r="935" spans="1:4">
      <c r="A935" s="3" t="s">
        <v>135</v>
      </c>
      <c r="B935" s="3" t="s">
        <v>136</v>
      </c>
      <c r="C935">
        <v>2023</v>
      </c>
      <c r="D935">
        <v>4042000000</v>
      </c>
    </row>
    <row r="936" spans="1:4">
      <c r="A936" s="3" t="s">
        <v>135</v>
      </c>
      <c r="B936" s="3" t="s">
        <v>136</v>
      </c>
      <c r="C936">
        <v>2024</v>
      </c>
      <c r="D936">
        <v>5068000000</v>
      </c>
    </row>
    <row r="937" spans="1:4">
      <c r="A937" s="3" t="s">
        <v>137</v>
      </c>
      <c r="B937" s="3" t="s">
        <v>138</v>
      </c>
      <c r="C937">
        <v>2000</v>
      </c>
      <c r="D937">
        <v>1329000000</v>
      </c>
    </row>
    <row r="938" spans="1:4">
      <c r="A938" s="3" t="s">
        <v>137</v>
      </c>
      <c r="B938" s="3" t="s">
        <v>138</v>
      </c>
      <c r="C938">
        <v>2004</v>
      </c>
      <c r="D938">
        <v>488000000</v>
      </c>
    </row>
    <row r="939" spans="1:4">
      <c r="A939" s="3" t="s">
        <v>137</v>
      </c>
      <c r="B939" s="3" t="s">
        <v>138</v>
      </c>
      <c r="C939">
        <v>2005</v>
      </c>
      <c r="D939">
        <v>1294000000</v>
      </c>
    </row>
    <row r="940" spans="1:4">
      <c r="A940" s="3" t="s">
        <v>137</v>
      </c>
      <c r="B940" s="3" t="s">
        <v>138</v>
      </c>
      <c r="C940">
        <v>2006</v>
      </c>
      <c r="D940">
        <v>990000000</v>
      </c>
    </row>
    <row r="941" spans="1:4">
      <c r="A941" s="3" t="s">
        <v>137</v>
      </c>
      <c r="B941" s="3" t="s">
        <v>138</v>
      </c>
      <c r="C941">
        <v>2009</v>
      </c>
      <c r="D941">
        <v>1079000000</v>
      </c>
    </row>
    <row r="942" spans="1:4">
      <c r="A942" s="3" t="s">
        <v>137</v>
      </c>
      <c r="B942" s="3" t="s">
        <v>138</v>
      </c>
      <c r="C942">
        <v>2010</v>
      </c>
      <c r="D942">
        <v>821000000</v>
      </c>
    </row>
    <row r="943" spans="1:4">
      <c r="A943" s="3" t="s">
        <v>137</v>
      </c>
      <c r="B943" s="3" t="s">
        <v>138</v>
      </c>
      <c r="C943">
        <v>2011</v>
      </c>
      <c r="D943">
        <v>1745000000</v>
      </c>
    </row>
    <row r="944" spans="1:4">
      <c r="A944" s="3" t="s">
        <v>137</v>
      </c>
      <c r="B944" s="3" t="s">
        <v>138</v>
      </c>
      <c r="C944">
        <v>2012</v>
      </c>
      <c r="D944">
        <v>2186000000</v>
      </c>
    </row>
    <row r="945" spans="1:4">
      <c r="A945" s="3" t="s">
        <v>137</v>
      </c>
      <c r="B945" s="3" t="s">
        <v>138</v>
      </c>
      <c r="C945">
        <v>2013</v>
      </c>
      <c r="D945">
        <v>1523000000</v>
      </c>
    </row>
    <row r="946" spans="1:4">
      <c r="A946" s="3" t="s">
        <v>137</v>
      </c>
      <c r="B946" s="3" t="s">
        <v>138</v>
      </c>
      <c r="C946">
        <v>2014</v>
      </c>
      <c r="D946">
        <v>2421000000</v>
      </c>
    </row>
    <row r="947" spans="1:4">
      <c r="A947" s="3" t="s">
        <v>137</v>
      </c>
      <c r="B947" s="3" t="s">
        <v>138</v>
      </c>
      <c r="C947">
        <v>2015</v>
      </c>
      <c r="D947">
        <v>1644000000</v>
      </c>
    </row>
    <row r="948" spans="1:4">
      <c r="A948" s="3" t="s">
        <v>137</v>
      </c>
      <c r="B948" s="3" t="s">
        <v>138</v>
      </c>
      <c r="C948">
        <v>2016</v>
      </c>
      <c r="D948">
        <v>1632000000</v>
      </c>
    </row>
    <row r="949" spans="1:4">
      <c r="A949" s="3" t="s">
        <v>137</v>
      </c>
      <c r="B949" s="3" t="s">
        <v>138</v>
      </c>
      <c r="C949">
        <v>2017</v>
      </c>
      <c r="D949">
        <v>1339000000</v>
      </c>
    </row>
    <row r="950" spans="1:4">
      <c r="A950" s="3" t="s">
        <v>137</v>
      </c>
      <c r="B950" s="3" t="s">
        <v>138</v>
      </c>
      <c r="C950">
        <v>2018</v>
      </c>
      <c r="D950">
        <v>1530000000</v>
      </c>
    </row>
    <row r="951" spans="1:4">
      <c r="A951" s="3" t="s">
        <v>137</v>
      </c>
      <c r="B951" s="3" t="s">
        <v>138</v>
      </c>
      <c r="C951">
        <v>2019</v>
      </c>
      <c r="D951">
        <v>1823000000</v>
      </c>
    </row>
    <row r="952" spans="1:4">
      <c r="A952" s="3" t="s">
        <v>137</v>
      </c>
      <c r="B952" s="3" t="s">
        <v>138</v>
      </c>
      <c r="C952">
        <v>2020</v>
      </c>
      <c r="D952">
        <v>721000000</v>
      </c>
    </row>
    <row r="953" spans="1:4">
      <c r="A953" s="3" t="s">
        <v>137</v>
      </c>
      <c r="B953" s="3" t="s">
        <v>138</v>
      </c>
      <c r="C953">
        <v>2021</v>
      </c>
      <c r="D953">
        <v>1130000000</v>
      </c>
    </row>
    <row r="954" spans="1:4">
      <c r="A954" s="3" t="s">
        <v>137</v>
      </c>
      <c r="B954" s="3" t="s">
        <v>138</v>
      </c>
      <c r="C954">
        <v>2022</v>
      </c>
      <c r="D954">
        <v>3807000000</v>
      </c>
    </row>
    <row r="955" spans="1:4">
      <c r="A955" s="3" t="s">
        <v>137</v>
      </c>
      <c r="B955" s="3" t="s">
        <v>138</v>
      </c>
      <c r="C955">
        <v>2023</v>
      </c>
      <c r="D955">
        <v>5858000000</v>
      </c>
    </row>
    <row r="956" spans="1:4">
      <c r="A956" s="3" t="s">
        <v>137</v>
      </c>
      <c r="B956" s="3" t="s">
        <v>138</v>
      </c>
      <c r="C956">
        <v>2024</v>
      </c>
      <c r="D956">
        <v>6954000000</v>
      </c>
    </row>
    <row r="957" spans="1:4">
      <c r="A957" s="3" t="s">
        <v>139</v>
      </c>
      <c r="B957" s="3" t="s">
        <v>140</v>
      </c>
      <c r="C957">
        <v>2000</v>
      </c>
      <c r="D957">
        <v>6338000000</v>
      </c>
    </row>
    <row r="958" spans="1:4">
      <c r="A958" s="3" t="s">
        <v>139</v>
      </c>
      <c r="B958" s="3" t="s">
        <v>140</v>
      </c>
      <c r="C958">
        <v>2001</v>
      </c>
      <c r="D958">
        <v>4712000000</v>
      </c>
    </row>
    <row r="959" spans="1:4">
      <c r="A959" s="3" t="s">
        <v>139</v>
      </c>
      <c r="B959" s="3" t="s">
        <v>140</v>
      </c>
      <c r="C959">
        <v>2002</v>
      </c>
      <c r="D959">
        <v>3849000000</v>
      </c>
    </row>
    <row r="960" spans="1:4">
      <c r="A960" s="3" t="s">
        <v>139</v>
      </c>
      <c r="B960" s="3" t="s">
        <v>140</v>
      </c>
      <c r="C960">
        <v>2003</v>
      </c>
      <c r="D960">
        <v>5522000000</v>
      </c>
    </row>
    <row r="961" spans="1:4">
      <c r="A961" s="3" t="s">
        <v>139</v>
      </c>
      <c r="B961" s="3" t="s">
        <v>140</v>
      </c>
      <c r="C961">
        <v>2004</v>
      </c>
      <c r="D961">
        <v>4477000000</v>
      </c>
    </row>
    <row r="962" spans="1:4">
      <c r="A962" s="3" t="s">
        <v>139</v>
      </c>
      <c r="B962" s="3" t="s">
        <v>140</v>
      </c>
      <c r="C962">
        <v>2005</v>
      </c>
      <c r="D962">
        <v>4529000000</v>
      </c>
    </row>
    <row r="963" spans="1:4">
      <c r="A963" s="3" t="s">
        <v>139</v>
      </c>
      <c r="B963" s="3" t="s">
        <v>140</v>
      </c>
      <c r="C963">
        <v>2006</v>
      </c>
      <c r="D963">
        <v>5717000000</v>
      </c>
    </row>
    <row r="964" spans="1:4">
      <c r="A964" s="3" t="s">
        <v>139</v>
      </c>
      <c r="B964" s="3" t="s">
        <v>140</v>
      </c>
      <c r="C964">
        <v>2007</v>
      </c>
      <c r="D964">
        <v>7869000000</v>
      </c>
    </row>
    <row r="965" spans="1:4">
      <c r="A965" s="3" t="s">
        <v>139</v>
      </c>
      <c r="B965" s="3" t="s">
        <v>140</v>
      </c>
      <c r="C965">
        <v>2008</v>
      </c>
      <c r="D965">
        <v>5352000000</v>
      </c>
    </row>
    <row r="966" spans="1:4">
      <c r="A966" s="3" t="s">
        <v>139</v>
      </c>
      <c r="B966" s="3" t="s">
        <v>140</v>
      </c>
      <c r="C966">
        <v>2009</v>
      </c>
      <c r="D966">
        <v>5717000000</v>
      </c>
    </row>
    <row r="967" spans="1:4">
      <c r="A967" s="3" t="s">
        <v>139</v>
      </c>
      <c r="B967" s="3" t="s">
        <v>140</v>
      </c>
      <c r="C967">
        <v>2010</v>
      </c>
      <c r="D967">
        <v>4578000000</v>
      </c>
    </row>
    <row r="968" spans="1:4">
      <c r="A968" s="3" t="s">
        <v>139</v>
      </c>
      <c r="B968" s="3" t="s">
        <v>140</v>
      </c>
      <c r="C968">
        <v>2011</v>
      </c>
      <c r="D968">
        <v>4478000000</v>
      </c>
    </row>
    <row r="969" spans="1:4">
      <c r="A969" s="3" t="s">
        <v>139</v>
      </c>
      <c r="B969" s="3" t="s">
        <v>140</v>
      </c>
      <c r="C969">
        <v>2012</v>
      </c>
      <c r="D969">
        <v>4672000000</v>
      </c>
    </row>
    <row r="970" spans="1:4">
      <c r="A970" s="3" t="s">
        <v>139</v>
      </c>
      <c r="B970" s="3" t="s">
        <v>140</v>
      </c>
      <c r="C970">
        <v>2013</v>
      </c>
      <c r="D970">
        <v>3914000000</v>
      </c>
    </row>
    <row r="971" spans="1:4">
      <c r="A971" s="3" t="s">
        <v>139</v>
      </c>
      <c r="B971" s="3" t="s">
        <v>140</v>
      </c>
      <c r="C971">
        <v>2014</v>
      </c>
      <c r="D971">
        <v>4285000000</v>
      </c>
    </row>
    <row r="972" spans="1:4">
      <c r="A972" s="3" t="s">
        <v>139</v>
      </c>
      <c r="B972" s="3" t="s">
        <v>140</v>
      </c>
      <c r="C972">
        <v>2015</v>
      </c>
      <c r="D972">
        <v>4287000000</v>
      </c>
    </row>
    <row r="973" spans="1:4">
      <c r="A973" s="3" t="s">
        <v>139</v>
      </c>
      <c r="B973" s="3" t="s">
        <v>140</v>
      </c>
      <c r="C973">
        <v>2016</v>
      </c>
      <c r="D973">
        <v>4294000000</v>
      </c>
    </row>
    <row r="974" spans="1:4">
      <c r="A974" s="3" t="s">
        <v>139</v>
      </c>
      <c r="B974" s="3" t="s">
        <v>140</v>
      </c>
      <c r="C974">
        <v>2017</v>
      </c>
      <c r="D974">
        <v>4331000000</v>
      </c>
    </row>
    <row r="975" spans="1:4">
      <c r="A975" s="3" t="s">
        <v>139</v>
      </c>
      <c r="B975" s="3" t="s">
        <v>140</v>
      </c>
      <c r="C975">
        <v>2018</v>
      </c>
      <c r="D975">
        <v>3771000000</v>
      </c>
    </row>
    <row r="976" spans="1:4">
      <c r="A976" s="3" t="s">
        <v>139</v>
      </c>
      <c r="B976" s="3" t="s">
        <v>140</v>
      </c>
      <c r="C976">
        <v>2019</v>
      </c>
      <c r="D976">
        <v>4192000000</v>
      </c>
    </row>
    <row r="977" spans="1:4">
      <c r="A977" s="3" t="s">
        <v>139</v>
      </c>
      <c r="B977" s="3" t="s">
        <v>140</v>
      </c>
      <c r="C977">
        <v>2020</v>
      </c>
      <c r="D977">
        <v>4130000000</v>
      </c>
    </row>
    <row r="978" spans="1:4">
      <c r="A978" s="3" t="s">
        <v>139</v>
      </c>
      <c r="B978" s="3" t="s">
        <v>140</v>
      </c>
      <c r="C978">
        <v>2021</v>
      </c>
      <c r="D978">
        <v>5032000000</v>
      </c>
    </row>
    <row r="979" spans="1:4">
      <c r="A979" s="3" t="s">
        <v>139</v>
      </c>
      <c r="B979" s="3" t="s">
        <v>140</v>
      </c>
      <c r="C979">
        <v>2022</v>
      </c>
      <c r="D979">
        <v>9008000000</v>
      </c>
    </row>
    <row r="980" spans="1:4">
      <c r="A980" s="3" t="s">
        <v>139</v>
      </c>
      <c r="B980" s="3" t="s">
        <v>140</v>
      </c>
      <c r="C980">
        <v>2023</v>
      </c>
      <c r="D980">
        <v>11378000000</v>
      </c>
    </row>
    <row r="981" spans="1:4">
      <c r="A981" s="3" t="s">
        <v>139</v>
      </c>
      <c r="B981" s="3" t="s">
        <v>140</v>
      </c>
      <c r="C981">
        <v>2024</v>
      </c>
      <c r="D981">
        <v>14482000000</v>
      </c>
    </row>
    <row r="982" spans="1:4">
      <c r="A982" s="3" t="s">
        <v>141</v>
      </c>
      <c r="B982" s="3" t="s">
        <v>142</v>
      </c>
      <c r="C982">
        <v>2000</v>
      </c>
      <c r="D982">
        <v>9000000</v>
      </c>
    </row>
    <row r="983" spans="1:4">
      <c r="A983" s="3" t="s">
        <v>141</v>
      </c>
      <c r="B983" s="3" t="s">
        <v>142</v>
      </c>
      <c r="C983">
        <v>2001</v>
      </c>
      <c r="D983">
        <v>41000000</v>
      </c>
    </row>
    <row r="984" spans="1:4">
      <c r="A984" s="3" t="s">
        <v>141</v>
      </c>
      <c r="B984" s="3" t="s">
        <v>142</v>
      </c>
      <c r="C984">
        <v>2002</v>
      </c>
      <c r="D984">
        <v>1000000</v>
      </c>
    </row>
    <row r="985" spans="1:4">
      <c r="A985" s="3" t="s">
        <v>141</v>
      </c>
      <c r="B985" s="3" t="s">
        <v>142</v>
      </c>
      <c r="C985">
        <v>2005</v>
      </c>
      <c r="D985">
        <v>39000000</v>
      </c>
    </row>
    <row r="986" spans="1:4">
      <c r="A986" s="3" t="s">
        <v>141</v>
      </c>
      <c r="B986" s="3" t="s">
        <v>142</v>
      </c>
      <c r="C986">
        <v>2006</v>
      </c>
      <c r="D986">
        <v>47000000</v>
      </c>
    </row>
    <row r="987" spans="1:4">
      <c r="A987" s="3" t="s">
        <v>141</v>
      </c>
      <c r="B987" s="3" t="s">
        <v>142</v>
      </c>
      <c r="C987">
        <v>2007</v>
      </c>
      <c r="D987">
        <v>2000000</v>
      </c>
    </row>
    <row r="988" spans="1:4">
      <c r="A988" s="3" t="s">
        <v>141</v>
      </c>
      <c r="B988" s="3" t="s">
        <v>142</v>
      </c>
      <c r="C988">
        <v>2008</v>
      </c>
      <c r="D988">
        <v>102000000</v>
      </c>
    </row>
    <row r="989" spans="1:4">
      <c r="A989" s="3" t="s">
        <v>141</v>
      </c>
      <c r="B989" s="3" t="s">
        <v>142</v>
      </c>
      <c r="C989">
        <v>2009</v>
      </c>
      <c r="D989">
        <v>77000000</v>
      </c>
    </row>
    <row r="990" spans="1:4">
      <c r="A990" s="3" t="s">
        <v>141</v>
      </c>
      <c r="B990" s="3" t="s">
        <v>142</v>
      </c>
      <c r="C990">
        <v>2010</v>
      </c>
      <c r="D990">
        <v>90000000</v>
      </c>
    </row>
    <row r="991" spans="1:4">
      <c r="A991" s="3" t="s">
        <v>141</v>
      </c>
      <c r="B991" s="3" t="s">
        <v>142</v>
      </c>
      <c r="C991">
        <v>2011</v>
      </c>
      <c r="D991">
        <v>70000000</v>
      </c>
    </row>
    <row r="992" spans="1:4">
      <c r="A992" s="3" t="s">
        <v>141</v>
      </c>
      <c r="B992" s="3" t="s">
        <v>142</v>
      </c>
      <c r="C992">
        <v>2012</v>
      </c>
      <c r="D992">
        <v>89000000</v>
      </c>
    </row>
    <row r="993" spans="1:4">
      <c r="A993" s="3" t="s">
        <v>141</v>
      </c>
      <c r="B993" s="3" t="s">
        <v>142</v>
      </c>
      <c r="C993">
        <v>2013</v>
      </c>
      <c r="D993">
        <v>12000000</v>
      </c>
    </row>
    <row r="994" spans="1:4">
      <c r="A994" s="3" t="s">
        <v>141</v>
      </c>
      <c r="B994" s="3" t="s">
        <v>142</v>
      </c>
      <c r="C994">
        <v>2014</v>
      </c>
      <c r="D994">
        <v>56000000</v>
      </c>
    </row>
    <row r="995" spans="1:4">
      <c r="A995" s="3" t="s">
        <v>141</v>
      </c>
      <c r="B995" s="3" t="s">
        <v>142</v>
      </c>
      <c r="C995">
        <v>2015</v>
      </c>
      <c r="D995">
        <v>27000000</v>
      </c>
    </row>
    <row r="996" spans="1:4">
      <c r="A996" s="3" t="s">
        <v>141</v>
      </c>
      <c r="B996" s="3" t="s">
        <v>142</v>
      </c>
      <c r="C996">
        <v>2016</v>
      </c>
      <c r="D996">
        <v>26000000</v>
      </c>
    </row>
    <row r="997" spans="1:4">
      <c r="A997" s="3" t="s">
        <v>141</v>
      </c>
      <c r="B997" s="3" t="s">
        <v>142</v>
      </c>
      <c r="C997">
        <v>2017</v>
      </c>
      <c r="D997">
        <v>20000000</v>
      </c>
    </row>
    <row r="998" spans="1:4">
      <c r="A998" s="3" t="s">
        <v>141</v>
      </c>
      <c r="B998" s="3" t="s">
        <v>142</v>
      </c>
      <c r="C998">
        <v>2018</v>
      </c>
      <c r="D998">
        <v>5000000</v>
      </c>
    </row>
    <row r="999" spans="1:4">
      <c r="A999" s="3" t="s">
        <v>141</v>
      </c>
      <c r="B999" s="3" t="s">
        <v>142</v>
      </c>
      <c r="C999">
        <v>2019</v>
      </c>
      <c r="D999">
        <v>3000000</v>
      </c>
    </row>
    <row r="1000" spans="1:4">
      <c r="A1000" s="3" t="s">
        <v>141</v>
      </c>
      <c r="B1000" s="3" t="s">
        <v>142</v>
      </c>
      <c r="C1000">
        <v>2020</v>
      </c>
      <c r="D1000">
        <v>21000000</v>
      </c>
    </row>
    <row r="1001" spans="1:4">
      <c r="A1001" s="3" t="s">
        <v>141</v>
      </c>
      <c r="B1001" s="3" t="s">
        <v>142</v>
      </c>
      <c r="C1001">
        <v>2021</v>
      </c>
      <c r="D1001">
        <v>16000000</v>
      </c>
    </row>
    <row r="1002" spans="1:4">
      <c r="A1002" s="3" t="s">
        <v>141</v>
      </c>
      <c r="B1002" s="3" t="s">
        <v>142</v>
      </c>
      <c r="C1002">
        <v>2022</v>
      </c>
      <c r="D1002">
        <v>9000000</v>
      </c>
    </row>
    <row r="1003" spans="1:4">
      <c r="A1003" s="3" t="s">
        <v>141</v>
      </c>
      <c r="B1003" s="3" t="s">
        <v>142</v>
      </c>
      <c r="C1003">
        <v>2023</v>
      </c>
      <c r="D1003">
        <v>7000000</v>
      </c>
    </row>
    <row r="1004" spans="1:4">
      <c r="A1004" s="3" t="s">
        <v>141</v>
      </c>
      <c r="B1004" s="3" t="s">
        <v>142</v>
      </c>
      <c r="C1004">
        <v>2024</v>
      </c>
      <c r="D1004">
        <v>19000000</v>
      </c>
    </row>
    <row r="1005" spans="1:4">
      <c r="A1005" s="3" t="s">
        <v>143</v>
      </c>
      <c r="B1005" s="3" t="s">
        <v>144</v>
      </c>
      <c r="C1005">
        <v>2000</v>
      </c>
      <c r="D1005">
        <v>833000000</v>
      </c>
    </row>
    <row r="1006" spans="1:4">
      <c r="A1006" s="3" t="s">
        <v>143</v>
      </c>
      <c r="B1006" s="3" t="s">
        <v>144</v>
      </c>
      <c r="C1006">
        <v>2001</v>
      </c>
      <c r="D1006">
        <v>824000000</v>
      </c>
    </row>
    <row r="1007" spans="1:4">
      <c r="A1007" s="3" t="s">
        <v>143</v>
      </c>
      <c r="B1007" s="3" t="s">
        <v>144</v>
      </c>
      <c r="C1007">
        <v>2002</v>
      </c>
      <c r="D1007">
        <v>717000000</v>
      </c>
    </row>
    <row r="1008" spans="1:4">
      <c r="A1008" s="3" t="s">
        <v>143</v>
      </c>
      <c r="B1008" s="3" t="s">
        <v>144</v>
      </c>
      <c r="C1008">
        <v>2003</v>
      </c>
      <c r="D1008">
        <v>633000000</v>
      </c>
    </row>
    <row r="1009" spans="1:4">
      <c r="A1009" s="3" t="s">
        <v>143</v>
      </c>
      <c r="B1009" s="3" t="s">
        <v>144</v>
      </c>
      <c r="C1009">
        <v>2004</v>
      </c>
      <c r="D1009">
        <v>660000000</v>
      </c>
    </row>
    <row r="1010" spans="1:4">
      <c r="A1010" s="3" t="s">
        <v>143</v>
      </c>
      <c r="B1010" s="3" t="s">
        <v>144</v>
      </c>
      <c r="C1010">
        <v>2005</v>
      </c>
      <c r="D1010">
        <v>833000000</v>
      </c>
    </row>
    <row r="1011" spans="1:4">
      <c r="A1011" s="3" t="s">
        <v>143</v>
      </c>
      <c r="B1011" s="3" t="s">
        <v>144</v>
      </c>
      <c r="C1011">
        <v>2006</v>
      </c>
      <c r="D1011">
        <v>695000000</v>
      </c>
    </row>
    <row r="1012" spans="1:4">
      <c r="A1012" s="3" t="s">
        <v>143</v>
      </c>
      <c r="B1012" s="3" t="s">
        <v>144</v>
      </c>
      <c r="C1012">
        <v>2007</v>
      </c>
      <c r="D1012">
        <v>660000000</v>
      </c>
    </row>
    <row r="1013" spans="1:4">
      <c r="A1013" s="3" t="s">
        <v>143</v>
      </c>
      <c r="B1013" s="3" t="s">
        <v>144</v>
      </c>
      <c r="C1013">
        <v>2008</v>
      </c>
      <c r="D1013">
        <v>326000000</v>
      </c>
    </row>
    <row r="1014" spans="1:4">
      <c r="A1014" s="3" t="s">
        <v>143</v>
      </c>
      <c r="B1014" s="3" t="s">
        <v>144</v>
      </c>
      <c r="C1014">
        <v>2009</v>
      </c>
      <c r="D1014">
        <v>95000000</v>
      </c>
    </row>
    <row r="1015" spans="1:4">
      <c r="A1015" s="3" t="s">
        <v>143</v>
      </c>
      <c r="B1015" s="3" t="s">
        <v>144</v>
      </c>
      <c r="C1015">
        <v>2010</v>
      </c>
      <c r="D1015">
        <v>689000000</v>
      </c>
    </row>
    <row r="1016" spans="1:4">
      <c r="A1016" s="3" t="s">
        <v>143</v>
      </c>
      <c r="B1016" s="3" t="s">
        <v>144</v>
      </c>
      <c r="C1016">
        <v>2011</v>
      </c>
      <c r="D1016">
        <v>653000000</v>
      </c>
    </row>
    <row r="1017" spans="1:4">
      <c r="A1017" s="3" t="s">
        <v>143</v>
      </c>
      <c r="B1017" s="3" t="s">
        <v>144</v>
      </c>
      <c r="C1017">
        <v>2012</v>
      </c>
      <c r="D1017">
        <v>308000000</v>
      </c>
    </row>
    <row r="1018" spans="1:4">
      <c r="A1018" s="3" t="s">
        <v>143</v>
      </c>
      <c r="B1018" s="3" t="s">
        <v>144</v>
      </c>
      <c r="C1018">
        <v>2013</v>
      </c>
      <c r="D1018">
        <v>719000000</v>
      </c>
    </row>
    <row r="1019" spans="1:4">
      <c r="A1019" s="3" t="s">
        <v>143</v>
      </c>
      <c r="B1019" s="3" t="s">
        <v>144</v>
      </c>
      <c r="C1019">
        <v>2014</v>
      </c>
      <c r="D1019">
        <v>430000000</v>
      </c>
    </row>
    <row r="1020" spans="1:4">
      <c r="A1020" s="3" t="s">
        <v>143</v>
      </c>
      <c r="B1020" s="3" t="s">
        <v>144</v>
      </c>
      <c r="C1020">
        <v>2015</v>
      </c>
      <c r="D1020">
        <v>1443000000</v>
      </c>
    </row>
    <row r="1021" spans="1:4">
      <c r="A1021" s="3" t="s">
        <v>143</v>
      </c>
      <c r="B1021" s="3" t="s">
        <v>144</v>
      </c>
      <c r="C1021">
        <v>2016</v>
      </c>
      <c r="D1021">
        <v>1653000000</v>
      </c>
    </row>
    <row r="1022" spans="1:4">
      <c r="A1022" s="3" t="s">
        <v>143</v>
      </c>
      <c r="B1022" s="3" t="s">
        <v>144</v>
      </c>
      <c r="C1022">
        <v>2017</v>
      </c>
      <c r="D1022">
        <v>2480000000</v>
      </c>
    </row>
    <row r="1023" spans="1:4">
      <c r="A1023" s="3" t="s">
        <v>143</v>
      </c>
      <c r="B1023" s="3" t="s">
        <v>144</v>
      </c>
      <c r="C1023">
        <v>2018</v>
      </c>
      <c r="D1023">
        <v>1637000000</v>
      </c>
    </row>
    <row r="1024" spans="1:4">
      <c r="A1024" s="3" t="s">
        <v>143</v>
      </c>
      <c r="B1024" s="3" t="s">
        <v>144</v>
      </c>
      <c r="C1024">
        <v>2019</v>
      </c>
      <c r="D1024">
        <v>1088000000</v>
      </c>
    </row>
    <row r="1025" spans="1:4">
      <c r="A1025" s="3" t="s">
        <v>143</v>
      </c>
      <c r="B1025" s="3" t="s">
        <v>144</v>
      </c>
      <c r="C1025">
        <v>2020</v>
      </c>
      <c r="D1025">
        <v>1398000000</v>
      </c>
    </row>
    <row r="1026" spans="1:4">
      <c r="A1026" s="3" t="s">
        <v>143</v>
      </c>
      <c r="B1026" s="3" t="s">
        <v>144</v>
      </c>
      <c r="C1026">
        <v>2021</v>
      </c>
      <c r="D1026">
        <v>1299000000</v>
      </c>
    </row>
    <row r="1027" spans="1:4">
      <c r="A1027" s="3" t="s">
        <v>143</v>
      </c>
      <c r="B1027" s="3" t="s">
        <v>144</v>
      </c>
      <c r="C1027">
        <v>2022</v>
      </c>
      <c r="D1027">
        <v>742000000</v>
      </c>
    </row>
    <row r="1028" spans="1:4">
      <c r="A1028" s="3" t="s">
        <v>143</v>
      </c>
      <c r="B1028" s="3" t="s">
        <v>144</v>
      </c>
      <c r="C1028">
        <v>2023</v>
      </c>
      <c r="D1028">
        <v>1152000000</v>
      </c>
    </row>
    <row r="1029" spans="1:4">
      <c r="A1029" s="3" t="s">
        <v>143</v>
      </c>
      <c r="B1029" s="3" t="s">
        <v>144</v>
      </c>
      <c r="C1029">
        <v>2024</v>
      </c>
      <c r="D1029">
        <v>128000000</v>
      </c>
    </row>
    <row r="1030" spans="1:4">
      <c r="A1030" s="3" t="s">
        <v>145</v>
      </c>
      <c r="B1030" s="3" t="s">
        <v>146</v>
      </c>
      <c r="C1030">
        <v>2000</v>
      </c>
      <c r="D1030">
        <v>2236000000</v>
      </c>
    </row>
    <row r="1031" spans="1:4">
      <c r="A1031" s="3" t="s">
        <v>145</v>
      </c>
      <c r="B1031" s="3" t="s">
        <v>146</v>
      </c>
      <c r="C1031">
        <v>2001</v>
      </c>
      <c r="D1031">
        <v>1947000000</v>
      </c>
    </row>
    <row r="1032" spans="1:4">
      <c r="A1032" s="3" t="s">
        <v>145</v>
      </c>
      <c r="B1032" s="3" t="s">
        <v>146</v>
      </c>
      <c r="C1032">
        <v>2002</v>
      </c>
      <c r="D1032">
        <v>1552000000</v>
      </c>
    </row>
    <row r="1033" spans="1:4">
      <c r="A1033" s="3" t="s">
        <v>145</v>
      </c>
      <c r="B1033" s="3" t="s">
        <v>146</v>
      </c>
      <c r="C1033">
        <v>2003</v>
      </c>
      <c r="D1033">
        <v>3696000000</v>
      </c>
    </row>
    <row r="1034" spans="1:4">
      <c r="A1034" s="3" t="s">
        <v>145</v>
      </c>
      <c r="B1034" s="3" t="s">
        <v>146</v>
      </c>
      <c r="C1034">
        <v>2004</v>
      </c>
      <c r="D1034">
        <v>2709000000</v>
      </c>
    </row>
    <row r="1035" spans="1:4">
      <c r="A1035" s="3" t="s">
        <v>145</v>
      </c>
      <c r="B1035" s="3" t="s">
        <v>146</v>
      </c>
      <c r="C1035">
        <v>2005</v>
      </c>
      <c r="D1035">
        <v>1696000000</v>
      </c>
    </row>
    <row r="1036" spans="1:4">
      <c r="A1036" s="3" t="s">
        <v>145</v>
      </c>
      <c r="B1036" s="3" t="s">
        <v>146</v>
      </c>
      <c r="C1036">
        <v>2006</v>
      </c>
      <c r="D1036">
        <v>2698000000</v>
      </c>
    </row>
    <row r="1037" spans="1:4">
      <c r="A1037" s="3" t="s">
        <v>145</v>
      </c>
      <c r="B1037" s="3" t="s">
        <v>146</v>
      </c>
      <c r="C1037">
        <v>2007</v>
      </c>
      <c r="D1037">
        <v>3651000000</v>
      </c>
    </row>
    <row r="1038" spans="1:4">
      <c r="A1038" s="3" t="s">
        <v>145</v>
      </c>
      <c r="B1038" s="3" t="s">
        <v>146</v>
      </c>
      <c r="C1038">
        <v>2008</v>
      </c>
      <c r="D1038">
        <v>2433000000</v>
      </c>
    </row>
    <row r="1039" spans="1:4">
      <c r="A1039" s="3" t="s">
        <v>145</v>
      </c>
      <c r="B1039" s="3" t="s">
        <v>146</v>
      </c>
      <c r="C1039">
        <v>2009</v>
      </c>
      <c r="D1039">
        <v>3213000000</v>
      </c>
    </row>
    <row r="1040" spans="1:4">
      <c r="A1040" s="3" t="s">
        <v>145</v>
      </c>
      <c r="B1040" s="3" t="s">
        <v>146</v>
      </c>
      <c r="C1040">
        <v>2010</v>
      </c>
      <c r="D1040">
        <v>2712000000</v>
      </c>
    </row>
    <row r="1041" spans="1:4">
      <c r="A1041" s="3" t="s">
        <v>145</v>
      </c>
      <c r="B1041" s="3" t="s">
        <v>146</v>
      </c>
      <c r="C1041">
        <v>2011</v>
      </c>
      <c r="D1041">
        <v>1171000000</v>
      </c>
    </row>
    <row r="1042" spans="1:4">
      <c r="A1042" s="3" t="s">
        <v>145</v>
      </c>
      <c r="B1042" s="3" t="s">
        <v>146</v>
      </c>
      <c r="C1042">
        <v>2012</v>
      </c>
      <c r="D1042">
        <v>1061000000</v>
      </c>
    </row>
    <row r="1043" spans="1:4">
      <c r="A1043" s="3" t="s">
        <v>145</v>
      </c>
      <c r="B1043" s="3" t="s">
        <v>146</v>
      </c>
      <c r="C1043">
        <v>2013</v>
      </c>
      <c r="D1043">
        <v>1368000000</v>
      </c>
    </row>
    <row r="1044" spans="1:4">
      <c r="A1044" s="3" t="s">
        <v>145</v>
      </c>
      <c r="B1044" s="3" t="s">
        <v>146</v>
      </c>
      <c r="C1044">
        <v>2014</v>
      </c>
      <c r="D1044">
        <v>925000000</v>
      </c>
    </row>
    <row r="1045" spans="1:4">
      <c r="A1045" s="3" t="s">
        <v>145</v>
      </c>
      <c r="B1045" s="3" t="s">
        <v>146</v>
      </c>
      <c r="C1045">
        <v>2015</v>
      </c>
      <c r="D1045">
        <v>1748000000</v>
      </c>
    </row>
    <row r="1046" spans="1:4">
      <c r="A1046" s="3" t="s">
        <v>145</v>
      </c>
      <c r="B1046" s="3" t="s">
        <v>146</v>
      </c>
      <c r="C1046">
        <v>2016</v>
      </c>
      <c r="D1046">
        <v>1625000000</v>
      </c>
    </row>
    <row r="1047" spans="1:4">
      <c r="A1047" s="3" t="s">
        <v>145</v>
      </c>
      <c r="B1047" s="3" t="s">
        <v>146</v>
      </c>
      <c r="C1047">
        <v>2017</v>
      </c>
      <c r="D1047">
        <v>1247000000</v>
      </c>
    </row>
    <row r="1048" spans="1:4">
      <c r="A1048" s="3" t="s">
        <v>145</v>
      </c>
      <c r="B1048" s="3" t="s">
        <v>146</v>
      </c>
      <c r="C1048">
        <v>2018</v>
      </c>
      <c r="D1048">
        <v>1015000000</v>
      </c>
    </row>
    <row r="1049" spans="1:4">
      <c r="A1049" s="3" t="s">
        <v>145</v>
      </c>
      <c r="B1049" s="3" t="s">
        <v>146</v>
      </c>
      <c r="C1049">
        <v>2019</v>
      </c>
      <c r="D1049">
        <v>1268000000</v>
      </c>
    </row>
    <row r="1050" spans="1:4">
      <c r="A1050" s="3" t="s">
        <v>145</v>
      </c>
      <c r="B1050" s="3" t="s">
        <v>146</v>
      </c>
      <c r="C1050">
        <v>2020</v>
      </c>
      <c r="D1050">
        <v>1864000000</v>
      </c>
    </row>
    <row r="1051" spans="1:4">
      <c r="A1051" s="3" t="s">
        <v>145</v>
      </c>
      <c r="B1051" s="3" t="s">
        <v>146</v>
      </c>
      <c r="C1051">
        <v>2021</v>
      </c>
      <c r="D1051">
        <v>1908000000</v>
      </c>
    </row>
    <row r="1052" spans="1:4">
      <c r="A1052" s="3" t="s">
        <v>145</v>
      </c>
      <c r="B1052" s="3" t="s">
        <v>146</v>
      </c>
      <c r="C1052">
        <v>2022</v>
      </c>
      <c r="D1052">
        <v>2347000000</v>
      </c>
    </row>
    <row r="1053" spans="1:4">
      <c r="A1053" s="3" t="s">
        <v>145</v>
      </c>
      <c r="B1053" s="3" t="s">
        <v>146</v>
      </c>
      <c r="C1053">
        <v>2023</v>
      </c>
      <c r="D1053">
        <v>2241000000</v>
      </c>
    </row>
    <row r="1054" spans="1:4">
      <c r="A1054" s="3" t="s">
        <v>145</v>
      </c>
      <c r="B1054" s="3" t="s">
        <v>146</v>
      </c>
      <c r="C1054">
        <v>2024</v>
      </c>
      <c r="D1054">
        <v>3351000000</v>
      </c>
    </row>
    <row r="1055" spans="1:4">
      <c r="A1055" s="3" t="s">
        <v>147</v>
      </c>
      <c r="B1055" s="3" t="s">
        <v>148</v>
      </c>
      <c r="C1055">
        <v>2000</v>
      </c>
      <c r="D1055">
        <v>20000000</v>
      </c>
    </row>
    <row r="1056" spans="1:4">
      <c r="A1056" s="3" t="s">
        <v>147</v>
      </c>
      <c r="B1056" s="3" t="s">
        <v>148</v>
      </c>
      <c r="C1056">
        <v>2001</v>
      </c>
      <c r="D1056">
        <v>57000000</v>
      </c>
    </row>
    <row r="1057" spans="1:4">
      <c r="A1057" s="3" t="s">
        <v>147</v>
      </c>
      <c r="B1057" s="3" t="s">
        <v>148</v>
      </c>
      <c r="C1057">
        <v>2002</v>
      </c>
      <c r="D1057">
        <v>18000000</v>
      </c>
    </row>
    <row r="1058" spans="1:4">
      <c r="A1058" s="3" t="s">
        <v>147</v>
      </c>
      <c r="B1058" s="3" t="s">
        <v>148</v>
      </c>
      <c r="C1058">
        <v>2003</v>
      </c>
      <c r="D1058">
        <v>17000000</v>
      </c>
    </row>
    <row r="1059" spans="1:4">
      <c r="A1059" s="3" t="s">
        <v>147</v>
      </c>
      <c r="B1059" s="3" t="s">
        <v>148</v>
      </c>
      <c r="C1059">
        <v>2004</v>
      </c>
      <c r="D1059">
        <v>80000000</v>
      </c>
    </row>
    <row r="1060" spans="1:4">
      <c r="A1060" s="3" t="s">
        <v>147</v>
      </c>
      <c r="B1060" s="3" t="s">
        <v>148</v>
      </c>
      <c r="C1060">
        <v>2005</v>
      </c>
      <c r="D1060">
        <v>99000000</v>
      </c>
    </row>
    <row r="1061" spans="1:4">
      <c r="A1061" s="3" t="s">
        <v>147</v>
      </c>
      <c r="B1061" s="3" t="s">
        <v>148</v>
      </c>
      <c r="C1061">
        <v>2007</v>
      </c>
      <c r="D1061">
        <v>4000000</v>
      </c>
    </row>
    <row r="1062" spans="1:4">
      <c r="A1062" s="3" t="s">
        <v>149</v>
      </c>
      <c r="B1062" s="3" t="s">
        <v>150</v>
      </c>
      <c r="C1062">
        <v>2000</v>
      </c>
      <c r="D1062">
        <v>315000000</v>
      </c>
    </row>
    <row r="1063" spans="1:4">
      <c r="A1063" s="3" t="s">
        <v>149</v>
      </c>
      <c r="B1063" s="3" t="s">
        <v>150</v>
      </c>
      <c r="C1063">
        <v>2001</v>
      </c>
      <c r="D1063">
        <v>140000000</v>
      </c>
    </row>
    <row r="1064" spans="1:4">
      <c r="A1064" s="3" t="s">
        <v>149</v>
      </c>
      <c r="B1064" s="3" t="s">
        <v>150</v>
      </c>
      <c r="C1064">
        <v>2002</v>
      </c>
      <c r="D1064">
        <v>266000000</v>
      </c>
    </row>
    <row r="1065" spans="1:4">
      <c r="A1065" s="3" t="s">
        <v>149</v>
      </c>
      <c r="B1065" s="3" t="s">
        <v>150</v>
      </c>
      <c r="C1065">
        <v>2003</v>
      </c>
      <c r="D1065">
        <v>239000000</v>
      </c>
    </row>
    <row r="1066" spans="1:4">
      <c r="A1066" s="3" t="s">
        <v>149</v>
      </c>
      <c r="B1066" s="3" t="s">
        <v>150</v>
      </c>
      <c r="C1066">
        <v>2004</v>
      </c>
      <c r="D1066">
        <v>288000000</v>
      </c>
    </row>
    <row r="1067" spans="1:4">
      <c r="A1067" s="3" t="s">
        <v>149</v>
      </c>
      <c r="B1067" s="3" t="s">
        <v>150</v>
      </c>
      <c r="C1067">
        <v>2005</v>
      </c>
      <c r="D1067">
        <v>358000000</v>
      </c>
    </row>
    <row r="1068" spans="1:4">
      <c r="A1068" s="3" t="s">
        <v>149</v>
      </c>
      <c r="B1068" s="3" t="s">
        <v>150</v>
      </c>
      <c r="C1068">
        <v>2006</v>
      </c>
      <c r="D1068">
        <v>312000000</v>
      </c>
    </row>
    <row r="1069" spans="1:4">
      <c r="A1069" s="3" t="s">
        <v>149</v>
      </c>
      <c r="B1069" s="3" t="s">
        <v>150</v>
      </c>
      <c r="C1069">
        <v>2007</v>
      </c>
      <c r="D1069">
        <v>343000000</v>
      </c>
    </row>
    <row r="1070" spans="1:4">
      <c r="A1070" s="3" t="s">
        <v>149</v>
      </c>
      <c r="B1070" s="3" t="s">
        <v>150</v>
      </c>
      <c r="C1070">
        <v>2008</v>
      </c>
      <c r="D1070">
        <v>347000000</v>
      </c>
    </row>
    <row r="1071" spans="1:4">
      <c r="A1071" s="3" t="s">
        <v>149</v>
      </c>
      <c r="B1071" s="3" t="s">
        <v>150</v>
      </c>
      <c r="C1071">
        <v>2009</v>
      </c>
      <c r="D1071">
        <v>228000000</v>
      </c>
    </row>
    <row r="1072" spans="1:4">
      <c r="A1072" s="3" t="s">
        <v>149</v>
      </c>
      <c r="B1072" s="3" t="s">
        <v>150</v>
      </c>
      <c r="C1072">
        <v>2010</v>
      </c>
      <c r="D1072">
        <v>272000000</v>
      </c>
    </row>
    <row r="1073" spans="1:4">
      <c r="A1073" s="3" t="s">
        <v>149</v>
      </c>
      <c r="B1073" s="3" t="s">
        <v>150</v>
      </c>
      <c r="C1073">
        <v>2011</v>
      </c>
      <c r="D1073">
        <v>166000000</v>
      </c>
    </row>
    <row r="1074" spans="1:4">
      <c r="A1074" s="3" t="s">
        <v>149</v>
      </c>
      <c r="B1074" s="3" t="s">
        <v>150</v>
      </c>
      <c r="C1074">
        <v>2012</v>
      </c>
      <c r="D1074">
        <v>219000000</v>
      </c>
    </row>
    <row r="1075" spans="1:4">
      <c r="A1075" s="3" t="s">
        <v>149</v>
      </c>
      <c r="B1075" s="3" t="s">
        <v>150</v>
      </c>
      <c r="C1075">
        <v>2013</v>
      </c>
      <c r="D1075">
        <v>155000000</v>
      </c>
    </row>
    <row r="1076" spans="1:4">
      <c r="A1076" s="3" t="s">
        <v>149</v>
      </c>
      <c r="B1076" s="3" t="s">
        <v>150</v>
      </c>
      <c r="C1076">
        <v>2014</v>
      </c>
      <c r="D1076">
        <v>109000000</v>
      </c>
    </row>
    <row r="1077" spans="1:4">
      <c r="A1077" s="3" t="s">
        <v>149</v>
      </c>
      <c r="B1077" s="3" t="s">
        <v>150</v>
      </c>
      <c r="C1077">
        <v>2015</v>
      </c>
      <c r="D1077">
        <v>152000000</v>
      </c>
    </row>
    <row r="1078" spans="1:4">
      <c r="A1078" s="3" t="s">
        <v>149</v>
      </c>
      <c r="B1078" s="3" t="s">
        <v>150</v>
      </c>
      <c r="C1078">
        <v>2016</v>
      </c>
      <c r="D1078">
        <v>104000000</v>
      </c>
    </row>
    <row r="1079" spans="1:4">
      <c r="A1079" s="3" t="s">
        <v>149</v>
      </c>
      <c r="B1079" s="3" t="s">
        <v>150</v>
      </c>
      <c r="C1079">
        <v>2017</v>
      </c>
      <c r="D1079">
        <v>82000000</v>
      </c>
    </row>
    <row r="1080" spans="1:4">
      <c r="A1080" s="3" t="s">
        <v>149</v>
      </c>
      <c r="B1080" s="3" t="s">
        <v>150</v>
      </c>
      <c r="C1080">
        <v>2018</v>
      </c>
      <c r="D1080">
        <v>149000000</v>
      </c>
    </row>
    <row r="1081" spans="1:4">
      <c r="A1081" s="3" t="s">
        <v>149</v>
      </c>
      <c r="B1081" s="3" t="s">
        <v>150</v>
      </c>
      <c r="C1081">
        <v>2019</v>
      </c>
      <c r="D1081">
        <v>35000000</v>
      </c>
    </row>
    <row r="1082" spans="1:4">
      <c r="A1082" s="3" t="s">
        <v>149</v>
      </c>
      <c r="B1082" s="3" t="s">
        <v>150</v>
      </c>
      <c r="C1082">
        <v>2020</v>
      </c>
      <c r="D1082">
        <v>70000000</v>
      </c>
    </row>
    <row r="1083" spans="1:4">
      <c r="A1083" s="3" t="s">
        <v>149</v>
      </c>
      <c r="B1083" s="3" t="s">
        <v>150</v>
      </c>
      <c r="C1083">
        <v>2021</v>
      </c>
      <c r="D1083">
        <v>134000000</v>
      </c>
    </row>
    <row r="1084" spans="1:4">
      <c r="A1084" s="3" t="s">
        <v>149</v>
      </c>
      <c r="B1084" s="3" t="s">
        <v>150</v>
      </c>
      <c r="C1084">
        <v>2022</v>
      </c>
      <c r="D1084">
        <v>198000000</v>
      </c>
    </row>
    <row r="1085" spans="1:4">
      <c r="A1085" s="3" t="s">
        <v>149</v>
      </c>
      <c r="B1085" s="3" t="s">
        <v>150</v>
      </c>
      <c r="C1085">
        <v>2023</v>
      </c>
      <c r="D1085">
        <v>159000000</v>
      </c>
    </row>
    <row r="1086" spans="1:4">
      <c r="A1086" s="3" t="s">
        <v>149</v>
      </c>
      <c r="B1086" s="3" t="s">
        <v>150</v>
      </c>
      <c r="C1086">
        <v>2024</v>
      </c>
      <c r="D1086">
        <v>159000000</v>
      </c>
    </row>
    <row r="1087" spans="1:4">
      <c r="A1087" s="3" t="s">
        <v>151</v>
      </c>
      <c r="B1087" s="3" t="s">
        <v>152</v>
      </c>
      <c r="C1087">
        <v>2000</v>
      </c>
      <c r="D1087">
        <v>27000000</v>
      </c>
    </row>
    <row r="1088" spans="1:4">
      <c r="A1088" s="3" t="s">
        <v>151</v>
      </c>
      <c r="B1088" s="3" t="s">
        <v>152</v>
      </c>
      <c r="C1088">
        <v>2002</v>
      </c>
      <c r="D1088">
        <v>2000000</v>
      </c>
    </row>
    <row r="1089" spans="1:4">
      <c r="A1089" s="3" t="s">
        <v>151</v>
      </c>
      <c r="B1089" s="3" t="s">
        <v>152</v>
      </c>
      <c r="C1089">
        <v>2003</v>
      </c>
      <c r="D1089">
        <v>14000000</v>
      </c>
    </row>
    <row r="1090" spans="1:4">
      <c r="A1090" s="3" t="s">
        <v>151</v>
      </c>
      <c r="B1090" s="3" t="s">
        <v>152</v>
      </c>
      <c r="C1090">
        <v>2004</v>
      </c>
      <c r="D1090">
        <v>11000000</v>
      </c>
    </row>
    <row r="1091" spans="1:4">
      <c r="A1091" s="3" t="s">
        <v>151</v>
      </c>
      <c r="B1091" s="3" t="s">
        <v>152</v>
      </c>
      <c r="C1091">
        <v>2005</v>
      </c>
      <c r="D1091">
        <v>26000000</v>
      </c>
    </row>
    <row r="1092" spans="1:4">
      <c r="A1092" s="3" t="s">
        <v>151</v>
      </c>
      <c r="B1092" s="3" t="s">
        <v>152</v>
      </c>
      <c r="C1092">
        <v>2006</v>
      </c>
      <c r="D1092">
        <v>4000000</v>
      </c>
    </row>
    <row r="1093" spans="1:4">
      <c r="A1093" s="3" t="s">
        <v>151</v>
      </c>
      <c r="B1093" s="3" t="s">
        <v>152</v>
      </c>
      <c r="C1093">
        <v>2007</v>
      </c>
      <c r="D1093">
        <v>18000000</v>
      </c>
    </row>
    <row r="1094" spans="1:4">
      <c r="A1094" s="3" t="s">
        <v>151</v>
      </c>
      <c r="B1094" s="3" t="s">
        <v>152</v>
      </c>
      <c r="C1094">
        <v>2008</v>
      </c>
      <c r="D1094">
        <v>28000000</v>
      </c>
    </row>
    <row r="1095" spans="1:4">
      <c r="A1095" s="3" t="s">
        <v>151</v>
      </c>
      <c r="B1095" s="3" t="s">
        <v>152</v>
      </c>
      <c r="C1095">
        <v>2009</v>
      </c>
      <c r="D1095">
        <v>42000000</v>
      </c>
    </row>
    <row r="1096" spans="1:4">
      <c r="A1096" s="3" t="s">
        <v>151</v>
      </c>
      <c r="B1096" s="3" t="s">
        <v>152</v>
      </c>
      <c r="C1096">
        <v>2010</v>
      </c>
      <c r="D1096">
        <v>13000000</v>
      </c>
    </row>
    <row r="1097" spans="1:4">
      <c r="A1097" s="3" t="s">
        <v>151</v>
      </c>
      <c r="B1097" s="3" t="s">
        <v>152</v>
      </c>
      <c r="C1097">
        <v>2011</v>
      </c>
      <c r="D1097">
        <v>1000000</v>
      </c>
    </row>
    <row r="1098" spans="1:4">
      <c r="A1098" s="3" t="s">
        <v>151</v>
      </c>
      <c r="B1098" s="3" t="s">
        <v>152</v>
      </c>
      <c r="C1098">
        <v>2012</v>
      </c>
      <c r="D1098">
        <v>2000000</v>
      </c>
    </row>
    <row r="1099" spans="1:4">
      <c r="A1099" s="3" t="s">
        <v>151</v>
      </c>
      <c r="B1099" s="3" t="s">
        <v>152</v>
      </c>
      <c r="C1099">
        <v>2013</v>
      </c>
      <c r="D1099">
        <v>18000000</v>
      </c>
    </row>
    <row r="1100" spans="1:4">
      <c r="A1100" s="3" t="s">
        <v>151</v>
      </c>
      <c r="B1100" s="3" t="s">
        <v>152</v>
      </c>
      <c r="C1100">
        <v>2014</v>
      </c>
      <c r="D1100">
        <v>2000000</v>
      </c>
    </row>
    <row r="1101" spans="1:4">
      <c r="A1101" s="3" t="s">
        <v>151</v>
      </c>
      <c r="B1101" s="3" t="s">
        <v>152</v>
      </c>
      <c r="C1101">
        <v>2015</v>
      </c>
      <c r="D1101">
        <v>18000000</v>
      </c>
    </row>
    <row r="1102" spans="1:4">
      <c r="A1102" s="3" t="s">
        <v>151</v>
      </c>
      <c r="B1102" s="3" t="s">
        <v>152</v>
      </c>
      <c r="C1102">
        <v>2016</v>
      </c>
      <c r="D1102">
        <v>32000000</v>
      </c>
    </row>
    <row r="1103" spans="1:4">
      <c r="A1103" s="3" t="s">
        <v>151</v>
      </c>
      <c r="B1103" s="3" t="s">
        <v>152</v>
      </c>
      <c r="C1103">
        <v>2017</v>
      </c>
      <c r="D1103">
        <v>36000000</v>
      </c>
    </row>
    <row r="1104" spans="1:4">
      <c r="A1104" s="3" t="s">
        <v>151</v>
      </c>
      <c r="B1104" s="3" t="s">
        <v>152</v>
      </c>
      <c r="C1104">
        <v>2018</v>
      </c>
      <c r="D1104">
        <v>19000000</v>
      </c>
    </row>
    <row r="1105" spans="1:4">
      <c r="A1105" s="3" t="s">
        <v>151</v>
      </c>
      <c r="B1105" s="3" t="s">
        <v>152</v>
      </c>
      <c r="C1105">
        <v>2019</v>
      </c>
      <c r="D1105">
        <v>20000000</v>
      </c>
    </row>
    <row r="1106" spans="1:4">
      <c r="A1106" s="3" t="s">
        <v>151</v>
      </c>
      <c r="B1106" s="3" t="s">
        <v>152</v>
      </c>
      <c r="C1106">
        <v>2020</v>
      </c>
      <c r="D1106">
        <v>25000000</v>
      </c>
    </row>
    <row r="1107" spans="1:4">
      <c r="A1107" s="3" t="s">
        <v>151</v>
      </c>
      <c r="B1107" s="3" t="s">
        <v>152</v>
      </c>
      <c r="C1107">
        <v>2021</v>
      </c>
      <c r="D1107">
        <v>20000000</v>
      </c>
    </row>
    <row r="1108" spans="1:4">
      <c r="A1108" s="3" t="s">
        <v>151</v>
      </c>
      <c r="B1108" s="3" t="s">
        <v>152</v>
      </c>
      <c r="C1108">
        <v>2022</v>
      </c>
      <c r="D1108">
        <v>15000000</v>
      </c>
    </row>
    <row r="1109" spans="1:4">
      <c r="A1109" s="3" t="s">
        <v>151</v>
      </c>
      <c r="B1109" s="3" t="s">
        <v>152</v>
      </c>
      <c r="C1109">
        <v>2023</v>
      </c>
      <c r="D1109">
        <v>23000000</v>
      </c>
    </row>
    <row r="1110" spans="1:4">
      <c r="A1110" s="3" t="s">
        <v>151</v>
      </c>
      <c r="B1110" s="3" t="s">
        <v>152</v>
      </c>
      <c r="C1110">
        <v>2024</v>
      </c>
      <c r="D1110">
        <v>115000000</v>
      </c>
    </row>
    <row r="1111" spans="1:4">
      <c r="A1111" s="3" t="s">
        <v>153</v>
      </c>
      <c r="B1111" s="3" t="s">
        <v>154</v>
      </c>
      <c r="C1111">
        <v>2000</v>
      </c>
      <c r="D1111">
        <v>114000000</v>
      </c>
    </row>
    <row r="1112" spans="1:4">
      <c r="A1112" s="3" t="s">
        <v>153</v>
      </c>
      <c r="B1112" s="3" t="s">
        <v>154</v>
      </c>
      <c r="C1112">
        <v>2002</v>
      </c>
      <c r="D1112">
        <v>20000000</v>
      </c>
    </row>
    <row r="1113" spans="1:4">
      <c r="A1113" s="3" t="s">
        <v>153</v>
      </c>
      <c r="B1113" s="3" t="s">
        <v>154</v>
      </c>
      <c r="C1113">
        <v>2003</v>
      </c>
      <c r="D1113">
        <v>174000000</v>
      </c>
    </row>
    <row r="1114" spans="1:4">
      <c r="A1114" s="3" t="s">
        <v>153</v>
      </c>
      <c r="B1114" s="3" t="s">
        <v>154</v>
      </c>
      <c r="C1114">
        <v>2004</v>
      </c>
      <c r="D1114">
        <v>239000000</v>
      </c>
    </row>
    <row r="1115" spans="1:4">
      <c r="A1115" s="3" t="s">
        <v>153</v>
      </c>
      <c r="B1115" s="3" t="s">
        <v>154</v>
      </c>
      <c r="C1115">
        <v>2010</v>
      </c>
      <c r="D1115">
        <v>58000000</v>
      </c>
    </row>
    <row r="1116" spans="1:4">
      <c r="A1116" s="3" t="s">
        <v>153</v>
      </c>
      <c r="B1116" s="3" t="s">
        <v>154</v>
      </c>
      <c r="C1116">
        <v>2011</v>
      </c>
      <c r="D1116">
        <v>76000000</v>
      </c>
    </row>
    <row r="1117" spans="1:4">
      <c r="A1117" s="3" t="s">
        <v>153</v>
      </c>
      <c r="B1117" s="3" t="s">
        <v>154</v>
      </c>
      <c r="C1117">
        <v>2012</v>
      </c>
      <c r="D1117">
        <v>193000000</v>
      </c>
    </row>
    <row r="1118" spans="1:4">
      <c r="A1118" s="3" t="s">
        <v>153</v>
      </c>
      <c r="B1118" s="3" t="s">
        <v>154</v>
      </c>
      <c r="C1118">
        <v>2013</v>
      </c>
      <c r="D1118">
        <v>154000000</v>
      </c>
    </row>
    <row r="1119" spans="1:4">
      <c r="A1119" s="3" t="s">
        <v>153</v>
      </c>
      <c r="B1119" s="3" t="s">
        <v>154</v>
      </c>
      <c r="C1119">
        <v>2014</v>
      </c>
      <c r="D1119">
        <v>33000000</v>
      </c>
    </row>
    <row r="1120" spans="1:4">
      <c r="A1120" s="3" t="s">
        <v>153</v>
      </c>
      <c r="B1120" s="3" t="s">
        <v>154</v>
      </c>
      <c r="C1120">
        <v>2015</v>
      </c>
      <c r="D1120">
        <v>10000000</v>
      </c>
    </row>
    <row r="1121" spans="1:4">
      <c r="A1121" s="3" t="s">
        <v>153</v>
      </c>
      <c r="B1121" s="3" t="s">
        <v>154</v>
      </c>
      <c r="C1121">
        <v>2016</v>
      </c>
      <c r="D1121">
        <v>55000000</v>
      </c>
    </row>
    <row r="1122" spans="1:4">
      <c r="A1122" s="3" t="s">
        <v>153</v>
      </c>
      <c r="B1122" s="3" t="s">
        <v>154</v>
      </c>
      <c r="C1122">
        <v>2017</v>
      </c>
      <c r="D1122">
        <v>51000000</v>
      </c>
    </row>
    <row r="1123" spans="1:4">
      <c r="A1123" s="3" t="s">
        <v>153</v>
      </c>
      <c r="B1123" s="3" t="s">
        <v>154</v>
      </c>
      <c r="C1123">
        <v>2018</v>
      </c>
      <c r="D1123">
        <v>14000000</v>
      </c>
    </row>
    <row r="1124" spans="1:4">
      <c r="A1124" s="3" t="s">
        <v>153</v>
      </c>
      <c r="B1124" s="3" t="s">
        <v>154</v>
      </c>
      <c r="C1124">
        <v>2019</v>
      </c>
      <c r="D1124">
        <v>76000000</v>
      </c>
    </row>
    <row r="1125" spans="1:4">
      <c r="A1125" s="3" t="s">
        <v>153</v>
      </c>
      <c r="B1125" s="3" t="s">
        <v>154</v>
      </c>
      <c r="C1125">
        <v>2020</v>
      </c>
      <c r="D1125">
        <v>25000000</v>
      </c>
    </row>
    <row r="1126" spans="1:4">
      <c r="A1126" s="3" t="s">
        <v>153</v>
      </c>
      <c r="B1126" s="3" t="s">
        <v>154</v>
      </c>
      <c r="C1126">
        <v>2021</v>
      </c>
      <c r="D1126">
        <v>16000000</v>
      </c>
    </row>
    <row r="1127" spans="1:4">
      <c r="A1127" s="3" t="s">
        <v>153</v>
      </c>
      <c r="B1127" s="3" t="s">
        <v>154</v>
      </c>
      <c r="C1127">
        <v>2022</v>
      </c>
      <c r="D1127">
        <v>45000000</v>
      </c>
    </row>
    <row r="1128" spans="1:4">
      <c r="A1128" s="3" t="s">
        <v>153</v>
      </c>
      <c r="B1128" s="3" t="s">
        <v>154</v>
      </c>
      <c r="C1128">
        <v>2023</v>
      </c>
      <c r="D1128">
        <v>2000000</v>
      </c>
    </row>
    <row r="1129" spans="1:4">
      <c r="A1129" s="3" t="s">
        <v>153</v>
      </c>
      <c r="B1129" s="3" t="s">
        <v>154</v>
      </c>
      <c r="C1129">
        <v>2024</v>
      </c>
      <c r="D1129">
        <v>48000000</v>
      </c>
    </row>
    <row r="1130" spans="1:4">
      <c r="A1130" s="3" t="s">
        <v>155</v>
      </c>
      <c r="B1130" s="3" t="s">
        <v>156</v>
      </c>
      <c r="C1130">
        <v>2000</v>
      </c>
      <c r="D1130">
        <v>2676000000</v>
      </c>
    </row>
    <row r="1131" spans="1:4">
      <c r="A1131" s="3" t="s">
        <v>155</v>
      </c>
      <c r="B1131" s="3" t="s">
        <v>156</v>
      </c>
      <c r="C1131">
        <v>2001</v>
      </c>
      <c r="D1131">
        <v>2386000000</v>
      </c>
    </row>
    <row r="1132" spans="1:4">
      <c r="A1132" s="3" t="s">
        <v>155</v>
      </c>
      <c r="B1132" s="3" t="s">
        <v>156</v>
      </c>
      <c r="C1132">
        <v>2002</v>
      </c>
      <c r="D1132">
        <v>1981000000</v>
      </c>
    </row>
    <row r="1133" spans="1:4">
      <c r="A1133" s="3" t="s">
        <v>155</v>
      </c>
      <c r="B1133" s="3" t="s">
        <v>156</v>
      </c>
      <c r="C1133">
        <v>2003</v>
      </c>
      <c r="D1133">
        <v>4268000000</v>
      </c>
    </row>
    <row r="1134" spans="1:4">
      <c r="A1134" s="3" t="s">
        <v>155</v>
      </c>
      <c r="B1134" s="3" t="s">
        <v>156</v>
      </c>
      <c r="C1134">
        <v>2004</v>
      </c>
      <c r="D1134">
        <v>3572000000</v>
      </c>
    </row>
    <row r="1135" spans="1:4">
      <c r="A1135" s="3" t="s">
        <v>155</v>
      </c>
      <c r="B1135" s="3" t="s">
        <v>156</v>
      </c>
      <c r="C1135">
        <v>2005</v>
      </c>
      <c r="D1135">
        <v>3040000000</v>
      </c>
    </row>
    <row r="1136" spans="1:4">
      <c r="A1136" s="3" t="s">
        <v>155</v>
      </c>
      <c r="B1136" s="3" t="s">
        <v>156</v>
      </c>
      <c r="C1136">
        <v>2006</v>
      </c>
      <c r="D1136">
        <v>3710000000</v>
      </c>
    </row>
    <row r="1137" spans="1:4">
      <c r="A1137" s="3" t="s">
        <v>155</v>
      </c>
      <c r="B1137" s="3" t="s">
        <v>156</v>
      </c>
      <c r="C1137">
        <v>2007</v>
      </c>
      <c r="D1137">
        <v>5111000000</v>
      </c>
    </row>
    <row r="1138" spans="1:4">
      <c r="A1138" s="3" t="s">
        <v>155</v>
      </c>
      <c r="B1138" s="3" t="s">
        <v>156</v>
      </c>
      <c r="C1138">
        <v>2008</v>
      </c>
      <c r="D1138">
        <v>3326000000</v>
      </c>
    </row>
    <row r="1139" spans="1:4">
      <c r="A1139" s="3" t="s">
        <v>155</v>
      </c>
      <c r="B1139" s="3" t="s">
        <v>156</v>
      </c>
      <c r="C1139">
        <v>2009</v>
      </c>
      <c r="D1139">
        <v>3644000000</v>
      </c>
    </row>
    <row r="1140" spans="1:4">
      <c r="A1140" s="3" t="s">
        <v>155</v>
      </c>
      <c r="B1140" s="3" t="s">
        <v>156</v>
      </c>
      <c r="C1140">
        <v>2010</v>
      </c>
      <c r="D1140">
        <v>3083000000</v>
      </c>
    </row>
    <row r="1141" spans="1:4">
      <c r="A1141" s="3" t="s">
        <v>155</v>
      </c>
      <c r="B1141" s="3" t="s">
        <v>156</v>
      </c>
      <c r="C1141">
        <v>2011</v>
      </c>
      <c r="D1141">
        <v>1703000000</v>
      </c>
    </row>
    <row r="1142" spans="1:4">
      <c r="A1142" s="3" t="s">
        <v>155</v>
      </c>
      <c r="B1142" s="3" t="s">
        <v>156</v>
      </c>
      <c r="C1142">
        <v>2012</v>
      </c>
      <c r="D1142">
        <v>1658000000</v>
      </c>
    </row>
    <row r="1143" spans="1:4">
      <c r="A1143" s="3" t="s">
        <v>155</v>
      </c>
      <c r="B1143" s="3" t="s">
        <v>156</v>
      </c>
      <c r="C1143">
        <v>2013</v>
      </c>
      <c r="D1143">
        <v>1646000000</v>
      </c>
    </row>
    <row r="1144" spans="1:4">
      <c r="A1144" s="3" t="s">
        <v>155</v>
      </c>
      <c r="B1144" s="3" t="s">
        <v>156</v>
      </c>
      <c r="C1144">
        <v>2014</v>
      </c>
      <c r="D1144">
        <v>1431000000</v>
      </c>
    </row>
    <row r="1145" spans="1:4">
      <c r="A1145" s="3" t="s">
        <v>155</v>
      </c>
      <c r="B1145" s="3" t="s">
        <v>156</v>
      </c>
      <c r="C1145">
        <v>2015</v>
      </c>
      <c r="D1145">
        <v>1963000000</v>
      </c>
    </row>
    <row r="1146" spans="1:4">
      <c r="A1146" s="3" t="s">
        <v>155</v>
      </c>
      <c r="B1146" s="3" t="s">
        <v>156</v>
      </c>
      <c r="C1146">
        <v>2016</v>
      </c>
      <c r="D1146">
        <v>2041000000</v>
      </c>
    </row>
    <row r="1147" spans="1:4">
      <c r="A1147" s="3" t="s">
        <v>155</v>
      </c>
      <c r="B1147" s="3" t="s">
        <v>156</v>
      </c>
      <c r="C1147">
        <v>2017</v>
      </c>
      <c r="D1147">
        <v>1551000000</v>
      </c>
    </row>
    <row r="1148" spans="1:4">
      <c r="A1148" s="3" t="s">
        <v>155</v>
      </c>
      <c r="B1148" s="3" t="s">
        <v>156</v>
      </c>
      <c r="C1148">
        <v>2018</v>
      </c>
      <c r="D1148">
        <v>1196000000</v>
      </c>
    </row>
    <row r="1149" spans="1:4">
      <c r="A1149" s="3" t="s">
        <v>155</v>
      </c>
      <c r="B1149" s="3" t="s">
        <v>156</v>
      </c>
      <c r="C1149">
        <v>2019</v>
      </c>
      <c r="D1149">
        <v>1573000000</v>
      </c>
    </row>
    <row r="1150" spans="1:4">
      <c r="A1150" s="3" t="s">
        <v>155</v>
      </c>
      <c r="B1150" s="3" t="s">
        <v>156</v>
      </c>
      <c r="C1150">
        <v>2020</v>
      </c>
      <c r="D1150">
        <v>2314000000</v>
      </c>
    </row>
    <row r="1151" spans="1:4">
      <c r="A1151" s="3" t="s">
        <v>155</v>
      </c>
      <c r="B1151" s="3" t="s">
        <v>156</v>
      </c>
      <c r="C1151">
        <v>2021</v>
      </c>
      <c r="D1151">
        <v>2507000000</v>
      </c>
    </row>
    <row r="1152" spans="1:4">
      <c r="A1152" s="3" t="s">
        <v>155</v>
      </c>
      <c r="B1152" s="3" t="s">
        <v>156</v>
      </c>
      <c r="C1152">
        <v>2022</v>
      </c>
      <c r="D1152">
        <v>3588000000</v>
      </c>
    </row>
    <row r="1153" spans="1:4">
      <c r="A1153" s="3" t="s">
        <v>155</v>
      </c>
      <c r="B1153" s="3" t="s">
        <v>156</v>
      </c>
      <c r="C1153">
        <v>2023</v>
      </c>
      <c r="D1153">
        <v>4768000000</v>
      </c>
    </row>
    <row r="1154" spans="1:4">
      <c r="A1154" s="3" t="s">
        <v>155</v>
      </c>
      <c r="B1154" s="3" t="s">
        <v>156</v>
      </c>
      <c r="C1154">
        <v>2024</v>
      </c>
      <c r="D1154">
        <v>6348000000</v>
      </c>
    </row>
    <row r="1155" spans="1:4">
      <c r="A1155" s="3" t="s">
        <v>157</v>
      </c>
      <c r="B1155" s="3" t="s">
        <v>158</v>
      </c>
      <c r="C1155">
        <v>2009</v>
      </c>
      <c r="D1155">
        <v>1465000000</v>
      </c>
    </row>
    <row r="1156" spans="1:4">
      <c r="A1156" s="3" t="s">
        <v>157</v>
      </c>
      <c r="B1156" s="3" t="s">
        <v>158</v>
      </c>
      <c r="C1156">
        <v>2010</v>
      </c>
      <c r="D1156">
        <v>2426000000</v>
      </c>
    </row>
    <row r="1157" spans="1:4">
      <c r="A1157" s="3" t="s">
        <v>157</v>
      </c>
      <c r="B1157" s="3" t="s">
        <v>158</v>
      </c>
      <c r="C1157">
        <v>2012</v>
      </c>
      <c r="D1157">
        <v>2532000000</v>
      </c>
    </row>
    <row r="1158" spans="1:4">
      <c r="A1158" s="3" t="s">
        <v>157</v>
      </c>
      <c r="B1158" s="3" t="s">
        <v>158</v>
      </c>
      <c r="C1158">
        <v>2013</v>
      </c>
      <c r="D1158">
        <v>2084000000</v>
      </c>
    </row>
    <row r="1159" spans="1:4">
      <c r="A1159" s="3" t="s">
        <v>157</v>
      </c>
      <c r="B1159" s="3" t="s">
        <v>158</v>
      </c>
      <c r="C1159">
        <v>2014</v>
      </c>
      <c r="D1159">
        <v>1625000000</v>
      </c>
    </row>
    <row r="1160" spans="1:4">
      <c r="A1160" s="3" t="s">
        <v>157</v>
      </c>
      <c r="B1160" s="3" t="s">
        <v>158</v>
      </c>
      <c r="C1160">
        <v>2015</v>
      </c>
      <c r="D1160">
        <v>2394000000</v>
      </c>
    </row>
    <row r="1161" spans="1:4">
      <c r="A1161" s="3" t="s">
        <v>157</v>
      </c>
      <c r="B1161" s="3" t="s">
        <v>158</v>
      </c>
      <c r="C1161">
        <v>2016</v>
      </c>
      <c r="D1161">
        <v>3136000000</v>
      </c>
    </row>
    <row r="1162" spans="1:4">
      <c r="A1162" s="3" t="s">
        <v>157</v>
      </c>
      <c r="B1162" s="3" t="s">
        <v>158</v>
      </c>
      <c r="C1162">
        <v>2017</v>
      </c>
      <c r="D1162">
        <v>1709000000</v>
      </c>
    </row>
    <row r="1163" spans="1:4">
      <c r="A1163" s="3" t="s">
        <v>157</v>
      </c>
      <c r="B1163" s="3" t="s">
        <v>158</v>
      </c>
      <c r="C1163">
        <v>2018</v>
      </c>
      <c r="D1163">
        <v>1466000000</v>
      </c>
    </row>
    <row r="1164" spans="1:4">
      <c r="A1164" s="3" t="s">
        <v>157</v>
      </c>
      <c r="B1164" s="3" t="s">
        <v>158</v>
      </c>
      <c r="C1164">
        <v>2019</v>
      </c>
      <c r="D1164">
        <v>1138000000</v>
      </c>
    </row>
    <row r="1165" spans="1:4">
      <c r="A1165" s="3" t="s">
        <v>157</v>
      </c>
      <c r="B1165" s="3" t="s">
        <v>158</v>
      </c>
      <c r="C1165">
        <v>2020</v>
      </c>
      <c r="D1165">
        <v>793000000</v>
      </c>
    </row>
    <row r="1166" spans="1:4">
      <c r="A1166" s="3" t="s">
        <v>157</v>
      </c>
      <c r="B1166" s="3" t="s">
        <v>158</v>
      </c>
      <c r="C1166">
        <v>2021</v>
      </c>
      <c r="D1166">
        <v>687000000</v>
      </c>
    </row>
    <row r="1167" spans="1:4">
      <c r="A1167" s="3" t="s">
        <v>157</v>
      </c>
      <c r="B1167" s="3" t="s">
        <v>158</v>
      </c>
      <c r="C1167">
        <v>2022</v>
      </c>
      <c r="D1167">
        <v>3510000000</v>
      </c>
    </row>
    <row r="1168" spans="1:4">
      <c r="A1168" s="3" t="s">
        <v>157</v>
      </c>
      <c r="B1168" s="3" t="s">
        <v>158</v>
      </c>
      <c r="C1168">
        <v>2023</v>
      </c>
      <c r="D1168">
        <v>4836000000</v>
      </c>
    </row>
    <row r="1169" spans="1:4">
      <c r="A1169" s="3" t="s">
        <v>157</v>
      </c>
      <c r="B1169" s="3" t="s">
        <v>158</v>
      </c>
      <c r="C1169">
        <v>2024</v>
      </c>
      <c r="D1169">
        <v>6001000000</v>
      </c>
    </row>
    <row r="1170" spans="1:4">
      <c r="A1170" s="3" t="s">
        <v>159</v>
      </c>
      <c r="B1170" s="3" t="s">
        <v>160</v>
      </c>
      <c r="C1170">
        <v>2000</v>
      </c>
      <c r="D1170">
        <v>472000000</v>
      </c>
    </row>
    <row r="1171" spans="1:4">
      <c r="A1171" s="3" t="s">
        <v>159</v>
      </c>
      <c r="B1171" s="3" t="s">
        <v>160</v>
      </c>
      <c r="C1171">
        <v>2001</v>
      </c>
      <c r="D1171">
        <v>7000000</v>
      </c>
    </row>
    <row r="1172" spans="1:4">
      <c r="A1172" s="3" t="s">
        <v>159</v>
      </c>
      <c r="B1172" s="3" t="s">
        <v>160</v>
      </c>
      <c r="C1172">
        <v>2002</v>
      </c>
      <c r="D1172">
        <v>15000000</v>
      </c>
    </row>
    <row r="1173" spans="1:4">
      <c r="A1173" s="3" t="s">
        <v>159</v>
      </c>
      <c r="B1173" s="3" t="s">
        <v>160</v>
      </c>
      <c r="C1173">
        <v>2003</v>
      </c>
      <c r="D1173">
        <v>242000000</v>
      </c>
    </row>
    <row r="1174" spans="1:4">
      <c r="A1174" s="3" t="s">
        <v>159</v>
      </c>
      <c r="B1174" s="3" t="s">
        <v>160</v>
      </c>
      <c r="C1174">
        <v>2004</v>
      </c>
      <c r="D1174">
        <v>67000000</v>
      </c>
    </row>
    <row r="1175" spans="1:4">
      <c r="A1175" s="3" t="s">
        <v>159</v>
      </c>
      <c r="B1175" s="3" t="s">
        <v>160</v>
      </c>
      <c r="C1175">
        <v>2005</v>
      </c>
      <c r="D1175">
        <v>93000000</v>
      </c>
    </row>
    <row r="1176" spans="1:4">
      <c r="A1176" s="3" t="s">
        <v>159</v>
      </c>
      <c r="B1176" s="3" t="s">
        <v>160</v>
      </c>
      <c r="C1176">
        <v>2006</v>
      </c>
      <c r="D1176">
        <v>132000000</v>
      </c>
    </row>
    <row r="1177" spans="1:4">
      <c r="A1177" s="3" t="s">
        <v>159</v>
      </c>
      <c r="B1177" s="3" t="s">
        <v>160</v>
      </c>
      <c r="C1177">
        <v>2007</v>
      </c>
      <c r="D1177">
        <v>149000000</v>
      </c>
    </row>
    <row r="1178" spans="1:4">
      <c r="A1178" s="3" t="s">
        <v>159</v>
      </c>
      <c r="B1178" s="3" t="s">
        <v>160</v>
      </c>
      <c r="C1178">
        <v>2008</v>
      </c>
      <c r="D1178">
        <v>134000000</v>
      </c>
    </row>
    <row r="1179" spans="1:4">
      <c r="A1179" s="3" t="s">
        <v>159</v>
      </c>
      <c r="B1179" s="3" t="s">
        <v>160</v>
      </c>
      <c r="C1179">
        <v>2009</v>
      </c>
      <c r="D1179">
        <v>37000000</v>
      </c>
    </row>
    <row r="1180" spans="1:4">
      <c r="A1180" s="3" t="s">
        <v>159</v>
      </c>
      <c r="B1180" s="3" t="s">
        <v>160</v>
      </c>
      <c r="C1180">
        <v>2010</v>
      </c>
      <c r="D1180">
        <v>41000000</v>
      </c>
    </row>
    <row r="1181" spans="1:4">
      <c r="A1181" s="3" t="s">
        <v>159</v>
      </c>
      <c r="B1181" s="3" t="s">
        <v>160</v>
      </c>
      <c r="C1181">
        <v>2011</v>
      </c>
      <c r="D1181">
        <v>60000000</v>
      </c>
    </row>
    <row r="1182" spans="1:4">
      <c r="A1182" s="3" t="s">
        <v>159</v>
      </c>
      <c r="B1182" s="3" t="s">
        <v>160</v>
      </c>
      <c r="C1182">
        <v>2012</v>
      </c>
      <c r="D1182">
        <v>87000000</v>
      </c>
    </row>
    <row r="1183" spans="1:4">
      <c r="A1183" s="3" t="s">
        <v>159</v>
      </c>
      <c r="B1183" s="3" t="s">
        <v>160</v>
      </c>
      <c r="C1183">
        <v>2013</v>
      </c>
      <c r="D1183">
        <v>254000000</v>
      </c>
    </row>
    <row r="1184" spans="1:4">
      <c r="A1184" s="3" t="s">
        <v>159</v>
      </c>
      <c r="B1184" s="3" t="s">
        <v>160</v>
      </c>
      <c r="C1184">
        <v>2014</v>
      </c>
      <c r="D1184">
        <v>182000000</v>
      </c>
    </row>
    <row r="1185" spans="1:4">
      <c r="A1185" s="3" t="s">
        <v>159</v>
      </c>
      <c r="B1185" s="3" t="s">
        <v>160</v>
      </c>
      <c r="C1185">
        <v>2015</v>
      </c>
      <c r="D1185">
        <v>268000000</v>
      </c>
    </row>
    <row r="1186" spans="1:4">
      <c r="A1186" s="3" t="s">
        <v>159</v>
      </c>
      <c r="B1186" s="3" t="s">
        <v>160</v>
      </c>
      <c r="C1186">
        <v>2016</v>
      </c>
      <c r="D1186">
        <v>122000000</v>
      </c>
    </row>
    <row r="1187" spans="1:4">
      <c r="A1187" s="3" t="s">
        <v>159</v>
      </c>
      <c r="B1187" s="3" t="s">
        <v>160</v>
      </c>
      <c r="C1187">
        <v>2017</v>
      </c>
      <c r="D1187">
        <v>47000000</v>
      </c>
    </row>
    <row r="1188" spans="1:4">
      <c r="A1188" s="3" t="s">
        <v>159</v>
      </c>
      <c r="B1188" s="3" t="s">
        <v>160</v>
      </c>
      <c r="C1188">
        <v>2018</v>
      </c>
      <c r="D1188">
        <v>82000000</v>
      </c>
    </row>
    <row r="1189" spans="1:4">
      <c r="A1189" s="3" t="s">
        <v>159</v>
      </c>
      <c r="B1189" s="3" t="s">
        <v>160</v>
      </c>
      <c r="C1189">
        <v>2019</v>
      </c>
      <c r="D1189">
        <v>86000000</v>
      </c>
    </row>
    <row r="1190" spans="1:4">
      <c r="A1190" s="3" t="s">
        <v>159</v>
      </c>
      <c r="B1190" s="3" t="s">
        <v>160</v>
      </c>
      <c r="C1190">
        <v>2020</v>
      </c>
      <c r="D1190">
        <v>96000000</v>
      </c>
    </row>
    <row r="1191" spans="1:4">
      <c r="A1191" s="3" t="s">
        <v>159</v>
      </c>
      <c r="B1191" s="3" t="s">
        <v>160</v>
      </c>
      <c r="C1191">
        <v>2021</v>
      </c>
      <c r="D1191">
        <v>20000000</v>
      </c>
    </row>
    <row r="1192" spans="1:4">
      <c r="A1192" s="3" t="s">
        <v>159</v>
      </c>
      <c r="B1192" s="3" t="s">
        <v>160</v>
      </c>
      <c r="C1192">
        <v>2022</v>
      </c>
      <c r="D1192">
        <v>12000000</v>
      </c>
    </row>
    <row r="1193" spans="1:4">
      <c r="A1193" s="3" t="s">
        <v>159</v>
      </c>
      <c r="B1193" s="3" t="s">
        <v>160</v>
      </c>
      <c r="C1193">
        <v>2023</v>
      </c>
      <c r="D1193">
        <v>37000000</v>
      </c>
    </row>
    <row r="1194" spans="1:4">
      <c r="A1194" s="3" t="s">
        <v>159</v>
      </c>
      <c r="B1194" s="3" t="s">
        <v>160</v>
      </c>
      <c r="C1194">
        <v>2024</v>
      </c>
      <c r="D1194">
        <v>105000000</v>
      </c>
    </row>
    <row r="1195" spans="1:4">
      <c r="A1195" s="3" t="s">
        <v>161</v>
      </c>
      <c r="B1195" s="3" t="s">
        <v>162</v>
      </c>
      <c r="C1195">
        <v>2017</v>
      </c>
      <c r="D1195">
        <v>1000000</v>
      </c>
    </row>
    <row r="1196" spans="1:4">
      <c r="A1196" s="3" t="s">
        <v>161</v>
      </c>
      <c r="B1196" s="3" t="s">
        <v>162</v>
      </c>
      <c r="C1196">
        <v>2020</v>
      </c>
      <c r="D1196">
        <v>7000000</v>
      </c>
    </row>
    <row r="1197" spans="1:4">
      <c r="A1197" s="3" t="s">
        <v>161</v>
      </c>
      <c r="B1197" s="3" t="s">
        <v>162</v>
      </c>
      <c r="C1197">
        <v>2024</v>
      </c>
      <c r="D1197">
        <v>16000000</v>
      </c>
    </row>
    <row r="1198" spans="1:4">
      <c r="A1198" s="3" t="s">
        <v>163</v>
      </c>
      <c r="B1198" s="3" t="s">
        <v>164</v>
      </c>
      <c r="C1198">
        <v>2000</v>
      </c>
      <c r="D1198">
        <v>98000000</v>
      </c>
    </row>
    <row r="1199" spans="1:4">
      <c r="A1199" s="3" t="s">
        <v>163</v>
      </c>
      <c r="B1199" s="3" t="s">
        <v>164</v>
      </c>
      <c r="C1199">
        <v>2001</v>
      </c>
      <c r="D1199">
        <v>61000000</v>
      </c>
    </row>
    <row r="1200" spans="1:4">
      <c r="A1200" s="3" t="s">
        <v>163</v>
      </c>
      <c r="B1200" s="3" t="s">
        <v>164</v>
      </c>
      <c r="C1200">
        <v>2002</v>
      </c>
      <c r="D1200">
        <v>38000000</v>
      </c>
    </row>
    <row r="1201" spans="1:4">
      <c r="A1201" s="3" t="s">
        <v>163</v>
      </c>
      <c r="B1201" s="3" t="s">
        <v>164</v>
      </c>
      <c r="C1201">
        <v>2003</v>
      </c>
      <c r="D1201">
        <v>55000000</v>
      </c>
    </row>
    <row r="1202" spans="1:4">
      <c r="A1202" s="3" t="s">
        <v>163</v>
      </c>
      <c r="B1202" s="3" t="s">
        <v>164</v>
      </c>
      <c r="C1202">
        <v>2004</v>
      </c>
      <c r="D1202">
        <v>93000000</v>
      </c>
    </row>
    <row r="1203" spans="1:4">
      <c r="A1203" s="3" t="s">
        <v>163</v>
      </c>
      <c r="B1203" s="3" t="s">
        <v>164</v>
      </c>
      <c r="C1203">
        <v>2005</v>
      </c>
      <c r="D1203">
        <v>2000000</v>
      </c>
    </row>
    <row r="1204" spans="1:4">
      <c r="A1204" s="3" t="s">
        <v>163</v>
      </c>
      <c r="B1204" s="3" t="s">
        <v>164</v>
      </c>
      <c r="C1204">
        <v>2006</v>
      </c>
      <c r="D1204">
        <v>68000000</v>
      </c>
    </row>
    <row r="1205" spans="1:4">
      <c r="A1205" s="3" t="s">
        <v>163</v>
      </c>
      <c r="B1205" s="3" t="s">
        <v>164</v>
      </c>
      <c r="C1205">
        <v>2007</v>
      </c>
      <c r="D1205">
        <v>75000000</v>
      </c>
    </row>
    <row r="1206" spans="1:4">
      <c r="A1206" s="3" t="s">
        <v>163</v>
      </c>
      <c r="B1206" s="3" t="s">
        <v>164</v>
      </c>
      <c r="C1206">
        <v>2008</v>
      </c>
      <c r="D1206">
        <v>2000000</v>
      </c>
    </row>
    <row r="1207" spans="1:4">
      <c r="A1207" s="3" t="s">
        <v>163</v>
      </c>
      <c r="B1207" s="3" t="s">
        <v>164</v>
      </c>
      <c r="C1207">
        <v>2009</v>
      </c>
      <c r="D1207">
        <v>72000000</v>
      </c>
    </row>
    <row r="1208" spans="1:4">
      <c r="A1208" s="3" t="s">
        <v>163</v>
      </c>
      <c r="B1208" s="3" t="s">
        <v>164</v>
      </c>
      <c r="C1208">
        <v>2010</v>
      </c>
      <c r="D1208">
        <v>103000000</v>
      </c>
    </row>
    <row r="1209" spans="1:4">
      <c r="A1209" s="3" t="s">
        <v>163</v>
      </c>
      <c r="B1209" s="3" t="s">
        <v>164</v>
      </c>
      <c r="C1209">
        <v>2011</v>
      </c>
      <c r="D1209">
        <v>41000000</v>
      </c>
    </row>
    <row r="1210" spans="1:4">
      <c r="A1210" s="3" t="s">
        <v>163</v>
      </c>
      <c r="B1210" s="3" t="s">
        <v>164</v>
      </c>
      <c r="C1210">
        <v>2012</v>
      </c>
      <c r="D1210">
        <v>86000000</v>
      </c>
    </row>
    <row r="1211" spans="1:4">
      <c r="A1211" s="3" t="s">
        <v>163</v>
      </c>
      <c r="B1211" s="3" t="s">
        <v>164</v>
      </c>
      <c r="C1211">
        <v>2013</v>
      </c>
      <c r="D1211">
        <v>104000000</v>
      </c>
    </row>
    <row r="1212" spans="1:4">
      <c r="A1212" s="3" t="s">
        <v>163</v>
      </c>
      <c r="B1212" s="3" t="s">
        <v>164</v>
      </c>
      <c r="C1212">
        <v>2014</v>
      </c>
      <c r="D1212">
        <v>17000000</v>
      </c>
    </row>
    <row r="1213" spans="1:4">
      <c r="A1213" s="3" t="s">
        <v>163</v>
      </c>
      <c r="B1213" s="3" t="s">
        <v>164</v>
      </c>
      <c r="C1213">
        <v>2015</v>
      </c>
      <c r="D1213">
        <v>36000000</v>
      </c>
    </row>
    <row r="1214" spans="1:4">
      <c r="A1214" s="3" t="s">
        <v>163</v>
      </c>
      <c r="B1214" s="3" t="s">
        <v>164</v>
      </c>
      <c r="C1214">
        <v>2016</v>
      </c>
      <c r="D1214">
        <v>38000000</v>
      </c>
    </row>
    <row r="1215" spans="1:4">
      <c r="A1215" s="3" t="s">
        <v>163</v>
      </c>
      <c r="B1215" s="3" t="s">
        <v>164</v>
      </c>
      <c r="C1215">
        <v>2017</v>
      </c>
      <c r="D1215">
        <v>84000000</v>
      </c>
    </row>
    <row r="1216" spans="1:4">
      <c r="A1216" s="3" t="s">
        <v>163</v>
      </c>
      <c r="B1216" s="3" t="s">
        <v>164</v>
      </c>
      <c r="C1216">
        <v>2018</v>
      </c>
      <c r="D1216">
        <v>201000000</v>
      </c>
    </row>
    <row r="1217" spans="1:4">
      <c r="A1217" s="3" t="s">
        <v>163</v>
      </c>
      <c r="B1217" s="3" t="s">
        <v>164</v>
      </c>
      <c r="C1217">
        <v>2019</v>
      </c>
      <c r="D1217">
        <v>104000000</v>
      </c>
    </row>
    <row r="1218" spans="1:4">
      <c r="A1218" s="3" t="s">
        <v>163</v>
      </c>
      <c r="B1218" s="3" t="s">
        <v>164</v>
      </c>
      <c r="C1218">
        <v>2020</v>
      </c>
      <c r="D1218">
        <v>225000000</v>
      </c>
    </row>
    <row r="1219" spans="1:4">
      <c r="A1219" s="3" t="s">
        <v>163</v>
      </c>
      <c r="B1219" s="3" t="s">
        <v>164</v>
      </c>
      <c r="C1219">
        <v>2021</v>
      </c>
      <c r="D1219">
        <v>105000000</v>
      </c>
    </row>
    <row r="1220" spans="1:4">
      <c r="A1220" s="3" t="s">
        <v>163</v>
      </c>
      <c r="B1220" s="3" t="s">
        <v>164</v>
      </c>
      <c r="C1220">
        <v>2022</v>
      </c>
      <c r="D1220">
        <v>130000000</v>
      </c>
    </row>
    <row r="1221" spans="1:4">
      <c r="A1221" s="3" t="s">
        <v>163</v>
      </c>
      <c r="B1221" s="3" t="s">
        <v>164</v>
      </c>
      <c r="C1221">
        <v>2023</v>
      </c>
      <c r="D1221">
        <v>114000000</v>
      </c>
    </row>
    <row r="1222" spans="1:4">
      <c r="A1222" s="3" t="s">
        <v>163</v>
      </c>
      <c r="B1222" s="3" t="s">
        <v>164</v>
      </c>
      <c r="C1222">
        <v>2024</v>
      </c>
      <c r="D1222">
        <v>183000000</v>
      </c>
    </row>
    <row r="1223" spans="1:4">
      <c r="A1223" s="3" t="s">
        <v>167</v>
      </c>
      <c r="B1223" s="3" t="s">
        <v>168</v>
      </c>
      <c r="C1223">
        <v>2022</v>
      </c>
      <c r="D1223">
        <v>7000000</v>
      </c>
    </row>
    <row r="1224" spans="1:4">
      <c r="A1224" s="3" t="s">
        <v>167</v>
      </c>
      <c r="B1224" s="3" t="s">
        <v>168</v>
      </c>
      <c r="C1224">
        <v>2023</v>
      </c>
      <c r="D1224">
        <v>7000000</v>
      </c>
    </row>
    <row r="1225" spans="1:4">
      <c r="A1225" s="3" t="s">
        <v>169</v>
      </c>
      <c r="B1225" s="3" t="s">
        <v>170</v>
      </c>
      <c r="C1225">
        <v>2004</v>
      </c>
      <c r="D1225">
        <v>7000000</v>
      </c>
    </row>
    <row r="1226" spans="1:4">
      <c r="A1226" s="3" t="s">
        <v>169</v>
      </c>
      <c r="B1226" s="3" t="s">
        <v>170</v>
      </c>
      <c r="C1226">
        <v>2006</v>
      </c>
      <c r="D1226">
        <v>20000000</v>
      </c>
    </row>
    <row r="1227" spans="1:4">
      <c r="A1227" s="3" t="s">
        <v>169</v>
      </c>
      <c r="B1227" s="3" t="s">
        <v>170</v>
      </c>
      <c r="C1227">
        <v>2007</v>
      </c>
      <c r="D1227">
        <v>18000000</v>
      </c>
    </row>
    <row r="1228" spans="1:4">
      <c r="A1228" s="3" t="s">
        <v>169</v>
      </c>
      <c r="B1228" s="3" t="s">
        <v>170</v>
      </c>
      <c r="C1228">
        <v>2010</v>
      </c>
      <c r="D1228">
        <v>27000000</v>
      </c>
    </row>
    <row r="1229" spans="1:4">
      <c r="A1229" s="3" t="s">
        <v>169</v>
      </c>
      <c r="B1229" s="3" t="s">
        <v>170</v>
      </c>
      <c r="C1229">
        <v>2011</v>
      </c>
      <c r="D1229">
        <v>5000000</v>
      </c>
    </row>
    <row r="1230" spans="1:4">
      <c r="A1230" s="3" t="s">
        <v>169</v>
      </c>
      <c r="B1230" s="3" t="s">
        <v>170</v>
      </c>
      <c r="C1230">
        <v>2012</v>
      </c>
      <c r="D1230">
        <v>1000000</v>
      </c>
    </row>
    <row r="1231" spans="1:4">
      <c r="A1231" s="3" t="s">
        <v>169</v>
      </c>
      <c r="B1231" s="3" t="s">
        <v>170</v>
      </c>
      <c r="C1231">
        <v>2013</v>
      </c>
      <c r="D1231">
        <v>2000000</v>
      </c>
    </row>
    <row r="1232" spans="1:4">
      <c r="A1232" s="3" t="s">
        <v>169</v>
      </c>
      <c r="B1232" s="3" t="s">
        <v>170</v>
      </c>
      <c r="C1232">
        <v>2015</v>
      </c>
      <c r="D1232">
        <v>5000000</v>
      </c>
    </row>
    <row r="1233" spans="1:4">
      <c r="A1233" s="3" t="s">
        <v>169</v>
      </c>
      <c r="B1233" s="3" t="s">
        <v>170</v>
      </c>
      <c r="C1233">
        <v>2016</v>
      </c>
      <c r="D1233">
        <v>3000000</v>
      </c>
    </row>
    <row r="1234" spans="1:4">
      <c r="A1234" s="3" t="s">
        <v>169</v>
      </c>
      <c r="B1234" s="3" t="s">
        <v>170</v>
      </c>
      <c r="C1234">
        <v>2019</v>
      </c>
      <c r="D1234">
        <v>26000000</v>
      </c>
    </row>
    <row r="1235" spans="1:4">
      <c r="A1235" s="3" t="s">
        <v>169</v>
      </c>
      <c r="B1235" s="3" t="s">
        <v>170</v>
      </c>
      <c r="C1235">
        <v>2021</v>
      </c>
      <c r="D1235">
        <v>2000000</v>
      </c>
    </row>
    <row r="1236" spans="1:4">
      <c r="A1236" s="3" t="s">
        <v>169</v>
      </c>
      <c r="B1236" s="3" t="s">
        <v>170</v>
      </c>
      <c r="C1236">
        <v>2023</v>
      </c>
      <c r="D1236">
        <v>16000000</v>
      </c>
    </row>
    <row r="1237" spans="1:4">
      <c r="A1237" s="3" t="s">
        <v>169</v>
      </c>
      <c r="B1237" s="3" t="s">
        <v>170</v>
      </c>
      <c r="C1237">
        <v>2024</v>
      </c>
      <c r="D1237">
        <v>6000000</v>
      </c>
    </row>
    <row r="1238" spans="1:4">
      <c r="A1238" s="3" t="s">
        <v>171</v>
      </c>
      <c r="B1238" s="3" t="s">
        <v>172</v>
      </c>
      <c r="C1238">
        <v>2000</v>
      </c>
      <c r="D1238">
        <v>937000000</v>
      </c>
    </row>
    <row r="1239" spans="1:4">
      <c r="A1239" s="3" t="s">
        <v>171</v>
      </c>
      <c r="B1239" s="3" t="s">
        <v>172</v>
      </c>
      <c r="C1239">
        <v>2001</v>
      </c>
      <c r="D1239">
        <v>1287000000</v>
      </c>
    </row>
    <row r="1240" spans="1:4">
      <c r="A1240" s="3" t="s">
        <v>171</v>
      </c>
      <c r="B1240" s="3" t="s">
        <v>172</v>
      </c>
      <c r="C1240">
        <v>2002</v>
      </c>
      <c r="D1240">
        <v>721000000</v>
      </c>
    </row>
    <row r="1241" spans="1:4">
      <c r="A1241" s="3" t="s">
        <v>171</v>
      </c>
      <c r="B1241" s="3" t="s">
        <v>172</v>
      </c>
      <c r="C1241">
        <v>2003</v>
      </c>
      <c r="D1241">
        <v>770000000</v>
      </c>
    </row>
    <row r="1242" spans="1:4">
      <c r="A1242" s="3" t="s">
        <v>171</v>
      </c>
      <c r="B1242" s="3" t="s">
        <v>172</v>
      </c>
      <c r="C1242">
        <v>2004</v>
      </c>
      <c r="D1242">
        <v>212000000</v>
      </c>
    </row>
    <row r="1243" spans="1:4">
      <c r="A1243" s="3" t="s">
        <v>171</v>
      </c>
      <c r="B1243" s="3" t="s">
        <v>172</v>
      </c>
      <c r="C1243">
        <v>2005</v>
      </c>
      <c r="D1243">
        <v>31000000</v>
      </c>
    </row>
    <row r="1244" spans="1:4">
      <c r="A1244" s="3" t="s">
        <v>171</v>
      </c>
      <c r="B1244" s="3" t="s">
        <v>172</v>
      </c>
      <c r="C1244">
        <v>2006</v>
      </c>
      <c r="D1244">
        <v>375000000</v>
      </c>
    </row>
    <row r="1245" spans="1:4">
      <c r="A1245" s="3" t="s">
        <v>171</v>
      </c>
      <c r="B1245" s="3" t="s">
        <v>172</v>
      </c>
      <c r="C1245">
        <v>2007</v>
      </c>
      <c r="D1245">
        <v>817000000</v>
      </c>
    </row>
    <row r="1246" spans="1:4">
      <c r="A1246" s="3" t="s">
        <v>171</v>
      </c>
      <c r="B1246" s="3" t="s">
        <v>172</v>
      </c>
      <c r="C1246">
        <v>2008</v>
      </c>
      <c r="D1246">
        <v>575000000</v>
      </c>
    </row>
    <row r="1247" spans="1:4">
      <c r="A1247" s="3" t="s">
        <v>171</v>
      </c>
      <c r="B1247" s="3" t="s">
        <v>172</v>
      </c>
      <c r="C1247">
        <v>2009</v>
      </c>
      <c r="D1247">
        <v>381000000</v>
      </c>
    </row>
    <row r="1248" spans="1:4">
      <c r="A1248" s="3" t="s">
        <v>171</v>
      </c>
      <c r="B1248" s="3" t="s">
        <v>172</v>
      </c>
      <c r="C1248">
        <v>2010</v>
      </c>
      <c r="D1248">
        <v>461000000</v>
      </c>
    </row>
    <row r="1249" spans="1:4">
      <c r="A1249" s="3" t="s">
        <v>171</v>
      </c>
      <c r="B1249" s="3" t="s">
        <v>172</v>
      </c>
      <c r="C1249">
        <v>2011</v>
      </c>
      <c r="D1249">
        <v>347000000</v>
      </c>
    </row>
    <row r="1250" spans="1:4">
      <c r="A1250" s="3" t="s">
        <v>171</v>
      </c>
      <c r="B1250" s="3" t="s">
        <v>172</v>
      </c>
      <c r="C1250">
        <v>2012</v>
      </c>
      <c r="D1250">
        <v>566000000</v>
      </c>
    </row>
    <row r="1251" spans="1:4">
      <c r="A1251" s="3" t="s">
        <v>171</v>
      </c>
      <c r="B1251" s="3" t="s">
        <v>172</v>
      </c>
      <c r="C1251">
        <v>2013</v>
      </c>
      <c r="D1251">
        <v>509000000</v>
      </c>
    </row>
    <row r="1252" spans="1:4">
      <c r="A1252" s="3" t="s">
        <v>171</v>
      </c>
      <c r="B1252" s="3" t="s">
        <v>172</v>
      </c>
      <c r="C1252">
        <v>2014</v>
      </c>
      <c r="D1252">
        <v>217000000</v>
      </c>
    </row>
    <row r="1253" spans="1:4">
      <c r="A1253" s="3" t="s">
        <v>171</v>
      </c>
      <c r="B1253" s="3" t="s">
        <v>172</v>
      </c>
      <c r="C1253">
        <v>2015</v>
      </c>
      <c r="D1253">
        <v>424000000</v>
      </c>
    </row>
    <row r="1254" spans="1:4">
      <c r="A1254" s="3" t="s">
        <v>171</v>
      </c>
      <c r="B1254" s="3" t="s">
        <v>172</v>
      </c>
      <c r="C1254">
        <v>2016</v>
      </c>
      <c r="D1254">
        <v>288000000</v>
      </c>
    </row>
    <row r="1255" spans="1:4">
      <c r="A1255" s="3" t="s">
        <v>171</v>
      </c>
      <c r="B1255" s="3" t="s">
        <v>172</v>
      </c>
      <c r="C1255">
        <v>2017</v>
      </c>
      <c r="D1255">
        <v>1002000000</v>
      </c>
    </row>
    <row r="1256" spans="1:4">
      <c r="A1256" s="3" t="s">
        <v>171</v>
      </c>
      <c r="B1256" s="3" t="s">
        <v>172</v>
      </c>
      <c r="C1256">
        <v>2018</v>
      </c>
      <c r="D1256">
        <v>463000000</v>
      </c>
    </row>
    <row r="1257" spans="1:4">
      <c r="A1257" s="3" t="s">
        <v>171</v>
      </c>
      <c r="B1257" s="3" t="s">
        <v>172</v>
      </c>
      <c r="C1257">
        <v>2019</v>
      </c>
      <c r="D1257">
        <v>402000000</v>
      </c>
    </row>
    <row r="1258" spans="1:4">
      <c r="A1258" s="3" t="s">
        <v>171</v>
      </c>
      <c r="B1258" s="3" t="s">
        <v>172</v>
      </c>
      <c r="C1258">
        <v>2020</v>
      </c>
      <c r="D1258">
        <v>635000000</v>
      </c>
    </row>
    <row r="1259" spans="1:4">
      <c r="A1259" s="3" t="s">
        <v>171</v>
      </c>
      <c r="B1259" s="3" t="s">
        <v>172</v>
      </c>
      <c r="C1259">
        <v>2021</v>
      </c>
      <c r="D1259">
        <v>886000000</v>
      </c>
    </row>
    <row r="1260" spans="1:4">
      <c r="A1260" s="3" t="s">
        <v>171</v>
      </c>
      <c r="B1260" s="3" t="s">
        <v>172</v>
      </c>
      <c r="C1260">
        <v>2022</v>
      </c>
      <c r="D1260">
        <v>859000000</v>
      </c>
    </row>
    <row r="1261" spans="1:4">
      <c r="A1261" s="3" t="s">
        <v>171</v>
      </c>
      <c r="B1261" s="3" t="s">
        <v>172</v>
      </c>
      <c r="C1261">
        <v>2023</v>
      </c>
      <c r="D1261">
        <v>469000000</v>
      </c>
    </row>
    <row r="1262" spans="1:4">
      <c r="A1262" s="3" t="s">
        <v>171</v>
      </c>
      <c r="B1262" s="3" t="s">
        <v>172</v>
      </c>
      <c r="C1262">
        <v>2024</v>
      </c>
      <c r="D1262">
        <v>486000000</v>
      </c>
    </row>
    <row r="1263" spans="1:4">
      <c r="A1263" s="3" t="s">
        <v>173</v>
      </c>
      <c r="B1263" s="3" t="s">
        <v>174</v>
      </c>
      <c r="C1263">
        <v>2000</v>
      </c>
      <c r="D1263">
        <v>6000000</v>
      </c>
    </row>
    <row r="1264" spans="1:4">
      <c r="A1264" s="3" t="s">
        <v>173</v>
      </c>
      <c r="B1264" s="3" t="s">
        <v>174</v>
      </c>
      <c r="C1264">
        <v>2001</v>
      </c>
      <c r="D1264">
        <v>85000000</v>
      </c>
    </row>
    <row r="1265" spans="1:4">
      <c r="A1265" s="3" t="s">
        <v>173</v>
      </c>
      <c r="B1265" s="3" t="s">
        <v>174</v>
      </c>
      <c r="C1265">
        <v>2003</v>
      </c>
      <c r="D1265">
        <v>1000000</v>
      </c>
    </row>
    <row r="1266" spans="1:4">
      <c r="A1266" s="3" t="s">
        <v>173</v>
      </c>
      <c r="B1266" s="3" t="s">
        <v>174</v>
      </c>
      <c r="C1266">
        <v>2004</v>
      </c>
      <c r="D1266">
        <v>38000000</v>
      </c>
    </row>
    <row r="1267" spans="1:4">
      <c r="A1267" s="3" t="s">
        <v>173</v>
      </c>
      <c r="B1267" s="3" t="s">
        <v>174</v>
      </c>
      <c r="C1267">
        <v>2005</v>
      </c>
      <c r="D1267">
        <v>95000000</v>
      </c>
    </row>
    <row r="1268" spans="1:4">
      <c r="A1268" s="3" t="s">
        <v>173</v>
      </c>
      <c r="B1268" s="3" t="s">
        <v>174</v>
      </c>
      <c r="C1268">
        <v>2006</v>
      </c>
      <c r="D1268">
        <v>97000000</v>
      </c>
    </row>
    <row r="1269" spans="1:4">
      <c r="A1269" s="3" t="s">
        <v>173</v>
      </c>
      <c r="B1269" s="3" t="s">
        <v>174</v>
      </c>
      <c r="C1269">
        <v>2007</v>
      </c>
      <c r="D1269">
        <v>161000000</v>
      </c>
    </row>
    <row r="1270" spans="1:4">
      <c r="A1270" s="3" t="s">
        <v>173</v>
      </c>
      <c r="B1270" s="3" t="s">
        <v>174</v>
      </c>
      <c r="C1270">
        <v>2008</v>
      </c>
      <c r="D1270">
        <v>132000000</v>
      </c>
    </row>
    <row r="1271" spans="1:4">
      <c r="A1271" s="3" t="s">
        <v>173</v>
      </c>
      <c r="B1271" s="3" t="s">
        <v>174</v>
      </c>
      <c r="C1271">
        <v>2009</v>
      </c>
      <c r="D1271">
        <v>38000000</v>
      </c>
    </row>
    <row r="1272" spans="1:4">
      <c r="A1272" s="3" t="s">
        <v>173</v>
      </c>
      <c r="B1272" s="3" t="s">
        <v>174</v>
      </c>
      <c r="C1272">
        <v>2011</v>
      </c>
      <c r="D1272">
        <v>2000000</v>
      </c>
    </row>
    <row r="1273" spans="1:4">
      <c r="A1273" s="3" t="s">
        <v>173</v>
      </c>
      <c r="B1273" s="3" t="s">
        <v>174</v>
      </c>
      <c r="C1273">
        <v>2012</v>
      </c>
      <c r="D1273">
        <v>9000000</v>
      </c>
    </row>
    <row r="1274" spans="1:4">
      <c r="A1274" s="3" t="s">
        <v>173</v>
      </c>
      <c r="B1274" s="3" t="s">
        <v>174</v>
      </c>
      <c r="C1274">
        <v>2013</v>
      </c>
      <c r="D1274">
        <v>5000000</v>
      </c>
    </row>
    <row r="1275" spans="1:4">
      <c r="A1275" s="3" t="s">
        <v>173</v>
      </c>
      <c r="B1275" s="3" t="s">
        <v>174</v>
      </c>
      <c r="C1275">
        <v>2014</v>
      </c>
      <c r="D1275">
        <v>1000000</v>
      </c>
    </row>
    <row r="1276" spans="1:4">
      <c r="A1276" s="3" t="s">
        <v>173</v>
      </c>
      <c r="B1276" s="3" t="s">
        <v>174</v>
      </c>
      <c r="C1276">
        <v>2017</v>
      </c>
      <c r="D1276">
        <v>7000000</v>
      </c>
    </row>
    <row r="1277" spans="1:4">
      <c r="A1277" s="3" t="s">
        <v>173</v>
      </c>
      <c r="B1277" s="3" t="s">
        <v>174</v>
      </c>
      <c r="C1277">
        <v>2018</v>
      </c>
      <c r="D1277">
        <v>41000000</v>
      </c>
    </row>
    <row r="1278" spans="1:4">
      <c r="A1278" s="3" t="s">
        <v>173</v>
      </c>
      <c r="B1278" s="3" t="s">
        <v>174</v>
      </c>
      <c r="C1278">
        <v>2019</v>
      </c>
      <c r="D1278">
        <v>6000000</v>
      </c>
    </row>
    <row r="1279" spans="1:4">
      <c r="A1279" s="3" t="s">
        <v>173</v>
      </c>
      <c r="B1279" s="3" t="s">
        <v>174</v>
      </c>
      <c r="C1279">
        <v>2022</v>
      </c>
      <c r="D1279">
        <v>2000000</v>
      </c>
    </row>
    <row r="1280" spans="1:4">
      <c r="A1280" s="3" t="s">
        <v>173</v>
      </c>
      <c r="B1280" s="3" t="s">
        <v>174</v>
      </c>
      <c r="C1280">
        <v>2023</v>
      </c>
      <c r="D1280">
        <v>0</v>
      </c>
    </row>
    <row r="1281" spans="1:4">
      <c r="A1281" s="3" t="s">
        <v>173</v>
      </c>
      <c r="B1281" s="3" t="s">
        <v>174</v>
      </c>
      <c r="C1281">
        <v>2024</v>
      </c>
      <c r="D1281">
        <v>15000000</v>
      </c>
    </row>
    <row r="1282" spans="1:4">
      <c r="A1282" s="3" t="s">
        <v>175</v>
      </c>
      <c r="B1282" s="3" t="s">
        <v>176</v>
      </c>
      <c r="C1282">
        <v>2000</v>
      </c>
      <c r="D1282">
        <v>1000000</v>
      </c>
    </row>
    <row r="1283" spans="1:4">
      <c r="A1283" s="3" t="s">
        <v>175</v>
      </c>
      <c r="B1283" s="3" t="s">
        <v>176</v>
      </c>
      <c r="C1283">
        <v>2001</v>
      </c>
      <c r="D1283">
        <v>12000000</v>
      </c>
    </row>
    <row r="1284" spans="1:4">
      <c r="A1284" s="3" t="s">
        <v>175</v>
      </c>
      <c r="B1284" s="3" t="s">
        <v>176</v>
      </c>
      <c r="C1284">
        <v>2002</v>
      </c>
      <c r="D1284">
        <v>1000000</v>
      </c>
    </row>
    <row r="1285" spans="1:4">
      <c r="A1285" s="3" t="s">
        <v>175</v>
      </c>
      <c r="B1285" s="3" t="s">
        <v>176</v>
      </c>
      <c r="C1285">
        <v>2003</v>
      </c>
      <c r="D1285">
        <v>6000000</v>
      </c>
    </row>
    <row r="1286" spans="1:4">
      <c r="A1286" s="3" t="s">
        <v>175</v>
      </c>
      <c r="B1286" s="3" t="s">
        <v>176</v>
      </c>
      <c r="C1286">
        <v>2004</v>
      </c>
      <c r="D1286">
        <v>37000000</v>
      </c>
    </row>
    <row r="1287" spans="1:4">
      <c r="A1287" s="3" t="s">
        <v>175</v>
      </c>
      <c r="B1287" s="3" t="s">
        <v>176</v>
      </c>
      <c r="C1287">
        <v>2005</v>
      </c>
      <c r="D1287">
        <v>0</v>
      </c>
    </row>
    <row r="1288" spans="1:4">
      <c r="A1288" s="3" t="s">
        <v>175</v>
      </c>
      <c r="B1288" s="3" t="s">
        <v>176</v>
      </c>
      <c r="C1288">
        <v>2007</v>
      </c>
      <c r="D1288">
        <v>16000000</v>
      </c>
    </row>
    <row r="1289" spans="1:4">
      <c r="A1289" s="3" t="s">
        <v>175</v>
      </c>
      <c r="B1289" s="3" t="s">
        <v>176</v>
      </c>
      <c r="C1289">
        <v>2009</v>
      </c>
      <c r="D1289">
        <v>6000000</v>
      </c>
    </row>
    <row r="1290" spans="1:4">
      <c r="A1290" s="3" t="s">
        <v>175</v>
      </c>
      <c r="B1290" s="3" t="s">
        <v>176</v>
      </c>
      <c r="C1290">
        <v>2010</v>
      </c>
      <c r="D1290">
        <v>2000000</v>
      </c>
    </row>
    <row r="1291" spans="1:4">
      <c r="A1291" s="3" t="s">
        <v>175</v>
      </c>
      <c r="B1291" s="3" t="s">
        <v>176</v>
      </c>
      <c r="C1291">
        <v>2011</v>
      </c>
      <c r="D1291">
        <v>76000000</v>
      </c>
    </row>
    <row r="1292" spans="1:4">
      <c r="A1292" s="3" t="s">
        <v>175</v>
      </c>
      <c r="B1292" s="3" t="s">
        <v>176</v>
      </c>
      <c r="C1292">
        <v>2012</v>
      </c>
      <c r="D1292">
        <v>39000000</v>
      </c>
    </row>
    <row r="1293" spans="1:4">
      <c r="A1293" s="3" t="s">
        <v>175</v>
      </c>
      <c r="B1293" s="3" t="s">
        <v>176</v>
      </c>
      <c r="C1293">
        <v>2013</v>
      </c>
      <c r="D1293">
        <v>52000000</v>
      </c>
    </row>
    <row r="1294" spans="1:4">
      <c r="A1294" s="3" t="s">
        <v>175</v>
      </c>
      <c r="B1294" s="3" t="s">
        <v>176</v>
      </c>
      <c r="C1294">
        <v>2014</v>
      </c>
      <c r="D1294">
        <v>17000000</v>
      </c>
    </row>
    <row r="1295" spans="1:4">
      <c r="A1295" s="3" t="s">
        <v>175</v>
      </c>
      <c r="B1295" s="3" t="s">
        <v>176</v>
      </c>
      <c r="C1295">
        <v>2015</v>
      </c>
      <c r="D1295">
        <v>13000000</v>
      </c>
    </row>
    <row r="1296" spans="1:4">
      <c r="A1296" s="3" t="s">
        <v>175</v>
      </c>
      <c r="B1296" s="3" t="s">
        <v>176</v>
      </c>
      <c r="C1296">
        <v>2016</v>
      </c>
      <c r="D1296">
        <v>22000000</v>
      </c>
    </row>
    <row r="1297" spans="1:4">
      <c r="A1297" s="3" t="s">
        <v>175</v>
      </c>
      <c r="B1297" s="3" t="s">
        <v>176</v>
      </c>
      <c r="C1297">
        <v>2018</v>
      </c>
      <c r="D1297">
        <v>0</v>
      </c>
    </row>
    <row r="1298" spans="1:4">
      <c r="A1298" s="3" t="s">
        <v>175</v>
      </c>
      <c r="B1298" s="3" t="s">
        <v>176</v>
      </c>
      <c r="C1298">
        <v>2019</v>
      </c>
      <c r="D1298">
        <v>2000000</v>
      </c>
    </row>
    <row r="1299" spans="1:4">
      <c r="A1299" s="3" t="s">
        <v>175</v>
      </c>
      <c r="B1299" s="3" t="s">
        <v>176</v>
      </c>
      <c r="C1299">
        <v>2020</v>
      </c>
      <c r="D1299">
        <v>12000000</v>
      </c>
    </row>
    <row r="1300" spans="1:4">
      <c r="A1300" s="3" t="s">
        <v>175</v>
      </c>
      <c r="B1300" s="3" t="s">
        <v>176</v>
      </c>
      <c r="C1300">
        <v>2022</v>
      </c>
      <c r="D1300">
        <v>40000000</v>
      </c>
    </row>
    <row r="1301" spans="1:4">
      <c r="A1301" s="3" t="s">
        <v>175</v>
      </c>
      <c r="B1301" s="3" t="s">
        <v>176</v>
      </c>
      <c r="C1301">
        <v>2023</v>
      </c>
      <c r="D1301">
        <v>8000000</v>
      </c>
    </row>
    <row r="1302" spans="1:4">
      <c r="A1302" s="3" t="s">
        <v>175</v>
      </c>
      <c r="B1302" s="3" t="s">
        <v>176</v>
      </c>
      <c r="C1302">
        <v>2024</v>
      </c>
      <c r="D1302">
        <v>11000000</v>
      </c>
    </row>
    <row r="1303" spans="1:4">
      <c r="A1303" s="3" t="s">
        <v>179</v>
      </c>
      <c r="B1303" s="3" t="s">
        <v>180</v>
      </c>
      <c r="C1303">
        <v>2000</v>
      </c>
      <c r="D1303">
        <v>26000000</v>
      </c>
    </row>
    <row r="1304" spans="1:4">
      <c r="A1304" s="3" t="s">
        <v>179</v>
      </c>
      <c r="B1304" s="3" t="s">
        <v>180</v>
      </c>
      <c r="C1304">
        <v>2001</v>
      </c>
      <c r="D1304">
        <v>6000000</v>
      </c>
    </row>
    <row r="1305" spans="1:4">
      <c r="A1305" s="3" t="s">
        <v>179</v>
      </c>
      <c r="B1305" s="3" t="s">
        <v>180</v>
      </c>
      <c r="C1305">
        <v>2003</v>
      </c>
      <c r="D1305">
        <v>2000000</v>
      </c>
    </row>
    <row r="1306" spans="1:4">
      <c r="A1306" s="3" t="s">
        <v>179</v>
      </c>
      <c r="B1306" s="3" t="s">
        <v>180</v>
      </c>
      <c r="C1306">
        <v>2005</v>
      </c>
      <c r="D1306">
        <v>1000000</v>
      </c>
    </row>
    <row r="1307" spans="1:4">
      <c r="A1307" s="3" t="s">
        <v>179</v>
      </c>
      <c r="B1307" s="3" t="s">
        <v>180</v>
      </c>
      <c r="C1307">
        <v>2007</v>
      </c>
      <c r="D1307">
        <v>0</v>
      </c>
    </row>
    <row r="1308" spans="1:4">
      <c r="A1308" s="3" t="s">
        <v>179</v>
      </c>
      <c r="B1308" s="3" t="s">
        <v>180</v>
      </c>
      <c r="C1308">
        <v>2010</v>
      </c>
      <c r="D1308">
        <v>5000000</v>
      </c>
    </row>
    <row r="1309" spans="1:4">
      <c r="A1309" s="3" t="s">
        <v>179</v>
      </c>
      <c r="B1309" s="3" t="s">
        <v>180</v>
      </c>
      <c r="C1309">
        <v>2011</v>
      </c>
      <c r="D1309">
        <v>1000000</v>
      </c>
    </row>
    <row r="1310" spans="1:4">
      <c r="A1310" s="3" t="s">
        <v>179</v>
      </c>
      <c r="B1310" s="3" t="s">
        <v>180</v>
      </c>
      <c r="C1310">
        <v>2012</v>
      </c>
      <c r="D1310">
        <v>4000000</v>
      </c>
    </row>
    <row r="1311" spans="1:4">
      <c r="A1311" s="3" t="s">
        <v>179</v>
      </c>
      <c r="B1311" s="3" t="s">
        <v>180</v>
      </c>
      <c r="C1311">
        <v>2014</v>
      </c>
      <c r="D1311">
        <v>5000000</v>
      </c>
    </row>
    <row r="1312" spans="1:4">
      <c r="A1312" s="3" t="s">
        <v>179</v>
      </c>
      <c r="B1312" s="3" t="s">
        <v>180</v>
      </c>
      <c r="C1312">
        <v>2017</v>
      </c>
      <c r="D1312">
        <v>2000000</v>
      </c>
    </row>
    <row r="1313" spans="1:4">
      <c r="A1313" s="3" t="s">
        <v>179</v>
      </c>
      <c r="B1313" s="3" t="s">
        <v>180</v>
      </c>
      <c r="C1313">
        <v>2018</v>
      </c>
      <c r="D1313">
        <v>1000000</v>
      </c>
    </row>
    <row r="1314" spans="1:4">
      <c r="A1314" s="3" t="s">
        <v>179</v>
      </c>
      <c r="B1314" s="3" t="s">
        <v>180</v>
      </c>
      <c r="C1314">
        <v>2019</v>
      </c>
      <c r="D1314">
        <v>4000000</v>
      </c>
    </row>
    <row r="1315" spans="1:4">
      <c r="A1315" s="3" t="s">
        <v>179</v>
      </c>
      <c r="B1315" s="3" t="s">
        <v>180</v>
      </c>
      <c r="C1315">
        <v>2021</v>
      </c>
      <c r="D1315">
        <v>1000000</v>
      </c>
    </row>
    <row r="1316" spans="1:4">
      <c r="A1316" s="3" t="s">
        <v>179</v>
      </c>
      <c r="B1316" s="3" t="s">
        <v>180</v>
      </c>
      <c r="C1316">
        <v>2023</v>
      </c>
      <c r="D1316">
        <v>1000000</v>
      </c>
    </row>
    <row r="1317" spans="1:4">
      <c r="A1317" s="3" t="s">
        <v>179</v>
      </c>
      <c r="B1317" s="3" t="s">
        <v>180</v>
      </c>
      <c r="C1317">
        <v>2024</v>
      </c>
      <c r="D1317">
        <v>6000000</v>
      </c>
    </row>
    <row r="1318" spans="1:4">
      <c r="A1318" s="3" t="s">
        <v>181</v>
      </c>
      <c r="B1318" s="3" t="s">
        <v>182</v>
      </c>
      <c r="C1318">
        <v>2004</v>
      </c>
      <c r="D1318">
        <v>5000000</v>
      </c>
    </row>
    <row r="1319" spans="1:4">
      <c r="A1319" s="3" t="s">
        <v>181</v>
      </c>
      <c r="B1319" s="3" t="s">
        <v>182</v>
      </c>
      <c r="C1319">
        <v>2009</v>
      </c>
      <c r="D1319">
        <v>16000000</v>
      </c>
    </row>
    <row r="1320" spans="1:4">
      <c r="A1320" s="3" t="s">
        <v>181</v>
      </c>
      <c r="B1320" s="3" t="s">
        <v>182</v>
      </c>
      <c r="C1320">
        <v>2022</v>
      </c>
      <c r="D1320">
        <v>1000000</v>
      </c>
    </row>
    <row r="1321" spans="1:4">
      <c r="A1321" s="3" t="s">
        <v>181</v>
      </c>
      <c r="B1321" s="3" t="s">
        <v>182</v>
      </c>
      <c r="C1321">
        <v>2023</v>
      </c>
      <c r="D1321">
        <v>0</v>
      </c>
    </row>
    <row r="1322" spans="1:4">
      <c r="A1322" s="3" t="s">
        <v>185</v>
      </c>
      <c r="B1322" s="3" t="s">
        <v>186</v>
      </c>
      <c r="C1322">
        <v>2001</v>
      </c>
      <c r="D1322">
        <v>7000000</v>
      </c>
    </row>
    <row r="1323" spans="1:4">
      <c r="A1323" s="3" t="s">
        <v>185</v>
      </c>
      <c r="B1323" s="3" t="s">
        <v>186</v>
      </c>
      <c r="C1323">
        <v>2004</v>
      </c>
      <c r="D1323">
        <v>7000000</v>
      </c>
    </row>
    <row r="1324" spans="1:4">
      <c r="A1324" s="3" t="s">
        <v>185</v>
      </c>
      <c r="B1324" s="3" t="s">
        <v>186</v>
      </c>
      <c r="C1324">
        <v>2005</v>
      </c>
      <c r="D1324">
        <v>11000000</v>
      </c>
    </row>
    <row r="1325" spans="1:4">
      <c r="A1325" s="3" t="s">
        <v>185</v>
      </c>
      <c r="B1325" s="3" t="s">
        <v>186</v>
      </c>
      <c r="C1325">
        <v>2006</v>
      </c>
      <c r="D1325">
        <v>7000000</v>
      </c>
    </row>
    <row r="1326" spans="1:4">
      <c r="A1326" s="3" t="s">
        <v>185</v>
      </c>
      <c r="B1326" s="3" t="s">
        <v>186</v>
      </c>
      <c r="C1326">
        <v>2007</v>
      </c>
      <c r="D1326">
        <v>28000000</v>
      </c>
    </row>
    <row r="1327" spans="1:4">
      <c r="A1327" s="3" t="s">
        <v>185</v>
      </c>
      <c r="B1327" s="3" t="s">
        <v>186</v>
      </c>
      <c r="C1327">
        <v>2008</v>
      </c>
      <c r="D1327">
        <v>30000000</v>
      </c>
    </row>
    <row r="1328" spans="1:4">
      <c r="A1328" s="3" t="s">
        <v>185</v>
      </c>
      <c r="B1328" s="3" t="s">
        <v>186</v>
      </c>
      <c r="C1328">
        <v>2009</v>
      </c>
      <c r="D1328">
        <v>68000000</v>
      </c>
    </row>
    <row r="1329" spans="1:4">
      <c r="A1329" s="3" t="s">
        <v>185</v>
      </c>
      <c r="B1329" s="3" t="s">
        <v>186</v>
      </c>
      <c r="C1329">
        <v>2010</v>
      </c>
      <c r="D1329">
        <v>3000000</v>
      </c>
    </row>
    <row r="1330" spans="1:4">
      <c r="A1330" s="3" t="s">
        <v>185</v>
      </c>
      <c r="B1330" s="3" t="s">
        <v>186</v>
      </c>
      <c r="C1330">
        <v>2011</v>
      </c>
      <c r="D1330">
        <v>56000000</v>
      </c>
    </row>
    <row r="1331" spans="1:4">
      <c r="A1331" s="3" t="s">
        <v>185</v>
      </c>
      <c r="B1331" s="3" t="s">
        <v>186</v>
      </c>
      <c r="C1331">
        <v>2012</v>
      </c>
      <c r="D1331">
        <v>60000000</v>
      </c>
    </row>
    <row r="1332" spans="1:4">
      <c r="A1332" s="3" t="s">
        <v>185</v>
      </c>
      <c r="B1332" s="3" t="s">
        <v>186</v>
      </c>
      <c r="C1332">
        <v>2013</v>
      </c>
      <c r="D1332">
        <v>2000000</v>
      </c>
    </row>
    <row r="1333" spans="1:4">
      <c r="A1333" s="3" t="s">
        <v>185</v>
      </c>
      <c r="B1333" s="3" t="s">
        <v>186</v>
      </c>
      <c r="C1333">
        <v>2014</v>
      </c>
      <c r="D1333">
        <v>92000000</v>
      </c>
    </row>
    <row r="1334" spans="1:4">
      <c r="A1334" s="3" t="s">
        <v>185</v>
      </c>
      <c r="B1334" s="3" t="s">
        <v>186</v>
      </c>
      <c r="C1334">
        <v>2018</v>
      </c>
      <c r="D1334">
        <v>20000000</v>
      </c>
    </row>
    <row r="1335" spans="1:4">
      <c r="A1335" s="3" t="s">
        <v>185</v>
      </c>
      <c r="B1335" s="3" t="s">
        <v>186</v>
      </c>
      <c r="C1335">
        <v>2021</v>
      </c>
      <c r="D1335">
        <v>0</v>
      </c>
    </row>
    <row r="1336" spans="1:4">
      <c r="A1336" s="3" t="s">
        <v>185</v>
      </c>
      <c r="B1336" s="3" t="s">
        <v>186</v>
      </c>
      <c r="C1336">
        <v>2024</v>
      </c>
      <c r="D1336">
        <v>12000000</v>
      </c>
    </row>
    <row r="1337" spans="1:4">
      <c r="A1337" s="3" t="s">
        <v>187</v>
      </c>
      <c r="B1337" s="3" t="s">
        <v>188</v>
      </c>
      <c r="C1337">
        <v>2000</v>
      </c>
      <c r="D1337">
        <v>731000000</v>
      </c>
    </row>
    <row r="1338" spans="1:4">
      <c r="A1338" s="3" t="s">
        <v>187</v>
      </c>
      <c r="B1338" s="3" t="s">
        <v>188</v>
      </c>
      <c r="C1338">
        <v>2001</v>
      </c>
      <c r="D1338">
        <v>793000000</v>
      </c>
    </row>
    <row r="1339" spans="1:4">
      <c r="A1339" s="3" t="s">
        <v>187</v>
      </c>
      <c r="B1339" s="3" t="s">
        <v>188</v>
      </c>
      <c r="C1339">
        <v>2002</v>
      </c>
      <c r="D1339">
        <v>402000000</v>
      </c>
    </row>
    <row r="1340" spans="1:4">
      <c r="A1340" s="3" t="s">
        <v>187</v>
      </c>
      <c r="B1340" s="3" t="s">
        <v>188</v>
      </c>
      <c r="C1340">
        <v>2003</v>
      </c>
      <c r="D1340">
        <v>2164000000</v>
      </c>
    </row>
    <row r="1341" spans="1:4">
      <c r="A1341" s="3" t="s">
        <v>187</v>
      </c>
      <c r="B1341" s="3" t="s">
        <v>188</v>
      </c>
      <c r="C1341">
        <v>2004</v>
      </c>
      <c r="D1341">
        <v>1098000000</v>
      </c>
    </row>
    <row r="1342" spans="1:4">
      <c r="A1342" s="3" t="s">
        <v>187</v>
      </c>
      <c r="B1342" s="3" t="s">
        <v>188</v>
      </c>
      <c r="C1342">
        <v>2005</v>
      </c>
      <c r="D1342">
        <v>406000000</v>
      </c>
    </row>
    <row r="1343" spans="1:4">
      <c r="A1343" s="3" t="s">
        <v>187</v>
      </c>
      <c r="B1343" s="3" t="s">
        <v>188</v>
      </c>
      <c r="C1343">
        <v>2006</v>
      </c>
      <c r="D1343">
        <v>719000000</v>
      </c>
    </row>
    <row r="1344" spans="1:4">
      <c r="A1344" s="3" t="s">
        <v>187</v>
      </c>
      <c r="B1344" s="3" t="s">
        <v>188</v>
      </c>
      <c r="C1344">
        <v>2007</v>
      </c>
      <c r="D1344">
        <v>1665000000</v>
      </c>
    </row>
    <row r="1345" spans="1:4">
      <c r="A1345" s="3" t="s">
        <v>187</v>
      </c>
      <c r="B1345" s="3" t="s">
        <v>188</v>
      </c>
      <c r="C1345">
        <v>2008</v>
      </c>
      <c r="D1345">
        <v>482000000</v>
      </c>
    </row>
    <row r="1346" spans="1:4">
      <c r="A1346" s="3" t="s">
        <v>187</v>
      </c>
      <c r="B1346" s="3" t="s">
        <v>188</v>
      </c>
      <c r="C1346">
        <v>2009</v>
      </c>
      <c r="D1346">
        <v>1216000000</v>
      </c>
    </row>
    <row r="1347" spans="1:4">
      <c r="A1347" s="3" t="s">
        <v>187</v>
      </c>
      <c r="B1347" s="3" t="s">
        <v>188</v>
      </c>
      <c r="C1347">
        <v>2010</v>
      </c>
      <c r="D1347">
        <v>630000000</v>
      </c>
    </row>
    <row r="1348" spans="1:4">
      <c r="A1348" s="3" t="s">
        <v>187</v>
      </c>
      <c r="B1348" s="3" t="s">
        <v>188</v>
      </c>
      <c r="C1348">
        <v>2011</v>
      </c>
      <c r="D1348">
        <v>70000000</v>
      </c>
    </row>
    <row r="1349" spans="1:4">
      <c r="A1349" s="3" t="s">
        <v>187</v>
      </c>
      <c r="B1349" s="3" t="s">
        <v>188</v>
      </c>
      <c r="C1349">
        <v>2012</v>
      </c>
      <c r="D1349">
        <v>19000000</v>
      </c>
    </row>
    <row r="1350" spans="1:4">
      <c r="A1350" s="3" t="s">
        <v>187</v>
      </c>
      <c r="B1350" s="3" t="s">
        <v>188</v>
      </c>
      <c r="C1350">
        <v>2013</v>
      </c>
      <c r="D1350">
        <v>28000000</v>
      </c>
    </row>
    <row r="1351" spans="1:4">
      <c r="A1351" s="3" t="s">
        <v>187</v>
      </c>
      <c r="B1351" s="3" t="s">
        <v>188</v>
      </c>
      <c r="C1351">
        <v>2014</v>
      </c>
      <c r="D1351">
        <v>204000000</v>
      </c>
    </row>
    <row r="1352" spans="1:4">
      <c r="A1352" s="3" t="s">
        <v>187</v>
      </c>
      <c r="B1352" s="3" t="s">
        <v>188</v>
      </c>
      <c r="C1352">
        <v>2015</v>
      </c>
      <c r="D1352">
        <v>728000000</v>
      </c>
    </row>
    <row r="1353" spans="1:4">
      <c r="A1353" s="3" t="s">
        <v>187</v>
      </c>
      <c r="B1353" s="3" t="s">
        <v>188</v>
      </c>
      <c r="C1353">
        <v>2016</v>
      </c>
      <c r="D1353">
        <v>302000000</v>
      </c>
    </row>
    <row r="1354" spans="1:4">
      <c r="A1354" s="3" t="s">
        <v>187</v>
      </c>
      <c r="B1354" s="3" t="s">
        <v>188</v>
      </c>
      <c r="C1354">
        <v>2017</v>
      </c>
      <c r="D1354">
        <v>51000000</v>
      </c>
    </row>
    <row r="1355" spans="1:4">
      <c r="A1355" s="3" t="s">
        <v>187</v>
      </c>
      <c r="B1355" s="3" t="s">
        <v>188</v>
      </c>
      <c r="C1355">
        <v>2018</v>
      </c>
      <c r="D1355">
        <v>39000000</v>
      </c>
    </row>
    <row r="1356" spans="1:4">
      <c r="A1356" s="3" t="s">
        <v>187</v>
      </c>
      <c r="B1356" s="3" t="s">
        <v>188</v>
      </c>
      <c r="C1356">
        <v>2019</v>
      </c>
      <c r="D1356">
        <v>93000000</v>
      </c>
    </row>
    <row r="1357" spans="1:4">
      <c r="A1357" s="3" t="s">
        <v>187</v>
      </c>
      <c r="B1357" s="3" t="s">
        <v>188</v>
      </c>
      <c r="C1357">
        <v>2020</v>
      </c>
      <c r="D1357">
        <v>92000000</v>
      </c>
    </row>
    <row r="1358" spans="1:4">
      <c r="A1358" s="3" t="s">
        <v>187</v>
      </c>
      <c r="B1358" s="3" t="s">
        <v>188</v>
      </c>
      <c r="C1358">
        <v>2021</v>
      </c>
      <c r="D1358">
        <v>231000000</v>
      </c>
    </row>
    <row r="1359" spans="1:4">
      <c r="A1359" s="3" t="s">
        <v>187</v>
      </c>
      <c r="B1359" s="3" t="s">
        <v>188</v>
      </c>
      <c r="C1359">
        <v>2022</v>
      </c>
      <c r="D1359">
        <v>441000000</v>
      </c>
    </row>
    <row r="1360" spans="1:4">
      <c r="A1360" s="3" t="s">
        <v>187</v>
      </c>
      <c r="B1360" s="3" t="s">
        <v>188</v>
      </c>
      <c r="C1360">
        <v>2023</v>
      </c>
      <c r="D1360">
        <v>404000000</v>
      </c>
    </row>
    <row r="1361" spans="1:4">
      <c r="A1361" s="3" t="s">
        <v>187</v>
      </c>
      <c r="B1361" s="3" t="s">
        <v>188</v>
      </c>
      <c r="C1361">
        <v>2024</v>
      </c>
      <c r="D1361">
        <v>631000000</v>
      </c>
    </row>
    <row r="1362" spans="1:4">
      <c r="A1362" s="3" t="s">
        <v>193</v>
      </c>
      <c r="B1362" s="3" t="s">
        <v>194</v>
      </c>
      <c r="C1362">
        <v>2008</v>
      </c>
      <c r="D1362">
        <v>0</v>
      </c>
    </row>
    <row r="1363" spans="1:4">
      <c r="A1363" s="3" t="s">
        <v>193</v>
      </c>
      <c r="B1363" s="3" t="s">
        <v>194</v>
      </c>
      <c r="C1363">
        <v>2012</v>
      </c>
      <c r="D1363">
        <v>2000000</v>
      </c>
    </row>
    <row r="1364" spans="1:4">
      <c r="A1364" s="3" t="s">
        <v>193</v>
      </c>
      <c r="B1364" s="3" t="s">
        <v>194</v>
      </c>
      <c r="C1364">
        <v>2015</v>
      </c>
      <c r="D1364">
        <v>33000000</v>
      </c>
    </row>
    <row r="1365" spans="1:4">
      <c r="A1365" s="3" t="s">
        <v>193</v>
      </c>
      <c r="B1365" s="3" t="s">
        <v>194</v>
      </c>
      <c r="C1365">
        <v>2018</v>
      </c>
      <c r="D1365">
        <v>4000000</v>
      </c>
    </row>
    <row r="1366" spans="1:4">
      <c r="A1366" s="3" t="s">
        <v>193</v>
      </c>
      <c r="B1366" s="3" t="s">
        <v>194</v>
      </c>
      <c r="C1366">
        <v>2019</v>
      </c>
      <c r="D1366">
        <v>14000000</v>
      </c>
    </row>
    <row r="1367" spans="1:4">
      <c r="A1367" s="3" t="s">
        <v>193</v>
      </c>
      <c r="B1367" s="3" t="s">
        <v>194</v>
      </c>
      <c r="C1367">
        <v>2022</v>
      </c>
      <c r="D1367">
        <v>10000000</v>
      </c>
    </row>
    <row r="1368" spans="1:4">
      <c r="A1368" s="3" t="s">
        <v>193</v>
      </c>
      <c r="B1368" s="3" t="s">
        <v>194</v>
      </c>
      <c r="C1368">
        <v>2023</v>
      </c>
      <c r="D1368">
        <v>6000000</v>
      </c>
    </row>
    <row r="1369" spans="1:4">
      <c r="A1369" s="3" t="s">
        <v>197</v>
      </c>
      <c r="B1369" s="3" t="s">
        <v>198</v>
      </c>
      <c r="C1369">
        <v>2001</v>
      </c>
      <c r="D1369">
        <v>7000000</v>
      </c>
    </row>
    <row r="1370" spans="1:4">
      <c r="A1370" s="3" t="s">
        <v>197</v>
      </c>
      <c r="B1370" s="3" t="s">
        <v>198</v>
      </c>
      <c r="C1370">
        <v>2002</v>
      </c>
      <c r="D1370">
        <v>3000000</v>
      </c>
    </row>
    <row r="1371" spans="1:4">
      <c r="A1371" s="3" t="s">
        <v>197</v>
      </c>
      <c r="B1371" s="3" t="s">
        <v>198</v>
      </c>
      <c r="C1371">
        <v>2004</v>
      </c>
      <c r="D1371">
        <v>0</v>
      </c>
    </row>
    <row r="1372" spans="1:4">
      <c r="A1372" s="3" t="s">
        <v>197</v>
      </c>
      <c r="B1372" s="3" t="s">
        <v>198</v>
      </c>
      <c r="C1372">
        <v>2008</v>
      </c>
      <c r="D1372">
        <v>0</v>
      </c>
    </row>
    <row r="1373" spans="1:4">
      <c r="A1373" s="3" t="s">
        <v>197</v>
      </c>
      <c r="B1373" s="3" t="s">
        <v>198</v>
      </c>
      <c r="C1373">
        <v>2018</v>
      </c>
      <c r="D1373">
        <v>0</v>
      </c>
    </row>
    <row r="1374" spans="1:4">
      <c r="A1374" s="3" t="s">
        <v>197</v>
      </c>
      <c r="B1374" s="3" t="s">
        <v>198</v>
      </c>
      <c r="C1374">
        <v>2019</v>
      </c>
      <c r="D1374">
        <v>2000000</v>
      </c>
    </row>
    <row r="1375" spans="1:4">
      <c r="A1375" s="3" t="s">
        <v>197</v>
      </c>
      <c r="B1375" s="3" t="s">
        <v>198</v>
      </c>
      <c r="C1375">
        <v>2021</v>
      </c>
      <c r="D1375">
        <v>5000000</v>
      </c>
    </row>
    <row r="1376" spans="1:4">
      <c r="A1376" s="3" t="s">
        <v>197</v>
      </c>
      <c r="B1376" s="3" t="s">
        <v>198</v>
      </c>
      <c r="C1376">
        <v>2023</v>
      </c>
      <c r="D1376">
        <v>5000000</v>
      </c>
    </row>
    <row r="1377" spans="1:4">
      <c r="A1377" s="3" t="s">
        <v>197</v>
      </c>
      <c r="B1377" s="3" t="s">
        <v>198</v>
      </c>
      <c r="C1377">
        <v>2024</v>
      </c>
      <c r="D1377">
        <v>9000000</v>
      </c>
    </row>
    <row r="1378" spans="1:4">
      <c r="A1378" s="3" t="s">
        <v>199</v>
      </c>
      <c r="B1378" s="3" t="s">
        <v>200</v>
      </c>
      <c r="C1378">
        <v>2000</v>
      </c>
      <c r="D1378">
        <v>11125000000</v>
      </c>
    </row>
    <row r="1379" spans="1:4">
      <c r="A1379" s="3" t="s">
        <v>199</v>
      </c>
      <c r="B1379" s="3" t="s">
        <v>200</v>
      </c>
      <c r="C1379">
        <v>2001</v>
      </c>
      <c r="D1379">
        <v>8465000000</v>
      </c>
    </row>
    <row r="1380" spans="1:4">
      <c r="A1380" s="3" t="s">
        <v>199</v>
      </c>
      <c r="B1380" s="3" t="s">
        <v>200</v>
      </c>
      <c r="C1380">
        <v>2002</v>
      </c>
      <c r="D1380">
        <v>7264000000</v>
      </c>
    </row>
    <row r="1381" spans="1:4">
      <c r="A1381" s="3" t="s">
        <v>199</v>
      </c>
      <c r="B1381" s="3" t="s">
        <v>200</v>
      </c>
      <c r="C1381">
        <v>2003</v>
      </c>
      <c r="D1381">
        <v>9560000000</v>
      </c>
    </row>
    <row r="1382" spans="1:4">
      <c r="A1382" s="3" t="s">
        <v>199</v>
      </c>
      <c r="B1382" s="3" t="s">
        <v>200</v>
      </c>
      <c r="C1382">
        <v>2004</v>
      </c>
      <c r="D1382">
        <v>10895000000</v>
      </c>
    </row>
    <row r="1383" spans="1:4">
      <c r="A1383" s="3" t="s">
        <v>199</v>
      </c>
      <c r="B1383" s="3" t="s">
        <v>200</v>
      </c>
      <c r="C1383">
        <v>2005</v>
      </c>
      <c r="D1383">
        <v>10890000000</v>
      </c>
    </row>
    <row r="1384" spans="1:4">
      <c r="A1384" s="3" t="s">
        <v>199</v>
      </c>
      <c r="B1384" s="3" t="s">
        <v>200</v>
      </c>
      <c r="C1384">
        <v>2006</v>
      </c>
      <c r="D1384">
        <v>13689000000</v>
      </c>
    </row>
    <row r="1385" spans="1:4">
      <c r="A1385" s="3" t="s">
        <v>199</v>
      </c>
      <c r="B1385" s="3" t="s">
        <v>200</v>
      </c>
      <c r="C1385">
        <v>2007</v>
      </c>
      <c r="D1385">
        <v>14355000000</v>
      </c>
    </row>
    <row r="1386" spans="1:4">
      <c r="A1386" s="3" t="s">
        <v>199</v>
      </c>
      <c r="B1386" s="3" t="s">
        <v>200</v>
      </c>
      <c r="C1386">
        <v>2008</v>
      </c>
      <c r="D1386">
        <v>12488000000</v>
      </c>
    </row>
    <row r="1387" spans="1:4">
      <c r="A1387" s="3" t="s">
        <v>199</v>
      </c>
      <c r="B1387" s="3" t="s">
        <v>200</v>
      </c>
      <c r="C1387">
        <v>2009</v>
      </c>
      <c r="D1387">
        <v>12154000000</v>
      </c>
    </row>
    <row r="1388" spans="1:4">
      <c r="A1388" s="3" t="s">
        <v>199</v>
      </c>
      <c r="B1388" s="3" t="s">
        <v>200</v>
      </c>
      <c r="C1388">
        <v>2010</v>
      </c>
      <c r="D1388">
        <v>12201000000</v>
      </c>
    </row>
    <row r="1389" spans="1:4">
      <c r="A1389" s="3" t="s">
        <v>199</v>
      </c>
      <c r="B1389" s="3" t="s">
        <v>200</v>
      </c>
      <c r="C1389">
        <v>2011</v>
      </c>
      <c r="D1389">
        <v>11949000000</v>
      </c>
    </row>
    <row r="1390" spans="1:4">
      <c r="A1390" s="3" t="s">
        <v>199</v>
      </c>
      <c r="B1390" s="3" t="s">
        <v>200</v>
      </c>
      <c r="C1390">
        <v>2012</v>
      </c>
      <c r="D1390">
        <v>9850000000</v>
      </c>
    </row>
    <row r="1391" spans="1:4">
      <c r="A1391" s="3" t="s">
        <v>199</v>
      </c>
      <c r="B1391" s="3" t="s">
        <v>200</v>
      </c>
      <c r="C1391">
        <v>2013</v>
      </c>
      <c r="D1391">
        <v>10472000000</v>
      </c>
    </row>
    <row r="1392" spans="1:4">
      <c r="A1392" s="3" t="s">
        <v>199</v>
      </c>
      <c r="B1392" s="3" t="s">
        <v>200</v>
      </c>
      <c r="C1392">
        <v>2014</v>
      </c>
      <c r="D1392">
        <v>11687000000</v>
      </c>
    </row>
    <row r="1393" spans="1:4">
      <c r="A1393" s="3" t="s">
        <v>199</v>
      </c>
      <c r="B1393" s="3" t="s">
        <v>200</v>
      </c>
      <c r="C1393">
        <v>2015</v>
      </c>
      <c r="D1393">
        <v>13456000000</v>
      </c>
    </row>
    <row r="1394" spans="1:4">
      <c r="A1394" s="3" t="s">
        <v>199</v>
      </c>
      <c r="B1394" s="3" t="s">
        <v>200</v>
      </c>
      <c r="C1394">
        <v>2016</v>
      </c>
      <c r="D1394">
        <v>12853000000</v>
      </c>
    </row>
    <row r="1395" spans="1:4">
      <c r="A1395" s="3" t="s">
        <v>199</v>
      </c>
      <c r="B1395" s="3" t="s">
        <v>200</v>
      </c>
      <c r="C1395">
        <v>2017</v>
      </c>
      <c r="D1395">
        <v>14394000000</v>
      </c>
    </row>
    <row r="1396" spans="1:4">
      <c r="A1396" s="3" t="s">
        <v>199</v>
      </c>
      <c r="B1396" s="3" t="s">
        <v>200</v>
      </c>
      <c r="C1396">
        <v>2018</v>
      </c>
      <c r="D1396">
        <v>12569000000</v>
      </c>
    </row>
    <row r="1397" spans="1:4">
      <c r="A1397" s="3" t="s">
        <v>199</v>
      </c>
      <c r="B1397" s="3" t="s">
        <v>200</v>
      </c>
      <c r="C1397">
        <v>2019</v>
      </c>
      <c r="D1397">
        <v>14458000000</v>
      </c>
    </row>
    <row r="1398" spans="1:4">
      <c r="A1398" s="3" t="s">
        <v>199</v>
      </c>
      <c r="B1398" s="3" t="s">
        <v>200</v>
      </c>
      <c r="C1398">
        <v>2020</v>
      </c>
      <c r="D1398">
        <v>13607000000</v>
      </c>
    </row>
    <row r="1399" spans="1:4">
      <c r="A1399" s="3" t="s">
        <v>199</v>
      </c>
      <c r="B1399" s="3" t="s">
        <v>200</v>
      </c>
      <c r="C1399">
        <v>2021</v>
      </c>
      <c r="D1399">
        <v>15588000000</v>
      </c>
    </row>
    <row r="1400" spans="1:4">
      <c r="A1400" s="3" t="s">
        <v>199</v>
      </c>
      <c r="B1400" s="3" t="s">
        <v>200</v>
      </c>
      <c r="C1400">
        <v>2022</v>
      </c>
      <c r="D1400">
        <v>19835000000</v>
      </c>
    </row>
    <row r="1401" spans="1:4">
      <c r="A1401" s="3" t="s">
        <v>199</v>
      </c>
      <c r="B1401" s="3" t="s">
        <v>200</v>
      </c>
      <c r="C1401">
        <v>2023</v>
      </c>
      <c r="D1401">
        <v>15014000000</v>
      </c>
    </row>
    <row r="1402" spans="1:4">
      <c r="A1402" s="3" t="s">
        <v>199</v>
      </c>
      <c r="B1402" s="3" t="s">
        <v>200</v>
      </c>
      <c r="C1402">
        <v>2024</v>
      </c>
      <c r="D1402">
        <v>17932000000</v>
      </c>
    </row>
    <row r="1403" spans="1:4">
      <c r="A1403" s="3" t="s">
        <v>203</v>
      </c>
      <c r="B1403" s="3" t="s">
        <v>204</v>
      </c>
      <c r="C1403">
        <v>2008</v>
      </c>
      <c r="D1403">
        <v>0</v>
      </c>
    </row>
    <row r="1404" spans="1:4">
      <c r="A1404" s="3" t="s">
        <v>203</v>
      </c>
      <c r="B1404" s="3" t="s">
        <v>204</v>
      </c>
      <c r="C1404">
        <v>2011</v>
      </c>
      <c r="D1404">
        <v>0</v>
      </c>
    </row>
    <row r="1405" spans="1:4">
      <c r="A1405" s="3" t="s">
        <v>203</v>
      </c>
      <c r="B1405" s="3" t="s">
        <v>204</v>
      </c>
      <c r="C1405">
        <v>2012</v>
      </c>
      <c r="D1405">
        <v>0</v>
      </c>
    </row>
    <row r="1406" spans="1:4">
      <c r="A1406" s="3" t="s">
        <v>203</v>
      </c>
      <c r="B1406" s="3" t="s">
        <v>204</v>
      </c>
      <c r="C1406">
        <v>2013</v>
      </c>
      <c r="D1406">
        <v>20000000</v>
      </c>
    </row>
    <row r="1407" spans="1:4">
      <c r="A1407" s="3" t="s">
        <v>203</v>
      </c>
      <c r="B1407" s="3" t="s">
        <v>204</v>
      </c>
      <c r="C1407">
        <v>2014</v>
      </c>
      <c r="D1407">
        <v>13000000</v>
      </c>
    </row>
    <row r="1408" spans="1:4">
      <c r="A1408" s="3" t="s">
        <v>203</v>
      </c>
      <c r="B1408" s="3" t="s">
        <v>204</v>
      </c>
      <c r="C1408">
        <v>2015</v>
      </c>
      <c r="D1408">
        <v>8000000</v>
      </c>
    </row>
    <row r="1409" spans="1:4">
      <c r="A1409" s="3" t="s">
        <v>203</v>
      </c>
      <c r="B1409" s="3" t="s">
        <v>204</v>
      </c>
      <c r="C1409">
        <v>2017</v>
      </c>
      <c r="D1409">
        <v>10000000</v>
      </c>
    </row>
    <row r="1410" spans="1:4">
      <c r="A1410" s="3" t="s">
        <v>203</v>
      </c>
      <c r="B1410" s="3" t="s">
        <v>204</v>
      </c>
      <c r="C1410">
        <v>2018</v>
      </c>
      <c r="D1410">
        <v>1000000</v>
      </c>
    </row>
    <row r="1411" spans="1:4">
      <c r="A1411" s="3" t="s">
        <v>203</v>
      </c>
      <c r="B1411" s="3" t="s">
        <v>204</v>
      </c>
      <c r="C1411">
        <v>2019</v>
      </c>
      <c r="D1411">
        <v>23000000</v>
      </c>
    </row>
    <row r="1412" spans="1:4">
      <c r="A1412" s="3" t="s">
        <v>203</v>
      </c>
      <c r="B1412" s="3" t="s">
        <v>204</v>
      </c>
      <c r="C1412">
        <v>2020</v>
      </c>
      <c r="D1412">
        <v>0</v>
      </c>
    </row>
    <row r="1413" spans="1:4">
      <c r="A1413" s="3" t="s">
        <v>203</v>
      </c>
      <c r="B1413" s="3" t="s">
        <v>204</v>
      </c>
      <c r="C1413">
        <v>2021</v>
      </c>
      <c r="D1413">
        <v>4000000</v>
      </c>
    </row>
    <row r="1414" spans="1:4">
      <c r="A1414" s="3" t="s">
        <v>203</v>
      </c>
      <c r="B1414" s="3" t="s">
        <v>204</v>
      </c>
      <c r="C1414">
        <v>2024</v>
      </c>
      <c r="D1414">
        <v>7000000</v>
      </c>
    </row>
    <row r="1415" spans="1:4">
      <c r="A1415" s="3" t="s">
        <v>205</v>
      </c>
      <c r="B1415" s="3" t="s">
        <v>206</v>
      </c>
      <c r="C1415">
        <v>2011</v>
      </c>
      <c r="D1415">
        <v>1600000000</v>
      </c>
    </row>
    <row r="1416" spans="1:4">
      <c r="A1416" s="3" t="s">
        <v>205</v>
      </c>
      <c r="B1416" s="3" t="s">
        <v>206</v>
      </c>
      <c r="C1416">
        <v>2012</v>
      </c>
      <c r="D1416">
        <v>1383000000</v>
      </c>
    </row>
    <row r="1417" spans="1:4">
      <c r="A1417" s="3" t="s">
        <v>205</v>
      </c>
      <c r="B1417" s="3" t="s">
        <v>206</v>
      </c>
      <c r="C1417">
        <v>2013</v>
      </c>
      <c r="D1417">
        <v>1072000000</v>
      </c>
    </row>
    <row r="1418" spans="1:4">
      <c r="A1418" s="3" t="s">
        <v>205</v>
      </c>
      <c r="B1418" s="3" t="s">
        <v>206</v>
      </c>
      <c r="C1418">
        <v>2014</v>
      </c>
      <c r="D1418">
        <v>799000000</v>
      </c>
    </row>
    <row r="1419" spans="1:4">
      <c r="A1419" s="3" t="s">
        <v>205</v>
      </c>
      <c r="B1419" s="3" t="s">
        <v>206</v>
      </c>
      <c r="C1419">
        <v>2015</v>
      </c>
      <c r="D1419">
        <v>455000000</v>
      </c>
    </row>
    <row r="1420" spans="1:4">
      <c r="A1420" s="3" t="s">
        <v>205</v>
      </c>
      <c r="B1420" s="3" t="s">
        <v>206</v>
      </c>
      <c r="C1420">
        <v>2016</v>
      </c>
      <c r="D1420">
        <v>766000000</v>
      </c>
    </row>
    <row r="1421" spans="1:4">
      <c r="A1421" s="3" t="s">
        <v>205</v>
      </c>
      <c r="B1421" s="3" t="s">
        <v>206</v>
      </c>
      <c r="C1421">
        <v>2018</v>
      </c>
      <c r="D1421">
        <v>490000000</v>
      </c>
    </row>
    <row r="1422" spans="1:4">
      <c r="A1422" s="3" t="s">
        <v>205</v>
      </c>
      <c r="B1422" s="3" t="s">
        <v>206</v>
      </c>
      <c r="C1422">
        <v>2019</v>
      </c>
      <c r="D1422">
        <v>789000000</v>
      </c>
    </row>
    <row r="1423" spans="1:4">
      <c r="A1423" s="3" t="s">
        <v>205</v>
      </c>
      <c r="B1423" s="3" t="s">
        <v>206</v>
      </c>
      <c r="C1423">
        <v>2020</v>
      </c>
      <c r="D1423">
        <v>507000000</v>
      </c>
    </row>
    <row r="1424" spans="1:4">
      <c r="A1424" s="3" t="s">
        <v>205</v>
      </c>
      <c r="B1424" s="3" t="s">
        <v>206</v>
      </c>
      <c r="C1424">
        <v>2023</v>
      </c>
      <c r="D1424">
        <v>583000000</v>
      </c>
    </row>
    <row r="1425" spans="1:4">
      <c r="A1425" s="3" t="s">
        <v>205</v>
      </c>
      <c r="B1425" s="3" t="s">
        <v>206</v>
      </c>
      <c r="C1425">
        <v>2024</v>
      </c>
      <c r="D1425">
        <v>484000000</v>
      </c>
    </row>
    <row r="1426" spans="1:4">
      <c r="A1426" s="3" t="s">
        <v>207</v>
      </c>
      <c r="B1426" s="3" t="s">
        <v>208</v>
      </c>
      <c r="C1426">
        <v>2001</v>
      </c>
      <c r="D1426">
        <v>57000000</v>
      </c>
    </row>
    <row r="1427" spans="1:4">
      <c r="A1427" s="3" t="s">
        <v>207</v>
      </c>
      <c r="B1427" s="3" t="s">
        <v>208</v>
      </c>
      <c r="C1427">
        <v>2002</v>
      </c>
      <c r="D1427">
        <v>2000000</v>
      </c>
    </row>
    <row r="1428" spans="1:4">
      <c r="A1428" s="3" t="s">
        <v>207</v>
      </c>
      <c r="B1428" s="3" t="s">
        <v>208</v>
      </c>
      <c r="C1428">
        <v>2003</v>
      </c>
      <c r="D1428">
        <v>24000000</v>
      </c>
    </row>
    <row r="1429" spans="1:4">
      <c r="A1429" s="3" t="s">
        <v>207</v>
      </c>
      <c r="B1429" s="3" t="s">
        <v>208</v>
      </c>
      <c r="C1429">
        <v>2004</v>
      </c>
      <c r="D1429">
        <v>8000000</v>
      </c>
    </row>
    <row r="1430" spans="1:4">
      <c r="A1430" s="3" t="s">
        <v>207</v>
      </c>
      <c r="B1430" s="3" t="s">
        <v>208</v>
      </c>
      <c r="C1430">
        <v>2007</v>
      </c>
      <c r="D1430">
        <v>20000000</v>
      </c>
    </row>
    <row r="1431" spans="1:4">
      <c r="A1431" s="3" t="s">
        <v>207</v>
      </c>
      <c r="B1431" s="3" t="s">
        <v>208</v>
      </c>
      <c r="C1431">
        <v>2008</v>
      </c>
      <c r="D1431">
        <v>103000000</v>
      </c>
    </row>
    <row r="1432" spans="1:4">
      <c r="A1432" s="3" t="s">
        <v>207</v>
      </c>
      <c r="B1432" s="3" t="s">
        <v>208</v>
      </c>
      <c r="C1432">
        <v>2009</v>
      </c>
      <c r="D1432">
        <v>4000000</v>
      </c>
    </row>
    <row r="1433" spans="1:4">
      <c r="A1433" s="3" t="s">
        <v>207</v>
      </c>
      <c r="B1433" s="3" t="s">
        <v>208</v>
      </c>
      <c r="C1433">
        <v>2010</v>
      </c>
      <c r="D1433">
        <v>10000000</v>
      </c>
    </row>
    <row r="1434" spans="1:4">
      <c r="A1434" s="3" t="s">
        <v>207</v>
      </c>
      <c r="B1434" s="3" t="s">
        <v>208</v>
      </c>
      <c r="C1434">
        <v>2011</v>
      </c>
      <c r="D1434">
        <v>18000000</v>
      </c>
    </row>
    <row r="1435" spans="1:4">
      <c r="A1435" s="3" t="s">
        <v>207</v>
      </c>
      <c r="B1435" s="3" t="s">
        <v>208</v>
      </c>
      <c r="C1435">
        <v>2012</v>
      </c>
      <c r="D1435">
        <v>18000000</v>
      </c>
    </row>
    <row r="1436" spans="1:4">
      <c r="A1436" s="3" t="s">
        <v>207</v>
      </c>
      <c r="B1436" s="3" t="s">
        <v>208</v>
      </c>
      <c r="C1436">
        <v>2014</v>
      </c>
      <c r="D1436">
        <v>27000000</v>
      </c>
    </row>
    <row r="1437" spans="1:4">
      <c r="A1437" s="3" t="s">
        <v>207</v>
      </c>
      <c r="B1437" s="3" t="s">
        <v>208</v>
      </c>
      <c r="C1437">
        <v>2015</v>
      </c>
      <c r="D1437">
        <v>11000000</v>
      </c>
    </row>
    <row r="1438" spans="1:4">
      <c r="A1438" s="3" t="s">
        <v>207</v>
      </c>
      <c r="B1438" s="3" t="s">
        <v>208</v>
      </c>
      <c r="C1438">
        <v>2016</v>
      </c>
      <c r="D1438">
        <v>20000000</v>
      </c>
    </row>
    <row r="1439" spans="1:4">
      <c r="A1439" s="3" t="s">
        <v>207</v>
      </c>
      <c r="B1439" s="3" t="s">
        <v>208</v>
      </c>
      <c r="C1439">
        <v>2017</v>
      </c>
      <c r="D1439">
        <v>13000000</v>
      </c>
    </row>
    <row r="1440" spans="1:4">
      <c r="A1440" s="3" t="s">
        <v>207</v>
      </c>
      <c r="B1440" s="3" t="s">
        <v>208</v>
      </c>
      <c r="C1440">
        <v>2018</v>
      </c>
      <c r="D1440">
        <v>3000000</v>
      </c>
    </row>
    <row r="1441" spans="1:4">
      <c r="A1441" s="3" t="s">
        <v>207</v>
      </c>
      <c r="B1441" s="3" t="s">
        <v>208</v>
      </c>
      <c r="C1441">
        <v>2019</v>
      </c>
      <c r="D1441">
        <v>5000000</v>
      </c>
    </row>
    <row r="1442" spans="1:4">
      <c r="A1442" s="3" t="s">
        <v>207</v>
      </c>
      <c r="B1442" s="3" t="s">
        <v>208</v>
      </c>
      <c r="C1442">
        <v>2022</v>
      </c>
      <c r="D1442">
        <v>29000000</v>
      </c>
    </row>
    <row r="1443" spans="1:4">
      <c r="A1443" s="3" t="s">
        <v>207</v>
      </c>
      <c r="B1443" s="3" t="s">
        <v>208</v>
      </c>
      <c r="C1443">
        <v>2023</v>
      </c>
      <c r="D1443">
        <v>89000000</v>
      </c>
    </row>
    <row r="1444" spans="1:4">
      <c r="A1444" s="3" t="s">
        <v>207</v>
      </c>
      <c r="B1444" s="3" t="s">
        <v>208</v>
      </c>
      <c r="C1444">
        <v>2024</v>
      </c>
      <c r="D1444">
        <v>90000000</v>
      </c>
    </row>
    <row r="1445" spans="1:4">
      <c r="A1445" s="3" t="s">
        <v>211</v>
      </c>
      <c r="B1445" s="3" t="s">
        <v>212</v>
      </c>
      <c r="C1445">
        <v>2000</v>
      </c>
      <c r="D1445">
        <v>14000000</v>
      </c>
    </row>
    <row r="1446" spans="1:4">
      <c r="A1446" s="3" t="s">
        <v>211</v>
      </c>
      <c r="B1446" s="3" t="s">
        <v>212</v>
      </c>
      <c r="C1446">
        <v>2001</v>
      </c>
      <c r="D1446">
        <v>14000000</v>
      </c>
    </row>
    <row r="1447" spans="1:4">
      <c r="A1447" s="3" t="s">
        <v>211</v>
      </c>
      <c r="B1447" s="3" t="s">
        <v>212</v>
      </c>
      <c r="C1447">
        <v>2004</v>
      </c>
      <c r="D1447">
        <v>72000000</v>
      </c>
    </row>
    <row r="1448" spans="1:4">
      <c r="A1448" s="3" t="s">
        <v>211</v>
      </c>
      <c r="B1448" s="3" t="s">
        <v>212</v>
      </c>
      <c r="C1448">
        <v>2005</v>
      </c>
      <c r="D1448">
        <v>13000000</v>
      </c>
    </row>
    <row r="1449" spans="1:4">
      <c r="A1449" s="3" t="s">
        <v>211</v>
      </c>
      <c r="B1449" s="3" t="s">
        <v>212</v>
      </c>
      <c r="C1449">
        <v>2006</v>
      </c>
      <c r="D1449">
        <v>253000000</v>
      </c>
    </row>
    <row r="1450" spans="1:4">
      <c r="A1450" s="3" t="s">
        <v>211</v>
      </c>
      <c r="B1450" s="3" t="s">
        <v>212</v>
      </c>
      <c r="C1450">
        <v>2007</v>
      </c>
      <c r="D1450">
        <v>196000000</v>
      </c>
    </row>
    <row r="1451" spans="1:4">
      <c r="A1451" s="3" t="s">
        <v>211</v>
      </c>
      <c r="B1451" s="3" t="s">
        <v>212</v>
      </c>
      <c r="C1451">
        <v>2008</v>
      </c>
      <c r="D1451">
        <v>5000000</v>
      </c>
    </row>
    <row r="1452" spans="1:4">
      <c r="A1452" s="3" t="s">
        <v>211</v>
      </c>
      <c r="B1452" s="3" t="s">
        <v>212</v>
      </c>
      <c r="C1452">
        <v>2009</v>
      </c>
      <c r="D1452">
        <v>4000000</v>
      </c>
    </row>
    <row r="1453" spans="1:4">
      <c r="A1453" s="3" t="s">
        <v>211</v>
      </c>
      <c r="B1453" s="3" t="s">
        <v>212</v>
      </c>
      <c r="C1453">
        <v>2010</v>
      </c>
      <c r="D1453">
        <v>18000000</v>
      </c>
    </row>
    <row r="1454" spans="1:4">
      <c r="A1454" s="3" t="s">
        <v>211</v>
      </c>
      <c r="B1454" s="3" t="s">
        <v>212</v>
      </c>
      <c r="C1454">
        <v>2011</v>
      </c>
      <c r="D1454">
        <v>8000000</v>
      </c>
    </row>
    <row r="1455" spans="1:4">
      <c r="A1455" s="3" t="s">
        <v>211</v>
      </c>
      <c r="B1455" s="3" t="s">
        <v>212</v>
      </c>
      <c r="C1455">
        <v>2013</v>
      </c>
      <c r="D1455">
        <v>2000000</v>
      </c>
    </row>
    <row r="1456" spans="1:4">
      <c r="A1456" s="3" t="s">
        <v>211</v>
      </c>
      <c r="B1456" s="3" t="s">
        <v>212</v>
      </c>
      <c r="C1456">
        <v>2014</v>
      </c>
      <c r="D1456">
        <v>7000000</v>
      </c>
    </row>
    <row r="1457" spans="1:4">
      <c r="A1457" s="3" t="s">
        <v>211</v>
      </c>
      <c r="B1457" s="3" t="s">
        <v>212</v>
      </c>
      <c r="C1457">
        <v>2016</v>
      </c>
      <c r="D1457">
        <v>14000000</v>
      </c>
    </row>
    <row r="1458" spans="1:4">
      <c r="A1458" s="3" t="s">
        <v>211</v>
      </c>
      <c r="B1458" s="3" t="s">
        <v>212</v>
      </c>
      <c r="C1458">
        <v>2017</v>
      </c>
      <c r="D1458">
        <v>5000000</v>
      </c>
    </row>
    <row r="1459" spans="1:4">
      <c r="A1459" s="3" t="s">
        <v>211</v>
      </c>
      <c r="B1459" s="3" t="s">
        <v>212</v>
      </c>
      <c r="C1459">
        <v>2018</v>
      </c>
      <c r="D1459">
        <v>27000000</v>
      </c>
    </row>
    <row r="1460" spans="1:4">
      <c r="A1460" s="3" t="s">
        <v>211</v>
      </c>
      <c r="B1460" s="3" t="s">
        <v>212</v>
      </c>
      <c r="C1460">
        <v>2019</v>
      </c>
      <c r="D1460">
        <v>16000000</v>
      </c>
    </row>
    <row r="1461" spans="1:4">
      <c r="A1461" s="3" t="s">
        <v>211</v>
      </c>
      <c r="B1461" s="3" t="s">
        <v>212</v>
      </c>
      <c r="C1461">
        <v>2020</v>
      </c>
      <c r="D1461">
        <v>55000000</v>
      </c>
    </row>
    <row r="1462" spans="1:4">
      <c r="A1462" s="3" t="s">
        <v>211</v>
      </c>
      <c r="B1462" s="3" t="s">
        <v>212</v>
      </c>
      <c r="C1462">
        <v>2021</v>
      </c>
      <c r="D1462">
        <v>20000000</v>
      </c>
    </row>
    <row r="1463" spans="1:4">
      <c r="A1463" s="3" t="s">
        <v>211</v>
      </c>
      <c r="B1463" s="3" t="s">
        <v>212</v>
      </c>
      <c r="C1463">
        <v>2022</v>
      </c>
      <c r="D1463">
        <v>40000000</v>
      </c>
    </row>
    <row r="1464" spans="1:4">
      <c r="A1464" s="3" t="s">
        <v>211</v>
      </c>
      <c r="B1464" s="3" t="s">
        <v>212</v>
      </c>
      <c r="C1464">
        <v>2023</v>
      </c>
      <c r="D1464">
        <v>246000000</v>
      </c>
    </row>
    <row r="1465" spans="1:4">
      <c r="A1465" s="3" t="s">
        <v>211</v>
      </c>
      <c r="B1465" s="3" t="s">
        <v>212</v>
      </c>
      <c r="C1465">
        <v>2024</v>
      </c>
      <c r="D1465">
        <v>581000000</v>
      </c>
    </row>
    <row r="1466" spans="1:4">
      <c r="A1466" s="3" t="s">
        <v>213</v>
      </c>
      <c r="B1466" s="3" t="s">
        <v>214</v>
      </c>
      <c r="C1466">
        <v>2000</v>
      </c>
      <c r="D1466">
        <v>9512000000</v>
      </c>
    </row>
    <row r="1467" spans="1:4">
      <c r="A1467" s="3" t="s">
        <v>213</v>
      </c>
      <c r="B1467" s="3" t="s">
        <v>214</v>
      </c>
      <c r="C1467">
        <v>2001</v>
      </c>
      <c r="D1467">
        <v>8555000000</v>
      </c>
    </row>
    <row r="1468" spans="1:4">
      <c r="A1468" s="3" t="s">
        <v>213</v>
      </c>
      <c r="B1468" s="3" t="s">
        <v>214</v>
      </c>
      <c r="C1468">
        <v>2002</v>
      </c>
      <c r="D1468">
        <v>9004000000</v>
      </c>
    </row>
    <row r="1469" spans="1:4">
      <c r="A1469" s="3" t="s">
        <v>213</v>
      </c>
      <c r="B1469" s="3" t="s">
        <v>214</v>
      </c>
      <c r="C1469">
        <v>2003</v>
      </c>
      <c r="D1469">
        <v>8576000000</v>
      </c>
    </row>
    <row r="1470" spans="1:4">
      <c r="A1470" s="3" t="s">
        <v>213</v>
      </c>
      <c r="B1470" s="3" t="s">
        <v>214</v>
      </c>
      <c r="C1470">
        <v>2004</v>
      </c>
      <c r="D1470">
        <v>9170000000</v>
      </c>
    </row>
    <row r="1471" spans="1:4">
      <c r="A1471" s="3" t="s">
        <v>213</v>
      </c>
      <c r="B1471" s="3" t="s">
        <v>214</v>
      </c>
      <c r="C1471">
        <v>2005</v>
      </c>
      <c r="D1471">
        <v>10174000000</v>
      </c>
    </row>
    <row r="1472" spans="1:4">
      <c r="A1472" s="3" t="s">
        <v>213</v>
      </c>
      <c r="B1472" s="3" t="s">
        <v>214</v>
      </c>
      <c r="C1472">
        <v>2006</v>
      </c>
      <c r="D1472">
        <v>11019000000</v>
      </c>
    </row>
    <row r="1473" spans="1:4">
      <c r="A1473" s="3" t="s">
        <v>213</v>
      </c>
      <c r="B1473" s="3" t="s">
        <v>214</v>
      </c>
      <c r="C1473">
        <v>2007</v>
      </c>
      <c r="D1473">
        <v>12570000000</v>
      </c>
    </row>
    <row r="1474" spans="1:4">
      <c r="A1474" s="3" t="s">
        <v>213</v>
      </c>
      <c r="B1474" s="3" t="s">
        <v>214</v>
      </c>
      <c r="C1474">
        <v>2008</v>
      </c>
      <c r="D1474">
        <v>10903000000</v>
      </c>
    </row>
    <row r="1475" spans="1:4">
      <c r="A1475" s="3" t="s">
        <v>213</v>
      </c>
      <c r="B1475" s="3" t="s">
        <v>214</v>
      </c>
      <c r="C1475">
        <v>2009</v>
      </c>
      <c r="D1475">
        <v>10235000000</v>
      </c>
    </row>
    <row r="1476" spans="1:4">
      <c r="A1476" s="3" t="s">
        <v>213</v>
      </c>
      <c r="B1476" s="3" t="s">
        <v>214</v>
      </c>
      <c r="C1476">
        <v>2010</v>
      </c>
      <c r="D1476">
        <v>10082000000</v>
      </c>
    </row>
    <row r="1477" spans="1:4">
      <c r="A1477" s="3" t="s">
        <v>213</v>
      </c>
      <c r="B1477" s="3" t="s">
        <v>214</v>
      </c>
      <c r="C1477">
        <v>2011</v>
      </c>
      <c r="D1477">
        <v>14311000000</v>
      </c>
    </row>
    <row r="1478" spans="1:4">
      <c r="A1478" s="3" t="s">
        <v>213</v>
      </c>
      <c r="B1478" s="3" t="s">
        <v>214</v>
      </c>
      <c r="C1478">
        <v>2012</v>
      </c>
      <c r="D1478">
        <v>14758000000</v>
      </c>
    </row>
    <row r="1479" spans="1:4">
      <c r="A1479" s="3" t="s">
        <v>213</v>
      </c>
      <c r="B1479" s="3" t="s">
        <v>214</v>
      </c>
      <c r="C1479">
        <v>2013</v>
      </c>
      <c r="D1479">
        <v>13535000000</v>
      </c>
    </row>
    <row r="1480" spans="1:4">
      <c r="A1480" s="3" t="s">
        <v>213</v>
      </c>
      <c r="B1480" s="3" t="s">
        <v>214</v>
      </c>
      <c r="C1480">
        <v>2014</v>
      </c>
      <c r="D1480">
        <v>13711000000</v>
      </c>
    </row>
    <row r="1481" spans="1:4">
      <c r="A1481" s="3" t="s">
        <v>213</v>
      </c>
      <c r="B1481" s="3" t="s">
        <v>214</v>
      </c>
      <c r="C1481">
        <v>2015</v>
      </c>
      <c r="D1481">
        <v>13143000000</v>
      </c>
    </row>
    <row r="1482" spans="1:4">
      <c r="A1482" s="3" t="s">
        <v>213</v>
      </c>
      <c r="B1482" s="3" t="s">
        <v>214</v>
      </c>
      <c r="C1482">
        <v>2016</v>
      </c>
      <c r="D1482">
        <v>16439000000</v>
      </c>
    </row>
    <row r="1483" spans="1:4">
      <c r="A1483" s="3" t="s">
        <v>213</v>
      </c>
      <c r="B1483" s="3" t="s">
        <v>214</v>
      </c>
      <c r="C1483">
        <v>2017</v>
      </c>
      <c r="D1483">
        <v>15019000000</v>
      </c>
    </row>
    <row r="1484" spans="1:4">
      <c r="A1484" s="3" t="s">
        <v>213</v>
      </c>
      <c r="B1484" s="3" t="s">
        <v>214</v>
      </c>
      <c r="C1484">
        <v>2018</v>
      </c>
      <c r="D1484">
        <v>12582000000</v>
      </c>
    </row>
    <row r="1485" spans="1:4">
      <c r="A1485" s="3" t="s">
        <v>213</v>
      </c>
      <c r="B1485" s="3" t="s">
        <v>214</v>
      </c>
      <c r="C1485">
        <v>2019</v>
      </c>
      <c r="D1485">
        <v>9961000000</v>
      </c>
    </row>
    <row r="1486" spans="1:4">
      <c r="A1486" s="3" t="s">
        <v>213</v>
      </c>
      <c r="B1486" s="3" t="s">
        <v>214</v>
      </c>
      <c r="C1486">
        <v>2020</v>
      </c>
      <c r="D1486">
        <v>8699000000</v>
      </c>
    </row>
    <row r="1487" spans="1:4">
      <c r="A1487" s="3" t="s">
        <v>213</v>
      </c>
      <c r="B1487" s="3" t="s">
        <v>214</v>
      </c>
      <c r="C1487">
        <v>2021</v>
      </c>
      <c r="D1487">
        <v>9465000000</v>
      </c>
    </row>
    <row r="1488" spans="1:4">
      <c r="A1488" s="3" t="s">
        <v>213</v>
      </c>
      <c r="B1488" s="3" t="s">
        <v>214</v>
      </c>
      <c r="C1488">
        <v>2022</v>
      </c>
      <c r="D1488">
        <v>11397000000</v>
      </c>
    </row>
    <row r="1489" spans="1:4">
      <c r="A1489" s="3" t="s">
        <v>213</v>
      </c>
      <c r="B1489" s="3" t="s">
        <v>214</v>
      </c>
      <c r="C1489">
        <v>2023</v>
      </c>
      <c r="D1489">
        <v>13176000000</v>
      </c>
    </row>
    <row r="1490" spans="1:4">
      <c r="A1490" s="3" t="s">
        <v>213</v>
      </c>
      <c r="B1490" s="3" t="s">
        <v>214</v>
      </c>
      <c r="C1490">
        <v>2024</v>
      </c>
      <c r="D1490">
        <v>12908000000</v>
      </c>
    </row>
    <row r="1491" spans="1:4">
      <c r="A1491" s="3" t="s">
        <v>215</v>
      </c>
      <c r="B1491" s="3" t="s">
        <v>216</v>
      </c>
      <c r="C1491">
        <v>2000</v>
      </c>
      <c r="D1491">
        <v>10839000000</v>
      </c>
    </row>
    <row r="1492" spans="1:4">
      <c r="A1492" s="3" t="s">
        <v>215</v>
      </c>
      <c r="B1492" s="3" t="s">
        <v>216</v>
      </c>
      <c r="C1492">
        <v>2001</v>
      </c>
      <c r="D1492">
        <v>9909000000</v>
      </c>
    </row>
    <row r="1493" spans="1:4">
      <c r="A1493" s="3" t="s">
        <v>215</v>
      </c>
      <c r="B1493" s="3" t="s">
        <v>216</v>
      </c>
      <c r="C1493">
        <v>2002</v>
      </c>
      <c r="D1493">
        <v>10719000000</v>
      </c>
    </row>
    <row r="1494" spans="1:4">
      <c r="A1494" s="3" t="s">
        <v>215</v>
      </c>
      <c r="B1494" s="3" t="s">
        <v>216</v>
      </c>
      <c r="C1494">
        <v>2003</v>
      </c>
      <c r="D1494">
        <v>10128000000</v>
      </c>
    </row>
    <row r="1495" spans="1:4">
      <c r="A1495" s="3" t="s">
        <v>215</v>
      </c>
      <c r="B1495" s="3" t="s">
        <v>216</v>
      </c>
      <c r="C1495">
        <v>2004</v>
      </c>
      <c r="D1495">
        <v>10955000000</v>
      </c>
    </row>
    <row r="1496" spans="1:4">
      <c r="A1496" s="3" t="s">
        <v>215</v>
      </c>
      <c r="B1496" s="3" t="s">
        <v>216</v>
      </c>
      <c r="C1496">
        <v>2005</v>
      </c>
      <c r="D1496">
        <v>11587000000</v>
      </c>
    </row>
    <row r="1497" spans="1:4">
      <c r="A1497" s="3" t="s">
        <v>215</v>
      </c>
      <c r="B1497" s="3" t="s">
        <v>216</v>
      </c>
      <c r="C1497">
        <v>2006</v>
      </c>
      <c r="D1497">
        <v>12333000000</v>
      </c>
    </row>
    <row r="1498" spans="1:4">
      <c r="A1498" s="3" t="s">
        <v>215</v>
      </c>
      <c r="B1498" s="3" t="s">
        <v>216</v>
      </c>
      <c r="C1498">
        <v>2007</v>
      </c>
      <c r="D1498">
        <v>14058000000</v>
      </c>
    </row>
    <row r="1499" spans="1:4">
      <c r="A1499" s="3" t="s">
        <v>215</v>
      </c>
      <c r="B1499" s="3" t="s">
        <v>216</v>
      </c>
      <c r="C1499">
        <v>2008</v>
      </c>
      <c r="D1499">
        <v>13024000000</v>
      </c>
    </row>
    <row r="1500" spans="1:4">
      <c r="A1500" s="3" t="s">
        <v>215</v>
      </c>
      <c r="B1500" s="3" t="s">
        <v>216</v>
      </c>
      <c r="C1500">
        <v>2009</v>
      </c>
      <c r="D1500">
        <v>12571000000</v>
      </c>
    </row>
    <row r="1501" spans="1:4">
      <c r="A1501" s="3" t="s">
        <v>215</v>
      </c>
      <c r="B1501" s="3" t="s">
        <v>216</v>
      </c>
      <c r="C1501">
        <v>2010</v>
      </c>
      <c r="D1501">
        <v>14434000000</v>
      </c>
    </row>
    <row r="1502" spans="1:4">
      <c r="A1502" s="3" t="s">
        <v>215</v>
      </c>
      <c r="B1502" s="3" t="s">
        <v>216</v>
      </c>
      <c r="C1502">
        <v>2011</v>
      </c>
      <c r="D1502">
        <v>18600000000</v>
      </c>
    </row>
    <row r="1503" spans="1:4">
      <c r="A1503" s="3" t="s">
        <v>215</v>
      </c>
      <c r="B1503" s="3" t="s">
        <v>216</v>
      </c>
      <c r="C1503">
        <v>2012</v>
      </c>
      <c r="D1503">
        <v>18531000000</v>
      </c>
    </row>
    <row r="1504" spans="1:4">
      <c r="A1504" s="3" t="s">
        <v>215</v>
      </c>
      <c r="B1504" s="3" t="s">
        <v>216</v>
      </c>
      <c r="C1504">
        <v>2013</v>
      </c>
      <c r="D1504">
        <v>17313000000</v>
      </c>
    </row>
    <row r="1505" spans="1:4">
      <c r="A1505" s="3" t="s">
        <v>215</v>
      </c>
      <c r="B1505" s="3" t="s">
        <v>216</v>
      </c>
      <c r="C1505">
        <v>2014</v>
      </c>
      <c r="D1505">
        <v>16015000000</v>
      </c>
    </row>
    <row r="1506" spans="1:4">
      <c r="A1506" s="3" t="s">
        <v>215</v>
      </c>
      <c r="B1506" s="3" t="s">
        <v>216</v>
      </c>
      <c r="C1506">
        <v>2015</v>
      </c>
      <c r="D1506">
        <v>15685000000</v>
      </c>
    </row>
    <row r="1507" spans="1:4">
      <c r="A1507" s="3" t="s">
        <v>215</v>
      </c>
      <c r="B1507" s="3" t="s">
        <v>216</v>
      </c>
      <c r="C1507">
        <v>2016</v>
      </c>
      <c r="D1507">
        <v>19011000000</v>
      </c>
    </row>
    <row r="1508" spans="1:4">
      <c r="A1508" s="3" t="s">
        <v>215</v>
      </c>
      <c r="B1508" s="3" t="s">
        <v>216</v>
      </c>
      <c r="C1508">
        <v>2017</v>
      </c>
      <c r="D1508">
        <v>17200000000</v>
      </c>
    </row>
    <row r="1509" spans="1:4">
      <c r="A1509" s="3" t="s">
        <v>215</v>
      </c>
      <c r="B1509" s="3" t="s">
        <v>216</v>
      </c>
      <c r="C1509">
        <v>2018</v>
      </c>
      <c r="D1509">
        <v>14978000000</v>
      </c>
    </row>
    <row r="1510" spans="1:4">
      <c r="A1510" s="3" t="s">
        <v>215</v>
      </c>
      <c r="B1510" s="3" t="s">
        <v>216</v>
      </c>
      <c r="C1510">
        <v>2019</v>
      </c>
      <c r="D1510">
        <v>12697000000</v>
      </c>
    </row>
    <row r="1511" spans="1:4">
      <c r="A1511" s="3" t="s">
        <v>215</v>
      </c>
      <c r="B1511" s="3" t="s">
        <v>216</v>
      </c>
      <c r="C1511">
        <v>2020</v>
      </c>
      <c r="D1511">
        <v>10458000000</v>
      </c>
    </row>
    <row r="1512" spans="1:4">
      <c r="A1512" s="3" t="s">
        <v>215</v>
      </c>
      <c r="B1512" s="3" t="s">
        <v>216</v>
      </c>
      <c r="C1512">
        <v>2021</v>
      </c>
      <c r="D1512">
        <v>11557000000</v>
      </c>
    </row>
    <row r="1513" spans="1:4">
      <c r="A1513" s="3" t="s">
        <v>215</v>
      </c>
      <c r="B1513" s="3" t="s">
        <v>216</v>
      </c>
      <c r="C1513">
        <v>2022</v>
      </c>
      <c r="D1513">
        <v>14086000000</v>
      </c>
    </row>
    <row r="1514" spans="1:4">
      <c r="A1514" s="3" t="s">
        <v>215</v>
      </c>
      <c r="B1514" s="3" t="s">
        <v>216</v>
      </c>
      <c r="C1514">
        <v>2023</v>
      </c>
      <c r="D1514">
        <v>16443000000</v>
      </c>
    </row>
    <row r="1515" spans="1:4">
      <c r="A1515" s="3" t="s">
        <v>215</v>
      </c>
      <c r="B1515" s="3" t="s">
        <v>216</v>
      </c>
      <c r="C1515">
        <v>2024</v>
      </c>
      <c r="D1515">
        <v>14962000000</v>
      </c>
    </row>
    <row r="1516" spans="1:4">
      <c r="A1516" s="3" t="s">
        <v>217</v>
      </c>
      <c r="B1516" s="3" t="s">
        <v>218</v>
      </c>
      <c r="C1516">
        <v>2000</v>
      </c>
      <c r="D1516">
        <v>1327000000</v>
      </c>
    </row>
    <row r="1517" spans="1:4">
      <c r="A1517" s="3" t="s">
        <v>217</v>
      </c>
      <c r="B1517" s="3" t="s">
        <v>218</v>
      </c>
      <c r="C1517">
        <v>2002</v>
      </c>
      <c r="D1517">
        <v>1715000000</v>
      </c>
    </row>
    <row r="1518" spans="1:4">
      <c r="A1518" s="3" t="s">
        <v>217</v>
      </c>
      <c r="B1518" s="3" t="s">
        <v>218</v>
      </c>
      <c r="C1518">
        <v>2003</v>
      </c>
      <c r="D1518">
        <v>1552000000</v>
      </c>
    </row>
    <row r="1519" spans="1:4">
      <c r="A1519" s="3" t="s">
        <v>217</v>
      </c>
      <c r="B1519" s="3" t="s">
        <v>218</v>
      </c>
      <c r="C1519">
        <v>2006</v>
      </c>
      <c r="D1519">
        <v>1314000000</v>
      </c>
    </row>
    <row r="1520" spans="1:4">
      <c r="A1520" s="3" t="s">
        <v>217</v>
      </c>
      <c r="B1520" s="3" t="s">
        <v>218</v>
      </c>
      <c r="C1520">
        <v>2007</v>
      </c>
      <c r="D1520">
        <v>1488000000</v>
      </c>
    </row>
    <row r="1521" spans="1:4">
      <c r="A1521" s="3" t="s">
        <v>217</v>
      </c>
      <c r="B1521" s="3" t="s">
        <v>218</v>
      </c>
      <c r="C1521">
        <v>2008</v>
      </c>
      <c r="D1521">
        <v>2121000000</v>
      </c>
    </row>
    <row r="1522" spans="1:4">
      <c r="A1522" s="3" t="s">
        <v>217</v>
      </c>
      <c r="B1522" s="3" t="s">
        <v>218</v>
      </c>
      <c r="C1522">
        <v>2010</v>
      </c>
      <c r="D1522">
        <v>4352000000</v>
      </c>
    </row>
    <row r="1523" spans="1:4">
      <c r="A1523" s="3" t="s">
        <v>217</v>
      </c>
      <c r="B1523" s="3" t="s">
        <v>218</v>
      </c>
      <c r="C1523">
        <v>2011</v>
      </c>
      <c r="D1523">
        <v>4289000000</v>
      </c>
    </row>
    <row r="1524" spans="1:4">
      <c r="A1524" s="3" t="s">
        <v>217</v>
      </c>
      <c r="B1524" s="3" t="s">
        <v>218</v>
      </c>
      <c r="C1524">
        <v>2012</v>
      </c>
      <c r="D1524">
        <v>3773000000</v>
      </c>
    </row>
    <row r="1525" spans="1:4">
      <c r="A1525" s="3" t="s">
        <v>217</v>
      </c>
      <c r="B1525" s="3" t="s">
        <v>218</v>
      </c>
      <c r="C1525">
        <v>2013</v>
      </c>
      <c r="D1525">
        <v>3778000000</v>
      </c>
    </row>
    <row r="1526" spans="1:4">
      <c r="A1526" s="3" t="s">
        <v>217</v>
      </c>
      <c r="B1526" s="3" t="s">
        <v>218</v>
      </c>
      <c r="C1526">
        <v>2014</v>
      </c>
      <c r="D1526">
        <v>2304000000</v>
      </c>
    </row>
    <row r="1527" spans="1:4">
      <c r="A1527" s="3" t="s">
        <v>217</v>
      </c>
      <c r="B1527" s="3" t="s">
        <v>218</v>
      </c>
      <c r="C1527">
        <v>2015</v>
      </c>
      <c r="D1527">
        <v>2542000000</v>
      </c>
    </row>
    <row r="1528" spans="1:4">
      <c r="A1528" s="3" t="s">
        <v>217</v>
      </c>
      <c r="B1528" s="3" t="s">
        <v>218</v>
      </c>
      <c r="C1528">
        <v>2016</v>
      </c>
      <c r="D1528">
        <v>2572000000</v>
      </c>
    </row>
    <row r="1529" spans="1:4">
      <c r="A1529" s="3" t="s">
        <v>217</v>
      </c>
      <c r="B1529" s="3" t="s">
        <v>218</v>
      </c>
      <c r="C1529">
        <v>2017</v>
      </c>
      <c r="D1529">
        <v>2181000000</v>
      </c>
    </row>
    <row r="1530" spans="1:4">
      <c r="A1530" s="3" t="s">
        <v>217</v>
      </c>
      <c r="B1530" s="3" t="s">
        <v>218</v>
      </c>
      <c r="C1530">
        <v>2018</v>
      </c>
      <c r="D1530">
        <v>2396000000</v>
      </c>
    </row>
    <row r="1531" spans="1:4">
      <c r="A1531" s="3" t="s">
        <v>217</v>
      </c>
      <c r="B1531" s="3" t="s">
        <v>218</v>
      </c>
      <c r="C1531">
        <v>2019</v>
      </c>
      <c r="D1531">
        <v>2736000000</v>
      </c>
    </row>
    <row r="1532" spans="1:4">
      <c r="A1532" s="3" t="s">
        <v>217</v>
      </c>
      <c r="B1532" s="3" t="s">
        <v>218</v>
      </c>
      <c r="C1532">
        <v>2020</v>
      </c>
      <c r="D1532">
        <v>1759000000</v>
      </c>
    </row>
    <row r="1533" spans="1:4">
      <c r="A1533" s="3" t="s">
        <v>217</v>
      </c>
      <c r="B1533" s="3" t="s">
        <v>218</v>
      </c>
      <c r="C1533">
        <v>2021</v>
      </c>
      <c r="D1533">
        <v>2092000000</v>
      </c>
    </row>
    <row r="1534" spans="1:4">
      <c r="A1534" s="3" t="s">
        <v>217</v>
      </c>
      <c r="B1534" s="3" t="s">
        <v>218</v>
      </c>
      <c r="C1534">
        <v>2022</v>
      </c>
      <c r="D1534">
        <v>2689000000</v>
      </c>
    </row>
    <row r="1535" spans="1:4">
      <c r="A1535" s="3" t="s">
        <v>217</v>
      </c>
      <c r="B1535" s="3" t="s">
        <v>218</v>
      </c>
      <c r="C1535">
        <v>2023</v>
      </c>
      <c r="D1535">
        <v>3267000000</v>
      </c>
    </row>
    <row r="1536" spans="1:4">
      <c r="A1536" s="3" t="s">
        <v>217</v>
      </c>
      <c r="B1536" s="3" t="s">
        <v>218</v>
      </c>
      <c r="C1536">
        <v>2024</v>
      </c>
      <c r="D1536">
        <v>2054000000</v>
      </c>
    </row>
    <row r="1537" spans="1:4">
      <c r="A1537" s="3" t="s">
        <v>219</v>
      </c>
      <c r="B1537" s="3" t="s">
        <v>220</v>
      </c>
      <c r="C1537">
        <v>2000</v>
      </c>
      <c r="D1537">
        <v>239000000</v>
      </c>
    </row>
    <row r="1538" spans="1:4">
      <c r="A1538" s="3" t="s">
        <v>219</v>
      </c>
      <c r="B1538" s="3" t="s">
        <v>220</v>
      </c>
      <c r="C1538">
        <v>2001</v>
      </c>
      <c r="D1538">
        <v>446000000</v>
      </c>
    </row>
    <row r="1539" spans="1:4">
      <c r="A1539" s="3" t="s">
        <v>219</v>
      </c>
      <c r="B1539" s="3" t="s">
        <v>220</v>
      </c>
      <c r="C1539">
        <v>2002</v>
      </c>
      <c r="D1539">
        <v>623000000</v>
      </c>
    </row>
    <row r="1540" spans="1:4">
      <c r="A1540" s="3" t="s">
        <v>219</v>
      </c>
      <c r="B1540" s="3" t="s">
        <v>220</v>
      </c>
      <c r="C1540">
        <v>2003</v>
      </c>
      <c r="D1540">
        <v>796000000</v>
      </c>
    </row>
    <row r="1541" spans="1:4">
      <c r="A1541" s="3" t="s">
        <v>219</v>
      </c>
      <c r="B1541" s="3" t="s">
        <v>220</v>
      </c>
      <c r="C1541">
        <v>2004</v>
      </c>
      <c r="D1541">
        <v>512000000</v>
      </c>
    </row>
    <row r="1542" spans="1:4">
      <c r="A1542" s="3" t="s">
        <v>219</v>
      </c>
      <c r="B1542" s="3" t="s">
        <v>220</v>
      </c>
      <c r="C1542">
        <v>2006</v>
      </c>
      <c r="D1542">
        <v>369000000</v>
      </c>
    </row>
    <row r="1543" spans="1:4">
      <c r="A1543" s="3" t="s">
        <v>219</v>
      </c>
      <c r="B1543" s="3" t="s">
        <v>220</v>
      </c>
      <c r="C1543">
        <v>2007</v>
      </c>
      <c r="D1543">
        <v>766000000</v>
      </c>
    </row>
    <row r="1544" spans="1:4">
      <c r="A1544" s="3" t="s">
        <v>219</v>
      </c>
      <c r="B1544" s="3" t="s">
        <v>220</v>
      </c>
      <c r="C1544">
        <v>2008</v>
      </c>
      <c r="D1544">
        <v>1106000000</v>
      </c>
    </row>
    <row r="1545" spans="1:4">
      <c r="A1545" s="3" t="s">
        <v>219</v>
      </c>
      <c r="B1545" s="3" t="s">
        <v>220</v>
      </c>
      <c r="C1545">
        <v>2009</v>
      </c>
      <c r="D1545">
        <v>1300000000</v>
      </c>
    </row>
    <row r="1546" spans="1:4">
      <c r="A1546" s="3" t="s">
        <v>219</v>
      </c>
      <c r="B1546" s="3" t="s">
        <v>220</v>
      </c>
      <c r="C1546">
        <v>2010</v>
      </c>
      <c r="D1546">
        <v>2641000000</v>
      </c>
    </row>
    <row r="1547" spans="1:4">
      <c r="A1547" s="3" t="s">
        <v>219</v>
      </c>
      <c r="B1547" s="3" t="s">
        <v>220</v>
      </c>
      <c r="C1547">
        <v>2011</v>
      </c>
      <c r="D1547">
        <v>1295000000</v>
      </c>
    </row>
    <row r="1548" spans="1:4">
      <c r="A1548" s="3" t="s">
        <v>219</v>
      </c>
      <c r="B1548" s="3" t="s">
        <v>220</v>
      </c>
      <c r="C1548">
        <v>2012</v>
      </c>
      <c r="D1548">
        <v>1165000000</v>
      </c>
    </row>
    <row r="1549" spans="1:4">
      <c r="A1549" s="3" t="s">
        <v>219</v>
      </c>
      <c r="B1549" s="3" t="s">
        <v>220</v>
      </c>
      <c r="C1549">
        <v>2013</v>
      </c>
      <c r="D1549">
        <v>1324000000</v>
      </c>
    </row>
    <row r="1550" spans="1:4">
      <c r="A1550" s="3" t="s">
        <v>219</v>
      </c>
      <c r="B1550" s="3" t="s">
        <v>220</v>
      </c>
      <c r="C1550">
        <v>2014</v>
      </c>
      <c r="D1550">
        <v>1288000000</v>
      </c>
    </row>
    <row r="1551" spans="1:4">
      <c r="A1551" s="3" t="s">
        <v>219</v>
      </c>
      <c r="B1551" s="3" t="s">
        <v>220</v>
      </c>
      <c r="C1551">
        <v>2015</v>
      </c>
      <c r="D1551">
        <v>1109000000</v>
      </c>
    </row>
    <row r="1552" spans="1:4">
      <c r="A1552" s="3" t="s">
        <v>219</v>
      </c>
      <c r="B1552" s="3" t="s">
        <v>220</v>
      </c>
      <c r="C1552">
        <v>2016</v>
      </c>
      <c r="D1552">
        <v>1053000000</v>
      </c>
    </row>
    <row r="1553" spans="1:4">
      <c r="A1553" s="3" t="s">
        <v>219</v>
      </c>
      <c r="B1553" s="3" t="s">
        <v>220</v>
      </c>
      <c r="C1553">
        <v>2017</v>
      </c>
      <c r="D1553">
        <v>957000000</v>
      </c>
    </row>
    <row r="1554" spans="1:4">
      <c r="A1554" s="3" t="s">
        <v>219</v>
      </c>
      <c r="B1554" s="3" t="s">
        <v>220</v>
      </c>
      <c r="C1554">
        <v>2018</v>
      </c>
      <c r="D1554">
        <v>1093000000</v>
      </c>
    </row>
    <row r="1555" spans="1:4">
      <c r="A1555" s="3" t="s">
        <v>219</v>
      </c>
      <c r="B1555" s="3" t="s">
        <v>220</v>
      </c>
      <c r="C1555">
        <v>2019</v>
      </c>
      <c r="D1555">
        <v>793000000</v>
      </c>
    </row>
    <row r="1556" spans="1:4">
      <c r="A1556" s="3" t="s">
        <v>219</v>
      </c>
      <c r="B1556" s="3" t="s">
        <v>220</v>
      </c>
      <c r="C1556">
        <v>2020</v>
      </c>
      <c r="D1556">
        <v>885000000</v>
      </c>
    </row>
    <row r="1557" spans="1:4">
      <c r="A1557" s="3" t="s">
        <v>219</v>
      </c>
      <c r="B1557" s="3" t="s">
        <v>220</v>
      </c>
      <c r="C1557">
        <v>2021</v>
      </c>
      <c r="D1557">
        <v>1303000000</v>
      </c>
    </row>
    <row r="1558" spans="1:4">
      <c r="A1558" s="3" t="s">
        <v>219</v>
      </c>
      <c r="B1558" s="3" t="s">
        <v>220</v>
      </c>
      <c r="C1558">
        <v>2022</v>
      </c>
      <c r="D1558">
        <v>1629000000</v>
      </c>
    </row>
    <row r="1559" spans="1:4">
      <c r="A1559" s="3" t="s">
        <v>219</v>
      </c>
      <c r="B1559" s="3" t="s">
        <v>220</v>
      </c>
      <c r="C1559">
        <v>2023</v>
      </c>
      <c r="D1559">
        <v>2411000000</v>
      </c>
    </row>
    <row r="1560" spans="1:4">
      <c r="A1560" s="3" t="s">
        <v>219</v>
      </c>
      <c r="B1560" s="3" t="s">
        <v>220</v>
      </c>
      <c r="C1560">
        <v>2024</v>
      </c>
      <c r="D1560">
        <v>1271000000</v>
      </c>
    </row>
    <row r="1561" spans="1:4">
      <c r="A1561" s="3" t="s">
        <v>221</v>
      </c>
      <c r="B1561" s="3" t="s">
        <v>222</v>
      </c>
      <c r="C1561">
        <v>2000</v>
      </c>
      <c r="D1561">
        <v>171000000</v>
      </c>
    </row>
    <row r="1562" spans="1:4">
      <c r="A1562" s="3" t="s">
        <v>221</v>
      </c>
      <c r="B1562" s="3" t="s">
        <v>222</v>
      </c>
      <c r="C1562">
        <v>2001</v>
      </c>
      <c r="D1562">
        <v>22000000</v>
      </c>
    </row>
    <row r="1563" spans="1:4">
      <c r="A1563" s="3" t="s">
        <v>221</v>
      </c>
      <c r="B1563" s="3" t="s">
        <v>222</v>
      </c>
      <c r="C1563">
        <v>2002</v>
      </c>
      <c r="D1563">
        <v>67000000</v>
      </c>
    </row>
    <row r="1564" spans="1:4">
      <c r="A1564" s="3" t="s">
        <v>221</v>
      </c>
      <c r="B1564" s="3" t="s">
        <v>222</v>
      </c>
      <c r="C1564">
        <v>2003</v>
      </c>
      <c r="D1564">
        <v>353000000</v>
      </c>
    </row>
    <row r="1565" spans="1:4">
      <c r="A1565" s="3" t="s">
        <v>221</v>
      </c>
      <c r="B1565" s="3" t="s">
        <v>222</v>
      </c>
      <c r="C1565">
        <v>2004</v>
      </c>
      <c r="D1565">
        <v>77000000</v>
      </c>
    </row>
    <row r="1566" spans="1:4">
      <c r="A1566" s="3" t="s">
        <v>221</v>
      </c>
      <c r="B1566" s="3" t="s">
        <v>222</v>
      </c>
      <c r="C1566">
        <v>2005</v>
      </c>
      <c r="D1566">
        <v>33000000</v>
      </c>
    </row>
    <row r="1567" spans="1:4">
      <c r="A1567" s="3" t="s">
        <v>221</v>
      </c>
      <c r="B1567" s="3" t="s">
        <v>222</v>
      </c>
      <c r="C1567">
        <v>2006</v>
      </c>
      <c r="D1567">
        <v>63000000</v>
      </c>
    </row>
    <row r="1568" spans="1:4">
      <c r="A1568" s="3" t="s">
        <v>221</v>
      </c>
      <c r="B1568" s="3" t="s">
        <v>222</v>
      </c>
      <c r="C1568">
        <v>2007</v>
      </c>
      <c r="D1568">
        <v>578000000</v>
      </c>
    </row>
    <row r="1569" spans="1:4">
      <c r="A1569" s="3" t="s">
        <v>221</v>
      </c>
      <c r="B1569" s="3" t="s">
        <v>222</v>
      </c>
      <c r="C1569">
        <v>2008</v>
      </c>
      <c r="D1569">
        <v>239000000</v>
      </c>
    </row>
    <row r="1570" spans="1:4">
      <c r="A1570" s="3" t="s">
        <v>221</v>
      </c>
      <c r="B1570" s="3" t="s">
        <v>222</v>
      </c>
      <c r="C1570">
        <v>2009</v>
      </c>
      <c r="D1570">
        <v>443000000</v>
      </c>
    </row>
    <row r="1571" spans="1:4">
      <c r="A1571" s="3" t="s">
        <v>221</v>
      </c>
      <c r="B1571" s="3" t="s">
        <v>222</v>
      </c>
      <c r="C1571">
        <v>2010</v>
      </c>
      <c r="D1571">
        <v>221000000</v>
      </c>
    </row>
    <row r="1572" spans="1:4">
      <c r="A1572" s="3" t="s">
        <v>221</v>
      </c>
      <c r="B1572" s="3" t="s">
        <v>222</v>
      </c>
      <c r="C1572">
        <v>2011</v>
      </c>
      <c r="D1572">
        <v>257000000</v>
      </c>
    </row>
    <row r="1573" spans="1:4">
      <c r="A1573" s="3" t="s">
        <v>221</v>
      </c>
      <c r="B1573" s="3" t="s">
        <v>222</v>
      </c>
      <c r="C1573">
        <v>2012</v>
      </c>
      <c r="D1573">
        <v>162000000</v>
      </c>
    </row>
    <row r="1574" spans="1:4">
      <c r="A1574" s="3" t="s">
        <v>221</v>
      </c>
      <c r="B1574" s="3" t="s">
        <v>222</v>
      </c>
      <c r="C1574">
        <v>2013</v>
      </c>
      <c r="D1574">
        <v>833000000</v>
      </c>
    </row>
    <row r="1575" spans="1:4">
      <c r="A1575" s="3" t="s">
        <v>221</v>
      </c>
      <c r="B1575" s="3" t="s">
        <v>222</v>
      </c>
      <c r="C1575">
        <v>2014</v>
      </c>
      <c r="D1575">
        <v>1195000000</v>
      </c>
    </row>
    <row r="1576" spans="1:4">
      <c r="A1576" s="3" t="s">
        <v>221</v>
      </c>
      <c r="B1576" s="3" t="s">
        <v>222</v>
      </c>
      <c r="C1576">
        <v>2015</v>
      </c>
      <c r="D1576">
        <v>438000000</v>
      </c>
    </row>
    <row r="1577" spans="1:4">
      <c r="A1577" s="3" t="s">
        <v>221</v>
      </c>
      <c r="B1577" s="3" t="s">
        <v>222</v>
      </c>
      <c r="C1577">
        <v>2016</v>
      </c>
      <c r="D1577">
        <v>352000000</v>
      </c>
    </row>
    <row r="1578" spans="1:4">
      <c r="A1578" s="3" t="s">
        <v>221</v>
      </c>
      <c r="B1578" s="3" t="s">
        <v>222</v>
      </c>
      <c r="C1578">
        <v>2017</v>
      </c>
      <c r="D1578">
        <v>1171000000</v>
      </c>
    </row>
    <row r="1579" spans="1:4">
      <c r="A1579" s="3" t="s">
        <v>221</v>
      </c>
      <c r="B1579" s="3" t="s">
        <v>222</v>
      </c>
      <c r="C1579">
        <v>2018</v>
      </c>
      <c r="D1579">
        <v>357000000</v>
      </c>
    </row>
    <row r="1580" spans="1:4">
      <c r="A1580" s="3" t="s">
        <v>221</v>
      </c>
      <c r="B1580" s="3" t="s">
        <v>222</v>
      </c>
      <c r="C1580">
        <v>2019</v>
      </c>
      <c r="D1580">
        <v>239000000</v>
      </c>
    </row>
    <row r="1581" spans="1:4">
      <c r="A1581" s="3" t="s">
        <v>221</v>
      </c>
      <c r="B1581" s="3" t="s">
        <v>222</v>
      </c>
      <c r="C1581">
        <v>2020</v>
      </c>
      <c r="D1581">
        <v>283000000</v>
      </c>
    </row>
    <row r="1582" spans="1:4">
      <c r="A1582" s="3" t="s">
        <v>221</v>
      </c>
      <c r="B1582" s="3" t="s">
        <v>222</v>
      </c>
      <c r="C1582">
        <v>2021</v>
      </c>
      <c r="D1582">
        <v>366000000</v>
      </c>
    </row>
    <row r="1583" spans="1:4">
      <c r="A1583" s="3" t="s">
        <v>221</v>
      </c>
      <c r="B1583" s="3" t="s">
        <v>222</v>
      </c>
      <c r="C1583">
        <v>2022</v>
      </c>
      <c r="D1583">
        <v>86000000</v>
      </c>
    </row>
    <row r="1584" spans="1:4">
      <c r="A1584" s="3" t="s">
        <v>221</v>
      </c>
      <c r="B1584" s="3" t="s">
        <v>222</v>
      </c>
      <c r="C1584">
        <v>2023</v>
      </c>
      <c r="D1584">
        <v>390000000</v>
      </c>
    </row>
    <row r="1585" spans="1:4">
      <c r="A1585" s="3" t="s">
        <v>221</v>
      </c>
      <c r="B1585" s="3" t="s">
        <v>222</v>
      </c>
      <c r="C1585">
        <v>2024</v>
      </c>
      <c r="D1585">
        <v>185000000</v>
      </c>
    </row>
    <row r="1586" spans="1:4">
      <c r="A1586" s="3" t="s">
        <v>223</v>
      </c>
      <c r="B1586" s="3" t="s">
        <v>224</v>
      </c>
      <c r="C1586">
        <v>2002</v>
      </c>
      <c r="D1586">
        <v>1092000000</v>
      </c>
    </row>
    <row r="1587" spans="1:4">
      <c r="A1587" s="3" t="s">
        <v>223</v>
      </c>
      <c r="B1587" s="3" t="s">
        <v>224</v>
      </c>
      <c r="C1587">
        <v>2005</v>
      </c>
      <c r="D1587">
        <v>952000000</v>
      </c>
    </row>
    <row r="1588" spans="1:4">
      <c r="A1588" s="3" t="s">
        <v>223</v>
      </c>
      <c r="B1588" s="3" t="s">
        <v>224</v>
      </c>
      <c r="C1588">
        <v>2007</v>
      </c>
      <c r="D1588">
        <v>722000000</v>
      </c>
    </row>
    <row r="1589" spans="1:4">
      <c r="A1589" s="3" t="s">
        <v>223</v>
      </c>
      <c r="B1589" s="3" t="s">
        <v>224</v>
      </c>
      <c r="C1589">
        <v>2010</v>
      </c>
      <c r="D1589">
        <v>1711000000</v>
      </c>
    </row>
    <row r="1590" spans="1:4">
      <c r="A1590" s="3" t="s">
        <v>223</v>
      </c>
      <c r="B1590" s="3" t="s">
        <v>224</v>
      </c>
      <c r="C1590">
        <v>2011</v>
      </c>
      <c r="D1590">
        <v>2994000000</v>
      </c>
    </row>
    <row r="1591" spans="1:4">
      <c r="A1591" s="3" t="s">
        <v>223</v>
      </c>
      <c r="B1591" s="3" t="s">
        <v>224</v>
      </c>
      <c r="C1591">
        <v>2012</v>
      </c>
      <c r="D1591">
        <v>2608000000</v>
      </c>
    </row>
    <row r="1592" spans="1:4">
      <c r="A1592" s="3" t="s">
        <v>223</v>
      </c>
      <c r="B1592" s="3" t="s">
        <v>224</v>
      </c>
      <c r="C1592">
        <v>2013</v>
      </c>
      <c r="D1592">
        <v>2454000000</v>
      </c>
    </row>
    <row r="1593" spans="1:4">
      <c r="A1593" s="3" t="s">
        <v>223</v>
      </c>
      <c r="B1593" s="3" t="s">
        <v>224</v>
      </c>
      <c r="C1593">
        <v>2014</v>
      </c>
      <c r="D1593">
        <v>1016000000</v>
      </c>
    </row>
    <row r="1594" spans="1:4">
      <c r="A1594" s="3" t="s">
        <v>223</v>
      </c>
      <c r="B1594" s="3" t="s">
        <v>224</v>
      </c>
      <c r="C1594">
        <v>2015</v>
      </c>
      <c r="D1594">
        <v>1433000000</v>
      </c>
    </row>
    <row r="1595" spans="1:4">
      <c r="A1595" s="3" t="s">
        <v>223</v>
      </c>
      <c r="B1595" s="3" t="s">
        <v>224</v>
      </c>
      <c r="C1595">
        <v>2016</v>
      </c>
      <c r="D1595">
        <v>1519000000</v>
      </c>
    </row>
    <row r="1596" spans="1:4">
      <c r="A1596" s="3" t="s">
        <v>223</v>
      </c>
      <c r="B1596" s="3" t="s">
        <v>224</v>
      </c>
      <c r="C1596">
        <v>2017</v>
      </c>
      <c r="D1596">
        <v>1224000000</v>
      </c>
    </row>
    <row r="1597" spans="1:4">
      <c r="A1597" s="3" t="s">
        <v>223</v>
      </c>
      <c r="B1597" s="3" t="s">
        <v>224</v>
      </c>
      <c r="C1597">
        <v>2018</v>
      </c>
      <c r="D1597">
        <v>1303000000</v>
      </c>
    </row>
    <row r="1598" spans="1:4">
      <c r="A1598" s="3" t="s">
        <v>223</v>
      </c>
      <c r="B1598" s="3" t="s">
        <v>224</v>
      </c>
      <c r="C1598">
        <v>2019</v>
      </c>
      <c r="D1598">
        <v>1943000000</v>
      </c>
    </row>
    <row r="1599" spans="1:4">
      <c r="A1599" s="3" t="s">
        <v>223</v>
      </c>
      <c r="B1599" s="3" t="s">
        <v>224</v>
      </c>
      <c r="C1599">
        <v>2021</v>
      </c>
      <c r="D1599">
        <v>789000000</v>
      </c>
    </row>
    <row r="1600" spans="1:4">
      <c r="A1600" s="3" t="s">
        <v>223</v>
      </c>
      <c r="B1600" s="3" t="s">
        <v>224</v>
      </c>
      <c r="C1600">
        <v>2022</v>
      </c>
      <c r="D1600">
        <v>1060000000</v>
      </c>
    </row>
    <row r="1601" spans="1:4">
      <c r="A1601" s="3" t="s">
        <v>223</v>
      </c>
      <c r="B1601" s="3" t="s">
        <v>224</v>
      </c>
      <c r="C1601">
        <v>2023</v>
      </c>
      <c r="D1601">
        <v>856000000</v>
      </c>
    </row>
    <row r="1602" spans="1:4">
      <c r="A1602" s="3" t="s">
        <v>223</v>
      </c>
      <c r="B1602" s="3" t="s">
        <v>224</v>
      </c>
      <c r="C1602">
        <v>2024</v>
      </c>
      <c r="D1602">
        <v>783000000</v>
      </c>
    </row>
    <row r="1603" spans="1:4">
      <c r="A1603" s="3" t="s">
        <v>227</v>
      </c>
      <c r="B1603" s="3" t="s">
        <v>228</v>
      </c>
      <c r="C1603">
        <v>2000</v>
      </c>
      <c r="D1603">
        <v>988000000</v>
      </c>
    </row>
    <row r="1604" spans="1:4">
      <c r="A1604" s="3" t="s">
        <v>227</v>
      </c>
      <c r="B1604" s="3" t="s">
        <v>228</v>
      </c>
      <c r="C1604">
        <v>2001</v>
      </c>
      <c r="D1604">
        <v>1050000000</v>
      </c>
    </row>
    <row r="1605" spans="1:4">
      <c r="A1605" s="3" t="s">
        <v>227</v>
      </c>
      <c r="B1605" s="3" t="s">
        <v>228</v>
      </c>
      <c r="C1605">
        <v>2002</v>
      </c>
      <c r="D1605">
        <v>1902000000</v>
      </c>
    </row>
    <row r="1606" spans="1:4">
      <c r="A1606" s="3" t="s">
        <v>227</v>
      </c>
      <c r="B1606" s="3" t="s">
        <v>228</v>
      </c>
      <c r="C1606">
        <v>2003</v>
      </c>
      <c r="D1606">
        <v>2798000000</v>
      </c>
    </row>
    <row r="1607" spans="1:4">
      <c r="A1607" s="3" t="s">
        <v>227</v>
      </c>
      <c r="B1607" s="3" t="s">
        <v>228</v>
      </c>
      <c r="C1607">
        <v>2004</v>
      </c>
      <c r="D1607">
        <v>2246000000</v>
      </c>
    </row>
    <row r="1608" spans="1:4">
      <c r="A1608" s="3" t="s">
        <v>227</v>
      </c>
      <c r="B1608" s="3" t="s">
        <v>228</v>
      </c>
      <c r="C1608">
        <v>2005</v>
      </c>
      <c r="D1608">
        <v>1202000000</v>
      </c>
    </row>
    <row r="1609" spans="1:4">
      <c r="A1609" s="3" t="s">
        <v>227</v>
      </c>
      <c r="B1609" s="3" t="s">
        <v>228</v>
      </c>
      <c r="C1609">
        <v>2006</v>
      </c>
      <c r="D1609">
        <v>1487000000</v>
      </c>
    </row>
    <row r="1610" spans="1:4">
      <c r="A1610" s="3" t="s">
        <v>227</v>
      </c>
      <c r="B1610" s="3" t="s">
        <v>228</v>
      </c>
      <c r="C1610">
        <v>2007</v>
      </c>
      <c r="D1610">
        <v>2300000000</v>
      </c>
    </row>
    <row r="1611" spans="1:4">
      <c r="A1611" s="3" t="s">
        <v>227</v>
      </c>
      <c r="B1611" s="3" t="s">
        <v>228</v>
      </c>
      <c r="C1611">
        <v>2008</v>
      </c>
      <c r="D1611">
        <v>1643000000</v>
      </c>
    </row>
    <row r="1612" spans="1:4">
      <c r="A1612" s="3" t="s">
        <v>227</v>
      </c>
      <c r="B1612" s="3" t="s">
        <v>228</v>
      </c>
      <c r="C1612">
        <v>2009</v>
      </c>
      <c r="D1612">
        <v>1958000000</v>
      </c>
    </row>
    <row r="1613" spans="1:4">
      <c r="A1613" s="3" t="s">
        <v>227</v>
      </c>
      <c r="B1613" s="3" t="s">
        <v>228</v>
      </c>
      <c r="C1613">
        <v>2010</v>
      </c>
      <c r="D1613">
        <v>2897000000</v>
      </c>
    </row>
    <row r="1614" spans="1:4">
      <c r="A1614" s="3" t="s">
        <v>227</v>
      </c>
      <c r="B1614" s="3" t="s">
        <v>228</v>
      </c>
      <c r="C1614">
        <v>2011</v>
      </c>
      <c r="D1614">
        <v>3625000000</v>
      </c>
    </row>
    <row r="1615" spans="1:4">
      <c r="A1615" s="3" t="s">
        <v>227</v>
      </c>
      <c r="B1615" s="3" t="s">
        <v>228</v>
      </c>
      <c r="C1615">
        <v>2012</v>
      </c>
      <c r="D1615">
        <v>4506000000</v>
      </c>
    </row>
    <row r="1616" spans="1:4">
      <c r="A1616" s="3" t="s">
        <v>227</v>
      </c>
      <c r="B1616" s="3" t="s">
        <v>228</v>
      </c>
      <c r="C1616">
        <v>2013</v>
      </c>
      <c r="D1616">
        <v>5302000000</v>
      </c>
    </row>
    <row r="1617" spans="1:4">
      <c r="A1617" s="3" t="s">
        <v>227</v>
      </c>
      <c r="B1617" s="3" t="s">
        <v>228</v>
      </c>
      <c r="C1617">
        <v>2014</v>
      </c>
      <c r="D1617">
        <v>3282000000</v>
      </c>
    </row>
    <row r="1618" spans="1:4">
      <c r="A1618" s="3" t="s">
        <v>227</v>
      </c>
      <c r="B1618" s="3" t="s">
        <v>228</v>
      </c>
      <c r="C1618">
        <v>2015</v>
      </c>
      <c r="D1618">
        <v>2733000000</v>
      </c>
    </row>
    <row r="1619" spans="1:4">
      <c r="A1619" s="3" t="s">
        <v>227</v>
      </c>
      <c r="B1619" s="3" t="s">
        <v>228</v>
      </c>
      <c r="C1619">
        <v>2016</v>
      </c>
      <c r="D1619">
        <v>2651000000</v>
      </c>
    </row>
    <row r="1620" spans="1:4">
      <c r="A1620" s="3" t="s">
        <v>227</v>
      </c>
      <c r="B1620" s="3" t="s">
        <v>228</v>
      </c>
      <c r="C1620">
        <v>2017</v>
      </c>
      <c r="D1620">
        <v>2682000000</v>
      </c>
    </row>
    <row r="1621" spans="1:4">
      <c r="A1621" s="3" t="s">
        <v>227</v>
      </c>
      <c r="B1621" s="3" t="s">
        <v>228</v>
      </c>
      <c r="C1621">
        <v>2018</v>
      </c>
      <c r="D1621">
        <v>1982000000</v>
      </c>
    </row>
    <row r="1622" spans="1:4">
      <c r="A1622" s="3" t="s">
        <v>227</v>
      </c>
      <c r="B1622" s="3" t="s">
        <v>228</v>
      </c>
      <c r="C1622">
        <v>2019</v>
      </c>
      <c r="D1622">
        <v>3202000000</v>
      </c>
    </row>
    <row r="1623" spans="1:4">
      <c r="A1623" s="3" t="s">
        <v>227</v>
      </c>
      <c r="B1623" s="3" t="s">
        <v>228</v>
      </c>
      <c r="C1623">
        <v>2020</v>
      </c>
      <c r="D1623">
        <v>2670000000</v>
      </c>
    </row>
    <row r="1624" spans="1:4">
      <c r="A1624" s="3" t="s">
        <v>227</v>
      </c>
      <c r="B1624" s="3" t="s">
        <v>228</v>
      </c>
      <c r="C1624">
        <v>2021</v>
      </c>
      <c r="D1624">
        <v>3958000000</v>
      </c>
    </row>
    <row r="1625" spans="1:4">
      <c r="A1625" s="3" t="s">
        <v>227</v>
      </c>
      <c r="B1625" s="3" t="s">
        <v>228</v>
      </c>
      <c r="C1625">
        <v>2022</v>
      </c>
      <c r="D1625">
        <v>2701000000</v>
      </c>
    </row>
    <row r="1626" spans="1:4">
      <c r="A1626" s="3" t="s">
        <v>227</v>
      </c>
      <c r="B1626" s="3" t="s">
        <v>228</v>
      </c>
      <c r="C1626">
        <v>2023</v>
      </c>
      <c r="D1626">
        <v>1540000000</v>
      </c>
    </row>
    <row r="1627" spans="1:4">
      <c r="A1627" s="3" t="s">
        <v>227</v>
      </c>
      <c r="B1627" s="3" t="s">
        <v>228</v>
      </c>
      <c r="C1627">
        <v>2024</v>
      </c>
      <c r="D1627">
        <v>1603000000</v>
      </c>
    </row>
    <row r="1628" spans="1:4">
      <c r="A1628" s="3" t="s">
        <v>231</v>
      </c>
      <c r="B1628" s="3" t="s">
        <v>232</v>
      </c>
      <c r="C1628">
        <v>2000</v>
      </c>
      <c r="D1628">
        <v>0</v>
      </c>
    </row>
    <row r="1629" spans="1:4">
      <c r="A1629" s="3" t="s">
        <v>231</v>
      </c>
      <c r="B1629" s="3" t="s">
        <v>232</v>
      </c>
      <c r="C1629">
        <v>2001</v>
      </c>
      <c r="D1629">
        <v>44000000</v>
      </c>
    </row>
    <row r="1630" spans="1:4">
      <c r="A1630" s="3" t="s">
        <v>231</v>
      </c>
      <c r="B1630" s="3" t="s">
        <v>232</v>
      </c>
      <c r="C1630">
        <v>2002</v>
      </c>
      <c r="D1630">
        <v>21000000</v>
      </c>
    </row>
    <row r="1631" spans="1:4">
      <c r="A1631" s="3" t="s">
        <v>231</v>
      </c>
      <c r="B1631" s="3" t="s">
        <v>232</v>
      </c>
      <c r="C1631">
        <v>2004</v>
      </c>
      <c r="D1631">
        <v>27000000</v>
      </c>
    </row>
    <row r="1632" spans="1:4">
      <c r="A1632" s="3" t="s">
        <v>231</v>
      </c>
      <c r="B1632" s="3" t="s">
        <v>232</v>
      </c>
      <c r="C1632">
        <v>2005</v>
      </c>
      <c r="D1632">
        <v>5000000</v>
      </c>
    </row>
    <row r="1633" spans="1:4">
      <c r="A1633" s="3" t="s">
        <v>231</v>
      </c>
      <c r="B1633" s="3" t="s">
        <v>232</v>
      </c>
      <c r="C1633">
        <v>2006</v>
      </c>
      <c r="D1633">
        <v>13000000</v>
      </c>
    </row>
    <row r="1634" spans="1:4">
      <c r="A1634" s="3" t="s">
        <v>231</v>
      </c>
      <c r="B1634" s="3" t="s">
        <v>232</v>
      </c>
      <c r="C1634">
        <v>2007</v>
      </c>
      <c r="D1634">
        <v>26000000</v>
      </c>
    </row>
    <row r="1635" spans="1:4">
      <c r="A1635" s="3" t="s">
        <v>231</v>
      </c>
      <c r="B1635" s="3" t="s">
        <v>232</v>
      </c>
      <c r="C1635">
        <v>2008</v>
      </c>
      <c r="D1635">
        <v>38000000</v>
      </c>
    </row>
    <row r="1636" spans="1:4">
      <c r="A1636" s="3" t="s">
        <v>231</v>
      </c>
      <c r="B1636" s="3" t="s">
        <v>232</v>
      </c>
      <c r="C1636">
        <v>2010</v>
      </c>
      <c r="D1636">
        <v>4000000</v>
      </c>
    </row>
    <row r="1637" spans="1:4">
      <c r="A1637" s="3" t="s">
        <v>231</v>
      </c>
      <c r="B1637" s="3" t="s">
        <v>232</v>
      </c>
      <c r="C1637">
        <v>2014</v>
      </c>
      <c r="D1637">
        <v>40000000</v>
      </c>
    </row>
    <row r="1638" spans="1:4">
      <c r="A1638" s="3" t="s">
        <v>231</v>
      </c>
      <c r="B1638" s="3" t="s">
        <v>232</v>
      </c>
      <c r="C1638">
        <v>2015</v>
      </c>
      <c r="D1638">
        <v>43000000</v>
      </c>
    </row>
    <row r="1639" spans="1:4">
      <c r="A1639" s="3" t="s">
        <v>231</v>
      </c>
      <c r="B1639" s="3" t="s">
        <v>232</v>
      </c>
      <c r="C1639">
        <v>2016</v>
      </c>
      <c r="D1639">
        <v>43000000</v>
      </c>
    </row>
    <row r="1640" spans="1:4">
      <c r="A1640" s="3" t="s">
        <v>231</v>
      </c>
      <c r="B1640" s="3" t="s">
        <v>232</v>
      </c>
      <c r="C1640">
        <v>2017</v>
      </c>
      <c r="D1640">
        <v>2000000</v>
      </c>
    </row>
    <row r="1641" spans="1:4">
      <c r="A1641" s="3" t="s">
        <v>231</v>
      </c>
      <c r="B1641" s="3" t="s">
        <v>232</v>
      </c>
      <c r="C1641">
        <v>2018</v>
      </c>
      <c r="D1641">
        <v>5000000</v>
      </c>
    </row>
    <row r="1642" spans="1:4">
      <c r="A1642" s="3" t="s">
        <v>231</v>
      </c>
      <c r="B1642" s="3" t="s">
        <v>232</v>
      </c>
      <c r="C1642">
        <v>2019</v>
      </c>
      <c r="D1642">
        <v>35000000</v>
      </c>
    </row>
    <row r="1643" spans="1:4">
      <c r="A1643" s="3" t="s">
        <v>231</v>
      </c>
      <c r="B1643" s="3" t="s">
        <v>232</v>
      </c>
      <c r="C1643">
        <v>2020</v>
      </c>
      <c r="D1643">
        <v>9000000</v>
      </c>
    </row>
    <row r="1644" spans="1:4">
      <c r="A1644" s="3" t="s">
        <v>231</v>
      </c>
      <c r="B1644" s="3" t="s">
        <v>232</v>
      </c>
      <c r="C1644">
        <v>2022</v>
      </c>
      <c r="D1644">
        <v>1000000</v>
      </c>
    </row>
    <row r="1645" spans="1:4">
      <c r="A1645" s="3" t="s">
        <v>231</v>
      </c>
      <c r="B1645" s="3" t="s">
        <v>232</v>
      </c>
      <c r="C1645">
        <v>2023</v>
      </c>
      <c r="D1645">
        <v>63000000</v>
      </c>
    </row>
    <row r="1646" spans="1:4">
      <c r="A1646" s="3" t="s">
        <v>233</v>
      </c>
      <c r="B1646" s="3" t="s">
        <v>234</v>
      </c>
      <c r="C1646">
        <v>2000</v>
      </c>
      <c r="D1646">
        <v>417000000</v>
      </c>
    </row>
    <row r="1647" spans="1:4">
      <c r="A1647" s="3" t="s">
        <v>233</v>
      </c>
      <c r="B1647" s="3" t="s">
        <v>234</v>
      </c>
      <c r="C1647">
        <v>2001</v>
      </c>
      <c r="D1647">
        <v>526000000</v>
      </c>
    </row>
    <row r="1648" spans="1:4">
      <c r="A1648" s="3" t="s">
        <v>233</v>
      </c>
      <c r="B1648" s="3" t="s">
        <v>234</v>
      </c>
      <c r="C1648">
        <v>2002</v>
      </c>
      <c r="D1648">
        <v>435000000</v>
      </c>
    </row>
    <row r="1649" spans="1:4">
      <c r="A1649" s="3" t="s">
        <v>233</v>
      </c>
      <c r="B1649" s="3" t="s">
        <v>234</v>
      </c>
      <c r="C1649">
        <v>2003</v>
      </c>
      <c r="D1649">
        <v>283000000</v>
      </c>
    </row>
    <row r="1650" spans="1:4">
      <c r="A1650" s="3" t="s">
        <v>233</v>
      </c>
      <c r="B1650" s="3" t="s">
        <v>234</v>
      </c>
      <c r="C1650">
        <v>2004</v>
      </c>
      <c r="D1650">
        <v>117000000</v>
      </c>
    </row>
    <row r="1651" spans="1:4">
      <c r="A1651" s="3" t="s">
        <v>233</v>
      </c>
      <c r="B1651" s="3" t="s">
        <v>234</v>
      </c>
      <c r="C1651">
        <v>2005</v>
      </c>
      <c r="D1651">
        <v>53000000</v>
      </c>
    </row>
    <row r="1652" spans="1:4">
      <c r="A1652" s="3" t="s">
        <v>233</v>
      </c>
      <c r="B1652" s="3" t="s">
        <v>234</v>
      </c>
      <c r="C1652">
        <v>2006</v>
      </c>
      <c r="D1652">
        <v>418000000</v>
      </c>
    </row>
    <row r="1653" spans="1:4">
      <c r="A1653" s="3" t="s">
        <v>233</v>
      </c>
      <c r="B1653" s="3" t="s">
        <v>234</v>
      </c>
      <c r="C1653">
        <v>2007</v>
      </c>
      <c r="D1653">
        <v>325000000</v>
      </c>
    </row>
    <row r="1654" spans="1:4">
      <c r="A1654" s="3" t="s">
        <v>233</v>
      </c>
      <c r="B1654" s="3" t="s">
        <v>234</v>
      </c>
      <c r="C1654">
        <v>2008</v>
      </c>
      <c r="D1654">
        <v>57000000</v>
      </c>
    </row>
    <row r="1655" spans="1:4">
      <c r="A1655" s="3" t="s">
        <v>233</v>
      </c>
      <c r="B1655" s="3" t="s">
        <v>234</v>
      </c>
      <c r="C1655">
        <v>2009</v>
      </c>
      <c r="D1655">
        <v>92000000</v>
      </c>
    </row>
    <row r="1656" spans="1:4">
      <c r="A1656" s="3" t="s">
        <v>233</v>
      </c>
      <c r="B1656" s="3" t="s">
        <v>234</v>
      </c>
      <c r="C1656">
        <v>2010</v>
      </c>
      <c r="D1656">
        <v>87000000</v>
      </c>
    </row>
    <row r="1657" spans="1:4">
      <c r="A1657" s="3" t="s">
        <v>233</v>
      </c>
      <c r="B1657" s="3" t="s">
        <v>234</v>
      </c>
      <c r="C1657">
        <v>2011</v>
      </c>
      <c r="D1657">
        <v>89000000</v>
      </c>
    </row>
    <row r="1658" spans="1:4">
      <c r="A1658" s="3" t="s">
        <v>233</v>
      </c>
      <c r="B1658" s="3" t="s">
        <v>234</v>
      </c>
      <c r="C1658">
        <v>2012</v>
      </c>
      <c r="D1658">
        <v>39000000</v>
      </c>
    </row>
    <row r="1659" spans="1:4">
      <c r="A1659" s="3" t="s">
        <v>233</v>
      </c>
      <c r="B1659" s="3" t="s">
        <v>234</v>
      </c>
      <c r="C1659">
        <v>2013</v>
      </c>
      <c r="D1659">
        <v>14000000</v>
      </c>
    </row>
    <row r="1660" spans="1:4">
      <c r="A1660" s="3" t="s">
        <v>233</v>
      </c>
      <c r="B1660" s="3" t="s">
        <v>234</v>
      </c>
      <c r="C1660">
        <v>2014</v>
      </c>
      <c r="D1660">
        <v>14000000</v>
      </c>
    </row>
    <row r="1661" spans="1:4">
      <c r="A1661" s="3" t="s">
        <v>233</v>
      </c>
      <c r="B1661" s="3" t="s">
        <v>234</v>
      </c>
      <c r="C1661">
        <v>2015</v>
      </c>
      <c r="D1661">
        <v>11000000</v>
      </c>
    </row>
    <row r="1662" spans="1:4">
      <c r="A1662" s="3" t="s">
        <v>233</v>
      </c>
      <c r="B1662" s="3" t="s">
        <v>234</v>
      </c>
      <c r="C1662">
        <v>2016</v>
      </c>
      <c r="D1662">
        <v>413000000</v>
      </c>
    </row>
    <row r="1663" spans="1:4">
      <c r="A1663" s="3" t="s">
        <v>233</v>
      </c>
      <c r="B1663" s="3" t="s">
        <v>234</v>
      </c>
      <c r="C1663">
        <v>2017</v>
      </c>
      <c r="D1663">
        <v>3000000</v>
      </c>
    </row>
    <row r="1664" spans="1:4">
      <c r="A1664" s="3" t="s">
        <v>233</v>
      </c>
      <c r="B1664" s="3" t="s">
        <v>234</v>
      </c>
      <c r="C1664">
        <v>2018</v>
      </c>
      <c r="D1664">
        <v>3000000</v>
      </c>
    </row>
    <row r="1665" spans="1:4">
      <c r="A1665" s="3" t="s">
        <v>233</v>
      </c>
      <c r="B1665" s="3" t="s">
        <v>234</v>
      </c>
      <c r="C1665">
        <v>2019</v>
      </c>
      <c r="D1665">
        <v>3000000</v>
      </c>
    </row>
    <row r="1666" spans="1:4">
      <c r="A1666" s="3" t="s">
        <v>233</v>
      </c>
      <c r="B1666" s="3" t="s">
        <v>234</v>
      </c>
      <c r="C1666">
        <v>2020</v>
      </c>
      <c r="D1666">
        <v>2000000</v>
      </c>
    </row>
    <row r="1667" spans="1:4">
      <c r="A1667" s="3" t="s">
        <v>233</v>
      </c>
      <c r="B1667" s="3" t="s">
        <v>234</v>
      </c>
      <c r="C1667">
        <v>2023</v>
      </c>
      <c r="D1667">
        <v>21000000</v>
      </c>
    </row>
    <row r="1668" spans="1:4">
      <c r="A1668" s="3" t="s">
        <v>233</v>
      </c>
      <c r="B1668" s="3" t="s">
        <v>234</v>
      </c>
      <c r="C1668">
        <v>2024</v>
      </c>
      <c r="D1668">
        <v>42000000</v>
      </c>
    </row>
    <row r="1669" spans="1:4">
      <c r="A1669" s="3" t="s">
        <v>235</v>
      </c>
      <c r="B1669" s="3" t="s">
        <v>236</v>
      </c>
      <c r="C1669">
        <v>2004</v>
      </c>
      <c r="D1669">
        <v>49000000</v>
      </c>
    </row>
    <row r="1670" spans="1:4">
      <c r="A1670" s="3" t="s">
        <v>235</v>
      </c>
      <c r="B1670" s="3" t="s">
        <v>236</v>
      </c>
      <c r="C1670">
        <v>2005</v>
      </c>
      <c r="D1670">
        <v>195000000</v>
      </c>
    </row>
    <row r="1671" spans="1:4">
      <c r="A1671" s="3" t="s">
        <v>235</v>
      </c>
      <c r="B1671" s="3" t="s">
        <v>236</v>
      </c>
      <c r="C1671">
        <v>2006</v>
      </c>
      <c r="D1671">
        <v>306000000</v>
      </c>
    </row>
    <row r="1672" spans="1:4">
      <c r="A1672" s="3" t="s">
        <v>235</v>
      </c>
      <c r="B1672" s="3" t="s">
        <v>236</v>
      </c>
      <c r="C1672">
        <v>2007</v>
      </c>
      <c r="D1672">
        <v>299000000</v>
      </c>
    </row>
    <row r="1673" spans="1:4">
      <c r="A1673" s="3" t="s">
        <v>235</v>
      </c>
      <c r="B1673" s="3" t="s">
        <v>236</v>
      </c>
      <c r="C1673">
        <v>2008</v>
      </c>
      <c r="D1673">
        <v>379000000</v>
      </c>
    </row>
    <row r="1674" spans="1:4">
      <c r="A1674" s="3" t="s">
        <v>235</v>
      </c>
      <c r="B1674" s="3" t="s">
        <v>236</v>
      </c>
      <c r="C1674">
        <v>2009</v>
      </c>
      <c r="D1674">
        <v>418000000</v>
      </c>
    </row>
    <row r="1675" spans="1:4">
      <c r="A1675" s="3" t="s">
        <v>235</v>
      </c>
      <c r="B1675" s="3" t="s">
        <v>236</v>
      </c>
      <c r="C1675">
        <v>2010</v>
      </c>
      <c r="D1675">
        <v>480000000</v>
      </c>
    </row>
    <row r="1676" spans="1:4">
      <c r="A1676" s="3" t="s">
        <v>235</v>
      </c>
      <c r="B1676" s="3" t="s">
        <v>236</v>
      </c>
      <c r="C1676">
        <v>2011</v>
      </c>
      <c r="D1676">
        <v>623000000</v>
      </c>
    </row>
    <row r="1677" spans="1:4">
      <c r="A1677" s="3" t="s">
        <v>235</v>
      </c>
      <c r="B1677" s="3" t="s">
        <v>236</v>
      </c>
      <c r="C1677">
        <v>2012</v>
      </c>
      <c r="D1677">
        <v>523000000</v>
      </c>
    </row>
    <row r="1678" spans="1:4">
      <c r="A1678" s="3" t="s">
        <v>235</v>
      </c>
      <c r="B1678" s="3" t="s">
        <v>236</v>
      </c>
      <c r="C1678">
        <v>2013</v>
      </c>
      <c r="D1678">
        <v>375000000</v>
      </c>
    </row>
    <row r="1679" spans="1:4">
      <c r="A1679" s="3" t="s">
        <v>235</v>
      </c>
      <c r="B1679" s="3" t="s">
        <v>236</v>
      </c>
      <c r="C1679">
        <v>2014</v>
      </c>
      <c r="D1679">
        <v>629000000</v>
      </c>
    </row>
    <row r="1680" spans="1:4">
      <c r="A1680" s="3" t="s">
        <v>235</v>
      </c>
      <c r="B1680" s="3" t="s">
        <v>236</v>
      </c>
      <c r="C1680">
        <v>2015</v>
      </c>
      <c r="D1680">
        <v>1488000000</v>
      </c>
    </row>
    <row r="1681" spans="1:4">
      <c r="A1681" s="3" t="s">
        <v>235</v>
      </c>
      <c r="B1681" s="3" t="s">
        <v>236</v>
      </c>
      <c r="C1681">
        <v>2016</v>
      </c>
      <c r="D1681">
        <v>1831000000</v>
      </c>
    </row>
    <row r="1682" spans="1:4">
      <c r="A1682" s="3" t="s">
        <v>235</v>
      </c>
      <c r="B1682" s="3" t="s">
        <v>236</v>
      </c>
      <c r="C1682">
        <v>2017</v>
      </c>
      <c r="D1682">
        <v>945000000</v>
      </c>
    </row>
    <row r="1683" spans="1:4">
      <c r="A1683" s="3" t="s">
        <v>235</v>
      </c>
      <c r="B1683" s="3" t="s">
        <v>236</v>
      </c>
      <c r="C1683">
        <v>2018</v>
      </c>
      <c r="D1683">
        <v>454000000</v>
      </c>
    </row>
    <row r="1684" spans="1:4">
      <c r="A1684" s="3" t="s">
        <v>235</v>
      </c>
      <c r="B1684" s="3" t="s">
        <v>236</v>
      </c>
      <c r="C1684">
        <v>2019</v>
      </c>
      <c r="D1684">
        <v>144000000</v>
      </c>
    </row>
    <row r="1685" spans="1:4">
      <c r="A1685" s="3" t="s">
        <v>235</v>
      </c>
      <c r="B1685" s="3" t="s">
        <v>236</v>
      </c>
      <c r="C1685">
        <v>2020</v>
      </c>
      <c r="D1685">
        <v>5000000</v>
      </c>
    </row>
    <row r="1686" spans="1:4">
      <c r="A1686" s="3" t="s">
        <v>235</v>
      </c>
      <c r="B1686" s="3" t="s">
        <v>236</v>
      </c>
      <c r="C1686">
        <v>2022</v>
      </c>
      <c r="D1686">
        <v>55000000</v>
      </c>
    </row>
    <row r="1687" spans="1:4">
      <c r="A1687" s="3" t="s">
        <v>235</v>
      </c>
      <c r="B1687" s="3" t="s">
        <v>236</v>
      </c>
      <c r="C1687">
        <v>2023</v>
      </c>
      <c r="D1687">
        <v>30000000</v>
      </c>
    </row>
    <row r="1688" spans="1:4">
      <c r="A1688" s="3" t="s">
        <v>235</v>
      </c>
      <c r="B1688" s="3" t="s">
        <v>236</v>
      </c>
      <c r="C1688">
        <v>2024</v>
      </c>
      <c r="D1688">
        <v>80000000</v>
      </c>
    </row>
    <row r="1689" spans="1:4">
      <c r="A1689" s="3" t="s">
        <v>237</v>
      </c>
      <c r="B1689" s="3" t="s">
        <v>238</v>
      </c>
      <c r="C1689">
        <v>2011</v>
      </c>
      <c r="D1689">
        <v>50000000</v>
      </c>
    </row>
    <row r="1690" spans="1:4">
      <c r="A1690" s="3" t="s">
        <v>239</v>
      </c>
      <c r="B1690" s="3" t="s">
        <v>240</v>
      </c>
      <c r="C1690">
        <v>2000</v>
      </c>
      <c r="D1690">
        <v>389000000</v>
      </c>
    </row>
    <row r="1691" spans="1:4">
      <c r="A1691" s="3" t="s">
        <v>239</v>
      </c>
      <c r="B1691" s="3" t="s">
        <v>240</v>
      </c>
      <c r="C1691">
        <v>2001</v>
      </c>
      <c r="D1691">
        <v>116000000</v>
      </c>
    </row>
    <row r="1692" spans="1:4">
      <c r="A1692" s="3" t="s">
        <v>239</v>
      </c>
      <c r="B1692" s="3" t="s">
        <v>240</v>
      </c>
      <c r="C1692">
        <v>2002</v>
      </c>
      <c r="D1692">
        <v>350000000</v>
      </c>
    </row>
    <row r="1693" spans="1:4">
      <c r="A1693" s="3" t="s">
        <v>239</v>
      </c>
      <c r="B1693" s="3" t="s">
        <v>240</v>
      </c>
      <c r="C1693">
        <v>2003</v>
      </c>
      <c r="D1693">
        <v>189000000</v>
      </c>
    </row>
    <row r="1694" spans="1:4">
      <c r="A1694" s="3" t="s">
        <v>239</v>
      </c>
      <c r="B1694" s="3" t="s">
        <v>240</v>
      </c>
      <c r="C1694">
        <v>2004</v>
      </c>
      <c r="D1694">
        <v>846000000</v>
      </c>
    </row>
    <row r="1695" spans="1:4">
      <c r="A1695" s="3" t="s">
        <v>239</v>
      </c>
      <c r="B1695" s="3" t="s">
        <v>240</v>
      </c>
      <c r="C1695">
        <v>2005</v>
      </c>
      <c r="D1695">
        <v>1103000000</v>
      </c>
    </row>
    <row r="1696" spans="1:4">
      <c r="A1696" s="3" t="s">
        <v>239</v>
      </c>
      <c r="B1696" s="3" t="s">
        <v>240</v>
      </c>
      <c r="C1696">
        <v>2006</v>
      </c>
      <c r="D1696">
        <v>1125000000</v>
      </c>
    </row>
    <row r="1697" spans="1:4">
      <c r="A1697" s="3" t="s">
        <v>239</v>
      </c>
      <c r="B1697" s="3" t="s">
        <v>240</v>
      </c>
      <c r="C1697">
        <v>2007</v>
      </c>
      <c r="D1697">
        <v>840000000</v>
      </c>
    </row>
    <row r="1698" spans="1:4">
      <c r="A1698" s="3" t="s">
        <v>239</v>
      </c>
      <c r="B1698" s="3" t="s">
        <v>240</v>
      </c>
      <c r="C1698">
        <v>2008</v>
      </c>
      <c r="D1698">
        <v>680000000</v>
      </c>
    </row>
    <row r="1699" spans="1:4">
      <c r="A1699" s="3" t="s">
        <v>239</v>
      </c>
      <c r="B1699" s="3" t="s">
        <v>240</v>
      </c>
      <c r="C1699">
        <v>2009</v>
      </c>
      <c r="D1699">
        <v>162000000</v>
      </c>
    </row>
    <row r="1700" spans="1:4">
      <c r="A1700" s="3" t="s">
        <v>239</v>
      </c>
      <c r="B1700" s="3" t="s">
        <v>240</v>
      </c>
      <c r="C1700">
        <v>2010</v>
      </c>
      <c r="D1700">
        <v>76000000</v>
      </c>
    </row>
    <row r="1701" spans="1:4">
      <c r="A1701" s="3" t="s">
        <v>239</v>
      </c>
      <c r="B1701" s="3" t="s">
        <v>240</v>
      </c>
      <c r="C1701">
        <v>2011</v>
      </c>
      <c r="D1701">
        <v>86000000</v>
      </c>
    </row>
    <row r="1702" spans="1:4">
      <c r="A1702" s="3" t="s">
        <v>239</v>
      </c>
      <c r="B1702" s="3" t="s">
        <v>240</v>
      </c>
      <c r="C1702">
        <v>2012</v>
      </c>
      <c r="D1702">
        <v>137000000</v>
      </c>
    </row>
    <row r="1703" spans="1:4">
      <c r="A1703" s="3" t="s">
        <v>239</v>
      </c>
      <c r="B1703" s="3" t="s">
        <v>240</v>
      </c>
      <c r="C1703">
        <v>2013</v>
      </c>
      <c r="D1703">
        <v>160000000</v>
      </c>
    </row>
    <row r="1704" spans="1:4">
      <c r="A1704" s="3" t="s">
        <v>239</v>
      </c>
      <c r="B1704" s="3" t="s">
        <v>240</v>
      </c>
      <c r="C1704">
        <v>2014</v>
      </c>
      <c r="D1704">
        <v>549000000</v>
      </c>
    </row>
    <row r="1705" spans="1:4">
      <c r="A1705" s="3" t="s">
        <v>239</v>
      </c>
      <c r="B1705" s="3" t="s">
        <v>240</v>
      </c>
      <c r="C1705">
        <v>2015</v>
      </c>
      <c r="D1705">
        <v>694000000</v>
      </c>
    </row>
    <row r="1706" spans="1:4">
      <c r="A1706" s="3" t="s">
        <v>239</v>
      </c>
      <c r="B1706" s="3" t="s">
        <v>240</v>
      </c>
      <c r="C1706">
        <v>2016</v>
      </c>
      <c r="D1706">
        <v>652000000</v>
      </c>
    </row>
    <row r="1707" spans="1:4">
      <c r="A1707" s="3" t="s">
        <v>239</v>
      </c>
      <c r="B1707" s="3" t="s">
        <v>240</v>
      </c>
      <c r="C1707">
        <v>2017</v>
      </c>
      <c r="D1707">
        <v>565000000</v>
      </c>
    </row>
    <row r="1708" spans="1:4">
      <c r="A1708" s="3" t="s">
        <v>239</v>
      </c>
      <c r="B1708" s="3" t="s">
        <v>240</v>
      </c>
      <c r="C1708">
        <v>2018</v>
      </c>
      <c r="D1708">
        <v>491000000</v>
      </c>
    </row>
    <row r="1709" spans="1:4">
      <c r="A1709" s="3" t="s">
        <v>239</v>
      </c>
      <c r="B1709" s="3" t="s">
        <v>240</v>
      </c>
      <c r="C1709">
        <v>2019</v>
      </c>
      <c r="D1709">
        <v>516000000</v>
      </c>
    </row>
    <row r="1710" spans="1:4">
      <c r="A1710" s="3" t="s">
        <v>239</v>
      </c>
      <c r="B1710" s="3" t="s">
        <v>240</v>
      </c>
      <c r="C1710">
        <v>2020</v>
      </c>
      <c r="D1710">
        <v>379000000</v>
      </c>
    </row>
    <row r="1711" spans="1:4">
      <c r="A1711" s="3" t="s">
        <v>239</v>
      </c>
      <c r="B1711" s="3" t="s">
        <v>240</v>
      </c>
      <c r="C1711">
        <v>2021</v>
      </c>
      <c r="D1711">
        <v>458000000</v>
      </c>
    </row>
    <row r="1712" spans="1:4">
      <c r="A1712" s="3" t="s">
        <v>239</v>
      </c>
      <c r="B1712" s="3" t="s">
        <v>240</v>
      </c>
      <c r="C1712">
        <v>2022</v>
      </c>
      <c r="D1712">
        <v>833000000</v>
      </c>
    </row>
    <row r="1713" spans="1:4">
      <c r="A1713" s="3" t="s">
        <v>239</v>
      </c>
      <c r="B1713" s="3" t="s">
        <v>240</v>
      </c>
      <c r="C1713">
        <v>2023</v>
      </c>
      <c r="D1713">
        <v>863000000</v>
      </c>
    </row>
    <row r="1714" spans="1:4">
      <c r="A1714" s="3" t="s">
        <v>239</v>
      </c>
      <c r="B1714" s="3" t="s">
        <v>240</v>
      </c>
      <c r="C1714">
        <v>2024</v>
      </c>
      <c r="D1714">
        <v>237000000</v>
      </c>
    </row>
    <row r="1715" spans="1:4">
      <c r="A1715" s="3" t="s">
        <v>241</v>
      </c>
      <c r="B1715" s="3" t="s">
        <v>242</v>
      </c>
      <c r="C1715">
        <v>2000</v>
      </c>
      <c r="D1715">
        <v>278000000</v>
      </c>
    </row>
    <row r="1716" spans="1:4">
      <c r="A1716" s="3" t="s">
        <v>241</v>
      </c>
      <c r="B1716" s="3" t="s">
        <v>242</v>
      </c>
      <c r="C1716">
        <v>2001</v>
      </c>
      <c r="D1716">
        <v>234000000</v>
      </c>
    </row>
    <row r="1717" spans="1:4">
      <c r="A1717" s="3" t="s">
        <v>241</v>
      </c>
      <c r="B1717" s="3" t="s">
        <v>242</v>
      </c>
      <c r="C1717">
        <v>2002</v>
      </c>
      <c r="D1717">
        <v>240000000</v>
      </c>
    </row>
    <row r="1718" spans="1:4">
      <c r="A1718" s="3" t="s">
        <v>241</v>
      </c>
      <c r="B1718" s="3" t="s">
        <v>242</v>
      </c>
      <c r="C1718">
        <v>2003</v>
      </c>
      <c r="D1718">
        <v>617000000</v>
      </c>
    </row>
    <row r="1719" spans="1:4">
      <c r="A1719" s="3" t="s">
        <v>241</v>
      </c>
      <c r="B1719" s="3" t="s">
        <v>242</v>
      </c>
      <c r="C1719">
        <v>2004</v>
      </c>
      <c r="D1719">
        <v>490000000</v>
      </c>
    </row>
    <row r="1720" spans="1:4">
      <c r="A1720" s="3" t="s">
        <v>241</v>
      </c>
      <c r="B1720" s="3" t="s">
        <v>242</v>
      </c>
      <c r="C1720">
        <v>2005</v>
      </c>
      <c r="D1720">
        <v>136000000</v>
      </c>
    </row>
    <row r="1721" spans="1:4">
      <c r="A1721" s="3" t="s">
        <v>241</v>
      </c>
      <c r="B1721" s="3" t="s">
        <v>242</v>
      </c>
      <c r="C1721">
        <v>2006</v>
      </c>
      <c r="D1721">
        <v>384000000</v>
      </c>
    </row>
    <row r="1722" spans="1:4">
      <c r="A1722" s="3" t="s">
        <v>241</v>
      </c>
      <c r="B1722" s="3" t="s">
        <v>242</v>
      </c>
      <c r="C1722">
        <v>2007</v>
      </c>
      <c r="D1722">
        <v>467000000</v>
      </c>
    </row>
    <row r="1723" spans="1:4">
      <c r="A1723" s="3" t="s">
        <v>241</v>
      </c>
      <c r="B1723" s="3" t="s">
        <v>242</v>
      </c>
      <c r="C1723">
        <v>2008</v>
      </c>
      <c r="D1723">
        <v>159000000</v>
      </c>
    </row>
    <row r="1724" spans="1:4">
      <c r="A1724" s="3" t="s">
        <v>241</v>
      </c>
      <c r="B1724" s="3" t="s">
        <v>242</v>
      </c>
      <c r="C1724">
        <v>2009</v>
      </c>
      <c r="D1724">
        <v>94000000</v>
      </c>
    </row>
    <row r="1725" spans="1:4">
      <c r="A1725" s="3" t="s">
        <v>241</v>
      </c>
      <c r="B1725" s="3" t="s">
        <v>242</v>
      </c>
      <c r="C1725">
        <v>2010</v>
      </c>
      <c r="D1725">
        <v>98000000</v>
      </c>
    </row>
    <row r="1726" spans="1:4">
      <c r="A1726" s="3" t="s">
        <v>241</v>
      </c>
      <c r="B1726" s="3" t="s">
        <v>242</v>
      </c>
      <c r="C1726">
        <v>2011</v>
      </c>
      <c r="D1726">
        <v>286000000</v>
      </c>
    </row>
    <row r="1727" spans="1:4">
      <c r="A1727" s="3" t="s">
        <v>241</v>
      </c>
      <c r="B1727" s="3" t="s">
        <v>242</v>
      </c>
      <c r="C1727">
        <v>2012</v>
      </c>
      <c r="D1727">
        <v>189000000</v>
      </c>
    </row>
    <row r="1728" spans="1:4">
      <c r="A1728" s="3" t="s">
        <v>241</v>
      </c>
      <c r="B1728" s="3" t="s">
        <v>242</v>
      </c>
      <c r="C1728">
        <v>2013</v>
      </c>
      <c r="D1728">
        <v>71000000</v>
      </c>
    </row>
    <row r="1729" spans="1:4">
      <c r="A1729" s="3" t="s">
        <v>241</v>
      </c>
      <c r="B1729" s="3" t="s">
        <v>242</v>
      </c>
      <c r="C1729">
        <v>2014</v>
      </c>
      <c r="D1729">
        <v>127000000</v>
      </c>
    </row>
    <row r="1730" spans="1:4">
      <c r="A1730" s="3" t="s">
        <v>241</v>
      </c>
      <c r="B1730" s="3" t="s">
        <v>242</v>
      </c>
      <c r="C1730">
        <v>2015</v>
      </c>
      <c r="D1730">
        <v>237000000</v>
      </c>
    </row>
    <row r="1731" spans="1:4">
      <c r="A1731" s="3" t="s">
        <v>241</v>
      </c>
      <c r="B1731" s="3" t="s">
        <v>242</v>
      </c>
      <c r="C1731">
        <v>2016</v>
      </c>
      <c r="D1731">
        <v>734000000</v>
      </c>
    </row>
    <row r="1732" spans="1:4">
      <c r="A1732" s="3" t="s">
        <v>241</v>
      </c>
      <c r="B1732" s="3" t="s">
        <v>242</v>
      </c>
      <c r="C1732">
        <v>2017</v>
      </c>
      <c r="D1732">
        <v>709000000</v>
      </c>
    </row>
    <row r="1733" spans="1:4">
      <c r="A1733" s="3" t="s">
        <v>241</v>
      </c>
      <c r="B1733" s="3" t="s">
        <v>242</v>
      </c>
      <c r="C1733">
        <v>2018</v>
      </c>
      <c r="D1733">
        <v>275000000</v>
      </c>
    </row>
    <row r="1734" spans="1:4">
      <c r="A1734" s="3" t="s">
        <v>241</v>
      </c>
      <c r="B1734" s="3" t="s">
        <v>242</v>
      </c>
      <c r="C1734">
        <v>2019</v>
      </c>
      <c r="D1734">
        <v>178000000</v>
      </c>
    </row>
    <row r="1735" spans="1:4">
      <c r="A1735" s="3" t="s">
        <v>241</v>
      </c>
      <c r="B1735" s="3" t="s">
        <v>242</v>
      </c>
      <c r="C1735">
        <v>2020</v>
      </c>
      <c r="D1735">
        <v>201000000</v>
      </c>
    </row>
    <row r="1736" spans="1:4">
      <c r="A1736" s="3" t="s">
        <v>241</v>
      </c>
      <c r="B1736" s="3" t="s">
        <v>242</v>
      </c>
      <c r="C1736">
        <v>2021</v>
      </c>
      <c r="D1736">
        <v>211000000</v>
      </c>
    </row>
    <row r="1737" spans="1:4">
      <c r="A1737" s="3" t="s">
        <v>241</v>
      </c>
      <c r="B1737" s="3" t="s">
        <v>242</v>
      </c>
      <c r="C1737">
        <v>2022</v>
      </c>
      <c r="D1737">
        <v>237000000</v>
      </c>
    </row>
    <row r="1738" spans="1:4">
      <c r="A1738" s="3" t="s">
        <v>241</v>
      </c>
      <c r="B1738" s="3" t="s">
        <v>242</v>
      </c>
      <c r="C1738">
        <v>2023</v>
      </c>
      <c r="D1738">
        <v>425000000</v>
      </c>
    </row>
    <row r="1739" spans="1:4">
      <c r="A1739" s="3" t="s">
        <v>241</v>
      </c>
      <c r="B1739" s="3" t="s">
        <v>242</v>
      </c>
      <c r="C1739">
        <v>2024</v>
      </c>
      <c r="D1739">
        <v>494000000</v>
      </c>
    </row>
    <row r="1740" spans="1:4">
      <c r="A1740" s="3" t="s">
        <v>243</v>
      </c>
      <c r="B1740" s="3" t="s">
        <v>244</v>
      </c>
      <c r="C1740">
        <v>2005</v>
      </c>
      <c r="D1740">
        <v>10000000</v>
      </c>
    </row>
    <row r="1741" spans="1:4">
      <c r="A1741" s="3" t="s">
        <v>243</v>
      </c>
      <c r="B1741" s="3" t="s">
        <v>244</v>
      </c>
      <c r="C1741">
        <v>2006</v>
      </c>
      <c r="D1741">
        <v>10000000</v>
      </c>
    </row>
    <row r="1742" spans="1:4">
      <c r="A1742" s="3" t="s">
        <v>243</v>
      </c>
      <c r="B1742" s="3" t="s">
        <v>244</v>
      </c>
      <c r="C1742">
        <v>2007</v>
      </c>
      <c r="D1742">
        <v>14000000</v>
      </c>
    </row>
    <row r="1743" spans="1:4">
      <c r="A1743" s="3" t="s">
        <v>243</v>
      </c>
      <c r="B1743" s="3" t="s">
        <v>244</v>
      </c>
      <c r="C1743">
        <v>2008</v>
      </c>
      <c r="D1743">
        <v>2000000</v>
      </c>
    </row>
    <row r="1744" spans="1:4">
      <c r="A1744" s="3" t="s">
        <v>243</v>
      </c>
      <c r="B1744" s="3" t="s">
        <v>244</v>
      </c>
      <c r="C1744">
        <v>2010</v>
      </c>
      <c r="D1744">
        <v>1000000</v>
      </c>
    </row>
    <row r="1745" spans="1:4">
      <c r="A1745" s="3" t="s">
        <v>243</v>
      </c>
      <c r="B1745" s="3" t="s">
        <v>244</v>
      </c>
      <c r="C1745">
        <v>2013</v>
      </c>
      <c r="D1745">
        <v>1000000</v>
      </c>
    </row>
    <row r="1746" spans="1:4">
      <c r="A1746" s="3" t="s">
        <v>243</v>
      </c>
      <c r="B1746" s="3" t="s">
        <v>244</v>
      </c>
      <c r="C1746">
        <v>2015</v>
      </c>
      <c r="D1746">
        <v>2000000</v>
      </c>
    </row>
    <row r="1747" spans="1:4">
      <c r="A1747" s="3" t="s">
        <v>243</v>
      </c>
      <c r="B1747" s="3" t="s">
        <v>244</v>
      </c>
      <c r="C1747">
        <v>2016</v>
      </c>
      <c r="D1747">
        <v>22000000</v>
      </c>
    </row>
    <row r="1748" spans="1:4">
      <c r="A1748" s="3" t="s">
        <v>243</v>
      </c>
      <c r="B1748" s="3" t="s">
        <v>244</v>
      </c>
      <c r="C1748">
        <v>2018</v>
      </c>
      <c r="D1748">
        <v>19000000</v>
      </c>
    </row>
    <row r="1749" spans="1:4">
      <c r="A1749" s="3" t="s">
        <v>243</v>
      </c>
      <c r="B1749" s="3" t="s">
        <v>244</v>
      </c>
      <c r="C1749">
        <v>2019</v>
      </c>
      <c r="D1749">
        <v>3000000</v>
      </c>
    </row>
    <row r="1750" spans="1:4">
      <c r="A1750" s="3" t="s">
        <v>243</v>
      </c>
      <c r="B1750" s="3" t="s">
        <v>244</v>
      </c>
      <c r="C1750">
        <v>2020</v>
      </c>
      <c r="D1750">
        <v>10000000</v>
      </c>
    </row>
    <row r="1751" spans="1:4">
      <c r="A1751" s="3" t="s">
        <v>243</v>
      </c>
      <c r="B1751" s="3" t="s">
        <v>244</v>
      </c>
      <c r="C1751">
        <v>2021</v>
      </c>
      <c r="D1751">
        <v>29000000</v>
      </c>
    </row>
    <row r="1752" spans="1:4">
      <c r="A1752" s="3" t="s">
        <v>243</v>
      </c>
      <c r="B1752" s="3" t="s">
        <v>244</v>
      </c>
      <c r="C1752">
        <v>2023</v>
      </c>
      <c r="D1752">
        <v>10000000</v>
      </c>
    </row>
    <row r="1753" spans="1:4">
      <c r="A1753" s="3" t="s">
        <v>243</v>
      </c>
      <c r="B1753" s="3" t="s">
        <v>244</v>
      </c>
      <c r="C1753">
        <v>2024</v>
      </c>
      <c r="D1753">
        <v>10000000</v>
      </c>
    </row>
    <row r="1754" spans="1:4">
      <c r="A1754" s="3" t="s">
        <v>245</v>
      </c>
      <c r="B1754" s="3" t="s">
        <v>246</v>
      </c>
      <c r="C1754">
        <v>2000</v>
      </c>
      <c r="D1754">
        <v>139000000</v>
      </c>
    </row>
    <row r="1755" spans="1:4">
      <c r="A1755" s="3" t="s">
        <v>245</v>
      </c>
      <c r="B1755" s="3" t="s">
        <v>246</v>
      </c>
      <c r="C1755">
        <v>2001</v>
      </c>
      <c r="D1755">
        <v>160000000</v>
      </c>
    </row>
    <row r="1756" spans="1:4">
      <c r="A1756" s="3" t="s">
        <v>245</v>
      </c>
      <c r="B1756" s="3" t="s">
        <v>246</v>
      </c>
      <c r="C1756">
        <v>2002</v>
      </c>
      <c r="D1756">
        <v>132000000</v>
      </c>
    </row>
    <row r="1757" spans="1:4">
      <c r="A1757" s="3" t="s">
        <v>245</v>
      </c>
      <c r="B1757" s="3" t="s">
        <v>246</v>
      </c>
      <c r="C1757">
        <v>2003</v>
      </c>
      <c r="D1757">
        <v>281000000</v>
      </c>
    </row>
    <row r="1758" spans="1:4">
      <c r="A1758" s="3" t="s">
        <v>245</v>
      </c>
      <c r="B1758" s="3" t="s">
        <v>246</v>
      </c>
      <c r="C1758">
        <v>2004</v>
      </c>
      <c r="D1758">
        <v>168000000</v>
      </c>
    </row>
    <row r="1759" spans="1:4">
      <c r="A1759" s="3" t="s">
        <v>245</v>
      </c>
      <c r="B1759" s="3" t="s">
        <v>246</v>
      </c>
      <c r="C1759">
        <v>2005</v>
      </c>
      <c r="D1759">
        <v>79000000</v>
      </c>
    </row>
    <row r="1760" spans="1:4">
      <c r="A1760" s="3" t="s">
        <v>245</v>
      </c>
      <c r="B1760" s="3" t="s">
        <v>246</v>
      </c>
      <c r="C1760">
        <v>2006</v>
      </c>
      <c r="D1760">
        <v>50000000</v>
      </c>
    </row>
    <row r="1761" spans="1:4">
      <c r="A1761" s="3" t="s">
        <v>245</v>
      </c>
      <c r="B1761" s="3" t="s">
        <v>246</v>
      </c>
      <c r="C1761">
        <v>2007</v>
      </c>
      <c r="D1761">
        <v>180000000</v>
      </c>
    </row>
    <row r="1762" spans="1:4">
      <c r="A1762" s="3" t="s">
        <v>245</v>
      </c>
      <c r="B1762" s="3" t="s">
        <v>246</v>
      </c>
      <c r="C1762">
        <v>2008</v>
      </c>
      <c r="D1762">
        <v>157000000</v>
      </c>
    </row>
    <row r="1763" spans="1:4">
      <c r="A1763" s="3" t="s">
        <v>245</v>
      </c>
      <c r="B1763" s="3" t="s">
        <v>246</v>
      </c>
      <c r="C1763">
        <v>2009</v>
      </c>
      <c r="D1763">
        <v>230000000</v>
      </c>
    </row>
    <row r="1764" spans="1:4">
      <c r="A1764" s="3" t="s">
        <v>245</v>
      </c>
      <c r="B1764" s="3" t="s">
        <v>246</v>
      </c>
      <c r="C1764">
        <v>2010</v>
      </c>
      <c r="D1764">
        <v>87000000</v>
      </c>
    </row>
    <row r="1765" spans="1:4">
      <c r="A1765" s="3" t="s">
        <v>245</v>
      </c>
      <c r="B1765" s="3" t="s">
        <v>246</v>
      </c>
      <c r="C1765">
        <v>2011</v>
      </c>
      <c r="D1765">
        <v>211000000</v>
      </c>
    </row>
    <row r="1766" spans="1:4">
      <c r="A1766" s="3" t="s">
        <v>245</v>
      </c>
      <c r="B1766" s="3" t="s">
        <v>246</v>
      </c>
      <c r="C1766">
        <v>2012</v>
      </c>
      <c r="D1766">
        <v>185000000</v>
      </c>
    </row>
    <row r="1767" spans="1:4">
      <c r="A1767" s="3" t="s">
        <v>245</v>
      </c>
      <c r="B1767" s="3" t="s">
        <v>246</v>
      </c>
      <c r="C1767">
        <v>2013</v>
      </c>
      <c r="D1767">
        <v>72000000</v>
      </c>
    </row>
    <row r="1768" spans="1:4">
      <c r="A1768" s="3" t="s">
        <v>245</v>
      </c>
      <c r="B1768" s="3" t="s">
        <v>246</v>
      </c>
      <c r="C1768">
        <v>2014</v>
      </c>
      <c r="D1768">
        <v>194000000</v>
      </c>
    </row>
    <row r="1769" spans="1:4">
      <c r="A1769" s="3" t="s">
        <v>245</v>
      </c>
      <c r="B1769" s="3" t="s">
        <v>246</v>
      </c>
      <c r="C1769">
        <v>2015</v>
      </c>
      <c r="D1769">
        <v>228000000</v>
      </c>
    </row>
    <row r="1770" spans="1:4">
      <c r="A1770" s="3" t="s">
        <v>245</v>
      </c>
      <c r="B1770" s="3" t="s">
        <v>246</v>
      </c>
      <c r="C1770">
        <v>2016</v>
      </c>
      <c r="D1770">
        <v>243000000</v>
      </c>
    </row>
    <row r="1771" spans="1:4">
      <c r="A1771" s="3" t="s">
        <v>245</v>
      </c>
      <c r="B1771" s="3" t="s">
        <v>246</v>
      </c>
      <c r="C1771">
        <v>2017</v>
      </c>
      <c r="D1771">
        <v>363000000</v>
      </c>
    </row>
    <row r="1772" spans="1:4">
      <c r="A1772" s="3" t="s">
        <v>245</v>
      </c>
      <c r="B1772" s="3" t="s">
        <v>246</v>
      </c>
      <c r="C1772">
        <v>2018</v>
      </c>
      <c r="D1772">
        <v>170000000</v>
      </c>
    </row>
    <row r="1773" spans="1:4">
      <c r="A1773" s="3" t="s">
        <v>245</v>
      </c>
      <c r="B1773" s="3" t="s">
        <v>246</v>
      </c>
      <c r="C1773">
        <v>2019</v>
      </c>
      <c r="D1773">
        <v>213000000</v>
      </c>
    </row>
    <row r="1774" spans="1:4">
      <c r="A1774" s="3" t="s">
        <v>245</v>
      </c>
      <c r="B1774" s="3" t="s">
        <v>246</v>
      </c>
      <c r="C1774">
        <v>2020</v>
      </c>
      <c r="D1774">
        <v>148000000</v>
      </c>
    </row>
    <row r="1775" spans="1:4">
      <c r="A1775" s="3" t="s">
        <v>245</v>
      </c>
      <c r="B1775" s="3" t="s">
        <v>246</v>
      </c>
      <c r="C1775">
        <v>2021</v>
      </c>
      <c r="D1775">
        <v>67000000</v>
      </c>
    </row>
    <row r="1776" spans="1:4">
      <c r="A1776" s="3" t="s">
        <v>245</v>
      </c>
      <c r="B1776" s="3" t="s">
        <v>246</v>
      </c>
      <c r="C1776">
        <v>2022</v>
      </c>
      <c r="D1776">
        <v>50000000</v>
      </c>
    </row>
    <row r="1777" spans="1:4">
      <c r="A1777" s="3" t="s">
        <v>245</v>
      </c>
      <c r="B1777" s="3" t="s">
        <v>246</v>
      </c>
      <c r="C1777">
        <v>2023</v>
      </c>
      <c r="D1777">
        <v>22000000</v>
      </c>
    </row>
    <row r="1778" spans="1:4">
      <c r="A1778" s="3" t="s">
        <v>245</v>
      </c>
      <c r="B1778" s="3" t="s">
        <v>246</v>
      </c>
      <c r="C1778">
        <v>2024</v>
      </c>
      <c r="D1778">
        <v>34000000</v>
      </c>
    </row>
    <row r="1779" spans="1:4">
      <c r="A1779" s="3" t="s">
        <v>247</v>
      </c>
      <c r="B1779" s="3" t="s">
        <v>248</v>
      </c>
      <c r="C1779">
        <v>2000</v>
      </c>
      <c r="D1779">
        <v>497000000</v>
      </c>
    </row>
    <row r="1780" spans="1:4">
      <c r="A1780" s="3" t="s">
        <v>247</v>
      </c>
      <c r="B1780" s="3" t="s">
        <v>248</v>
      </c>
      <c r="C1780">
        <v>2001</v>
      </c>
      <c r="D1780">
        <v>427000000</v>
      </c>
    </row>
    <row r="1781" spans="1:4">
      <c r="A1781" s="3" t="s">
        <v>247</v>
      </c>
      <c r="B1781" s="3" t="s">
        <v>248</v>
      </c>
      <c r="C1781">
        <v>2002</v>
      </c>
      <c r="D1781">
        <v>442000000</v>
      </c>
    </row>
    <row r="1782" spans="1:4">
      <c r="A1782" s="3" t="s">
        <v>247</v>
      </c>
      <c r="B1782" s="3" t="s">
        <v>248</v>
      </c>
      <c r="C1782">
        <v>2003</v>
      </c>
      <c r="D1782">
        <v>458000000</v>
      </c>
    </row>
    <row r="1783" spans="1:4">
      <c r="A1783" s="3" t="s">
        <v>247</v>
      </c>
      <c r="B1783" s="3" t="s">
        <v>248</v>
      </c>
      <c r="C1783">
        <v>2004</v>
      </c>
      <c r="D1783">
        <v>399000000</v>
      </c>
    </row>
    <row r="1784" spans="1:4">
      <c r="A1784" s="3" t="s">
        <v>247</v>
      </c>
      <c r="B1784" s="3" t="s">
        <v>248</v>
      </c>
      <c r="C1784">
        <v>2005</v>
      </c>
      <c r="D1784">
        <v>375000000</v>
      </c>
    </row>
    <row r="1785" spans="1:4">
      <c r="A1785" s="3" t="s">
        <v>247</v>
      </c>
      <c r="B1785" s="3" t="s">
        <v>248</v>
      </c>
      <c r="C1785">
        <v>2006</v>
      </c>
      <c r="D1785">
        <v>469000000</v>
      </c>
    </row>
    <row r="1786" spans="1:4">
      <c r="A1786" s="3" t="s">
        <v>247</v>
      </c>
      <c r="B1786" s="3" t="s">
        <v>248</v>
      </c>
      <c r="C1786">
        <v>2007</v>
      </c>
      <c r="D1786">
        <v>553000000</v>
      </c>
    </row>
    <row r="1787" spans="1:4">
      <c r="A1787" s="3" t="s">
        <v>247</v>
      </c>
      <c r="B1787" s="3" t="s">
        <v>248</v>
      </c>
      <c r="C1787">
        <v>2008</v>
      </c>
      <c r="D1787">
        <v>990000000</v>
      </c>
    </row>
    <row r="1788" spans="1:4">
      <c r="A1788" s="3" t="s">
        <v>247</v>
      </c>
      <c r="B1788" s="3" t="s">
        <v>248</v>
      </c>
      <c r="C1788">
        <v>2009</v>
      </c>
      <c r="D1788">
        <v>990000000</v>
      </c>
    </row>
    <row r="1789" spans="1:4">
      <c r="A1789" s="3" t="s">
        <v>247</v>
      </c>
      <c r="B1789" s="3" t="s">
        <v>248</v>
      </c>
      <c r="C1789">
        <v>2010</v>
      </c>
      <c r="D1789">
        <v>658000000</v>
      </c>
    </row>
    <row r="1790" spans="1:4">
      <c r="A1790" s="3" t="s">
        <v>247</v>
      </c>
      <c r="B1790" s="3" t="s">
        <v>248</v>
      </c>
      <c r="C1790">
        <v>2011</v>
      </c>
      <c r="D1790">
        <v>300000000</v>
      </c>
    </row>
    <row r="1791" spans="1:4">
      <c r="A1791" s="3" t="s">
        <v>247</v>
      </c>
      <c r="B1791" s="3" t="s">
        <v>248</v>
      </c>
      <c r="C1791">
        <v>2012</v>
      </c>
      <c r="D1791">
        <v>239000000</v>
      </c>
    </row>
    <row r="1792" spans="1:4">
      <c r="A1792" s="3" t="s">
        <v>247</v>
      </c>
      <c r="B1792" s="3" t="s">
        <v>248</v>
      </c>
      <c r="C1792">
        <v>2013</v>
      </c>
      <c r="D1792">
        <v>341000000</v>
      </c>
    </row>
    <row r="1793" spans="1:4">
      <c r="A1793" s="3" t="s">
        <v>247</v>
      </c>
      <c r="B1793" s="3" t="s">
        <v>248</v>
      </c>
      <c r="C1793">
        <v>2014</v>
      </c>
      <c r="D1793">
        <v>316000000</v>
      </c>
    </row>
    <row r="1794" spans="1:4">
      <c r="A1794" s="3" t="s">
        <v>247</v>
      </c>
      <c r="B1794" s="3" t="s">
        <v>248</v>
      </c>
      <c r="C1794">
        <v>2015</v>
      </c>
      <c r="D1794">
        <v>343000000</v>
      </c>
    </row>
    <row r="1795" spans="1:4">
      <c r="A1795" s="3" t="s">
        <v>247</v>
      </c>
      <c r="B1795" s="3" t="s">
        <v>248</v>
      </c>
      <c r="C1795">
        <v>2016</v>
      </c>
      <c r="D1795">
        <v>332000000</v>
      </c>
    </row>
    <row r="1796" spans="1:4">
      <c r="A1796" s="3" t="s">
        <v>247</v>
      </c>
      <c r="B1796" s="3" t="s">
        <v>248</v>
      </c>
      <c r="C1796">
        <v>2017</v>
      </c>
      <c r="D1796">
        <v>446000000</v>
      </c>
    </row>
    <row r="1797" spans="1:4">
      <c r="A1797" s="3" t="s">
        <v>247</v>
      </c>
      <c r="B1797" s="3" t="s">
        <v>248</v>
      </c>
      <c r="C1797">
        <v>2018</v>
      </c>
      <c r="D1797">
        <v>764000000</v>
      </c>
    </row>
    <row r="1798" spans="1:4">
      <c r="A1798" s="3" t="s">
        <v>247</v>
      </c>
      <c r="B1798" s="3" t="s">
        <v>248</v>
      </c>
      <c r="C1798">
        <v>2019</v>
      </c>
      <c r="D1798">
        <v>992000000</v>
      </c>
    </row>
    <row r="1799" spans="1:4">
      <c r="A1799" s="3" t="s">
        <v>247</v>
      </c>
      <c r="B1799" s="3" t="s">
        <v>248</v>
      </c>
      <c r="C1799">
        <v>2020</v>
      </c>
      <c r="D1799">
        <v>929000000</v>
      </c>
    </row>
    <row r="1800" spans="1:4">
      <c r="A1800" s="3" t="s">
        <v>247</v>
      </c>
      <c r="B1800" s="3" t="s">
        <v>248</v>
      </c>
      <c r="C1800">
        <v>2021</v>
      </c>
      <c r="D1800">
        <v>1009000000</v>
      </c>
    </row>
    <row r="1801" spans="1:4">
      <c r="A1801" s="3" t="s">
        <v>247</v>
      </c>
      <c r="B1801" s="3" t="s">
        <v>248</v>
      </c>
      <c r="C1801">
        <v>2022</v>
      </c>
      <c r="D1801">
        <v>1466000000</v>
      </c>
    </row>
    <row r="1802" spans="1:4">
      <c r="A1802" s="3" t="s">
        <v>247</v>
      </c>
      <c r="B1802" s="3" t="s">
        <v>248</v>
      </c>
      <c r="C1802">
        <v>2023</v>
      </c>
      <c r="D1802">
        <v>852000000</v>
      </c>
    </row>
    <row r="1803" spans="1:4">
      <c r="A1803" s="3" t="s">
        <v>247</v>
      </c>
      <c r="B1803" s="3" t="s">
        <v>248</v>
      </c>
      <c r="C1803">
        <v>2024</v>
      </c>
      <c r="D1803">
        <v>1043000000</v>
      </c>
    </row>
    <row r="1804" spans="1:4">
      <c r="A1804" s="3" t="s">
        <v>249</v>
      </c>
      <c r="B1804" s="3" t="s">
        <v>250</v>
      </c>
      <c r="C1804">
        <v>2000</v>
      </c>
      <c r="D1804">
        <v>121000000</v>
      </c>
    </row>
    <row r="1805" spans="1:4">
      <c r="A1805" s="3" t="s">
        <v>249</v>
      </c>
      <c r="B1805" s="3" t="s">
        <v>250</v>
      </c>
      <c r="C1805">
        <v>2001</v>
      </c>
      <c r="D1805">
        <v>139000000</v>
      </c>
    </row>
    <row r="1806" spans="1:4">
      <c r="A1806" s="3" t="s">
        <v>249</v>
      </c>
      <c r="B1806" s="3" t="s">
        <v>250</v>
      </c>
      <c r="C1806">
        <v>2002</v>
      </c>
      <c r="D1806">
        <v>22000000</v>
      </c>
    </row>
    <row r="1807" spans="1:4">
      <c r="A1807" s="3" t="s">
        <v>249</v>
      </c>
      <c r="B1807" s="3" t="s">
        <v>250</v>
      </c>
      <c r="C1807">
        <v>2004</v>
      </c>
      <c r="D1807">
        <v>49000000</v>
      </c>
    </row>
    <row r="1808" spans="1:4">
      <c r="A1808" s="3" t="s">
        <v>249</v>
      </c>
      <c r="B1808" s="3" t="s">
        <v>250</v>
      </c>
      <c r="C1808">
        <v>2005</v>
      </c>
      <c r="D1808">
        <v>44000000</v>
      </c>
    </row>
    <row r="1809" spans="1:4">
      <c r="A1809" s="3" t="s">
        <v>249</v>
      </c>
      <c r="B1809" s="3" t="s">
        <v>250</v>
      </c>
      <c r="C1809">
        <v>2006</v>
      </c>
      <c r="D1809">
        <v>46000000</v>
      </c>
    </row>
    <row r="1810" spans="1:4">
      <c r="A1810" s="3" t="s">
        <v>249</v>
      </c>
      <c r="B1810" s="3" t="s">
        <v>250</v>
      </c>
      <c r="C1810">
        <v>2007</v>
      </c>
      <c r="D1810">
        <v>83000000</v>
      </c>
    </row>
    <row r="1811" spans="1:4">
      <c r="A1811" s="3" t="s">
        <v>249</v>
      </c>
      <c r="B1811" s="3" t="s">
        <v>250</v>
      </c>
      <c r="C1811">
        <v>2008</v>
      </c>
      <c r="D1811">
        <v>38000000</v>
      </c>
    </row>
    <row r="1812" spans="1:4">
      <c r="A1812" s="3" t="s">
        <v>249</v>
      </c>
      <c r="B1812" s="3" t="s">
        <v>250</v>
      </c>
      <c r="C1812">
        <v>2009</v>
      </c>
      <c r="D1812">
        <v>53000000</v>
      </c>
    </row>
    <row r="1813" spans="1:4">
      <c r="A1813" s="3" t="s">
        <v>249</v>
      </c>
      <c r="B1813" s="3" t="s">
        <v>250</v>
      </c>
      <c r="C1813">
        <v>2010</v>
      </c>
      <c r="D1813">
        <v>59000000</v>
      </c>
    </row>
    <row r="1814" spans="1:4">
      <c r="A1814" s="3" t="s">
        <v>249</v>
      </c>
      <c r="B1814" s="3" t="s">
        <v>250</v>
      </c>
      <c r="C1814">
        <v>2011</v>
      </c>
      <c r="D1814">
        <v>63000000</v>
      </c>
    </row>
    <row r="1815" spans="1:4">
      <c r="A1815" s="3" t="s">
        <v>249</v>
      </c>
      <c r="B1815" s="3" t="s">
        <v>250</v>
      </c>
      <c r="C1815">
        <v>2012</v>
      </c>
      <c r="D1815">
        <v>96000000</v>
      </c>
    </row>
    <row r="1816" spans="1:4">
      <c r="A1816" s="3" t="s">
        <v>249</v>
      </c>
      <c r="B1816" s="3" t="s">
        <v>250</v>
      </c>
      <c r="C1816">
        <v>2013</v>
      </c>
      <c r="D1816">
        <v>143000000</v>
      </c>
    </row>
    <row r="1817" spans="1:4">
      <c r="A1817" s="3" t="s">
        <v>249</v>
      </c>
      <c r="B1817" s="3" t="s">
        <v>250</v>
      </c>
      <c r="C1817">
        <v>2014</v>
      </c>
      <c r="D1817">
        <v>83000000</v>
      </c>
    </row>
    <row r="1818" spans="1:4">
      <c r="A1818" s="3" t="s">
        <v>249</v>
      </c>
      <c r="B1818" s="3" t="s">
        <v>250</v>
      </c>
      <c r="C1818">
        <v>2015</v>
      </c>
      <c r="D1818">
        <v>446000000</v>
      </c>
    </row>
    <row r="1819" spans="1:4">
      <c r="A1819" s="3" t="s">
        <v>249</v>
      </c>
      <c r="B1819" s="3" t="s">
        <v>250</v>
      </c>
      <c r="C1819">
        <v>2016</v>
      </c>
      <c r="D1819">
        <v>255000000</v>
      </c>
    </row>
    <row r="1820" spans="1:4">
      <c r="A1820" s="3" t="s">
        <v>249</v>
      </c>
      <c r="B1820" s="3" t="s">
        <v>250</v>
      </c>
      <c r="C1820">
        <v>2017</v>
      </c>
      <c r="D1820">
        <v>221000000</v>
      </c>
    </row>
    <row r="1821" spans="1:4">
      <c r="A1821" s="3" t="s">
        <v>249</v>
      </c>
      <c r="B1821" s="3" t="s">
        <v>250</v>
      </c>
      <c r="C1821">
        <v>2018</v>
      </c>
      <c r="D1821">
        <v>279000000</v>
      </c>
    </row>
    <row r="1822" spans="1:4">
      <c r="A1822" s="3" t="s">
        <v>249</v>
      </c>
      <c r="B1822" s="3" t="s">
        <v>250</v>
      </c>
      <c r="C1822">
        <v>2019</v>
      </c>
      <c r="D1822">
        <v>232000000</v>
      </c>
    </row>
    <row r="1823" spans="1:4">
      <c r="A1823" s="3" t="s">
        <v>249</v>
      </c>
      <c r="B1823" s="3" t="s">
        <v>250</v>
      </c>
      <c r="C1823">
        <v>2020</v>
      </c>
      <c r="D1823">
        <v>270000000</v>
      </c>
    </row>
    <row r="1824" spans="1:4">
      <c r="A1824" s="3" t="s">
        <v>249</v>
      </c>
      <c r="B1824" s="3" t="s">
        <v>250</v>
      </c>
      <c r="C1824">
        <v>2021</v>
      </c>
      <c r="D1824">
        <v>195000000</v>
      </c>
    </row>
    <row r="1825" spans="1:4">
      <c r="A1825" s="3" t="s">
        <v>249</v>
      </c>
      <c r="B1825" s="3" t="s">
        <v>250</v>
      </c>
      <c r="C1825">
        <v>2022</v>
      </c>
      <c r="D1825">
        <v>191000000</v>
      </c>
    </row>
    <row r="1826" spans="1:4">
      <c r="A1826" s="3" t="s">
        <v>249</v>
      </c>
      <c r="B1826" s="3" t="s">
        <v>250</v>
      </c>
      <c r="C1826">
        <v>2023</v>
      </c>
      <c r="D1826">
        <v>223000000</v>
      </c>
    </row>
    <row r="1827" spans="1:4">
      <c r="A1827" s="3" t="s">
        <v>249</v>
      </c>
      <c r="B1827" s="3" t="s">
        <v>250</v>
      </c>
      <c r="C1827">
        <v>2024</v>
      </c>
      <c r="D1827">
        <v>460000000</v>
      </c>
    </row>
    <row r="1828" spans="1:4">
      <c r="A1828" s="3" t="s">
        <v>251</v>
      </c>
      <c r="B1828" s="3" t="s">
        <v>252</v>
      </c>
      <c r="C1828">
        <v>2000</v>
      </c>
      <c r="D1828">
        <v>15000000</v>
      </c>
    </row>
    <row r="1829" spans="1:4">
      <c r="A1829" s="3" t="s">
        <v>251</v>
      </c>
      <c r="B1829" s="3" t="s">
        <v>252</v>
      </c>
      <c r="C1829">
        <v>2007</v>
      </c>
      <c r="D1829">
        <v>11000000</v>
      </c>
    </row>
    <row r="1830" spans="1:4">
      <c r="A1830" s="3" t="s">
        <v>251</v>
      </c>
      <c r="B1830" s="3" t="s">
        <v>252</v>
      </c>
      <c r="C1830">
        <v>2009</v>
      </c>
      <c r="D1830">
        <v>34000000</v>
      </c>
    </row>
    <row r="1831" spans="1:4">
      <c r="A1831" s="3" t="s">
        <v>251</v>
      </c>
      <c r="B1831" s="3" t="s">
        <v>252</v>
      </c>
      <c r="C1831">
        <v>2010</v>
      </c>
      <c r="D1831">
        <v>96000000</v>
      </c>
    </row>
    <row r="1832" spans="1:4">
      <c r="A1832" s="3" t="s">
        <v>251</v>
      </c>
      <c r="B1832" s="3" t="s">
        <v>252</v>
      </c>
      <c r="C1832">
        <v>2011</v>
      </c>
      <c r="D1832">
        <v>35000000</v>
      </c>
    </row>
    <row r="1833" spans="1:4">
      <c r="A1833" s="3" t="s">
        <v>251</v>
      </c>
      <c r="B1833" s="3" t="s">
        <v>252</v>
      </c>
      <c r="C1833">
        <v>2012</v>
      </c>
      <c r="D1833">
        <v>68000000</v>
      </c>
    </row>
    <row r="1834" spans="1:4">
      <c r="A1834" s="3" t="s">
        <v>251</v>
      </c>
      <c r="B1834" s="3" t="s">
        <v>252</v>
      </c>
      <c r="C1834">
        <v>2013</v>
      </c>
      <c r="D1834">
        <v>1000000</v>
      </c>
    </row>
    <row r="1835" spans="1:4">
      <c r="A1835" s="3" t="s">
        <v>251</v>
      </c>
      <c r="B1835" s="3" t="s">
        <v>252</v>
      </c>
      <c r="C1835">
        <v>2014</v>
      </c>
      <c r="D1835">
        <v>17000000</v>
      </c>
    </row>
    <row r="1836" spans="1:4">
      <c r="A1836" s="3" t="s">
        <v>251</v>
      </c>
      <c r="B1836" s="3" t="s">
        <v>252</v>
      </c>
      <c r="C1836">
        <v>2015</v>
      </c>
      <c r="D1836">
        <v>30000000</v>
      </c>
    </row>
    <row r="1837" spans="1:4">
      <c r="A1837" s="3" t="s">
        <v>251</v>
      </c>
      <c r="B1837" s="3" t="s">
        <v>252</v>
      </c>
      <c r="C1837">
        <v>2016</v>
      </c>
      <c r="D1837">
        <v>32000000</v>
      </c>
    </row>
    <row r="1838" spans="1:4">
      <c r="A1838" s="3" t="s">
        <v>251</v>
      </c>
      <c r="B1838" s="3" t="s">
        <v>252</v>
      </c>
      <c r="C1838">
        <v>2017</v>
      </c>
      <c r="D1838">
        <v>17000000</v>
      </c>
    </row>
    <row r="1839" spans="1:4">
      <c r="A1839" s="3" t="s">
        <v>251</v>
      </c>
      <c r="B1839" s="3" t="s">
        <v>252</v>
      </c>
      <c r="C1839">
        <v>2018</v>
      </c>
      <c r="D1839">
        <v>7000000</v>
      </c>
    </row>
    <row r="1840" spans="1:4">
      <c r="A1840" s="3" t="s">
        <v>251</v>
      </c>
      <c r="B1840" s="3" t="s">
        <v>252</v>
      </c>
      <c r="C1840">
        <v>2019</v>
      </c>
      <c r="D1840">
        <v>18000000</v>
      </c>
    </row>
    <row r="1841" spans="1:4">
      <c r="A1841" s="3" t="s">
        <v>251</v>
      </c>
      <c r="B1841" s="3" t="s">
        <v>252</v>
      </c>
      <c r="C1841">
        <v>2020</v>
      </c>
      <c r="D1841">
        <v>71000000</v>
      </c>
    </row>
    <row r="1842" spans="1:4">
      <c r="A1842" s="3" t="s">
        <v>251</v>
      </c>
      <c r="B1842" s="3" t="s">
        <v>252</v>
      </c>
      <c r="C1842">
        <v>2021</v>
      </c>
      <c r="D1842">
        <v>4000000</v>
      </c>
    </row>
    <row r="1843" spans="1:4">
      <c r="A1843" s="3" t="s">
        <v>251</v>
      </c>
      <c r="B1843" s="3" t="s">
        <v>252</v>
      </c>
      <c r="C1843">
        <v>2022</v>
      </c>
      <c r="D1843">
        <v>1000000</v>
      </c>
    </row>
    <row r="1844" spans="1:4">
      <c r="A1844" s="3" t="s">
        <v>251</v>
      </c>
      <c r="B1844" s="3" t="s">
        <v>252</v>
      </c>
      <c r="C1844">
        <v>2024</v>
      </c>
      <c r="D1844">
        <v>19000000</v>
      </c>
    </row>
    <row r="1845" spans="1:4">
      <c r="A1845" s="3" t="s">
        <v>253</v>
      </c>
      <c r="B1845" s="3" t="s">
        <v>254</v>
      </c>
      <c r="C1845">
        <v>2003</v>
      </c>
      <c r="D1845">
        <v>10000000</v>
      </c>
    </row>
    <row r="1846" spans="1:4">
      <c r="A1846" s="3" t="s">
        <v>253</v>
      </c>
      <c r="B1846" s="3" t="s">
        <v>254</v>
      </c>
      <c r="C1846">
        <v>2004</v>
      </c>
      <c r="D1846">
        <v>6000000</v>
      </c>
    </row>
    <row r="1847" spans="1:4">
      <c r="A1847" s="3" t="s">
        <v>253</v>
      </c>
      <c r="B1847" s="3" t="s">
        <v>254</v>
      </c>
      <c r="C1847">
        <v>2005</v>
      </c>
      <c r="D1847">
        <v>3000000</v>
      </c>
    </row>
    <row r="1848" spans="1:4">
      <c r="A1848" s="3" t="s">
        <v>253</v>
      </c>
      <c r="B1848" s="3" t="s">
        <v>254</v>
      </c>
      <c r="C1848">
        <v>2006</v>
      </c>
      <c r="D1848">
        <v>2000000</v>
      </c>
    </row>
    <row r="1849" spans="1:4">
      <c r="A1849" s="3" t="s">
        <v>253</v>
      </c>
      <c r="B1849" s="3" t="s">
        <v>254</v>
      </c>
      <c r="C1849">
        <v>2015</v>
      </c>
      <c r="D1849">
        <v>4000000</v>
      </c>
    </row>
    <row r="1850" spans="1:4">
      <c r="A1850" s="3" t="s">
        <v>253</v>
      </c>
      <c r="B1850" s="3" t="s">
        <v>254</v>
      </c>
      <c r="C1850">
        <v>2016</v>
      </c>
      <c r="D1850">
        <v>8000000</v>
      </c>
    </row>
    <row r="1851" spans="1:4">
      <c r="A1851" s="3" t="s">
        <v>253</v>
      </c>
      <c r="B1851" s="3" t="s">
        <v>254</v>
      </c>
      <c r="C1851">
        <v>2017</v>
      </c>
      <c r="D1851">
        <v>12000000</v>
      </c>
    </row>
    <row r="1852" spans="1:4">
      <c r="A1852" s="3" t="s">
        <v>253</v>
      </c>
      <c r="B1852" s="3" t="s">
        <v>254</v>
      </c>
      <c r="C1852">
        <v>2018</v>
      </c>
      <c r="D1852">
        <v>1000000</v>
      </c>
    </row>
    <row r="1853" spans="1:4">
      <c r="A1853" s="3" t="s">
        <v>253</v>
      </c>
      <c r="B1853" s="3" t="s">
        <v>254</v>
      </c>
      <c r="C1853">
        <v>2019</v>
      </c>
      <c r="D1853">
        <v>15000000</v>
      </c>
    </row>
    <row r="1854" spans="1:4">
      <c r="A1854" s="3" t="s">
        <v>253</v>
      </c>
      <c r="B1854" s="3" t="s">
        <v>254</v>
      </c>
      <c r="C1854">
        <v>2021</v>
      </c>
      <c r="D1854">
        <v>5000000</v>
      </c>
    </row>
    <row r="1855" spans="1:4">
      <c r="A1855" s="3" t="s">
        <v>253</v>
      </c>
      <c r="B1855" s="3" t="s">
        <v>254</v>
      </c>
      <c r="C1855">
        <v>2022</v>
      </c>
      <c r="D1855">
        <v>14000000</v>
      </c>
    </row>
    <row r="1856" spans="1:4">
      <c r="A1856" s="3" t="s">
        <v>253</v>
      </c>
      <c r="B1856" s="3" t="s">
        <v>254</v>
      </c>
      <c r="C1856">
        <v>2023</v>
      </c>
      <c r="D1856">
        <v>54000000</v>
      </c>
    </row>
    <row r="1857" spans="1:4">
      <c r="A1857" s="3" t="s">
        <v>255</v>
      </c>
      <c r="B1857" s="3" t="s">
        <v>256</v>
      </c>
      <c r="C1857">
        <v>2006</v>
      </c>
      <c r="D1857">
        <v>14000000</v>
      </c>
    </row>
    <row r="1858" spans="1:4">
      <c r="A1858" s="3" t="s">
        <v>255</v>
      </c>
      <c r="B1858" s="3" t="s">
        <v>256</v>
      </c>
      <c r="C1858">
        <v>2007</v>
      </c>
      <c r="D1858">
        <v>56000000</v>
      </c>
    </row>
    <row r="1859" spans="1:4">
      <c r="A1859" s="3" t="s">
        <v>255</v>
      </c>
      <c r="B1859" s="3" t="s">
        <v>256</v>
      </c>
      <c r="C1859">
        <v>2009</v>
      </c>
      <c r="D1859">
        <v>4000000</v>
      </c>
    </row>
    <row r="1860" spans="1:4">
      <c r="A1860" s="3" t="s">
        <v>255</v>
      </c>
      <c r="B1860" s="3" t="s">
        <v>256</v>
      </c>
      <c r="C1860">
        <v>2010</v>
      </c>
      <c r="D1860">
        <v>34000000</v>
      </c>
    </row>
    <row r="1861" spans="1:4">
      <c r="A1861" s="3" t="s">
        <v>255</v>
      </c>
      <c r="B1861" s="3" t="s">
        <v>256</v>
      </c>
      <c r="C1861">
        <v>2012</v>
      </c>
      <c r="D1861">
        <v>78000000</v>
      </c>
    </row>
    <row r="1862" spans="1:4">
      <c r="A1862" s="3" t="s">
        <v>255</v>
      </c>
      <c r="B1862" s="3" t="s">
        <v>256</v>
      </c>
      <c r="C1862">
        <v>2013</v>
      </c>
      <c r="D1862">
        <v>68000000</v>
      </c>
    </row>
    <row r="1863" spans="1:4">
      <c r="A1863" s="3" t="s">
        <v>255</v>
      </c>
      <c r="B1863" s="3" t="s">
        <v>256</v>
      </c>
      <c r="C1863">
        <v>2018</v>
      </c>
      <c r="D1863">
        <v>5000000</v>
      </c>
    </row>
    <row r="1864" spans="1:4">
      <c r="A1864" s="3" t="s">
        <v>255</v>
      </c>
      <c r="B1864" s="3" t="s">
        <v>256</v>
      </c>
      <c r="C1864">
        <v>2019</v>
      </c>
      <c r="D1864">
        <v>1000000</v>
      </c>
    </row>
    <row r="1865" spans="1:4">
      <c r="A1865" s="3" t="s">
        <v>255</v>
      </c>
      <c r="B1865" s="3" t="s">
        <v>256</v>
      </c>
      <c r="C1865">
        <v>2021</v>
      </c>
      <c r="D1865">
        <v>35000000</v>
      </c>
    </row>
    <row r="1866" spans="1:4">
      <c r="A1866" s="3" t="s">
        <v>255</v>
      </c>
      <c r="B1866" s="3" t="s">
        <v>256</v>
      </c>
      <c r="C1866">
        <v>2022</v>
      </c>
      <c r="D1866">
        <v>38000000</v>
      </c>
    </row>
    <row r="1867" spans="1:4">
      <c r="A1867" s="3" t="s">
        <v>255</v>
      </c>
      <c r="B1867" s="3" t="s">
        <v>256</v>
      </c>
      <c r="C1867">
        <v>2023</v>
      </c>
      <c r="D1867">
        <v>56000000</v>
      </c>
    </row>
    <row r="1868" spans="1:4">
      <c r="A1868" s="3" t="s">
        <v>257</v>
      </c>
      <c r="B1868" s="3" t="s">
        <v>258</v>
      </c>
      <c r="C1868">
        <v>2021</v>
      </c>
      <c r="D1868">
        <v>7000000</v>
      </c>
    </row>
    <row r="1869" spans="1:4">
      <c r="A1869" s="3" t="s">
        <v>261</v>
      </c>
      <c r="B1869" s="3" t="s">
        <v>262</v>
      </c>
      <c r="C1869">
        <v>2000</v>
      </c>
      <c r="D1869">
        <v>1393000000</v>
      </c>
    </row>
    <row r="1870" spans="1:4">
      <c r="A1870" s="3" t="s">
        <v>261</v>
      </c>
      <c r="B1870" s="3" t="s">
        <v>262</v>
      </c>
      <c r="C1870">
        <v>2001</v>
      </c>
      <c r="D1870">
        <v>768000000</v>
      </c>
    </row>
    <row r="1871" spans="1:4">
      <c r="A1871" s="3" t="s">
        <v>261</v>
      </c>
      <c r="B1871" s="3" t="s">
        <v>262</v>
      </c>
      <c r="C1871">
        <v>2002</v>
      </c>
      <c r="D1871">
        <v>519000000</v>
      </c>
    </row>
    <row r="1872" spans="1:4">
      <c r="A1872" s="3" t="s">
        <v>261</v>
      </c>
      <c r="B1872" s="3" t="s">
        <v>262</v>
      </c>
      <c r="C1872">
        <v>2003</v>
      </c>
      <c r="D1872">
        <v>767000000</v>
      </c>
    </row>
    <row r="1873" spans="1:4">
      <c r="A1873" s="3" t="s">
        <v>261</v>
      </c>
      <c r="B1873" s="3" t="s">
        <v>262</v>
      </c>
      <c r="C1873">
        <v>2004</v>
      </c>
      <c r="D1873">
        <v>1061000000</v>
      </c>
    </row>
    <row r="1874" spans="1:4">
      <c r="A1874" s="3" t="s">
        <v>261</v>
      </c>
      <c r="B1874" s="3" t="s">
        <v>262</v>
      </c>
      <c r="C1874">
        <v>2005</v>
      </c>
      <c r="D1874">
        <v>801000000</v>
      </c>
    </row>
    <row r="1875" spans="1:4">
      <c r="A1875" s="3" t="s">
        <v>261</v>
      </c>
      <c r="B1875" s="3" t="s">
        <v>262</v>
      </c>
      <c r="C1875">
        <v>2006</v>
      </c>
      <c r="D1875">
        <v>1658000000</v>
      </c>
    </row>
    <row r="1876" spans="1:4">
      <c r="A1876" s="3" t="s">
        <v>261</v>
      </c>
      <c r="B1876" s="3" t="s">
        <v>262</v>
      </c>
      <c r="C1876">
        <v>2007</v>
      </c>
      <c r="D1876">
        <v>1730000000</v>
      </c>
    </row>
    <row r="1877" spans="1:4">
      <c r="A1877" s="3" t="s">
        <v>261</v>
      </c>
      <c r="B1877" s="3" t="s">
        <v>262</v>
      </c>
      <c r="C1877">
        <v>2008</v>
      </c>
      <c r="D1877">
        <v>1691000000</v>
      </c>
    </row>
    <row r="1878" spans="1:4">
      <c r="A1878" s="3" t="s">
        <v>261</v>
      </c>
      <c r="B1878" s="3" t="s">
        <v>262</v>
      </c>
      <c r="C1878">
        <v>2009</v>
      </c>
      <c r="D1878">
        <v>798000000</v>
      </c>
    </row>
    <row r="1879" spans="1:4">
      <c r="A1879" s="3" t="s">
        <v>261</v>
      </c>
      <c r="B1879" s="3" t="s">
        <v>262</v>
      </c>
      <c r="C1879">
        <v>2010</v>
      </c>
      <c r="D1879">
        <v>1299000000</v>
      </c>
    </row>
    <row r="1880" spans="1:4">
      <c r="A1880" s="3" t="s">
        <v>261</v>
      </c>
      <c r="B1880" s="3" t="s">
        <v>262</v>
      </c>
      <c r="C1880">
        <v>2011</v>
      </c>
      <c r="D1880">
        <v>1568000000</v>
      </c>
    </row>
    <row r="1881" spans="1:4">
      <c r="A1881" s="3" t="s">
        <v>261</v>
      </c>
      <c r="B1881" s="3" t="s">
        <v>262</v>
      </c>
      <c r="C1881">
        <v>2012</v>
      </c>
      <c r="D1881">
        <v>1077000000</v>
      </c>
    </row>
    <row r="1882" spans="1:4">
      <c r="A1882" s="3" t="s">
        <v>261</v>
      </c>
      <c r="B1882" s="3" t="s">
        <v>262</v>
      </c>
      <c r="C1882">
        <v>2013</v>
      </c>
      <c r="D1882">
        <v>189000000</v>
      </c>
    </row>
    <row r="1883" spans="1:4">
      <c r="A1883" s="3" t="s">
        <v>261</v>
      </c>
      <c r="B1883" s="3" t="s">
        <v>262</v>
      </c>
      <c r="C1883">
        <v>2014</v>
      </c>
      <c r="D1883">
        <v>742000000</v>
      </c>
    </row>
    <row r="1884" spans="1:4">
      <c r="A1884" s="3" t="s">
        <v>261</v>
      </c>
      <c r="B1884" s="3" t="s">
        <v>262</v>
      </c>
      <c r="C1884">
        <v>2015</v>
      </c>
      <c r="D1884">
        <v>268000000</v>
      </c>
    </row>
    <row r="1885" spans="1:4">
      <c r="A1885" s="3" t="s">
        <v>261</v>
      </c>
      <c r="B1885" s="3" t="s">
        <v>262</v>
      </c>
      <c r="C1885">
        <v>2016</v>
      </c>
      <c r="D1885">
        <v>1038000000</v>
      </c>
    </row>
    <row r="1886" spans="1:4">
      <c r="A1886" s="3" t="s">
        <v>261</v>
      </c>
      <c r="B1886" s="3" t="s">
        <v>262</v>
      </c>
      <c r="C1886">
        <v>2017</v>
      </c>
      <c r="D1886">
        <v>962000000</v>
      </c>
    </row>
    <row r="1887" spans="1:4">
      <c r="A1887" s="3" t="s">
        <v>261</v>
      </c>
      <c r="B1887" s="3" t="s">
        <v>262</v>
      </c>
      <c r="C1887">
        <v>2018</v>
      </c>
      <c r="D1887">
        <v>1030000000</v>
      </c>
    </row>
    <row r="1888" spans="1:4">
      <c r="A1888" s="3" t="s">
        <v>261</v>
      </c>
      <c r="B1888" s="3" t="s">
        <v>262</v>
      </c>
      <c r="C1888">
        <v>2019</v>
      </c>
      <c r="D1888">
        <v>1605000000</v>
      </c>
    </row>
    <row r="1889" spans="1:4">
      <c r="A1889" s="3" t="s">
        <v>261</v>
      </c>
      <c r="B1889" s="3" t="s">
        <v>262</v>
      </c>
      <c r="C1889">
        <v>2020</v>
      </c>
      <c r="D1889">
        <v>1273000000</v>
      </c>
    </row>
    <row r="1890" spans="1:4">
      <c r="A1890" s="3" t="s">
        <v>261</v>
      </c>
      <c r="B1890" s="3" t="s">
        <v>262</v>
      </c>
      <c r="C1890">
        <v>2021</v>
      </c>
      <c r="D1890">
        <v>812000000</v>
      </c>
    </row>
    <row r="1891" spans="1:4">
      <c r="A1891" s="3" t="s">
        <v>261</v>
      </c>
      <c r="B1891" s="3" t="s">
        <v>262</v>
      </c>
      <c r="C1891">
        <v>2022</v>
      </c>
      <c r="D1891">
        <v>423000000</v>
      </c>
    </row>
    <row r="1892" spans="1:4">
      <c r="A1892" s="3" t="s">
        <v>261</v>
      </c>
      <c r="B1892" s="3" t="s">
        <v>262</v>
      </c>
      <c r="C1892">
        <v>2023</v>
      </c>
      <c r="D1892">
        <v>218000000</v>
      </c>
    </row>
    <row r="1893" spans="1:4">
      <c r="A1893" s="3" t="s">
        <v>261</v>
      </c>
      <c r="B1893" s="3" t="s">
        <v>262</v>
      </c>
      <c r="C1893">
        <v>2024</v>
      </c>
      <c r="D1893">
        <v>1031000000</v>
      </c>
    </row>
    <row r="1894" spans="1:4">
      <c r="A1894" s="3" t="s">
        <v>263</v>
      </c>
      <c r="B1894" s="3" t="s">
        <v>264</v>
      </c>
      <c r="C1894">
        <v>2000</v>
      </c>
      <c r="D1894">
        <v>226000000</v>
      </c>
    </row>
    <row r="1895" spans="1:4">
      <c r="A1895" s="3" t="s">
        <v>263</v>
      </c>
      <c r="B1895" s="3" t="s">
        <v>264</v>
      </c>
      <c r="C1895">
        <v>2001</v>
      </c>
      <c r="D1895">
        <v>67000000</v>
      </c>
    </row>
    <row r="1896" spans="1:4">
      <c r="A1896" s="3" t="s">
        <v>263</v>
      </c>
      <c r="B1896" s="3" t="s">
        <v>264</v>
      </c>
      <c r="C1896">
        <v>2002</v>
      </c>
      <c r="D1896">
        <v>22000000</v>
      </c>
    </row>
    <row r="1897" spans="1:4">
      <c r="A1897" s="3" t="s">
        <v>263</v>
      </c>
      <c r="B1897" s="3" t="s">
        <v>264</v>
      </c>
      <c r="C1897">
        <v>2003</v>
      </c>
      <c r="D1897">
        <v>42000000</v>
      </c>
    </row>
    <row r="1898" spans="1:4">
      <c r="A1898" s="3" t="s">
        <v>263</v>
      </c>
      <c r="B1898" s="3" t="s">
        <v>264</v>
      </c>
      <c r="C1898">
        <v>2004</v>
      </c>
      <c r="D1898">
        <v>2000000</v>
      </c>
    </row>
    <row r="1899" spans="1:4">
      <c r="A1899" s="3" t="s">
        <v>263</v>
      </c>
      <c r="B1899" s="3" t="s">
        <v>264</v>
      </c>
      <c r="C1899">
        <v>2005</v>
      </c>
      <c r="D1899">
        <v>12000000</v>
      </c>
    </row>
    <row r="1900" spans="1:4">
      <c r="A1900" s="3" t="s">
        <v>263</v>
      </c>
      <c r="B1900" s="3" t="s">
        <v>264</v>
      </c>
      <c r="C1900">
        <v>2006</v>
      </c>
      <c r="D1900">
        <v>5000000</v>
      </c>
    </row>
    <row r="1901" spans="1:4">
      <c r="A1901" s="3" t="s">
        <v>263</v>
      </c>
      <c r="B1901" s="3" t="s">
        <v>264</v>
      </c>
      <c r="C1901">
        <v>2007</v>
      </c>
      <c r="D1901">
        <v>288000000</v>
      </c>
    </row>
    <row r="1902" spans="1:4">
      <c r="A1902" s="3" t="s">
        <v>263</v>
      </c>
      <c r="B1902" s="3" t="s">
        <v>264</v>
      </c>
      <c r="C1902">
        <v>2008</v>
      </c>
      <c r="D1902">
        <v>5000000</v>
      </c>
    </row>
    <row r="1903" spans="1:4">
      <c r="A1903" s="3" t="s">
        <v>263</v>
      </c>
      <c r="B1903" s="3" t="s">
        <v>264</v>
      </c>
      <c r="C1903">
        <v>2009</v>
      </c>
      <c r="D1903">
        <v>8000000</v>
      </c>
    </row>
    <row r="1904" spans="1:4">
      <c r="A1904" s="3" t="s">
        <v>263</v>
      </c>
      <c r="B1904" s="3" t="s">
        <v>264</v>
      </c>
      <c r="C1904">
        <v>2010</v>
      </c>
      <c r="D1904">
        <v>87000000</v>
      </c>
    </row>
    <row r="1905" spans="1:4">
      <c r="A1905" s="3" t="s">
        <v>263</v>
      </c>
      <c r="B1905" s="3" t="s">
        <v>264</v>
      </c>
      <c r="C1905">
        <v>2011</v>
      </c>
      <c r="D1905">
        <v>116000000</v>
      </c>
    </row>
    <row r="1906" spans="1:4">
      <c r="A1906" s="3" t="s">
        <v>263</v>
      </c>
      <c r="B1906" s="3" t="s">
        <v>264</v>
      </c>
      <c r="C1906">
        <v>2012</v>
      </c>
      <c r="D1906">
        <v>31000000</v>
      </c>
    </row>
    <row r="1907" spans="1:4">
      <c r="A1907" s="3" t="s">
        <v>263</v>
      </c>
      <c r="B1907" s="3" t="s">
        <v>264</v>
      </c>
      <c r="C1907">
        <v>2013</v>
      </c>
      <c r="D1907">
        <v>73000000</v>
      </c>
    </row>
    <row r="1908" spans="1:4">
      <c r="A1908" s="3" t="s">
        <v>263</v>
      </c>
      <c r="B1908" s="3" t="s">
        <v>264</v>
      </c>
      <c r="C1908">
        <v>2014</v>
      </c>
      <c r="D1908">
        <v>701000000</v>
      </c>
    </row>
    <row r="1909" spans="1:4">
      <c r="A1909" s="3" t="s">
        <v>263</v>
      </c>
      <c r="B1909" s="3" t="s">
        <v>264</v>
      </c>
      <c r="C1909">
        <v>2015</v>
      </c>
      <c r="D1909">
        <v>317000000</v>
      </c>
    </row>
    <row r="1910" spans="1:4">
      <c r="A1910" s="3" t="s">
        <v>263</v>
      </c>
      <c r="B1910" s="3" t="s">
        <v>264</v>
      </c>
      <c r="C1910">
        <v>2016</v>
      </c>
      <c r="D1910">
        <v>147000000</v>
      </c>
    </row>
    <row r="1911" spans="1:4">
      <c r="A1911" s="3" t="s">
        <v>263</v>
      </c>
      <c r="B1911" s="3" t="s">
        <v>264</v>
      </c>
      <c r="C1911">
        <v>2017</v>
      </c>
      <c r="D1911">
        <v>113000000</v>
      </c>
    </row>
    <row r="1912" spans="1:4">
      <c r="A1912" s="3" t="s">
        <v>263</v>
      </c>
      <c r="B1912" s="3" t="s">
        <v>264</v>
      </c>
      <c r="C1912">
        <v>2018</v>
      </c>
      <c r="D1912">
        <v>96000000</v>
      </c>
    </row>
    <row r="1913" spans="1:4">
      <c r="A1913" s="3" t="s">
        <v>263</v>
      </c>
      <c r="B1913" s="3" t="s">
        <v>264</v>
      </c>
      <c r="C1913">
        <v>2019</v>
      </c>
      <c r="D1913">
        <v>55000000</v>
      </c>
    </row>
    <row r="1914" spans="1:4">
      <c r="A1914" s="3" t="s">
        <v>263</v>
      </c>
      <c r="B1914" s="3" t="s">
        <v>264</v>
      </c>
      <c r="C1914">
        <v>2020</v>
      </c>
      <c r="D1914">
        <v>67000000</v>
      </c>
    </row>
    <row r="1915" spans="1:4">
      <c r="A1915" s="3" t="s">
        <v>263</v>
      </c>
      <c r="B1915" s="3" t="s">
        <v>264</v>
      </c>
      <c r="C1915">
        <v>2021</v>
      </c>
      <c r="D1915">
        <v>1565000000</v>
      </c>
    </row>
    <row r="1916" spans="1:4">
      <c r="A1916" s="3" t="s">
        <v>263</v>
      </c>
      <c r="B1916" s="3" t="s">
        <v>264</v>
      </c>
      <c r="C1916">
        <v>2022</v>
      </c>
      <c r="D1916">
        <v>1569000000</v>
      </c>
    </row>
    <row r="1917" spans="1:4">
      <c r="A1917" s="3" t="s">
        <v>263</v>
      </c>
      <c r="B1917" s="3" t="s">
        <v>264</v>
      </c>
      <c r="C1917">
        <v>2023</v>
      </c>
      <c r="D1917">
        <v>497000000</v>
      </c>
    </row>
    <row r="1918" spans="1:4">
      <c r="A1918" s="3" t="s">
        <v>263</v>
      </c>
      <c r="B1918" s="3" t="s">
        <v>264</v>
      </c>
      <c r="C1918">
        <v>2024</v>
      </c>
      <c r="D1918">
        <v>388000000</v>
      </c>
    </row>
    <row r="1919" spans="1:4">
      <c r="A1919" s="3" t="s">
        <v>265</v>
      </c>
      <c r="B1919" s="3" t="s">
        <v>266</v>
      </c>
      <c r="C1919">
        <v>2000</v>
      </c>
      <c r="D1919">
        <v>747000000</v>
      </c>
    </row>
    <row r="1920" spans="1:4">
      <c r="A1920" s="3" t="s">
        <v>265</v>
      </c>
      <c r="B1920" s="3" t="s">
        <v>266</v>
      </c>
      <c r="C1920">
        <v>2001</v>
      </c>
      <c r="D1920">
        <v>1164000000</v>
      </c>
    </row>
    <row r="1921" spans="1:4">
      <c r="A1921" s="3" t="s">
        <v>265</v>
      </c>
      <c r="B1921" s="3" t="s">
        <v>266</v>
      </c>
      <c r="C1921">
        <v>2002</v>
      </c>
      <c r="D1921">
        <v>586000000</v>
      </c>
    </row>
    <row r="1922" spans="1:4">
      <c r="A1922" s="3" t="s">
        <v>265</v>
      </c>
      <c r="B1922" s="3" t="s">
        <v>266</v>
      </c>
      <c r="C1922">
        <v>2003</v>
      </c>
      <c r="D1922">
        <v>347000000</v>
      </c>
    </row>
    <row r="1923" spans="1:4">
      <c r="A1923" s="3" t="s">
        <v>265</v>
      </c>
      <c r="B1923" s="3" t="s">
        <v>266</v>
      </c>
      <c r="C1923">
        <v>2004</v>
      </c>
      <c r="D1923">
        <v>690000000</v>
      </c>
    </row>
    <row r="1924" spans="1:4">
      <c r="A1924" s="3" t="s">
        <v>265</v>
      </c>
      <c r="B1924" s="3" t="s">
        <v>266</v>
      </c>
      <c r="C1924">
        <v>2005</v>
      </c>
      <c r="D1924">
        <v>726000000</v>
      </c>
    </row>
    <row r="1925" spans="1:4">
      <c r="A1925" s="3" t="s">
        <v>265</v>
      </c>
      <c r="B1925" s="3" t="s">
        <v>266</v>
      </c>
      <c r="C1925">
        <v>2006</v>
      </c>
      <c r="D1925">
        <v>958000000</v>
      </c>
    </row>
    <row r="1926" spans="1:4">
      <c r="A1926" s="3" t="s">
        <v>265</v>
      </c>
      <c r="B1926" s="3" t="s">
        <v>266</v>
      </c>
      <c r="C1926">
        <v>2008</v>
      </c>
      <c r="D1926">
        <v>1183000000</v>
      </c>
    </row>
    <row r="1927" spans="1:4">
      <c r="A1927" s="3" t="s">
        <v>265</v>
      </c>
      <c r="B1927" s="3" t="s">
        <v>266</v>
      </c>
      <c r="C1927">
        <v>2009</v>
      </c>
      <c r="D1927">
        <v>991000000</v>
      </c>
    </row>
    <row r="1928" spans="1:4">
      <c r="A1928" s="3" t="s">
        <v>265</v>
      </c>
      <c r="B1928" s="3" t="s">
        <v>266</v>
      </c>
      <c r="C1928">
        <v>2010</v>
      </c>
      <c r="D1928">
        <v>1040000000</v>
      </c>
    </row>
    <row r="1929" spans="1:4">
      <c r="A1929" s="3" t="s">
        <v>265</v>
      </c>
      <c r="B1929" s="3" t="s">
        <v>266</v>
      </c>
      <c r="C1929">
        <v>2011</v>
      </c>
      <c r="D1929">
        <v>1405000000</v>
      </c>
    </row>
    <row r="1930" spans="1:4">
      <c r="A1930" s="3" t="s">
        <v>265</v>
      </c>
      <c r="B1930" s="3" t="s">
        <v>266</v>
      </c>
      <c r="C1930">
        <v>2012</v>
      </c>
      <c r="D1930">
        <v>1593000000</v>
      </c>
    </row>
    <row r="1931" spans="1:4">
      <c r="A1931" s="3" t="s">
        <v>265</v>
      </c>
      <c r="B1931" s="3" t="s">
        <v>266</v>
      </c>
      <c r="C1931">
        <v>2013</v>
      </c>
      <c r="D1931">
        <v>1518000000</v>
      </c>
    </row>
    <row r="1932" spans="1:4">
      <c r="A1932" s="3" t="s">
        <v>265</v>
      </c>
      <c r="B1932" s="3" t="s">
        <v>266</v>
      </c>
      <c r="C1932">
        <v>2014</v>
      </c>
      <c r="D1932">
        <v>954000000</v>
      </c>
    </row>
    <row r="1933" spans="1:4">
      <c r="A1933" s="3" t="s">
        <v>265</v>
      </c>
      <c r="B1933" s="3" t="s">
        <v>266</v>
      </c>
      <c r="C1933">
        <v>2015</v>
      </c>
      <c r="D1933">
        <v>1174000000</v>
      </c>
    </row>
    <row r="1934" spans="1:4">
      <c r="A1934" s="3" t="s">
        <v>265</v>
      </c>
      <c r="B1934" s="3" t="s">
        <v>266</v>
      </c>
      <c r="C1934">
        <v>2016</v>
      </c>
      <c r="D1934">
        <v>900000000</v>
      </c>
    </row>
    <row r="1935" spans="1:4">
      <c r="A1935" s="3" t="s">
        <v>265</v>
      </c>
      <c r="B1935" s="3" t="s">
        <v>266</v>
      </c>
      <c r="C1935">
        <v>2017</v>
      </c>
      <c r="D1935">
        <v>522000000</v>
      </c>
    </row>
    <row r="1936" spans="1:4">
      <c r="A1936" s="3" t="s">
        <v>265</v>
      </c>
      <c r="B1936" s="3" t="s">
        <v>266</v>
      </c>
      <c r="C1936">
        <v>2018</v>
      </c>
      <c r="D1936">
        <v>458000000</v>
      </c>
    </row>
    <row r="1937" spans="1:4">
      <c r="A1937" s="3" t="s">
        <v>265</v>
      </c>
      <c r="B1937" s="3" t="s">
        <v>266</v>
      </c>
      <c r="C1937">
        <v>2020</v>
      </c>
      <c r="D1937">
        <v>670000000</v>
      </c>
    </row>
    <row r="1938" spans="1:4">
      <c r="A1938" s="3" t="s">
        <v>265</v>
      </c>
      <c r="B1938" s="3" t="s">
        <v>266</v>
      </c>
      <c r="C1938">
        <v>2021</v>
      </c>
      <c r="D1938">
        <v>485000000</v>
      </c>
    </row>
    <row r="1939" spans="1:4">
      <c r="A1939" s="3" t="s">
        <v>265</v>
      </c>
      <c r="B1939" s="3" t="s">
        <v>266</v>
      </c>
      <c r="C1939">
        <v>2023</v>
      </c>
      <c r="D1939">
        <v>379000000</v>
      </c>
    </row>
    <row r="1940" spans="1:4">
      <c r="A1940" s="3" t="s">
        <v>265</v>
      </c>
      <c r="B1940" s="3" t="s">
        <v>266</v>
      </c>
      <c r="C1940">
        <v>2024</v>
      </c>
      <c r="D1940">
        <v>612000000</v>
      </c>
    </row>
    <row r="1941" spans="1:4">
      <c r="A1941" s="3" t="s">
        <v>267</v>
      </c>
      <c r="B1941" s="3" t="s">
        <v>268</v>
      </c>
      <c r="C1941">
        <v>2000</v>
      </c>
      <c r="D1941">
        <v>7000000</v>
      </c>
    </row>
    <row r="1942" spans="1:4">
      <c r="A1942" s="3" t="s">
        <v>267</v>
      </c>
      <c r="B1942" s="3" t="s">
        <v>268</v>
      </c>
      <c r="C1942">
        <v>2003</v>
      </c>
      <c r="D1942">
        <v>0</v>
      </c>
    </row>
    <row r="1943" spans="1:4">
      <c r="A1943" s="3" t="s">
        <v>267</v>
      </c>
      <c r="B1943" s="3" t="s">
        <v>268</v>
      </c>
      <c r="C1943">
        <v>2005</v>
      </c>
      <c r="D1943">
        <v>4000000</v>
      </c>
    </row>
    <row r="1944" spans="1:4">
      <c r="A1944" s="3" t="s">
        <v>267</v>
      </c>
      <c r="B1944" s="3" t="s">
        <v>268</v>
      </c>
      <c r="C1944">
        <v>2008</v>
      </c>
      <c r="D1944">
        <v>7000000</v>
      </c>
    </row>
    <row r="1945" spans="1:4">
      <c r="A1945" s="3" t="s">
        <v>267</v>
      </c>
      <c r="B1945" s="3" t="s">
        <v>268</v>
      </c>
      <c r="C1945">
        <v>2009</v>
      </c>
      <c r="D1945">
        <v>26000000</v>
      </c>
    </row>
    <row r="1946" spans="1:4">
      <c r="A1946" s="3" t="s">
        <v>267</v>
      </c>
      <c r="B1946" s="3" t="s">
        <v>268</v>
      </c>
      <c r="C1946">
        <v>2011</v>
      </c>
      <c r="D1946">
        <v>15000000</v>
      </c>
    </row>
    <row r="1947" spans="1:4">
      <c r="A1947" s="3" t="s">
        <v>267</v>
      </c>
      <c r="B1947" s="3" t="s">
        <v>268</v>
      </c>
      <c r="C1947">
        <v>2012</v>
      </c>
      <c r="D1947">
        <v>19000000</v>
      </c>
    </row>
    <row r="1948" spans="1:4">
      <c r="A1948" s="3" t="s">
        <v>267</v>
      </c>
      <c r="B1948" s="3" t="s">
        <v>268</v>
      </c>
      <c r="C1948">
        <v>2013</v>
      </c>
      <c r="D1948">
        <v>19000000</v>
      </c>
    </row>
    <row r="1949" spans="1:4">
      <c r="A1949" s="3" t="s">
        <v>267</v>
      </c>
      <c r="B1949" s="3" t="s">
        <v>268</v>
      </c>
      <c r="C1949">
        <v>2015</v>
      </c>
      <c r="D1949">
        <v>7000000</v>
      </c>
    </row>
    <row r="1950" spans="1:4">
      <c r="A1950" s="3" t="s">
        <v>267</v>
      </c>
      <c r="B1950" s="3" t="s">
        <v>268</v>
      </c>
      <c r="C1950">
        <v>2017</v>
      </c>
      <c r="D1950">
        <v>2000000</v>
      </c>
    </row>
    <row r="1951" spans="1:4">
      <c r="A1951" s="3" t="s">
        <v>267</v>
      </c>
      <c r="B1951" s="3" t="s">
        <v>268</v>
      </c>
      <c r="C1951">
        <v>2018</v>
      </c>
      <c r="D1951">
        <v>136000000</v>
      </c>
    </row>
    <row r="1952" spans="1:4">
      <c r="A1952" s="3" t="s">
        <v>267</v>
      </c>
      <c r="B1952" s="3" t="s">
        <v>268</v>
      </c>
      <c r="C1952">
        <v>2019</v>
      </c>
      <c r="D1952">
        <v>27000000</v>
      </c>
    </row>
    <row r="1953" spans="1:4">
      <c r="A1953" s="3" t="s">
        <v>267</v>
      </c>
      <c r="B1953" s="3" t="s">
        <v>268</v>
      </c>
      <c r="C1953">
        <v>2020</v>
      </c>
      <c r="D1953">
        <v>17000000</v>
      </c>
    </row>
    <row r="1954" spans="1:4">
      <c r="A1954" s="3" t="s">
        <v>267</v>
      </c>
      <c r="B1954" s="3" t="s">
        <v>268</v>
      </c>
      <c r="C1954">
        <v>2021</v>
      </c>
      <c r="D1954">
        <v>3000000</v>
      </c>
    </row>
    <row r="1955" spans="1:4">
      <c r="A1955" s="3" t="s">
        <v>267</v>
      </c>
      <c r="B1955" s="3" t="s">
        <v>268</v>
      </c>
      <c r="C1955">
        <v>2023</v>
      </c>
      <c r="D1955">
        <v>3000000</v>
      </c>
    </row>
    <row r="1956" spans="1:4">
      <c r="A1956" s="3" t="s">
        <v>267</v>
      </c>
      <c r="B1956" s="3" t="s">
        <v>268</v>
      </c>
      <c r="C1956">
        <v>2024</v>
      </c>
      <c r="D1956">
        <v>7000000</v>
      </c>
    </row>
    <row r="1957" spans="1:4">
      <c r="A1957" s="3" t="s">
        <v>269</v>
      </c>
      <c r="B1957" s="3" t="s">
        <v>270</v>
      </c>
      <c r="C1957">
        <v>2000</v>
      </c>
      <c r="D1957">
        <v>4000000</v>
      </c>
    </row>
    <row r="1958" spans="1:4">
      <c r="A1958" s="3" t="s">
        <v>269</v>
      </c>
      <c r="B1958" s="3" t="s">
        <v>270</v>
      </c>
      <c r="C1958">
        <v>2005</v>
      </c>
      <c r="D1958">
        <v>1000000</v>
      </c>
    </row>
    <row r="1959" spans="1:4">
      <c r="A1959" s="3" t="s">
        <v>269</v>
      </c>
      <c r="B1959" s="3" t="s">
        <v>270</v>
      </c>
      <c r="C1959">
        <v>2007</v>
      </c>
      <c r="D1959">
        <v>5000000</v>
      </c>
    </row>
    <row r="1960" spans="1:4">
      <c r="A1960" s="3" t="s">
        <v>269</v>
      </c>
      <c r="B1960" s="3" t="s">
        <v>270</v>
      </c>
      <c r="C1960">
        <v>2008</v>
      </c>
      <c r="D1960">
        <v>1000000</v>
      </c>
    </row>
    <row r="1961" spans="1:4">
      <c r="A1961" s="3" t="s">
        <v>269</v>
      </c>
      <c r="B1961" s="3" t="s">
        <v>270</v>
      </c>
      <c r="C1961">
        <v>2009</v>
      </c>
      <c r="D1961">
        <v>52000000</v>
      </c>
    </row>
    <row r="1962" spans="1:4">
      <c r="A1962" s="3" t="s">
        <v>269</v>
      </c>
      <c r="B1962" s="3" t="s">
        <v>270</v>
      </c>
      <c r="C1962">
        <v>2010</v>
      </c>
      <c r="D1962">
        <v>64000000</v>
      </c>
    </row>
    <row r="1963" spans="1:4">
      <c r="A1963" s="3" t="s">
        <v>269</v>
      </c>
      <c r="B1963" s="3" t="s">
        <v>270</v>
      </c>
      <c r="C1963">
        <v>2011</v>
      </c>
      <c r="D1963">
        <v>1000000</v>
      </c>
    </row>
    <row r="1964" spans="1:4">
      <c r="A1964" s="3" t="s">
        <v>269</v>
      </c>
      <c r="B1964" s="3" t="s">
        <v>270</v>
      </c>
      <c r="C1964">
        <v>2012</v>
      </c>
      <c r="D1964">
        <v>31000000</v>
      </c>
    </row>
    <row r="1965" spans="1:4">
      <c r="A1965" s="3" t="s">
        <v>269</v>
      </c>
      <c r="B1965" s="3" t="s">
        <v>270</v>
      </c>
      <c r="C1965">
        <v>2013</v>
      </c>
      <c r="D1965">
        <v>27000000</v>
      </c>
    </row>
    <row r="1966" spans="1:4">
      <c r="A1966" s="3" t="s">
        <v>269</v>
      </c>
      <c r="B1966" s="3" t="s">
        <v>270</v>
      </c>
      <c r="C1966">
        <v>2014</v>
      </c>
      <c r="D1966">
        <v>6000000</v>
      </c>
    </row>
    <row r="1967" spans="1:4">
      <c r="A1967" s="3" t="s">
        <v>269</v>
      </c>
      <c r="B1967" s="3" t="s">
        <v>270</v>
      </c>
      <c r="C1967">
        <v>2015</v>
      </c>
      <c r="D1967">
        <v>48000000</v>
      </c>
    </row>
    <row r="1968" spans="1:4">
      <c r="A1968" s="3" t="s">
        <v>269</v>
      </c>
      <c r="B1968" s="3" t="s">
        <v>270</v>
      </c>
      <c r="C1968">
        <v>2016</v>
      </c>
      <c r="D1968">
        <v>28000000</v>
      </c>
    </row>
    <row r="1969" spans="1:4">
      <c r="A1969" s="3" t="s">
        <v>269</v>
      </c>
      <c r="B1969" s="3" t="s">
        <v>270</v>
      </c>
      <c r="C1969">
        <v>2017</v>
      </c>
      <c r="D1969">
        <v>48000000</v>
      </c>
    </row>
    <row r="1970" spans="1:4">
      <c r="A1970" s="3" t="s">
        <v>269</v>
      </c>
      <c r="B1970" s="3" t="s">
        <v>270</v>
      </c>
      <c r="C1970">
        <v>2018</v>
      </c>
      <c r="D1970">
        <v>53000000</v>
      </c>
    </row>
    <row r="1971" spans="1:4">
      <c r="A1971" s="3" t="s">
        <v>269</v>
      </c>
      <c r="B1971" s="3" t="s">
        <v>270</v>
      </c>
      <c r="C1971">
        <v>2019</v>
      </c>
      <c r="D1971">
        <v>56000000</v>
      </c>
    </row>
    <row r="1972" spans="1:4">
      <c r="A1972" s="3" t="s">
        <v>269</v>
      </c>
      <c r="B1972" s="3" t="s">
        <v>270</v>
      </c>
      <c r="C1972">
        <v>2020</v>
      </c>
      <c r="D1972">
        <v>45000000</v>
      </c>
    </row>
    <row r="1973" spans="1:4">
      <c r="A1973" s="3" t="s">
        <v>269</v>
      </c>
      <c r="B1973" s="3" t="s">
        <v>270</v>
      </c>
      <c r="C1973">
        <v>2021</v>
      </c>
      <c r="D1973">
        <v>43000000</v>
      </c>
    </row>
    <row r="1974" spans="1:4">
      <c r="A1974" s="3" t="s">
        <v>269</v>
      </c>
      <c r="B1974" s="3" t="s">
        <v>270</v>
      </c>
      <c r="C1974">
        <v>2022</v>
      </c>
      <c r="D1974">
        <v>30000000</v>
      </c>
    </row>
    <row r="1975" spans="1:4">
      <c r="A1975" s="3" t="s">
        <v>269</v>
      </c>
      <c r="B1975" s="3" t="s">
        <v>270</v>
      </c>
      <c r="C1975">
        <v>2023</v>
      </c>
      <c r="D1975">
        <v>14000000</v>
      </c>
    </row>
    <row r="1976" spans="1:4">
      <c r="A1976" s="3" t="s">
        <v>269</v>
      </c>
      <c r="B1976" s="3" t="s">
        <v>270</v>
      </c>
      <c r="C1976">
        <v>2024</v>
      </c>
      <c r="D1976">
        <v>9000000</v>
      </c>
    </row>
    <row r="1977" spans="1:4">
      <c r="A1977" s="3" t="s">
        <v>271</v>
      </c>
      <c r="B1977" s="3" t="s">
        <v>272</v>
      </c>
      <c r="C1977">
        <v>2000</v>
      </c>
      <c r="D1977">
        <v>9000000</v>
      </c>
    </row>
    <row r="1978" spans="1:4">
      <c r="A1978" s="3" t="s">
        <v>271</v>
      </c>
      <c r="B1978" s="3" t="s">
        <v>272</v>
      </c>
      <c r="C1978">
        <v>2019</v>
      </c>
      <c r="D1978">
        <v>1000000</v>
      </c>
    </row>
    <row r="1979" spans="1:4">
      <c r="A1979" s="3" t="s">
        <v>271</v>
      </c>
      <c r="B1979" s="3" t="s">
        <v>272</v>
      </c>
      <c r="C1979">
        <v>2023</v>
      </c>
      <c r="D1979">
        <v>14000000</v>
      </c>
    </row>
    <row r="1980" spans="1:4">
      <c r="A1980" s="3" t="s">
        <v>273</v>
      </c>
      <c r="B1980" s="3" t="s">
        <v>274</v>
      </c>
      <c r="C1980">
        <v>2005</v>
      </c>
      <c r="D1980">
        <v>1000000</v>
      </c>
    </row>
    <row r="1981" spans="1:4">
      <c r="A1981" s="3" t="s">
        <v>273</v>
      </c>
      <c r="B1981" s="3" t="s">
        <v>274</v>
      </c>
      <c r="C1981">
        <v>2006</v>
      </c>
      <c r="D1981">
        <v>16000000</v>
      </c>
    </row>
    <row r="1982" spans="1:4">
      <c r="A1982" s="3" t="s">
        <v>273</v>
      </c>
      <c r="B1982" s="3" t="s">
        <v>274</v>
      </c>
      <c r="C1982">
        <v>2007</v>
      </c>
      <c r="D1982">
        <v>16000000</v>
      </c>
    </row>
    <row r="1983" spans="1:4">
      <c r="A1983" s="3" t="s">
        <v>273</v>
      </c>
      <c r="B1983" s="3" t="s">
        <v>274</v>
      </c>
      <c r="C1983">
        <v>2008</v>
      </c>
      <c r="D1983">
        <v>16000000</v>
      </c>
    </row>
    <row r="1984" spans="1:4">
      <c r="A1984" s="3" t="s">
        <v>273</v>
      </c>
      <c r="B1984" s="3" t="s">
        <v>274</v>
      </c>
      <c r="C1984">
        <v>2009</v>
      </c>
      <c r="D1984">
        <v>22000000</v>
      </c>
    </row>
    <row r="1985" spans="1:4">
      <c r="A1985" s="3" t="s">
        <v>273</v>
      </c>
      <c r="B1985" s="3" t="s">
        <v>274</v>
      </c>
      <c r="C1985">
        <v>2010</v>
      </c>
      <c r="D1985">
        <v>37000000</v>
      </c>
    </row>
    <row r="1986" spans="1:4">
      <c r="A1986" s="3" t="s">
        <v>273</v>
      </c>
      <c r="B1986" s="3" t="s">
        <v>274</v>
      </c>
      <c r="C1986">
        <v>2011</v>
      </c>
      <c r="D1986">
        <v>8000000</v>
      </c>
    </row>
    <row r="1987" spans="1:4">
      <c r="A1987" s="3" t="s">
        <v>273</v>
      </c>
      <c r="B1987" s="3" t="s">
        <v>274</v>
      </c>
      <c r="C1987">
        <v>2012</v>
      </c>
      <c r="D1987">
        <v>75000000</v>
      </c>
    </row>
    <row r="1988" spans="1:4">
      <c r="A1988" s="3" t="s">
        <v>273</v>
      </c>
      <c r="B1988" s="3" t="s">
        <v>274</v>
      </c>
      <c r="C1988">
        <v>2013</v>
      </c>
      <c r="D1988">
        <v>119000000</v>
      </c>
    </row>
    <row r="1989" spans="1:4">
      <c r="A1989" s="3" t="s">
        <v>273</v>
      </c>
      <c r="B1989" s="3" t="s">
        <v>274</v>
      </c>
      <c r="C1989">
        <v>2016</v>
      </c>
      <c r="D1989">
        <v>2000000</v>
      </c>
    </row>
    <row r="1990" spans="1:4">
      <c r="A1990" s="3" t="s">
        <v>273</v>
      </c>
      <c r="B1990" s="3" t="s">
        <v>274</v>
      </c>
      <c r="C1990">
        <v>2019</v>
      </c>
      <c r="D1990">
        <v>34000000</v>
      </c>
    </row>
    <row r="1991" spans="1:4">
      <c r="A1991" s="3" t="s">
        <v>273</v>
      </c>
      <c r="B1991" s="3" t="s">
        <v>274</v>
      </c>
      <c r="C1991">
        <v>2020</v>
      </c>
      <c r="D1991">
        <v>0</v>
      </c>
    </row>
    <row r="1992" spans="1:4">
      <c r="A1992" s="3" t="s">
        <v>273</v>
      </c>
      <c r="B1992" s="3" t="s">
        <v>274</v>
      </c>
      <c r="C1992">
        <v>2023</v>
      </c>
      <c r="D1992">
        <v>34000000</v>
      </c>
    </row>
    <row r="1993" spans="1:4">
      <c r="A1993" s="3" t="s">
        <v>273</v>
      </c>
      <c r="B1993" s="3" t="s">
        <v>274</v>
      </c>
      <c r="C1993">
        <v>2024</v>
      </c>
      <c r="D1993">
        <v>5000000</v>
      </c>
    </row>
    <row r="1994" spans="1:4">
      <c r="A1994" s="3" t="s">
        <v>277</v>
      </c>
      <c r="B1994" s="3" t="s">
        <v>278</v>
      </c>
      <c r="C1994">
        <v>2000</v>
      </c>
      <c r="D1994">
        <v>1025000000</v>
      </c>
    </row>
    <row r="1995" spans="1:4">
      <c r="A1995" s="3" t="s">
        <v>277</v>
      </c>
      <c r="B1995" s="3" t="s">
        <v>278</v>
      </c>
      <c r="C1995">
        <v>2001</v>
      </c>
      <c r="D1995">
        <v>1231000000</v>
      </c>
    </row>
    <row r="1996" spans="1:4">
      <c r="A1996" s="3" t="s">
        <v>277</v>
      </c>
      <c r="B1996" s="3" t="s">
        <v>278</v>
      </c>
      <c r="C1996">
        <v>2002</v>
      </c>
      <c r="D1996">
        <v>679000000</v>
      </c>
    </row>
    <row r="1997" spans="1:4">
      <c r="A1997" s="3" t="s">
        <v>277</v>
      </c>
      <c r="B1997" s="3" t="s">
        <v>278</v>
      </c>
      <c r="C1997">
        <v>2003</v>
      </c>
      <c r="D1997">
        <v>535000000</v>
      </c>
    </row>
    <row r="1998" spans="1:4">
      <c r="A1998" s="3" t="s">
        <v>277</v>
      </c>
      <c r="B1998" s="3" t="s">
        <v>278</v>
      </c>
      <c r="C1998">
        <v>2004</v>
      </c>
      <c r="D1998">
        <v>754000000</v>
      </c>
    </row>
    <row r="1999" spans="1:4">
      <c r="A1999" s="3" t="s">
        <v>277</v>
      </c>
      <c r="B1999" s="3" t="s">
        <v>278</v>
      </c>
      <c r="C1999">
        <v>2005</v>
      </c>
      <c r="D1999">
        <v>1195000000</v>
      </c>
    </row>
    <row r="2000" spans="1:4">
      <c r="A2000" s="3" t="s">
        <v>277</v>
      </c>
      <c r="B2000" s="3" t="s">
        <v>278</v>
      </c>
      <c r="C2000">
        <v>2006</v>
      </c>
      <c r="D2000">
        <v>2063000000</v>
      </c>
    </row>
    <row r="2001" spans="1:4">
      <c r="A2001" s="3" t="s">
        <v>277</v>
      </c>
      <c r="B2001" s="3" t="s">
        <v>278</v>
      </c>
      <c r="C2001">
        <v>2008</v>
      </c>
      <c r="D2001">
        <v>1666000000</v>
      </c>
    </row>
    <row r="2002" spans="1:4">
      <c r="A2002" s="3" t="s">
        <v>277</v>
      </c>
      <c r="B2002" s="3" t="s">
        <v>278</v>
      </c>
      <c r="C2002">
        <v>2009</v>
      </c>
      <c r="D2002">
        <v>1360000000</v>
      </c>
    </row>
    <row r="2003" spans="1:4">
      <c r="A2003" s="3" t="s">
        <v>277</v>
      </c>
      <c r="B2003" s="3" t="s">
        <v>278</v>
      </c>
      <c r="C2003">
        <v>2010</v>
      </c>
      <c r="D2003">
        <v>1558000000</v>
      </c>
    </row>
    <row r="2004" spans="1:4">
      <c r="A2004" s="3" t="s">
        <v>277</v>
      </c>
      <c r="B2004" s="3" t="s">
        <v>278</v>
      </c>
      <c r="C2004">
        <v>2011</v>
      </c>
      <c r="D2004">
        <v>1743000000</v>
      </c>
    </row>
    <row r="2005" spans="1:4">
      <c r="A2005" s="3" t="s">
        <v>277</v>
      </c>
      <c r="B2005" s="3" t="s">
        <v>278</v>
      </c>
      <c r="C2005">
        <v>2012</v>
      </c>
      <c r="D2005">
        <v>1666000000</v>
      </c>
    </row>
    <row r="2006" spans="1:4">
      <c r="A2006" s="3" t="s">
        <v>277</v>
      </c>
      <c r="B2006" s="3" t="s">
        <v>278</v>
      </c>
      <c r="C2006">
        <v>2013</v>
      </c>
      <c r="D2006">
        <v>1576000000</v>
      </c>
    </row>
    <row r="2007" spans="1:4">
      <c r="A2007" s="3" t="s">
        <v>277</v>
      </c>
      <c r="B2007" s="3" t="s">
        <v>278</v>
      </c>
      <c r="C2007">
        <v>2014</v>
      </c>
      <c r="D2007">
        <v>1128000000</v>
      </c>
    </row>
    <row r="2008" spans="1:4">
      <c r="A2008" s="3" t="s">
        <v>277</v>
      </c>
      <c r="B2008" s="3" t="s">
        <v>278</v>
      </c>
      <c r="C2008">
        <v>2015</v>
      </c>
      <c r="D2008">
        <v>1384000000</v>
      </c>
    </row>
    <row r="2009" spans="1:4">
      <c r="A2009" s="3" t="s">
        <v>277</v>
      </c>
      <c r="B2009" s="3" t="s">
        <v>278</v>
      </c>
      <c r="C2009">
        <v>2016</v>
      </c>
      <c r="D2009">
        <v>1020000000</v>
      </c>
    </row>
    <row r="2010" spans="1:4">
      <c r="A2010" s="3" t="s">
        <v>277</v>
      </c>
      <c r="B2010" s="3" t="s">
        <v>278</v>
      </c>
      <c r="C2010">
        <v>2017</v>
      </c>
      <c r="D2010">
        <v>583000000</v>
      </c>
    </row>
    <row r="2011" spans="1:4">
      <c r="A2011" s="3" t="s">
        <v>277</v>
      </c>
      <c r="B2011" s="3" t="s">
        <v>278</v>
      </c>
      <c r="C2011">
        <v>2018</v>
      </c>
      <c r="D2011">
        <v>542000000</v>
      </c>
    </row>
    <row r="2012" spans="1:4">
      <c r="A2012" s="3" t="s">
        <v>277</v>
      </c>
      <c r="B2012" s="3" t="s">
        <v>278</v>
      </c>
      <c r="C2012">
        <v>2020</v>
      </c>
      <c r="D2012">
        <v>999000000</v>
      </c>
    </row>
    <row r="2013" spans="1:4">
      <c r="A2013" s="3" t="s">
        <v>277</v>
      </c>
      <c r="B2013" s="3" t="s">
        <v>278</v>
      </c>
      <c r="C2013">
        <v>2021</v>
      </c>
      <c r="D2013">
        <v>591000000</v>
      </c>
    </row>
    <row r="2014" spans="1:4">
      <c r="A2014" s="3" t="s">
        <v>277</v>
      </c>
      <c r="B2014" s="3" t="s">
        <v>278</v>
      </c>
      <c r="C2014">
        <v>2023</v>
      </c>
      <c r="D2014">
        <v>393000000</v>
      </c>
    </row>
    <row r="2015" spans="1:4">
      <c r="A2015" s="3" t="s">
        <v>277</v>
      </c>
      <c r="B2015" s="3" t="s">
        <v>278</v>
      </c>
      <c r="C2015">
        <v>2024</v>
      </c>
      <c r="D2015">
        <v>648000000</v>
      </c>
    </row>
    <row r="2016" spans="1:4">
      <c r="A2016" s="3" t="s">
        <v>279</v>
      </c>
      <c r="B2016" s="3" t="s">
        <v>280</v>
      </c>
      <c r="C2016">
        <v>2002</v>
      </c>
      <c r="D2016">
        <v>1153000000</v>
      </c>
    </row>
    <row r="2017" spans="1:4">
      <c r="A2017" s="3" t="s">
        <v>279</v>
      </c>
      <c r="B2017" s="3" t="s">
        <v>280</v>
      </c>
      <c r="C2017">
        <v>2003</v>
      </c>
      <c r="D2017">
        <v>690000000</v>
      </c>
    </row>
    <row r="2018" spans="1:4">
      <c r="A2018" s="3" t="s">
        <v>279</v>
      </c>
      <c r="B2018" s="3" t="s">
        <v>280</v>
      </c>
      <c r="C2018">
        <v>2005</v>
      </c>
      <c r="D2018">
        <v>894000000</v>
      </c>
    </row>
    <row r="2019" spans="1:4">
      <c r="A2019" s="3" t="s">
        <v>279</v>
      </c>
      <c r="B2019" s="3" t="s">
        <v>280</v>
      </c>
      <c r="C2019">
        <v>2006</v>
      </c>
      <c r="D2019">
        <v>731000000</v>
      </c>
    </row>
    <row r="2020" spans="1:4">
      <c r="A2020" s="3" t="s">
        <v>279</v>
      </c>
      <c r="B2020" s="3" t="s">
        <v>280</v>
      </c>
      <c r="C2020">
        <v>2007</v>
      </c>
      <c r="D2020">
        <v>614000000</v>
      </c>
    </row>
    <row r="2021" spans="1:4">
      <c r="A2021" s="3" t="s">
        <v>279</v>
      </c>
      <c r="B2021" s="3" t="s">
        <v>280</v>
      </c>
      <c r="C2021">
        <v>2008</v>
      </c>
      <c r="D2021">
        <v>639000000</v>
      </c>
    </row>
    <row r="2022" spans="1:4">
      <c r="A2022" s="3" t="s">
        <v>279</v>
      </c>
      <c r="B2022" s="3" t="s">
        <v>280</v>
      </c>
      <c r="C2022">
        <v>2012</v>
      </c>
      <c r="D2022">
        <v>2037000000</v>
      </c>
    </row>
    <row r="2023" spans="1:4">
      <c r="A2023" s="3" t="s">
        <v>279</v>
      </c>
      <c r="B2023" s="3" t="s">
        <v>280</v>
      </c>
      <c r="C2023">
        <v>2013</v>
      </c>
      <c r="D2023">
        <v>1884000000</v>
      </c>
    </row>
    <row r="2024" spans="1:4">
      <c r="A2024" s="3" t="s">
        <v>279</v>
      </c>
      <c r="B2024" s="3" t="s">
        <v>280</v>
      </c>
      <c r="C2024">
        <v>2014</v>
      </c>
      <c r="D2024">
        <v>962000000</v>
      </c>
    </row>
    <row r="2025" spans="1:4">
      <c r="A2025" s="3" t="s">
        <v>279</v>
      </c>
      <c r="B2025" s="3" t="s">
        <v>280</v>
      </c>
      <c r="C2025">
        <v>2015</v>
      </c>
      <c r="D2025">
        <v>1426000000</v>
      </c>
    </row>
    <row r="2026" spans="1:4">
      <c r="A2026" s="3" t="s">
        <v>279</v>
      </c>
      <c r="B2026" s="3" t="s">
        <v>280</v>
      </c>
      <c r="C2026">
        <v>2016</v>
      </c>
      <c r="D2026">
        <v>1533000000</v>
      </c>
    </row>
    <row r="2027" spans="1:4">
      <c r="A2027" s="3" t="s">
        <v>279</v>
      </c>
      <c r="B2027" s="3" t="s">
        <v>280</v>
      </c>
      <c r="C2027">
        <v>2017</v>
      </c>
      <c r="D2027">
        <v>1192000000</v>
      </c>
    </row>
    <row r="2028" spans="1:4">
      <c r="A2028" s="3" t="s">
        <v>279</v>
      </c>
      <c r="B2028" s="3" t="s">
        <v>280</v>
      </c>
      <c r="C2028">
        <v>2018</v>
      </c>
      <c r="D2028">
        <v>1271000000</v>
      </c>
    </row>
    <row r="2029" spans="1:4">
      <c r="A2029" s="3" t="s">
        <v>279</v>
      </c>
      <c r="B2029" s="3" t="s">
        <v>280</v>
      </c>
      <c r="C2029">
        <v>2019</v>
      </c>
      <c r="D2029">
        <v>1874000000</v>
      </c>
    </row>
    <row r="2030" spans="1:4">
      <c r="A2030" s="3" t="s">
        <v>279</v>
      </c>
      <c r="B2030" s="3" t="s">
        <v>280</v>
      </c>
      <c r="C2030">
        <v>2020</v>
      </c>
      <c r="D2030">
        <v>820000000</v>
      </c>
    </row>
    <row r="2031" spans="1:4">
      <c r="A2031" s="3" t="s">
        <v>279</v>
      </c>
      <c r="B2031" s="3" t="s">
        <v>280</v>
      </c>
      <c r="C2031">
        <v>2021</v>
      </c>
      <c r="D2031">
        <v>691000000</v>
      </c>
    </row>
    <row r="2032" spans="1:4">
      <c r="A2032" s="3" t="s">
        <v>279</v>
      </c>
      <c r="B2032" s="3" t="s">
        <v>280</v>
      </c>
      <c r="C2032">
        <v>2022</v>
      </c>
      <c r="D2032">
        <v>1038000000</v>
      </c>
    </row>
    <row r="2033" spans="1:4">
      <c r="A2033" s="3" t="s">
        <v>279</v>
      </c>
      <c r="B2033" s="3" t="s">
        <v>280</v>
      </c>
      <c r="C2033">
        <v>2023</v>
      </c>
      <c r="D2033">
        <v>778000000</v>
      </c>
    </row>
    <row r="2034" spans="1:4">
      <c r="A2034" s="3" t="s">
        <v>279</v>
      </c>
      <c r="B2034" s="3" t="s">
        <v>280</v>
      </c>
      <c r="C2034">
        <v>2024</v>
      </c>
      <c r="D2034">
        <v>756000000</v>
      </c>
    </row>
    <row r="2035" spans="1:4">
      <c r="A2035" s="3" t="s">
        <v>281</v>
      </c>
      <c r="B2035" s="3" t="s">
        <v>282</v>
      </c>
      <c r="C2035">
        <v>2000</v>
      </c>
      <c r="D2035">
        <v>530000000</v>
      </c>
    </row>
    <row r="2036" spans="1:4">
      <c r="A2036" s="3" t="s">
        <v>281</v>
      </c>
      <c r="B2036" s="3" t="s">
        <v>282</v>
      </c>
      <c r="C2036">
        <v>2002</v>
      </c>
      <c r="D2036">
        <v>856000000</v>
      </c>
    </row>
    <row r="2037" spans="1:4">
      <c r="A2037" s="3" t="s">
        <v>281</v>
      </c>
      <c r="B2037" s="3" t="s">
        <v>282</v>
      </c>
      <c r="C2037">
        <v>2003</v>
      </c>
      <c r="D2037">
        <v>563000000</v>
      </c>
    </row>
    <row r="2038" spans="1:4">
      <c r="A2038" s="3" t="s">
        <v>281</v>
      </c>
      <c r="B2038" s="3" t="s">
        <v>282</v>
      </c>
      <c r="C2038">
        <v>2004</v>
      </c>
      <c r="D2038">
        <v>935000000</v>
      </c>
    </row>
    <row r="2039" spans="1:4">
      <c r="A2039" s="3" t="s">
        <v>281</v>
      </c>
      <c r="B2039" s="3" t="s">
        <v>282</v>
      </c>
      <c r="C2039">
        <v>2005</v>
      </c>
      <c r="D2039">
        <v>657000000</v>
      </c>
    </row>
    <row r="2040" spans="1:4">
      <c r="A2040" s="3" t="s">
        <v>281</v>
      </c>
      <c r="B2040" s="3" t="s">
        <v>282</v>
      </c>
      <c r="C2040">
        <v>2006</v>
      </c>
      <c r="D2040">
        <v>325000000</v>
      </c>
    </row>
    <row r="2041" spans="1:4">
      <c r="A2041" s="3" t="s">
        <v>281</v>
      </c>
      <c r="B2041" s="3" t="s">
        <v>282</v>
      </c>
      <c r="C2041">
        <v>2008</v>
      </c>
      <c r="D2041">
        <v>827000000</v>
      </c>
    </row>
    <row r="2042" spans="1:4">
      <c r="A2042" s="3" t="s">
        <v>281</v>
      </c>
      <c r="B2042" s="3" t="s">
        <v>282</v>
      </c>
      <c r="C2042">
        <v>2009</v>
      </c>
      <c r="D2042">
        <v>833000000</v>
      </c>
    </row>
    <row r="2043" spans="1:4">
      <c r="A2043" s="3" t="s">
        <v>281</v>
      </c>
      <c r="B2043" s="3" t="s">
        <v>282</v>
      </c>
      <c r="C2043">
        <v>2010</v>
      </c>
      <c r="D2043">
        <v>1541000000</v>
      </c>
    </row>
    <row r="2044" spans="1:4">
      <c r="A2044" s="3" t="s">
        <v>281</v>
      </c>
      <c r="B2044" s="3" t="s">
        <v>282</v>
      </c>
      <c r="C2044">
        <v>2011</v>
      </c>
      <c r="D2044">
        <v>1990000000</v>
      </c>
    </row>
    <row r="2045" spans="1:4">
      <c r="A2045" s="3" t="s">
        <v>281</v>
      </c>
      <c r="B2045" s="3" t="s">
        <v>282</v>
      </c>
      <c r="C2045">
        <v>2012</v>
      </c>
      <c r="D2045">
        <v>1657000000</v>
      </c>
    </row>
    <row r="2046" spans="1:4">
      <c r="A2046" s="3" t="s">
        <v>281</v>
      </c>
      <c r="B2046" s="3" t="s">
        <v>282</v>
      </c>
      <c r="C2046">
        <v>2013</v>
      </c>
      <c r="D2046">
        <v>1226000000</v>
      </c>
    </row>
    <row r="2047" spans="1:4">
      <c r="A2047" s="3" t="s">
        <v>281</v>
      </c>
      <c r="B2047" s="3" t="s">
        <v>282</v>
      </c>
      <c r="C2047">
        <v>2014</v>
      </c>
      <c r="D2047">
        <v>577000000</v>
      </c>
    </row>
    <row r="2048" spans="1:4">
      <c r="A2048" s="3" t="s">
        <v>281</v>
      </c>
      <c r="B2048" s="3" t="s">
        <v>282</v>
      </c>
      <c r="C2048">
        <v>2015</v>
      </c>
      <c r="D2048">
        <v>411000000</v>
      </c>
    </row>
    <row r="2049" spans="1:4">
      <c r="A2049" s="3" t="s">
        <v>281</v>
      </c>
      <c r="B2049" s="3" t="s">
        <v>282</v>
      </c>
      <c r="C2049">
        <v>2016</v>
      </c>
      <c r="D2049">
        <v>496000000</v>
      </c>
    </row>
    <row r="2050" spans="1:4">
      <c r="A2050" s="3" t="s">
        <v>281</v>
      </c>
      <c r="B2050" s="3" t="s">
        <v>282</v>
      </c>
      <c r="C2050">
        <v>2018</v>
      </c>
      <c r="D2050">
        <v>649000000</v>
      </c>
    </row>
    <row r="2051" spans="1:4">
      <c r="A2051" s="3" t="s">
        <v>281</v>
      </c>
      <c r="B2051" s="3" t="s">
        <v>282</v>
      </c>
      <c r="C2051">
        <v>2019</v>
      </c>
      <c r="D2051">
        <v>670000000</v>
      </c>
    </row>
    <row r="2052" spans="1:4">
      <c r="A2052" s="3" t="s">
        <v>281</v>
      </c>
      <c r="B2052" s="3" t="s">
        <v>282</v>
      </c>
      <c r="C2052">
        <v>2020</v>
      </c>
      <c r="D2052">
        <v>504000000</v>
      </c>
    </row>
    <row r="2053" spans="1:4">
      <c r="A2053" s="3" t="s">
        <v>281</v>
      </c>
      <c r="B2053" s="3" t="s">
        <v>282</v>
      </c>
      <c r="C2053">
        <v>2022</v>
      </c>
      <c r="D2053">
        <v>283000000</v>
      </c>
    </row>
    <row r="2054" spans="1:4">
      <c r="A2054" s="3" t="s">
        <v>281</v>
      </c>
      <c r="B2054" s="3" t="s">
        <v>282</v>
      </c>
      <c r="C2054">
        <v>2023</v>
      </c>
      <c r="D2054">
        <v>304000000</v>
      </c>
    </row>
    <row r="2055" spans="1:4">
      <c r="A2055" s="3" t="s">
        <v>281</v>
      </c>
      <c r="B2055" s="3" t="s">
        <v>282</v>
      </c>
      <c r="C2055">
        <v>2024</v>
      </c>
      <c r="D2055">
        <v>221000000</v>
      </c>
    </row>
    <row r="2056" spans="1:4">
      <c r="A2056" s="3" t="s">
        <v>285</v>
      </c>
      <c r="B2056" s="3" t="s">
        <v>286</v>
      </c>
      <c r="C2056">
        <v>2000</v>
      </c>
      <c r="D2056">
        <v>294000000</v>
      </c>
    </row>
    <row r="2057" spans="1:4">
      <c r="A2057" s="3" t="s">
        <v>285</v>
      </c>
      <c r="B2057" s="3" t="s">
        <v>286</v>
      </c>
      <c r="C2057">
        <v>2001</v>
      </c>
      <c r="D2057">
        <v>154000000</v>
      </c>
    </row>
    <row r="2058" spans="1:4">
      <c r="A2058" s="3" t="s">
        <v>285</v>
      </c>
      <c r="B2058" s="3" t="s">
        <v>286</v>
      </c>
      <c r="C2058">
        <v>2002</v>
      </c>
      <c r="D2058">
        <v>43000000</v>
      </c>
    </row>
    <row r="2059" spans="1:4">
      <c r="A2059" s="3" t="s">
        <v>285</v>
      </c>
      <c r="B2059" s="3" t="s">
        <v>286</v>
      </c>
      <c r="C2059">
        <v>2003</v>
      </c>
      <c r="D2059">
        <v>34000000</v>
      </c>
    </row>
    <row r="2060" spans="1:4">
      <c r="A2060" s="3" t="s">
        <v>285</v>
      </c>
      <c r="B2060" s="3" t="s">
        <v>286</v>
      </c>
      <c r="C2060">
        <v>2004</v>
      </c>
      <c r="D2060">
        <v>38000000</v>
      </c>
    </row>
    <row r="2061" spans="1:4">
      <c r="A2061" s="3" t="s">
        <v>285</v>
      </c>
      <c r="B2061" s="3" t="s">
        <v>286</v>
      </c>
      <c r="C2061">
        <v>2005</v>
      </c>
      <c r="D2061">
        <v>63000000</v>
      </c>
    </row>
    <row r="2062" spans="1:4">
      <c r="A2062" s="3" t="s">
        <v>285</v>
      </c>
      <c r="B2062" s="3" t="s">
        <v>286</v>
      </c>
      <c r="C2062">
        <v>2006</v>
      </c>
      <c r="D2062">
        <v>96000000</v>
      </c>
    </row>
    <row r="2063" spans="1:4">
      <c r="A2063" s="3" t="s">
        <v>285</v>
      </c>
      <c r="B2063" s="3" t="s">
        <v>286</v>
      </c>
      <c r="C2063">
        <v>2007</v>
      </c>
      <c r="D2063">
        <v>91000000</v>
      </c>
    </row>
    <row r="2064" spans="1:4">
      <c r="A2064" s="3" t="s">
        <v>285</v>
      </c>
      <c r="B2064" s="3" t="s">
        <v>286</v>
      </c>
      <c r="C2064">
        <v>2008</v>
      </c>
      <c r="D2064">
        <v>79000000</v>
      </c>
    </row>
    <row r="2065" spans="1:4">
      <c r="A2065" s="3" t="s">
        <v>285</v>
      </c>
      <c r="B2065" s="3" t="s">
        <v>286</v>
      </c>
      <c r="C2065">
        <v>2009</v>
      </c>
      <c r="D2065">
        <v>21000000</v>
      </c>
    </row>
    <row r="2066" spans="1:4">
      <c r="A2066" s="3" t="s">
        <v>285</v>
      </c>
      <c r="B2066" s="3" t="s">
        <v>286</v>
      </c>
      <c r="C2066">
        <v>2010</v>
      </c>
      <c r="D2066">
        <v>5000000</v>
      </c>
    </row>
    <row r="2067" spans="1:4">
      <c r="A2067" s="3" t="s">
        <v>285</v>
      </c>
      <c r="B2067" s="3" t="s">
        <v>286</v>
      </c>
      <c r="C2067">
        <v>2011</v>
      </c>
      <c r="D2067">
        <v>21000000</v>
      </c>
    </row>
    <row r="2068" spans="1:4">
      <c r="A2068" s="3" t="s">
        <v>285</v>
      </c>
      <c r="B2068" s="3" t="s">
        <v>286</v>
      </c>
      <c r="C2068">
        <v>2013</v>
      </c>
      <c r="D2068">
        <v>22000000</v>
      </c>
    </row>
    <row r="2069" spans="1:4">
      <c r="A2069" s="3" t="s">
        <v>285</v>
      </c>
      <c r="B2069" s="3" t="s">
        <v>286</v>
      </c>
      <c r="C2069">
        <v>2014</v>
      </c>
      <c r="D2069">
        <v>5000000</v>
      </c>
    </row>
    <row r="2070" spans="1:4">
      <c r="A2070" s="3" t="s">
        <v>285</v>
      </c>
      <c r="B2070" s="3" t="s">
        <v>286</v>
      </c>
      <c r="C2070">
        <v>2017</v>
      </c>
      <c r="D2070">
        <v>45000000</v>
      </c>
    </row>
    <row r="2071" spans="1:4">
      <c r="A2071" s="3" t="s">
        <v>285</v>
      </c>
      <c r="B2071" s="3" t="s">
        <v>286</v>
      </c>
      <c r="C2071">
        <v>2018</v>
      </c>
      <c r="D2071">
        <v>100000000</v>
      </c>
    </row>
    <row r="2072" spans="1:4">
      <c r="A2072" s="3" t="s">
        <v>285</v>
      </c>
      <c r="B2072" s="3" t="s">
        <v>286</v>
      </c>
      <c r="C2072">
        <v>2019</v>
      </c>
      <c r="D2072">
        <v>59000000</v>
      </c>
    </row>
    <row r="2073" spans="1:4">
      <c r="A2073" s="3" t="s">
        <v>285</v>
      </c>
      <c r="B2073" s="3" t="s">
        <v>286</v>
      </c>
      <c r="C2073">
        <v>2021</v>
      </c>
      <c r="D2073">
        <v>54000000</v>
      </c>
    </row>
    <row r="2074" spans="1:4">
      <c r="A2074" s="3" t="s">
        <v>285</v>
      </c>
      <c r="B2074" s="3" t="s">
        <v>286</v>
      </c>
      <c r="C2074">
        <v>2022</v>
      </c>
      <c r="D2074">
        <v>3000000</v>
      </c>
    </row>
    <row r="2075" spans="1:4">
      <c r="A2075" s="3" t="s">
        <v>285</v>
      </c>
      <c r="B2075" s="3" t="s">
        <v>286</v>
      </c>
      <c r="C2075">
        <v>2023</v>
      </c>
      <c r="D2075">
        <v>5000000</v>
      </c>
    </row>
    <row r="2076" spans="1:4">
      <c r="A2076" s="3" t="s">
        <v>285</v>
      </c>
      <c r="B2076" s="3" t="s">
        <v>286</v>
      </c>
      <c r="C2076">
        <v>2024</v>
      </c>
      <c r="D2076">
        <v>9000000</v>
      </c>
    </row>
    <row r="2077" spans="1:4">
      <c r="A2077" s="3" t="s">
        <v>287</v>
      </c>
      <c r="B2077" s="3" t="s">
        <v>288</v>
      </c>
      <c r="C2077">
        <v>2000</v>
      </c>
      <c r="D2077">
        <v>2790000000</v>
      </c>
    </row>
    <row r="2078" spans="1:4">
      <c r="A2078" s="3" t="s">
        <v>287</v>
      </c>
      <c r="B2078" s="3" t="s">
        <v>288</v>
      </c>
      <c r="C2078">
        <v>2001</v>
      </c>
      <c r="D2078">
        <v>3078000000</v>
      </c>
    </row>
    <row r="2079" spans="1:4">
      <c r="A2079" s="3" t="s">
        <v>287</v>
      </c>
      <c r="B2079" s="3" t="s">
        <v>288</v>
      </c>
      <c r="C2079">
        <v>2002</v>
      </c>
      <c r="D2079">
        <v>3888000000</v>
      </c>
    </row>
    <row r="2080" spans="1:4">
      <c r="A2080" s="3" t="s">
        <v>287</v>
      </c>
      <c r="B2080" s="3" t="s">
        <v>288</v>
      </c>
      <c r="C2080">
        <v>2003</v>
      </c>
      <c r="D2080">
        <v>4502000000</v>
      </c>
    </row>
    <row r="2081" spans="1:4">
      <c r="A2081" s="3" t="s">
        <v>287</v>
      </c>
      <c r="B2081" s="3" t="s">
        <v>288</v>
      </c>
      <c r="C2081">
        <v>2004</v>
      </c>
      <c r="D2081">
        <v>3774000000</v>
      </c>
    </row>
    <row r="2082" spans="1:4">
      <c r="A2082" s="3" t="s">
        <v>287</v>
      </c>
      <c r="B2082" s="3" t="s">
        <v>288</v>
      </c>
      <c r="C2082">
        <v>2005</v>
      </c>
      <c r="D2082">
        <v>3063000000</v>
      </c>
    </row>
    <row r="2083" spans="1:4">
      <c r="A2083" s="3" t="s">
        <v>287</v>
      </c>
      <c r="B2083" s="3" t="s">
        <v>288</v>
      </c>
      <c r="C2083">
        <v>2006</v>
      </c>
      <c r="D2083">
        <v>3585000000</v>
      </c>
    </row>
    <row r="2084" spans="1:4">
      <c r="A2084" s="3" t="s">
        <v>287</v>
      </c>
      <c r="B2084" s="3" t="s">
        <v>288</v>
      </c>
      <c r="C2084">
        <v>2007</v>
      </c>
      <c r="D2084">
        <v>4916000000</v>
      </c>
    </row>
    <row r="2085" spans="1:4">
      <c r="A2085" s="3" t="s">
        <v>287</v>
      </c>
      <c r="B2085" s="3" t="s">
        <v>288</v>
      </c>
      <c r="C2085">
        <v>2008</v>
      </c>
      <c r="D2085">
        <v>4037000000</v>
      </c>
    </row>
    <row r="2086" spans="1:4">
      <c r="A2086" s="3" t="s">
        <v>287</v>
      </c>
      <c r="B2086" s="3" t="s">
        <v>288</v>
      </c>
      <c r="C2086">
        <v>2009</v>
      </c>
      <c r="D2086">
        <v>4050000000</v>
      </c>
    </row>
    <row r="2087" spans="1:4">
      <c r="A2087" s="3" t="s">
        <v>287</v>
      </c>
      <c r="B2087" s="3" t="s">
        <v>288</v>
      </c>
      <c r="C2087">
        <v>2010</v>
      </c>
      <c r="D2087">
        <v>7026000000</v>
      </c>
    </row>
    <row r="2088" spans="1:4">
      <c r="A2088" s="3" t="s">
        <v>287</v>
      </c>
      <c r="B2088" s="3" t="s">
        <v>288</v>
      </c>
      <c r="C2088">
        <v>2011</v>
      </c>
      <c r="D2088">
        <v>8479000000</v>
      </c>
    </row>
    <row r="2089" spans="1:4">
      <c r="A2089" s="3" t="s">
        <v>287</v>
      </c>
      <c r="B2089" s="3" t="s">
        <v>288</v>
      </c>
      <c r="C2089">
        <v>2012</v>
      </c>
      <c r="D2089">
        <v>8764000000</v>
      </c>
    </row>
    <row r="2090" spans="1:4">
      <c r="A2090" s="3" t="s">
        <v>287</v>
      </c>
      <c r="B2090" s="3" t="s">
        <v>288</v>
      </c>
      <c r="C2090">
        <v>2013</v>
      </c>
      <c r="D2090">
        <v>9715000000</v>
      </c>
    </row>
    <row r="2091" spans="1:4">
      <c r="A2091" s="3" t="s">
        <v>287</v>
      </c>
      <c r="B2091" s="3" t="s">
        <v>288</v>
      </c>
      <c r="C2091">
        <v>2014</v>
      </c>
      <c r="D2091">
        <v>6297000000</v>
      </c>
    </row>
    <row r="2092" spans="1:4">
      <c r="A2092" s="3" t="s">
        <v>287</v>
      </c>
      <c r="B2092" s="3" t="s">
        <v>288</v>
      </c>
      <c r="C2092">
        <v>2015</v>
      </c>
      <c r="D2092">
        <v>6593000000</v>
      </c>
    </row>
    <row r="2093" spans="1:4">
      <c r="A2093" s="3" t="s">
        <v>287</v>
      </c>
      <c r="B2093" s="3" t="s">
        <v>288</v>
      </c>
      <c r="C2093">
        <v>2016</v>
      </c>
      <c r="D2093">
        <v>7018000000</v>
      </c>
    </row>
    <row r="2094" spans="1:4">
      <c r="A2094" s="3" t="s">
        <v>287</v>
      </c>
      <c r="B2094" s="3" t="s">
        <v>288</v>
      </c>
      <c r="C2094">
        <v>2017</v>
      </c>
      <c r="D2094">
        <v>7718000000</v>
      </c>
    </row>
    <row r="2095" spans="1:4">
      <c r="A2095" s="3" t="s">
        <v>287</v>
      </c>
      <c r="B2095" s="3" t="s">
        <v>288</v>
      </c>
      <c r="C2095">
        <v>2018</v>
      </c>
      <c r="D2095">
        <v>6251000000</v>
      </c>
    </row>
    <row r="2096" spans="1:4">
      <c r="A2096" s="3" t="s">
        <v>287</v>
      </c>
      <c r="B2096" s="3" t="s">
        <v>288</v>
      </c>
      <c r="C2096">
        <v>2019</v>
      </c>
      <c r="D2096">
        <v>6593000000</v>
      </c>
    </row>
    <row r="2097" spans="1:4">
      <c r="A2097" s="3" t="s">
        <v>287</v>
      </c>
      <c r="B2097" s="3" t="s">
        <v>288</v>
      </c>
      <c r="C2097">
        <v>2020</v>
      </c>
      <c r="D2097">
        <v>5536000000</v>
      </c>
    </row>
    <row r="2098" spans="1:4">
      <c r="A2098" s="3" t="s">
        <v>287</v>
      </c>
      <c r="B2098" s="3" t="s">
        <v>288</v>
      </c>
      <c r="C2098">
        <v>2021</v>
      </c>
      <c r="D2098">
        <v>7032000000</v>
      </c>
    </row>
    <row r="2099" spans="1:4">
      <c r="A2099" s="3" t="s">
        <v>287</v>
      </c>
      <c r="B2099" s="3" t="s">
        <v>288</v>
      </c>
      <c r="C2099">
        <v>2022</v>
      </c>
      <c r="D2099">
        <v>6456000000</v>
      </c>
    </row>
    <row r="2100" spans="1:4">
      <c r="A2100" s="3" t="s">
        <v>287</v>
      </c>
      <c r="B2100" s="3" t="s">
        <v>288</v>
      </c>
      <c r="C2100">
        <v>2023</v>
      </c>
      <c r="D2100">
        <v>6288000000</v>
      </c>
    </row>
    <row r="2101" spans="1:4">
      <c r="A2101" s="3" t="s">
        <v>287</v>
      </c>
      <c r="B2101" s="3" t="s">
        <v>288</v>
      </c>
      <c r="C2101">
        <v>2024</v>
      </c>
      <c r="D2101">
        <v>3800000000</v>
      </c>
    </row>
    <row r="2102" spans="1:4">
      <c r="A2102" s="3" t="s">
        <v>289</v>
      </c>
      <c r="B2102" s="3" t="s">
        <v>290</v>
      </c>
      <c r="C2102">
        <v>2000</v>
      </c>
      <c r="D2102">
        <v>9343000000</v>
      </c>
    </row>
    <row r="2103" spans="1:4">
      <c r="A2103" s="3" t="s">
        <v>289</v>
      </c>
      <c r="B2103" s="3" t="s">
        <v>290</v>
      </c>
      <c r="C2103">
        <v>2001</v>
      </c>
      <c r="D2103">
        <v>9801000000</v>
      </c>
    </row>
    <row r="2104" spans="1:4">
      <c r="A2104" s="3" t="s">
        <v>289</v>
      </c>
      <c r="B2104" s="3" t="s">
        <v>290</v>
      </c>
      <c r="C2104">
        <v>2002</v>
      </c>
      <c r="D2104">
        <v>10404000000</v>
      </c>
    </row>
    <row r="2105" spans="1:4">
      <c r="A2105" s="3" t="s">
        <v>289</v>
      </c>
      <c r="B2105" s="3" t="s">
        <v>290</v>
      </c>
      <c r="C2105">
        <v>2003</v>
      </c>
      <c r="D2105">
        <v>9585000000</v>
      </c>
    </row>
    <row r="2106" spans="1:4">
      <c r="A2106" s="3" t="s">
        <v>289</v>
      </c>
      <c r="B2106" s="3" t="s">
        <v>290</v>
      </c>
      <c r="C2106">
        <v>2004</v>
      </c>
      <c r="D2106">
        <v>10380000000</v>
      </c>
    </row>
    <row r="2107" spans="1:4">
      <c r="A2107" s="3" t="s">
        <v>289</v>
      </c>
      <c r="B2107" s="3" t="s">
        <v>290</v>
      </c>
      <c r="C2107">
        <v>2005</v>
      </c>
      <c r="D2107">
        <v>10443000000</v>
      </c>
    </row>
    <row r="2108" spans="1:4">
      <c r="A2108" s="3" t="s">
        <v>289</v>
      </c>
      <c r="B2108" s="3" t="s">
        <v>290</v>
      </c>
      <c r="C2108">
        <v>2006</v>
      </c>
      <c r="D2108">
        <v>10705000000</v>
      </c>
    </row>
    <row r="2109" spans="1:4">
      <c r="A2109" s="3" t="s">
        <v>289</v>
      </c>
      <c r="B2109" s="3" t="s">
        <v>290</v>
      </c>
      <c r="C2109">
        <v>2007</v>
      </c>
      <c r="D2109">
        <v>12159000000</v>
      </c>
    </row>
    <row r="2110" spans="1:4">
      <c r="A2110" s="3" t="s">
        <v>289</v>
      </c>
      <c r="B2110" s="3" t="s">
        <v>290</v>
      </c>
      <c r="C2110">
        <v>2008</v>
      </c>
      <c r="D2110">
        <v>11613000000</v>
      </c>
    </row>
    <row r="2111" spans="1:4">
      <c r="A2111" s="3" t="s">
        <v>289</v>
      </c>
      <c r="B2111" s="3" t="s">
        <v>290</v>
      </c>
      <c r="C2111">
        <v>2009</v>
      </c>
      <c r="D2111">
        <v>11839000000</v>
      </c>
    </row>
    <row r="2112" spans="1:4">
      <c r="A2112" s="3" t="s">
        <v>289</v>
      </c>
      <c r="B2112" s="3" t="s">
        <v>290</v>
      </c>
      <c r="C2112">
        <v>2010</v>
      </c>
      <c r="D2112">
        <v>13598000000</v>
      </c>
    </row>
    <row r="2113" spans="1:4">
      <c r="A2113" s="3" t="s">
        <v>289</v>
      </c>
      <c r="B2113" s="3" t="s">
        <v>290</v>
      </c>
      <c r="C2113">
        <v>2011</v>
      </c>
      <c r="D2113">
        <v>17976000000</v>
      </c>
    </row>
    <row r="2114" spans="1:4">
      <c r="A2114" s="3" t="s">
        <v>289</v>
      </c>
      <c r="B2114" s="3" t="s">
        <v>290</v>
      </c>
      <c r="C2114">
        <v>2012</v>
      </c>
      <c r="D2114">
        <v>18066000000</v>
      </c>
    </row>
    <row r="2115" spans="1:4">
      <c r="A2115" s="3" t="s">
        <v>289</v>
      </c>
      <c r="B2115" s="3" t="s">
        <v>290</v>
      </c>
      <c r="C2115">
        <v>2013</v>
      </c>
      <c r="D2115">
        <v>16894000000</v>
      </c>
    </row>
    <row r="2116" spans="1:4">
      <c r="A2116" s="3" t="s">
        <v>289</v>
      </c>
      <c r="B2116" s="3" t="s">
        <v>290</v>
      </c>
      <c r="C2116">
        <v>2014</v>
      </c>
      <c r="D2116">
        <v>15346000000</v>
      </c>
    </row>
    <row r="2117" spans="1:4">
      <c r="A2117" s="3" t="s">
        <v>289</v>
      </c>
      <c r="B2117" s="3" t="s">
        <v>290</v>
      </c>
      <c r="C2117">
        <v>2015</v>
      </c>
      <c r="D2117">
        <v>15214000000</v>
      </c>
    </row>
    <row r="2118" spans="1:4">
      <c r="A2118" s="3" t="s">
        <v>289</v>
      </c>
      <c r="B2118" s="3" t="s">
        <v>290</v>
      </c>
      <c r="C2118">
        <v>2016</v>
      </c>
      <c r="D2118">
        <v>18535000000</v>
      </c>
    </row>
    <row r="2119" spans="1:4">
      <c r="A2119" s="3" t="s">
        <v>289</v>
      </c>
      <c r="B2119" s="3" t="s">
        <v>290</v>
      </c>
      <c r="C2119">
        <v>2017</v>
      </c>
      <c r="D2119">
        <v>16830000000</v>
      </c>
    </row>
    <row r="2120" spans="1:4">
      <c r="A2120" s="3" t="s">
        <v>289</v>
      </c>
      <c r="B2120" s="3" t="s">
        <v>290</v>
      </c>
      <c r="C2120">
        <v>2018</v>
      </c>
      <c r="D2120">
        <v>14733000000</v>
      </c>
    </row>
    <row r="2121" spans="1:4">
      <c r="A2121" s="3" t="s">
        <v>289</v>
      </c>
      <c r="B2121" s="3" t="s">
        <v>290</v>
      </c>
      <c r="C2121">
        <v>2019</v>
      </c>
      <c r="D2121">
        <v>12434000000</v>
      </c>
    </row>
    <row r="2122" spans="1:4">
      <c r="A2122" s="3" t="s">
        <v>289</v>
      </c>
      <c r="B2122" s="3" t="s">
        <v>290</v>
      </c>
      <c r="C2122">
        <v>2020</v>
      </c>
      <c r="D2122">
        <v>9756000000</v>
      </c>
    </row>
    <row r="2123" spans="1:4">
      <c r="A2123" s="3" t="s">
        <v>289</v>
      </c>
      <c r="B2123" s="3" t="s">
        <v>290</v>
      </c>
      <c r="C2123">
        <v>2021</v>
      </c>
      <c r="D2123">
        <v>11252000000</v>
      </c>
    </row>
    <row r="2124" spans="1:4">
      <c r="A2124" s="3" t="s">
        <v>289</v>
      </c>
      <c r="B2124" s="3" t="s">
        <v>290</v>
      </c>
      <c r="C2124">
        <v>2022</v>
      </c>
      <c r="D2124">
        <v>13198000000</v>
      </c>
    </row>
    <row r="2125" spans="1:4">
      <c r="A2125" s="3" t="s">
        <v>289</v>
      </c>
      <c r="B2125" s="3" t="s">
        <v>290</v>
      </c>
      <c r="C2125">
        <v>2023</v>
      </c>
      <c r="D2125">
        <v>14492000000</v>
      </c>
    </row>
    <row r="2126" spans="1:4">
      <c r="A2126" s="3" t="s">
        <v>289</v>
      </c>
      <c r="B2126" s="3" t="s">
        <v>290</v>
      </c>
      <c r="C2126">
        <v>2024</v>
      </c>
      <c r="D2126">
        <v>12659000000</v>
      </c>
    </row>
    <row r="2127" spans="1:4">
      <c r="A2127" s="3" t="s">
        <v>291</v>
      </c>
      <c r="B2127" s="3" t="s">
        <v>292</v>
      </c>
      <c r="C2127">
        <v>2001</v>
      </c>
      <c r="D2127">
        <v>6000000</v>
      </c>
    </row>
    <row r="2128" spans="1:4">
      <c r="A2128" s="3" t="s">
        <v>291</v>
      </c>
      <c r="B2128" s="3" t="s">
        <v>292</v>
      </c>
      <c r="C2128">
        <v>2004</v>
      </c>
      <c r="D2128">
        <v>1000000</v>
      </c>
    </row>
    <row r="2129" spans="1:4">
      <c r="A2129" s="3" t="s">
        <v>291</v>
      </c>
      <c r="B2129" s="3" t="s">
        <v>292</v>
      </c>
      <c r="C2129">
        <v>2006</v>
      </c>
      <c r="D2129">
        <v>1000000</v>
      </c>
    </row>
    <row r="2130" spans="1:4">
      <c r="A2130" s="3" t="s">
        <v>291</v>
      </c>
      <c r="B2130" s="3" t="s">
        <v>292</v>
      </c>
      <c r="C2130">
        <v>2017</v>
      </c>
      <c r="D2130">
        <v>1000000</v>
      </c>
    </row>
    <row r="2131" spans="1:4">
      <c r="A2131" s="3" t="s">
        <v>291</v>
      </c>
      <c r="B2131" s="3" t="s">
        <v>292</v>
      </c>
      <c r="C2131">
        <v>2018</v>
      </c>
      <c r="D2131">
        <v>1000000</v>
      </c>
    </row>
    <row r="2132" spans="1:4">
      <c r="A2132" s="3" t="s">
        <v>291</v>
      </c>
      <c r="B2132" s="3" t="s">
        <v>292</v>
      </c>
      <c r="C2132">
        <v>2019</v>
      </c>
      <c r="D2132">
        <v>1000000</v>
      </c>
    </row>
    <row r="2133" spans="1:4">
      <c r="A2133" s="3" t="s">
        <v>293</v>
      </c>
      <c r="B2133" s="3" t="s">
        <v>294</v>
      </c>
      <c r="C2133">
        <v>2000</v>
      </c>
      <c r="D2133">
        <v>5598000000</v>
      </c>
    </row>
    <row r="2134" spans="1:4">
      <c r="A2134" s="3" t="s">
        <v>293</v>
      </c>
      <c r="B2134" s="3" t="s">
        <v>294</v>
      </c>
      <c r="C2134">
        <v>2001</v>
      </c>
      <c r="D2134">
        <v>5087000000</v>
      </c>
    </row>
    <row r="2135" spans="1:4">
      <c r="A2135" s="3" t="s">
        <v>293</v>
      </c>
      <c r="B2135" s="3" t="s">
        <v>294</v>
      </c>
      <c r="C2135">
        <v>2002</v>
      </c>
      <c r="D2135">
        <v>4770000000</v>
      </c>
    </row>
    <row r="2136" spans="1:4">
      <c r="A2136" s="3" t="s">
        <v>293</v>
      </c>
      <c r="B2136" s="3" t="s">
        <v>294</v>
      </c>
      <c r="C2136">
        <v>2003</v>
      </c>
      <c r="D2136">
        <v>4371000000</v>
      </c>
    </row>
    <row r="2137" spans="1:4">
      <c r="A2137" s="3" t="s">
        <v>293</v>
      </c>
      <c r="B2137" s="3" t="s">
        <v>294</v>
      </c>
      <c r="C2137">
        <v>2004</v>
      </c>
      <c r="D2137">
        <v>5963000000</v>
      </c>
    </row>
    <row r="2138" spans="1:4">
      <c r="A2138" s="3" t="s">
        <v>293</v>
      </c>
      <c r="B2138" s="3" t="s">
        <v>294</v>
      </c>
      <c r="C2138">
        <v>2005</v>
      </c>
      <c r="D2138">
        <v>8002000000</v>
      </c>
    </row>
    <row r="2139" spans="1:4">
      <c r="A2139" s="3" t="s">
        <v>293</v>
      </c>
      <c r="B2139" s="3" t="s">
        <v>294</v>
      </c>
      <c r="C2139">
        <v>2006</v>
      </c>
      <c r="D2139">
        <v>7748000000</v>
      </c>
    </row>
    <row r="2140" spans="1:4">
      <c r="A2140" s="3" t="s">
        <v>293</v>
      </c>
      <c r="B2140" s="3" t="s">
        <v>294</v>
      </c>
      <c r="C2140">
        <v>2007</v>
      </c>
      <c r="D2140">
        <v>6328000000</v>
      </c>
    </row>
    <row r="2141" spans="1:4">
      <c r="A2141" s="3" t="s">
        <v>293</v>
      </c>
      <c r="B2141" s="3" t="s">
        <v>294</v>
      </c>
      <c r="C2141">
        <v>2008</v>
      </c>
      <c r="D2141">
        <v>5227000000</v>
      </c>
    </row>
    <row r="2142" spans="1:4">
      <c r="A2142" s="3" t="s">
        <v>293</v>
      </c>
      <c r="B2142" s="3" t="s">
        <v>294</v>
      </c>
      <c r="C2142">
        <v>2009</v>
      </c>
      <c r="D2142">
        <v>5302000000</v>
      </c>
    </row>
    <row r="2143" spans="1:4">
      <c r="A2143" s="3" t="s">
        <v>293</v>
      </c>
      <c r="B2143" s="3" t="s">
        <v>294</v>
      </c>
      <c r="C2143">
        <v>2010</v>
      </c>
      <c r="D2143">
        <v>4409000000</v>
      </c>
    </row>
    <row r="2144" spans="1:4">
      <c r="A2144" s="3" t="s">
        <v>293</v>
      </c>
      <c r="B2144" s="3" t="s">
        <v>294</v>
      </c>
      <c r="C2144">
        <v>2011</v>
      </c>
      <c r="D2144">
        <v>7110000000</v>
      </c>
    </row>
    <row r="2145" spans="1:4">
      <c r="A2145" s="3" t="s">
        <v>293</v>
      </c>
      <c r="B2145" s="3" t="s">
        <v>294</v>
      </c>
      <c r="C2145">
        <v>2012</v>
      </c>
      <c r="D2145">
        <v>6929000000</v>
      </c>
    </row>
    <row r="2146" spans="1:4">
      <c r="A2146" s="3" t="s">
        <v>293</v>
      </c>
      <c r="B2146" s="3" t="s">
        <v>294</v>
      </c>
      <c r="C2146">
        <v>2013</v>
      </c>
      <c r="D2146">
        <v>6627000000</v>
      </c>
    </row>
    <row r="2147" spans="1:4">
      <c r="A2147" s="3" t="s">
        <v>293</v>
      </c>
      <c r="B2147" s="3" t="s">
        <v>294</v>
      </c>
      <c r="C2147">
        <v>2014</v>
      </c>
      <c r="D2147">
        <v>7256000000</v>
      </c>
    </row>
    <row r="2148" spans="1:4">
      <c r="A2148" s="3" t="s">
        <v>293</v>
      </c>
      <c r="B2148" s="3" t="s">
        <v>294</v>
      </c>
      <c r="C2148">
        <v>2015</v>
      </c>
      <c r="D2148">
        <v>6964000000</v>
      </c>
    </row>
    <row r="2149" spans="1:4">
      <c r="A2149" s="3" t="s">
        <v>293</v>
      </c>
      <c r="B2149" s="3" t="s">
        <v>294</v>
      </c>
      <c r="C2149">
        <v>2016</v>
      </c>
      <c r="D2149">
        <v>7207000000</v>
      </c>
    </row>
    <row r="2150" spans="1:4">
      <c r="A2150" s="3" t="s">
        <v>293</v>
      </c>
      <c r="B2150" s="3" t="s">
        <v>294</v>
      </c>
      <c r="C2150">
        <v>2017</v>
      </c>
      <c r="D2150">
        <v>7042000000</v>
      </c>
    </row>
    <row r="2151" spans="1:4">
      <c r="A2151" s="3" t="s">
        <v>293</v>
      </c>
      <c r="B2151" s="3" t="s">
        <v>294</v>
      </c>
      <c r="C2151">
        <v>2018</v>
      </c>
      <c r="D2151">
        <v>7869000000</v>
      </c>
    </row>
    <row r="2152" spans="1:4">
      <c r="A2152" s="3" t="s">
        <v>293</v>
      </c>
      <c r="B2152" s="3" t="s">
        <v>294</v>
      </c>
      <c r="C2152">
        <v>2019</v>
      </c>
      <c r="D2152">
        <v>6578000000</v>
      </c>
    </row>
    <row r="2153" spans="1:4">
      <c r="A2153" s="3" t="s">
        <v>293</v>
      </c>
      <c r="B2153" s="3" t="s">
        <v>294</v>
      </c>
      <c r="C2153">
        <v>2020</v>
      </c>
      <c r="D2153">
        <v>4443000000</v>
      </c>
    </row>
    <row r="2154" spans="1:4">
      <c r="A2154" s="3" t="s">
        <v>293</v>
      </c>
      <c r="B2154" s="3" t="s">
        <v>294</v>
      </c>
      <c r="C2154">
        <v>2021</v>
      </c>
      <c r="D2154">
        <v>6850000000</v>
      </c>
    </row>
    <row r="2155" spans="1:4">
      <c r="A2155" s="3" t="s">
        <v>293</v>
      </c>
      <c r="B2155" s="3" t="s">
        <v>294</v>
      </c>
      <c r="C2155">
        <v>2022</v>
      </c>
      <c r="D2155">
        <v>9161000000</v>
      </c>
    </row>
    <row r="2156" spans="1:4">
      <c r="A2156" s="3" t="s">
        <v>293</v>
      </c>
      <c r="B2156" s="3" t="s">
        <v>294</v>
      </c>
      <c r="C2156">
        <v>2023</v>
      </c>
      <c r="D2156">
        <v>7682000000</v>
      </c>
    </row>
    <row r="2157" spans="1:4">
      <c r="A2157" s="3" t="s">
        <v>293</v>
      </c>
      <c r="B2157" s="3" t="s">
        <v>294</v>
      </c>
      <c r="C2157">
        <v>2024</v>
      </c>
      <c r="D2157">
        <v>7053000000</v>
      </c>
    </row>
    <row r="2158" spans="1:4">
      <c r="A2158" s="3" t="s">
        <v>295</v>
      </c>
      <c r="B2158" s="3" t="s">
        <v>296</v>
      </c>
      <c r="C2158">
        <v>2000</v>
      </c>
      <c r="D2158">
        <v>6000000</v>
      </c>
    </row>
    <row r="2159" spans="1:4">
      <c r="A2159" s="3" t="s">
        <v>295</v>
      </c>
      <c r="B2159" s="3" t="s">
        <v>296</v>
      </c>
      <c r="C2159">
        <v>2001</v>
      </c>
      <c r="D2159">
        <v>16000000</v>
      </c>
    </row>
    <row r="2160" spans="1:4">
      <c r="A2160" s="3" t="s">
        <v>295</v>
      </c>
      <c r="B2160" s="3" t="s">
        <v>296</v>
      </c>
      <c r="C2160">
        <v>2002</v>
      </c>
      <c r="D2160">
        <v>14000000</v>
      </c>
    </row>
    <row r="2161" spans="1:4">
      <c r="A2161" s="3" t="s">
        <v>295</v>
      </c>
      <c r="B2161" s="3" t="s">
        <v>296</v>
      </c>
      <c r="C2161">
        <v>2003</v>
      </c>
      <c r="D2161">
        <v>1000000</v>
      </c>
    </row>
    <row r="2162" spans="1:4">
      <c r="A2162" s="3" t="s">
        <v>295</v>
      </c>
      <c r="B2162" s="3" t="s">
        <v>296</v>
      </c>
      <c r="C2162">
        <v>2004</v>
      </c>
      <c r="D2162">
        <v>47000000</v>
      </c>
    </row>
    <row r="2163" spans="1:4">
      <c r="A2163" s="3" t="s">
        <v>295</v>
      </c>
      <c r="B2163" s="3" t="s">
        <v>296</v>
      </c>
      <c r="C2163">
        <v>2005</v>
      </c>
      <c r="D2163">
        <v>11000000</v>
      </c>
    </row>
    <row r="2164" spans="1:4">
      <c r="A2164" s="3" t="s">
        <v>295</v>
      </c>
      <c r="B2164" s="3" t="s">
        <v>296</v>
      </c>
      <c r="C2164">
        <v>2006</v>
      </c>
      <c r="D2164">
        <v>53000000</v>
      </c>
    </row>
    <row r="2165" spans="1:4">
      <c r="A2165" s="3" t="s">
        <v>295</v>
      </c>
      <c r="B2165" s="3" t="s">
        <v>296</v>
      </c>
      <c r="C2165">
        <v>2007</v>
      </c>
      <c r="D2165">
        <v>4000000</v>
      </c>
    </row>
    <row r="2166" spans="1:4">
      <c r="A2166" s="3" t="s">
        <v>295</v>
      </c>
      <c r="B2166" s="3" t="s">
        <v>296</v>
      </c>
      <c r="C2166">
        <v>2008</v>
      </c>
      <c r="D2166">
        <v>27000000</v>
      </c>
    </row>
    <row r="2167" spans="1:4">
      <c r="A2167" s="3" t="s">
        <v>295</v>
      </c>
      <c r="B2167" s="3" t="s">
        <v>296</v>
      </c>
      <c r="C2167">
        <v>2009</v>
      </c>
      <c r="D2167">
        <v>27000000</v>
      </c>
    </row>
    <row r="2168" spans="1:4">
      <c r="A2168" s="3" t="s">
        <v>295</v>
      </c>
      <c r="B2168" s="3" t="s">
        <v>296</v>
      </c>
      <c r="C2168">
        <v>2010</v>
      </c>
      <c r="D2168">
        <v>8000000</v>
      </c>
    </row>
    <row r="2169" spans="1:4">
      <c r="A2169" s="3" t="s">
        <v>295</v>
      </c>
      <c r="B2169" s="3" t="s">
        <v>296</v>
      </c>
      <c r="C2169">
        <v>2013</v>
      </c>
      <c r="D2169">
        <v>73000000</v>
      </c>
    </row>
    <row r="2170" spans="1:4">
      <c r="A2170" s="3" t="s">
        <v>295</v>
      </c>
      <c r="B2170" s="3" t="s">
        <v>296</v>
      </c>
      <c r="C2170">
        <v>2014</v>
      </c>
      <c r="D2170">
        <v>10000000</v>
      </c>
    </row>
    <row r="2171" spans="1:4">
      <c r="A2171" s="3" t="s">
        <v>295</v>
      </c>
      <c r="B2171" s="3" t="s">
        <v>296</v>
      </c>
      <c r="C2171">
        <v>2015</v>
      </c>
      <c r="D2171">
        <v>14000000</v>
      </c>
    </row>
    <row r="2172" spans="1:4">
      <c r="A2172" s="3" t="s">
        <v>295</v>
      </c>
      <c r="B2172" s="3" t="s">
        <v>296</v>
      </c>
      <c r="C2172">
        <v>2016</v>
      </c>
      <c r="D2172">
        <v>34000000</v>
      </c>
    </row>
    <row r="2173" spans="1:4">
      <c r="A2173" s="3" t="s">
        <v>295</v>
      </c>
      <c r="B2173" s="3" t="s">
        <v>296</v>
      </c>
      <c r="C2173">
        <v>2017</v>
      </c>
      <c r="D2173">
        <v>7000000</v>
      </c>
    </row>
    <row r="2174" spans="1:4">
      <c r="A2174" s="3" t="s">
        <v>295</v>
      </c>
      <c r="B2174" s="3" t="s">
        <v>296</v>
      </c>
      <c r="C2174">
        <v>2018</v>
      </c>
      <c r="D2174">
        <v>8000000</v>
      </c>
    </row>
    <row r="2175" spans="1:4">
      <c r="A2175" s="3" t="s">
        <v>295</v>
      </c>
      <c r="B2175" s="3" t="s">
        <v>296</v>
      </c>
      <c r="C2175">
        <v>2019</v>
      </c>
      <c r="D2175">
        <v>38000000</v>
      </c>
    </row>
    <row r="2176" spans="1:4">
      <c r="A2176" s="3" t="s">
        <v>295</v>
      </c>
      <c r="B2176" s="3" t="s">
        <v>296</v>
      </c>
      <c r="C2176">
        <v>2020</v>
      </c>
      <c r="D2176">
        <v>119000000</v>
      </c>
    </row>
    <row r="2177" spans="1:4">
      <c r="A2177" s="3" t="s">
        <v>295</v>
      </c>
      <c r="B2177" s="3" t="s">
        <v>296</v>
      </c>
      <c r="C2177">
        <v>2021</v>
      </c>
      <c r="D2177">
        <v>109000000</v>
      </c>
    </row>
    <row r="2178" spans="1:4">
      <c r="A2178" s="3" t="s">
        <v>295</v>
      </c>
      <c r="B2178" s="3" t="s">
        <v>296</v>
      </c>
      <c r="C2178">
        <v>2022</v>
      </c>
      <c r="D2178">
        <v>75000000</v>
      </c>
    </row>
    <row r="2179" spans="1:4">
      <c r="A2179" s="3" t="s">
        <v>295</v>
      </c>
      <c r="B2179" s="3" t="s">
        <v>296</v>
      </c>
      <c r="C2179">
        <v>2023</v>
      </c>
      <c r="D2179">
        <v>97000000</v>
      </c>
    </row>
    <row r="2180" spans="1:4">
      <c r="A2180" s="3" t="s">
        <v>295</v>
      </c>
      <c r="B2180" s="3" t="s">
        <v>296</v>
      </c>
      <c r="C2180">
        <v>2024</v>
      </c>
      <c r="D2180">
        <v>77000000</v>
      </c>
    </row>
    <row r="2181" spans="1:4">
      <c r="A2181" s="3" t="s">
        <v>297</v>
      </c>
      <c r="B2181" s="3" t="s">
        <v>298</v>
      </c>
      <c r="C2181">
        <v>2003</v>
      </c>
      <c r="D2181">
        <v>1000000</v>
      </c>
    </row>
    <row r="2182" spans="1:4">
      <c r="A2182" s="3" t="s">
        <v>297</v>
      </c>
      <c r="B2182" s="3" t="s">
        <v>298</v>
      </c>
      <c r="C2182">
        <v>2009</v>
      </c>
      <c r="D2182">
        <v>8000000</v>
      </c>
    </row>
    <row r="2183" spans="1:4">
      <c r="A2183" s="3" t="s">
        <v>297</v>
      </c>
      <c r="B2183" s="3" t="s">
        <v>298</v>
      </c>
      <c r="C2183">
        <v>2010</v>
      </c>
      <c r="D2183">
        <v>8000000</v>
      </c>
    </row>
    <row r="2184" spans="1:4">
      <c r="A2184" s="3" t="s">
        <v>297</v>
      </c>
      <c r="B2184" s="3" t="s">
        <v>298</v>
      </c>
      <c r="C2184">
        <v>2019</v>
      </c>
      <c r="D2184">
        <v>3000000</v>
      </c>
    </row>
    <row r="2185" spans="1:4">
      <c r="A2185" s="3" t="s">
        <v>297</v>
      </c>
      <c r="B2185" s="3" t="s">
        <v>298</v>
      </c>
      <c r="C2185">
        <v>2020</v>
      </c>
      <c r="D2185">
        <v>88000000</v>
      </c>
    </row>
    <row r="2186" spans="1:4">
      <c r="A2186" s="3" t="s">
        <v>297</v>
      </c>
      <c r="B2186" s="3" t="s">
        <v>298</v>
      </c>
      <c r="C2186">
        <v>2023</v>
      </c>
      <c r="D2186">
        <v>1000000</v>
      </c>
    </row>
    <row r="2187" spans="1:4">
      <c r="A2187" s="3" t="s">
        <v>297</v>
      </c>
      <c r="B2187" s="3" t="s">
        <v>298</v>
      </c>
      <c r="C2187">
        <v>2024</v>
      </c>
      <c r="D2187">
        <v>3000000</v>
      </c>
    </row>
    <row r="2188" spans="1:4">
      <c r="A2188" s="3" t="s">
        <v>299</v>
      </c>
      <c r="B2188" s="3" t="s">
        <v>300</v>
      </c>
      <c r="C2188">
        <v>2000</v>
      </c>
      <c r="D2188">
        <v>3000000</v>
      </c>
    </row>
    <row r="2189" spans="1:4">
      <c r="A2189" s="3" t="s">
        <v>299</v>
      </c>
      <c r="B2189" s="3" t="s">
        <v>300</v>
      </c>
      <c r="C2189">
        <v>2001</v>
      </c>
      <c r="D2189">
        <v>14000000</v>
      </c>
    </row>
    <row r="2190" spans="1:4">
      <c r="A2190" s="3" t="s">
        <v>299</v>
      </c>
      <c r="B2190" s="3" t="s">
        <v>300</v>
      </c>
      <c r="C2190">
        <v>2002</v>
      </c>
      <c r="D2190">
        <v>4000000</v>
      </c>
    </row>
    <row r="2191" spans="1:4">
      <c r="A2191" s="3" t="s">
        <v>299</v>
      </c>
      <c r="B2191" s="3" t="s">
        <v>300</v>
      </c>
      <c r="C2191">
        <v>2003</v>
      </c>
      <c r="D2191">
        <v>25000000</v>
      </c>
    </row>
    <row r="2192" spans="1:4">
      <c r="A2192" s="3" t="s">
        <v>299</v>
      </c>
      <c r="B2192" s="3" t="s">
        <v>300</v>
      </c>
      <c r="C2192">
        <v>2004</v>
      </c>
      <c r="D2192">
        <v>13000000</v>
      </c>
    </row>
    <row r="2193" spans="1:4">
      <c r="A2193" s="3" t="s">
        <v>299</v>
      </c>
      <c r="B2193" s="3" t="s">
        <v>300</v>
      </c>
      <c r="C2193">
        <v>2005</v>
      </c>
      <c r="D2193">
        <v>5000000</v>
      </c>
    </row>
    <row r="2194" spans="1:4">
      <c r="A2194" s="3" t="s">
        <v>299</v>
      </c>
      <c r="B2194" s="3" t="s">
        <v>300</v>
      </c>
      <c r="C2194">
        <v>2006</v>
      </c>
      <c r="D2194">
        <v>9000000</v>
      </c>
    </row>
    <row r="2195" spans="1:4">
      <c r="A2195" s="3" t="s">
        <v>299</v>
      </c>
      <c r="B2195" s="3" t="s">
        <v>300</v>
      </c>
      <c r="C2195">
        <v>2007</v>
      </c>
      <c r="D2195">
        <v>51000000</v>
      </c>
    </row>
    <row r="2196" spans="1:4">
      <c r="A2196" s="3" t="s">
        <v>299</v>
      </c>
      <c r="B2196" s="3" t="s">
        <v>300</v>
      </c>
      <c r="C2196">
        <v>2008</v>
      </c>
      <c r="D2196">
        <v>46000000</v>
      </c>
    </row>
    <row r="2197" spans="1:4">
      <c r="A2197" s="3" t="s">
        <v>299</v>
      </c>
      <c r="B2197" s="3" t="s">
        <v>300</v>
      </c>
      <c r="C2197">
        <v>2009</v>
      </c>
      <c r="D2197">
        <v>11000000</v>
      </c>
    </row>
    <row r="2198" spans="1:4">
      <c r="A2198" s="3" t="s">
        <v>299</v>
      </c>
      <c r="B2198" s="3" t="s">
        <v>300</v>
      </c>
      <c r="C2198">
        <v>2010</v>
      </c>
      <c r="D2198">
        <v>16000000</v>
      </c>
    </row>
    <row r="2199" spans="1:4">
      <c r="A2199" s="3" t="s">
        <v>299</v>
      </c>
      <c r="B2199" s="3" t="s">
        <v>300</v>
      </c>
      <c r="C2199">
        <v>2011</v>
      </c>
      <c r="D2199">
        <v>27000000</v>
      </c>
    </row>
    <row r="2200" spans="1:4">
      <c r="A2200" s="3" t="s">
        <v>299</v>
      </c>
      <c r="B2200" s="3" t="s">
        <v>300</v>
      </c>
      <c r="C2200">
        <v>2012</v>
      </c>
      <c r="D2200">
        <v>9000000</v>
      </c>
    </row>
    <row r="2201" spans="1:4">
      <c r="A2201" s="3" t="s">
        <v>299</v>
      </c>
      <c r="B2201" s="3" t="s">
        <v>300</v>
      </c>
      <c r="C2201">
        <v>2013</v>
      </c>
      <c r="D2201">
        <v>5000000</v>
      </c>
    </row>
    <row r="2202" spans="1:4">
      <c r="A2202" s="3" t="s">
        <v>299</v>
      </c>
      <c r="B2202" s="3" t="s">
        <v>300</v>
      </c>
      <c r="C2202">
        <v>2014</v>
      </c>
      <c r="D2202">
        <v>5000000</v>
      </c>
    </row>
    <row r="2203" spans="1:4">
      <c r="A2203" s="3" t="s">
        <v>299</v>
      </c>
      <c r="B2203" s="3" t="s">
        <v>300</v>
      </c>
      <c r="C2203">
        <v>2015</v>
      </c>
      <c r="D2203">
        <v>3000000</v>
      </c>
    </row>
    <row r="2204" spans="1:4">
      <c r="A2204" s="3" t="s">
        <v>299</v>
      </c>
      <c r="B2204" s="3" t="s">
        <v>300</v>
      </c>
      <c r="C2204">
        <v>2016</v>
      </c>
      <c r="D2204">
        <v>28000000</v>
      </c>
    </row>
    <row r="2205" spans="1:4">
      <c r="A2205" s="3" t="s">
        <v>299</v>
      </c>
      <c r="B2205" s="3" t="s">
        <v>300</v>
      </c>
      <c r="C2205">
        <v>2017</v>
      </c>
      <c r="D2205">
        <v>30000000</v>
      </c>
    </row>
    <row r="2206" spans="1:4">
      <c r="A2206" s="3" t="s">
        <v>299</v>
      </c>
      <c r="B2206" s="3" t="s">
        <v>300</v>
      </c>
      <c r="C2206">
        <v>2018</v>
      </c>
      <c r="D2206">
        <v>21000000</v>
      </c>
    </row>
    <row r="2207" spans="1:4">
      <c r="A2207" s="3" t="s">
        <v>299</v>
      </c>
      <c r="B2207" s="3" t="s">
        <v>300</v>
      </c>
      <c r="C2207">
        <v>2019</v>
      </c>
      <c r="D2207">
        <v>31000000</v>
      </c>
    </row>
    <row r="2208" spans="1:4">
      <c r="A2208" s="3" t="s">
        <v>299</v>
      </c>
      <c r="B2208" s="3" t="s">
        <v>300</v>
      </c>
      <c r="C2208">
        <v>2020</v>
      </c>
      <c r="D2208">
        <v>10000000</v>
      </c>
    </row>
    <row r="2209" spans="1:4">
      <c r="A2209" s="3" t="s">
        <v>299</v>
      </c>
      <c r="B2209" s="3" t="s">
        <v>300</v>
      </c>
      <c r="C2209">
        <v>2021</v>
      </c>
      <c r="D2209">
        <v>15000000</v>
      </c>
    </row>
    <row r="2210" spans="1:4">
      <c r="A2210" s="3" t="s">
        <v>299</v>
      </c>
      <c r="B2210" s="3" t="s">
        <v>300</v>
      </c>
      <c r="C2210">
        <v>2022</v>
      </c>
      <c r="D2210">
        <v>34000000</v>
      </c>
    </row>
    <row r="2211" spans="1:4">
      <c r="A2211" s="3" t="s">
        <v>299</v>
      </c>
      <c r="B2211" s="3" t="s">
        <v>300</v>
      </c>
      <c r="C2211">
        <v>2023</v>
      </c>
      <c r="D2211">
        <v>47000000</v>
      </c>
    </row>
    <row r="2212" spans="1:4">
      <c r="A2212" s="3" t="s">
        <v>299</v>
      </c>
      <c r="B2212" s="3" t="s">
        <v>300</v>
      </c>
      <c r="C2212">
        <v>2024</v>
      </c>
      <c r="D2212">
        <v>19000000</v>
      </c>
    </row>
    <row r="2213" spans="1:4">
      <c r="A2213" s="3" t="s">
        <v>305</v>
      </c>
      <c r="B2213" s="3" t="s">
        <v>306</v>
      </c>
      <c r="C2213">
        <v>2000</v>
      </c>
      <c r="D2213">
        <v>127000000</v>
      </c>
    </row>
    <row r="2214" spans="1:4">
      <c r="A2214" s="3" t="s">
        <v>305</v>
      </c>
      <c r="B2214" s="3" t="s">
        <v>306</v>
      </c>
      <c r="C2214">
        <v>2001</v>
      </c>
      <c r="D2214">
        <v>11000000</v>
      </c>
    </row>
    <row r="2215" spans="1:4">
      <c r="A2215" s="3" t="s">
        <v>305</v>
      </c>
      <c r="B2215" s="3" t="s">
        <v>306</v>
      </c>
      <c r="C2215">
        <v>2002</v>
      </c>
      <c r="D2215">
        <v>155000000</v>
      </c>
    </row>
    <row r="2216" spans="1:4">
      <c r="A2216" s="3" t="s">
        <v>305</v>
      </c>
      <c r="B2216" s="3" t="s">
        <v>306</v>
      </c>
      <c r="C2216">
        <v>2003</v>
      </c>
      <c r="D2216">
        <v>12000000</v>
      </c>
    </row>
    <row r="2217" spans="1:4">
      <c r="A2217" s="3" t="s">
        <v>305</v>
      </c>
      <c r="B2217" s="3" t="s">
        <v>306</v>
      </c>
      <c r="C2217">
        <v>2004</v>
      </c>
      <c r="D2217">
        <v>14000000</v>
      </c>
    </row>
    <row r="2218" spans="1:4">
      <c r="A2218" s="3" t="s">
        <v>305</v>
      </c>
      <c r="B2218" s="3" t="s">
        <v>306</v>
      </c>
      <c r="C2218">
        <v>2005</v>
      </c>
      <c r="D2218">
        <v>101000000</v>
      </c>
    </row>
    <row r="2219" spans="1:4">
      <c r="A2219" s="3" t="s">
        <v>305</v>
      </c>
      <c r="B2219" s="3" t="s">
        <v>306</v>
      </c>
      <c r="C2219">
        <v>2006</v>
      </c>
      <c r="D2219">
        <v>47000000</v>
      </c>
    </row>
    <row r="2220" spans="1:4">
      <c r="A2220" s="3" t="s">
        <v>305</v>
      </c>
      <c r="B2220" s="3" t="s">
        <v>306</v>
      </c>
      <c r="C2220">
        <v>2007</v>
      </c>
      <c r="D2220">
        <v>27000000</v>
      </c>
    </row>
    <row r="2221" spans="1:4">
      <c r="A2221" s="3" t="s">
        <v>305</v>
      </c>
      <c r="B2221" s="3" t="s">
        <v>306</v>
      </c>
      <c r="C2221">
        <v>2008</v>
      </c>
      <c r="D2221">
        <v>46000000</v>
      </c>
    </row>
    <row r="2222" spans="1:4">
      <c r="A2222" s="3" t="s">
        <v>305</v>
      </c>
      <c r="B2222" s="3" t="s">
        <v>306</v>
      </c>
      <c r="C2222">
        <v>2009</v>
      </c>
      <c r="D2222">
        <v>39000000</v>
      </c>
    </row>
    <row r="2223" spans="1:4">
      <c r="A2223" s="3" t="s">
        <v>305</v>
      </c>
      <c r="B2223" s="3" t="s">
        <v>306</v>
      </c>
      <c r="C2223">
        <v>2010</v>
      </c>
      <c r="D2223">
        <v>347000000</v>
      </c>
    </row>
    <row r="2224" spans="1:4">
      <c r="A2224" s="3" t="s">
        <v>305</v>
      </c>
      <c r="B2224" s="3" t="s">
        <v>306</v>
      </c>
      <c r="C2224">
        <v>2011</v>
      </c>
      <c r="D2224">
        <v>1289000000</v>
      </c>
    </row>
    <row r="2225" spans="1:4">
      <c r="A2225" s="3" t="s">
        <v>305</v>
      </c>
      <c r="B2225" s="3" t="s">
        <v>306</v>
      </c>
      <c r="C2225">
        <v>2012</v>
      </c>
      <c r="D2225">
        <v>1052000000</v>
      </c>
    </row>
    <row r="2226" spans="1:4">
      <c r="A2226" s="3" t="s">
        <v>305</v>
      </c>
      <c r="B2226" s="3" t="s">
        <v>306</v>
      </c>
      <c r="C2226">
        <v>2013</v>
      </c>
      <c r="D2226">
        <v>62000000</v>
      </c>
    </row>
    <row r="2227" spans="1:4">
      <c r="A2227" s="3" t="s">
        <v>305</v>
      </c>
      <c r="B2227" s="3" t="s">
        <v>306</v>
      </c>
      <c r="C2227">
        <v>2014</v>
      </c>
      <c r="D2227">
        <v>572000000</v>
      </c>
    </row>
    <row r="2228" spans="1:4">
      <c r="A2228" s="3" t="s">
        <v>305</v>
      </c>
      <c r="B2228" s="3" t="s">
        <v>306</v>
      </c>
      <c r="C2228">
        <v>2015</v>
      </c>
      <c r="D2228">
        <v>47000000</v>
      </c>
    </row>
    <row r="2229" spans="1:4">
      <c r="A2229" s="3" t="s">
        <v>305</v>
      </c>
      <c r="B2229" s="3" t="s">
        <v>306</v>
      </c>
      <c r="C2229">
        <v>2016</v>
      </c>
      <c r="D2229">
        <v>287000000</v>
      </c>
    </row>
    <row r="2230" spans="1:4">
      <c r="A2230" s="3" t="s">
        <v>305</v>
      </c>
      <c r="B2230" s="3" t="s">
        <v>306</v>
      </c>
      <c r="C2230">
        <v>2017</v>
      </c>
      <c r="D2230">
        <v>605000000</v>
      </c>
    </row>
    <row r="2231" spans="1:4">
      <c r="A2231" s="3" t="s">
        <v>305</v>
      </c>
      <c r="B2231" s="3" t="s">
        <v>306</v>
      </c>
      <c r="C2231">
        <v>2018</v>
      </c>
      <c r="D2231">
        <v>462000000</v>
      </c>
    </row>
    <row r="2232" spans="1:4">
      <c r="A2232" s="3" t="s">
        <v>305</v>
      </c>
      <c r="B2232" s="3" t="s">
        <v>306</v>
      </c>
      <c r="C2232">
        <v>2019</v>
      </c>
      <c r="D2232">
        <v>48000000</v>
      </c>
    </row>
    <row r="2233" spans="1:4">
      <c r="A2233" s="3" t="s">
        <v>305</v>
      </c>
      <c r="B2233" s="3" t="s">
        <v>306</v>
      </c>
      <c r="C2233">
        <v>2020</v>
      </c>
      <c r="D2233">
        <v>16000000</v>
      </c>
    </row>
    <row r="2234" spans="1:4">
      <c r="A2234" s="3" t="s">
        <v>305</v>
      </c>
      <c r="B2234" s="3" t="s">
        <v>306</v>
      </c>
      <c r="C2234">
        <v>2021</v>
      </c>
      <c r="D2234">
        <v>53000000</v>
      </c>
    </row>
    <row r="2235" spans="1:4">
      <c r="A2235" s="3" t="s">
        <v>305</v>
      </c>
      <c r="B2235" s="3" t="s">
        <v>306</v>
      </c>
      <c r="C2235">
        <v>2022</v>
      </c>
      <c r="D2235">
        <v>507000000</v>
      </c>
    </row>
    <row r="2236" spans="1:4">
      <c r="A2236" s="3" t="s">
        <v>305</v>
      </c>
      <c r="B2236" s="3" t="s">
        <v>306</v>
      </c>
      <c r="C2236">
        <v>2023</v>
      </c>
      <c r="D2236">
        <v>501000000</v>
      </c>
    </row>
    <row r="2237" spans="1:4">
      <c r="A2237" s="3" t="s">
        <v>305</v>
      </c>
      <c r="B2237" s="3" t="s">
        <v>306</v>
      </c>
      <c r="C2237">
        <v>2024</v>
      </c>
      <c r="D2237">
        <v>130000000</v>
      </c>
    </row>
    <row r="2238" spans="1:4">
      <c r="A2238" s="3" t="s">
        <v>309</v>
      </c>
      <c r="B2238" s="3" t="s">
        <v>310</v>
      </c>
      <c r="C2238">
        <v>2023</v>
      </c>
      <c r="D2238">
        <v>13000000</v>
      </c>
    </row>
    <row r="2239" spans="1:4">
      <c r="A2239" s="3" t="s">
        <v>309</v>
      </c>
      <c r="B2239" s="3" t="s">
        <v>310</v>
      </c>
      <c r="C2239">
        <v>2024</v>
      </c>
      <c r="D2239">
        <v>4000000</v>
      </c>
    </row>
    <row r="2240" spans="1:4">
      <c r="A2240" s="3" t="s">
        <v>311</v>
      </c>
      <c r="B2240" s="3" t="s">
        <v>312</v>
      </c>
      <c r="C2240">
        <v>2018</v>
      </c>
      <c r="D2240">
        <v>2000000</v>
      </c>
    </row>
    <row r="2241" spans="1:4">
      <c r="A2241" s="3" t="s">
        <v>311</v>
      </c>
      <c r="B2241" s="3" t="s">
        <v>312</v>
      </c>
      <c r="C2241">
        <v>2019</v>
      </c>
      <c r="D2241">
        <v>1000000</v>
      </c>
    </row>
    <row r="2242" spans="1:4">
      <c r="A2242" s="3" t="s">
        <v>311</v>
      </c>
      <c r="B2242" s="3" t="s">
        <v>312</v>
      </c>
      <c r="C2242">
        <v>2020</v>
      </c>
      <c r="D2242">
        <v>1000000</v>
      </c>
    </row>
    <row r="2243" spans="1:4">
      <c r="A2243" s="3" t="s">
        <v>313</v>
      </c>
      <c r="B2243" s="3" t="s">
        <v>314</v>
      </c>
      <c r="C2243">
        <v>2006</v>
      </c>
      <c r="D2243">
        <v>15000000</v>
      </c>
    </row>
    <row r="2244" spans="1:4">
      <c r="A2244" s="3" t="s">
        <v>313</v>
      </c>
      <c r="B2244" s="3" t="s">
        <v>314</v>
      </c>
      <c r="C2244">
        <v>2010</v>
      </c>
      <c r="D2244">
        <v>5000000</v>
      </c>
    </row>
    <row r="2245" spans="1:4">
      <c r="A2245" s="3" t="s">
        <v>313</v>
      </c>
      <c r="B2245" s="3" t="s">
        <v>314</v>
      </c>
      <c r="C2245">
        <v>2013</v>
      </c>
      <c r="D2245">
        <v>5000000</v>
      </c>
    </row>
    <row r="2246" spans="1:4">
      <c r="A2246" s="3" t="s">
        <v>313</v>
      </c>
      <c r="B2246" s="3" t="s">
        <v>314</v>
      </c>
      <c r="C2246">
        <v>2019</v>
      </c>
      <c r="D2246">
        <v>2000000</v>
      </c>
    </row>
    <row r="2247" spans="1:4">
      <c r="A2247" s="3" t="s">
        <v>313</v>
      </c>
      <c r="B2247" s="3" t="s">
        <v>314</v>
      </c>
      <c r="C2247">
        <v>2020</v>
      </c>
      <c r="D2247">
        <v>3000000</v>
      </c>
    </row>
    <row r="2248" spans="1:4">
      <c r="A2248" s="3" t="s">
        <v>313</v>
      </c>
      <c r="B2248" s="3" t="s">
        <v>314</v>
      </c>
      <c r="C2248">
        <v>2021</v>
      </c>
      <c r="D2248">
        <v>2000000</v>
      </c>
    </row>
    <row r="2249" spans="1:4">
      <c r="A2249" s="3" t="s">
        <v>313</v>
      </c>
      <c r="B2249" s="3" t="s">
        <v>314</v>
      </c>
      <c r="C2249">
        <v>2024</v>
      </c>
      <c r="D2249">
        <v>7000000</v>
      </c>
    </row>
    <row r="2250" spans="1:4">
      <c r="A2250" s="3" t="s">
        <v>315</v>
      </c>
      <c r="B2250" s="3" t="s">
        <v>316</v>
      </c>
      <c r="C2250">
        <v>2000</v>
      </c>
      <c r="D2250">
        <v>3694000000</v>
      </c>
    </row>
    <row r="2251" spans="1:4">
      <c r="A2251" s="3" t="s">
        <v>315</v>
      </c>
      <c r="B2251" s="3" t="s">
        <v>316</v>
      </c>
      <c r="C2251">
        <v>2001</v>
      </c>
      <c r="D2251">
        <v>3053000000</v>
      </c>
    </row>
    <row r="2252" spans="1:4">
      <c r="A2252" s="3" t="s">
        <v>315</v>
      </c>
      <c r="B2252" s="3" t="s">
        <v>316</v>
      </c>
      <c r="C2252">
        <v>2002</v>
      </c>
      <c r="D2252">
        <v>4213000000</v>
      </c>
    </row>
    <row r="2253" spans="1:4">
      <c r="A2253" s="3" t="s">
        <v>315</v>
      </c>
      <c r="B2253" s="3" t="s">
        <v>316</v>
      </c>
      <c r="C2253">
        <v>2003</v>
      </c>
      <c r="D2253">
        <v>3284000000</v>
      </c>
    </row>
    <row r="2254" spans="1:4">
      <c r="A2254" s="3" t="s">
        <v>315</v>
      </c>
      <c r="B2254" s="3" t="s">
        <v>316</v>
      </c>
      <c r="C2254">
        <v>2004</v>
      </c>
      <c r="D2254">
        <v>5220000000</v>
      </c>
    </row>
    <row r="2255" spans="1:4">
      <c r="A2255" s="3" t="s">
        <v>315</v>
      </c>
      <c r="B2255" s="3" t="s">
        <v>316</v>
      </c>
      <c r="C2255">
        <v>2005</v>
      </c>
      <c r="D2255">
        <v>6018000000</v>
      </c>
    </row>
    <row r="2256" spans="1:4">
      <c r="A2256" s="3" t="s">
        <v>315</v>
      </c>
      <c r="B2256" s="3" t="s">
        <v>316</v>
      </c>
      <c r="C2256">
        <v>2006</v>
      </c>
      <c r="D2256">
        <v>5956000000</v>
      </c>
    </row>
    <row r="2257" spans="1:4">
      <c r="A2257" s="3" t="s">
        <v>315</v>
      </c>
      <c r="B2257" s="3" t="s">
        <v>316</v>
      </c>
      <c r="C2257">
        <v>2007</v>
      </c>
      <c r="D2257">
        <v>5077000000</v>
      </c>
    </row>
    <row r="2258" spans="1:4">
      <c r="A2258" s="3" t="s">
        <v>315</v>
      </c>
      <c r="B2258" s="3" t="s">
        <v>316</v>
      </c>
      <c r="C2258">
        <v>2008</v>
      </c>
      <c r="D2258">
        <v>5991000000</v>
      </c>
    </row>
    <row r="2259" spans="1:4">
      <c r="A2259" s="3" t="s">
        <v>315</v>
      </c>
      <c r="B2259" s="3" t="s">
        <v>316</v>
      </c>
      <c r="C2259">
        <v>2009</v>
      </c>
      <c r="D2259">
        <v>5801000000</v>
      </c>
    </row>
    <row r="2260" spans="1:4">
      <c r="A2260" s="3" t="s">
        <v>315</v>
      </c>
      <c r="B2260" s="3" t="s">
        <v>316</v>
      </c>
      <c r="C2260">
        <v>2010</v>
      </c>
      <c r="D2260">
        <v>7993000000</v>
      </c>
    </row>
    <row r="2261" spans="1:4">
      <c r="A2261" s="3" t="s">
        <v>315</v>
      </c>
      <c r="B2261" s="3" t="s">
        <v>316</v>
      </c>
      <c r="C2261">
        <v>2011</v>
      </c>
      <c r="D2261">
        <v>9174000000</v>
      </c>
    </row>
    <row r="2262" spans="1:4">
      <c r="A2262" s="3" t="s">
        <v>315</v>
      </c>
      <c r="B2262" s="3" t="s">
        <v>316</v>
      </c>
      <c r="C2262">
        <v>2012</v>
      </c>
      <c r="D2262">
        <v>7629000000</v>
      </c>
    </row>
    <row r="2263" spans="1:4">
      <c r="A2263" s="3" t="s">
        <v>315</v>
      </c>
      <c r="B2263" s="3" t="s">
        <v>316</v>
      </c>
      <c r="C2263">
        <v>2013</v>
      </c>
      <c r="D2263">
        <v>8566000000</v>
      </c>
    </row>
    <row r="2264" spans="1:4">
      <c r="A2264" s="3" t="s">
        <v>315</v>
      </c>
      <c r="B2264" s="3" t="s">
        <v>316</v>
      </c>
      <c r="C2264">
        <v>2014</v>
      </c>
      <c r="D2264">
        <v>9328000000</v>
      </c>
    </row>
    <row r="2265" spans="1:4">
      <c r="A2265" s="3" t="s">
        <v>315</v>
      </c>
      <c r="B2265" s="3" t="s">
        <v>316</v>
      </c>
      <c r="C2265">
        <v>2015</v>
      </c>
      <c r="D2265">
        <v>11969000000</v>
      </c>
    </row>
    <row r="2266" spans="1:4">
      <c r="A2266" s="3" t="s">
        <v>315</v>
      </c>
      <c r="B2266" s="3" t="s">
        <v>316</v>
      </c>
      <c r="C2266">
        <v>2016</v>
      </c>
      <c r="D2266">
        <v>14748000000</v>
      </c>
    </row>
    <row r="2267" spans="1:4">
      <c r="A2267" s="3" t="s">
        <v>315</v>
      </c>
      <c r="B2267" s="3" t="s">
        <v>316</v>
      </c>
      <c r="C2267">
        <v>2017</v>
      </c>
      <c r="D2267">
        <v>13379000000</v>
      </c>
    </row>
    <row r="2268" spans="1:4">
      <c r="A2268" s="3" t="s">
        <v>315</v>
      </c>
      <c r="B2268" s="3" t="s">
        <v>316</v>
      </c>
      <c r="C2268">
        <v>2018</v>
      </c>
      <c r="D2268">
        <v>11314000000</v>
      </c>
    </row>
    <row r="2269" spans="1:4">
      <c r="A2269" s="3" t="s">
        <v>315</v>
      </c>
      <c r="B2269" s="3" t="s">
        <v>316</v>
      </c>
      <c r="C2269">
        <v>2019</v>
      </c>
      <c r="D2269">
        <v>9610000000</v>
      </c>
    </row>
    <row r="2270" spans="1:4">
      <c r="A2270" s="3" t="s">
        <v>315</v>
      </c>
      <c r="B2270" s="3" t="s">
        <v>316</v>
      </c>
      <c r="C2270">
        <v>2020</v>
      </c>
      <c r="D2270">
        <v>7708000000</v>
      </c>
    </row>
    <row r="2271" spans="1:4">
      <c r="A2271" s="3" t="s">
        <v>315</v>
      </c>
      <c r="B2271" s="3" t="s">
        <v>316</v>
      </c>
      <c r="C2271">
        <v>2021</v>
      </c>
      <c r="D2271">
        <v>9570000000</v>
      </c>
    </row>
    <row r="2272" spans="1:4">
      <c r="A2272" s="3" t="s">
        <v>315</v>
      </c>
      <c r="B2272" s="3" t="s">
        <v>316</v>
      </c>
      <c r="C2272">
        <v>2022</v>
      </c>
      <c r="D2272">
        <v>13228000000</v>
      </c>
    </row>
    <row r="2273" spans="1:4">
      <c r="A2273" s="3" t="s">
        <v>315</v>
      </c>
      <c r="B2273" s="3" t="s">
        <v>316</v>
      </c>
      <c r="C2273">
        <v>2023</v>
      </c>
      <c r="D2273">
        <v>10357000000</v>
      </c>
    </row>
    <row r="2274" spans="1:4">
      <c r="A2274" s="3" t="s">
        <v>315</v>
      </c>
      <c r="B2274" s="3" t="s">
        <v>316</v>
      </c>
      <c r="C2274">
        <v>2024</v>
      </c>
      <c r="D2274">
        <v>6772000000</v>
      </c>
    </row>
    <row r="2275" spans="1:4">
      <c r="A2275" s="3" t="s">
        <v>317</v>
      </c>
      <c r="B2275" s="3" t="s">
        <v>318</v>
      </c>
      <c r="C2275">
        <v>2000</v>
      </c>
      <c r="D2275">
        <v>215000000</v>
      </c>
    </row>
    <row r="2276" spans="1:4">
      <c r="A2276" s="3" t="s">
        <v>317</v>
      </c>
      <c r="B2276" s="3" t="s">
        <v>318</v>
      </c>
      <c r="C2276">
        <v>2001</v>
      </c>
      <c r="D2276">
        <v>149000000</v>
      </c>
    </row>
    <row r="2277" spans="1:4">
      <c r="A2277" s="3" t="s">
        <v>317</v>
      </c>
      <c r="B2277" s="3" t="s">
        <v>318</v>
      </c>
      <c r="C2277">
        <v>2002</v>
      </c>
      <c r="D2277">
        <v>97000000</v>
      </c>
    </row>
    <row r="2278" spans="1:4">
      <c r="A2278" s="3" t="s">
        <v>317</v>
      </c>
      <c r="B2278" s="3" t="s">
        <v>318</v>
      </c>
      <c r="C2278">
        <v>2003</v>
      </c>
      <c r="D2278">
        <v>20000000</v>
      </c>
    </row>
    <row r="2279" spans="1:4">
      <c r="A2279" s="3" t="s">
        <v>317</v>
      </c>
      <c r="B2279" s="3" t="s">
        <v>318</v>
      </c>
      <c r="C2279">
        <v>2004</v>
      </c>
      <c r="D2279">
        <v>321000000</v>
      </c>
    </row>
    <row r="2280" spans="1:4">
      <c r="A2280" s="3" t="s">
        <v>317</v>
      </c>
      <c r="B2280" s="3" t="s">
        <v>318</v>
      </c>
      <c r="C2280">
        <v>2005</v>
      </c>
      <c r="D2280">
        <v>40000000</v>
      </c>
    </row>
    <row r="2281" spans="1:4">
      <c r="A2281" s="3" t="s">
        <v>317</v>
      </c>
      <c r="B2281" s="3" t="s">
        <v>318</v>
      </c>
      <c r="C2281">
        <v>2006</v>
      </c>
      <c r="D2281">
        <v>78000000</v>
      </c>
    </row>
    <row r="2282" spans="1:4">
      <c r="A2282" s="3" t="s">
        <v>317</v>
      </c>
      <c r="B2282" s="3" t="s">
        <v>318</v>
      </c>
      <c r="C2282">
        <v>2008</v>
      </c>
      <c r="D2282">
        <v>23000000</v>
      </c>
    </row>
    <row r="2283" spans="1:4">
      <c r="A2283" s="3" t="s">
        <v>317</v>
      </c>
      <c r="B2283" s="3" t="s">
        <v>318</v>
      </c>
      <c r="C2283">
        <v>2009</v>
      </c>
      <c r="D2283">
        <v>59000000</v>
      </c>
    </row>
    <row r="2284" spans="1:4">
      <c r="A2284" s="3" t="s">
        <v>317</v>
      </c>
      <c r="B2284" s="3" t="s">
        <v>318</v>
      </c>
      <c r="C2284">
        <v>2010</v>
      </c>
      <c r="D2284">
        <v>109000000</v>
      </c>
    </row>
    <row r="2285" spans="1:4">
      <c r="A2285" s="3" t="s">
        <v>317</v>
      </c>
      <c r="B2285" s="3" t="s">
        <v>318</v>
      </c>
      <c r="C2285">
        <v>2011</v>
      </c>
      <c r="D2285">
        <v>225000000</v>
      </c>
    </row>
    <row r="2286" spans="1:4">
      <c r="A2286" s="3" t="s">
        <v>317</v>
      </c>
      <c r="B2286" s="3" t="s">
        <v>318</v>
      </c>
      <c r="C2286">
        <v>2012</v>
      </c>
      <c r="D2286">
        <v>260000000</v>
      </c>
    </row>
    <row r="2287" spans="1:4">
      <c r="A2287" s="3" t="s">
        <v>317</v>
      </c>
      <c r="B2287" s="3" t="s">
        <v>318</v>
      </c>
      <c r="C2287">
        <v>2013</v>
      </c>
      <c r="D2287">
        <v>52000000</v>
      </c>
    </row>
    <row r="2288" spans="1:4">
      <c r="A2288" s="3" t="s">
        <v>317</v>
      </c>
      <c r="B2288" s="3" t="s">
        <v>318</v>
      </c>
      <c r="C2288">
        <v>2014</v>
      </c>
      <c r="D2288">
        <v>89000000</v>
      </c>
    </row>
    <row r="2289" spans="1:4">
      <c r="A2289" s="3" t="s">
        <v>317</v>
      </c>
      <c r="B2289" s="3" t="s">
        <v>318</v>
      </c>
      <c r="C2289">
        <v>2015</v>
      </c>
      <c r="D2289">
        <v>324000000</v>
      </c>
    </row>
    <row r="2290" spans="1:4">
      <c r="A2290" s="3" t="s">
        <v>317</v>
      </c>
      <c r="B2290" s="3" t="s">
        <v>318</v>
      </c>
      <c r="C2290">
        <v>2016</v>
      </c>
      <c r="D2290">
        <v>328000000</v>
      </c>
    </row>
    <row r="2291" spans="1:4">
      <c r="A2291" s="3" t="s">
        <v>317</v>
      </c>
      <c r="B2291" s="3" t="s">
        <v>318</v>
      </c>
      <c r="C2291">
        <v>2017</v>
      </c>
      <c r="D2291">
        <v>215000000</v>
      </c>
    </row>
    <row r="2292" spans="1:4">
      <c r="A2292" s="3" t="s">
        <v>317</v>
      </c>
      <c r="B2292" s="3" t="s">
        <v>318</v>
      </c>
      <c r="C2292">
        <v>2018</v>
      </c>
      <c r="D2292">
        <v>16000000</v>
      </c>
    </row>
    <row r="2293" spans="1:4">
      <c r="A2293" s="3" t="s">
        <v>317</v>
      </c>
      <c r="B2293" s="3" t="s">
        <v>318</v>
      </c>
      <c r="C2293">
        <v>2020</v>
      </c>
      <c r="D2293">
        <v>277000000</v>
      </c>
    </row>
    <row r="2294" spans="1:4">
      <c r="A2294" s="3" t="s">
        <v>317</v>
      </c>
      <c r="B2294" s="3" t="s">
        <v>318</v>
      </c>
      <c r="C2294">
        <v>2021</v>
      </c>
      <c r="D2294">
        <v>3000000</v>
      </c>
    </row>
    <row r="2295" spans="1:4">
      <c r="A2295" s="3" t="s">
        <v>317</v>
      </c>
      <c r="B2295" s="3" t="s">
        <v>318</v>
      </c>
      <c r="C2295">
        <v>2023</v>
      </c>
      <c r="D2295">
        <v>4000000</v>
      </c>
    </row>
    <row r="2296" spans="1:4">
      <c r="A2296" s="3" t="s">
        <v>317</v>
      </c>
      <c r="B2296" s="3" t="s">
        <v>318</v>
      </c>
      <c r="C2296">
        <v>2024</v>
      </c>
      <c r="D2296">
        <v>46000000</v>
      </c>
    </row>
    <row r="2297" spans="1:4">
      <c r="A2297" s="3" t="s">
        <v>321</v>
      </c>
      <c r="B2297" s="3" t="s">
        <v>322</v>
      </c>
      <c r="C2297">
        <v>2000</v>
      </c>
      <c r="D2297">
        <v>8813000000</v>
      </c>
    </row>
    <row r="2298" spans="1:4">
      <c r="A2298" s="3" t="s">
        <v>321</v>
      </c>
      <c r="B2298" s="3" t="s">
        <v>322</v>
      </c>
      <c r="C2298">
        <v>2001</v>
      </c>
      <c r="D2298">
        <v>9444000000</v>
      </c>
    </row>
    <row r="2299" spans="1:4">
      <c r="A2299" s="3" t="s">
        <v>321</v>
      </c>
      <c r="B2299" s="3" t="s">
        <v>322</v>
      </c>
      <c r="C2299">
        <v>2002</v>
      </c>
      <c r="D2299">
        <v>9548000000</v>
      </c>
    </row>
    <row r="2300" spans="1:4">
      <c r="A2300" s="3" t="s">
        <v>321</v>
      </c>
      <c r="B2300" s="3" t="s">
        <v>322</v>
      </c>
      <c r="C2300">
        <v>2003</v>
      </c>
      <c r="D2300">
        <v>9022000000</v>
      </c>
    </row>
    <row r="2301" spans="1:4">
      <c r="A2301" s="3" t="s">
        <v>321</v>
      </c>
      <c r="B2301" s="3" t="s">
        <v>322</v>
      </c>
      <c r="C2301">
        <v>2004</v>
      </c>
      <c r="D2301">
        <v>9445000000</v>
      </c>
    </row>
    <row r="2302" spans="1:4">
      <c r="A2302" s="3" t="s">
        <v>321</v>
      </c>
      <c r="B2302" s="3" t="s">
        <v>322</v>
      </c>
      <c r="C2302">
        <v>2005</v>
      </c>
      <c r="D2302">
        <v>9786000000</v>
      </c>
    </row>
    <row r="2303" spans="1:4">
      <c r="A2303" s="3" t="s">
        <v>321</v>
      </c>
      <c r="B2303" s="3" t="s">
        <v>322</v>
      </c>
      <c r="C2303">
        <v>2006</v>
      </c>
      <c r="D2303">
        <v>10380000000</v>
      </c>
    </row>
    <row r="2304" spans="1:4">
      <c r="A2304" s="3" t="s">
        <v>321</v>
      </c>
      <c r="B2304" s="3" t="s">
        <v>322</v>
      </c>
      <c r="C2304">
        <v>2007</v>
      </c>
      <c r="D2304">
        <v>11872000000</v>
      </c>
    </row>
    <row r="2305" spans="1:4">
      <c r="A2305" s="3" t="s">
        <v>321</v>
      </c>
      <c r="B2305" s="3" t="s">
        <v>322</v>
      </c>
      <c r="C2305">
        <v>2008</v>
      </c>
      <c r="D2305">
        <v>10786000000</v>
      </c>
    </row>
    <row r="2306" spans="1:4">
      <c r="A2306" s="3" t="s">
        <v>321</v>
      </c>
      <c r="B2306" s="3" t="s">
        <v>322</v>
      </c>
      <c r="C2306">
        <v>2009</v>
      </c>
      <c r="D2306">
        <v>11006000000</v>
      </c>
    </row>
    <row r="2307" spans="1:4">
      <c r="A2307" s="3" t="s">
        <v>321</v>
      </c>
      <c r="B2307" s="3" t="s">
        <v>322</v>
      </c>
      <c r="C2307">
        <v>2010</v>
      </c>
      <c r="D2307">
        <v>12057000000</v>
      </c>
    </row>
    <row r="2308" spans="1:4">
      <c r="A2308" s="3" t="s">
        <v>321</v>
      </c>
      <c r="B2308" s="3" t="s">
        <v>322</v>
      </c>
      <c r="C2308">
        <v>2011</v>
      </c>
      <c r="D2308">
        <v>15986000000</v>
      </c>
    </row>
    <row r="2309" spans="1:4">
      <c r="A2309" s="3" t="s">
        <v>321</v>
      </c>
      <c r="B2309" s="3" t="s">
        <v>322</v>
      </c>
      <c r="C2309">
        <v>2012</v>
      </c>
      <c r="D2309">
        <v>16409000000</v>
      </c>
    </row>
    <row r="2310" spans="1:4">
      <c r="A2310" s="3" t="s">
        <v>321</v>
      </c>
      <c r="B2310" s="3" t="s">
        <v>322</v>
      </c>
      <c r="C2310">
        <v>2013</v>
      </c>
      <c r="D2310">
        <v>15668000000</v>
      </c>
    </row>
    <row r="2311" spans="1:4">
      <c r="A2311" s="3" t="s">
        <v>321</v>
      </c>
      <c r="B2311" s="3" t="s">
        <v>322</v>
      </c>
      <c r="C2311">
        <v>2014</v>
      </c>
      <c r="D2311">
        <v>14769000000</v>
      </c>
    </row>
    <row r="2312" spans="1:4">
      <c r="A2312" s="3" t="s">
        <v>321</v>
      </c>
      <c r="B2312" s="3" t="s">
        <v>322</v>
      </c>
      <c r="C2312">
        <v>2015</v>
      </c>
      <c r="D2312">
        <v>14803000000</v>
      </c>
    </row>
    <row r="2313" spans="1:4">
      <c r="A2313" s="3" t="s">
        <v>321</v>
      </c>
      <c r="B2313" s="3" t="s">
        <v>322</v>
      </c>
      <c r="C2313">
        <v>2016</v>
      </c>
      <c r="D2313">
        <v>18039000000</v>
      </c>
    </row>
    <row r="2314" spans="1:4">
      <c r="A2314" s="3" t="s">
        <v>321</v>
      </c>
      <c r="B2314" s="3" t="s">
        <v>322</v>
      </c>
      <c r="C2314">
        <v>2017</v>
      </c>
      <c r="D2314">
        <v>16345000000</v>
      </c>
    </row>
    <row r="2315" spans="1:4">
      <c r="A2315" s="3" t="s">
        <v>321</v>
      </c>
      <c r="B2315" s="3" t="s">
        <v>322</v>
      </c>
      <c r="C2315">
        <v>2018</v>
      </c>
      <c r="D2315">
        <v>14084000000</v>
      </c>
    </row>
    <row r="2316" spans="1:4">
      <c r="A2316" s="3" t="s">
        <v>321</v>
      </c>
      <c r="B2316" s="3" t="s">
        <v>322</v>
      </c>
      <c r="C2316">
        <v>2019</v>
      </c>
      <c r="D2316">
        <v>11764000000</v>
      </c>
    </row>
    <row r="2317" spans="1:4">
      <c r="A2317" s="3" t="s">
        <v>321</v>
      </c>
      <c r="B2317" s="3" t="s">
        <v>322</v>
      </c>
      <c r="C2317">
        <v>2020</v>
      </c>
      <c r="D2317">
        <v>9252000000</v>
      </c>
    </row>
    <row r="2318" spans="1:4">
      <c r="A2318" s="3" t="s">
        <v>321</v>
      </c>
      <c r="B2318" s="3" t="s">
        <v>322</v>
      </c>
      <c r="C2318">
        <v>2021</v>
      </c>
      <c r="D2318">
        <v>10890000000</v>
      </c>
    </row>
    <row r="2319" spans="1:4">
      <c r="A2319" s="3" t="s">
        <v>321</v>
      </c>
      <c r="B2319" s="3" t="s">
        <v>322</v>
      </c>
      <c r="C2319">
        <v>2022</v>
      </c>
      <c r="D2319">
        <v>12915000000</v>
      </c>
    </row>
    <row r="2320" spans="1:4">
      <c r="A2320" s="3" t="s">
        <v>321</v>
      </c>
      <c r="B2320" s="3" t="s">
        <v>322</v>
      </c>
      <c r="C2320">
        <v>2023</v>
      </c>
      <c r="D2320">
        <v>14188000000</v>
      </c>
    </row>
    <row r="2321" spans="1:4">
      <c r="A2321" s="3" t="s">
        <v>321</v>
      </c>
      <c r="B2321" s="3" t="s">
        <v>322</v>
      </c>
      <c r="C2321">
        <v>2024</v>
      </c>
      <c r="D2321">
        <v>12438000000</v>
      </c>
    </row>
    <row r="2322" spans="1:4">
      <c r="A2322" s="3" t="s">
        <v>323</v>
      </c>
      <c r="B2322" s="3" t="s">
        <v>324</v>
      </c>
      <c r="C2322">
        <v>2000</v>
      </c>
      <c r="D2322">
        <v>17000000</v>
      </c>
    </row>
    <row r="2323" spans="1:4">
      <c r="A2323" s="3" t="s">
        <v>323</v>
      </c>
      <c r="B2323" s="3" t="s">
        <v>324</v>
      </c>
      <c r="C2323">
        <v>2001</v>
      </c>
      <c r="D2323">
        <v>118000000</v>
      </c>
    </row>
    <row r="2324" spans="1:4">
      <c r="A2324" s="3" t="s">
        <v>323</v>
      </c>
      <c r="B2324" s="3" t="s">
        <v>324</v>
      </c>
      <c r="C2324">
        <v>2006</v>
      </c>
      <c r="D2324">
        <v>0</v>
      </c>
    </row>
    <row r="2325" spans="1:4">
      <c r="A2325" s="3" t="s">
        <v>323</v>
      </c>
      <c r="B2325" s="3" t="s">
        <v>324</v>
      </c>
      <c r="C2325">
        <v>2009</v>
      </c>
      <c r="D2325">
        <v>6000000</v>
      </c>
    </row>
    <row r="2326" spans="1:4">
      <c r="A2326" s="3" t="s">
        <v>323</v>
      </c>
      <c r="B2326" s="3" t="s">
        <v>324</v>
      </c>
      <c r="C2326">
        <v>2012</v>
      </c>
      <c r="D2326">
        <v>0</v>
      </c>
    </row>
    <row r="2327" spans="1:4">
      <c r="A2327" s="3" t="s">
        <v>323</v>
      </c>
      <c r="B2327" s="3" t="s">
        <v>324</v>
      </c>
      <c r="C2327">
        <v>2013</v>
      </c>
      <c r="D2327">
        <v>1000000</v>
      </c>
    </row>
    <row r="2328" spans="1:4">
      <c r="A2328" s="3" t="s">
        <v>323</v>
      </c>
      <c r="B2328" s="3" t="s">
        <v>324</v>
      </c>
      <c r="C2328">
        <v>2016</v>
      </c>
      <c r="D2328">
        <v>0</v>
      </c>
    </row>
    <row r="2329" spans="1:4">
      <c r="A2329" s="3" t="s">
        <v>323</v>
      </c>
      <c r="B2329" s="3" t="s">
        <v>324</v>
      </c>
      <c r="C2329">
        <v>2022</v>
      </c>
      <c r="D2329">
        <v>1000000</v>
      </c>
    </row>
    <row r="2330" spans="1:4">
      <c r="A2330" s="3" t="s">
        <v>323</v>
      </c>
      <c r="B2330" s="3" t="s">
        <v>324</v>
      </c>
      <c r="C2330">
        <v>2023</v>
      </c>
      <c r="D2330">
        <v>5000000</v>
      </c>
    </row>
    <row r="2331" spans="1:4">
      <c r="A2331" s="3" t="s">
        <v>323</v>
      </c>
      <c r="B2331" s="3" t="s">
        <v>324</v>
      </c>
      <c r="C2331">
        <v>2024</v>
      </c>
      <c r="D2331">
        <v>1000000</v>
      </c>
    </row>
    <row r="2332" spans="1:4">
      <c r="A2332" s="3" t="s">
        <v>325</v>
      </c>
      <c r="B2332" s="3" t="s">
        <v>326</v>
      </c>
      <c r="C2332">
        <v>2000</v>
      </c>
      <c r="D2332">
        <v>7000000</v>
      </c>
    </row>
    <row r="2333" spans="1:4">
      <c r="A2333" s="3" t="s">
        <v>325</v>
      </c>
      <c r="B2333" s="3" t="s">
        <v>326</v>
      </c>
      <c r="C2333">
        <v>2002</v>
      </c>
      <c r="D2333">
        <v>1000000</v>
      </c>
    </row>
    <row r="2334" spans="1:4">
      <c r="A2334" s="3" t="s">
        <v>325</v>
      </c>
      <c r="B2334" s="3" t="s">
        <v>326</v>
      </c>
      <c r="C2334">
        <v>2003</v>
      </c>
      <c r="D2334">
        <v>3000000</v>
      </c>
    </row>
    <row r="2335" spans="1:4">
      <c r="A2335" s="3" t="s">
        <v>325</v>
      </c>
      <c r="B2335" s="3" t="s">
        <v>326</v>
      </c>
      <c r="C2335">
        <v>2005</v>
      </c>
      <c r="D2335">
        <v>13000000</v>
      </c>
    </row>
    <row r="2336" spans="1:4">
      <c r="A2336" s="3" t="s">
        <v>325</v>
      </c>
      <c r="B2336" s="3" t="s">
        <v>326</v>
      </c>
      <c r="C2336">
        <v>2007</v>
      </c>
      <c r="D2336">
        <v>8000000</v>
      </c>
    </row>
    <row r="2337" spans="1:4">
      <c r="A2337" s="3" t="s">
        <v>325</v>
      </c>
      <c r="B2337" s="3" t="s">
        <v>326</v>
      </c>
      <c r="C2337">
        <v>2008</v>
      </c>
      <c r="D2337">
        <v>3000000</v>
      </c>
    </row>
    <row r="2338" spans="1:4">
      <c r="A2338" s="3" t="s">
        <v>325</v>
      </c>
      <c r="B2338" s="3" t="s">
        <v>326</v>
      </c>
      <c r="C2338">
        <v>2009</v>
      </c>
      <c r="D2338">
        <v>10000000</v>
      </c>
    </row>
    <row r="2339" spans="1:4">
      <c r="A2339" s="3" t="s">
        <v>325</v>
      </c>
      <c r="B2339" s="3" t="s">
        <v>326</v>
      </c>
      <c r="C2339">
        <v>2011</v>
      </c>
      <c r="D2339">
        <v>0</v>
      </c>
    </row>
    <row r="2340" spans="1:4">
      <c r="A2340" s="3" t="s">
        <v>325</v>
      </c>
      <c r="B2340" s="3" t="s">
        <v>326</v>
      </c>
      <c r="C2340">
        <v>2012</v>
      </c>
      <c r="D2340">
        <v>9000000</v>
      </c>
    </row>
    <row r="2341" spans="1:4">
      <c r="A2341" s="3" t="s">
        <v>325</v>
      </c>
      <c r="B2341" s="3" t="s">
        <v>326</v>
      </c>
      <c r="C2341">
        <v>2013</v>
      </c>
      <c r="D2341">
        <v>7000000</v>
      </c>
    </row>
    <row r="2342" spans="1:4">
      <c r="A2342" s="3" t="s">
        <v>325</v>
      </c>
      <c r="B2342" s="3" t="s">
        <v>326</v>
      </c>
      <c r="C2342">
        <v>2014</v>
      </c>
      <c r="D2342">
        <v>1000000</v>
      </c>
    </row>
    <row r="2343" spans="1:4">
      <c r="A2343" s="3" t="s">
        <v>325</v>
      </c>
      <c r="B2343" s="3" t="s">
        <v>326</v>
      </c>
      <c r="C2343">
        <v>2016</v>
      </c>
      <c r="D2343">
        <v>22000000</v>
      </c>
    </row>
    <row r="2344" spans="1:4">
      <c r="A2344" s="3" t="s">
        <v>325</v>
      </c>
      <c r="B2344" s="3" t="s">
        <v>326</v>
      </c>
      <c r="C2344">
        <v>2017</v>
      </c>
      <c r="D2344">
        <v>32000000</v>
      </c>
    </row>
    <row r="2345" spans="1:4">
      <c r="A2345" s="3" t="s">
        <v>325</v>
      </c>
      <c r="B2345" s="3" t="s">
        <v>326</v>
      </c>
      <c r="C2345">
        <v>2018</v>
      </c>
      <c r="D2345">
        <v>27000000</v>
      </c>
    </row>
    <row r="2346" spans="1:4">
      <c r="A2346" s="3" t="s">
        <v>325</v>
      </c>
      <c r="B2346" s="3" t="s">
        <v>326</v>
      </c>
      <c r="C2346">
        <v>2019</v>
      </c>
      <c r="D2346">
        <v>20000000</v>
      </c>
    </row>
    <row r="2347" spans="1:4">
      <c r="A2347" s="3" t="s">
        <v>325</v>
      </c>
      <c r="B2347" s="3" t="s">
        <v>326</v>
      </c>
      <c r="C2347">
        <v>2020</v>
      </c>
      <c r="D2347">
        <v>49000000</v>
      </c>
    </row>
    <row r="2348" spans="1:4">
      <c r="A2348" s="3" t="s">
        <v>325</v>
      </c>
      <c r="B2348" s="3" t="s">
        <v>326</v>
      </c>
      <c r="C2348">
        <v>2021</v>
      </c>
      <c r="D2348">
        <v>39000000</v>
      </c>
    </row>
    <row r="2349" spans="1:4">
      <c r="A2349" s="3" t="s">
        <v>325</v>
      </c>
      <c r="B2349" s="3" t="s">
        <v>326</v>
      </c>
      <c r="C2349">
        <v>2022</v>
      </c>
      <c r="D2349">
        <v>62000000</v>
      </c>
    </row>
    <row r="2350" spans="1:4">
      <c r="A2350" s="3" t="s">
        <v>325</v>
      </c>
      <c r="B2350" s="3" t="s">
        <v>326</v>
      </c>
      <c r="C2350">
        <v>2023</v>
      </c>
      <c r="D2350">
        <v>82000000</v>
      </c>
    </row>
    <row r="2351" spans="1:4">
      <c r="A2351" s="3" t="s">
        <v>325</v>
      </c>
      <c r="B2351" s="3" t="s">
        <v>326</v>
      </c>
      <c r="C2351">
        <v>2024</v>
      </c>
      <c r="D2351">
        <v>25000000</v>
      </c>
    </row>
    <row r="2352" spans="1:4">
      <c r="A2352" s="3" t="s">
        <v>327</v>
      </c>
      <c r="B2352" s="3" t="s">
        <v>328</v>
      </c>
      <c r="C2352">
        <v>2000</v>
      </c>
      <c r="D2352">
        <v>0</v>
      </c>
    </row>
    <row r="2353" spans="1:4">
      <c r="A2353" s="3" t="s">
        <v>327</v>
      </c>
      <c r="B2353" s="3" t="s">
        <v>328</v>
      </c>
      <c r="C2353">
        <v>2001</v>
      </c>
      <c r="D2353">
        <v>0</v>
      </c>
    </row>
    <row r="2354" spans="1:4">
      <c r="A2354" s="3" t="s">
        <v>327</v>
      </c>
      <c r="B2354" s="3" t="s">
        <v>328</v>
      </c>
      <c r="C2354">
        <v>2002</v>
      </c>
      <c r="D2354">
        <v>4000000</v>
      </c>
    </row>
    <row r="2355" spans="1:4">
      <c r="A2355" s="3" t="s">
        <v>327</v>
      </c>
      <c r="B2355" s="3" t="s">
        <v>328</v>
      </c>
      <c r="C2355">
        <v>2004</v>
      </c>
      <c r="D2355">
        <v>4000000</v>
      </c>
    </row>
    <row r="2356" spans="1:4">
      <c r="A2356" s="3" t="s">
        <v>327</v>
      </c>
      <c r="B2356" s="3" t="s">
        <v>328</v>
      </c>
      <c r="C2356">
        <v>2005</v>
      </c>
      <c r="D2356">
        <v>18000000</v>
      </c>
    </row>
    <row r="2357" spans="1:4">
      <c r="A2357" s="3" t="s">
        <v>327</v>
      </c>
      <c r="B2357" s="3" t="s">
        <v>328</v>
      </c>
      <c r="C2357">
        <v>2011</v>
      </c>
      <c r="D2357">
        <v>8000000</v>
      </c>
    </row>
    <row r="2358" spans="1:4">
      <c r="A2358" s="3" t="s">
        <v>327</v>
      </c>
      <c r="B2358" s="3" t="s">
        <v>328</v>
      </c>
      <c r="C2358">
        <v>2012</v>
      </c>
      <c r="D2358">
        <v>8000000</v>
      </c>
    </row>
    <row r="2359" spans="1:4">
      <c r="A2359" s="3" t="s">
        <v>327</v>
      </c>
      <c r="B2359" s="3" t="s">
        <v>328</v>
      </c>
      <c r="C2359">
        <v>2014</v>
      </c>
      <c r="D2359">
        <v>12000000</v>
      </c>
    </row>
    <row r="2360" spans="1:4">
      <c r="A2360" s="3" t="s">
        <v>327</v>
      </c>
      <c r="B2360" s="3" t="s">
        <v>328</v>
      </c>
      <c r="C2360">
        <v>2015</v>
      </c>
      <c r="D2360">
        <v>10000000</v>
      </c>
    </row>
    <row r="2361" spans="1:4">
      <c r="A2361" s="3" t="s">
        <v>327</v>
      </c>
      <c r="B2361" s="3" t="s">
        <v>328</v>
      </c>
      <c r="C2361">
        <v>2016</v>
      </c>
      <c r="D2361">
        <v>6000000</v>
      </c>
    </row>
    <row r="2362" spans="1:4">
      <c r="A2362" s="3" t="s">
        <v>327</v>
      </c>
      <c r="B2362" s="3" t="s">
        <v>328</v>
      </c>
      <c r="C2362">
        <v>2017</v>
      </c>
      <c r="D2362">
        <v>8000000</v>
      </c>
    </row>
    <row r="2363" spans="1:4">
      <c r="A2363" s="3" t="s">
        <v>327</v>
      </c>
      <c r="B2363" s="3" t="s">
        <v>328</v>
      </c>
      <c r="C2363">
        <v>2023</v>
      </c>
      <c r="D2363">
        <v>45000000</v>
      </c>
    </row>
    <row r="2364" spans="1:4">
      <c r="A2364" s="3" t="s">
        <v>329</v>
      </c>
      <c r="B2364" s="3" t="s">
        <v>330</v>
      </c>
      <c r="C2364">
        <v>2000</v>
      </c>
      <c r="D2364">
        <v>16000000</v>
      </c>
    </row>
    <row r="2365" spans="1:4">
      <c r="A2365" s="3" t="s">
        <v>329</v>
      </c>
      <c r="B2365" s="3" t="s">
        <v>330</v>
      </c>
      <c r="C2365">
        <v>2001</v>
      </c>
      <c r="D2365">
        <v>153000000</v>
      </c>
    </row>
    <row r="2366" spans="1:4">
      <c r="A2366" s="3" t="s">
        <v>329</v>
      </c>
      <c r="B2366" s="3" t="s">
        <v>330</v>
      </c>
      <c r="C2366">
        <v>2002</v>
      </c>
      <c r="D2366">
        <v>156000000</v>
      </c>
    </row>
    <row r="2367" spans="1:4">
      <c r="A2367" s="3" t="s">
        <v>329</v>
      </c>
      <c r="B2367" s="3" t="s">
        <v>330</v>
      </c>
      <c r="C2367">
        <v>2003</v>
      </c>
      <c r="D2367">
        <v>100000000</v>
      </c>
    </row>
    <row r="2368" spans="1:4">
      <c r="A2368" s="3" t="s">
        <v>329</v>
      </c>
      <c r="B2368" s="3" t="s">
        <v>330</v>
      </c>
      <c r="C2368">
        <v>2004</v>
      </c>
      <c r="D2368">
        <v>192000000</v>
      </c>
    </row>
    <row r="2369" spans="1:4">
      <c r="A2369" s="3" t="s">
        <v>329</v>
      </c>
      <c r="B2369" s="3" t="s">
        <v>330</v>
      </c>
      <c r="C2369">
        <v>2005</v>
      </c>
      <c r="D2369">
        <v>179000000</v>
      </c>
    </row>
    <row r="2370" spans="1:4">
      <c r="A2370" s="3" t="s">
        <v>329</v>
      </c>
      <c r="B2370" s="3" t="s">
        <v>330</v>
      </c>
      <c r="C2370">
        <v>2006</v>
      </c>
      <c r="D2370">
        <v>206000000</v>
      </c>
    </row>
    <row r="2371" spans="1:4">
      <c r="A2371" s="3" t="s">
        <v>329</v>
      </c>
      <c r="B2371" s="3" t="s">
        <v>330</v>
      </c>
      <c r="C2371">
        <v>2007</v>
      </c>
      <c r="D2371">
        <v>153000000</v>
      </c>
    </row>
    <row r="2372" spans="1:4">
      <c r="A2372" s="3" t="s">
        <v>329</v>
      </c>
      <c r="B2372" s="3" t="s">
        <v>330</v>
      </c>
      <c r="C2372">
        <v>2008</v>
      </c>
      <c r="D2372">
        <v>80000000</v>
      </c>
    </row>
    <row r="2373" spans="1:4">
      <c r="A2373" s="3" t="s">
        <v>329</v>
      </c>
      <c r="B2373" s="3" t="s">
        <v>330</v>
      </c>
      <c r="C2373">
        <v>2009</v>
      </c>
      <c r="D2373">
        <v>65000000</v>
      </c>
    </row>
    <row r="2374" spans="1:4">
      <c r="A2374" s="3" t="s">
        <v>329</v>
      </c>
      <c r="B2374" s="3" t="s">
        <v>330</v>
      </c>
      <c r="C2374">
        <v>2010</v>
      </c>
      <c r="D2374">
        <v>62000000</v>
      </c>
    </row>
    <row r="2375" spans="1:4">
      <c r="A2375" s="3" t="s">
        <v>329</v>
      </c>
      <c r="B2375" s="3" t="s">
        <v>330</v>
      </c>
      <c r="C2375">
        <v>2011</v>
      </c>
      <c r="D2375">
        <v>668000000</v>
      </c>
    </row>
    <row r="2376" spans="1:4">
      <c r="A2376" s="3" t="s">
        <v>329</v>
      </c>
      <c r="B2376" s="3" t="s">
        <v>330</v>
      </c>
      <c r="C2376">
        <v>2012</v>
      </c>
      <c r="D2376">
        <v>398000000</v>
      </c>
    </row>
    <row r="2377" spans="1:4">
      <c r="A2377" s="3" t="s">
        <v>329</v>
      </c>
      <c r="B2377" s="3" t="s">
        <v>330</v>
      </c>
      <c r="C2377">
        <v>2013</v>
      </c>
      <c r="D2377">
        <v>252000000</v>
      </c>
    </row>
    <row r="2378" spans="1:4">
      <c r="A2378" s="3" t="s">
        <v>329</v>
      </c>
      <c r="B2378" s="3" t="s">
        <v>330</v>
      </c>
      <c r="C2378">
        <v>2014</v>
      </c>
      <c r="D2378">
        <v>112000000</v>
      </c>
    </row>
    <row r="2379" spans="1:4">
      <c r="A2379" s="3" t="s">
        <v>329</v>
      </c>
      <c r="B2379" s="3" t="s">
        <v>330</v>
      </c>
      <c r="C2379">
        <v>2015</v>
      </c>
      <c r="D2379">
        <v>258000000</v>
      </c>
    </row>
    <row r="2380" spans="1:4">
      <c r="A2380" s="3" t="s">
        <v>329</v>
      </c>
      <c r="B2380" s="3" t="s">
        <v>330</v>
      </c>
      <c r="C2380">
        <v>2016</v>
      </c>
      <c r="D2380">
        <v>284000000</v>
      </c>
    </row>
    <row r="2381" spans="1:4">
      <c r="A2381" s="3" t="s">
        <v>329</v>
      </c>
      <c r="B2381" s="3" t="s">
        <v>330</v>
      </c>
      <c r="C2381">
        <v>2017</v>
      </c>
      <c r="D2381">
        <v>210000000</v>
      </c>
    </row>
    <row r="2382" spans="1:4">
      <c r="A2382" s="3" t="s">
        <v>329</v>
      </c>
      <c r="B2382" s="3" t="s">
        <v>330</v>
      </c>
      <c r="C2382">
        <v>2018</v>
      </c>
      <c r="D2382">
        <v>203000000</v>
      </c>
    </row>
    <row r="2383" spans="1:4">
      <c r="A2383" s="3" t="s">
        <v>329</v>
      </c>
      <c r="B2383" s="3" t="s">
        <v>330</v>
      </c>
      <c r="C2383">
        <v>2019</v>
      </c>
      <c r="D2383">
        <v>206000000</v>
      </c>
    </row>
    <row r="2384" spans="1:4">
      <c r="A2384" s="3" t="s">
        <v>329</v>
      </c>
      <c r="B2384" s="3" t="s">
        <v>330</v>
      </c>
      <c r="C2384">
        <v>2020</v>
      </c>
      <c r="D2384">
        <v>217000000</v>
      </c>
    </row>
    <row r="2385" spans="1:4">
      <c r="A2385" s="3" t="s">
        <v>329</v>
      </c>
      <c r="B2385" s="3" t="s">
        <v>330</v>
      </c>
      <c r="C2385">
        <v>2021</v>
      </c>
      <c r="D2385">
        <v>67000000</v>
      </c>
    </row>
    <row r="2386" spans="1:4">
      <c r="A2386" s="3" t="s">
        <v>329</v>
      </c>
      <c r="B2386" s="3" t="s">
        <v>330</v>
      </c>
      <c r="C2386">
        <v>2022</v>
      </c>
      <c r="D2386">
        <v>229000000</v>
      </c>
    </row>
    <row r="2387" spans="1:4">
      <c r="A2387" s="3" t="s">
        <v>329</v>
      </c>
      <c r="B2387" s="3" t="s">
        <v>330</v>
      </c>
      <c r="C2387">
        <v>2023</v>
      </c>
      <c r="D2387">
        <v>132000000</v>
      </c>
    </row>
    <row r="2388" spans="1:4">
      <c r="A2388" s="3" t="s">
        <v>329</v>
      </c>
      <c r="B2388" s="3" t="s">
        <v>330</v>
      </c>
      <c r="C2388">
        <v>2024</v>
      </c>
      <c r="D2388">
        <v>222000000</v>
      </c>
    </row>
    <row r="2389" spans="1:4">
      <c r="A2389" s="3" t="s">
        <v>331</v>
      </c>
      <c r="B2389" s="3" t="s">
        <v>332</v>
      </c>
      <c r="C2389">
        <v>2000</v>
      </c>
      <c r="D2389">
        <v>2308000000</v>
      </c>
    </row>
    <row r="2390" spans="1:4">
      <c r="A2390" s="3" t="s">
        <v>331</v>
      </c>
      <c r="B2390" s="3" t="s">
        <v>332</v>
      </c>
      <c r="C2390">
        <v>2001</v>
      </c>
      <c r="D2390">
        <v>2565000000</v>
      </c>
    </row>
    <row r="2391" spans="1:4">
      <c r="A2391" s="3" t="s">
        <v>331</v>
      </c>
      <c r="B2391" s="3" t="s">
        <v>332</v>
      </c>
      <c r="C2391">
        <v>2002</v>
      </c>
      <c r="D2391">
        <v>2963000000</v>
      </c>
    </row>
    <row r="2392" spans="1:4">
      <c r="A2392" s="3" t="s">
        <v>331</v>
      </c>
      <c r="B2392" s="3" t="s">
        <v>332</v>
      </c>
      <c r="C2392">
        <v>2003</v>
      </c>
      <c r="D2392">
        <v>2181000000</v>
      </c>
    </row>
    <row r="2393" spans="1:4">
      <c r="A2393" s="3" t="s">
        <v>331</v>
      </c>
      <c r="B2393" s="3" t="s">
        <v>332</v>
      </c>
      <c r="C2393">
        <v>2005</v>
      </c>
      <c r="D2393">
        <v>2403000000</v>
      </c>
    </row>
    <row r="2394" spans="1:4">
      <c r="A2394" s="3" t="s">
        <v>331</v>
      </c>
      <c r="B2394" s="3" t="s">
        <v>332</v>
      </c>
      <c r="C2394">
        <v>2006</v>
      </c>
      <c r="D2394">
        <v>2334000000</v>
      </c>
    </row>
    <row r="2395" spans="1:4">
      <c r="A2395" s="3" t="s">
        <v>331</v>
      </c>
      <c r="B2395" s="3" t="s">
        <v>332</v>
      </c>
      <c r="C2395">
        <v>2007</v>
      </c>
      <c r="D2395">
        <v>2835000000</v>
      </c>
    </row>
    <row r="2396" spans="1:4">
      <c r="A2396" s="3" t="s">
        <v>331</v>
      </c>
      <c r="B2396" s="3" t="s">
        <v>332</v>
      </c>
      <c r="C2396">
        <v>2008</v>
      </c>
      <c r="D2396">
        <v>4094000000</v>
      </c>
    </row>
    <row r="2397" spans="1:4">
      <c r="A2397" s="3" t="s">
        <v>331</v>
      </c>
      <c r="B2397" s="3" t="s">
        <v>332</v>
      </c>
      <c r="C2397">
        <v>2009</v>
      </c>
      <c r="D2397">
        <v>3818000000</v>
      </c>
    </row>
    <row r="2398" spans="1:4">
      <c r="A2398" s="3" t="s">
        <v>331</v>
      </c>
      <c r="B2398" s="3" t="s">
        <v>332</v>
      </c>
      <c r="C2398">
        <v>2010</v>
      </c>
      <c r="D2398">
        <v>5912000000</v>
      </c>
    </row>
    <row r="2399" spans="1:4">
      <c r="A2399" s="3" t="s">
        <v>331</v>
      </c>
      <c r="B2399" s="3" t="s">
        <v>332</v>
      </c>
      <c r="C2399">
        <v>2011</v>
      </c>
      <c r="D2399">
        <v>6356000000</v>
      </c>
    </row>
    <row r="2400" spans="1:4">
      <c r="A2400" s="3" t="s">
        <v>331</v>
      </c>
      <c r="B2400" s="3" t="s">
        <v>332</v>
      </c>
      <c r="C2400">
        <v>2012</v>
      </c>
      <c r="D2400">
        <v>4993000000</v>
      </c>
    </row>
    <row r="2401" spans="1:4">
      <c r="A2401" s="3" t="s">
        <v>331</v>
      </c>
      <c r="B2401" s="3" t="s">
        <v>332</v>
      </c>
      <c r="C2401">
        <v>2013</v>
      </c>
      <c r="D2401">
        <v>3680000000</v>
      </c>
    </row>
    <row r="2402" spans="1:4">
      <c r="A2402" s="3" t="s">
        <v>331</v>
      </c>
      <c r="B2402" s="3" t="s">
        <v>332</v>
      </c>
      <c r="C2402">
        <v>2014</v>
      </c>
      <c r="D2402">
        <v>3838000000</v>
      </c>
    </row>
    <row r="2403" spans="1:4">
      <c r="A2403" s="3" t="s">
        <v>331</v>
      </c>
      <c r="B2403" s="3" t="s">
        <v>332</v>
      </c>
      <c r="C2403">
        <v>2015</v>
      </c>
      <c r="D2403">
        <v>5124000000</v>
      </c>
    </row>
    <row r="2404" spans="1:4">
      <c r="A2404" s="3" t="s">
        <v>331</v>
      </c>
      <c r="B2404" s="3" t="s">
        <v>332</v>
      </c>
      <c r="C2404">
        <v>2016</v>
      </c>
      <c r="D2404">
        <v>8495000000</v>
      </c>
    </row>
    <row r="2405" spans="1:4">
      <c r="A2405" s="3" t="s">
        <v>331</v>
      </c>
      <c r="B2405" s="3" t="s">
        <v>332</v>
      </c>
      <c r="C2405">
        <v>2017</v>
      </c>
      <c r="D2405">
        <v>6863000000</v>
      </c>
    </row>
    <row r="2406" spans="1:4">
      <c r="A2406" s="3" t="s">
        <v>331</v>
      </c>
      <c r="B2406" s="3" t="s">
        <v>332</v>
      </c>
      <c r="C2406">
        <v>2018</v>
      </c>
      <c r="D2406">
        <v>5651000000</v>
      </c>
    </row>
    <row r="2407" spans="1:4">
      <c r="A2407" s="3" t="s">
        <v>331</v>
      </c>
      <c r="B2407" s="3" t="s">
        <v>332</v>
      </c>
      <c r="C2407">
        <v>2019</v>
      </c>
      <c r="D2407">
        <v>2917000000</v>
      </c>
    </row>
    <row r="2408" spans="1:4">
      <c r="A2408" s="3" t="s">
        <v>331</v>
      </c>
      <c r="B2408" s="3" t="s">
        <v>332</v>
      </c>
      <c r="C2408">
        <v>2020</v>
      </c>
      <c r="D2408">
        <v>3167000000</v>
      </c>
    </row>
    <row r="2409" spans="1:4">
      <c r="A2409" s="3" t="s">
        <v>331</v>
      </c>
      <c r="B2409" s="3" t="s">
        <v>332</v>
      </c>
      <c r="C2409">
        <v>2021</v>
      </c>
      <c r="D2409">
        <v>2747000000</v>
      </c>
    </row>
    <row r="2410" spans="1:4">
      <c r="A2410" s="3" t="s">
        <v>331</v>
      </c>
      <c r="B2410" s="3" t="s">
        <v>332</v>
      </c>
      <c r="C2410">
        <v>2022</v>
      </c>
      <c r="D2410">
        <v>3418000000</v>
      </c>
    </row>
    <row r="2411" spans="1:4">
      <c r="A2411" s="3" t="s">
        <v>331</v>
      </c>
      <c r="B2411" s="3" t="s">
        <v>332</v>
      </c>
      <c r="C2411">
        <v>2023</v>
      </c>
      <c r="D2411">
        <v>4404000000</v>
      </c>
    </row>
    <row r="2412" spans="1:4">
      <c r="A2412" s="3" t="s">
        <v>331</v>
      </c>
      <c r="B2412" s="3" t="s">
        <v>332</v>
      </c>
      <c r="C2412">
        <v>2024</v>
      </c>
      <c r="D2412">
        <v>1779000000</v>
      </c>
    </row>
    <row r="2413" spans="1:4">
      <c r="A2413" s="3" t="s">
        <v>333</v>
      </c>
      <c r="B2413" s="3" t="s">
        <v>334</v>
      </c>
      <c r="C2413">
        <v>2015</v>
      </c>
      <c r="D2413">
        <v>1000000</v>
      </c>
    </row>
    <row r="2414" spans="1:4">
      <c r="A2414" s="3" t="s">
        <v>333</v>
      </c>
      <c r="B2414" s="3" t="s">
        <v>334</v>
      </c>
      <c r="C2414">
        <v>2016</v>
      </c>
      <c r="D2414">
        <v>0</v>
      </c>
    </row>
    <row r="2415" spans="1:4">
      <c r="A2415" s="3" t="s">
        <v>333</v>
      </c>
      <c r="B2415" s="3" t="s">
        <v>334</v>
      </c>
      <c r="C2415">
        <v>2018</v>
      </c>
      <c r="D2415">
        <v>15000000</v>
      </c>
    </row>
    <row r="2416" spans="1:4">
      <c r="A2416" s="3" t="s">
        <v>333</v>
      </c>
      <c r="B2416" s="3" t="s">
        <v>334</v>
      </c>
      <c r="C2416">
        <v>2020</v>
      </c>
      <c r="D2416">
        <v>5000000</v>
      </c>
    </row>
    <row r="2417" spans="1:4">
      <c r="A2417" s="3" t="s">
        <v>333</v>
      </c>
      <c r="B2417" s="3" t="s">
        <v>334</v>
      </c>
      <c r="C2417">
        <v>2021</v>
      </c>
      <c r="D2417">
        <v>1000000</v>
      </c>
    </row>
    <row r="2418" spans="1:4">
      <c r="A2418" s="3" t="s">
        <v>333</v>
      </c>
      <c r="B2418" s="3" t="s">
        <v>334</v>
      </c>
      <c r="C2418">
        <v>2022</v>
      </c>
      <c r="D2418">
        <v>2000000</v>
      </c>
    </row>
    <row r="2419" spans="1:4">
      <c r="A2419" s="3" t="s">
        <v>333</v>
      </c>
      <c r="B2419" s="3" t="s">
        <v>334</v>
      </c>
      <c r="C2419">
        <v>2024</v>
      </c>
      <c r="D2419">
        <v>6000000</v>
      </c>
    </row>
    <row r="2420" spans="1:4">
      <c r="A2420" s="3" t="s">
        <v>335</v>
      </c>
      <c r="B2420" s="3" t="s">
        <v>336</v>
      </c>
      <c r="C2420">
        <v>2008</v>
      </c>
      <c r="D2420">
        <v>15000000</v>
      </c>
    </row>
    <row r="2421" spans="1:4">
      <c r="A2421" s="3" t="s">
        <v>335</v>
      </c>
      <c r="B2421" s="3" t="s">
        <v>336</v>
      </c>
      <c r="C2421">
        <v>2010</v>
      </c>
      <c r="D2421">
        <v>64000000</v>
      </c>
    </row>
    <row r="2422" spans="1:4">
      <c r="A2422" s="3" t="s">
        <v>335</v>
      </c>
      <c r="B2422" s="3" t="s">
        <v>336</v>
      </c>
      <c r="C2422">
        <v>2011</v>
      </c>
      <c r="D2422">
        <v>3000000</v>
      </c>
    </row>
    <row r="2423" spans="1:4">
      <c r="A2423" s="3" t="s">
        <v>335</v>
      </c>
      <c r="B2423" s="3" t="s">
        <v>336</v>
      </c>
      <c r="C2423">
        <v>2012</v>
      </c>
      <c r="D2423">
        <v>78000000</v>
      </c>
    </row>
    <row r="2424" spans="1:4">
      <c r="A2424" s="3" t="s">
        <v>335</v>
      </c>
      <c r="B2424" s="3" t="s">
        <v>336</v>
      </c>
      <c r="C2424">
        <v>2015</v>
      </c>
      <c r="D2424">
        <v>73000000</v>
      </c>
    </row>
    <row r="2425" spans="1:4">
      <c r="A2425" s="3" t="s">
        <v>335</v>
      </c>
      <c r="B2425" s="3" t="s">
        <v>336</v>
      </c>
      <c r="C2425">
        <v>2019</v>
      </c>
      <c r="D2425">
        <v>17000000</v>
      </c>
    </row>
    <row r="2426" spans="1:4">
      <c r="A2426" s="3" t="s">
        <v>335</v>
      </c>
      <c r="B2426" s="3" t="s">
        <v>336</v>
      </c>
      <c r="C2426">
        <v>2021</v>
      </c>
      <c r="D2426">
        <v>25000000</v>
      </c>
    </row>
    <row r="2427" spans="1:4">
      <c r="A2427" s="3" t="s">
        <v>335</v>
      </c>
      <c r="B2427" s="3" t="s">
        <v>336</v>
      </c>
      <c r="C2427">
        <v>2022</v>
      </c>
      <c r="D2427">
        <v>3000000</v>
      </c>
    </row>
    <row r="2428" spans="1:4">
      <c r="A2428" s="3" t="s">
        <v>339</v>
      </c>
      <c r="B2428" s="3" t="s">
        <v>340</v>
      </c>
      <c r="C2428">
        <v>2003</v>
      </c>
      <c r="D2428">
        <v>1000000</v>
      </c>
    </row>
    <row r="2429" spans="1:4">
      <c r="A2429" s="3" t="s">
        <v>339</v>
      </c>
      <c r="B2429" s="3" t="s">
        <v>340</v>
      </c>
      <c r="C2429">
        <v>2011</v>
      </c>
      <c r="D2429">
        <v>0</v>
      </c>
    </row>
    <row r="2430" spans="1:4">
      <c r="A2430" s="3" t="s">
        <v>339</v>
      </c>
      <c r="B2430" s="3" t="s">
        <v>340</v>
      </c>
      <c r="C2430">
        <v>2012</v>
      </c>
      <c r="D2430">
        <v>0</v>
      </c>
    </row>
    <row r="2431" spans="1:4">
      <c r="A2431" s="3" t="s">
        <v>339</v>
      </c>
      <c r="B2431" s="3" t="s">
        <v>340</v>
      </c>
      <c r="C2431">
        <v>2013</v>
      </c>
      <c r="D2431">
        <v>9000000</v>
      </c>
    </row>
    <row r="2432" spans="1:4">
      <c r="A2432" s="3" t="s">
        <v>339</v>
      </c>
      <c r="B2432" s="3" t="s">
        <v>340</v>
      </c>
      <c r="C2432">
        <v>2014</v>
      </c>
      <c r="D2432">
        <v>16000000</v>
      </c>
    </row>
    <row r="2433" spans="1:4">
      <c r="A2433" s="3" t="s">
        <v>339</v>
      </c>
      <c r="B2433" s="3" t="s">
        <v>340</v>
      </c>
      <c r="C2433">
        <v>2015</v>
      </c>
      <c r="D2433">
        <v>5000000</v>
      </c>
    </row>
    <row r="2434" spans="1:4">
      <c r="A2434" s="3" t="s">
        <v>339</v>
      </c>
      <c r="B2434" s="3" t="s">
        <v>340</v>
      </c>
      <c r="C2434">
        <v>2016</v>
      </c>
      <c r="D2434">
        <v>46000000</v>
      </c>
    </row>
    <row r="2435" spans="1:4">
      <c r="A2435" s="3" t="s">
        <v>339</v>
      </c>
      <c r="B2435" s="3" t="s">
        <v>340</v>
      </c>
      <c r="C2435">
        <v>2018</v>
      </c>
      <c r="D2435">
        <v>3000000</v>
      </c>
    </row>
    <row r="2436" spans="1:4">
      <c r="A2436" s="3" t="s">
        <v>339</v>
      </c>
      <c r="B2436" s="3" t="s">
        <v>340</v>
      </c>
      <c r="C2436">
        <v>2019</v>
      </c>
      <c r="D2436">
        <v>22000000</v>
      </c>
    </row>
    <row r="2437" spans="1:4">
      <c r="A2437" s="3" t="s">
        <v>339</v>
      </c>
      <c r="B2437" s="3" t="s">
        <v>340</v>
      </c>
      <c r="C2437">
        <v>2020</v>
      </c>
      <c r="D2437">
        <v>1000000</v>
      </c>
    </row>
    <row r="2438" spans="1:4">
      <c r="A2438" s="3" t="s">
        <v>339</v>
      </c>
      <c r="B2438" s="3" t="s">
        <v>340</v>
      </c>
      <c r="C2438">
        <v>2021</v>
      </c>
      <c r="D2438">
        <v>19000000</v>
      </c>
    </row>
    <row r="2439" spans="1:4">
      <c r="A2439" s="3" t="s">
        <v>339</v>
      </c>
      <c r="B2439" s="3" t="s">
        <v>340</v>
      </c>
      <c r="C2439">
        <v>2022</v>
      </c>
      <c r="D2439">
        <v>5000000</v>
      </c>
    </row>
    <row r="2440" spans="1:4">
      <c r="A2440" s="3" t="s">
        <v>339</v>
      </c>
      <c r="B2440" s="3" t="s">
        <v>340</v>
      </c>
      <c r="C2440">
        <v>2023</v>
      </c>
      <c r="D2440">
        <v>3000000</v>
      </c>
    </row>
    <row r="2441" spans="1:4">
      <c r="A2441" s="3" t="s">
        <v>339</v>
      </c>
      <c r="B2441" s="3" t="s">
        <v>340</v>
      </c>
      <c r="C2441">
        <v>2024</v>
      </c>
      <c r="D2441">
        <v>1000000</v>
      </c>
    </row>
    <row r="2442" spans="1:4">
      <c r="A2442" s="3" t="s">
        <v>341</v>
      </c>
      <c r="B2442" s="3" t="s">
        <v>342</v>
      </c>
      <c r="C2442">
        <v>2000</v>
      </c>
      <c r="D2442">
        <v>31000000</v>
      </c>
    </row>
    <row r="2443" spans="1:4">
      <c r="A2443" s="3" t="s">
        <v>341</v>
      </c>
      <c r="B2443" s="3" t="s">
        <v>342</v>
      </c>
      <c r="C2443">
        <v>2002</v>
      </c>
      <c r="D2443">
        <v>27000000</v>
      </c>
    </row>
    <row r="2444" spans="1:4">
      <c r="A2444" s="3" t="s">
        <v>341</v>
      </c>
      <c r="B2444" s="3" t="s">
        <v>342</v>
      </c>
      <c r="C2444">
        <v>2003</v>
      </c>
      <c r="D2444">
        <v>7000000</v>
      </c>
    </row>
    <row r="2445" spans="1:4">
      <c r="A2445" s="3" t="s">
        <v>341</v>
      </c>
      <c r="B2445" s="3" t="s">
        <v>342</v>
      </c>
      <c r="C2445">
        <v>2010</v>
      </c>
      <c r="D2445">
        <v>17000000</v>
      </c>
    </row>
    <row r="2446" spans="1:4">
      <c r="A2446" s="3" t="s">
        <v>341</v>
      </c>
      <c r="B2446" s="3" t="s">
        <v>342</v>
      </c>
      <c r="C2446">
        <v>2011</v>
      </c>
      <c r="D2446">
        <v>5000000</v>
      </c>
    </row>
    <row r="2447" spans="1:4">
      <c r="A2447" s="3" t="s">
        <v>341</v>
      </c>
      <c r="B2447" s="3" t="s">
        <v>342</v>
      </c>
      <c r="C2447">
        <v>2012</v>
      </c>
      <c r="D2447">
        <v>11000000</v>
      </c>
    </row>
    <row r="2448" spans="1:4">
      <c r="A2448" s="3" t="s">
        <v>341</v>
      </c>
      <c r="B2448" s="3" t="s">
        <v>342</v>
      </c>
      <c r="C2448">
        <v>2014</v>
      </c>
      <c r="D2448">
        <v>8000000</v>
      </c>
    </row>
    <row r="2449" spans="1:4">
      <c r="A2449" s="3" t="s">
        <v>341</v>
      </c>
      <c r="B2449" s="3" t="s">
        <v>342</v>
      </c>
      <c r="C2449">
        <v>2015</v>
      </c>
      <c r="D2449">
        <v>1000000</v>
      </c>
    </row>
    <row r="2450" spans="1:4">
      <c r="A2450" s="3" t="s">
        <v>341</v>
      </c>
      <c r="B2450" s="3" t="s">
        <v>342</v>
      </c>
      <c r="C2450">
        <v>2016</v>
      </c>
      <c r="D2450">
        <v>35000000</v>
      </c>
    </row>
    <row r="2451" spans="1:4">
      <c r="A2451" s="3" t="s">
        <v>341</v>
      </c>
      <c r="B2451" s="3" t="s">
        <v>342</v>
      </c>
      <c r="C2451">
        <v>2018</v>
      </c>
      <c r="D2451">
        <v>1000000</v>
      </c>
    </row>
    <row r="2452" spans="1:4">
      <c r="A2452" s="3" t="s">
        <v>341</v>
      </c>
      <c r="B2452" s="3" t="s">
        <v>342</v>
      </c>
      <c r="C2452">
        <v>2019</v>
      </c>
      <c r="D2452">
        <v>34000000</v>
      </c>
    </row>
    <row r="2453" spans="1:4">
      <c r="A2453" s="3" t="s">
        <v>341</v>
      </c>
      <c r="B2453" s="3" t="s">
        <v>342</v>
      </c>
      <c r="C2453">
        <v>2021</v>
      </c>
      <c r="D2453">
        <v>6000000</v>
      </c>
    </row>
    <row r="2454" spans="1:4">
      <c r="A2454" s="3" t="s">
        <v>341</v>
      </c>
      <c r="B2454" s="3" t="s">
        <v>342</v>
      </c>
      <c r="C2454">
        <v>2023</v>
      </c>
      <c r="D2454">
        <v>2000000</v>
      </c>
    </row>
    <row r="2455" spans="1:4">
      <c r="A2455" s="3" t="s">
        <v>341</v>
      </c>
      <c r="B2455" s="3" t="s">
        <v>342</v>
      </c>
      <c r="C2455">
        <v>2024</v>
      </c>
      <c r="D2455">
        <v>126000000</v>
      </c>
    </row>
    <row r="2456" spans="1:4">
      <c r="A2456" s="3" t="s">
        <v>343</v>
      </c>
      <c r="B2456" s="3" t="s">
        <v>344</v>
      </c>
      <c r="C2456">
        <v>2004</v>
      </c>
      <c r="D2456">
        <v>10000000</v>
      </c>
    </row>
    <row r="2457" spans="1:4">
      <c r="A2457" s="3" t="s">
        <v>343</v>
      </c>
      <c r="B2457" s="3" t="s">
        <v>344</v>
      </c>
      <c r="C2457">
        <v>2014</v>
      </c>
      <c r="D2457">
        <v>28000000</v>
      </c>
    </row>
    <row r="2458" spans="1:4">
      <c r="A2458" s="3" t="s">
        <v>343</v>
      </c>
      <c r="B2458" s="3" t="s">
        <v>344</v>
      </c>
      <c r="C2458">
        <v>2016</v>
      </c>
      <c r="D2458">
        <v>28000000</v>
      </c>
    </row>
    <row r="2459" spans="1:4">
      <c r="A2459" s="3" t="s">
        <v>343</v>
      </c>
      <c r="B2459" s="3" t="s">
        <v>344</v>
      </c>
      <c r="C2459">
        <v>2017</v>
      </c>
      <c r="D2459">
        <v>19000000</v>
      </c>
    </row>
    <row r="2460" spans="1:4">
      <c r="A2460" s="3" t="s">
        <v>343</v>
      </c>
      <c r="B2460" s="3" t="s">
        <v>344</v>
      </c>
      <c r="C2460">
        <v>2021</v>
      </c>
      <c r="D2460">
        <v>1000000</v>
      </c>
    </row>
    <row r="2461" spans="1:4">
      <c r="A2461" s="3" t="s">
        <v>343</v>
      </c>
      <c r="B2461" s="3" t="s">
        <v>344</v>
      </c>
      <c r="C2461">
        <v>2022</v>
      </c>
      <c r="D2461">
        <v>4000000</v>
      </c>
    </row>
    <row r="2462" spans="1:4">
      <c r="A2462" s="3" t="s">
        <v>345</v>
      </c>
      <c r="B2462" s="3" t="s">
        <v>346</v>
      </c>
      <c r="C2462">
        <v>2008</v>
      </c>
      <c r="D2462">
        <v>3000000</v>
      </c>
    </row>
    <row r="2463" spans="1:4">
      <c r="A2463" s="3" t="s">
        <v>345</v>
      </c>
      <c r="B2463" s="3" t="s">
        <v>346</v>
      </c>
      <c r="C2463">
        <v>2012</v>
      </c>
      <c r="D2463">
        <v>1000000</v>
      </c>
    </row>
    <row r="2464" spans="1:4">
      <c r="A2464" s="3" t="s">
        <v>345</v>
      </c>
      <c r="B2464" s="3" t="s">
        <v>346</v>
      </c>
      <c r="C2464">
        <v>2013</v>
      </c>
      <c r="D2464">
        <v>3000000</v>
      </c>
    </row>
    <row r="2465" spans="1:4">
      <c r="A2465" s="3" t="s">
        <v>345</v>
      </c>
      <c r="B2465" s="3" t="s">
        <v>346</v>
      </c>
      <c r="C2465">
        <v>2014</v>
      </c>
      <c r="D2465">
        <v>2000000</v>
      </c>
    </row>
    <row r="2466" spans="1:4">
      <c r="A2466" s="3" t="s">
        <v>345</v>
      </c>
      <c r="B2466" s="3" t="s">
        <v>346</v>
      </c>
      <c r="C2466">
        <v>2015</v>
      </c>
      <c r="D2466">
        <v>3000000</v>
      </c>
    </row>
    <row r="2467" spans="1:4">
      <c r="A2467" s="3" t="s">
        <v>345</v>
      </c>
      <c r="B2467" s="3" t="s">
        <v>346</v>
      </c>
      <c r="C2467">
        <v>2016</v>
      </c>
      <c r="D2467">
        <v>0</v>
      </c>
    </row>
    <row r="2468" spans="1:4">
      <c r="A2468" s="3" t="s">
        <v>345</v>
      </c>
      <c r="B2468" s="3" t="s">
        <v>346</v>
      </c>
      <c r="C2468">
        <v>2022</v>
      </c>
      <c r="D2468">
        <v>19000000</v>
      </c>
    </row>
    <row r="2469" spans="1:4">
      <c r="A2469" s="3" t="s">
        <v>345</v>
      </c>
      <c r="B2469" s="3" t="s">
        <v>346</v>
      </c>
      <c r="C2469">
        <v>2024</v>
      </c>
      <c r="D2469">
        <v>2000000</v>
      </c>
    </row>
    <row r="2470" spans="1:4">
      <c r="A2470" s="3" t="s">
        <v>347</v>
      </c>
      <c r="B2470" s="3" t="s">
        <v>348</v>
      </c>
      <c r="C2470">
        <v>2000</v>
      </c>
      <c r="D2470">
        <v>26000000</v>
      </c>
    </row>
    <row r="2471" spans="1:4">
      <c r="A2471" s="3" t="s">
        <v>347</v>
      </c>
      <c r="B2471" s="3" t="s">
        <v>348</v>
      </c>
      <c r="C2471">
        <v>2001</v>
      </c>
      <c r="D2471">
        <v>26000000</v>
      </c>
    </row>
    <row r="2472" spans="1:4">
      <c r="A2472" s="3" t="s">
        <v>347</v>
      </c>
      <c r="B2472" s="3" t="s">
        <v>348</v>
      </c>
      <c r="C2472">
        <v>2002</v>
      </c>
      <c r="D2472">
        <v>154000000</v>
      </c>
    </row>
    <row r="2473" spans="1:4">
      <c r="A2473" s="3" t="s">
        <v>347</v>
      </c>
      <c r="B2473" s="3" t="s">
        <v>348</v>
      </c>
      <c r="C2473">
        <v>2003</v>
      </c>
      <c r="D2473">
        <v>190000000</v>
      </c>
    </row>
    <row r="2474" spans="1:4">
      <c r="A2474" s="3" t="s">
        <v>347</v>
      </c>
      <c r="B2474" s="3" t="s">
        <v>348</v>
      </c>
      <c r="C2474">
        <v>2004</v>
      </c>
      <c r="D2474">
        <v>68000000</v>
      </c>
    </row>
    <row r="2475" spans="1:4">
      <c r="A2475" s="3" t="s">
        <v>347</v>
      </c>
      <c r="B2475" s="3" t="s">
        <v>348</v>
      </c>
      <c r="C2475">
        <v>2005</v>
      </c>
      <c r="D2475">
        <v>57000000</v>
      </c>
    </row>
    <row r="2476" spans="1:4">
      <c r="A2476" s="3" t="s">
        <v>347</v>
      </c>
      <c r="B2476" s="3" t="s">
        <v>348</v>
      </c>
      <c r="C2476">
        <v>2006</v>
      </c>
      <c r="D2476">
        <v>184000000</v>
      </c>
    </row>
    <row r="2477" spans="1:4">
      <c r="A2477" s="3" t="s">
        <v>347</v>
      </c>
      <c r="B2477" s="3" t="s">
        <v>348</v>
      </c>
      <c r="C2477">
        <v>2007</v>
      </c>
      <c r="D2477">
        <v>498000000</v>
      </c>
    </row>
    <row r="2478" spans="1:4">
      <c r="A2478" s="3" t="s">
        <v>347</v>
      </c>
      <c r="B2478" s="3" t="s">
        <v>348</v>
      </c>
      <c r="C2478">
        <v>2008</v>
      </c>
      <c r="D2478">
        <v>493000000</v>
      </c>
    </row>
    <row r="2479" spans="1:4">
      <c r="A2479" s="3" t="s">
        <v>347</v>
      </c>
      <c r="B2479" s="3" t="s">
        <v>348</v>
      </c>
      <c r="C2479">
        <v>2009</v>
      </c>
      <c r="D2479">
        <v>1284000000</v>
      </c>
    </row>
    <row r="2480" spans="1:4">
      <c r="A2480" s="3" t="s">
        <v>347</v>
      </c>
      <c r="B2480" s="3" t="s">
        <v>348</v>
      </c>
      <c r="C2480">
        <v>2010</v>
      </c>
      <c r="D2480">
        <v>213000000</v>
      </c>
    </row>
    <row r="2481" spans="1:4">
      <c r="A2481" s="3" t="s">
        <v>347</v>
      </c>
      <c r="B2481" s="3" t="s">
        <v>348</v>
      </c>
      <c r="C2481">
        <v>2011</v>
      </c>
      <c r="D2481">
        <v>4000000</v>
      </c>
    </row>
    <row r="2482" spans="1:4">
      <c r="A2482" s="3" t="s">
        <v>347</v>
      </c>
      <c r="B2482" s="3" t="s">
        <v>348</v>
      </c>
      <c r="C2482">
        <v>2012</v>
      </c>
      <c r="D2482">
        <v>19000000</v>
      </c>
    </row>
    <row r="2483" spans="1:4">
      <c r="A2483" s="3" t="s">
        <v>347</v>
      </c>
      <c r="B2483" s="3" t="s">
        <v>348</v>
      </c>
      <c r="C2483">
        <v>2013</v>
      </c>
      <c r="D2483">
        <v>82000000</v>
      </c>
    </row>
    <row r="2484" spans="1:4">
      <c r="A2484" s="3" t="s">
        <v>347</v>
      </c>
      <c r="B2484" s="3" t="s">
        <v>348</v>
      </c>
      <c r="C2484">
        <v>2014</v>
      </c>
      <c r="D2484">
        <v>75000000</v>
      </c>
    </row>
    <row r="2485" spans="1:4">
      <c r="A2485" s="3" t="s">
        <v>347</v>
      </c>
      <c r="B2485" s="3" t="s">
        <v>348</v>
      </c>
      <c r="C2485">
        <v>2015</v>
      </c>
      <c r="D2485">
        <v>118000000</v>
      </c>
    </row>
    <row r="2486" spans="1:4">
      <c r="A2486" s="3" t="s">
        <v>347</v>
      </c>
      <c r="B2486" s="3" t="s">
        <v>348</v>
      </c>
      <c r="C2486">
        <v>2016</v>
      </c>
      <c r="D2486">
        <v>270000000</v>
      </c>
    </row>
    <row r="2487" spans="1:4">
      <c r="A2487" s="3" t="s">
        <v>347</v>
      </c>
      <c r="B2487" s="3" t="s">
        <v>348</v>
      </c>
      <c r="C2487">
        <v>2017</v>
      </c>
      <c r="D2487">
        <v>197000000</v>
      </c>
    </row>
    <row r="2488" spans="1:4">
      <c r="A2488" s="3" t="s">
        <v>347</v>
      </c>
      <c r="B2488" s="3" t="s">
        <v>348</v>
      </c>
      <c r="C2488">
        <v>2018</v>
      </c>
      <c r="D2488">
        <v>93000000</v>
      </c>
    </row>
    <row r="2489" spans="1:4">
      <c r="A2489" s="3" t="s">
        <v>347</v>
      </c>
      <c r="B2489" s="3" t="s">
        <v>348</v>
      </c>
      <c r="C2489">
        <v>2019</v>
      </c>
      <c r="D2489">
        <v>68000000</v>
      </c>
    </row>
    <row r="2490" spans="1:4">
      <c r="A2490" s="3" t="s">
        <v>347</v>
      </c>
      <c r="B2490" s="3" t="s">
        <v>348</v>
      </c>
      <c r="C2490">
        <v>2020</v>
      </c>
      <c r="D2490">
        <v>51000000</v>
      </c>
    </row>
    <row r="2491" spans="1:4">
      <c r="A2491" s="3" t="s">
        <v>347</v>
      </c>
      <c r="B2491" s="3" t="s">
        <v>348</v>
      </c>
      <c r="C2491">
        <v>2021</v>
      </c>
      <c r="D2491">
        <v>133000000</v>
      </c>
    </row>
    <row r="2492" spans="1:4">
      <c r="A2492" s="3" t="s">
        <v>347</v>
      </c>
      <c r="B2492" s="3" t="s">
        <v>348</v>
      </c>
      <c r="C2492">
        <v>2022</v>
      </c>
      <c r="D2492">
        <v>71000000</v>
      </c>
    </row>
    <row r="2493" spans="1:4">
      <c r="A2493" s="3" t="s">
        <v>347</v>
      </c>
      <c r="B2493" s="3" t="s">
        <v>348</v>
      </c>
      <c r="C2493">
        <v>2023</v>
      </c>
      <c r="D2493">
        <v>11000000</v>
      </c>
    </row>
    <row r="2494" spans="1:4">
      <c r="A2494" s="3" t="s">
        <v>347</v>
      </c>
      <c r="B2494" s="3" t="s">
        <v>348</v>
      </c>
      <c r="C2494">
        <v>2024</v>
      </c>
      <c r="D2494">
        <v>7000000</v>
      </c>
    </row>
    <row r="2495" spans="1:4">
      <c r="A2495" s="3" t="s">
        <v>349</v>
      </c>
      <c r="B2495" s="3" t="s">
        <v>350</v>
      </c>
      <c r="C2495">
        <v>2000</v>
      </c>
      <c r="D2495">
        <v>862000000</v>
      </c>
    </row>
    <row r="2496" spans="1:4">
      <c r="A2496" s="3" t="s">
        <v>349</v>
      </c>
      <c r="B2496" s="3" t="s">
        <v>350</v>
      </c>
      <c r="C2496">
        <v>2001</v>
      </c>
      <c r="D2496">
        <v>1028000000</v>
      </c>
    </row>
    <row r="2497" spans="1:4">
      <c r="A2497" s="3" t="s">
        <v>349</v>
      </c>
      <c r="B2497" s="3" t="s">
        <v>350</v>
      </c>
      <c r="C2497">
        <v>2002</v>
      </c>
      <c r="D2497">
        <v>933000000</v>
      </c>
    </row>
    <row r="2498" spans="1:4">
      <c r="A2498" s="3" t="s">
        <v>349</v>
      </c>
      <c r="B2498" s="3" t="s">
        <v>350</v>
      </c>
      <c r="C2498">
        <v>2003</v>
      </c>
      <c r="D2498">
        <v>770000000</v>
      </c>
    </row>
    <row r="2499" spans="1:4">
      <c r="A2499" s="3" t="s">
        <v>349</v>
      </c>
      <c r="B2499" s="3" t="s">
        <v>350</v>
      </c>
      <c r="C2499">
        <v>2004</v>
      </c>
      <c r="D2499">
        <v>937000000</v>
      </c>
    </row>
    <row r="2500" spans="1:4">
      <c r="A2500" s="3" t="s">
        <v>349</v>
      </c>
      <c r="B2500" s="3" t="s">
        <v>350</v>
      </c>
      <c r="C2500">
        <v>2005</v>
      </c>
      <c r="D2500">
        <v>688000000</v>
      </c>
    </row>
    <row r="2501" spans="1:4">
      <c r="A2501" s="3" t="s">
        <v>349</v>
      </c>
      <c r="B2501" s="3" t="s">
        <v>350</v>
      </c>
      <c r="C2501">
        <v>2006</v>
      </c>
      <c r="D2501">
        <v>803000000</v>
      </c>
    </row>
    <row r="2502" spans="1:4">
      <c r="A2502" s="3" t="s">
        <v>349</v>
      </c>
      <c r="B2502" s="3" t="s">
        <v>350</v>
      </c>
      <c r="C2502">
        <v>2007</v>
      </c>
      <c r="D2502">
        <v>1320000000</v>
      </c>
    </row>
    <row r="2503" spans="1:4">
      <c r="A2503" s="3" t="s">
        <v>349</v>
      </c>
      <c r="B2503" s="3" t="s">
        <v>350</v>
      </c>
      <c r="C2503">
        <v>2008</v>
      </c>
      <c r="D2503">
        <v>1359000000</v>
      </c>
    </row>
    <row r="2504" spans="1:4">
      <c r="A2504" s="3" t="s">
        <v>349</v>
      </c>
      <c r="B2504" s="3" t="s">
        <v>350</v>
      </c>
      <c r="C2504">
        <v>2009</v>
      </c>
      <c r="D2504">
        <v>1043000000</v>
      </c>
    </row>
    <row r="2505" spans="1:4">
      <c r="A2505" s="3" t="s">
        <v>349</v>
      </c>
      <c r="B2505" s="3" t="s">
        <v>350</v>
      </c>
      <c r="C2505">
        <v>2010</v>
      </c>
      <c r="D2505">
        <v>1211000000</v>
      </c>
    </row>
    <row r="2506" spans="1:4">
      <c r="A2506" s="3" t="s">
        <v>349</v>
      </c>
      <c r="B2506" s="3" t="s">
        <v>350</v>
      </c>
      <c r="C2506">
        <v>2011</v>
      </c>
      <c r="D2506">
        <v>1293000000</v>
      </c>
    </row>
    <row r="2507" spans="1:4">
      <c r="A2507" s="3" t="s">
        <v>349</v>
      </c>
      <c r="B2507" s="3" t="s">
        <v>350</v>
      </c>
      <c r="C2507">
        <v>2012</v>
      </c>
      <c r="D2507">
        <v>1345000000</v>
      </c>
    </row>
    <row r="2508" spans="1:4">
      <c r="A2508" s="3" t="s">
        <v>349</v>
      </c>
      <c r="B2508" s="3" t="s">
        <v>350</v>
      </c>
      <c r="C2508">
        <v>2013</v>
      </c>
      <c r="D2508">
        <v>969000000</v>
      </c>
    </row>
    <row r="2509" spans="1:4">
      <c r="A2509" s="3" t="s">
        <v>349</v>
      </c>
      <c r="B2509" s="3" t="s">
        <v>350</v>
      </c>
      <c r="C2509">
        <v>2014</v>
      </c>
      <c r="D2509">
        <v>884000000</v>
      </c>
    </row>
    <row r="2510" spans="1:4">
      <c r="A2510" s="3" t="s">
        <v>349</v>
      </c>
      <c r="B2510" s="3" t="s">
        <v>350</v>
      </c>
      <c r="C2510">
        <v>2015</v>
      </c>
      <c r="D2510">
        <v>890000000</v>
      </c>
    </row>
    <row r="2511" spans="1:4">
      <c r="A2511" s="3" t="s">
        <v>349</v>
      </c>
      <c r="B2511" s="3" t="s">
        <v>350</v>
      </c>
      <c r="C2511">
        <v>2016</v>
      </c>
      <c r="D2511">
        <v>693000000</v>
      </c>
    </row>
    <row r="2512" spans="1:4">
      <c r="A2512" s="3" t="s">
        <v>349</v>
      </c>
      <c r="B2512" s="3" t="s">
        <v>350</v>
      </c>
      <c r="C2512">
        <v>2017</v>
      </c>
      <c r="D2512">
        <v>858000000</v>
      </c>
    </row>
    <row r="2513" spans="1:4">
      <c r="A2513" s="3" t="s">
        <v>349</v>
      </c>
      <c r="B2513" s="3" t="s">
        <v>350</v>
      </c>
      <c r="C2513">
        <v>2018</v>
      </c>
      <c r="D2513">
        <v>564000000</v>
      </c>
    </row>
    <row r="2514" spans="1:4">
      <c r="A2514" s="3" t="s">
        <v>349</v>
      </c>
      <c r="B2514" s="3" t="s">
        <v>350</v>
      </c>
      <c r="C2514">
        <v>2019</v>
      </c>
      <c r="D2514">
        <v>1069000000</v>
      </c>
    </row>
    <row r="2515" spans="1:4">
      <c r="A2515" s="3" t="s">
        <v>349</v>
      </c>
      <c r="B2515" s="3" t="s">
        <v>350</v>
      </c>
      <c r="C2515">
        <v>2020</v>
      </c>
      <c r="D2515">
        <v>1054000000</v>
      </c>
    </row>
    <row r="2516" spans="1:4">
      <c r="A2516" s="3" t="s">
        <v>349</v>
      </c>
      <c r="B2516" s="3" t="s">
        <v>350</v>
      </c>
      <c r="C2516">
        <v>2021</v>
      </c>
      <c r="D2516">
        <v>1279000000</v>
      </c>
    </row>
    <row r="2517" spans="1:4">
      <c r="A2517" s="3" t="s">
        <v>349</v>
      </c>
      <c r="B2517" s="3" t="s">
        <v>350</v>
      </c>
      <c r="C2517">
        <v>2022</v>
      </c>
      <c r="D2517">
        <v>1060000000</v>
      </c>
    </row>
    <row r="2518" spans="1:4">
      <c r="A2518" s="3" t="s">
        <v>349</v>
      </c>
      <c r="B2518" s="3" t="s">
        <v>350</v>
      </c>
      <c r="C2518">
        <v>2023</v>
      </c>
      <c r="D2518">
        <v>964000000</v>
      </c>
    </row>
    <row r="2519" spans="1:4">
      <c r="A2519" s="3" t="s">
        <v>349</v>
      </c>
      <c r="B2519" s="3" t="s">
        <v>350</v>
      </c>
      <c r="C2519">
        <v>2024</v>
      </c>
      <c r="D2519">
        <v>1251000000</v>
      </c>
    </row>
    <row r="2520" spans="1:4">
      <c r="A2520" s="3" t="s">
        <v>351</v>
      </c>
      <c r="B2520" s="3" t="s">
        <v>352</v>
      </c>
      <c r="C2520">
        <v>2001</v>
      </c>
      <c r="D2520">
        <v>21000000</v>
      </c>
    </row>
    <row r="2521" spans="1:4">
      <c r="A2521" s="3" t="s">
        <v>351</v>
      </c>
      <c r="B2521" s="3" t="s">
        <v>352</v>
      </c>
      <c r="C2521">
        <v>2002</v>
      </c>
      <c r="D2521">
        <v>11000000</v>
      </c>
    </row>
    <row r="2522" spans="1:4">
      <c r="A2522" s="3" t="s">
        <v>351</v>
      </c>
      <c r="B2522" s="3" t="s">
        <v>352</v>
      </c>
      <c r="C2522">
        <v>2004</v>
      </c>
      <c r="D2522">
        <v>16000000</v>
      </c>
    </row>
    <row r="2523" spans="1:4">
      <c r="A2523" s="3" t="s">
        <v>351</v>
      </c>
      <c r="B2523" s="3" t="s">
        <v>352</v>
      </c>
      <c r="C2523">
        <v>2006</v>
      </c>
      <c r="D2523">
        <v>75000000</v>
      </c>
    </row>
    <row r="2524" spans="1:4">
      <c r="A2524" s="3" t="s">
        <v>351</v>
      </c>
      <c r="B2524" s="3" t="s">
        <v>352</v>
      </c>
      <c r="C2524">
        <v>2008</v>
      </c>
      <c r="D2524">
        <v>25000000</v>
      </c>
    </row>
    <row r="2525" spans="1:4">
      <c r="A2525" s="3" t="s">
        <v>351</v>
      </c>
      <c r="B2525" s="3" t="s">
        <v>352</v>
      </c>
      <c r="C2525">
        <v>2009</v>
      </c>
      <c r="D2525">
        <v>15000000</v>
      </c>
    </row>
    <row r="2526" spans="1:4">
      <c r="A2526" s="3" t="s">
        <v>351</v>
      </c>
      <c r="B2526" s="3" t="s">
        <v>352</v>
      </c>
      <c r="C2526">
        <v>2010</v>
      </c>
      <c r="D2526">
        <v>3000000</v>
      </c>
    </row>
    <row r="2527" spans="1:4">
      <c r="A2527" s="3" t="s">
        <v>351</v>
      </c>
      <c r="B2527" s="3" t="s">
        <v>352</v>
      </c>
      <c r="C2527">
        <v>2011</v>
      </c>
      <c r="D2527">
        <v>1000000</v>
      </c>
    </row>
    <row r="2528" spans="1:4">
      <c r="A2528" s="3" t="s">
        <v>351</v>
      </c>
      <c r="B2528" s="3" t="s">
        <v>352</v>
      </c>
      <c r="C2528">
        <v>2012</v>
      </c>
      <c r="D2528">
        <v>57000000</v>
      </c>
    </row>
    <row r="2529" spans="1:4">
      <c r="A2529" s="3" t="s">
        <v>351</v>
      </c>
      <c r="B2529" s="3" t="s">
        <v>352</v>
      </c>
      <c r="C2529">
        <v>2013</v>
      </c>
      <c r="D2529">
        <v>9000000</v>
      </c>
    </row>
    <row r="2530" spans="1:4">
      <c r="A2530" s="3" t="s">
        <v>351</v>
      </c>
      <c r="B2530" s="3" t="s">
        <v>352</v>
      </c>
      <c r="C2530">
        <v>2014</v>
      </c>
      <c r="D2530">
        <v>2000000</v>
      </c>
    </row>
    <row r="2531" spans="1:4">
      <c r="A2531" s="3" t="s">
        <v>351</v>
      </c>
      <c r="B2531" s="3" t="s">
        <v>352</v>
      </c>
      <c r="C2531">
        <v>2016</v>
      </c>
      <c r="D2531">
        <v>3000000</v>
      </c>
    </row>
    <row r="2532" spans="1:4">
      <c r="A2532" s="3" t="s">
        <v>351</v>
      </c>
      <c r="B2532" s="3" t="s">
        <v>352</v>
      </c>
      <c r="C2532">
        <v>2017</v>
      </c>
      <c r="D2532">
        <v>35000000</v>
      </c>
    </row>
    <row r="2533" spans="1:4">
      <c r="A2533" s="3" t="s">
        <v>351</v>
      </c>
      <c r="B2533" s="3" t="s">
        <v>352</v>
      </c>
      <c r="C2533">
        <v>2024</v>
      </c>
      <c r="D2533">
        <v>56000000</v>
      </c>
    </row>
    <row r="2534" spans="1:4">
      <c r="A2534" s="3" t="s">
        <v>355</v>
      </c>
      <c r="B2534" s="3" t="s">
        <v>356</v>
      </c>
      <c r="C2534">
        <v>2003</v>
      </c>
      <c r="D2534">
        <v>6000000</v>
      </c>
    </row>
    <row r="2535" spans="1:4">
      <c r="A2535" s="3" t="s">
        <v>355</v>
      </c>
      <c r="B2535" s="3" t="s">
        <v>356</v>
      </c>
      <c r="C2535">
        <v>2008</v>
      </c>
      <c r="D2535">
        <v>8000000</v>
      </c>
    </row>
    <row r="2536" spans="1:4">
      <c r="A2536" s="3" t="s">
        <v>355</v>
      </c>
      <c r="B2536" s="3" t="s">
        <v>356</v>
      </c>
      <c r="C2536">
        <v>2009</v>
      </c>
      <c r="D2536">
        <v>1000000</v>
      </c>
    </row>
    <row r="2537" spans="1:4">
      <c r="A2537" s="3" t="s">
        <v>355</v>
      </c>
      <c r="B2537" s="3" t="s">
        <v>356</v>
      </c>
      <c r="C2537">
        <v>2013</v>
      </c>
      <c r="D2537">
        <v>12000000</v>
      </c>
    </row>
    <row r="2538" spans="1:4">
      <c r="A2538" s="3" t="s">
        <v>355</v>
      </c>
      <c r="B2538" s="3" t="s">
        <v>356</v>
      </c>
      <c r="C2538">
        <v>2014</v>
      </c>
      <c r="D2538">
        <v>3000000</v>
      </c>
    </row>
    <row r="2539" spans="1:4">
      <c r="A2539" s="3" t="s">
        <v>355</v>
      </c>
      <c r="B2539" s="3" t="s">
        <v>356</v>
      </c>
      <c r="C2539">
        <v>2015</v>
      </c>
      <c r="D2539">
        <v>10000000</v>
      </c>
    </row>
    <row r="2540" spans="1:4">
      <c r="A2540" s="3" t="s">
        <v>355</v>
      </c>
      <c r="B2540" s="3" t="s">
        <v>356</v>
      </c>
      <c r="C2540">
        <v>2016</v>
      </c>
      <c r="D2540">
        <v>0</v>
      </c>
    </row>
    <row r="2541" spans="1:4">
      <c r="A2541" s="3" t="s">
        <v>355</v>
      </c>
      <c r="B2541" s="3" t="s">
        <v>356</v>
      </c>
      <c r="C2541">
        <v>2017</v>
      </c>
      <c r="D2541">
        <v>3000000</v>
      </c>
    </row>
    <row r="2542" spans="1:4">
      <c r="A2542" s="3" t="s">
        <v>355</v>
      </c>
      <c r="B2542" s="3" t="s">
        <v>356</v>
      </c>
      <c r="C2542">
        <v>2018</v>
      </c>
      <c r="D2542">
        <v>1000000</v>
      </c>
    </row>
    <row r="2543" spans="1:4">
      <c r="A2543" s="3" t="s">
        <v>355</v>
      </c>
      <c r="B2543" s="3" t="s">
        <v>356</v>
      </c>
      <c r="C2543">
        <v>2019</v>
      </c>
      <c r="D2543">
        <v>5000000</v>
      </c>
    </row>
    <row r="2544" spans="1:4">
      <c r="A2544" s="3" t="s">
        <v>355</v>
      </c>
      <c r="B2544" s="3" t="s">
        <v>356</v>
      </c>
      <c r="C2544">
        <v>2020</v>
      </c>
      <c r="D2544">
        <v>19000000</v>
      </c>
    </row>
    <row r="2545" spans="1:4">
      <c r="A2545" s="3" t="s">
        <v>355</v>
      </c>
      <c r="B2545" s="3" t="s">
        <v>356</v>
      </c>
      <c r="C2545">
        <v>2021</v>
      </c>
      <c r="D2545">
        <v>16000000</v>
      </c>
    </row>
    <row r="2546" spans="1:4">
      <c r="A2546" s="3" t="s">
        <v>355</v>
      </c>
      <c r="B2546" s="3" t="s">
        <v>356</v>
      </c>
      <c r="C2546">
        <v>2022</v>
      </c>
      <c r="D2546">
        <v>34000000</v>
      </c>
    </row>
    <row r="2547" spans="1:4">
      <c r="A2547" s="3" t="s">
        <v>355</v>
      </c>
      <c r="B2547" s="3" t="s">
        <v>356</v>
      </c>
      <c r="C2547">
        <v>2023</v>
      </c>
      <c r="D2547">
        <v>19000000</v>
      </c>
    </row>
    <row r="2548" spans="1:4">
      <c r="A2548" s="3" t="s">
        <v>355</v>
      </c>
      <c r="B2548" s="3" t="s">
        <v>356</v>
      </c>
      <c r="C2548">
        <v>2024</v>
      </c>
      <c r="D2548">
        <v>4000000</v>
      </c>
    </row>
    <row r="2549" spans="1:4">
      <c r="A2549" s="3" t="s">
        <v>357</v>
      </c>
      <c r="B2549" s="3" t="s">
        <v>358</v>
      </c>
      <c r="C2549">
        <v>2000</v>
      </c>
      <c r="D2549">
        <v>36000000</v>
      </c>
    </row>
    <row r="2550" spans="1:4">
      <c r="A2550" s="3" t="s">
        <v>357</v>
      </c>
      <c r="B2550" s="3" t="s">
        <v>358</v>
      </c>
      <c r="C2550">
        <v>2001</v>
      </c>
      <c r="D2550">
        <v>9000000</v>
      </c>
    </row>
    <row r="2551" spans="1:4">
      <c r="A2551" s="3" t="s">
        <v>357</v>
      </c>
      <c r="B2551" s="3" t="s">
        <v>358</v>
      </c>
      <c r="C2551">
        <v>2002</v>
      </c>
      <c r="D2551">
        <v>6000000</v>
      </c>
    </row>
    <row r="2552" spans="1:4">
      <c r="A2552" s="3" t="s">
        <v>357</v>
      </c>
      <c r="B2552" s="3" t="s">
        <v>358</v>
      </c>
      <c r="C2552">
        <v>2003</v>
      </c>
      <c r="D2552">
        <v>66000000</v>
      </c>
    </row>
    <row r="2553" spans="1:4">
      <c r="A2553" s="3" t="s">
        <v>357</v>
      </c>
      <c r="B2553" s="3" t="s">
        <v>358</v>
      </c>
      <c r="C2553">
        <v>2004</v>
      </c>
      <c r="D2553">
        <v>11000000</v>
      </c>
    </row>
    <row r="2554" spans="1:4">
      <c r="A2554" s="3" t="s">
        <v>357</v>
      </c>
      <c r="B2554" s="3" t="s">
        <v>358</v>
      </c>
      <c r="C2554">
        <v>2006</v>
      </c>
      <c r="D2554">
        <v>16000000</v>
      </c>
    </row>
    <row r="2555" spans="1:4">
      <c r="A2555" s="3" t="s">
        <v>357</v>
      </c>
      <c r="B2555" s="3" t="s">
        <v>358</v>
      </c>
      <c r="C2555">
        <v>2007</v>
      </c>
      <c r="D2555">
        <v>62000000</v>
      </c>
    </row>
    <row r="2556" spans="1:4">
      <c r="A2556" s="3" t="s">
        <v>357</v>
      </c>
      <c r="B2556" s="3" t="s">
        <v>358</v>
      </c>
      <c r="C2556">
        <v>2008</v>
      </c>
      <c r="D2556">
        <v>33000000</v>
      </c>
    </row>
    <row r="2557" spans="1:4">
      <c r="A2557" s="3" t="s">
        <v>357</v>
      </c>
      <c r="B2557" s="3" t="s">
        <v>358</v>
      </c>
      <c r="C2557">
        <v>2009</v>
      </c>
      <c r="D2557">
        <v>65000000</v>
      </c>
    </row>
    <row r="2558" spans="1:4">
      <c r="A2558" s="3" t="s">
        <v>357</v>
      </c>
      <c r="B2558" s="3" t="s">
        <v>358</v>
      </c>
      <c r="C2558">
        <v>2010</v>
      </c>
      <c r="D2558">
        <v>223000000</v>
      </c>
    </row>
    <row r="2559" spans="1:4">
      <c r="A2559" s="3" t="s">
        <v>357</v>
      </c>
      <c r="B2559" s="3" t="s">
        <v>358</v>
      </c>
      <c r="C2559">
        <v>2011</v>
      </c>
      <c r="D2559">
        <v>63000000</v>
      </c>
    </row>
    <row r="2560" spans="1:4">
      <c r="A2560" s="3" t="s">
        <v>357</v>
      </c>
      <c r="B2560" s="3" t="s">
        <v>358</v>
      </c>
      <c r="C2560">
        <v>2012</v>
      </c>
      <c r="D2560">
        <v>28000000</v>
      </c>
    </row>
    <row r="2561" spans="1:4">
      <c r="A2561" s="3" t="s">
        <v>357</v>
      </c>
      <c r="B2561" s="3" t="s">
        <v>358</v>
      </c>
      <c r="C2561">
        <v>2013</v>
      </c>
      <c r="D2561">
        <v>30000000</v>
      </c>
    </row>
    <row r="2562" spans="1:4">
      <c r="A2562" s="3" t="s">
        <v>357</v>
      </c>
      <c r="B2562" s="3" t="s">
        <v>358</v>
      </c>
      <c r="C2562">
        <v>2014</v>
      </c>
      <c r="D2562">
        <v>236000000</v>
      </c>
    </row>
    <row r="2563" spans="1:4">
      <c r="A2563" s="3" t="s">
        <v>357</v>
      </c>
      <c r="B2563" s="3" t="s">
        <v>358</v>
      </c>
      <c r="C2563">
        <v>2015</v>
      </c>
      <c r="D2563">
        <v>188000000</v>
      </c>
    </row>
    <row r="2564" spans="1:4">
      <c r="A2564" s="3" t="s">
        <v>357</v>
      </c>
      <c r="B2564" s="3" t="s">
        <v>358</v>
      </c>
      <c r="C2564">
        <v>2016</v>
      </c>
      <c r="D2564">
        <v>61000000</v>
      </c>
    </row>
    <row r="2565" spans="1:4">
      <c r="A2565" s="3" t="s">
        <v>357</v>
      </c>
      <c r="B2565" s="3" t="s">
        <v>358</v>
      </c>
      <c r="C2565">
        <v>2017</v>
      </c>
      <c r="D2565">
        <v>42000000</v>
      </c>
    </row>
    <row r="2566" spans="1:4">
      <c r="A2566" s="3" t="s">
        <v>357</v>
      </c>
      <c r="B2566" s="3" t="s">
        <v>358</v>
      </c>
      <c r="C2566">
        <v>2018</v>
      </c>
      <c r="D2566">
        <v>49000000</v>
      </c>
    </row>
    <row r="2567" spans="1:4">
      <c r="A2567" s="3" t="s">
        <v>357</v>
      </c>
      <c r="B2567" s="3" t="s">
        <v>358</v>
      </c>
      <c r="C2567">
        <v>2019</v>
      </c>
      <c r="D2567">
        <v>18000000</v>
      </c>
    </row>
    <row r="2568" spans="1:4">
      <c r="A2568" s="3" t="s">
        <v>357</v>
      </c>
      <c r="B2568" s="3" t="s">
        <v>358</v>
      </c>
      <c r="C2568">
        <v>2020</v>
      </c>
      <c r="D2568">
        <v>84000000</v>
      </c>
    </row>
    <row r="2569" spans="1:4">
      <c r="A2569" s="3" t="s">
        <v>357</v>
      </c>
      <c r="B2569" s="3" t="s">
        <v>358</v>
      </c>
      <c r="C2569">
        <v>2021</v>
      </c>
      <c r="D2569">
        <v>273000000</v>
      </c>
    </row>
    <row r="2570" spans="1:4">
      <c r="A2570" s="3" t="s">
        <v>357</v>
      </c>
      <c r="B2570" s="3" t="s">
        <v>358</v>
      </c>
      <c r="C2570">
        <v>2022</v>
      </c>
      <c r="D2570">
        <v>53000000</v>
      </c>
    </row>
    <row r="2571" spans="1:4">
      <c r="A2571" s="3" t="s">
        <v>357</v>
      </c>
      <c r="B2571" s="3" t="s">
        <v>358</v>
      </c>
      <c r="C2571">
        <v>2023</v>
      </c>
      <c r="D2571">
        <v>93000000</v>
      </c>
    </row>
    <row r="2572" spans="1:4">
      <c r="A2572" s="3" t="s">
        <v>357</v>
      </c>
      <c r="B2572" s="3" t="s">
        <v>358</v>
      </c>
      <c r="C2572">
        <v>2024</v>
      </c>
      <c r="D2572">
        <v>93000000</v>
      </c>
    </row>
    <row r="2573" spans="1:4">
      <c r="A2573" s="3" t="s">
        <v>359</v>
      </c>
      <c r="B2573" s="3" t="s">
        <v>360</v>
      </c>
      <c r="C2573">
        <v>2007</v>
      </c>
      <c r="D2573">
        <v>14000000</v>
      </c>
    </row>
    <row r="2574" spans="1:4">
      <c r="A2574" s="3" t="s">
        <v>359</v>
      </c>
      <c r="B2574" s="3" t="s">
        <v>360</v>
      </c>
      <c r="C2574">
        <v>2009</v>
      </c>
      <c r="D2574">
        <v>15000000</v>
      </c>
    </row>
    <row r="2575" spans="1:4">
      <c r="A2575" s="3" t="s">
        <v>359</v>
      </c>
      <c r="B2575" s="3" t="s">
        <v>360</v>
      </c>
      <c r="C2575">
        <v>2014</v>
      </c>
      <c r="D2575">
        <v>13000000</v>
      </c>
    </row>
    <row r="2576" spans="1:4">
      <c r="A2576" s="3" t="s">
        <v>359</v>
      </c>
      <c r="B2576" s="3" t="s">
        <v>360</v>
      </c>
      <c r="C2576">
        <v>2015</v>
      </c>
      <c r="D2576">
        <v>14000000</v>
      </c>
    </row>
    <row r="2577" spans="1:4">
      <c r="A2577" s="3" t="s">
        <v>359</v>
      </c>
      <c r="B2577" s="3" t="s">
        <v>360</v>
      </c>
      <c r="C2577">
        <v>2016</v>
      </c>
      <c r="D2577">
        <v>86000000</v>
      </c>
    </row>
    <row r="2578" spans="1:4">
      <c r="A2578" s="3" t="s">
        <v>359</v>
      </c>
      <c r="B2578" s="3" t="s">
        <v>360</v>
      </c>
      <c r="C2578">
        <v>2017</v>
      </c>
      <c r="D2578">
        <v>7000000</v>
      </c>
    </row>
    <row r="2579" spans="1:4">
      <c r="A2579" s="3" t="s">
        <v>359</v>
      </c>
      <c r="B2579" s="3" t="s">
        <v>360</v>
      </c>
      <c r="C2579">
        <v>2019</v>
      </c>
      <c r="D2579">
        <v>13000000</v>
      </c>
    </row>
    <row r="2580" spans="1:4">
      <c r="A2580" s="3" t="s">
        <v>361</v>
      </c>
      <c r="B2580" s="3" t="s">
        <v>362</v>
      </c>
      <c r="C2580">
        <v>2000</v>
      </c>
      <c r="D2580">
        <v>123000000</v>
      </c>
    </row>
    <row r="2581" spans="1:4">
      <c r="A2581" s="3" t="s">
        <v>361</v>
      </c>
      <c r="B2581" s="3" t="s">
        <v>362</v>
      </c>
      <c r="C2581">
        <v>2001</v>
      </c>
      <c r="D2581">
        <v>164000000</v>
      </c>
    </row>
    <row r="2582" spans="1:4">
      <c r="A2582" s="3" t="s">
        <v>361</v>
      </c>
      <c r="B2582" s="3" t="s">
        <v>362</v>
      </c>
      <c r="C2582">
        <v>2002</v>
      </c>
      <c r="D2582">
        <v>247000000</v>
      </c>
    </row>
    <row r="2583" spans="1:4">
      <c r="A2583" s="3" t="s">
        <v>361</v>
      </c>
      <c r="B2583" s="3" t="s">
        <v>362</v>
      </c>
      <c r="C2583">
        <v>2003</v>
      </c>
      <c r="D2583">
        <v>128000000</v>
      </c>
    </row>
    <row r="2584" spans="1:4">
      <c r="A2584" s="3" t="s">
        <v>361</v>
      </c>
      <c r="B2584" s="3" t="s">
        <v>362</v>
      </c>
      <c r="C2584">
        <v>2004</v>
      </c>
      <c r="D2584">
        <v>130000000</v>
      </c>
    </row>
    <row r="2585" spans="1:4">
      <c r="A2585" s="3" t="s">
        <v>361</v>
      </c>
      <c r="B2585" s="3" t="s">
        <v>362</v>
      </c>
      <c r="C2585">
        <v>2005</v>
      </c>
      <c r="D2585">
        <v>86000000</v>
      </c>
    </row>
    <row r="2586" spans="1:4">
      <c r="A2586" s="3" t="s">
        <v>361</v>
      </c>
      <c r="B2586" s="3" t="s">
        <v>362</v>
      </c>
      <c r="C2586">
        <v>2006</v>
      </c>
      <c r="D2586">
        <v>304000000</v>
      </c>
    </row>
    <row r="2587" spans="1:4">
      <c r="A2587" s="3" t="s">
        <v>361</v>
      </c>
      <c r="B2587" s="3" t="s">
        <v>362</v>
      </c>
      <c r="C2587">
        <v>2007</v>
      </c>
      <c r="D2587">
        <v>221000000</v>
      </c>
    </row>
    <row r="2588" spans="1:4">
      <c r="A2588" s="3" t="s">
        <v>361</v>
      </c>
      <c r="B2588" s="3" t="s">
        <v>362</v>
      </c>
      <c r="C2588">
        <v>2008</v>
      </c>
      <c r="D2588">
        <v>147000000</v>
      </c>
    </row>
    <row r="2589" spans="1:4">
      <c r="A2589" s="3" t="s">
        <v>361</v>
      </c>
      <c r="B2589" s="3" t="s">
        <v>362</v>
      </c>
      <c r="C2589">
        <v>2009</v>
      </c>
      <c r="D2589">
        <v>262000000</v>
      </c>
    </row>
    <row r="2590" spans="1:4">
      <c r="A2590" s="3" t="s">
        <v>361</v>
      </c>
      <c r="B2590" s="3" t="s">
        <v>362</v>
      </c>
      <c r="C2590">
        <v>2010</v>
      </c>
      <c r="D2590">
        <v>171000000</v>
      </c>
    </row>
    <row r="2591" spans="1:4">
      <c r="A2591" s="3" t="s">
        <v>361</v>
      </c>
      <c r="B2591" s="3" t="s">
        <v>362</v>
      </c>
      <c r="C2591">
        <v>2011</v>
      </c>
      <c r="D2591">
        <v>115000000</v>
      </c>
    </row>
    <row r="2592" spans="1:4">
      <c r="A2592" s="3" t="s">
        <v>361</v>
      </c>
      <c r="B2592" s="3" t="s">
        <v>362</v>
      </c>
      <c r="C2592">
        <v>2012</v>
      </c>
      <c r="D2592">
        <v>190000000</v>
      </c>
    </row>
    <row r="2593" spans="1:4">
      <c r="A2593" s="3" t="s">
        <v>361</v>
      </c>
      <c r="B2593" s="3" t="s">
        <v>362</v>
      </c>
      <c r="C2593">
        <v>2013</v>
      </c>
      <c r="D2593">
        <v>488000000</v>
      </c>
    </row>
    <row r="2594" spans="1:4">
      <c r="A2594" s="3" t="s">
        <v>361</v>
      </c>
      <c r="B2594" s="3" t="s">
        <v>362</v>
      </c>
      <c r="C2594">
        <v>2014</v>
      </c>
      <c r="D2594">
        <v>8000000</v>
      </c>
    </row>
    <row r="2595" spans="1:4">
      <c r="A2595" s="3" t="s">
        <v>361</v>
      </c>
      <c r="B2595" s="3" t="s">
        <v>362</v>
      </c>
      <c r="C2595">
        <v>2015</v>
      </c>
      <c r="D2595">
        <v>51000000</v>
      </c>
    </row>
    <row r="2596" spans="1:4">
      <c r="A2596" s="3" t="s">
        <v>361</v>
      </c>
      <c r="B2596" s="3" t="s">
        <v>362</v>
      </c>
      <c r="C2596">
        <v>2016</v>
      </c>
      <c r="D2596">
        <v>69000000</v>
      </c>
    </row>
    <row r="2597" spans="1:4">
      <c r="A2597" s="3" t="s">
        <v>361</v>
      </c>
      <c r="B2597" s="3" t="s">
        <v>362</v>
      </c>
      <c r="C2597">
        <v>2017</v>
      </c>
      <c r="D2597">
        <v>33000000</v>
      </c>
    </row>
    <row r="2598" spans="1:4">
      <c r="A2598" s="3" t="s">
        <v>361</v>
      </c>
      <c r="B2598" s="3" t="s">
        <v>362</v>
      </c>
      <c r="C2598">
        <v>2018</v>
      </c>
      <c r="D2598">
        <v>139000000</v>
      </c>
    </row>
    <row r="2599" spans="1:4">
      <c r="A2599" s="3" t="s">
        <v>361</v>
      </c>
      <c r="B2599" s="3" t="s">
        <v>362</v>
      </c>
      <c r="C2599">
        <v>2019</v>
      </c>
      <c r="D2599">
        <v>494000000</v>
      </c>
    </row>
    <row r="2600" spans="1:4">
      <c r="A2600" s="3" t="s">
        <v>361</v>
      </c>
      <c r="B2600" s="3" t="s">
        <v>362</v>
      </c>
      <c r="C2600">
        <v>2020</v>
      </c>
      <c r="D2600">
        <v>575000000</v>
      </c>
    </row>
    <row r="2601" spans="1:4">
      <c r="A2601" s="3" t="s">
        <v>361</v>
      </c>
      <c r="B2601" s="3" t="s">
        <v>362</v>
      </c>
      <c r="C2601">
        <v>2021</v>
      </c>
      <c r="D2601">
        <v>512000000</v>
      </c>
    </row>
    <row r="2602" spans="1:4">
      <c r="A2602" s="3" t="s">
        <v>361</v>
      </c>
      <c r="B2602" s="3" t="s">
        <v>362</v>
      </c>
      <c r="C2602">
        <v>2022</v>
      </c>
      <c r="D2602">
        <v>725000000</v>
      </c>
    </row>
    <row r="2603" spans="1:4">
      <c r="A2603" s="3" t="s">
        <v>361</v>
      </c>
      <c r="B2603" s="3" t="s">
        <v>362</v>
      </c>
      <c r="C2603">
        <v>2023</v>
      </c>
      <c r="D2603">
        <v>374000000</v>
      </c>
    </row>
    <row r="2604" spans="1:4">
      <c r="A2604" s="3" t="s">
        <v>361</v>
      </c>
      <c r="B2604" s="3" t="s">
        <v>362</v>
      </c>
      <c r="C2604">
        <v>2024</v>
      </c>
      <c r="D2604">
        <v>333000000</v>
      </c>
    </row>
    <row r="2605" spans="1:4">
      <c r="A2605" s="3" t="s">
        <v>363</v>
      </c>
      <c r="B2605" s="3" t="s">
        <v>364</v>
      </c>
      <c r="C2605">
        <v>2000</v>
      </c>
      <c r="D2605">
        <v>234000000</v>
      </c>
    </row>
    <row r="2606" spans="1:4">
      <c r="A2606" s="3" t="s">
        <v>363</v>
      </c>
      <c r="B2606" s="3" t="s">
        <v>364</v>
      </c>
      <c r="C2606">
        <v>2001</v>
      </c>
      <c r="D2606">
        <v>99000000</v>
      </c>
    </row>
    <row r="2607" spans="1:4">
      <c r="A2607" s="3" t="s">
        <v>363</v>
      </c>
      <c r="B2607" s="3" t="s">
        <v>364</v>
      </c>
      <c r="C2607">
        <v>2002</v>
      </c>
      <c r="D2607">
        <v>95000000</v>
      </c>
    </row>
    <row r="2608" spans="1:4">
      <c r="A2608" s="3" t="s">
        <v>363</v>
      </c>
      <c r="B2608" s="3" t="s">
        <v>364</v>
      </c>
      <c r="C2608">
        <v>2003</v>
      </c>
      <c r="D2608">
        <v>9000000</v>
      </c>
    </row>
    <row r="2609" spans="1:4">
      <c r="A2609" s="3" t="s">
        <v>363</v>
      </c>
      <c r="B2609" s="3" t="s">
        <v>364</v>
      </c>
      <c r="C2609">
        <v>2004</v>
      </c>
      <c r="D2609">
        <v>6000000</v>
      </c>
    </row>
    <row r="2610" spans="1:4">
      <c r="A2610" s="3" t="s">
        <v>363</v>
      </c>
      <c r="B2610" s="3" t="s">
        <v>364</v>
      </c>
      <c r="C2610">
        <v>2005</v>
      </c>
      <c r="D2610">
        <v>14000000</v>
      </c>
    </row>
    <row r="2611" spans="1:4">
      <c r="A2611" s="3" t="s">
        <v>363</v>
      </c>
      <c r="B2611" s="3" t="s">
        <v>364</v>
      </c>
      <c r="C2611">
        <v>2006</v>
      </c>
      <c r="D2611">
        <v>559000000</v>
      </c>
    </row>
    <row r="2612" spans="1:4">
      <c r="A2612" s="3" t="s">
        <v>363</v>
      </c>
      <c r="B2612" s="3" t="s">
        <v>364</v>
      </c>
      <c r="C2612">
        <v>2007</v>
      </c>
      <c r="D2612">
        <v>598000000</v>
      </c>
    </row>
    <row r="2613" spans="1:4">
      <c r="A2613" s="3" t="s">
        <v>363</v>
      </c>
      <c r="B2613" s="3" t="s">
        <v>364</v>
      </c>
      <c r="C2613">
        <v>2008</v>
      </c>
      <c r="D2613">
        <v>602000000</v>
      </c>
    </row>
    <row r="2614" spans="1:4">
      <c r="A2614" s="3" t="s">
        <v>363</v>
      </c>
      <c r="B2614" s="3" t="s">
        <v>364</v>
      </c>
      <c r="C2614">
        <v>2009</v>
      </c>
      <c r="D2614">
        <v>569000000</v>
      </c>
    </row>
    <row r="2615" spans="1:4">
      <c r="A2615" s="3" t="s">
        <v>363</v>
      </c>
      <c r="B2615" s="3" t="s">
        <v>364</v>
      </c>
      <c r="C2615">
        <v>2010</v>
      </c>
      <c r="D2615">
        <v>150000000</v>
      </c>
    </row>
    <row r="2616" spans="1:4">
      <c r="A2616" s="3" t="s">
        <v>363</v>
      </c>
      <c r="B2616" s="3" t="s">
        <v>364</v>
      </c>
      <c r="C2616">
        <v>2011</v>
      </c>
      <c r="D2616">
        <v>607000000</v>
      </c>
    </row>
    <row r="2617" spans="1:4">
      <c r="A2617" s="3" t="s">
        <v>363</v>
      </c>
      <c r="B2617" s="3" t="s">
        <v>364</v>
      </c>
      <c r="C2617">
        <v>2012</v>
      </c>
      <c r="D2617">
        <v>147000000</v>
      </c>
    </row>
    <row r="2618" spans="1:4">
      <c r="A2618" s="3" t="s">
        <v>363</v>
      </c>
      <c r="B2618" s="3" t="s">
        <v>364</v>
      </c>
      <c r="C2618">
        <v>2013</v>
      </c>
      <c r="D2618">
        <v>51000000</v>
      </c>
    </row>
    <row r="2619" spans="1:4">
      <c r="A2619" s="3" t="s">
        <v>363</v>
      </c>
      <c r="B2619" s="3" t="s">
        <v>364</v>
      </c>
      <c r="C2619">
        <v>2014</v>
      </c>
      <c r="D2619">
        <v>16000000</v>
      </c>
    </row>
    <row r="2620" spans="1:4">
      <c r="A2620" s="3" t="s">
        <v>363</v>
      </c>
      <c r="B2620" s="3" t="s">
        <v>364</v>
      </c>
      <c r="C2620">
        <v>2015</v>
      </c>
      <c r="D2620">
        <v>143000000</v>
      </c>
    </row>
    <row r="2621" spans="1:4">
      <c r="A2621" s="3" t="s">
        <v>363</v>
      </c>
      <c r="B2621" s="3" t="s">
        <v>364</v>
      </c>
      <c r="C2621">
        <v>2016</v>
      </c>
      <c r="D2621">
        <v>142000000</v>
      </c>
    </row>
    <row r="2622" spans="1:4">
      <c r="A2622" s="3" t="s">
        <v>363</v>
      </c>
      <c r="B2622" s="3" t="s">
        <v>364</v>
      </c>
      <c r="C2622">
        <v>2017</v>
      </c>
      <c r="D2622">
        <v>353000000</v>
      </c>
    </row>
    <row r="2623" spans="1:4">
      <c r="A2623" s="3" t="s">
        <v>363</v>
      </c>
      <c r="B2623" s="3" t="s">
        <v>364</v>
      </c>
      <c r="C2623">
        <v>2018</v>
      </c>
      <c r="D2623">
        <v>520000000</v>
      </c>
    </row>
    <row r="2624" spans="1:4">
      <c r="A2624" s="3" t="s">
        <v>363</v>
      </c>
      <c r="B2624" s="3" t="s">
        <v>364</v>
      </c>
      <c r="C2624">
        <v>2019</v>
      </c>
      <c r="D2624">
        <v>389000000</v>
      </c>
    </row>
    <row r="2625" spans="1:4">
      <c r="A2625" s="3" t="s">
        <v>363</v>
      </c>
      <c r="B2625" s="3" t="s">
        <v>364</v>
      </c>
      <c r="C2625">
        <v>2020</v>
      </c>
      <c r="D2625">
        <v>459000000</v>
      </c>
    </row>
    <row r="2626" spans="1:4">
      <c r="A2626" s="3" t="s">
        <v>363</v>
      </c>
      <c r="B2626" s="3" t="s">
        <v>364</v>
      </c>
      <c r="C2626">
        <v>2021</v>
      </c>
      <c r="D2626">
        <v>503000000</v>
      </c>
    </row>
    <row r="2627" spans="1:4">
      <c r="A2627" s="3" t="s">
        <v>363</v>
      </c>
      <c r="B2627" s="3" t="s">
        <v>364</v>
      </c>
      <c r="C2627">
        <v>2022</v>
      </c>
      <c r="D2627">
        <v>700000000</v>
      </c>
    </row>
    <row r="2628" spans="1:4">
      <c r="A2628" s="3" t="s">
        <v>363</v>
      </c>
      <c r="B2628" s="3" t="s">
        <v>364</v>
      </c>
      <c r="C2628">
        <v>2023</v>
      </c>
      <c r="D2628">
        <v>200000000</v>
      </c>
    </row>
    <row r="2629" spans="1:4">
      <c r="A2629" s="3" t="s">
        <v>363</v>
      </c>
      <c r="B2629" s="3" t="s">
        <v>364</v>
      </c>
      <c r="C2629">
        <v>2024</v>
      </c>
      <c r="D2629">
        <v>379000000</v>
      </c>
    </row>
    <row r="2630" spans="1:4">
      <c r="A2630" s="3" t="s">
        <v>365</v>
      </c>
      <c r="B2630" s="3" t="s">
        <v>366</v>
      </c>
      <c r="C2630">
        <v>2001</v>
      </c>
      <c r="D2630">
        <v>12000000</v>
      </c>
    </row>
    <row r="2631" spans="1:4">
      <c r="A2631" s="3" t="s">
        <v>365</v>
      </c>
      <c r="B2631" s="3" t="s">
        <v>366</v>
      </c>
      <c r="C2631">
        <v>2002</v>
      </c>
      <c r="D2631">
        <v>10000000</v>
      </c>
    </row>
    <row r="2632" spans="1:4">
      <c r="A2632" s="3" t="s">
        <v>365</v>
      </c>
      <c r="B2632" s="3" t="s">
        <v>366</v>
      </c>
      <c r="C2632">
        <v>2003</v>
      </c>
      <c r="D2632">
        <v>10000000</v>
      </c>
    </row>
    <row r="2633" spans="1:4">
      <c r="A2633" s="3" t="s">
        <v>365</v>
      </c>
      <c r="B2633" s="3" t="s">
        <v>366</v>
      </c>
      <c r="C2633">
        <v>2004</v>
      </c>
      <c r="D2633">
        <v>36000000</v>
      </c>
    </row>
    <row r="2634" spans="1:4">
      <c r="A2634" s="3" t="s">
        <v>365</v>
      </c>
      <c r="B2634" s="3" t="s">
        <v>366</v>
      </c>
      <c r="C2634">
        <v>2005</v>
      </c>
      <c r="D2634">
        <v>7000000</v>
      </c>
    </row>
    <row r="2635" spans="1:4">
      <c r="A2635" s="3" t="s">
        <v>365</v>
      </c>
      <c r="B2635" s="3" t="s">
        <v>366</v>
      </c>
      <c r="C2635">
        <v>2008</v>
      </c>
      <c r="D2635">
        <v>1000000</v>
      </c>
    </row>
    <row r="2636" spans="1:4">
      <c r="A2636" s="3" t="s">
        <v>365</v>
      </c>
      <c r="B2636" s="3" t="s">
        <v>366</v>
      </c>
      <c r="C2636">
        <v>2011</v>
      </c>
      <c r="D2636">
        <v>3000000</v>
      </c>
    </row>
    <row r="2637" spans="1:4">
      <c r="A2637" s="3" t="s">
        <v>365</v>
      </c>
      <c r="B2637" s="3" t="s">
        <v>366</v>
      </c>
      <c r="C2637">
        <v>2014</v>
      </c>
      <c r="D2637">
        <v>5000000</v>
      </c>
    </row>
    <row r="2638" spans="1:4">
      <c r="A2638" s="3" t="s">
        <v>365</v>
      </c>
      <c r="B2638" s="3" t="s">
        <v>366</v>
      </c>
      <c r="C2638">
        <v>2015</v>
      </c>
      <c r="D2638">
        <v>15000000</v>
      </c>
    </row>
    <row r="2639" spans="1:4">
      <c r="A2639" s="3" t="s">
        <v>365</v>
      </c>
      <c r="B2639" s="3" t="s">
        <v>366</v>
      </c>
      <c r="C2639">
        <v>2016</v>
      </c>
      <c r="D2639">
        <v>9000000</v>
      </c>
    </row>
    <row r="2640" spans="1:4">
      <c r="A2640" s="3" t="s">
        <v>365</v>
      </c>
      <c r="B2640" s="3" t="s">
        <v>366</v>
      </c>
      <c r="C2640">
        <v>2017</v>
      </c>
      <c r="D2640">
        <v>1000000</v>
      </c>
    </row>
    <row r="2641" spans="1:4">
      <c r="A2641" s="3" t="s">
        <v>365</v>
      </c>
      <c r="B2641" s="3" t="s">
        <v>366</v>
      </c>
      <c r="C2641">
        <v>2018</v>
      </c>
      <c r="D2641">
        <v>7000000</v>
      </c>
    </row>
    <row r="2642" spans="1:4">
      <c r="A2642" s="3" t="s">
        <v>365</v>
      </c>
      <c r="B2642" s="3" t="s">
        <v>366</v>
      </c>
      <c r="C2642">
        <v>2019</v>
      </c>
      <c r="D2642">
        <v>38000000</v>
      </c>
    </row>
    <row r="2643" spans="1:4">
      <c r="A2643" s="3" t="s">
        <v>365</v>
      </c>
      <c r="B2643" s="3" t="s">
        <v>366</v>
      </c>
      <c r="C2643">
        <v>2021</v>
      </c>
      <c r="D2643">
        <v>0</v>
      </c>
    </row>
    <row r="2644" spans="1:4">
      <c r="A2644" s="3" t="s">
        <v>369</v>
      </c>
      <c r="B2644" s="3" t="s">
        <v>370</v>
      </c>
      <c r="C2644">
        <v>2001</v>
      </c>
      <c r="D2644">
        <v>45000000</v>
      </c>
    </row>
    <row r="2645" spans="1:4">
      <c r="A2645" s="3" t="s">
        <v>369</v>
      </c>
      <c r="B2645" s="3" t="s">
        <v>370</v>
      </c>
      <c r="C2645">
        <v>2002</v>
      </c>
      <c r="D2645">
        <v>17000000</v>
      </c>
    </row>
    <row r="2646" spans="1:4">
      <c r="A2646" s="3" t="s">
        <v>369</v>
      </c>
      <c r="B2646" s="3" t="s">
        <v>370</v>
      </c>
      <c r="C2646">
        <v>2003</v>
      </c>
      <c r="D2646">
        <v>154000000</v>
      </c>
    </row>
    <row r="2647" spans="1:4">
      <c r="A2647" s="3" t="s">
        <v>369</v>
      </c>
      <c r="B2647" s="3" t="s">
        <v>370</v>
      </c>
      <c r="C2647">
        <v>2004</v>
      </c>
      <c r="D2647">
        <v>95000000</v>
      </c>
    </row>
    <row r="2648" spans="1:4">
      <c r="A2648" s="3" t="s">
        <v>369</v>
      </c>
      <c r="B2648" s="3" t="s">
        <v>370</v>
      </c>
      <c r="C2648">
        <v>2006</v>
      </c>
      <c r="D2648">
        <v>6000000</v>
      </c>
    </row>
    <row r="2649" spans="1:4">
      <c r="A2649" s="3" t="s">
        <v>369</v>
      </c>
      <c r="B2649" s="3" t="s">
        <v>370</v>
      </c>
      <c r="C2649">
        <v>2007</v>
      </c>
      <c r="D2649">
        <v>81000000</v>
      </c>
    </row>
    <row r="2650" spans="1:4">
      <c r="A2650" s="3" t="s">
        <v>369</v>
      </c>
      <c r="B2650" s="3" t="s">
        <v>370</v>
      </c>
      <c r="C2650">
        <v>2008</v>
      </c>
      <c r="D2650">
        <v>3000000</v>
      </c>
    </row>
    <row r="2651" spans="1:4">
      <c r="A2651" s="3" t="s">
        <v>369</v>
      </c>
      <c r="B2651" s="3" t="s">
        <v>370</v>
      </c>
      <c r="C2651">
        <v>2009</v>
      </c>
      <c r="D2651">
        <v>56000000</v>
      </c>
    </row>
    <row r="2652" spans="1:4">
      <c r="A2652" s="3" t="s">
        <v>369</v>
      </c>
      <c r="B2652" s="3" t="s">
        <v>370</v>
      </c>
      <c r="C2652">
        <v>2010</v>
      </c>
      <c r="D2652">
        <v>78000000</v>
      </c>
    </row>
    <row r="2653" spans="1:4">
      <c r="A2653" s="3" t="s">
        <v>369</v>
      </c>
      <c r="B2653" s="3" t="s">
        <v>370</v>
      </c>
      <c r="C2653">
        <v>2011</v>
      </c>
      <c r="D2653">
        <v>28000000</v>
      </c>
    </row>
    <row r="2654" spans="1:4">
      <c r="A2654" s="3" t="s">
        <v>369</v>
      </c>
      <c r="B2654" s="3" t="s">
        <v>370</v>
      </c>
      <c r="C2654">
        <v>2012</v>
      </c>
      <c r="D2654">
        <v>30000000</v>
      </c>
    </row>
    <row r="2655" spans="1:4">
      <c r="A2655" s="3" t="s">
        <v>369</v>
      </c>
      <c r="B2655" s="3" t="s">
        <v>370</v>
      </c>
      <c r="C2655">
        <v>2013</v>
      </c>
      <c r="D2655">
        <v>26000000</v>
      </c>
    </row>
    <row r="2656" spans="1:4">
      <c r="A2656" s="3" t="s">
        <v>369</v>
      </c>
      <c r="B2656" s="3" t="s">
        <v>370</v>
      </c>
      <c r="C2656">
        <v>2014</v>
      </c>
      <c r="D2656">
        <v>84000000</v>
      </c>
    </row>
    <row r="2657" spans="1:4">
      <c r="A2657" s="3" t="s">
        <v>369</v>
      </c>
      <c r="B2657" s="3" t="s">
        <v>370</v>
      </c>
      <c r="C2657">
        <v>2015</v>
      </c>
      <c r="D2657">
        <v>89000000</v>
      </c>
    </row>
    <row r="2658" spans="1:4">
      <c r="A2658" s="3" t="s">
        <v>369</v>
      </c>
      <c r="B2658" s="3" t="s">
        <v>370</v>
      </c>
      <c r="C2658">
        <v>2018</v>
      </c>
      <c r="D2658">
        <v>6000000</v>
      </c>
    </row>
    <row r="2659" spans="1:4">
      <c r="A2659" s="3" t="s">
        <v>369</v>
      </c>
      <c r="B2659" s="3" t="s">
        <v>370</v>
      </c>
      <c r="C2659">
        <v>2019</v>
      </c>
      <c r="D2659">
        <v>3000000</v>
      </c>
    </row>
    <row r="2660" spans="1:4">
      <c r="A2660" s="3" t="s">
        <v>369</v>
      </c>
      <c r="B2660" s="3" t="s">
        <v>370</v>
      </c>
      <c r="C2660">
        <v>2020</v>
      </c>
      <c r="D2660">
        <v>146000000</v>
      </c>
    </row>
    <row r="2661" spans="1:4">
      <c r="A2661" s="3" t="s">
        <v>369</v>
      </c>
      <c r="B2661" s="3" t="s">
        <v>370</v>
      </c>
      <c r="C2661">
        <v>2021</v>
      </c>
      <c r="D2661">
        <v>36000000</v>
      </c>
    </row>
    <row r="2662" spans="1:4">
      <c r="A2662" s="3" t="s">
        <v>369</v>
      </c>
      <c r="B2662" s="3" t="s">
        <v>370</v>
      </c>
      <c r="C2662">
        <v>2022</v>
      </c>
      <c r="D2662">
        <v>171000000</v>
      </c>
    </row>
    <row r="2663" spans="1:4">
      <c r="A2663" s="3" t="s">
        <v>369</v>
      </c>
      <c r="B2663" s="3" t="s">
        <v>370</v>
      </c>
      <c r="C2663">
        <v>2023</v>
      </c>
      <c r="D2663">
        <v>406000000</v>
      </c>
    </row>
    <row r="2664" spans="1:4">
      <c r="A2664" s="3" t="s">
        <v>369</v>
      </c>
      <c r="B2664" s="3" t="s">
        <v>370</v>
      </c>
      <c r="C2664">
        <v>2024</v>
      </c>
      <c r="D2664">
        <v>200000000</v>
      </c>
    </row>
    <row r="2665" spans="1:4">
      <c r="A2665" s="3" t="s">
        <v>371</v>
      </c>
      <c r="B2665" s="3" t="s">
        <v>372</v>
      </c>
      <c r="C2665">
        <v>2000</v>
      </c>
      <c r="D2665">
        <v>8998000000</v>
      </c>
    </row>
    <row r="2666" spans="1:4">
      <c r="A2666" s="3" t="s">
        <v>371</v>
      </c>
      <c r="B2666" s="3" t="s">
        <v>372</v>
      </c>
      <c r="C2666">
        <v>2001</v>
      </c>
      <c r="D2666">
        <v>8148000000</v>
      </c>
    </row>
    <row r="2667" spans="1:4">
      <c r="A2667" s="3" t="s">
        <v>371</v>
      </c>
      <c r="B2667" s="3" t="s">
        <v>372</v>
      </c>
      <c r="C2667">
        <v>2002</v>
      </c>
      <c r="D2667">
        <v>6884000000</v>
      </c>
    </row>
    <row r="2668" spans="1:4">
      <c r="A2668" s="3" t="s">
        <v>371</v>
      </c>
      <c r="B2668" s="3" t="s">
        <v>372</v>
      </c>
      <c r="C2668">
        <v>2003</v>
      </c>
      <c r="D2668">
        <v>8898000000</v>
      </c>
    </row>
    <row r="2669" spans="1:4">
      <c r="A2669" s="3" t="s">
        <v>371</v>
      </c>
      <c r="B2669" s="3" t="s">
        <v>372</v>
      </c>
      <c r="C2669">
        <v>2004</v>
      </c>
      <c r="D2669">
        <v>8109000000</v>
      </c>
    </row>
    <row r="2670" spans="1:4">
      <c r="A2670" s="3" t="s">
        <v>371</v>
      </c>
      <c r="B2670" s="3" t="s">
        <v>372</v>
      </c>
      <c r="C2670">
        <v>2005</v>
      </c>
      <c r="D2670">
        <v>7659000000</v>
      </c>
    </row>
    <row r="2671" spans="1:4">
      <c r="A2671" s="3" t="s">
        <v>371</v>
      </c>
      <c r="B2671" s="3" t="s">
        <v>372</v>
      </c>
      <c r="C2671">
        <v>2006</v>
      </c>
      <c r="D2671">
        <v>11154000000</v>
      </c>
    </row>
    <row r="2672" spans="1:4">
      <c r="A2672" s="3" t="s">
        <v>371</v>
      </c>
      <c r="B2672" s="3" t="s">
        <v>372</v>
      </c>
      <c r="C2672">
        <v>2007</v>
      </c>
      <c r="D2672">
        <v>13162000000</v>
      </c>
    </row>
    <row r="2673" spans="1:4">
      <c r="A2673" s="3" t="s">
        <v>371</v>
      </c>
      <c r="B2673" s="3" t="s">
        <v>372</v>
      </c>
      <c r="C2673">
        <v>2008</v>
      </c>
      <c r="D2673">
        <v>10522000000</v>
      </c>
    </row>
    <row r="2674" spans="1:4">
      <c r="A2674" s="3" t="s">
        <v>371</v>
      </c>
      <c r="B2674" s="3" t="s">
        <v>372</v>
      </c>
      <c r="C2674">
        <v>2009</v>
      </c>
      <c r="D2674">
        <v>9667000000</v>
      </c>
    </row>
    <row r="2675" spans="1:4">
      <c r="A2675" s="3" t="s">
        <v>371</v>
      </c>
      <c r="B2675" s="3" t="s">
        <v>372</v>
      </c>
      <c r="C2675">
        <v>2010</v>
      </c>
      <c r="D2675">
        <v>9754000000</v>
      </c>
    </row>
    <row r="2676" spans="1:4">
      <c r="A2676" s="3" t="s">
        <v>371</v>
      </c>
      <c r="B2676" s="3" t="s">
        <v>372</v>
      </c>
      <c r="C2676">
        <v>2011</v>
      </c>
      <c r="D2676">
        <v>8902000000</v>
      </c>
    </row>
    <row r="2677" spans="1:4">
      <c r="A2677" s="3" t="s">
        <v>371</v>
      </c>
      <c r="B2677" s="3" t="s">
        <v>372</v>
      </c>
      <c r="C2677">
        <v>2012</v>
      </c>
      <c r="D2677">
        <v>7933000000</v>
      </c>
    </row>
    <row r="2678" spans="1:4">
      <c r="A2678" s="3" t="s">
        <v>371</v>
      </c>
      <c r="B2678" s="3" t="s">
        <v>372</v>
      </c>
      <c r="C2678">
        <v>2013</v>
      </c>
      <c r="D2678">
        <v>5140000000</v>
      </c>
    </row>
    <row r="2679" spans="1:4">
      <c r="A2679" s="3" t="s">
        <v>371</v>
      </c>
      <c r="B2679" s="3" t="s">
        <v>372</v>
      </c>
      <c r="C2679">
        <v>2014</v>
      </c>
      <c r="D2679">
        <v>6976000000</v>
      </c>
    </row>
    <row r="2680" spans="1:4">
      <c r="A2680" s="3" t="s">
        <v>371</v>
      </c>
      <c r="B2680" s="3" t="s">
        <v>372</v>
      </c>
      <c r="C2680">
        <v>2015</v>
      </c>
      <c r="D2680">
        <v>7320000000</v>
      </c>
    </row>
    <row r="2681" spans="1:4">
      <c r="A2681" s="3" t="s">
        <v>371</v>
      </c>
      <c r="B2681" s="3" t="s">
        <v>372</v>
      </c>
      <c r="C2681">
        <v>2016</v>
      </c>
      <c r="D2681">
        <v>6805000000</v>
      </c>
    </row>
    <row r="2682" spans="1:4">
      <c r="A2682" s="3" t="s">
        <v>371</v>
      </c>
      <c r="B2682" s="3" t="s">
        <v>372</v>
      </c>
      <c r="C2682">
        <v>2017</v>
      </c>
      <c r="D2682">
        <v>8044000000</v>
      </c>
    </row>
    <row r="2683" spans="1:4">
      <c r="A2683" s="3" t="s">
        <v>371</v>
      </c>
      <c r="B2683" s="3" t="s">
        <v>372</v>
      </c>
      <c r="C2683">
        <v>2018</v>
      </c>
      <c r="D2683">
        <v>7130000000</v>
      </c>
    </row>
    <row r="2684" spans="1:4">
      <c r="A2684" s="3" t="s">
        <v>371</v>
      </c>
      <c r="B2684" s="3" t="s">
        <v>372</v>
      </c>
      <c r="C2684">
        <v>2019</v>
      </c>
      <c r="D2684">
        <v>8456000000</v>
      </c>
    </row>
    <row r="2685" spans="1:4">
      <c r="A2685" s="3" t="s">
        <v>371</v>
      </c>
      <c r="B2685" s="3" t="s">
        <v>372</v>
      </c>
      <c r="C2685">
        <v>2020</v>
      </c>
      <c r="D2685">
        <v>9349000000</v>
      </c>
    </row>
    <row r="2686" spans="1:4">
      <c r="A2686" s="3" t="s">
        <v>371</v>
      </c>
      <c r="B2686" s="3" t="s">
        <v>372</v>
      </c>
      <c r="C2686">
        <v>2021</v>
      </c>
      <c r="D2686">
        <v>8953000000</v>
      </c>
    </row>
    <row r="2687" spans="1:4">
      <c r="A2687" s="3" t="s">
        <v>371</v>
      </c>
      <c r="B2687" s="3" t="s">
        <v>372</v>
      </c>
      <c r="C2687">
        <v>2022</v>
      </c>
      <c r="D2687">
        <v>10150000000</v>
      </c>
    </row>
    <row r="2688" spans="1:4">
      <c r="A2688" s="3" t="s">
        <v>371</v>
      </c>
      <c r="B2688" s="3" t="s">
        <v>372</v>
      </c>
      <c r="C2688">
        <v>2023</v>
      </c>
      <c r="D2688">
        <v>9338000000</v>
      </c>
    </row>
    <row r="2689" spans="1:4">
      <c r="A2689" s="3" t="s">
        <v>371</v>
      </c>
      <c r="B2689" s="3" t="s">
        <v>372</v>
      </c>
      <c r="C2689">
        <v>2024</v>
      </c>
      <c r="D2689">
        <v>11975000000</v>
      </c>
    </row>
    <row r="2690" spans="1:4">
      <c r="A2690" s="3" t="s">
        <v>373</v>
      </c>
      <c r="B2690" s="3" t="s">
        <v>374</v>
      </c>
      <c r="C2690">
        <v>2000</v>
      </c>
      <c r="D2690">
        <v>121000000</v>
      </c>
    </row>
    <row r="2691" spans="1:4">
      <c r="A2691" s="3" t="s">
        <v>373</v>
      </c>
      <c r="B2691" s="3" t="s">
        <v>374</v>
      </c>
      <c r="C2691">
        <v>2001</v>
      </c>
      <c r="D2691">
        <v>32000000</v>
      </c>
    </row>
    <row r="2692" spans="1:4">
      <c r="A2692" s="3" t="s">
        <v>373</v>
      </c>
      <c r="B2692" s="3" t="s">
        <v>374</v>
      </c>
      <c r="C2692">
        <v>2002</v>
      </c>
      <c r="D2692">
        <v>40000000</v>
      </c>
    </row>
    <row r="2693" spans="1:4">
      <c r="A2693" s="3" t="s">
        <v>373</v>
      </c>
      <c r="B2693" s="3" t="s">
        <v>374</v>
      </c>
      <c r="C2693">
        <v>2003</v>
      </c>
      <c r="D2693">
        <v>37000000</v>
      </c>
    </row>
    <row r="2694" spans="1:4">
      <c r="A2694" s="3" t="s">
        <v>373</v>
      </c>
      <c r="B2694" s="3" t="s">
        <v>374</v>
      </c>
      <c r="C2694">
        <v>2004</v>
      </c>
      <c r="D2694">
        <v>49000000</v>
      </c>
    </row>
    <row r="2695" spans="1:4">
      <c r="A2695" s="3" t="s">
        <v>373</v>
      </c>
      <c r="B2695" s="3" t="s">
        <v>374</v>
      </c>
      <c r="C2695">
        <v>2005</v>
      </c>
      <c r="D2695">
        <v>178000000</v>
      </c>
    </row>
    <row r="2696" spans="1:4">
      <c r="A2696" s="3" t="s">
        <v>373</v>
      </c>
      <c r="B2696" s="3" t="s">
        <v>374</v>
      </c>
      <c r="C2696">
        <v>2006</v>
      </c>
      <c r="D2696">
        <v>297000000</v>
      </c>
    </row>
    <row r="2697" spans="1:4">
      <c r="A2697" s="3" t="s">
        <v>373</v>
      </c>
      <c r="B2697" s="3" t="s">
        <v>374</v>
      </c>
      <c r="C2697">
        <v>2007</v>
      </c>
      <c r="D2697">
        <v>12000000</v>
      </c>
    </row>
    <row r="2698" spans="1:4">
      <c r="A2698" s="3" t="s">
        <v>373</v>
      </c>
      <c r="B2698" s="3" t="s">
        <v>374</v>
      </c>
      <c r="C2698">
        <v>2008</v>
      </c>
      <c r="D2698">
        <v>72000000</v>
      </c>
    </row>
    <row r="2699" spans="1:4">
      <c r="A2699" s="3" t="s">
        <v>373</v>
      </c>
      <c r="B2699" s="3" t="s">
        <v>374</v>
      </c>
      <c r="C2699">
        <v>2009</v>
      </c>
      <c r="D2699">
        <v>95000000</v>
      </c>
    </row>
    <row r="2700" spans="1:4">
      <c r="A2700" s="3" t="s">
        <v>373</v>
      </c>
      <c r="B2700" s="3" t="s">
        <v>374</v>
      </c>
      <c r="C2700">
        <v>2010</v>
      </c>
      <c r="D2700">
        <v>31000000</v>
      </c>
    </row>
    <row r="2701" spans="1:4">
      <c r="A2701" s="3" t="s">
        <v>373</v>
      </c>
      <c r="B2701" s="3" t="s">
        <v>374</v>
      </c>
      <c r="C2701">
        <v>2011</v>
      </c>
      <c r="D2701">
        <v>21000000</v>
      </c>
    </row>
    <row r="2702" spans="1:4">
      <c r="A2702" s="3" t="s">
        <v>373</v>
      </c>
      <c r="B2702" s="3" t="s">
        <v>374</v>
      </c>
      <c r="C2702">
        <v>2012</v>
      </c>
      <c r="D2702">
        <v>127000000</v>
      </c>
    </row>
    <row r="2703" spans="1:4">
      <c r="A2703" s="3" t="s">
        <v>373</v>
      </c>
      <c r="B2703" s="3" t="s">
        <v>374</v>
      </c>
      <c r="C2703">
        <v>2013</v>
      </c>
      <c r="D2703">
        <v>492000000</v>
      </c>
    </row>
    <row r="2704" spans="1:4">
      <c r="A2704" s="3" t="s">
        <v>373</v>
      </c>
      <c r="B2704" s="3" t="s">
        <v>374</v>
      </c>
      <c r="C2704">
        <v>2014</v>
      </c>
      <c r="D2704">
        <v>719000000</v>
      </c>
    </row>
    <row r="2705" spans="1:4">
      <c r="A2705" s="3" t="s">
        <v>373</v>
      </c>
      <c r="B2705" s="3" t="s">
        <v>374</v>
      </c>
      <c r="C2705">
        <v>2015</v>
      </c>
      <c r="D2705">
        <v>152000000</v>
      </c>
    </row>
    <row r="2706" spans="1:4">
      <c r="A2706" s="3" t="s">
        <v>373</v>
      </c>
      <c r="B2706" s="3" t="s">
        <v>374</v>
      </c>
      <c r="C2706">
        <v>2016</v>
      </c>
      <c r="D2706">
        <v>422000000</v>
      </c>
    </row>
    <row r="2707" spans="1:4">
      <c r="A2707" s="3" t="s">
        <v>373</v>
      </c>
      <c r="B2707" s="3" t="s">
        <v>374</v>
      </c>
      <c r="C2707">
        <v>2017</v>
      </c>
      <c r="D2707">
        <v>757000000</v>
      </c>
    </row>
    <row r="2708" spans="1:4">
      <c r="A2708" s="3" t="s">
        <v>373</v>
      </c>
      <c r="B2708" s="3" t="s">
        <v>374</v>
      </c>
      <c r="C2708">
        <v>2018</v>
      </c>
      <c r="D2708">
        <v>282000000</v>
      </c>
    </row>
    <row r="2709" spans="1:4">
      <c r="A2709" s="3" t="s">
        <v>373</v>
      </c>
      <c r="B2709" s="3" t="s">
        <v>374</v>
      </c>
      <c r="C2709">
        <v>2019</v>
      </c>
      <c r="D2709">
        <v>88000000</v>
      </c>
    </row>
    <row r="2710" spans="1:4">
      <c r="A2710" s="3" t="s">
        <v>373</v>
      </c>
      <c r="B2710" s="3" t="s">
        <v>374</v>
      </c>
      <c r="C2710">
        <v>2020</v>
      </c>
      <c r="D2710">
        <v>85000000</v>
      </c>
    </row>
    <row r="2711" spans="1:4">
      <c r="A2711" s="3" t="s">
        <v>373</v>
      </c>
      <c r="B2711" s="3" t="s">
        <v>374</v>
      </c>
      <c r="C2711">
        <v>2021</v>
      </c>
      <c r="D2711">
        <v>4000000</v>
      </c>
    </row>
    <row r="2712" spans="1:4">
      <c r="A2712" s="3" t="s">
        <v>373</v>
      </c>
      <c r="B2712" s="3" t="s">
        <v>374</v>
      </c>
      <c r="C2712">
        <v>2022</v>
      </c>
      <c r="D2712">
        <v>4000000</v>
      </c>
    </row>
    <row r="2713" spans="1:4">
      <c r="A2713" s="3" t="s">
        <v>373</v>
      </c>
      <c r="B2713" s="3" t="s">
        <v>374</v>
      </c>
      <c r="C2713">
        <v>2023</v>
      </c>
      <c r="D2713">
        <v>4000000</v>
      </c>
    </row>
    <row r="2714" spans="1:4">
      <c r="A2714" s="3" t="s">
        <v>375</v>
      </c>
      <c r="B2714" s="3" t="s">
        <v>376</v>
      </c>
      <c r="C2714">
        <v>2000</v>
      </c>
      <c r="D2714">
        <v>34000000</v>
      </c>
    </row>
    <row r="2715" spans="1:4">
      <c r="A2715" s="3" t="s">
        <v>375</v>
      </c>
      <c r="B2715" s="3" t="s">
        <v>376</v>
      </c>
      <c r="C2715">
        <v>2002</v>
      </c>
      <c r="D2715">
        <v>76000000</v>
      </c>
    </row>
    <row r="2716" spans="1:4">
      <c r="A2716" s="3" t="s">
        <v>375</v>
      </c>
      <c r="B2716" s="3" t="s">
        <v>376</v>
      </c>
      <c r="C2716">
        <v>2004</v>
      </c>
      <c r="D2716">
        <v>45000000</v>
      </c>
    </row>
    <row r="2717" spans="1:4">
      <c r="A2717" s="3" t="s">
        <v>375</v>
      </c>
      <c r="B2717" s="3" t="s">
        <v>376</v>
      </c>
      <c r="C2717">
        <v>2005</v>
      </c>
      <c r="D2717">
        <v>85000000</v>
      </c>
    </row>
    <row r="2718" spans="1:4">
      <c r="A2718" s="3" t="s">
        <v>375</v>
      </c>
      <c r="B2718" s="3" t="s">
        <v>376</v>
      </c>
      <c r="C2718">
        <v>2011</v>
      </c>
      <c r="D2718">
        <v>351000000</v>
      </c>
    </row>
    <row r="2719" spans="1:4">
      <c r="A2719" s="3" t="s">
        <v>375</v>
      </c>
      <c r="B2719" s="3" t="s">
        <v>376</v>
      </c>
      <c r="C2719">
        <v>2012</v>
      </c>
      <c r="D2719">
        <v>53000000</v>
      </c>
    </row>
    <row r="2720" spans="1:4">
      <c r="A2720" s="3" t="s">
        <v>375</v>
      </c>
      <c r="B2720" s="3" t="s">
        <v>376</v>
      </c>
      <c r="C2720">
        <v>2017</v>
      </c>
      <c r="D2720">
        <v>93000000</v>
      </c>
    </row>
    <row r="2721" spans="1:4">
      <c r="A2721" s="3" t="s">
        <v>375</v>
      </c>
      <c r="B2721" s="3" t="s">
        <v>376</v>
      </c>
      <c r="C2721">
        <v>2021</v>
      </c>
      <c r="D2721">
        <v>106000000</v>
      </c>
    </row>
    <row r="2722" spans="1:4">
      <c r="A2722" s="3" t="s">
        <v>375</v>
      </c>
      <c r="B2722" s="3" t="s">
        <v>376</v>
      </c>
      <c r="C2722">
        <v>2023</v>
      </c>
      <c r="D2722">
        <v>87000000</v>
      </c>
    </row>
    <row r="2723" spans="1:4">
      <c r="A2723" s="3" t="s">
        <v>377</v>
      </c>
      <c r="B2723" s="3" t="s">
        <v>378</v>
      </c>
      <c r="C2723">
        <v>2000</v>
      </c>
      <c r="D2723">
        <v>175000000</v>
      </c>
    </row>
    <row r="2724" spans="1:4">
      <c r="A2724" s="3" t="s">
        <v>377</v>
      </c>
      <c r="B2724" s="3" t="s">
        <v>378</v>
      </c>
      <c r="C2724">
        <v>2001</v>
      </c>
      <c r="D2724">
        <v>412000000</v>
      </c>
    </row>
    <row r="2725" spans="1:4">
      <c r="A2725" s="3" t="s">
        <v>377</v>
      </c>
      <c r="B2725" s="3" t="s">
        <v>378</v>
      </c>
      <c r="C2725">
        <v>2002</v>
      </c>
      <c r="D2725">
        <v>566000000</v>
      </c>
    </row>
    <row r="2726" spans="1:4">
      <c r="A2726" s="3" t="s">
        <v>377</v>
      </c>
      <c r="B2726" s="3" t="s">
        <v>378</v>
      </c>
      <c r="C2726">
        <v>2003</v>
      </c>
      <c r="D2726">
        <v>645000000</v>
      </c>
    </row>
    <row r="2727" spans="1:4">
      <c r="A2727" s="3" t="s">
        <v>377</v>
      </c>
      <c r="B2727" s="3" t="s">
        <v>378</v>
      </c>
      <c r="C2727">
        <v>2004</v>
      </c>
      <c r="D2727">
        <v>471000000</v>
      </c>
    </row>
    <row r="2728" spans="1:4">
      <c r="A2728" s="3" t="s">
        <v>377</v>
      </c>
      <c r="B2728" s="3" t="s">
        <v>378</v>
      </c>
      <c r="C2728">
        <v>2005</v>
      </c>
      <c r="D2728">
        <v>427000000</v>
      </c>
    </row>
    <row r="2729" spans="1:4">
      <c r="A2729" s="3" t="s">
        <v>377</v>
      </c>
      <c r="B2729" s="3" t="s">
        <v>378</v>
      </c>
      <c r="C2729">
        <v>2006</v>
      </c>
      <c r="D2729">
        <v>324000000</v>
      </c>
    </row>
    <row r="2730" spans="1:4">
      <c r="A2730" s="3" t="s">
        <v>377</v>
      </c>
      <c r="B2730" s="3" t="s">
        <v>378</v>
      </c>
      <c r="C2730">
        <v>2007</v>
      </c>
      <c r="D2730">
        <v>693000000</v>
      </c>
    </row>
    <row r="2731" spans="1:4">
      <c r="A2731" s="3" t="s">
        <v>377</v>
      </c>
      <c r="B2731" s="3" t="s">
        <v>378</v>
      </c>
      <c r="C2731">
        <v>2008</v>
      </c>
      <c r="D2731">
        <v>1072000000</v>
      </c>
    </row>
    <row r="2732" spans="1:4">
      <c r="A2732" s="3" t="s">
        <v>377</v>
      </c>
      <c r="B2732" s="3" t="s">
        <v>378</v>
      </c>
      <c r="C2732">
        <v>2009</v>
      </c>
      <c r="D2732">
        <v>1195000000</v>
      </c>
    </row>
    <row r="2733" spans="1:4">
      <c r="A2733" s="3" t="s">
        <v>377</v>
      </c>
      <c r="B2733" s="3" t="s">
        <v>378</v>
      </c>
      <c r="C2733">
        <v>2010</v>
      </c>
      <c r="D2733">
        <v>2232000000</v>
      </c>
    </row>
    <row r="2734" spans="1:4">
      <c r="A2734" s="3" t="s">
        <v>377</v>
      </c>
      <c r="B2734" s="3" t="s">
        <v>378</v>
      </c>
      <c r="C2734">
        <v>2011</v>
      </c>
      <c r="D2734">
        <v>1178000000</v>
      </c>
    </row>
    <row r="2735" spans="1:4">
      <c r="A2735" s="3" t="s">
        <v>377</v>
      </c>
      <c r="B2735" s="3" t="s">
        <v>378</v>
      </c>
      <c r="C2735">
        <v>2012</v>
      </c>
      <c r="D2735">
        <v>1024000000</v>
      </c>
    </row>
    <row r="2736" spans="1:4">
      <c r="A2736" s="3" t="s">
        <v>377</v>
      </c>
      <c r="B2736" s="3" t="s">
        <v>378</v>
      </c>
      <c r="C2736">
        <v>2013</v>
      </c>
      <c r="D2736">
        <v>1112000000</v>
      </c>
    </row>
    <row r="2737" spans="1:4">
      <c r="A2737" s="3" t="s">
        <v>377</v>
      </c>
      <c r="B2737" s="3" t="s">
        <v>378</v>
      </c>
      <c r="C2737">
        <v>2014</v>
      </c>
      <c r="D2737">
        <v>877000000</v>
      </c>
    </row>
    <row r="2738" spans="1:4">
      <c r="A2738" s="3" t="s">
        <v>377</v>
      </c>
      <c r="B2738" s="3" t="s">
        <v>378</v>
      </c>
      <c r="C2738">
        <v>2015</v>
      </c>
      <c r="D2738">
        <v>771000000</v>
      </c>
    </row>
    <row r="2739" spans="1:4">
      <c r="A2739" s="3" t="s">
        <v>377</v>
      </c>
      <c r="B2739" s="3" t="s">
        <v>378</v>
      </c>
      <c r="C2739">
        <v>2016</v>
      </c>
      <c r="D2739">
        <v>872000000</v>
      </c>
    </row>
    <row r="2740" spans="1:4">
      <c r="A2740" s="3" t="s">
        <v>377</v>
      </c>
      <c r="B2740" s="3" t="s">
        <v>378</v>
      </c>
      <c r="C2740">
        <v>2017</v>
      </c>
      <c r="D2740">
        <v>870000000</v>
      </c>
    </row>
    <row r="2741" spans="1:4">
      <c r="A2741" s="3" t="s">
        <v>377</v>
      </c>
      <c r="B2741" s="3" t="s">
        <v>378</v>
      </c>
      <c r="C2741">
        <v>2018</v>
      </c>
      <c r="D2741">
        <v>893000000</v>
      </c>
    </row>
    <row r="2742" spans="1:4">
      <c r="A2742" s="3" t="s">
        <v>377</v>
      </c>
      <c r="B2742" s="3" t="s">
        <v>378</v>
      </c>
      <c r="C2742">
        <v>2019</v>
      </c>
      <c r="D2742">
        <v>654000000</v>
      </c>
    </row>
    <row r="2743" spans="1:4">
      <c r="A2743" s="3" t="s">
        <v>377</v>
      </c>
      <c r="B2743" s="3" t="s">
        <v>378</v>
      </c>
      <c r="C2743">
        <v>2020</v>
      </c>
      <c r="D2743">
        <v>624000000</v>
      </c>
    </row>
    <row r="2744" spans="1:4">
      <c r="A2744" s="3" t="s">
        <v>377</v>
      </c>
      <c r="B2744" s="3" t="s">
        <v>378</v>
      </c>
      <c r="C2744">
        <v>2021</v>
      </c>
      <c r="D2744">
        <v>984000000</v>
      </c>
    </row>
    <row r="2745" spans="1:4">
      <c r="A2745" s="3" t="s">
        <v>377</v>
      </c>
      <c r="B2745" s="3" t="s">
        <v>378</v>
      </c>
      <c r="C2745">
        <v>2022</v>
      </c>
      <c r="D2745">
        <v>1529000000</v>
      </c>
    </row>
    <row r="2746" spans="1:4">
      <c r="A2746" s="3" t="s">
        <v>377</v>
      </c>
      <c r="B2746" s="3" t="s">
        <v>378</v>
      </c>
      <c r="C2746">
        <v>2023</v>
      </c>
      <c r="D2746">
        <v>2199000000</v>
      </c>
    </row>
    <row r="2747" spans="1:4">
      <c r="A2747" s="3" t="s">
        <v>377</v>
      </c>
      <c r="B2747" s="3" t="s">
        <v>378</v>
      </c>
      <c r="C2747">
        <v>2024</v>
      </c>
      <c r="D2747">
        <v>1068000000</v>
      </c>
    </row>
    <row r="2748" spans="1:4">
      <c r="A2748" s="3" t="s">
        <v>381</v>
      </c>
      <c r="B2748" s="3" t="s">
        <v>382</v>
      </c>
      <c r="C2748">
        <v>2000</v>
      </c>
      <c r="D2748">
        <v>18000000</v>
      </c>
    </row>
    <row r="2749" spans="1:4">
      <c r="A2749" s="3" t="s">
        <v>381</v>
      </c>
      <c r="B2749" s="3" t="s">
        <v>382</v>
      </c>
      <c r="C2749">
        <v>2001</v>
      </c>
      <c r="D2749">
        <v>10000000</v>
      </c>
    </row>
    <row r="2750" spans="1:4">
      <c r="A2750" s="3" t="s">
        <v>381</v>
      </c>
      <c r="B2750" s="3" t="s">
        <v>382</v>
      </c>
      <c r="C2750">
        <v>2002</v>
      </c>
      <c r="D2750">
        <v>16000000</v>
      </c>
    </row>
    <row r="2751" spans="1:4">
      <c r="A2751" s="3" t="s">
        <v>381</v>
      </c>
      <c r="B2751" s="3" t="s">
        <v>382</v>
      </c>
      <c r="C2751">
        <v>2003</v>
      </c>
      <c r="D2751">
        <v>22000000</v>
      </c>
    </row>
    <row r="2752" spans="1:4">
      <c r="A2752" s="3" t="s">
        <v>381</v>
      </c>
      <c r="B2752" s="3" t="s">
        <v>382</v>
      </c>
      <c r="C2752">
        <v>2004</v>
      </c>
      <c r="D2752">
        <v>47000000</v>
      </c>
    </row>
    <row r="2753" spans="1:4">
      <c r="A2753" s="3" t="s">
        <v>381</v>
      </c>
      <c r="B2753" s="3" t="s">
        <v>382</v>
      </c>
      <c r="C2753">
        <v>2005</v>
      </c>
      <c r="D2753">
        <v>368000000</v>
      </c>
    </row>
    <row r="2754" spans="1:4">
      <c r="A2754" s="3" t="s">
        <v>381</v>
      </c>
      <c r="B2754" s="3" t="s">
        <v>382</v>
      </c>
      <c r="C2754">
        <v>2006</v>
      </c>
      <c r="D2754">
        <v>193000000</v>
      </c>
    </row>
    <row r="2755" spans="1:4">
      <c r="A2755" s="3" t="s">
        <v>381</v>
      </c>
      <c r="B2755" s="3" t="s">
        <v>382</v>
      </c>
      <c r="C2755">
        <v>2007</v>
      </c>
      <c r="D2755">
        <v>172000000</v>
      </c>
    </row>
    <row r="2756" spans="1:4">
      <c r="A2756" s="3" t="s">
        <v>381</v>
      </c>
      <c r="B2756" s="3" t="s">
        <v>382</v>
      </c>
      <c r="C2756">
        <v>2009</v>
      </c>
      <c r="D2756">
        <v>43000000</v>
      </c>
    </row>
    <row r="2757" spans="1:4">
      <c r="A2757" s="3" t="s">
        <v>381</v>
      </c>
      <c r="B2757" s="3" t="s">
        <v>382</v>
      </c>
      <c r="C2757">
        <v>2010</v>
      </c>
      <c r="D2757">
        <v>46000000</v>
      </c>
    </row>
    <row r="2758" spans="1:4">
      <c r="A2758" s="3" t="s">
        <v>381</v>
      </c>
      <c r="B2758" s="3" t="s">
        <v>382</v>
      </c>
      <c r="C2758">
        <v>2011</v>
      </c>
      <c r="D2758">
        <v>71000000</v>
      </c>
    </row>
    <row r="2759" spans="1:4">
      <c r="A2759" s="3" t="s">
        <v>381</v>
      </c>
      <c r="B2759" s="3" t="s">
        <v>382</v>
      </c>
      <c r="C2759">
        <v>2012</v>
      </c>
      <c r="D2759">
        <v>5000000</v>
      </c>
    </row>
    <row r="2760" spans="1:4">
      <c r="A2760" s="3" t="s">
        <v>381</v>
      </c>
      <c r="B2760" s="3" t="s">
        <v>382</v>
      </c>
      <c r="C2760">
        <v>2013</v>
      </c>
      <c r="D2760">
        <v>15000000</v>
      </c>
    </row>
    <row r="2761" spans="1:4">
      <c r="A2761" s="3" t="s">
        <v>381</v>
      </c>
      <c r="B2761" s="3" t="s">
        <v>382</v>
      </c>
      <c r="C2761">
        <v>2014</v>
      </c>
      <c r="D2761">
        <v>153000000</v>
      </c>
    </row>
    <row r="2762" spans="1:4">
      <c r="A2762" s="3" t="s">
        <v>381</v>
      </c>
      <c r="B2762" s="3" t="s">
        <v>382</v>
      </c>
      <c r="C2762">
        <v>2015</v>
      </c>
      <c r="D2762">
        <v>211000000</v>
      </c>
    </row>
    <row r="2763" spans="1:4">
      <c r="A2763" s="3" t="s">
        <v>381</v>
      </c>
      <c r="B2763" s="3" t="s">
        <v>382</v>
      </c>
      <c r="C2763">
        <v>2016</v>
      </c>
      <c r="D2763">
        <v>168000000</v>
      </c>
    </row>
    <row r="2764" spans="1:4">
      <c r="A2764" s="3" t="s">
        <v>381</v>
      </c>
      <c r="B2764" s="3" t="s">
        <v>382</v>
      </c>
      <c r="C2764">
        <v>2017</v>
      </c>
      <c r="D2764">
        <v>28000000</v>
      </c>
    </row>
    <row r="2765" spans="1:4">
      <c r="A2765" s="3" t="s">
        <v>381</v>
      </c>
      <c r="B2765" s="3" t="s">
        <v>382</v>
      </c>
      <c r="C2765">
        <v>2018</v>
      </c>
      <c r="D2765">
        <v>103000000</v>
      </c>
    </row>
    <row r="2766" spans="1:4">
      <c r="A2766" s="3" t="s">
        <v>381</v>
      </c>
      <c r="B2766" s="3" t="s">
        <v>382</v>
      </c>
      <c r="C2766">
        <v>2019</v>
      </c>
      <c r="D2766">
        <v>0</v>
      </c>
    </row>
    <row r="2767" spans="1:4">
      <c r="A2767" s="3" t="s">
        <v>381</v>
      </c>
      <c r="B2767" s="3" t="s">
        <v>382</v>
      </c>
      <c r="C2767">
        <v>2020</v>
      </c>
      <c r="D2767">
        <v>28000000</v>
      </c>
    </row>
    <row r="2768" spans="1:4">
      <c r="A2768" s="3" t="s">
        <v>381</v>
      </c>
      <c r="B2768" s="3" t="s">
        <v>382</v>
      </c>
      <c r="C2768">
        <v>2021</v>
      </c>
      <c r="D2768">
        <v>62000000</v>
      </c>
    </row>
    <row r="2769" spans="1:4">
      <c r="A2769" s="3" t="s">
        <v>381</v>
      </c>
      <c r="B2769" s="3" t="s">
        <v>382</v>
      </c>
      <c r="C2769">
        <v>2022</v>
      </c>
      <c r="D2769">
        <v>38000000</v>
      </c>
    </row>
    <row r="2770" spans="1:4">
      <c r="A2770" s="3" t="s">
        <v>381</v>
      </c>
      <c r="B2770" s="3" t="s">
        <v>382</v>
      </c>
      <c r="C2770">
        <v>2023</v>
      </c>
      <c r="D2770">
        <v>22000000</v>
      </c>
    </row>
    <row r="2771" spans="1:4">
      <c r="A2771" s="3" t="s">
        <v>381</v>
      </c>
      <c r="B2771" s="3" t="s">
        <v>382</v>
      </c>
      <c r="C2771">
        <v>2024</v>
      </c>
      <c r="D2771">
        <v>1000000</v>
      </c>
    </row>
    <row r="2772" spans="1:4">
      <c r="A2772" s="3" t="s">
        <v>383</v>
      </c>
      <c r="B2772" s="3" t="s">
        <v>384</v>
      </c>
      <c r="C2772">
        <v>2001</v>
      </c>
      <c r="D2772">
        <v>10000000</v>
      </c>
    </row>
    <row r="2773" spans="1:4">
      <c r="A2773" s="3" t="s">
        <v>383</v>
      </c>
      <c r="B2773" s="3" t="s">
        <v>384</v>
      </c>
      <c r="C2773">
        <v>2002</v>
      </c>
      <c r="D2773">
        <v>5000000</v>
      </c>
    </row>
    <row r="2774" spans="1:4">
      <c r="A2774" s="3" t="s">
        <v>383</v>
      </c>
      <c r="B2774" s="3" t="s">
        <v>384</v>
      </c>
      <c r="C2774">
        <v>2003</v>
      </c>
      <c r="D2774">
        <v>10000000</v>
      </c>
    </row>
    <row r="2775" spans="1:4">
      <c r="A2775" s="3" t="s">
        <v>383</v>
      </c>
      <c r="B2775" s="3" t="s">
        <v>384</v>
      </c>
      <c r="C2775">
        <v>2004</v>
      </c>
      <c r="D2775">
        <v>34000000</v>
      </c>
    </row>
    <row r="2776" spans="1:4">
      <c r="A2776" s="3" t="s">
        <v>383</v>
      </c>
      <c r="B2776" s="3" t="s">
        <v>384</v>
      </c>
      <c r="C2776">
        <v>2005</v>
      </c>
      <c r="D2776">
        <v>12000000</v>
      </c>
    </row>
    <row r="2777" spans="1:4">
      <c r="A2777" s="3" t="s">
        <v>383</v>
      </c>
      <c r="B2777" s="3" t="s">
        <v>384</v>
      </c>
      <c r="C2777">
        <v>2006</v>
      </c>
      <c r="D2777">
        <v>23000000</v>
      </c>
    </row>
    <row r="2778" spans="1:4">
      <c r="A2778" s="3" t="s">
        <v>383</v>
      </c>
      <c r="B2778" s="3" t="s">
        <v>384</v>
      </c>
      <c r="C2778">
        <v>2007</v>
      </c>
      <c r="D2778">
        <v>16000000</v>
      </c>
    </row>
    <row r="2779" spans="1:4">
      <c r="A2779" s="3" t="s">
        <v>383</v>
      </c>
      <c r="B2779" s="3" t="s">
        <v>384</v>
      </c>
      <c r="C2779">
        <v>2008</v>
      </c>
      <c r="D2779">
        <v>10000000</v>
      </c>
    </row>
    <row r="2780" spans="1:4">
      <c r="A2780" s="3" t="s">
        <v>383</v>
      </c>
      <c r="B2780" s="3" t="s">
        <v>384</v>
      </c>
      <c r="C2780">
        <v>2009</v>
      </c>
      <c r="D2780">
        <v>1000000</v>
      </c>
    </row>
    <row r="2781" spans="1:4">
      <c r="A2781" s="3" t="s">
        <v>383</v>
      </c>
      <c r="B2781" s="3" t="s">
        <v>384</v>
      </c>
      <c r="C2781">
        <v>2010</v>
      </c>
      <c r="D2781">
        <v>3000000</v>
      </c>
    </row>
    <row r="2782" spans="1:4">
      <c r="A2782" s="3" t="s">
        <v>383</v>
      </c>
      <c r="B2782" s="3" t="s">
        <v>384</v>
      </c>
      <c r="C2782">
        <v>2011</v>
      </c>
      <c r="D2782">
        <v>63000000</v>
      </c>
    </row>
    <row r="2783" spans="1:4">
      <c r="A2783" s="3" t="s">
        <v>383</v>
      </c>
      <c r="B2783" s="3" t="s">
        <v>384</v>
      </c>
      <c r="C2783">
        <v>2012</v>
      </c>
      <c r="D2783">
        <v>21000000</v>
      </c>
    </row>
    <row r="2784" spans="1:4">
      <c r="A2784" s="3" t="s">
        <v>383</v>
      </c>
      <c r="B2784" s="3" t="s">
        <v>384</v>
      </c>
      <c r="C2784">
        <v>2013</v>
      </c>
      <c r="D2784">
        <v>83000000</v>
      </c>
    </row>
    <row r="2785" spans="1:4">
      <c r="A2785" s="3" t="s">
        <v>383</v>
      </c>
      <c r="B2785" s="3" t="s">
        <v>384</v>
      </c>
      <c r="C2785">
        <v>2014</v>
      </c>
      <c r="D2785">
        <v>12000000</v>
      </c>
    </row>
    <row r="2786" spans="1:4">
      <c r="A2786" s="3" t="s">
        <v>383</v>
      </c>
      <c r="B2786" s="3" t="s">
        <v>384</v>
      </c>
      <c r="C2786">
        <v>2015</v>
      </c>
      <c r="D2786">
        <v>153000000</v>
      </c>
    </row>
    <row r="2787" spans="1:4">
      <c r="A2787" s="3" t="s">
        <v>383</v>
      </c>
      <c r="B2787" s="3" t="s">
        <v>384</v>
      </c>
      <c r="C2787">
        <v>2016</v>
      </c>
      <c r="D2787">
        <v>228000000</v>
      </c>
    </row>
    <row r="2788" spans="1:4">
      <c r="A2788" s="3" t="s">
        <v>383</v>
      </c>
      <c r="B2788" s="3" t="s">
        <v>384</v>
      </c>
      <c r="C2788">
        <v>2017</v>
      </c>
      <c r="D2788">
        <v>278000000</v>
      </c>
    </row>
    <row r="2789" spans="1:4">
      <c r="A2789" s="3" t="s">
        <v>383</v>
      </c>
      <c r="B2789" s="3" t="s">
        <v>384</v>
      </c>
      <c r="C2789">
        <v>2018</v>
      </c>
      <c r="D2789">
        <v>17000000</v>
      </c>
    </row>
    <row r="2790" spans="1:4">
      <c r="A2790" s="3" t="s">
        <v>383</v>
      </c>
      <c r="B2790" s="3" t="s">
        <v>384</v>
      </c>
      <c r="C2790">
        <v>2019</v>
      </c>
      <c r="D2790">
        <v>191000000</v>
      </c>
    </row>
    <row r="2791" spans="1:4">
      <c r="A2791" s="3" t="s">
        <v>383</v>
      </c>
      <c r="B2791" s="3" t="s">
        <v>384</v>
      </c>
      <c r="C2791">
        <v>2020</v>
      </c>
      <c r="D2791">
        <v>385000000</v>
      </c>
    </row>
    <row r="2792" spans="1:4">
      <c r="A2792" s="3" t="s">
        <v>383</v>
      </c>
      <c r="B2792" s="3" t="s">
        <v>384</v>
      </c>
      <c r="C2792">
        <v>2021</v>
      </c>
      <c r="D2792">
        <v>365000000</v>
      </c>
    </row>
    <row r="2793" spans="1:4">
      <c r="A2793" s="3" t="s">
        <v>383</v>
      </c>
      <c r="B2793" s="3" t="s">
        <v>384</v>
      </c>
      <c r="C2793">
        <v>2022</v>
      </c>
      <c r="D2793">
        <v>280000000</v>
      </c>
    </row>
    <row r="2794" spans="1:4">
      <c r="A2794" s="3" t="s">
        <v>383</v>
      </c>
      <c r="B2794" s="3" t="s">
        <v>384</v>
      </c>
      <c r="C2794">
        <v>2023</v>
      </c>
      <c r="D2794">
        <v>108000000</v>
      </c>
    </row>
    <row r="2795" spans="1:4">
      <c r="A2795" s="3" t="s">
        <v>383</v>
      </c>
      <c r="B2795" s="3" t="s">
        <v>384</v>
      </c>
      <c r="C2795">
        <v>2024</v>
      </c>
      <c r="D2795">
        <v>305000000</v>
      </c>
    </row>
    <row r="2796" spans="1:4">
      <c r="A2796" s="3" t="s">
        <v>385</v>
      </c>
      <c r="B2796" s="3" t="s">
        <v>386</v>
      </c>
      <c r="C2796">
        <v>2020</v>
      </c>
      <c r="D2796">
        <v>7000000</v>
      </c>
    </row>
    <row r="2797" spans="1:4">
      <c r="A2797" s="3" t="s">
        <v>387</v>
      </c>
      <c r="B2797" s="3" t="s">
        <v>388</v>
      </c>
      <c r="C2797">
        <v>2014</v>
      </c>
      <c r="D2797">
        <v>3000000</v>
      </c>
    </row>
    <row r="2798" spans="1:4">
      <c r="A2798" s="3" t="s">
        <v>387</v>
      </c>
      <c r="B2798" s="3" t="s">
        <v>388</v>
      </c>
      <c r="C2798">
        <v>2017</v>
      </c>
      <c r="D2798">
        <v>0</v>
      </c>
    </row>
    <row r="2799" spans="1:4">
      <c r="A2799" s="3" t="s">
        <v>387</v>
      </c>
      <c r="B2799" s="3" t="s">
        <v>388</v>
      </c>
      <c r="C2799">
        <v>2018</v>
      </c>
      <c r="D2799">
        <v>8000000</v>
      </c>
    </row>
    <row r="2800" spans="1:4">
      <c r="A2800" s="3" t="s">
        <v>387</v>
      </c>
      <c r="B2800" s="3" t="s">
        <v>388</v>
      </c>
      <c r="C2800">
        <v>2021</v>
      </c>
      <c r="D2800">
        <v>14000000</v>
      </c>
    </row>
    <row r="2801" spans="1:4">
      <c r="A2801" s="3" t="s">
        <v>387</v>
      </c>
      <c r="B2801" s="3" t="s">
        <v>388</v>
      </c>
      <c r="C2801">
        <v>2023</v>
      </c>
      <c r="D2801">
        <v>9000000</v>
      </c>
    </row>
    <row r="2802" spans="1:4">
      <c r="A2802" s="3" t="s">
        <v>389</v>
      </c>
      <c r="B2802" s="3" t="s">
        <v>390</v>
      </c>
      <c r="C2802">
        <v>2000</v>
      </c>
      <c r="D2802">
        <v>146000000</v>
      </c>
    </row>
    <row r="2803" spans="1:4">
      <c r="A2803" s="3" t="s">
        <v>389</v>
      </c>
      <c r="B2803" s="3" t="s">
        <v>390</v>
      </c>
      <c r="C2803">
        <v>2001</v>
      </c>
      <c r="D2803">
        <v>31000000</v>
      </c>
    </row>
    <row r="2804" spans="1:4">
      <c r="A2804" s="3" t="s">
        <v>389</v>
      </c>
      <c r="B2804" s="3" t="s">
        <v>390</v>
      </c>
      <c r="C2804">
        <v>2002</v>
      </c>
      <c r="D2804">
        <v>253000000</v>
      </c>
    </row>
    <row r="2805" spans="1:4">
      <c r="A2805" s="3" t="s">
        <v>389</v>
      </c>
      <c r="B2805" s="3" t="s">
        <v>390</v>
      </c>
      <c r="C2805">
        <v>2003</v>
      </c>
      <c r="D2805">
        <v>347000000</v>
      </c>
    </row>
    <row r="2806" spans="1:4">
      <c r="A2806" s="3" t="s">
        <v>389</v>
      </c>
      <c r="B2806" s="3" t="s">
        <v>390</v>
      </c>
      <c r="C2806">
        <v>2004</v>
      </c>
      <c r="D2806">
        <v>223000000</v>
      </c>
    </row>
    <row r="2807" spans="1:4">
      <c r="A2807" s="3" t="s">
        <v>389</v>
      </c>
      <c r="B2807" s="3" t="s">
        <v>390</v>
      </c>
      <c r="C2807">
        <v>2005</v>
      </c>
      <c r="D2807">
        <v>105000000</v>
      </c>
    </row>
    <row r="2808" spans="1:4">
      <c r="A2808" s="3" t="s">
        <v>389</v>
      </c>
      <c r="B2808" s="3" t="s">
        <v>390</v>
      </c>
      <c r="C2808">
        <v>2006</v>
      </c>
      <c r="D2808">
        <v>442000000</v>
      </c>
    </row>
    <row r="2809" spans="1:4">
      <c r="A2809" s="3" t="s">
        <v>389</v>
      </c>
      <c r="B2809" s="3" t="s">
        <v>390</v>
      </c>
      <c r="C2809">
        <v>2007</v>
      </c>
      <c r="D2809">
        <v>969000000</v>
      </c>
    </row>
    <row r="2810" spans="1:4">
      <c r="A2810" s="3" t="s">
        <v>389</v>
      </c>
      <c r="B2810" s="3" t="s">
        <v>390</v>
      </c>
      <c r="C2810">
        <v>2008</v>
      </c>
      <c r="D2810">
        <v>633000000</v>
      </c>
    </row>
    <row r="2811" spans="1:4">
      <c r="A2811" s="3" t="s">
        <v>389</v>
      </c>
      <c r="B2811" s="3" t="s">
        <v>390</v>
      </c>
      <c r="C2811">
        <v>2009</v>
      </c>
      <c r="D2811">
        <v>193000000</v>
      </c>
    </row>
    <row r="2812" spans="1:4">
      <c r="A2812" s="3" t="s">
        <v>389</v>
      </c>
      <c r="B2812" s="3" t="s">
        <v>390</v>
      </c>
      <c r="C2812">
        <v>2010</v>
      </c>
      <c r="D2812">
        <v>174000000</v>
      </c>
    </row>
    <row r="2813" spans="1:4">
      <c r="A2813" s="3" t="s">
        <v>389</v>
      </c>
      <c r="B2813" s="3" t="s">
        <v>390</v>
      </c>
      <c r="C2813">
        <v>2011</v>
      </c>
      <c r="D2813">
        <v>141000000</v>
      </c>
    </row>
    <row r="2814" spans="1:4">
      <c r="A2814" s="3" t="s">
        <v>389</v>
      </c>
      <c r="B2814" s="3" t="s">
        <v>390</v>
      </c>
      <c r="C2814">
        <v>2012</v>
      </c>
      <c r="D2814">
        <v>227000000</v>
      </c>
    </row>
    <row r="2815" spans="1:4">
      <c r="A2815" s="3" t="s">
        <v>389</v>
      </c>
      <c r="B2815" s="3" t="s">
        <v>390</v>
      </c>
      <c r="C2815">
        <v>2013</v>
      </c>
      <c r="D2815">
        <v>146000000</v>
      </c>
    </row>
    <row r="2816" spans="1:4">
      <c r="A2816" s="3" t="s">
        <v>389</v>
      </c>
      <c r="B2816" s="3" t="s">
        <v>390</v>
      </c>
      <c r="C2816">
        <v>2014</v>
      </c>
      <c r="D2816">
        <v>275000000</v>
      </c>
    </row>
    <row r="2817" spans="1:4">
      <c r="A2817" s="3" t="s">
        <v>389</v>
      </c>
      <c r="B2817" s="3" t="s">
        <v>390</v>
      </c>
      <c r="C2817">
        <v>2015</v>
      </c>
      <c r="D2817">
        <v>127000000</v>
      </c>
    </row>
    <row r="2818" spans="1:4">
      <c r="A2818" s="3" t="s">
        <v>389</v>
      </c>
      <c r="B2818" s="3" t="s">
        <v>390</v>
      </c>
      <c r="C2818">
        <v>2016</v>
      </c>
      <c r="D2818">
        <v>45000000</v>
      </c>
    </row>
    <row r="2819" spans="1:4">
      <c r="A2819" s="3" t="s">
        <v>389</v>
      </c>
      <c r="B2819" s="3" t="s">
        <v>390</v>
      </c>
      <c r="C2819">
        <v>2017</v>
      </c>
      <c r="D2819">
        <v>126000000</v>
      </c>
    </row>
    <row r="2820" spans="1:4">
      <c r="A2820" s="3" t="s">
        <v>389</v>
      </c>
      <c r="B2820" s="3" t="s">
        <v>390</v>
      </c>
      <c r="C2820">
        <v>2018</v>
      </c>
      <c r="D2820">
        <v>50000000</v>
      </c>
    </row>
    <row r="2821" spans="1:4">
      <c r="A2821" s="3" t="s">
        <v>389</v>
      </c>
      <c r="B2821" s="3" t="s">
        <v>390</v>
      </c>
      <c r="C2821">
        <v>2019</v>
      </c>
      <c r="D2821">
        <v>213000000</v>
      </c>
    </row>
    <row r="2822" spans="1:4">
      <c r="A2822" s="3" t="s">
        <v>389</v>
      </c>
      <c r="B2822" s="3" t="s">
        <v>390</v>
      </c>
      <c r="C2822">
        <v>2020</v>
      </c>
      <c r="D2822">
        <v>153000000</v>
      </c>
    </row>
    <row r="2823" spans="1:4">
      <c r="A2823" s="3" t="s">
        <v>389</v>
      </c>
      <c r="B2823" s="3" t="s">
        <v>390</v>
      </c>
      <c r="C2823">
        <v>2021</v>
      </c>
      <c r="D2823">
        <v>68000000</v>
      </c>
    </row>
    <row r="2824" spans="1:4">
      <c r="A2824" s="3" t="s">
        <v>389</v>
      </c>
      <c r="B2824" s="3" t="s">
        <v>390</v>
      </c>
      <c r="C2824">
        <v>2022</v>
      </c>
      <c r="D2824">
        <v>414000000</v>
      </c>
    </row>
    <row r="2825" spans="1:4">
      <c r="A2825" s="3" t="s">
        <v>389</v>
      </c>
      <c r="B2825" s="3" t="s">
        <v>390</v>
      </c>
      <c r="C2825">
        <v>2023</v>
      </c>
      <c r="D2825">
        <v>1391000000</v>
      </c>
    </row>
    <row r="2826" spans="1:4">
      <c r="A2826" s="3" t="s">
        <v>389</v>
      </c>
      <c r="B2826" s="3" t="s">
        <v>390</v>
      </c>
      <c r="C2826">
        <v>2024</v>
      </c>
      <c r="D2826">
        <v>1542000000</v>
      </c>
    </row>
    <row r="2827" spans="1:4">
      <c r="A2827" s="3" t="s">
        <v>391</v>
      </c>
      <c r="B2827" s="3" t="s">
        <v>392</v>
      </c>
      <c r="C2827">
        <v>2000</v>
      </c>
      <c r="D2827">
        <v>433000000</v>
      </c>
    </row>
    <row r="2828" spans="1:4">
      <c r="A2828" s="3" t="s">
        <v>391</v>
      </c>
      <c r="B2828" s="3" t="s">
        <v>392</v>
      </c>
      <c r="C2828">
        <v>2002</v>
      </c>
      <c r="D2828">
        <v>390000000</v>
      </c>
    </row>
    <row r="2829" spans="1:4">
      <c r="A2829" s="3" t="s">
        <v>391</v>
      </c>
      <c r="B2829" s="3" t="s">
        <v>392</v>
      </c>
      <c r="C2829">
        <v>2003</v>
      </c>
      <c r="D2829">
        <v>475000000</v>
      </c>
    </row>
    <row r="2830" spans="1:4">
      <c r="A2830" s="3" t="s">
        <v>391</v>
      </c>
      <c r="B2830" s="3" t="s">
        <v>392</v>
      </c>
      <c r="C2830">
        <v>2006</v>
      </c>
      <c r="D2830">
        <v>581000000</v>
      </c>
    </row>
    <row r="2831" spans="1:4">
      <c r="A2831" s="3" t="s">
        <v>391</v>
      </c>
      <c r="B2831" s="3" t="s">
        <v>392</v>
      </c>
      <c r="C2831">
        <v>2007</v>
      </c>
      <c r="D2831">
        <v>637000000</v>
      </c>
    </row>
    <row r="2832" spans="1:4">
      <c r="A2832" s="3" t="s">
        <v>391</v>
      </c>
      <c r="B2832" s="3" t="s">
        <v>392</v>
      </c>
      <c r="C2832">
        <v>2008</v>
      </c>
      <c r="D2832">
        <v>927000000</v>
      </c>
    </row>
    <row r="2833" spans="1:4">
      <c r="A2833" s="3" t="s">
        <v>391</v>
      </c>
      <c r="B2833" s="3" t="s">
        <v>392</v>
      </c>
      <c r="C2833">
        <v>2009</v>
      </c>
      <c r="D2833">
        <v>1205000000</v>
      </c>
    </row>
    <row r="2834" spans="1:4">
      <c r="A2834" s="3" t="s">
        <v>391</v>
      </c>
      <c r="B2834" s="3" t="s">
        <v>392</v>
      </c>
      <c r="C2834">
        <v>2010</v>
      </c>
      <c r="D2834">
        <v>1690000000</v>
      </c>
    </row>
    <row r="2835" spans="1:4">
      <c r="A2835" s="3" t="s">
        <v>391</v>
      </c>
      <c r="B2835" s="3" t="s">
        <v>392</v>
      </c>
      <c r="C2835">
        <v>2011</v>
      </c>
      <c r="D2835">
        <v>2279000000</v>
      </c>
    </row>
    <row r="2836" spans="1:4">
      <c r="A2836" s="3" t="s">
        <v>391</v>
      </c>
      <c r="B2836" s="3" t="s">
        <v>392</v>
      </c>
      <c r="C2836">
        <v>2012</v>
      </c>
      <c r="D2836">
        <v>1815000000</v>
      </c>
    </row>
    <row r="2837" spans="1:4">
      <c r="A2837" s="3" t="s">
        <v>391</v>
      </c>
      <c r="B2837" s="3" t="s">
        <v>392</v>
      </c>
      <c r="C2837">
        <v>2013</v>
      </c>
      <c r="D2837">
        <v>1282000000</v>
      </c>
    </row>
    <row r="2838" spans="1:4">
      <c r="A2838" s="3" t="s">
        <v>391</v>
      </c>
      <c r="B2838" s="3" t="s">
        <v>392</v>
      </c>
      <c r="C2838">
        <v>2014</v>
      </c>
      <c r="D2838">
        <v>1679000000</v>
      </c>
    </row>
    <row r="2839" spans="1:4">
      <c r="A2839" s="3" t="s">
        <v>391</v>
      </c>
      <c r="B2839" s="3" t="s">
        <v>392</v>
      </c>
      <c r="C2839">
        <v>2015</v>
      </c>
      <c r="D2839">
        <v>2155000000</v>
      </c>
    </row>
    <row r="2840" spans="1:4">
      <c r="A2840" s="3" t="s">
        <v>391</v>
      </c>
      <c r="B2840" s="3" t="s">
        <v>392</v>
      </c>
      <c r="C2840">
        <v>2016</v>
      </c>
      <c r="D2840">
        <v>2664000000</v>
      </c>
    </row>
    <row r="2841" spans="1:4">
      <c r="A2841" s="3" t="s">
        <v>391</v>
      </c>
      <c r="B2841" s="3" t="s">
        <v>392</v>
      </c>
      <c r="C2841">
        <v>2017</v>
      </c>
      <c r="D2841">
        <v>1605000000</v>
      </c>
    </row>
    <row r="2842" spans="1:4">
      <c r="A2842" s="3" t="s">
        <v>391</v>
      </c>
      <c r="B2842" s="3" t="s">
        <v>392</v>
      </c>
      <c r="C2842">
        <v>2018</v>
      </c>
      <c r="D2842">
        <v>1274000000</v>
      </c>
    </row>
    <row r="2843" spans="1:4">
      <c r="A2843" s="3" t="s">
        <v>391</v>
      </c>
      <c r="B2843" s="3" t="s">
        <v>392</v>
      </c>
      <c r="C2843">
        <v>2019</v>
      </c>
      <c r="D2843">
        <v>988000000</v>
      </c>
    </row>
    <row r="2844" spans="1:4">
      <c r="A2844" s="3" t="s">
        <v>391</v>
      </c>
      <c r="B2844" s="3" t="s">
        <v>392</v>
      </c>
      <c r="C2844">
        <v>2020</v>
      </c>
      <c r="D2844">
        <v>655000000</v>
      </c>
    </row>
    <row r="2845" spans="1:4">
      <c r="A2845" s="3" t="s">
        <v>391</v>
      </c>
      <c r="B2845" s="3" t="s">
        <v>392</v>
      </c>
      <c r="C2845">
        <v>2022</v>
      </c>
      <c r="D2845">
        <v>491000000</v>
      </c>
    </row>
    <row r="2846" spans="1:4">
      <c r="A2846" s="3" t="s">
        <v>391</v>
      </c>
      <c r="B2846" s="3" t="s">
        <v>392</v>
      </c>
      <c r="C2846">
        <v>2023</v>
      </c>
      <c r="D2846">
        <v>669000000</v>
      </c>
    </row>
    <row r="2847" spans="1:4">
      <c r="A2847" s="3" t="s">
        <v>391</v>
      </c>
      <c r="B2847" s="3" t="s">
        <v>392</v>
      </c>
      <c r="C2847">
        <v>2024</v>
      </c>
      <c r="D2847">
        <v>629000000</v>
      </c>
    </row>
    <row r="2848" spans="1:4">
      <c r="A2848" s="3" t="s">
        <v>395</v>
      </c>
      <c r="B2848" s="3" t="s">
        <v>396</v>
      </c>
      <c r="C2848">
        <v>2000</v>
      </c>
      <c r="D2848">
        <v>63000000</v>
      </c>
    </row>
    <row r="2849" spans="1:4">
      <c r="A2849" s="3" t="s">
        <v>395</v>
      </c>
      <c r="B2849" s="3" t="s">
        <v>396</v>
      </c>
      <c r="C2849">
        <v>2001</v>
      </c>
      <c r="D2849">
        <v>73000000</v>
      </c>
    </row>
    <row r="2850" spans="1:4">
      <c r="A2850" s="3" t="s">
        <v>395</v>
      </c>
      <c r="B2850" s="3" t="s">
        <v>396</v>
      </c>
      <c r="C2850">
        <v>2002</v>
      </c>
      <c r="D2850">
        <v>54000000</v>
      </c>
    </row>
    <row r="2851" spans="1:4">
      <c r="A2851" s="3" t="s">
        <v>395</v>
      </c>
      <c r="B2851" s="3" t="s">
        <v>396</v>
      </c>
      <c r="C2851">
        <v>2003</v>
      </c>
      <c r="D2851">
        <v>35000000</v>
      </c>
    </row>
    <row r="2852" spans="1:4">
      <c r="A2852" s="3" t="s">
        <v>395</v>
      </c>
      <c r="B2852" s="3" t="s">
        <v>396</v>
      </c>
      <c r="C2852">
        <v>2004</v>
      </c>
      <c r="D2852">
        <v>8000000</v>
      </c>
    </row>
    <row r="2853" spans="1:4">
      <c r="A2853" s="3" t="s">
        <v>395</v>
      </c>
      <c r="B2853" s="3" t="s">
        <v>396</v>
      </c>
      <c r="C2853">
        <v>2005</v>
      </c>
      <c r="D2853">
        <v>5000000</v>
      </c>
    </row>
    <row r="2854" spans="1:4">
      <c r="A2854" s="3" t="s">
        <v>395</v>
      </c>
      <c r="B2854" s="3" t="s">
        <v>396</v>
      </c>
      <c r="C2854">
        <v>2006</v>
      </c>
      <c r="D2854">
        <v>5000000</v>
      </c>
    </row>
    <row r="2855" spans="1:4">
      <c r="A2855" s="3" t="s">
        <v>395</v>
      </c>
      <c r="B2855" s="3" t="s">
        <v>396</v>
      </c>
      <c r="C2855">
        <v>2007</v>
      </c>
      <c r="D2855">
        <v>5000000</v>
      </c>
    </row>
    <row r="2856" spans="1:4">
      <c r="A2856" s="3" t="s">
        <v>395</v>
      </c>
      <c r="B2856" s="3" t="s">
        <v>396</v>
      </c>
      <c r="C2856">
        <v>2008</v>
      </c>
      <c r="D2856">
        <v>5000000</v>
      </c>
    </row>
    <row r="2857" spans="1:4">
      <c r="A2857" s="3" t="s">
        <v>395</v>
      </c>
      <c r="B2857" s="3" t="s">
        <v>396</v>
      </c>
      <c r="C2857">
        <v>2009</v>
      </c>
      <c r="D2857">
        <v>4000000</v>
      </c>
    </row>
    <row r="2858" spans="1:4">
      <c r="A2858" s="3" t="s">
        <v>395</v>
      </c>
      <c r="B2858" s="3" t="s">
        <v>396</v>
      </c>
      <c r="C2858">
        <v>2010</v>
      </c>
      <c r="D2858">
        <v>1000000</v>
      </c>
    </row>
    <row r="2859" spans="1:4">
      <c r="A2859" s="3" t="s">
        <v>397</v>
      </c>
      <c r="B2859" s="3" t="s">
        <v>398</v>
      </c>
      <c r="C2859">
        <v>2000</v>
      </c>
      <c r="D2859">
        <v>2000000</v>
      </c>
    </row>
    <row r="2860" spans="1:4">
      <c r="A2860" s="3" t="s">
        <v>397</v>
      </c>
      <c r="B2860" s="3" t="s">
        <v>398</v>
      </c>
      <c r="C2860">
        <v>2001</v>
      </c>
      <c r="D2860">
        <v>18000000</v>
      </c>
    </row>
    <row r="2861" spans="1:4">
      <c r="A2861" s="3" t="s">
        <v>397</v>
      </c>
      <c r="B2861" s="3" t="s">
        <v>398</v>
      </c>
      <c r="C2861">
        <v>2003</v>
      </c>
      <c r="D2861">
        <v>29000000</v>
      </c>
    </row>
    <row r="2862" spans="1:4">
      <c r="A2862" s="3" t="s">
        <v>397</v>
      </c>
      <c r="B2862" s="3" t="s">
        <v>398</v>
      </c>
      <c r="C2862">
        <v>2004</v>
      </c>
      <c r="D2862">
        <v>70000000</v>
      </c>
    </row>
    <row r="2863" spans="1:4">
      <c r="A2863" s="3" t="s">
        <v>397</v>
      </c>
      <c r="B2863" s="3" t="s">
        <v>398</v>
      </c>
      <c r="C2863">
        <v>2005</v>
      </c>
      <c r="D2863">
        <v>158000000</v>
      </c>
    </row>
    <row r="2864" spans="1:4">
      <c r="A2864" s="3" t="s">
        <v>397</v>
      </c>
      <c r="B2864" s="3" t="s">
        <v>398</v>
      </c>
      <c r="C2864">
        <v>2006</v>
      </c>
      <c r="D2864">
        <v>220000000</v>
      </c>
    </row>
    <row r="2865" spans="1:4">
      <c r="A2865" s="3" t="s">
        <v>397</v>
      </c>
      <c r="B2865" s="3" t="s">
        <v>398</v>
      </c>
      <c r="C2865">
        <v>2007</v>
      </c>
      <c r="D2865">
        <v>60000000</v>
      </c>
    </row>
    <row r="2866" spans="1:4">
      <c r="A2866" s="3" t="s">
        <v>397</v>
      </c>
      <c r="B2866" s="3" t="s">
        <v>398</v>
      </c>
      <c r="C2866">
        <v>2008</v>
      </c>
      <c r="D2866">
        <v>145000000</v>
      </c>
    </row>
    <row r="2867" spans="1:4">
      <c r="A2867" s="3" t="s">
        <v>397</v>
      </c>
      <c r="B2867" s="3" t="s">
        <v>398</v>
      </c>
      <c r="C2867">
        <v>2009</v>
      </c>
      <c r="D2867">
        <v>371000000</v>
      </c>
    </row>
    <row r="2868" spans="1:4">
      <c r="A2868" s="3" t="s">
        <v>397</v>
      </c>
      <c r="B2868" s="3" t="s">
        <v>398</v>
      </c>
      <c r="C2868">
        <v>2010</v>
      </c>
      <c r="D2868">
        <v>891000000</v>
      </c>
    </row>
    <row r="2869" spans="1:4">
      <c r="A2869" s="3" t="s">
        <v>397</v>
      </c>
      <c r="B2869" s="3" t="s">
        <v>398</v>
      </c>
      <c r="C2869">
        <v>2011</v>
      </c>
      <c r="D2869">
        <v>170000000</v>
      </c>
    </row>
    <row r="2870" spans="1:4">
      <c r="A2870" s="3" t="s">
        <v>397</v>
      </c>
      <c r="B2870" s="3" t="s">
        <v>398</v>
      </c>
      <c r="C2870">
        <v>2012</v>
      </c>
      <c r="D2870">
        <v>42000000</v>
      </c>
    </row>
    <row r="2871" spans="1:4">
      <c r="A2871" s="3" t="s">
        <v>397</v>
      </c>
      <c r="B2871" s="3" t="s">
        <v>398</v>
      </c>
      <c r="C2871">
        <v>2013</v>
      </c>
      <c r="D2871">
        <v>11000000</v>
      </c>
    </row>
    <row r="2872" spans="1:4">
      <c r="A2872" s="3" t="s">
        <v>397</v>
      </c>
      <c r="B2872" s="3" t="s">
        <v>398</v>
      </c>
      <c r="C2872">
        <v>2014</v>
      </c>
      <c r="D2872">
        <v>3000000</v>
      </c>
    </row>
    <row r="2873" spans="1:4">
      <c r="A2873" s="3" t="s">
        <v>397</v>
      </c>
      <c r="B2873" s="3" t="s">
        <v>398</v>
      </c>
      <c r="C2873">
        <v>2015</v>
      </c>
      <c r="D2873">
        <v>1000000</v>
      </c>
    </row>
    <row r="2874" spans="1:4">
      <c r="A2874" s="3" t="s">
        <v>397</v>
      </c>
      <c r="B2874" s="3" t="s">
        <v>398</v>
      </c>
      <c r="C2874">
        <v>2016</v>
      </c>
      <c r="D2874">
        <v>21000000</v>
      </c>
    </row>
    <row r="2875" spans="1:4">
      <c r="A2875" s="3" t="s">
        <v>397</v>
      </c>
      <c r="B2875" s="3" t="s">
        <v>398</v>
      </c>
      <c r="C2875">
        <v>2017</v>
      </c>
      <c r="D2875">
        <v>8000000</v>
      </c>
    </row>
    <row r="2876" spans="1:4">
      <c r="A2876" s="3" t="s">
        <v>397</v>
      </c>
      <c r="B2876" s="3" t="s">
        <v>398</v>
      </c>
      <c r="C2876">
        <v>2018</v>
      </c>
      <c r="D2876">
        <v>19000000</v>
      </c>
    </row>
    <row r="2877" spans="1:4">
      <c r="A2877" s="3" t="s">
        <v>397</v>
      </c>
      <c r="B2877" s="3" t="s">
        <v>398</v>
      </c>
      <c r="C2877">
        <v>2019</v>
      </c>
      <c r="D2877">
        <v>44000000</v>
      </c>
    </row>
    <row r="2878" spans="1:4">
      <c r="A2878" s="3" t="s">
        <v>397</v>
      </c>
      <c r="B2878" s="3" t="s">
        <v>398</v>
      </c>
      <c r="C2878">
        <v>2020</v>
      </c>
      <c r="D2878">
        <v>45000000</v>
      </c>
    </row>
    <row r="2879" spans="1:4">
      <c r="A2879" s="3" t="s">
        <v>397</v>
      </c>
      <c r="B2879" s="3" t="s">
        <v>398</v>
      </c>
      <c r="C2879">
        <v>2021</v>
      </c>
      <c r="D2879">
        <v>6000000</v>
      </c>
    </row>
    <row r="2880" spans="1:4">
      <c r="A2880" s="3" t="s">
        <v>397</v>
      </c>
      <c r="B2880" s="3" t="s">
        <v>398</v>
      </c>
      <c r="C2880">
        <v>2023</v>
      </c>
      <c r="D2880">
        <v>67000000</v>
      </c>
    </row>
    <row r="2881" spans="1:4">
      <c r="A2881" s="3" t="s">
        <v>397</v>
      </c>
      <c r="B2881" s="3" t="s">
        <v>398</v>
      </c>
      <c r="C2881">
        <v>2024</v>
      </c>
      <c r="D2881">
        <v>61000000</v>
      </c>
    </row>
    <row r="2882" spans="1:4">
      <c r="A2882" s="3" t="s">
        <v>399</v>
      </c>
      <c r="B2882" s="3" t="s">
        <v>400</v>
      </c>
      <c r="C2882">
        <v>2001</v>
      </c>
      <c r="D2882">
        <v>6000000</v>
      </c>
    </row>
    <row r="2883" spans="1:4">
      <c r="A2883" s="3" t="s">
        <v>399</v>
      </c>
      <c r="B2883" s="3" t="s">
        <v>400</v>
      </c>
      <c r="C2883">
        <v>2004</v>
      </c>
      <c r="D2883">
        <v>4000000</v>
      </c>
    </row>
    <row r="2884" spans="1:4">
      <c r="A2884" s="3" t="s">
        <v>399</v>
      </c>
      <c r="B2884" s="3" t="s">
        <v>400</v>
      </c>
      <c r="C2884">
        <v>2005</v>
      </c>
      <c r="D2884">
        <v>1000000</v>
      </c>
    </row>
    <row r="2885" spans="1:4">
      <c r="A2885" s="3" t="s">
        <v>399</v>
      </c>
      <c r="B2885" s="3" t="s">
        <v>400</v>
      </c>
      <c r="C2885">
        <v>2010</v>
      </c>
      <c r="D2885">
        <v>3000000</v>
      </c>
    </row>
    <row r="2886" spans="1:4">
      <c r="A2886" s="3" t="s">
        <v>399</v>
      </c>
      <c r="B2886" s="3" t="s">
        <v>400</v>
      </c>
      <c r="C2886">
        <v>2011</v>
      </c>
      <c r="D2886">
        <v>8000000</v>
      </c>
    </row>
    <row r="2887" spans="1:4">
      <c r="A2887" s="3" t="s">
        <v>399</v>
      </c>
      <c r="B2887" s="3" t="s">
        <v>400</v>
      </c>
      <c r="C2887">
        <v>2012</v>
      </c>
      <c r="D2887">
        <v>7000000</v>
      </c>
    </row>
    <row r="2888" spans="1:4">
      <c r="A2888" s="3" t="s">
        <v>399</v>
      </c>
      <c r="B2888" s="3" t="s">
        <v>400</v>
      </c>
      <c r="C2888">
        <v>2013</v>
      </c>
      <c r="D2888">
        <v>0</v>
      </c>
    </row>
    <row r="2889" spans="1:4">
      <c r="A2889" s="3" t="s">
        <v>399</v>
      </c>
      <c r="B2889" s="3" t="s">
        <v>400</v>
      </c>
      <c r="C2889">
        <v>2019</v>
      </c>
      <c r="D2889">
        <v>2000000</v>
      </c>
    </row>
    <row r="2890" spans="1:4">
      <c r="A2890" s="3" t="s">
        <v>399</v>
      </c>
      <c r="B2890" s="3" t="s">
        <v>400</v>
      </c>
      <c r="C2890">
        <v>2021</v>
      </c>
      <c r="D2890">
        <v>5000000</v>
      </c>
    </row>
    <row r="2891" spans="1:4">
      <c r="A2891" s="3" t="s">
        <v>401</v>
      </c>
      <c r="B2891" s="3" t="s">
        <v>402</v>
      </c>
      <c r="C2891">
        <v>2007</v>
      </c>
      <c r="D2891">
        <v>2000000</v>
      </c>
    </row>
    <row r="2892" spans="1:4">
      <c r="A2892" s="3" t="s">
        <v>401</v>
      </c>
      <c r="B2892" s="3" t="s">
        <v>402</v>
      </c>
      <c r="C2892">
        <v>2009</v>
      </c>
      <c r="D2892">
        <v>15000000</v>
      </c>
    </row>
    <row r="2893" spans="1:4">
      <c r="A2893" s="3" t="s">
        <v>401</v>
      </c>
      <c r="B2893" s="3" t="s">
        <v>402</v>
      </c>
      <c r="C2893">
        <v>2010</v>
      </c>
      <c r="D2893">
        <v>5000000</v>
      </c>
    </row>
    <row r="2894" spans="1:4">
      <c r="A2894" s="3" t="s">
        <v>401</v>
      </c>
      <c r="B2894" s="3" t="s">
        <v>402</v>
      </c>
      <c r="C2894">
        <v>2016</v>
      </c>
      <c r="D2894">
        <v>1000000</v>
      </c>
    </row>
    <row r="2895" spans="1:4">
      <c r="A2895" s="3" t="s">
        <v>401</v>
      </c>
      <c r="B2895" s="3" t="s">
        <v>402</v>
      </c>
      <c r="C2895">
        <v>2019</v>
      </c>
      <c r="D2895">
        <v>1000000</v>
      </c>
    </row>
    <row r="2896" spans="1:4">
      <c r="A2896" s="3" t="s">
        <v>401</v>
      </c>
      <c r="B2896" s="3" t="s">
        <v>402</v>
      </c>
      <c r="C2896">
        <v>2023</v>
      </c>
      <c r="D2896">
        <v>2000000</v>
      </c>
    </row>
    <row r="2897" spans="1:4">
      <c r="A2897" s="3" t="s">
        <v>405</v>
      </c>
      <c r="B2897" s="3" t="s">
        <v>406</v>
      </c>
      <c r="C2897">
        <v>2000</v>
      </c>
      <c r="D2897">
        <v>7520000000</v>
      </c>
    </row>
    <row r="2898" spans="1:4">
      <c r="A2898" s="3" t="s">
        <v>405</v>
      </c>
      <c r="B2898" s="3" t="s">
        <v>406</v>
      </c>
      <c r="C2898">
        <v>2001</v>
      </c>
      <c r="D2898">
        <v>7268000000</v>
      </c>
    </row>
    <row r="2899" spans="1:4">
      <c r="A2899" s="3" t="s">
        <v>405</v>
      </c>
      <c r="B2899" s="3" t="s">
        <v>406</v>
      </c>
      <c r="C2899">
        <v>2002</v>
      </c>
      <c r="D2899">
        <v>5237000000</v>
      </c>
    </row>
    <row r="2900" spans="1:4">
      <c r="A2900" s="3" t="s">
        <v>405</v>
      </c>
      <c r="B2900" s="3" t="s">
        <v>406</v>
      </c>
      <c r="C2900">
        <v>2003</v>
      </c>
      <c r="D2900">
        <v>7748000000</v>
      </c>
    </row>
    <row r="2901" spans="1:4">
      <c r="A2901" s="3" t="s">
        <v>405</v>
      </c>
      <c r="B2901" s="3" t="s">
        <v>406</v>
      </c>
      <c r="C2901">
        <v>2004</v>
      </c>
      <c r="D2901">
        <v>6740000000</v>
      </c>
    </row>
    <row r="2902" spans="1:4">
      <c r="A2902" s="3" t="s">
        <v>405</v>
      </c>
      <c r="B2902" s="3" t="s">
        <v>406</v>
      </c>
      <c r="C2902">
        <v>2005</v>
      </c>
      <c r="D2902">
        <v>5525000000</v>
      </c>
    </row>
    <row r="2903" spans="1:4">
      <c r="A2903" s="3" t="s">
        <v>405</v>
      </c>
      <c r="B2903" s="3" t="s">
        <v>406</v>
      </c>
      <c r="C2903">
        <v>2006</v>
      </c>
      <c r="D2903">
        <v>8044000000</v>
      </c>
    </row>
    <row r="2904" spans="1:4">
      <c r="A2904" s="3" t="s">
        <v>405</v>
      </c>
      <c r="B2904" s="3" t="s">
        <v>406</v>
      </c>
      <c r="C2904">
        <v>2007</v>
      </c>
      <c r="D2904">
        <v>10161000000</v>
      </c>
    </row>
    <row r="2905" spans="1:4">
      <c r="A2905" s="3" t="s">
        <v>405</v>
      </c>
      <c r="B2905" s="3" t="s">
        <v>406</v>
      </c>
      <c r="C2905">
        <v>2008</v>
      </c>
      <c r="D2905">
        <v>9282000000</v>
      </c>
    </row>
    <row r="2906" spans="1:4">
      <c r="A2906" s="3" t="s">
        <v>405</v>
      </c>
      <c r="B2906" s="3" t="s">
        <v>406</v>
      </c>
      <c r="C2906">
        <v>2009</v>
      </c>
      <c r="D2906">
        <v>9423000000</v>
      </c>
    </row>
    <row r="2907" spans="1:4">
      <c r="A2907" s="3" t="s">
        <v>405</v>
      </c>
      <c r="B2907" s="3" t="s">
        <v>406</v>
      </c>
      <c r="C2907">
        <v>2010</v>
      </c>
      <c r="D2907">
        <v>9106000000</v>
      </c>
    </row>
    <row r="2908" spans="1:4">
      <c r="A2908" s="3" t="s">
        <v>405</v>
      </c>
      <c r="B2908" s="3" t="s">
        <v>406</v>
      </c>
      <c r="C2908">
        <v>2011</v>
      </c>
      <c r="D2908">
        <v>8116000000</v>
      </c>
    </row>
    <row r="2909" spans="1:4">
      <c r="A2909" s="3" t="s">
        <v>405</v>
      </c>
      <c r="B2909" s="3" t="s">
        <v>406</v>
      </c>
      <c r="C2909">
        <v>2012</v>
      </c>
      <c r="D2909">
        <v>6405000000</v>
      </c>
    </row>
    <row r="2910" spans="1:4">
      <c r="A2910" s="3" t="s">
        <v>405</v>
      </c>
      <c r="B2910" s="3" t="s">
        <v>406</v>
      </c>
      <c r="C2910">
        <v>2013</v>
      </c>
      <c r="D2910">
        <v>4585000000</v>
      </c>
    </row>
    <row r="2911" spans="1:4">
      <c r="A2911" s="3" t="s">
        <v>405</v>
      </c>
      <c r="B2911" s="3" t="s">
        <v>406</v>
      </c>
      <c r="C2911">
        <v>2014</v>
      </c>
      <c r="D2911">
        <v>4354000000</v>
      </c>
    </row>
    <row r="2912" spans="1:4">
      <c r="A2912" s="3" t="s">
        <v>405</v>
      </c>
      <c r="B2912" s="3" t="s">
        <v>406</v>
      </c>
      <c r="C2912">
        <v>2015</v>
      </c>
      <c r="D2912">
        <v>5634000000</v>
      </c>
    </row>
    <row r="2913" spans="1:4">
      <c r="A2913" s="3" t="s">
        <v>405</v>
      </c>
      <c r="B2913" s="3" t="s">
        <v>406</v>
      </c>
      <c r="C2913">
        <v>2016</v>
      </c>
      <c r="D2913">
        <v>6058000000</v>
      </c>
    </row>
    <row r="2914" spans="1:4">
      <c r="A2914" s="3" t="s">
        <v>405</v>
      </c>
      <c r="B2914" s="3" t="s">
        <v>406</v>
      </c>
      <c r="C2914">
        <v>2017</v>
      </c>
      <c r="D2914">
        <v>7047000000</v>
      </c>
    </row>
    <row r="2915" spans="1:4">
      <c r="A2915" s="3" t="s">
        <v>405</v>
      </c>
      <c r="B2915" s="3" t="s">
        <v>406</v>
      </c>
      <c r="C2915">
        <v>2018</v>
      </c>
      <c r="D2915">
        <v>6702000000</v>
      </c>
    </row>
    <row r="2916" spans="1:4">
      <c r="A2916" s="3" t="s">
        <v>405</v>
      </c>
      <c r="B2916" s="3" t="s">
        <v>406</v>
      </c>
      <c r="C2916">
        <v>2019</v>
      </c>
      <c r="D2916">
        <v>7696000000</v>
      </c>
    </row>
    <row r="2917" spans="1:4">
      <c r="A2917" s="3" t="s">
        <v>405</v>
      </c>
      <c r="B2917" s="3" t="s">
        <v>406</v>
      </c>
      <c r="C2917">
        <v>2020</v>
      </c>
      <c r="D2917">
        <v>8228000000</v>
      </c>
    </row>
    <row r="2918" spans="1:4">
      <c r="A2918" s="3" t="s">
        <v>405</v>
      </c>
      <c r="B2918" s="3" t="s">
        <v>406</v>
      </c>
      <c r="C2918">
        <v>2021</v>
      </c>
      <c r="D2918">
        <v>8380000000</v>
      </c>
    </row>
    <row r="2919" spans="1:4">
      <c r="A2919" s="3" t="s">
        <v>405</v>
      </c>
      <c r="B2919" s="3" t="s">
        <v>406</v>
      </c>
      <c r="C2919">
        <v>2022</v>
      </c>
      <c r="D2919">
        <v>12136000000</v>
      </c>
    </row>
    <row r="2920" spans="1:4">
      <c r="A2920" s="3" t="s">
        <v>405</v>
      </c>
      <c r="B2920" s="3" t="s">
        <v>406</v>
      </c>
      <c r="C2920">
        <v>2023</v>
      </c>
      <c r="D2920">
        <v>11327000000</v>
      </c>
    </row>
    <row r="2921" spans="1:4">
      <c r="A2921" s="3" t="s">
        <v>405</v>
      </c>
      <c r="B2921" s="3" t="s">
        <v>406</v>
      </c>
      <c r="C2921">
        <v>2024</v>
      </c>
      <c r="D2921">
        <v>15636000000</v>
      </c>
    </row>
    <row r="2922" spans="1:4">
      <c r="A2922" s="3" t="s">
        <v>409</v>
      </c>
      <c r="B2922" s="3" t="s">
        <v>410</v>
      </c>
      <c r="C2922">
        <v>2000</v>
      </c>
      <c r="D2922">
        <v>3000000</v>
      </c>
    </row>
    <row r="2923" spans="1:4">
      <c r="A2923" s="3" t="s">
        <v>409</v>
      </c>
      <c r="B2923" s="3" t="s">
        <v>410</v>
      </c>
      <c r="C2923">
        <v>2007</v>
      </c>
      <c r="D2923">
        <v>27000000</v>
      </c>
    </row>
    <row r="2924" spans="1:4">
      <c r="A2924" s="3" t="s">
        <v>409</v>
      </c>
      <c r="B2924" s="3" t="s">
        <v>410</v>
      </c>
      <c r="C2924">
        <v>2009</v>
      </c>
      <c r="D2924">
        <v>286000000</v>
      </c>
    </row>
    <row r="2925" spans="1:4">
      <c r="A2925" s="3" t="s">
        <v>409</v>
      </c>
      <c r="B2925" s="3" t="s">
        <v>410</v>
      </c>
      <c r="C2925">
        <v>2010</v>
      </c>
      <c r="D2925">
        <v>30000000</v>
      </c>
    </row>
    <row r="2926" spans="1:4">
      <c r="A2926" s="3" t="s">
        <v>409</v>
      </c>
      <c r="B2926" s="3" t="s">
        <v>410</v>
      </c>
      <c r="C2926">
        <v>2011</v>
      </c>
      <c r="D2926">
        <v>190000000</v>
      </c>
    </row>
    <row r="2927" spans="1:4">
      <c r="A2927" s="3" t="s">
        <v>409</v>
      </c>
      <c r="B2927" s="3" t="s">
        <v>410</v>
      </c>
      <c r="C2927">
        <v>2012</v>
      </c>
      <c r="D2927">
        <v>335000000</v>
      </c>
    </row>
    <row r="2928" spans="1:4">
      <c r="A2928" s="3" t="s">
        <v>409</v>
      </c>
      <c r="B2928" s="3" t="s">
        <v>410</v>
      </c>
      <c r="C2928">
        <v>2013</v>
      </c>
      <c r="D2928">
        <v>82000000</v>
      </c>
    </row>
    <row r="2929" spans="1:4">
      <c r="A2929" s="3" t="s">
        <v>409</v>
      </c>
      <c r="B2929" s="3" t="s">
        <v>410</v>
      </c>
      <c r="C2929">
        <v>2014</v>
      </c>
      <c r="D2929">
        <v>55000000</v>
      </c>
    </row>
    <row r="2930" spans="1:4">
      <c r="A2930" s="3" t="s">
        <v>409</v>
      </c>
      <c r="B2930" s="3" t="s">
        <v>410</v>
      </c>
      <c r="C2930">
        <v>2015</v>
      </c>
      <c r="D2930">
        <v>490000000</v>
      </c>
    </row>
    <row r="2931" spans="1:4">
      <c r="A2931" s="3" t="s">
        <v>409</v>
      </c>
      <c r="B2931" s="3" t="s">
        <v>410</v>
      </c>
      <c r="C2931">
        <v>2016</v>
      </c>
      <c r="D2931">
        <v>596000000</v>
      </c>
    </row>
    <row r="2932" spans="1:4">
      <c r="A2932" s="3" t="s">
        <v>409</v>
      </c>
      <c r="B2932" s="3" t="s">
        <v>410</v>
      </c>
      <c r="C2932">
        <v>2017</v>
      </c>
      <c r="D2932">
        <v>285000000</v>
      </c>
    </row>
    <row r="2933" spans="1:4">
      <c r="A2933" s="3" t="s">
        <v>409</v>
      </c>
      <c r="B2933" s="3" t="s">
        <v>410</v>
      </c>
      <c r="C2933">
        <v>2018</v>
      </c>
      <c r="D2933">
        <v>613000000</v>
      </c>
    </row>
    <row r="2934" spans="1:4">
      <c r="A2934" s="3" t="s">
        <v>409</v>
      </c>
      <c r="B2934" s="3" t="s">
        <v>410</v>
      </c>
      <c r="C2934">
        <v>2019</v>
      </c>
      <c r="D2934">
        <v>2230000000</v>
      </c>
    </row>
    <row r="2935" spans="1:4">
      <c r="A2935" s="3" t="s">
        <v>409</v>
      </c>
      <c r="B2935" s="3" t="s">
        <v>410</v>
      </c>
      <c r="C2935">
        <v>2020</v>
      </c>
      <c r="D2935">
        <v>1082000000</v>
      </c>
    </row>
    <row r="2936" spans="1:4">
      <c r="A2936" s="3" t="s">
        <v>409</v>
      </c>
      <c r="B2936" s="3" t="s">
        <v>410</v>
      </c>
      <c r="C2936">
        <v>2021</v>
      </c>
      <c r="D2936">
        <v>2288000000</v>
      </c>
    </row>
    <row r="2937" spans="1:4">
      <c r="A2937" s="3" t="s">
        <v>409</v>
      </c>
      <c r="B2937" s="3" t="s">
        <v>410</v>
      </c>
      <c r="C2937">
        <v>2022</v>
      </c>
      <c r="D2937">
        <v>3336000000</v>
      </c>
    </row>
    <row r="2938" spans="1:4">
      <c r="A2938" s="3" t="s">
        <v>409</v>
      </c>
      <c r="B2938" s="3" t="s">
        <v>410</v>
      </c>
      <c r="C2938">
        <v>2023</v>
      </c>
      <c r="D2938">
        <v>2006000000</v>
      </c>
    </row>
    <row r="2939" spans="1:4">
      <c r="A2939" s="3" t="s">
        <v>409</v>
      </c>
      <c r="B2939" s="3" t="s">
        <v>410</v>
      </c>
      <c r="C2939">
        <v>2024</v>
      </c>
      <c r="D2939">
        <v>1194000000</v>
      </c>
    </row>
    <row r="2940" spans="1:4">
      <c r="A2940" s="3" t="s">
        <v>411</v>
      </c>
      <c r="B2940" s="3" t="s">
        <v>412</v>
      </c>
      <c r="C2940">
        <v>2000</v>
      </c>
      <c r="D2940">
        <v>21000000</v>
      </c>
    </row>
    <row r="2941" spans="1:4">
      <c r="A2941" s="3" t="s">
        <v>411</v>
      </c>
      <c r="B2941" s="3" t="s">
        <v>412</v>
      </c>
      <c r="C2941">
        <v>2001</v>
      </c>
      <c r="D2941">
        <v>24000000</v>
      </c>
    </row>
    <row r="2942" spans="1:4">
      <c r="A2942" s="3" t="s">
        <v>411</v>
      </c>
      <c r="B2942" s="3" t="s">
        <v>412</v>
      </c>
      <c r="C2942">
        <v>2002</v>
      </c>
      <c r="D2942">
        <v>21000000</v>
      </c>
    </row>
    <row r="2943" spans="1:4">
      <c r="A2943" s="3" t="s">
        <v>411</v>
      </c>
      <c r="B2943" s="3" t="s">
        <v>412</v>
      </c>
      <c r="C2943">
        <v>2003</v>
      </c>
      <c r="D2943">
        <v>17000000</v>
      </c>
    </row>
    <row r="2944" spans="1:4">
      <c r="A2944" s="3" t="s">
        <v>411</v>
      </c>
      <c r="B2944" s="3" t="s">
        <v>412</v>
      </c>
      <c r="C2944">
        <v>2004</v>
      </c>
      <c r="D2944">
        <v>283000000</v>
      </c>
    </row>
    <row r="2945" spans="1:4">
      <c r="A2945" s="3" t="s">
        <v>411</v>
      </c>
      <c r="B2945" s="3" t="s">
        <v>412</v>
      </c>
      <c r="C2945">
        <v>2005</v>
      </c>
      <c r="D2945">
        <v>431000000</v>
      </c>
    </row>
    <row r="2946" spans="1:4">
      <c r="A2946" s="3" t="s">
        <v>411</v>
      </c>
      <c r="B2946" s="3" t="s">
        <v>412</v>
      </c>
      <c r="C2946">
        <v>2006</v>
      </c>
      <c r="D2946">
        <v>64000000</v>
      </c>
    </row>
    <row r="2947" spans="1:4">
      <c r="A2947" s="3" t="s">
        <v>411</v>
      </c>
      <c r="B2947" s="3" t="s">
        <v>412</v>
      </c>
      <c r="C2947">
        <v>2007</v>
      </c>
      <c r="D2947">
        <v>101000000</v>
      </c>
    </row>
    <row r="2948" spans="1:4">
      <c r="A2948" s="3" t="s">
        <v>411</v>
      </c>
      <c r="B2948" s="3" t="s">
        <v>412</v>
      </c>
      <c r="C2948">
        <v>2008</v>
      </c>
      <c r="D2948">
        <v>80000000</v>
      </c>
    </row>
    <row r="2949" spans="1:4">
      <c r="A2949" s="3" t="s">
        <v>411</v>
      </c>
      <c r="B2949" s="3" t="s">
        <v>412</v>
      </c>
      <c r="C2949">
        <v>2009</v>
      </c>
      <c r="D2949">
        <v>59000000</v>
      </c>
    </row>
    <row r="2950" spans="1:4">
      <c r="A2950" s="3" t="s">
        <v>411</v>
      </c>
      <c r="B2950" s="3" t="s">
        <v>412</v>
      </c>
      <c r="C2950">
        <v>2010</v>
      </c>
      <c r="D2950">
        <v>107000000</v>
      </c>
    </row>
    <row r="2951" spans="1:4">
      <c r="A2951" s="3" t="s">
        <v>411</v>
      </c>
      <c r="B2951" s="3" t="s">
        <v>412</v>
      </c>
      <c r="C2951">
        <v>2011</v>
      </c>
      <c r="D2951">
        <v>80000000</v>
      </c>
    </row>
    <row r="2952" spans="1:4">
      <c r="A2952" s="3" t="s">
        <v>411</v>
      </c>
      <c r="B2952" s="3" t="s">
        <v>412</v>
      </c>
      <c r="C2952">
        <v>2012</v>
      </c>
      <c r="D2952">
        <v>21000000</v>
      </c>
    </row>
    <row r="2953" spans="1:4">
      <c r="A2953" s="3" t="s">
        <v>411</v>
      </c>
      <c r="B2953" s="3" t="s">
        <v>412</v>
      </c>
      <c r="C2953">
        <v>2013</v>
      </c>
      <c r="D2953">
        <v>20000000</v>
      </c>
    </row>
    <row r="2954" spans="1:4">
      <c r="A2954" s="3" t="s">
        <v>411</v>
      </c>
      <c r="B2954" s="3" t="s">
        <v>412</v>
      </c>
      <c r="C2954">
        <v>2014</v>
      </c>
      <c r="D2954">
        <v>0</v>
      </c>
    </row>
    <row r="2955" spans="1:4">
      <c r="A2955" s="3" t="s">
        <v>411</v>
      </c>
      <c r="B2955" s="3" t="s">
        <v>412</v>
      </c>
      <c r="C2955">
        <v>2015</v>
      </c>
      <c r="D2955">
        <v>22000000</v>
      </c>
    </row>
    <row r="2956" spans="1:4">
      <c r="A2956" s="3" t="s">
        <v>411</v>
      </c>
      <c r="B2956" s="3" t="s">
        <v>412</v>
      </c>
      <c r="C2956">
        <v>2016</v>
      </c>
      <c r="D2956">
        <v>177000000</v>
      </c>
    </row>
    <row r="2957" spans="1:4">
      <c r="A2957" s="3" t="s">
        <v>411</v>
      </c>
      <c r="B2957" s="3" t="s">
        <v>412</v>
      </c>
      <c r="C2957">
        <v>2017</v>
      </c>
      <c r="D2957">
        <v>88000000</v>
      </c>
    </row>
    <row r="2958" spans="1:4">
      <c r="A2958" s="3" t="s">
        <v>411</v>
      </c>
      <c r="B2958" s="3" t="s">
        <v>412</v>
      </c>
      <c r="C2958">
        <v>2018</v>
      </c>
      <c r="D2958">
        <v>36000000</v>
      </c>
    </row>
    <row r="2959" spans="1:4">
      <c r="A2959" s="3" t="s">
        <v>411</v>
      </c>
      <c r="B2959" s="3" t="s">
        <v>412</v>
      </c>
      <c r="C2959">
        <v>2019</v>
      </c>
      <c r="D2959">
        <v>13000000</v>
      </c>
    </row>
    <row r="2960" spans="1:4">
      <c r="A2960" s="3" t="s">
        <v>411</v>
      </c>
      <c r="B2960" s="3" t="s">
        <v>412</v>
      </c>
      <c r="C2960">
        <v>2020</v>
      </c>
      <c r="D2960">
        <v>168000000</v>
      </c>
    </row>
    <row r="2961" spans="1:4">
      <c r="A2961" s="3" t="s">
        <v>411</v>
      </c>
      <c r="B2961" s="3" t="s">
        <v>412</v>
      </c>
      <c r="C2961">
        <v>2021</v>
      </c>
      <c r="D2961">
        <v>105000000</v>
      </c>
    </row>
    <row r="2962" spans="1:4">
      <c r="A2962" s="3" t="s">
        <v>411</v>
      </c>
      <c r="B2962" s="3" t="s">
        <v>412</v>
      </c>
      <c r="C2962">
        <v>2022</v>
      </c>
      <c r="D2962">
        <v>186000000</v>
      </c>
    </row>
    <row r="2963" spans="1:4">
      <c r="A2963" s="3" t="s">
        <v>411</v>
      </c>
      <c r="B2963" s="3" t="s">
        <v>412</v>
      </c>
      <c r="C2963">
        <v>2023</v>
      </c>
      <c r="D2963">
        <v>364000000</v>
      </c>
    </row>
    <row r="2964" spans="1:4">
      <c r="A2964" s="3" t="s">
        <v>411</v>
      </c>
      <c r="B2964" s="3" t="s">
        <v>412</v>
      </c>
      <c r="C2964">
        <v>2024</v>
      </c>
      <c r="D2964">
        <v>320000000</v>
      </c>
    </row>
    <row r="2965" spans="1:4">
      <c r="A2965" s="3" t="s">
        <v>413</v>
      </c>
      <c r="B2965" s="3" t="s">
        <v>414</v>
      </c>
      <c r="C2965">
        <v>2000</v>
      </c>
      <c r="D2965">
        <v>1147000000</v>
      </c>
    </row>
    <row r="2966" spans="1:4">
      <c r="A2966" s="3" t="s">
        <v>413</v>
      </c>
      <c r="B2966" s="3" t="s">
        <v>414</v>
      </c>
      <c r="C2966">
        <v>2001</v>
      </c>
      <c r="D2966">
        <v>2000000</v>
      </c>
    </row>
    <row r="2967" spans="1:4">
      <c r="A2967" s="3" t="s">
        <v>413</v>
      </c>
      <c r="B2967" s="3" t="s">
        <v>414</v>
      </c>
      <c r="C2967">
        <v>2007</v>
      </c>
      <c r="D2967">
        <v>90000000</v>
      </c>
    </row>
    <row r="2968" spans="1:4">
      <c r="A2968" s="3" t="s">
        <v>413</v>
      </c>
      <c r="B2968" s="3" t="s">
        <v>414</v>
      </c>
      <c r="C2968">
        <v>2009</v>
      </c>
      <c r="D2968">
        <v>8000000</v>
      </c>
    </row>
    <row r="2969" spans="1:4">
      <c r="A2969" s="3" t="s">
        <v>413</v>
      </c>
      <c r="B2969" s="3" t="s">
        <v>414</v>
      </c>
      <c r="C2969">
        <v>2010</v>
      </c>
      <c r="D2969">
        <v>25000000</v>
      </c>
    </row>
    <row r="2970" spans="1:4">
      <c r="A2970" s="3" t="s">
        <v>413</v>
      </c>
      <c r="B2970" s="3" t="s">
        <v>414</v>
      </c>
      <c r="C2970">
        <v>2011</v>
      </c>
      <c r="D2970">
        <v>10000000</v>
      </c>
    </row>
    <row r="2971" spans="1:4">
      <c r="A2971" s="3" t="s">
        <v>413</v>
      </c>
      <c r="B2971" s="3" t="s">
        <v>414</v>
      </c>
      <c r="C2971">
        <v>2012</v>
      </c>
      <c r="D2971">
        <v>121000000</v>
      </c>
    </row>
    <row r="2972" spans="1:4">
      <c r="A2972" s="3" t="s">
        <v>413</v>
      </c>
      <c r="B2972" s="3" t="s">
        <v>414</v>
      </c>
      <c r="C2972">
        <v>2013</v>
      </c>
      <c r="D2972">
        <v>185000000</v>
      </c>
    </row>
    <row r="2973" spans="1:4">
      <c r="A2973" s="3" t="s">
        <v>413</v>
      </c>
      <c r="B2973" s="3" t="s">
        <v>414</v>
      </c>
      <c r="C2973">
        <v>2014</v>
      </c>
      <c r="D2973">
        <v>207000000</v>
      </c>
    </row>
    <row r="2974" spans="1:4">
      <c r="A2974" s="3" t="s">
        <v>413</v>
      </c>
      <c r="B2974" s="3" t="s">
        <v>414</v>
      </c>
      <c r="C2974">
        <v>2015</v>
      </c>
      <c r="D2974">
        <v>113000000</v>
      </c>
    </row>
    <row r="2975" spans="1:4">
      <c r="A2975" s="3" t="s">
        <v>413</v>
      </c>
      <c r="B2975" s="3" t="s">
        <v>414</v>
      </c>
      <c r="C2975">
        <v>2016</v>
      </c>
      <c r="D2975">
        <v>127000000</v>
      </c>
    </row>
    <row r="2976" spans="1:4">
      <c r="A2976" s="3" t="s">
        <v>413</v>
      </c>
      <c r="B2976" s="3" t="s">
        <v>414</v>
      </c>
      <c r="C2976">
        <v>2017</v>
      </c>
      <c r="D2976">
        <v>94000000</v>
      </c>
    </row>
    <row r="2977" spans="1:4">
      <c r="A2977" s="3" t="s">
        <v>413</v>
      </c>
      <c r="B2977" s="3" t="s">
        <v>414</v>
      </c>
      <c r="C2977">
        <v>2018</v>
      </c>
      <c r="D2977">
        <v>62000000</v>
      </c>
    </row>
    <row r="2978" spans="1:4">
      <c r="A2978" s="3" t="s">
        <v>413</v>
      </c>
      <c r="B2978" s="3" t="s">
        <v>414</v>
      </c>
      <c r="C2978">
        <v>2019</v>
      </c>
      <c r="D2978">
        <v>5000000</v>
      </c>
    </row>
    <row r="2979" spans="1:4">
      <c r="A2979" s="3" t="s">
        <v>413</v>
      </c>
      <c r="B2979" s="3" t="s">
        <v>414</v>
      </c>
      <c r="C2979">
        <v>2020</v>
      </c>
      <c r="D2979">
        <v>1000000</v>
      </c>
    </row>
    <row r="2980" spans="1:4">
      <c r="A2980" s="3" t="s">
        <v>413</v>
      </c>
      <c r="B2980" s="3" t="s">
        <v>414</v>
      </c>
      <c r="C2980">
        <v>2021</v>
      </c>
      <c r="D2980">
        <v>6000000</v>
      </c>
    </row>
    <row r="2981" spans="1:4">
      <c r="A2981" s="3" t="s">
        <v>413</v>
      </c>
      <c r="B2981" s="3" t="s">
        <v>414</v>
      </c>
      <c r="C2981">
        <v>2022</v>
      </c>
      <c r="D2981">
        <v>39000000</v>
      </c>
    </row>
    <row r="2982" spans="1:4">
      <c r="A2982" s="3" t="s">
        <v>413</v>
      </c>
      <c r="B2982" s="3" t="s">
        <v>414</v>
      </c>
      <c r="C2982">
        <v>2023</v>
      </c>
      <c r="D2982">
        <v>95000000</v>
      </c>
    </row>
    <row r="2983" spans="1:4">
      <c r="A2983" s="3" t="s">
        <v>413</v>
      </c>
      <c r="B2983" s="3" t="s">
        <v>414</v>
      </c>
      <c r="C2983">
        <v>2024</v>
      </c>
      <c r="D2983">
        <v>315000000</v>
      </c>
    </row>
    <row r="2984" spans="1:4">
      <c r="A2984" s="3" t="s">
        <v>415</v>
      </c>
      <c r="B2984" s="3" t="s">
        <v>416</v>
      </c>
      <c r="C2984">
        <v>2000</v>
      </c>
      <c r="D2984">
        <v>15000000</v>
      </c>
    </row>
    <row r="2985" spans="1:4">
      <c r="A2985" s="3" t="s">
        <v>415</v>
      </c>
      <c r="B2985" s="3" t="s">
        <v>416</v>
      </c>
      <c r="C2985">
        <v>2006</v>
      </c>
      <c r="D2985">
        <v>3000000</v>
      </c>
    </row>
    <row r="2986" spans="1:4">
      <c r="A2986" s="3" t="s">
        <v>415</v>
      </c>
      <c r="B2986" s="3" t="s">
        <v>416</v>
      </c>
      <c r="C2986">
        <v>2007</v>
      </c>
      <c r="D2986">
        <v>20000000</v>
      </c>
    </row>
    <row r="2987" spans="1:4">
      <c r="A2987" s="3" t="s">
        <v>415</v>
      </c>
      <c r="B2987" s="3" t="s">
        <v>416</v>
      </c>
      <c r="C2987">
        <v>2008</v>
      </c>
      <c r="D2987">
        <v>14000000</v>
      </c>
    </row>
    <row r="2988" spans="1:4">
      <c r="A2988" s="3" t="s">
        <v>415</v>
      </c>
      <c r="B2988" s="3" t="s">
        <v>416</v>
      </c>
      <c r="C2988">
        <v>2009</v>
      </c>
      <c r="D2988">
        <v>11000000</v>
      </c>
    </row>
    <row r="2989" spans="1:4">
      <c r="A2989" s="3" t="s">
        <v>415</v>
      </c>
      <c r="B2989" s="3" t="s">
        <v>416</v>
      </c>
      <c r="C2989">
        <v>2012</v>
      </c>
      <c r="D2989">
        <v>5000000</v>
      </c>
    </row>
    <row r="2990" spans="1:4">
      <c r="A2990" s="3" t="s">
        <v>415</v>
      </c>
      <c r="B2990" s="3" t="s">
        <v>416</v>
      </c>
      <c r="C2990">
        <v>2013</v>
      </c>
      <c r="D2990">
        <v>15000000</v>
      </c>
    </row>
    <row r="2991" spans="1:4">
      <c r="A2991" s="3" t="s">
        <v>415</v>
      </c>
      <c r="B2991" s="3" t="s">
        <v>416</v>
      </c>
      <c r="C2991">
        <v>2014</v>
      </c>
      <c r="D2991">
        <v>15000000</v>
      </c>
    </row>
    <row r="2992" spans="1:4">
      <c r="A2992" s="3" t="s">
        <v>415</v>
      </c>
      <c r="B2992" s="3" t="s">
        <v>416</v>
      </c>
      <c r="C2992">
        <v>2015</v>
      </c>
      <c r="D2992">
        <v>29000000</v>
      </c>
    </row>
    <row r="2993" spans="1:4">
      <c r="A2993" s="3" t="s">
        <v>415</v>
      </c>
      <c r="B2993" s="3" t="s">
        <v>416</v>
      </c>
      <c r="C2993">
        <v>2017</v>
      </c>
      <c r="D2993">
        <v>8000000</v>
      </c>
    </row>
    <row r="2994" spans="1:4">
      <c r="A2994" s="3" t="s">
        <v>415</v>
      </c>
      <c r="B2994" s="3" t="s">
        <v>416</v>
      </c>
      <c r="C2994">
        <v>2018</v>
      </c>
      <c r="D2994">
        <v>3000000</v>
      </c>
    </row>
    <row r="2995" spans="1:4">
      <c r="A2995" s="3" t="s">
        <v>415</v>
      </c>
      <c r="B2995" s="3" t="s">
        <v>416</v>
      </c>
      <c r="C2995">
        <v>2019</v>
      </c>
      <c r="D2995">
        <v>1000000</v>
      </c>
    </row>
    <row r="2996" spans="1:4">
      <c r="A2996" s="3" t="s">
        <v>415</v>
      </c>
      <c r="B2996" s="3" t="s">
        <v>416</v>
      </c>
      <c r="C2996">
        <v>2021</v>
      </c>
      <c r="D2996">
        <v>65000000</v>
      </c>
    </row>
    <row r="2997" spans="1:4">
      <c r="A2997" s="3" t="s">
        <v>415</v>
      </c>
      <c r="B2997" s="3" t="s">
        <v>416</v>
      </c>
      <c r="C2997">
        <v>2022</v>
      </c>
      <c r="D2997">
        <v>17000000</v>
      </c>
    </row>
    <row r="2998" spans="1:4">
      <c r="A2998" s="3" t="s">
        <v>415</v>
      </c>
      <c r="B2998" s="3" t="s">
        <v>416</v>
      </c>
      <c r="C2998">
        <v>2023</v>
      </c>
      <c r="D2998">
        <v>37000000</v>
      </c>
    </row>
    <row r="2999" spans="1:4">
      <c r="A2999" s="3" t="s">
        <v>417</v>
      </c>
      <c r="B2999" s="3" t="s">
        <v>418</v>
      </c>
      <c r="C2999">
        <v>2000</v>
      </c>
      <c r="D2999">
        <v>1482000000</v>
      </c>
    </row>
    <row r="3000" spans="1:4">
      <c r="A3000" s="3" t="s">
        <v>417</v>
      </c>
      <c r="B3000" s="3" t="s">
        <v>418</v>
      </c>
      <c r="C3000">
        <v>2001</v>
      </c>
      <c r="D3000">
        <v>1490000000</v>
      </c>
    </row>
    <row r="3001" spans="1:4">
      <c r="A3001" s="3" t="s">
        <v>417</v>
      </c>
      <c r="B3001" s="3" t="s">
        <v>418</v>
      </c>
      <c r="C3001">
        <v>2002</v>
      </c>
      <c r="D3001">
        <v>1992000000</v>
      </c>
    </row>
    <row r="3002" spans="1:4">
      <c r="A3002" s="3" t="s">
        <v>417</v>
      </c>
      <c r="B3002" s="3" t="s">
        <v>418</v>
      </c>
      <c r="C3002">
        <v>2003</v>
      </c>
      <c r="D3002">
        <v>2850000000</v>
      </c>
    </row>
    <row r="3003" spans="1:4">
      <c r="A3003" s="3" t="s">
        <v>417</v>
      </c>
      <c r="B3003" s="3" t="s">
        <v>418</v>
      </c>
      <c r="C3003">
        <v>2004</v>
      </c>
      <c r="D3003">
        <v>2352000000</v>
      </c>
    </row>
    <row r="3004" spans="1:4">
      <c r="A3004" s="3" t="s">
        <v>417</v>
      </c>
      <c r="B3004" s="3" t="s">
        <v>418</v>
      </c>
      <c r="C3004">
        <v>2005</v>
      </c>
      <c r="D3004">
        <v>1282000000</v>
      </c>
    </row>
    <row r="3005" spans="1:4">
      <c r="A3005" s="3" t="s">
        <v>417</v>
      </c>
      <c r="B3005" s="3" t="s">
        <v>418</v>
      </c>
      <c r="C3005">
        <v>2006</v>
      </c>
      <c r="D3005">
        <v>1819000000</v>
      </c>
    </row>
    <row r="3006" spans="1:4">
      <c r="A3006" s="3" t="s">
        <v>417</v>
      </c>
      <c r="B3006" s="3" t="s">
        <v>418</v>
      </c>
      <c r="C3006">
        <v>2007</v>
      </c>
      <c r="D3006">
        <v>2473000000</v>
      </c>
    </row>
    <row r="3007" spans="1:4">
      <c r="A3007" s="3" t="s">
        <v>417</v>
      </c>
      <c r="B3007" s="3" t="s">
        <v>418</v>
      </c>
      <c r="C3007">
        <v>2008</v>
      </c>
      <c r="D3007">
        <v>1735000000</v>
      </c>
    </row>
    <row r="3008" spans="1:4">
      <c r="A3008" s="3" t="s">
        <v>417</v>
      </c>
      <c r="B3008" s="3" t="s">
        <v>418</v>
      </c>
      <c r="C3008">
        <v>2009</v>
      </c>
      <c r="D3008">
        <v>1979000000</v>
      </c>
    </row>
    <row r="3009" spans="1:4">
      <c r="A3009" s="3" t="s">
        <v>417</v>
      </c>
      <c r="B3009" s="3" t="s">
        <v>418</v>
      </c>
      <c r="C3009">
        <v>2010</v>
      </c>
      <c r="D3009">
        <v>2943000000</v>
      </c>
    </row>
    <row r="3010" spans="1:4">
      <c r="A3010" s="3" t="s">
        <v>417</v>
      </c>
      <c r="B3010" s="3" t="s">
        <v>418</v>
      </c>
      <c r="C3010">
        <v>2011</v>
      </c>
      <c r="D3010">
        <v>3769000000</v>
      </c>
    </row>
    <row r="3011" spans="1:4">
      <c r="A3011" s="3" t="s">
        <v>417</v>
      </c>
      <c r="B3011" s="3" t="s">
        <v>418</v>
      </c>
      <c r="C3011">
        <v>2012</v>
      </c>
      <c r="D3011">
        <v>4705000000</v>
      </c>
    </row>
    <row r="3012" spans="1:4">
      <c r="A3012" s="3" t="s">
        <v>417</v>
      </c>
      <c r="B3012" s="3" t="s">
        <v>418</v>
      </c>
      <c r="C3012">
        <v>2013</v>
      </c>
      <c r="D3012">
        <v>5977000000</v>
      </c>
    </row>
    <row r="3013" spans="1:4">
      <c r="A3013" s="3" t="s">
        <v>417</v>
      </c>
      <c r="B3013" s="3" t="s">
        <v>418</v>
      </c>
      <c r="C3013">
        <v>2014</v>
      </c>
      <c r="D3013">
        <v>3499000000</v>
      </c>
    </row>
    <row r="3014" spans="1:4">
      <c r="A3014" s="3" t="s">
        <v>417</v>
      </c>
      <c r="B3014" s="3" t="s">
        <v>418</v>
      </c>
      <c r="C3014">
        <v>2015</v>
      </c>
      <c r="D3014">
        <v>3387000000</v>
      </c>
    </row>
    <row r="3015" spans="1:4">
      <c r="A3015" s="3" t="s">
        <v>417</v>
      </c>
      <c r="B3015" s="3" t="s">
        <v>418</v>
      </c>
      <c r="C3015">
        <v>2016</v>
      </c>
      <c r="D3015">
        <v>3116000000</v>
      </c>
    </row>
    <row r="3016" spans="1:4">
      <c r="A3016" s="3" t="s">
        <v>417</v>
      </c>
      <c r="B3016" s="3" t="s">
        <v>418</v>
      </c>
      <c r="C3016">
        <v>2017</v>
      </c>
      <c r="D3016">
        <v>3062000000</v>
      </c>
    </row>
    <row r="3017" spans="1:4">
      <c r="A3017" s="3" t="s">
        <v>417</v>
      </c>
      <c r="B3017" s="3" t="s">
        <v>418</v>
      </c>
      <c r="C3017">
        <v>2018</v>
      </c>
      <c r="D3017">
        <v>2250000000</v>
      </c>
    </row>
    <row r="3018" spans="1:4">
      <c r="A3018" s="3" t="s">
        <v>417</v>
      </c>
      <c r="B3018" s="3" t="s">
        <v>418</v>
      </c>
      <c r="C3018">
        <v>2019</v>
      </c>
      <c r="D3018">
        <v>4014000000</v>
      </c>
    </row>
    <row r="3019" spans="1:4">
      <c r="A3019" s="3" t="s">
        <v>417</v>
      </c>
      <c r="B3019" s="3" t="s">
        <v>418</v>
      </c>
      <c r="C3019">
        <v>2020</v>
      </c>
      <c r="D3019">
        <v>2743000000</v>
      </c>
    </row>
    <row r="3020" spans="1:4">
      <c r="A3020" s="3" t="s">
        <v>417</v>
      </c>
      <c r="B3020" s="3" t="s">
        <v>418</v>
      </c>
      <c r="C3020">
        <v>2021</v>
      </c>
      <c r="D3020">
        <v>4079000000</v>
      </c>
    </row>
    <row r="3021" spans="1:4">
      <c r="A3021" s="3" t="s">
        <v>417</v>
      </c>
      <c r="B3021" s="3" t="s">
        <v>418</v>
      </c>
      <c r="C3021">
        <v>2022</v>
      </c>
      <c r="D3021">
        <v>3035000000</v>
      </c>
    </row>
    <row r="3022" spans="1:4">
      <c r="A3022" s="3" t="s">
        <v>417</v>
      </c>
      <c r="B3022" s="3" t="s">
        <v>418</v>
      </c>
      <c r="C3022">
        <v>2023</v>
      </c>
      <c r="D3022">
        <v>1619000000</v>
      </c>
    </row>
    <row r="3023" spans="1:4">
      <c r="A3023" s="3" t="s">
        <v>417</v>
      </c>
      <c r="B3023" s="3" t="s">
        <v>418</v>
      </c>
      <c r="C3023">
        <v>2024</v>
      </c>
      <c r="D3023">
        <v>1689000000</v>
      </c>
    </row>
    <row r="3024" spans="1:4">
      <c r="A3024" s="3" t="s">
        <v>419</v>
      </c>
      <c r="B3024" s="3" t="s">
        <v>420</v>
      </c>
      <c r="C3024">
        <v>2000</v>
      </c>
      <c r="D3024">
        <v>104000000</v>
      </c>
    </row>
    <row r="3025" spans="1:4">
      <c r="A3025" s="3" t="s">
        <v>419</v>
      </c>
      <c r="B3025" s="3" t="s">
        <v>420</v>
      </c>
      <c r="C3025">
        <v>2001</v>
      </c>
      <c r="D3025">
        <v>59000000</v>
      </c>
    </row>
    <row r="3026" spans="1:4">
      <c r="A3026" s="3" t="s">
        <v>419</v>
      </c>
      <c r="B3026" s="3" t="s">
        <v>420</v>
      </c>
      <c r="C3026">
        <v>2002</v>
      </c>
      <c r="D3026">
        <v>559000000</v>
      </c>
    </row>
    <row r="3027" spans="1:4">
      <c r="A3027" s="3" t="s">
        <v>419</v>
      </c>
      <c r="B3027" s="3" t="s">
        <v>420</v>
      </c>
      <c r="C3027">
        <v>2003</v>
      </c>
      <c r="D3027">
        <v>158000000</v>
      </c>
    </row>
    <row r="3028" spans="1:4">
      <c r="A3028" s="3" t="s">
        <v>419</v>
      </c>
      <c r="B3028" s="3" t="s">
        <v>420</v>
      </c>
      <c r="C3028">
        <v>2004</v>
      </c>
      <c r="D3028">
        <v>1157000000</v>
      </c>
    </row>
    <row r="3029" spans="1:4">
      <c r="A3029" s="3" t="s">
        <v>419</v>
      </c>
      <c r="B3029" s="3" t="s">
        <v>420</v>
      </c>
      <c r="C3029">
        <v>2005</v>
      </c>
      <c r="D3029">
        <v>166000000</v>
      </c>
    </row>
    <row r="3030" spans="1:4">
      <c r="A3030" s="3" t="s">
        <v>419</v>
      </c>
      <c r="B3030" s="3" t="s">
        <v>420</v>
      </c>
      <c r="C3030">
        <v>2006</v>
      </c>
      <c r="D3030">
        <v>207000000</v>
      </c>
    </row>
    <row r="3031" spans="1:4">
      <c r="A3031" s="3" t="s">
        <v>419</v>
      </c>
      <c r="B3031" s="3" t="s">
        <v>420</v>
      </c>
      <c r="C3031">
        <v>2007</v>
      </c>
      <c r="D3031">
        <v>229000000</v>
      </c>
    </row>
    <row r="3032" spans="1:4">
      <c r="A3032" s="3" t="s">
        <v>419</v>
      </c>
      <c r="B3032" s="3" t="s">
        <v>420</v>
      </c>
      <c r="C3032">
        <v>2008</v>
      </c>
      <c r="D3032">
        <v>389000000</v>
      </c>
    </row>
    <row r="3033" spans="1:4">
      <c r="A3033" s="3" t="s">
        <v>419</v>
      </c>
      <c r="B3033" s="3" t="s">
        <v>420</v>
      </c>
      <c r="C3033">
        <v>2009</v>
      </c>
      <c r="D3033">
        <v>828000000</v>
      </c>
    </row>
    <row r="3034" spans="1:4">
      <c r="A3034" s="3" t="s">
        <v>419</v>
      </c>
      <c r="B3034" s="3" t="s">
        <v>420</v>
      </c>
      <c r="C3034">
        <v>2010</v>
      </c>
      <c r="D3034">
        <v>1109000000</v>
      </c>
    </row>
    <row r="3035" spans="1:4">
      <c r="A3035" s="3" t="s">
        <v>419</v>
      </c>
      <c r="B3035" s="3" t="s">
        <v>420</v>
      </c>
      <c r="C3035">
        <v>2011</v>
      </c>
      <c r="D3035">
        <v>1176000000</v>
      </c>
    </row>
    <row r="3036" spans="1:4">
      <c r="A3036" s="3" t="s">
        <v>419</v>
      </c>
      <c r="B3036" s="3" t="s">
        <v>420</v>
      </c>
      <c r="C3036">
        <v>2012</v>
      </c>
      <c r="D3036">
        <v>835000000</v>
      </c>
    </row>
    <row r="3037" spans="1:4">
      <c r="A3037" s="3" t="s">
        <v>419</v>
      </c>
      <c r="B3037" s="3" t="s">
        <v>420</v>
      </c>
      <c r="C3037">
        <v>2013</v>
      </c>
      <c r="D3037">
        <v>1686000000</v>
      </c>
    </row>
    <row r="3038" spans="1:4">
      <c r="A3038" s="3" t="s">
        <v>419</v>
      </c>
      <c r="B3038" s="3" t="s">
        <v>420</v>
      </c>
      <c r="C3038">
        <v>2014</v>
      </c>
      <c r="D3038">
        <v>2717000000</v>
      </c>
    </row>
    <row r="3039" spans="1:4">
      <c r="A3039" s="3" t="s">
        <v>419</v>
      </c>
      <c r="B3039" s="3" t="s">
        <v>420</v>
      </c>
      <c r="C3039">
        <v>2015</v>
      </c>
      <c r="D3039">
        <v>3474000000</v>
      </c>
    </row>
    <row r="3040" spans="1:4">
      <c r="A3040" s="3" t="s">
        <v>419</v>
      </c>
      <c r="B3040" s="3" t="s">
        <v>420</v>
      </c>
      <c r="C3040">
        <v>2016</v>
      </c>
      <c r="D3040">
        <v>2909000000</v>
      </c>
    </row>
    <row r="3041" spans="1:4">
      <c r="A3041" s="3" t="s">
        <v>419</v>
      </c>
      <c r="B3041" s="3" t="s">
        <v>420</v>
      </c>
      <c r="C3041">
        <v>2017</v>
      </c>
      <c r="D3041">
        <v>3852000000</v>
      </c>
    </row>
    <row r="3042" spans="1:4">
      <c r="A3042" s="3" t="s">
        <v>419</v>
      </c>
      <c r="B3042" s="3" t="s">
        <v>420</v>
      </c>
      <c r="C3042">
        <v>2018</v>
      </c>
      <c r="D3042">
        <v>2944000000</v>
      </c>
    </row>
    <row r="3043" spans="1:4">
      <c r="A3043" s="3" t="s">
        <v>419</v>
      </c>
      <c r="B3043" s="3" t="s">
        <v>420</v>
      </c>
      <c r="C3043">
        <v>2019</v>
      </c>
      <c r="D3043">
        <v>3033000000</v>
      </c>
    </row>
    <row r="3044" spans="1:4">
      <c r="A3044" s="3" t="s">
        <v>419</v>
      </c>
      <c r="B3044" s="3" t="s">
        <v>420</v>
      </c>
      <c r="C3044">
        <v>2020</v>
      </c>
      <c r="D3044">
        <v>2241000000</v>
      </c>
    </row>
    <row r="3045" spans="1:4">
      <c r="A3045" s="3" t="s">
        <v>419</v>
      </c>
      <c r="B3045" s="3" t="s">
        <v>420</v>
      </c>
      <c r="C3045">
        <v>2021</v>
      </c>
      <c r="D3045">
        <v>1747000000</v>
      </c>
    </row>
    <row r="3046" spans="1:4">
      <c r="A3046" s="3" t="s">
        <v>419</v>
      </c>
      <c r="B3046" s="3" t="s">
        <v>420</v>
      </c>
      <c r="C3046">
        <v>2022</v>
      </c>
      <c r="D3046">
        <v>3053000000</v>
      </c>
    </row>
    <row r="3047" spans="1:4">
      <c r="A3047" s="3" t="s">
        <v>419</v>
      </c>
      <c r="B3047" s="3" t="s">
        <v>420</v>
      </c>
      <c r="C3047">
        <v>2023</v>
      </c>
      <c r="D3047">
        <v>1326000000</v>
      </c>
    </row>
    <row r="3048" spans="1:4">
      <c r="A3048" s="3" t="s">
        <v>419</v>
      </c>
      <c r="B3048" s="3" t="s">
        <v>420</v>
      </c>
      <c r="C3048">
        <v>2024</v>
      </c>
      <c r="D3048">
        <v>1238000000</v>
      </c>
    </row>
    <row r="3049" spans="1:4">
      <c r="A3049" s="3" t="s">
        <v>421</v>
      </c>
      <c r="B3049" s="3" t="s">
        <v>422</v>
      </c>
      <c r="C3049">
        <v>2001</v>
      </c>
      <c r="D3049">
        <v>106000000</v>
      </c>
    </row>
    <row r="3050" spans="1:4">
      <c r="A3050" s="3" t="s">
        <v>421</v>
      </c>
      <c r="B3050" s="3" t="s">
        <v>422</v>
      </c>
      <c r="C3050">
        <v>2002</v>
      </c>
      <c r="D3050">
        <v>50000000</v>
      </c>
    </row>
    <row r="3051" spans="1:4">
      <c r="A3051" s="3" t="s">
        <v>421</v>
      </c>
      <c r="B3051" s="3" t="s">
        <v>422</v>
      </c>
      <c r="C3051">
        <v>2003</v>
      </c>
      <c r="D3051">
        <v>205000000</v>
      </c>
    </row>
    <row r="3052" spans="1:4">
      <c r="A3052" s="3" t="s">
        <v>421</v>
      </c>
      <c r="B3052" s="3" t="s">
        <v>422</v>
      </c>
      <c r="C3052">
        <v>2004</v>
      </c>
      <c r="D3052">
        <v>294000000</v>
      </c>
    </row>
    <row r="3053" spans="1:4">
      <c r="A3053" s="3" t="s">
        <v>421</v>
      </c>
      <c r="B3053" s="3" t="s">
        <v>422</v>
      </c>
      <c r="C3053">
        <v>2005</v>
      </c>
      <c r="D3053">
        <v>113000000</v>
      </c>
    </row>
    <row r="3054" spans="1:4">
      <c r="A3054" s="3" t="s">
        <v>421</v>
      </c>
      <c r="B3054" s="3" t="s">
        <v>422</v>
      </c>
      <c r="C3054">
        <v>2006</v>
      </c>
      <c r="D3054">
        <v>112000000</v>
      </c>
    </row>
    <row r="3055" spans="1:4">
      <c r="A3055" s="3" t="s">
        <v>421</v>
      </c>
      <c r="B3055" s="3" t="s">
        <v>422</v>
      </c>
      <c r="C3055">
        <v>2007</v>
      </c>
      <c r="D3055">
        <v>58000000</v>
      </c>
    </row>
    <row r="3056" spans="1:4">
      <c r="A3056" s="3" t="s">
        <v>421</v>
      </c>
      <c r="B3056" s="3" t="s">
        <v>422</v>
      </c>
      <c r="C3056">
        <v>2008</v>
      </c>
      <c r="D3056">
        <v>120000000</v>
      </c>
    </row>
    <row r="3057" spans="1:4">
      <c r="A3057" s="3" t="s">
        <v>421</v>
      </c>
      <c r="B3057" s="3" t="s">
        <v>422</v>
      </c>
      <c r="C3057">
        <v>2009</v>
      </c>
      <c r="D3057">
        <v>100000000</v>
      </c>
    </row>
    <row r="3058" spans="1:4">
      <c r="A3058" s="3" t="s">
        <v>421</v>
      </c>
      <c r="B3058" s="3" t="s">
        <v>422</v>
      </c>
      <c r="C3058">
        <v>2010</v>
      </c>
      <c r="D3058">
        <v>196000000</v>
      </c>
    </row>
    <row r="3059" spans="1:4">
      <c r="A3059" s="3" t="s">
        <v>421</v>
      </c>
      <c r="B3059" s="3" t="s">
        <v>422</v>
      </c>
      <c r="C3059">
        <v>2011</v>
      </c>
      <c r="D3059">
        <v>191000000</v>
      </c>
    </row>
    <row r="3060" spans="1:4">
      <c r="A3060" s="3" t="s">
        <v>421</v>
      </c>
      <c r="B3060" s="3" t="s">
        <v>422</v>
      </c>
      <c r="C3060">
        <v>2012</v>
      </c>
      <c r="D3060">
        <v>119000000</v>
      </c>
    </row>
    <row r="3061" spans="1:4">
      <c r="A3061" s="3" t="s">
        <v>421</v>
      </c>
      <c r="B3061" s="3" t="s">
        <v>422</v>
      </c>
      <c r="C3061">
        <v>2013</v>
      </c>
      <c r="D3061">
        <v>155000000</v>
      </c>
    </row>
    <row r="3062" spans="1:4">
      <c r="A3062" s="3" t="s">
        <v>421</v>
      </c>
      <c r="B3062" s="3" t="s">
        <v>422</v>
      </c>
      <c r="C3062">
        <v>2014</v>
      </c>
      <c r="D3062">
        <v>70000000</v>
      </c>
    </row>
    <row r="3063" spans="1:4">
      <c r="A3063" s="3" t="s">
        <v>421</v>
      </c>
      <c r="B3063" s="3" t="s">
        <v>422</v>
      </c>
      <c r="C3063">
        <v>2015</v>
      </c>
      <c r="D3063">
        <v>136000000</v>
      </c>
    </row>
    <row r="3064" spans="1:4">
      <c r="A3064" s="3" t="s">
        <v>421</v>
      </c>
      <c r="B3064" s="3" t="s">
        <v>422</v>
      </c>
      <c r="C3064">
        <v>2016</v>
      </c>
      <c r="D3064">
        <v>110000000</v>
      </c>
    </row>
    <row r="3065" spans="1:4">
      <c r="A3065" s="3" t="s">
        <v>421</v>
      </c>
      <c r="B3065" s="3" t="s">
        <v>422</v>
      </c>
      <c r="C3065">
        <v>2017</v>
      </c>
      <c r="D3065">
        <v>66000000</v>
      </c>
    </row>
    <row r="3066" spans="1:4">
      <c r="A3066" s="3" t="s">
        <v>421</v>
      </c>
      <c r="B3066" s="3" t="s">
        <v>422</v>
      </c>
      <c r="C3066">
        <v>2018</v>
      </c>
      <c r="D3066">
        <v>35000000</v>
      </c>
    </row>
    <row r="3067" spans="1:4">
      <c r="A3067" s="3" t="s">
        <v>421</v>
      </c>
      <c r="B3067" s="3" t="s">
        <v>422</v>
      </c>
      <c r="C3067">
        <v>2019</v>
      </c>
      <c r="D3067">
        <v>20000000</v>
      </c>
    </row>
    <row r="3068" spans="1:4">
      <c r="A3068" s="3" t="s">
        <v>421</v>
      </c>
      <c r="B3068" s="3" t="s">
        <v>422</v>
      </c>
      <c r="C3068">
        <v>2022</v>
      </c>
      <c r="D3068">
        <v>3000000</v>
      </c>
    </row>
    <row r="3069" spans="1:4">
      <c r="A3069" s="3" t="s">
        <v>421</v>
      </c>
      <c r="B3069" s="3" t="s">
        <v>422</v>
      </c>
      <c r="C3069">
        <v>2023</v>
      </c>
      <c r="D3069">
        <v>6000000</v>
      </c>
    </row>
    <row r="3070" spans="1:4">
      <c r="A3070" s="3" t="s">
        <v>421</v>
      </c>
      <c r="B3070" s="3" t="s">
        <v>422</v>
      </c>
      <c r="C3070">
        <v>2024</v>
      </c>
      <c r="D3070">
        <v>50000000</v>
      </c>
    </row>
    <row r="3071" spans="1:4">
      <c r="A3071" s="3" t="s">
        <v>423</v>
      </c>
      <c r="B3071" s="3" t="s">
        <v>424</v>
      </c>
      <c r="C3071">
        <v>2005</v>
      </c>
      <c r="D3071">
        <v>16000000</v>
      </c>
    </row>
    <row r="3072" spans="1:4">
      <c r="A3072" s="3" t="s">
        <v>423</v>
      </c>
      <c r="B3072" s="3" t="s">
        <v>424</v>
      </c>
      <c r="C3072">
        <v>2006</v>
      </c>
      <c r="D3072">
        <v>15000000</v>
      </c>
    </row>
    <row r="3073" spans="1:4">
      <c r="A3073" s="3" t="s">
        <v>423</v>
      </c>
      <c r="B3073" s="3" t="s">
        <v>424</v>
      </c>
      <c r="C3073">
        <v>2007</v>
      </c>
      <c r="D3073">
        <v>12000000</v>
      </c>
    </row>
    <row r="3074" spans="1:4">
      <c r="A3074" s="3" t="s">
        <v>423</v>
      </c>
      <c r="B3074" s="3" t="s">
        <v>424</v>
      </c>
      <c r="C3074">
        <v>2008</v>
      </c>
      <c r="D3074">
        <v>6000000</v>
      </c>
    </row>
    <row r="3075" spans="1:4">
      <c r="A3075" s="3" t="s">
        <v>423</v>
      </c>
      <c r="B3075" s="3" t="s">
        <v>424</v>
      </c>
      <c r="C3075">
        <v>2009</v>
      </c>
      <c r="D3075">
        <v>6000000</v>
      </c>
    </row>
    <row r="3076" spans="1:4">
      <c r="A3076" s="3" t="s">
        <v>423</v>
      </c>
      <c r="B3076" s="3" t="s">
        <v>424</v>
      </c>
      <c r="C3076">
        <v>2010</v>
      </c>
      <c r="D3076">
        <v>4000000</v>
      </c>
    </row>
    <row r="3077" spans="1:4">
      <c r="A3077" s="3" t="s">
        <v>423</v>
      </c>
      <c r="B3077" s="3" t="s">
        <v>424</v>
      </c>
      <c r="C3077">
        <v>2011</v>
      </c>
      <c r="D3077">
        <v>16000000</v>
      </c>
    </row>
    <row r="3078" spans="1:4">
      <c r="A3078" s="3" t="s">
        <v>423</v>
      </c>
      <c r="B3078" s="3" t="s">
        <v>424</v>
      </c>
      <c r="C3078">
        <v>2014</v>
      </c>
      <c r="D3078">
        <v>9000000</v>
      </c>
    </row>
    <row r="3079" spans="1:4">
      <c r="A3079" s="3" t="s">
        <v>423</v>
      </c>
      <c r="B3079" s="3" t="s">
        <v>424</v>
      </c>
      <c r="C3079">
        <v>2015</v>
      </c>
      <c r="D3079">
        <v>24000000</v>
      </c>
    </row>
    <row r="3080" spans="1:4">
      <c r="A3080" s="3" t="s">
        <v>423</v>
      </c>
      <c r="B3080" s="3" t="s">
        <v>424</v>
      </c>
      <c r="C3080">
        <v>2016</v>
      </c>
      <c r="D3080">
        <v>40000000</v>
      </c>
    </row>
    <row r="3081" spans="1:4">
      <c r="A3081" s="3" t="s">
        <v>423</v>
      </c>
      <c r="B3081" s="3" t="s">
        <v>424</v>
      </c>
      <c r="C3081">
        <v>2017</v>
      </c>
      <c r="D3081">
        <v>48000000</v>
      </c>
    </row>
    <row r="3082" spans="1:4">
      <c r="A3082" s="3" t="s">
        <v>423</v>
      </c>
      <c r="B3082" s="3" t="s">
        <v>424</v>
      </c>
      <c r="C3082">
        <v>2018</v>
      </c>
      <c r="D3082">
        <v>15000000</v>
      </c>
    </row>
    <row r="3083" spans="1:4">
      <c r="A3083" s="3" t="s">
        <v>423</v>
      </c>
      <c r="B3083" s="3" t="s">
        <v>424</v>
      </c>
      <c r="C3083">
        <v>2019</v>
      </c>
      <c r="D3083">
        <v>40000000</v>
      </c>
    </row>
    <row r="3084" spans="1:4">
      <c r="A3084" s="3" t="s">
        <v>423</v>
      </c>
      <c r="B3084" s="3" t="s">
        <v>424</v>
      </c>
      <c r="C3084">
        <v>2020</v>
      </c>
      <c r="D3084">
        <v>22000000</v>
      </c>
    </row>
    <row r="3085" spans="1:4">
      <c r="A3085" s="3" t="s">
        <v>423</v>
      </c>
      <c r="B3085" s="3" t="s">
        <v>424</v>
      </c>
      <c r="C3085">
        <v>2021</v>
      </c>
      <c r="D3085">
        <v>21000000</v>
      </c>
    </row>
    <row r="3086" spans="1:4">
      <c r="A3086" s="3" t="s">
        <v>423</v>
      </c>
      <c r="B3086" s="3" t="s">
        <v>424</v>
      </c>
      <c r="C3086">
        <v>2022</v>
      </c>
      <c r="D3086">
        <v>28000000</v>
      </c>
    </row>
    <row r="3087" spans="1:4">
      <c r="A3087" s="3" t="s">
        <v>423</v>
      </c>
      <c r="B3087" s="3" t="s">
        <v>424</v>
      </c>
      <c r="C3087">
        <v>2023</v>
      </c>
      <c r="D3087">
        <v>172000000</v>
      </c>
    </row>
    <row r="3088" spans="1:4">
      <c r="A3088" s="3" t="s">
        <v>423</v>
      </c>
      <c r="B3088" s="3" t="s">
        <v>424</v>
      </c>
      <c r="C3088">
        <v>2024</v>
      </c>
      <c r="D3088">
        <v>79000000</v>
      </c>
    </row>
    <row r="3089" spans="1:4">
      <c r="A3089" s="3" t="s">
        <v>425</v>
      </c>
      <c r="B3089" s="3" t="s">
        <v>426</v>
      </c>
      <c r="C3089">
        <v>2000</v>
      </c>
      <c r="D3089">
        <v>782000000</v>
      </c>
    </row>
    <row r="3090" spans="1:4">
      <c r="A3090" s="3" t="s">
        <v>425</v>
      </c>
      <c r="B3090" s="3" t="s">
        <v>426</v>
      </c>
      <c r="C3090">
        <v>2001</v>
      </c>
      <c r="D3090">
        <v>246000000</v>
      </c>
    </row>
    <row r="3091" spans="1:4">
      <c r="A3091" s="3" t="s">
        <v>425</v>
      </c>
      <c r="B3091" s="3" t="s">
        <v>426</v>
      </c>
      <c r="C3091">
        <v>2002</v>
      </c>
      <c r="D3091">
        <v>229000000</v>
      </c>
    </row>
    <row r="3092" spans="1:4">
      <c r="A3092" s="3" t="s">
        <v>425</v>
      </c>
      <c r="B3092" s="3" t="s">
        <v>426</v>
      </c>
      <c r="C3092">
        <v>2003</v>
      </c>
      <c r="D3092">
        <v>79000000</v>
      </c>
    </row>
    <row r="3093" spans="1:4">
      <c r="A3093" s="3" t="s">
        <v>425</v>
      </c>
      <c r="B3093" s="3" t="s">
        <v>426</v>
      </c>
      <c r="C3093">
        <v>2004</v>
      </c>
      <c r="D3093">
        <v>374000000</v>
      </c>
    </row>
    <row r="3094" spans="1:4">
      <c r="A3094" s="3" t="s">
        <v>425</v>
      </c>
      <c r="B3094" s="3" t="s">
        <v>426</v>
      </c>
      <c r="C3094">
        <v>2005</v>
      </c>
      <c r="D3094">
        <v>538000000</v>
      </c>
    </row>
    <row r="3095" spans="1:4">
      <c r="A3095" s="3" t="s">
        <v>425</v>
      </c>
      <c r="B3095" s="3" t="s">
        <v>426</v>
      </c>
      <c r="C3095">
        <v>2006</v>
      </c>
      <c r="D3095">
        <v>74000000</v>
      </c>
    </row>
    <row r="3096" spans="1:4">
      <c r="A3096" s="3" t="s">
        <v>425</v>
      </c>
      <c r="B3096" s="3" t="s">
        <v>426</v>
      </c>
      <c r="C3096">
        <v>2007</v>
      </c>
      <c r="D3096">
        <v>396000000</v>
      </c>
    </row>
    <row r="3097" spans="1:4">
      <c r="A3097" s="3" t="s">
        <v>425</v>
      </c>
      <c r="B3097" s="3" t="s">
        <v>426</v>
      </c>
      <c r="C3097">
        <v>2008</v>
      </c>
      <c r="D3097">
        <v>1106000000</v>
      </c>
    </row>
    <row r="3098" spans="1:4">
      <c r="A3098" s="3" t="s">
        <v>425</v>
      </c>
      <c r="B3098" s="3" t="s">
        <v>426</v>
      </c>
      <c r="C3098">
        <v>2009</v>
      </c>
      <c r="D3098">
        <v>1403000000</v>
      </c>
    </row>
    <row r="3099" spans="1:4">
      <c r="A3099" s="3" t="s">
        <v>425</v>
      </c>
      <c r="B3099" s="3" t="s">
        <v>426</v>
      </c>
      <c r="C3099">
        <v>2010</v>
      </c>
      <c r="D3099">
        <v>937000000</v>
      </c>
    </row>
    <row r="3100" spans="1:4">
      <c r="A3100" s="3" t="s">
        <v>425</v>
      </c>
      <c r="B3100" s="3" t="s">
        <v>426</v>
      </c>
      <c r="C3100">
        <v>2011</v>
      </c>
      <c r="D3100">
        <v>879000000</v>
      </c>
    </row>
    <row r="3101" spans="1:4">
      <c r="A3101" s="3" t="s">
        <v>425</v>
      </c>
      <c r="B3101" s="3" t="s">
        <v>426</v>
      </c>
      <c r="C3101">
        <v>2012</v>
      </c>
      <c r="D3101">
        <v>746000000</v>
      </c>
    </row>
    <row r="3102" spans="1:4">
      <c r="A3102" s="3" t="s">
        <v>425</v>
      </c>
      <c r="B3102" s="3" t="s">
        <v>426</v>
      </c>
      <c r="C3102">
        <v>2013</v>
      </c>
      <c r="D3102">
        <v>753000000</v>
      </c>
    </row>
    <row r="3103" spans="1:4">
      <c r="A3103" s="3" t="s">
        <v>425</v>
      </c>
      <c r="B3103" s="3" t="s">
        <v>426</v>
      </c>
      <c r="C3103">
        <v>2014</v>
      </c>
      <c r="D3103">
        <v>66000000</v>
      </c>
    </row>
    <row r="3104" spans="1:4">
      <c r="A3104" s="3" t="s">
        <v>425</v>
      </c>
      <c r="B3104" s="3" t="s">
        <v>426</v>
      </c>
      <c r="C3104">
        <v>2015</v>
      </c>
      <c r="D3104">
        <v>152000000</v>
      </c>
    </row>
    <row r="3105" spans="1:4">
      <c r="A3105" s="3" t="s">
        <v>425</v>
      </c>
      <c r="B3105" s="3" t="s">
        <v>426</v>
      </c>
      <c r="C3105">
        <v>2016</v>
      </c>
      <c r="D3105">
        <v>642000000</v>
      </c>
    </row>
    <row r="3106" spans="1:4">
      <c r="A3106" s="3" t="s">
        <v>425</v>
      </c>
      <c r="B3106" s="3" t="s">
        <v>426</v>
      </c>
      <c r="C3106">
        <v>2017</v>
      </c>
      <c r="D3106">
        <v>408000000</v>
      </c>
    </row>
    <row r="3107" spans="1:4">
      <c r="A3107" s="3" t="s">
        <v>425</v>
      </c>
      <c r="B3107" s="3" t="s">
        <v>426</v>
      </c>
      <c r="C3107">
        <v>2018</v>
      </c>
      <c r="D3107">
        <v>562000000</v>
      </c>
    </row>
    <row r="3108" spans="1:4">
      <c r="A3108" s="3" t="s">
        <v>425</v>
      </c>
      <c r="B3108" s="3" t="s">
        <v>426</v>
      </c>
      <c r="C3108">
        <v>2019</v>
      </c>
      <c r="D3108">
        <v>487000000</v>
      </c>
    </row>
    <row r="3109" spans="1:4">
      <c r="A3109" s="3" t="s">
        <v>425</v>
      </c>
      <c r="B3109" s="3" t="s">
        <v>426</v>
      </c>
      <c r="C3109">
        <v>2020</v>
      </c>
      <c r="D3109">
        <v>176000000</v>
      </c>
    </row>
    <row r="3110" spans="1:4">
      <c r="A3110" s="3" t="s">
        <v>425</v>
      </c>
      <c r="B3110" s="3" t="s">
        <v>426</v>
      </c>
      <c r="C3110">
        <v>2021</v>
      </c>
      <c r="D3110">
        <v>226000000</v>
      </c>
    </row>
    <row r="3111" spans="1:4">
      <c r="A3111" s="3" t="s">
        <v>425</v>
      </c>
      <c r="B3111" s="3" t="s">
        <v>426</v>
      </c>
      <c r="C3111">
        <v>2022</v>
      </c>
      <c r="D3111">
        <v>516000000</v>
      </c>
    </row>
    <row r="3112" spans="1:4">
      <c r="A3112" s="3" t="s">
        <v>425</v>
      </c>
      <c r="B3112" s="3" t="s">
        <v>426</v>
      </c>
      <c r="C3112">
        <v>2023</v>
      </c>
      <c r="D3112">
        <v>495000000</v>
      </c>
    </row>
    <row r="3113" spans="1:4">
      <c r="A3113" s="3" t="s">
        <v>425</v>
      </c>
      <c r="B3113" s="3" t="s">
        <v>426</v>
      </c>
      <c r="C3113">
        <v>2024</v>
      </c>
      <c r="D3113">
        <v>378000000</v>
      </c>
    </row>
    <row r="3114" spans="1:4">
      <c r="A3114" s="3" t="s">
        <v>427</v>
      </c>
      <c r="B3114" s="3" t="s">
        <v>428</v>
      </c>
      <c r="C3114">
        <v>2019</v>
      </c>
      <c r="D3114">
        <v>7000000</v>
      </c>
    </row>
    <row r="3115" spans="1:4">
      <c r="A3115" s="3" t="s">
        <v>427</v>
      </c>
      <c r="B3115" s="3" t="s">
        <v>428</v>
      </c>
      <c r="C3115">
        <v>2021</v>
      </c>
      <c r="D3115">
        <v>7000000</v>
      </c>
    </row>
    <row r="3116" spans="1:4">
      <c r="A3116" s="3" t="s">
        <v>429</v>
      </c>
      <c r="B3116" s="3" t="s">
        <v>430</v>
      </c>
      <c r="C3116">
        <v>2006</v>
      </c>
      <c r="D3116">
        <v>9000000</v>
      </c>
    </row>
    <row r="3117" spans="1:4">
      <c r="A3117" s="3" t="s">
        <v>429</v>
      </c>
      <c r="B3117" s="3" t="s">
        <v>430</v>
      </c>
      <c r="C3117">
        <v>2011</v>
      </c>
      <c r="D3117">
        <v>2000000</v>
      </c>
    </row>
    <row r="3118" spans="1:4">
      <c r="A3118" s="3" t="s">
        <v>429</v>
      </c>
      <c r="B3118" s="3" t="s">
        <v>430</v>
      </c>
      <c r="C3118">
        <v>2012</v>
      </c>
      <c r="D3118">
        <v>0</v>
      </c>
    </row>
    <row r="3119" spans="1:4">
      <c r="A3119" s="3" t="s">
        <v>429</v>
      </c>
      <c r="B3119" s="3" t="s">
        <v>430</v>
      </c>
      <c r="C3119">
        <v>2013</v>
      </c>
      <c r="D3119">
        <v>1000000</v>
      </c>
    </row>
    <row r="3120" spans="1:4">
      <c r="A3120" s="3" t="s">
        <v>429</v>
      </c>
      <c r="B3120" s="3" t="s">
        <v>430</v>
      </c>
      <c r="C3120">
        <v>2015</v>
      </c>
      <c r="D3120">
        <v>1000000</v>
      </c>
    </row>
    <row r="3121" spans="1:4">
      <c r="A3121" s="3" t="s">
        <v>429</v>
      </c>
      <c r="B3121" s="3" t="s">
        <v>430</v>
      </c>
      <c r="C3121">
        <v>2016</v>
      </c>
      <c r="D3121">
        <v>2000000</v>
      </c>
    </row>
    <row r="3122" spans="1:4">
      <c r="A3122" s="3" t="s">
        <v>431</v>
      </c>
      <c r="B3122" s="3" t="s">
        <v>432</v>
      </c>
      <c r="C3122">
        <v>2002</v>
      </c>
      <c r="D3122">
        <v>19000000</v>
      </c>
    </row>
    <row r="3123" spans="1:4">
      <c r="A3123" s="3" t="s">
        <v>431</v>
      </c>
      <c r="B3123" s="3" t="s">
        <v>432</v>
      </c>
      <c r="C3123">
        <v>2003</v>
      </c>
      <c r="D3123">
        <v>10000000</v>
      </c>
    </row>
    <row r="3124" spans="1:4">
      <c r="A3124" s="3" t="s">
        <v>431</v>
      </c>
      <c r="B3124" s="3" t="s">
        <v>432</v>
      </c>
      <c r="C3124">
        <v>2008</v>
      </c>
      <c r="D3124">
        <v>3000000</v>
      </c>
    </row>
    <row r="3125" spans="1:4">
      <c r="A3125" s="3" t="s">
        <v>431</v>
      </c>
      <c r="B3125" s="3" t="s">
        <v>432</v>
      </c>
      <c r="C3125">
        <v>2009</v>
      </c>
      <c r="D3125">
        <v>2000000</v>
      </c>
    </row>
    <row r="3126" spans="1:4">
      <c r="A3126" s="3" t="s">
        <v>431</v>
      </c>
      <c r="B3126" s="3" t="s">
        <v>432</v>
      </c>
      <c r="C3126">
        <v>2010</v>
      </c>
      <c r="D3126">
        <v>2000000</v>
      </c>
    </row>
    <row r="3127" spans="1:4">
      <c r="A3127" s="3" t="s">
        <v>431</v>
      </c>
      <c r="B3127" s="3" t="s">
        <v>432</v>
      </c>
      <c r="C3127">
        <v>2011</v>
      </c>
      <c r="D3127">
        <v>2000000</v>
      </c>
    </row>
    <row r="3128" spans="1:4">
      <c r="A3128" s="3" t="s">
        <v>431</v>
      </c>
      <c r="B3128" s="3" t="s">
        <v>432</v>
      </c>
      <c r="C3128">
        <v>2012</v>
      </c>
      <c r="D3128">
        <v>4000000</v>
      </c>
    </row>
    <row r="3129" spans="1:4">
      <c r="A3129" s="3" t="s">
        <v>431</v>
      </c>
      <c r="B3129" s="3" t="s">
        <v>432</v>
      </c>
      <c r="C3129">
        <v>2013</v>
      </c>
      <c r="D3129">
        <v>1000000</v>
      </c>
    </row>
    <row r="3130" spans="1:4">
      <c r="A3130" s="3" t="s">
        <v>431</v>
      </c>
      <c r="B3130" s="3" t="s">
        <v>432</v>
      </c>
      <c r="C3130">
        <v>2014</v>
      </c>
      <c r="D3130">
        <v>21000000</v>
      </c>
    </row>
    <row r="3131" spans="1:4">
      <c r="A3131" s="3" t="s">
        <v>431</v>
      </c>
      <c r="B3131" s="3" t="s">
        <v>432</v>
      </c>
      <c r="C3131">
        <v>2017</v>
      </c>
      <c r="D3131">
        <v>1000000</v>
      </c>
    </row>
    <row r="3132" spans="1:4">
      <c r="A3132" s="3" t="s">
        <v>431</v>
      </c>
      <c r="B3132" s="3" t="s">
        <v>432</v>
      </c>
      <c r="C3132">
        <v>2018</v>
      </c>
      <c r="D3132">
        <v>1000000</v>
      </c>
    </row>
    <row r="3133" spans="1:4">
      <c r="A3133" s="3" t="s">
        <v>431</v>
      </c>
      <c r="B3133" s="3" t="s">
        <v>432</v>
      </c>
      <c r="C3133">
        <v>2019</v>
      </c>
      <c r="D3133">
        <v>2000000</v>
      </c>
    </row>
    <row r="3134" spans="1:4">
      <c r="A3134" s="3" t="s">
        <v>431</v>
      </c>
      <c r="B3134" s="3" t="s">
        <v>432</v>
      </c>
      <c r="C3134">
        <v>2020</v>
      </c>
      <c r="D3134">
        <v>4000000</v>
      </c>
    </row>
    <row r="3135" spans="1:4">
      <c r="A3135" s="3" t="s">
        <v>431</v>
      </c>
      <c r="B3135" s="3" t="s">
        <v>432</v>
      </c>
      <c r="C3135">
        <v>2021</v>
      </c>
      <c r="D3135">
        <v>4000000</v>
      </c>
    </row>
    <row r="3136" spans="1:4">
      <c r="A3136" s="3" t="s">
        <v>431</v>
      </c>
      <c r="B3136" s="3" t="s">
        <v>432</v>
      </c>
      <c r="C3136">
        <v>2022</v>
      </c>
      <c r="D3136">
        <v>7000000</v>
      </c>
    </row>
    <row r="3137" spans="1:4">
      <c r="A3137" s="3" t="s">
        <v>431</v>
      </c>
      <c r="B3137" s="3" t="s">
        <v>432</v>
      </c>
      <c r="C3137">
        <v>2023</v>
      </c>
      <c r="D3137">
        <v>4000000</v>
      </c>
    </row>
    <row r="3138" spans="1:4">
      <c r="A3138" s="3" t="s">
        <v>431</v>
      </c>
      <c r="B3138" s="3" t="s">
        <v>432</v>
      </c>
      <c r="C3138">
        <v>2024</v>
      </c>
      <c r="D3138">
        <v>0</v>
      </c>
    </row>
    <row r="3139" spans="1:4">
      <c r="A3139" s="3" t="s">
        <v>435</v>
      </c>
      <c r="B3139" s="3" t="s">
        <v>436</v>
      </c>
      <c r="C3139">
        <v>2013</v>
      </c>
      <c r="D3139">
        <v>3000000</v>
      </c>
    </row>
    <row r="3140" spans="1:4">
      <c r="A3140" s="3" t="s">
        <v>435</v>
      </c>
      <c r="B3140" s="3" t="s">
        <v>436</v>
      </c>
      <c r="C3140">
        <v>2015</v>
      </c>
      <c r="D3140">
        <v>1000000</v>
      </c>
    </row>
    <row r="3141" spans="1:4">
      <c r="A3141" s="3" t="s">
        <v>435</v>
      </c>
      <c r="B3141" s="3" t="s">
        <v>436</v>
      </c>
      <c r="C3141">
        <v>2016</v>
      </c>
      <c r="D3141">
        <v>2000000</v>
      </c>
    </row>
    <row r="3142" spans="1:4">
      <c r="A3142" s="3" t="s">
        <v>435</v>
      </c>
      <c r="B3142" s="3" t="s">
        <v>436</v>
      </c>
      <c r="C3142">
        <v>2017</v>
      </c>
      <c r="D3142">
        <v>2000000</v>
      </c>
    </row>
    <row r="3143" spans="1:4">
      <c r="A3143" s="3" t="s">
        <v>435</v>
      </c>
      <c r="B3143" s="3" t="s">
        <v>436</v>
      </c>
      <c r="C3143">
        <v>2019</v>
      </c>
      <c r="D3143">
        <v>8000000</v>
      </c>
    </row>
    <row r="3144" spans="1:4">
      <c r="A3144" s="3" t="s">
        <v>435</v>
      </c>
      <c r="B3144" s="3" t="s">
        <v>436</v>
      </c>
      <c r="C3144">
        <v>2020</v>
      </c>
      <c r="D3144">
        <v>2000000</v>
      </c>
    </row>
    <row r="3145" spans="1:4">
      <c r="A3145" s="3" t="s">
        <v>435</v>
      </c>
      <c r="B3145" s="3" t="s">
        <v>436</v>
      </c>
      <c r="C3145">
        <v>2021</v>
      </c>
      <c r="D3145">
        <v>2000000</v>
      </c>
    </row>
    <row r="3146" spans="1:4">
      <c r="A3146" s="3" t="s">
        <v>435</v>
      </c>
      <c r="B3146" s="3" t="s">
        <v>436</v>
      </c>
      <c r="C3146">
        <v>2023</v>
      </c>
      <c r="D3146">
        <v>4000000</v>
      </c>
    </row>
    <row r="3147" spans="1:4">
      <c r="A3147" s="3" t="s">
        <v>435</v>
      </c>
      <c r="B3147" s="3" t="s">
        <v>436</v>
      </c>
      <c r="C3147">
        <v>2024</v>
      </c>
      <c r="D3147">
        <v>4000000</v>
      </c>
    </row>
    <row r="3148" spans="1:4">
      <c r="A3148" s="3" t="s">
        <v>437</v>
      </c>
      <c r="B3148" s="3" t="s">
        <v>438</v>
      </c>
      <c r="C3148">
        <v>2000</v>
      </c>
      <c r="D3148">
        <v>1000000</v>
      </c>
    </row>
    <row r="3149" spans="1:4">
      <c r="A3149" s="3" t="s">
        <v>437</v>
      </c>
      <c r="B3149" s="3" t="s">
        <v>438</v>
      </c>
      <c r="C3149">
        <v>2001</v>
      </c>
      <c r="D3149">
        <v>27000000</v>
      </c>
    </row>
    <row r="3150" spans="1:4">
      <c r="A3150" s="3" t="s">
        <v>437</v>
      </c>
      <c r="B3150" s="3" t="s">
        <v>438</v>
      </c>
      <c r="C3150">
        <v>2010</v>
      </c>
      <c r="D3150">
        <v>16000000</v>
      </c>
    </row>
    <row r="3151" spans="1:4">
      <c r="A3151" s="3" t="s">
        <v>437</v>
      </c>
      <c r="B3151" s="3" t="s">
        <v>438</v>
      </c>
      <c r="C3151">
        <v>2012</v>
      </c>
      <c r="D3151">
        <v>0</v>
      </c>
    </row>
    <row r="3152" spans="1:4">
      <c r="A3152" s="3" t="s">
        <v>437</v>
      </c>
      <c r="B3152" s="3" t="s">
        <v>438</v>
      </c>
      <c r="C3152">
        <v>2016</v>
      </c>
      <c r="D3152">
        <v>23000000</v>
      </c>
    </row>
    <row r="3153" spans="1:4">
      <c r="A3153" s="3" t="s">
        <v>437</v>
      </c>
      <c r="B3153" s="3" t="s">
        <v>438</v>
      </c>
      <c r="C3153">
        <v>2017</v>
      </c>
      <c r="D3153">
        <v>65000000</v>
      </c>
    </row>
    <row r="3154" spans="1:4">
      <c r="A3154" s="3" t="s">
        <v>437</v>
      </c>
      <c r="B3154" s="3" t="s">
        <v>438</v>
      </c>
      <c r="C3154">
        <v>2018</v>
      </c>
      <c r="D3154">
        <v>4000000</v>
      </c>
    </row>
    <row r="3155" spans="1:4">
      <c r="A3155" s="3" t="s">
        <v>437</v>
      </c>
      <c r="B3155" s="3" t="s">
        <v>438</v>
      </c>
      <c r="C3155">
        <v>2019</v>
      </c>
      <c r="D3155">
        <v>84000000</v>
      </c>
    </row>
    <row r="3156" spans="1:4">
      <c r="A3156" s="3" t="s">
        <v>437</v>
      </c>
      <c r="B3156" s="3" t="s">
        <v>438</v>
      </c>
      <c r="C3156">
        <v>2020</v>
      </c>
      <c r="D3156">
        <v>147000000</v>
      </c>
    </row>
    <row r="3157" spans="1:4">
      <c r="A3157" s="3" t="s">
        <v>437</v>
      </c>
      <c r="B3157" s="3" t="s">
        <v>438</v>
      </c>
      <c r="C3157">
        <v>2021</v>
      </c>
      <c r="D3157">
        <v>117000000</v>
      </c>
    </row>
    <row r="3158" spans="1:4">
      <c r="A3158" s="3" t="s">
        <v>437</v>
      </c>
      <c r="B3158" s="3" t="s">
        <v>438</v>
      </c>
      <c r="C3158">
        <v>2022</v>
      </c>
      <c r="D3158">
        <v>164000000</v>
      </c>
    </row>
    <row r="3159" spans="1:4">
      <c r="A3159" s="3" t="s">
        <v>437</v>
      </c>
      <c r="B3159" s="3" t="s">
        <v>438</v>
      </c>
      <c r="C3159">
        <v>2023</v>
      </c>
      <c r="D3159">
        <v>370000000</v>
      </c>
    </row>
    <row r="3160" spans="1:4">
      <c r="A3160" s="3" t="s">
        <v>437</v>
      </c>
      <c r="B3160" s="3" t="s">
        <v>438</v>
      </c>
      <c r="C3160">
        <v>2024</v>
      </c>
      <c r="D3160">
        <v>155000000</v>
      </c>
    </row>
    <row r="3161" spans="1:4">
      <c r="A3161" s="3" t="s">
        <v>439</v>
      </c>
      <c r="B3161" s="3" t="s">
        <v>440</v>
      </c>
      <c r="C3161">
        <v>2000</v>
      </c>
      <c r="D3161">
        <v>633000000</v>
      </c>
    </row>
    <row r="3162" spans="1:4">
      <c r="A3162" s="3" t="s">
        <v>439</v>
      </c>
      <c r="B3162" s="3" t="s">
        <v>440</v>
      </c>
      <c r="C3162">
        <v>2001</v>
      </c>
      <c r="D3162">
        <v>459000000</v>
      </c>
    </row>
    <row r="3163" spans="1:4">
      <c r="A3163" s="3" t="s">
        <v>439</v>
      </c>
      <c r="B3163" s="3" t="s">
        <v>440</v>
      </c>
      <c r="C3163">
        <v>2006</v>
      </c>
      <c r="D3163">
        <v>1137000000</v>
      </c>
    </row>
    <row r="3164" spans="1:4">
      <c r="A3164" s="3" t="s">
        <v>439</v>
      </c>
      <c r="B3164" s="3" t="s">
        <v>440</v>
      </c>
      <c r="C3164">
        <v>2007</v>
      </c>
      <c r="D3164">
        <v>1262000000</v>
      </c>
    </row>
    <row r="3165" spans="1:4">
      <c r="A3165" s="3" t="s">
        <v>439</v>
      </c>
      <c r="B3165" s="3" t="s">
        <v>440</v>
      </c>
      <c r="C3165">
        <v>2008</v>
      </c>
      <c r="D3165">
        <v>932000000</v>
      </c>
    </row>
    <row r="3166" spans="1:4">
      <c r="A3166" s="3" t="s">
        <v>439</v>
      </c>
      <c r="B3166" s="3" t="s">
        <v>440</v>
      </c>
      <c r="C3166">
        <v>2009</v>
      </c>
      <c r="D3166">
        <v>639000000</v>
      </c>
    </row>
    <row r="3167" spans="1:4">
      <c r="A3167" s="3" t="s">
        <v>439</v>
      </c>
      <c r="B3167" s="3" t="s">
        <v>440</v>
      </c>
      <c r="C3167">
        <v>2010</v>
      </c>
      <c r="D3167">
        <v>1105000000</v>
      </c>
    </row>
    <row r="3168" spans="1:4">
      <c r="A3168" s="3" t="s">
        <v>439</v>
      </c>
      <c r="B3168" s="3" t="s">
        <v>440</v>
      </c>
      <c r="C3168">
        <v>2011</v>
      </c>
      <c r="D3168">
        <v>1376000000</v>
      </c>
    </row>
    <row r="3169" spans="1:4">
      <c r="A3169" s="3" t="s">
        <v>439</v>
      </c>
      <c r="B3169" s="3" t="s">
        <v>440</v>
      </c>
      <c r="C3169">
        <v>2012</v>
      </c>
      <c r="D3169">
        <v>1212000000</v>
      </c>
    </row>
    <row r="3170" spans="1:4">
      <c r="A3170" s="3" t="s">
        <v>439</v>
      </c>
      <c r="B3170" s="3" t="s">
        <v>440</v>
      </c>
      <c r="C3170">
        <v>2013</v>
      </c>
      <c r="D3170">
        <v>895000000</v>
      </c>
    </row>
    <row r="3171" spans="1:4">
      <c r="A3171" s="3" t="s">
        <v>439</v>
      </c>
      <c r="B3171" s="3" t="s">
        <v>440</v>
      </c>
      <c r="C3171">
        <v>2014</v>
      </c>
      <c r="D3171">
        <v>872000000</v>
      </c>
    </row>
    <row r="3172" spans="1:4">
      <c r="A3172" s="3" t="s">
        <v>439</v>
      </c>
      <c r="B3172" s="3" t="s">
        <v>440</v>
      </c>
      <c r="C3172">
        <v>2015</v>
      </c>
      <c r="D3172">
        <v>595000000</v>
      </c>
    </row>
    <row r="3173" spans="1:4">
      <c r="A3173" s="3" t="s">
        <v>439</v>
      </c>
      <c r="B3173" s="3" t="s">
        <v>440</v>
      </c>
      <c r="C3173">
        <v>2016</v>
      </c>
      <c r="D3173">
        <v>779000000</v>
      </c>
    </row>
    <row r="3174" spans="1:4">
      <c r="A3174" s="3" t="s">
        <v>439</v>
      </c>
      <c r="B3174" s="3" t="s">
        <v>440</v>
      </c>
      <c r="C3174">
        <v>2022</v>
      </c>
      <c r="D3174">
        <v>583000000</v>
      </c>
    </row>
    <row r="3175" spans="1:4">
      <c r="A3175" s="3" t="s">
        <v>439</v>
      </c>
      <c r="B3175" s="3" t="s">
        <v>440</v>
      </c>
      <c r="C3175">
        <v>2023</v>
      </c>
      <c r="D3175">
        <v>753000000</v>
      </c>
    </row>
    <row r="3176" spans="1:4">
      <c r="A3176" s="3" t="s">
        <v>441</v>
      </c>
      <c r="B3176" s="3" t="s">
        <v>442</v>
      </c>
      <c r="C3176">
        <v>2007</v>
      </c>
      <c r="D3176">
        <v>37000000</v>
      </c>
    </row>
    <row r="3177" spans="1:4">
      <c r="A3177" s="3" t="s">
        <v>441</v>
      </c>
      <c r="B3177" s="3" t="s">
        <v>442</v>
      </c>
      <c r="C3177">
        <v>2008</v>
      </c>
      <c r="D3177">
        <v>44000000</v>
      </c>
    </row>
    <row r="3178" spans="1:4">
      <c r="A3178" s="3" t="s">
        <v>441</v>
      </c>
      <c r="B3178" s="3" t="s">
        <v>442</v>
      </c>
      <c r="C3178">
        <v>2009</v>
      </c>
      <c r="D3178">
        <v>1000000</v>
      </c>
    </row>
    <row r="3179" spans="1:4">
      <c r="A3179" s="3" t="s">
        <v>441</v>
      </c>
      <c r="B3179" s="3" t="s">
        <v>442</v>
      </c>
      <c r="C3179">
        <v>2010</v>
      </c>
      <c r="D3179">
        <v>2000000</v>
      </c>
    </row>
    <row r="3180" spans="1:4">
      <c r="A3180" s="3" t="s">
        <v>441</v>
      </c>
      <c r="B3180" s="3" t="s">
        <v>442</v>
      </c>
      <c r="C3180">
        <v>2011</v>
      </c>
      <c r="D3180">
        <v>65000000</v>
      </c>
    </row>
    <row r="3181" spans="1:4">
      <c r="A3181" s="3" t="s">
        <v>441</v>
      </c>
      <c r="B3181" s="3" t="s">
        <v>442</v>
      </c>
      <c r="C3181">
        <v>2012</v>
      </c>
      <c r="D3181">
        <v>2000000</v>
      </c>
    </row>
    <row r="3182" spans="1:4">
      <c r="A3182" s="3" t="s">
        <v>441</v>
      </c>
      <c r="B3182" s="3" t="s">
        <v>442</v>
      </c>
      <c r="C3182">
        <v>2013</v>
      </c>
      <c r="D3182">
        <v>13000000</v>
      </c>
    </row>
    <row r="3183" spans="1:4">
      <c r="A3183" s="3" t="s">
        <v>441</v>
      </c>
      <c r="B3183" s="3" t="s">
        <v>442</v>
      </c>
      <c r="C3183">
        <v>2014</v>
      </c>
      <c r="D3183">
        <v>41000000</v>
      </c>
    </row>
    <row r="3184" spans="1:4">
      <c r="A3184" s="3" t="s">
        <v>441</v>
      </c>
      <c r="B3184" s="3" t="s">
        <v>442</v>
      </c>
      <c r="C3184">
        <v>2015</v>
      </c>
      <c r="D3184">
        <v>19000000</v>
      </c>
    </row>
    <row r="3185" spans="1:4">
      <c r="A3185" s="3" t="s">
        <v>441</v>
      </c>
      <c r="B3185" s="3" t="s">
        <v>442</v>
      </c>
      <c r="C3185">
        <v>2016</v>
      </c>
      <c r="D3185">
        <v>8000000</v>
      </c>
    </row>
    <row r="3186" spans="1:4">
      <c r="A3186" s="3" t="s">
        <v>441</v>
      </c>
      <c r="B3186" s="3" t="s">
        <v>442</v>
      </c>
      <c r="C3186">
        <v>2021</v>
      </c>
      <c r="D3186">
        <v>8000000</v>
      </c>
    </row>
    <row r="3187" spans="1:4">
      <c r="A3187" s="3" t="s">
        <v>441</v>
      </c>
      <c r="B3187" s="3" t="s">
        <v>442</v>
      </c>
      <c r="C3187">
        <v>2022</v>
      </c>
      <c r="D3187">
        <v>10000000</v>
      </c>
    </row>
    <row r="3188" spans="1:4">
      <c r="A3188" s="3" t="s">
        <v>443</v>
      </c>
      <c r="B3188" s="3" t="s">
        <v>444</v>
      </c>
      <c r="C3188">
        <v>2000</v>
      </c>
      <c r="D3188">
        <v>633000000</v>
      </c>
    </row>
    <row r="3189" spans="1:4">
      <c r="A3189" s="3" t="s">
        <v>443</v>
      </c>
      <c r="B3189" s="3" t="s">
        <v>444</v>
      </c>
      <c r="C3189">
        <v>2001</v>
      </c>
      <c r="D3189">
        <v>459000000</v>
      </c>
    </row>
    <row r="3190" spans="1:4">
      <c r="A3190" s="3" t="s">
        <v>443</v>
      </c>
      <c r="B3190" s="3" t="s">
        <v>444</v>
      </c>
      <c r="C3190">
        <v>2006</v>
      </c>
      <c r="D3190">
        <v>1137000000</v>
      </c>
    </row>
    <row r="3191" spans="1:4">
      <c r="A3191" s="3" t="s">
        <v>443</v>
      </c>
      <c r="B3191" s="3" t="s">
        <v>444</v>
      </c>
      <c r="C3191">
        <v>2007</v>
      </c>
      <c r="D3191">
        <v>1262000000</v>
      </c>
    </row>
    <row r="3192" spans="1:4">
      <c r="A3192" s="3" t="s">
        <v>443</v>
      </c>
      <c r="B3192" s="3" t="s">
        <v>444</v>
      </c>
      <c r="C3192">
        <v>2008</v>
      </c>
      <c r="D3192">
        <v>932000000</v>
      </c>
    </row>
    <row r="3193" spans="1:4">
      <c r="A3193" s="3" t="s">
        <v>443</v>
      </c>
      <c r="B3193" s="3" t="s">
        <v>444</v>
      </c>
      <c r="C3193">
        <v>2009</v>
      </c>
      <c r="D3193">
        <v>639000000</v>
      </c>
    </row>
    <row r="3194" spans="1:4">
      <c r="A3194" s="3" t="s">
        <v>443</v>
      </c>
      <c r="B3194" s="3" t="s">
        <v>444</v>
      </c>
      <c r="C3194">
        <v>2010</v>
      </c>
      <c r="D3194">
        <v>1105000000</v>
      </c>
    </row>
    <row r="3195" spans="1:4">
      <c r="A3195" s="3" t="s">
        <v>443</v>
      </c>
      <c r="B3195" s="3" t="s">
        <v>444</v>
      </c>
      <c r="C3195">
        <v>2011</v>
      </c>
      <c r="D3195">
        <v>1384000000</v>
      </c>
    </row>
    <row r="3196" spans="1:4">
      <c r="A3196" s="3" t="s">
        <v>443</v>
      </c>
      <c r="B3196" s="3" t="s">
        <v>444</v>
      </c>
      <c r="C3196">
        <v>2012</v>
      </c>
      <c r="D3196">
        <v>1212000000</v>
      </c>
    </row>
    <row r="3197" spans="1:4">
      <c r="A3197" s="3" t="s">
        <v>443</v>
      </c>
      <c r="B3197" s="3" t="s">
        <v>444</v>
      </c>
      <c r="C3197">
        <v>2013</v>
      </c>
      <c r="D3197">
        <v>905000000</v>
      </c>
    </row>
    <row r="3198" spans="1:4">
      <c r="A3198" s="3" t="s">
        <v>443</v>
      </c>
      <c r="B3198" s="3" t="s">
        <v>444</v>
      </c>
      <c r="C3198">
        <v>2014</v>
      </c>
      <c r="D3198">
        <v>888000000</v>
      </c>
    </row>
    <row r="3199" spans="1:4">
      <c r="A3199" s="3" t="s">
        <v>443</v>
      </c>
      <c r="B3199" s="3" t="s">
        <v>444</v>
      </c>
      <c r="C3199">
        <v>2015</v>
      </c>
      <c r="D3199">
        <v>595000000</v>
      </c>
    </row>
    <row r="3200" spans="1:4">
      <c r="A3200" s="3" t="s">
        <v>443</v>
      </c>
      <c r="B3200" s="3" t="s">
        <v>444</v>
      </c>
      <c r="C3200">
        <v>2016</v>
      </c>
      <c r="D3200">
        <v>787000000</v>
      </c>
    </row>
    <row r="3201" spans="1:4">
      <c r="A3201" s="3" t="s">
        <v>443</v>
      </c>
      <c r="B3201" s="3" t="s">
        <v>444</v>
      </c>
      <c r="C3201">
        <v>2022</v>
      </c>
      <c r="D3201">
        <v>583000000</v>
      </c>
    </row>
    <row r="3202" spans="1:4">
      <c r="A3202" s="3" t="s">
        <v>443</v>
      </c>
      <c r="B3202" s="3" t="s">
        <v>444</v>
      </c>
      <c r="C3202">
        <v>2023</v>
      </c>
      <c r="D3202">
        <v>753000000</v>
      </c>
    </row>
    <row r="3203" spans="1:4">
      <c r="A3203" s="3" t="s">
        <v>445</v>
      </c>
      <c r="B3203" s="3" t="s">
        <v>446</v>
      </c>
      <c r="C3203">
        <v>2011</v>
      </c>
      <c r="D3203">
        <v>363000000</v>
      </c>
    </row>
    <row r="3204" spans="1:4">
      <c r="A3204" s="3" t="s">
        <v>445</v>
      </c>
      <c r="B3204" s="3" t="s">
        <v>446</v>
      </c>
      <c r="C3204">
        <v>2012</v>
      </c>
      <c r="D3204">
        <v>65000000</v>
      </c>
    </row>
    <row r="3205" spans="1:4">
      <c r="A3205" s="3" t="s">
        <v>445</v>
      </c>
      <c r="B3205" s="3" t="s">
        <v>446</v>
      </c>
      <c r="C3205">
        <v>2017</v>
      </c>
      <c r="D3205">
        <v>106000000</v>
      </c>
    </row>
    <row r="3206" spans="1:4">
      <c r="A3206" s="3" t="s">
        <v>445</v>
      </c>
      <c r="B3206" s="3" t="s">
        <v>446</v>
      </c>
      <c r="C3206">
        <v>2023</v>
      </c>
      <c r="D3206">
        <v>100000000</v>
      </c>
    </row>
    <row r="3207" spans="1:4">
      <c r="A3207" s="3" t="s">
        <v>449</v>
      </c>
      <c r="B3207" s="3" t="s">
        <v>450</v>
      </c>
      <c r="C3207">
        <v>2000</v>
      </c>
      <c r="D3207">
        <v>2000000</v>
      </c>
    </row>
    <row r="3208" spans="1:4">
      <c r="A3208" s="3" t="s">
        <v>449</v>
      </c>
      <c r="B3208" s="3" t="s">
        <v>450</v>
      </c>
      <c r="C3208">
        <v>2012</v>
      </c>
      <c r="D3208">
        <v>0</v>
      </c>
    </row>
    <row r="3209" spans="1:4">
      <c r="A3209" s="3" t="s">
        <v>449</v>
      </c>
      <c r="B3209" s="3" t="s">
        <v>450</v>
      </c>
      <c r="C3209">
        <v>2013</v>
      </c>
      <c r="D3209">
        <v>7000000</v>
      </c>
    </row>
    <row r="3210" spans="1:4">
      <c r="A3210" s="3" t="s">
        <v>449</v>
      </c>
      <c r="B3210" s="3" t="s">
        <v>450</v>
      </c>
      <c r="C3210">
        <v>2015</v>
      </c>
      <c r="D3210">
        <v>3000000</v>
      </c>
    </row>
    <row r="3211" spans="1:4">
      <c r="A3211" s="3" t="s">
        <v>449</v>
      </c>
      <c r="B3211" s="3" t="s">
        <v>450</v>
      </c>
      <c r="C3211">
        <v>2024</v>
      </c>
      <c r="D3211">
        <v>12000000</v>
      </c>
    </row>
    <row r="3212" spans="1:4">
      <c r="A3212" s="3" t="s">
        <v>451</v>
      </c>
      <c r="B3212" s="3" t="s">
        <v>452</v>
      </c>
      <c r="C3212">
        <v>2000</v>
      </c>
      <c r="D3212">
        <v>1000000</v>
      </c>
    </row>
    <row r="3213" spans="1:4">
      <c r="A3213" s="3" t="s">
        <v>451</v>
      </c>
      <c r="B3213" s="3" t="s">
        <v>452</v>
      </c>
      <c r="C3213">
        <v>2002</v>
      </c>
      <c r="D3213">
        <v>29000000</v>
      </c>
    </row>
    <row r="3214" spans="1:4">
      <c r="A3214" s="3" t="s">
        <v>451</v>
      </c>
      <c r="B3214" s="3" t="s">
        <v>452</v>
      </c>
      <c r="C3214">
        <v>2004</v>
      </c>
      <c r="D3214">
        <v>1000000</v>
      </c>
    </row>
    <row r="3215" spans="1:4">
      <c r="A3215" s="3" t="s">
        <v>451</v>
      </c>
      <c r="B3215" s="3" t="s">
        <v>452</v>
      </c>
      <c r="C3215">
        <v>2005</v>
      </c>
      <c r="D3215">
        <v>4000000</v>
      </c>
    </row>
    <row r="3216" spans="1:4">
      <c r="A3216" s="3" t="s">
        <v>451</v>
      </c>
      <c r="B3216" s="3" t="s">
        <v>452</v>
      </c>
      <c r="C3216">
        <v>2007</v>
      </c>
      <c r="D3216">
        <v>0</v>
      </c>
    </row>
    <row r="3217" spans="1:4">
      <c r="A3217" s="3" t="s">
        <v>451</v>
      </c>
      <c r="B3217" s="3" t="s">
        <v>452</v>
      </c>
      <c r="C3217">
        <v>2008</v>
      </c>
      <c r="D3217">
        <v>0</v>
      </c>
    </row>
    <row r="3218" spans="1:4">
      <c r="A3218" s="3" t="s">
        <v>451</v>
      </c>
      <c r="B3218" s="3" t="s">
        <v>452</v>
      </c>
      <c r="C3218">
        <v>2009</v>
      </c>
      <c r="D3218">
        <v>10000000</v>
      </c>
    </row>
    <row r="3219" spans="1:4">
      <c r="A3219" s="3" t="s">
        <v>451</v>
      </c>
      <c r="B3219" s="3" t="s">
        <v>452</v>
      </c>
      <c r="C3219">
        <v>2010</v>
      </c>
      <c r="D3219">
        <v>9000000</v>
      </c>
    </row>
    <row r="3220" spans="1:4">
      <c r="A3220" s="3" t="s">
        <v>451</v>
      </c>
      <c r="B3220" s="3" t="s">
        <v>452</v>
      </c>
      <c r="C3220">
        <v>2012</v>
      </c>
      <c r="D3220">
        <v>2000000</v>
      </c>
    </row>
    <row r="3221" spans="1:4">
      <c r="A3221" s="3" t="s">
        <v>451</v>
      </c>
      <c r="B3221" s="3" t="s">
        <v>452</v>
      </c>
      <c r="C3221">
        <v>2013</v>
      </c>
      <c r="D3221">
        <v>5000000</v>
      </c>
    </row>
    <row r="3222" spans="1:4">
      <c r="A3222" s="3" t="s">
        <v>451</v>
      </c>
      <c r="B3222" s="3" t="s">
        <v>452</v>
      </c>
      <c r="C3222">
        <v>2017</v>
      </c>
      <c r="D3222">
        <v>47000000</v>
      </c>
    </row>
    <row r="3223" spans="1:4">
      <c r="A3223" s="3" t="s">
        <v>451</v>
      </c>
      <c r="B3223" s="3" t="s">
        <v>452</v>
      </c>
      <c r="C3223">
        <v>2018</v>
      </c>
      <c r="D3223">
        <v>34000000</v>
      </c>
    </row>
    <row r="3224" spans="1:4">
      <c r="A3224" s="3" t="s">
        <v>451</v>
      </c>
      <c r="B3224" s="3" t="s">
        <v>452</v>
      </c>
      <c r="C3224">
        <v>2019</v>
      </c>
      <c r="D3224">
        <v>15000000</v>
      </c>
    </row>
    <row r="3225" spans="1:4">
      <c r="A3225" s="3" t="s">
        <v>451</v>
      </c>
      <c r="B3225" s="3" t="s">
        <v>452</v>
      </c>
      <c r="C3225">
        <v>2020</v>
      </c>
      <c r="D3225">
        <v>25000000</v>
      </c>
    </row>
    <row r="3226" spans="1:4">
      <c r="A3226" s="3" t="s">
        <v>451</v>
      </c>
      <c r="B3226" s="3" t="s">
        <v>452</v>
      </c>
      <c r="C3226">
        <v>2021</v>
      </c>
      <c r="D3226">
        <v>1000000</v>
      </c>
    </row>
    <row r="3227" spans="1:4">
      <c r="A3227" s="3" t="s">
        <v>451</v>
      </c>
      <c r="B3227" s="3" t="s">
        <v>452</v>
      </c>
      <c r="C3227">
        <v>2022</v>
      </c>
      <c r="D3227">
        <v>3000000</v>
      </c>
    </row>
    <row r="3228" spans="1:4">
      <c r="A3228" s="3" t="s">
        <v>451</v>
      </c>
      <c r="B3228" s="3" t="s">
        <v>452</v>
      </c>
      <c r="C3228">
        <v>2023</v>
      </c>
      <c r="D3228">
        <v>30000000</v>
      </c>
    </row>
    <row r="3229" spans="1:4">
      <c r="A3229" s="3" t="s">
        <v>451</v>
      </c>
      <c r="B3229" s="3" t="s">
        <v>452</v>
      </c>
      <c r="C3229">
        <v>2024</v>
      </c>
      <c r="D3229">
        <v>181000000</v>
      </c>
    </row>
    <row r="3230" spans="1:4">
      <c r="A3230" s="3" t="s">
        <v>453</v>
      </c>
      <c r="B3230" s="3" t="s">
        <v>454</v>
      </c>
      <c r="C3230">
        <v>2000</v>
      </c>
      <c r="D3230">
        <v>2000000</v>
      </c>
    </row>
    <row r="3231" spans="1:4">
      <c r="A3231" s="3" t="s">
        <v>453</v>
      </c>
      <c r="B3231" s="3" t="s">
        <v>454</v>
      </c>
      <c r="C3231">
        <v>2001</v>
      </c>
      <c r="D3231">
        <v>41000000</v>
      </c>
    </row>
    <row r="3232" spans="1:4">
      <c r="A3232" s="3" t="s">
        <v>453</v>
      </c>
      <c r="B3232" s="3" t="s">
        <v>454</v>
      </c>
      <c r="C3232">
        <v>2002</v>
      </c>
      <c r="D3232">
        <v>2000000</v>
      </c>
    </row>
    <row r="3233" spans="1:4">
      <c r="A3233" s="3" t="s">
        <v>453</v>
      </c>
      <c r="B3233" s="3" t="s">
        <v>454</v>
      </c>
      <c r="C3233">
        <v>2003</v>
      </c>
      <c r="D3233">
        <v>17000000</v>
      </c>
    </row>
    <row r="3234" spans="1:4">
      <c r="A3234" s="3" t="s">
        <v>453</v>
      </c>
      <c r="B3234" s="3" t="s">
        <v>454</v>
      </c>
      <c r="C3234">
        <v>2004</v>
      </c>
      <c r="D3234">
        <v>17000000</v>
      </c>
    </row>
    <row r="3235" spans="1:4">
      <c r="A3235" s="3" t="s">
        <v>453</v>
      </c>
      <c r="B3235" s="3" t="s">
        <v>454</v>
      </c>
      <c r="C3235">
        <v>2005</v>
      </c>
      <c r="D3235">
        <v>3000000</v>
      </c>
    </row>
    <row r="3236" spans="1:4">
      <c r="A3236" s="3" t="s">
        <v>453</v>
      </c>
      <c r="B3236" s="3" t="s">
        <v>454</v>
      </c>
      <c r="C3236">
        <v>2006</v>
      </c>
      <c r="D3236">
        <v>3000000</v>
      </c>
    </row>
    <row r="3237" spans="1:4">
      <c r="A3237" s="3" t="s">
        <v>453</v>
      </c>
      <c r="B3237" s="3" t="s">
        <v>454</v>
      </c>
      <c r="C3237">
        <v>2007</v>
      </c>
      <c r="D3237">
        <v>2000000</v>
      </c>
    </row>
    <row r="3238" spans="1:4">
      <c r="A3238" s="3" t="s">
        <v>453</v>
      </c>
      <c r="B3238" s="3" t="s">
        <v>454</v>
      </c>
      <c r="C3238">
        <v>2009</v>
      </c>
      <c r="D3238">
        <v>10000000</v>
      </c>
    </row>
    <row r="3239" spans="1:4">
      <c r="A3239" s="3" t="s">
        <v>453</v>
      </c>
      <c r="B3239" s="3" t="s">
        <v>454</v>
      </c>
      <c r="C3239">
        <v>2010</v>
      </c>
      <c r="D3239">
        <v>40000000</v>
      </c>
    </row>
    <row r="3240" spans="1:4">
      <c r="A3240" s="3" t="s">
        <v>453</v>
      </c>
      <c r="B3240" s="3" t="s">
        <v>454</v>
      </c>
      <c r="C3240">
        <v>2011</v>
      </c>
      <c r="D3240">
        <v>27000000</v>
      </c>
    </row>
    <row r="3241" spans="1:4">
      <c r="A3241" s="3" t="s">
        <v>453</v>
      </c>
      <c r="B3241" s="3" t="s">
        <v>454</v>
      </c>
      <c r="C3241">
        <v>2014</v>
      </c>
      <c r="D3241">
        <v>1000000</v>
      </c>
    </row>
    <row r="3242" spans="1:4">
      <c r="A3242" s="3" t="s">
        <v>453</v>
      </c>
      <c r="B3242" s="3" t="s">
        <v>454</v>
      </c>
      <c r="C3242">
        <v>2021</v>
      </c>
      <c r="D3242">
        <v>7000000</v>
      </c>
    </row>
    <row r="3243" spans="1:4">
      <c r="A3243" s="3" t="s">
        <v>453</v>
      </c>
      <c r="B3243" s="3" t="s">
        <v>454</v>
      </c>
      <c r="C3243">
        <v>2023</v>
      </c>
      <c r="D3243">
        <v>26000000</v>
      </c>
    </row>
    <row r="3244" spans="1:4">
      <c r="A3244" s="3" t="s">
        <v>453</v>
      </c>
      <c r="B3244" s="3" t="s">
        <v>454</v>
      </c>
      <c r="C3244">
        <v>2024</v>
      </c>
      <c r="D3244">
        <v>19000000</v>
      </c>
    </row>
    <row r="3245" spans="1:4">
      <c r="A3245" s="3" t="s">
        <v>455</v>
      </c>
      <c r="B3245" s="3" t="s">
        <v>456</v>
      </c>
      <c r="C3245">
        <v>2000</v>
      </c>
      <c r="D3245">
        <v>196000000</v>
      </c>
    </row>
    <row r="3246" spans="1:4">
      <c r="A3246" s="3" t="s">
        <v>455</v>
      </c>
      <c r="B3246" s="3" t="s">
        <v>456</v>
      </c>
      <c r="C3246">
        <v>2001</v>
      </c>
      <c r="D3246">
        <v>165000000</v>
      </c>
    </row>
    <row r="3247" spans="1:4">
      <c r="A3247" s="3" t="s">
        <v>455</v>
      </c>
      <c r="B3247" s="3" t="s">
        <v>456</v>
      </c>
      <c r="C3247">
        <v>2002</v>
      </c>
      <c r="D3247">
        <v>74000000</v>
      </c>
    </row>
    <row r="3248" spans="1:4">
      <c r="A3248" s="3" t="s">
        <v>455</v>
      </c>
      <c r="B3248" s="3" t="s">
        <v>456</v>
      </c>
      <c r="C3248">
        <v>2003</v>
      </c>
      <c r="D3248">
        <v>66000000</v>
      </c>
    </row>
    <row r="3249" spans="1:4">
      <c r="A3249" s="3" t="s">
        <v>455</v>
      </c>
      <c r="B3249" s="3" t="s">
        <v>456</v>
      </c>
      <c r="C3249">
        <v>2004</v>
      </c>
      <c r="D3249">
        <v>47000000</v>
      </c>
    </row>
    <row r="3250" spans="1:4">
      <c r="A3250" s="3" t="s">
        <v>455</v>
      </c>
      <c r="B3250" s="3" t="s">
        <v>456</v>
      </c>
      <c r="C3250">
        <v>2005</v>
      </c>
      <c r="D3250">
        <v>78000000</v>
      </c>
    </row>
    <row r="3251" spans="1:4">
      <c r="A3251" s="3" t="s">
        <v>455</v>
      </c>
      <c r="B3251" s="3" t="s">
        <v>456</v>
      </c>
      <c r="C3251">
        <v>2006</v>
      </c>
      <c r="D3251">
        <v>121000000</v>
      </c>
    </row>
    <row r="3252" spans="1:4">
      <c r="A3252" s="3" t="s">
        <v>455</v>
      </c>
      <c r="B3252" s="3" t="s">
        <v>456</v>
      </c>
      <c r="C3252">
        <v>2007</v>
      </c>
      <c r="D3252">
        <v>51000000</v>
      </c>
    </row>
    <row r="3253" spans="1:4">
      <c r="A3253" s="3" t="s">
        <v>455</v>
      </c>
      <c r="B3253" s="3" t="s">
        <v>456</v>
      </c>
      <c r="C3253">
        <v>2008</v>
      </c>
      <c r="D3253">
        <v>52000000</v>
      </c>
    </row>
    <row r="3254" spans="1:4">
      <c r="A3254" s="3" t="s">
        <v>455</v>
      </c>
      <c r="B3254" s="3" t="s">
        <v>456</v>
      </c>
      <c r="C3254">
        <v>2009</v>
      </c>
      <c r="D3254">
        <v>15000000</v>
      </c>
    </row>
    <row r="3255" spans="1:4">
      <c r="A3255" s="3" t="s">
        <v>455</v>
      </c>
      <c r="B3255" s="3" t="s">
        <v>456</v>
      </c>
      <c r="C3255">
        <v>2011</v>
      </c>
      <c r="D3255">
        <v>185000000</v>
      </c>
    </row>
    <row r="3256" spans="1:4">
      <c r="A3256" s="3" t="s">
        <v>455</v>
      </c>
      <c r="B3256" s="3" t="s">
        <v>456</v>
      </c>
      <c r="C3256">
        <v>2012</v>
      </c>
      <c r="D3256">
        <v>202000000</v>
      </c>
    </row>
    <row r="3257" spans="1:4">
      <c r="A3257" s="3" t="s">
        <v>455</v>
      </c>
      <c r="B3257" s="3" t="s">
        <v>456</v>
      </c>
      <c r="C3257">
        <v>2013</v>
      </c>
      <c r="D3257">
        <v>58000000</v>
      </c>
    </row>
    <row r="3258" spans="1:4">
      <c r="A3258" s="3" t="s">
        <v>455</v>
      </c>
      <c r="B3258" s="3" t="s">
        <v>456</v>
      </c>
      <c r="C3258">
        <v>2014</v>
      </c>
      <c r="D3258">
        <v>48000000</v>
      </c>
    </row>
    <row r="3259" spans="1:4">
      <c r="A3259" s="3" t="s">
        <v>455</v>
      </c>
      <c r="B3259" s="3" t="s">
        <v>456</v>
      </c>
      <c r="C3259">
        <v>2015</v>
      </c>
      <c r="D3259">
        <v>24000000</v>
      </c>
    </row>
    <row r="3260" spans="1:4">
      <c r="A3260" s="3" t="s">
        <v>455</v>
      </c>
      <c r="B3260" s="3" t="s">
        <v>456</v>
      </c>
      <c r="C3260">
        <v>2016</v>
      </c>
      <c r="D3260">
        <v>70000000</v>
      </c>
    </row>
    <row r="3261" spans="1:4">
      <c r="A3261" s="3" t="s">
        <v>455</v>
      </c>
      <c r="B3261" s="3" t="s">
        <v>456</v>
      </c>
      <c r="C3261">
        <v>2017</v>
      </c>
      <c r="D3261">
        <v>32000000</v>
      </c>
    </row>
    <row r="3262" spans="1:4">
      <c r="A3262" s="3" t="s">
        <v>455</v>
      </c>
      <c r="B3262" s="3" t="s">
        <v>456</v>
      </c>
      <c r="C3262">
        <v>2018</v>
      </c>
      <c r="D3262">
        <v>7000000</v>
      </c>
    </row>
    <row r="3263" spans="1:4">
      <c r="A3263" s="3" t="s">
        <v>455</v>
      </c>
      <c r="B3263" s="3" t="s">
        <v>456</v>
      </c>
      <c r="C3263">
        <v>2019</v>
      </c>
      <c r="D3263">
        <v>7000000</v>
      </c>
    </row>
    <row r="3264" spans="1:4">
      <c r="A3264" s="3" t="s">
        <v>455</v>
      </c>
      <c r="B3264" s="3" t="s">
        <v>456</v>
      </c>
      <c r="C3264">
        <v>2020</v>
      </c>
      <c r="D3264">
        <v>3000000</v>
      </c>
    </row>
    <row r="3265" spans="1:4">
      <c r="A3265" s="3" t="s">
        <v>455</v>
      </c>
      <c r="B3265" s="3" t="s">
        <v>456</v>
      </c>
      <c r="C3265">
        <v>2021</v>
      </c>
      <c r="D3265">
        <v>110000000</v>
      </c>
    </row>
    <row r="3266" spans="1:4">
      <c r="A3266" s="3" t="s">
        <v>455</v>
      </c>
      <c r="B3266" s="3" t="s">
        <v>456</v>
      </c>
      <c r="C3266">
        <v>2022</v>
      </c>
      <c r="D3266">
        <v>318000000</v>
      </c>
    </row>
    <row r="3267" spans="1:4">
      <c r="A3267" s="3" t="s">
        <v>455</v>
      </c>
      <c r="B3267" s="3" t="s">
        <v>456</v>
      </c>
      <c r="C3267">
        <v>2023</v>
      </c>
      <c r="D3267">
        <v>98000000</v>
      </c>
    </row>
    <row r="3268" spans="1:4">
      <c r="A3268" s="3" t="s">
        <v>455</v>
      </c>
      <c r="B3268" s="3" t="s">
        <v>456</v>
      </c>
      <c r="C3268">
        <v>2024</v>
      </c>
      <c r="D3268">
        <v>56000000</v>
      </c>
    </row>
    <row r="3269" spans="1:4">
      <c r="A3269" s="3" t="s">
        <v>457</v>
      </c>
      <c r="B3269" s="3" t="s">
        <v>458</v>
      </c>
      <c r="C3269">
        <v>2000</v>
      </c>
      <c r="D3269">
        <v>1000000</v>
      </c>
    </row>
    <row r="3270" spans="1:4">
      <c r="A3270" s="3" t="s">
        <v>457</v>
      </c>
      <c r="B3270" s="3" t="s">
        <v>458</v>
      </c>
      <c r="C3270">
        <v>2001</v>
      </c>
      <c r="D3270">
        <v>1000000</v>
      </c>
    </row>
    <row r="3271" spans="1:4">
      <c r="A3271" s="3" t="s">
        <v>457</v>
      </c>
      <c r="B3271" s="3" t="s">
        <v>458</v>
      </c>
      <c r="C3271">
        <v>2020</v>
      </c>
      <c r="D3271">
        <v>2000000</v>
      </c>
    </row>
    <row r="3272" spans="1:4">
      <c r="A3272" s="3" t="s">
        <v>461</v>
      </c>
      <c r="B3272" s="3" t="s">
        <v>462</v>
      </c>
      <c r="C3272">
        <v>2005</v>
      </c>
      <c r="D3272">
        <v>15000000</v>
      </c>
    </row>
    <row r="3273" spans="1:4">
      <c r="A3273" s="3" t="s">
        <v>461</v>
      </c>
      <c r="B3273" s="3" t="s">
        <v>462</v>
      </c>
      <c r="C3273">
        <v>2011</v>
      </c>
      <c r="D3273">
        <v>8000000</v>
      </c>
    </row>
    <row r="3274" spans="1:4">
      <c r="A3274" s="3" t="s">
        <v>461</v>
      </c>
      <c r="B3274" s="3" t="s">
        <v>462</v>
      </c>
      <c r="C3274">
        <v>2013</v>
      </c>
      <c r="D3274">
        <v>10000000</v>
      </c>
    </row>
    <row r="3275" spans="1:4">
      <c r="A3275" s="3" t="s">
        <v>461</v>
      </c>
      <c r="B3275" s="3" t="s">
        <v>462</v>
      </c>
      <c r="C3275">
        <v>2014</v>
      </c>
      <c r="D3275">
        <v>16000000</v>
      </c>
    </row>
    <row r="3276" spans="1:4">
      <c r="A3276" s="3" t="s">
        <v>461</v>
      </c>
      <c r="B3276" s="3" t="s">
        <v>462</v>
      </c>
      <c r="C3276">
        <v>2016</v>
      </c>
      <c r="D3276">
        <v>8000000</v>
      </c>
    </row>
    <row r="3277" spans="1:4">
      <c r="A3277" s="3" t="s">
        <v>461</v>
      </c>
      <c r="B3277" s="3" t="s">
        <v>462</v>
      </c>
      <c r="C3277">
        <v>2018</v>
      </c>
      <c r="D3277">
        <v>10000000</v>
      </c>
    </row>
    <row r="3278" spans="1:4">
      <c r="A3278" s="3" t="s">
        <v>461</v>
      </c>
      <c r="B3278" s="3" t="s">
        <v>462</v>
      </c>
      <c r="C3278">
        <v>2021</v>
      </c>
      <c r="D3278">
        <v>19000000</v>
      </c>
    </row>
    <row r="3279" spans="1:4">
      <c r="A3279" s="3" t="s">
        <v>463</v>
      </c>
      <c r="B3279" s="3" t="s">
        <v>464</v>
      </c>
      <c r="C3279">
        <v>2000</v>
      </c>
      <c r="D3279">
        <v>49000000</v>
      </c>
    </row>
    <row r="3280" spans="1:4">
      <c r="A3280" s="3" t="s">
        <v>463</v>
      </c>
      <c r="B3280" s="3" t="s">
        <v>464</v>
      </c>
      <c r="C3280">
        <v>2001</v>
      </c>
      <c r="D3280">
        <v>23000000</v>
      </c>
    </row>
    <row r="3281" spans="1:4">
      <c r="A3281" s="3" t="s">
        <v>463</v>
      </c>
      <c r="B3281" s="3" t="s">
        <v>464</v>
      </c>
      <c r="C3281">
        <v>2002</v>
      </c>
      <c r="D3281">
        <v>40000000</v>
      </c>
    </row>
    <row r="3282" spans="1:4">
      <c r="A3282" s="3" t="s">
        <v>463</v>
      </c>
      <c r="B3282" s="3" t="s">
        <v>464</v>
      </c>
      <c r="C3282">
        <v>2003</v>
      </c>
      <c r="D3282">
        <v>64000000</v>
      </c>
    </row>
    <row r="3283" spans="1:4">
      <c r="A3283" s="3" t="s">
        <v>463</v>
      </c>
      <c r="B3283" s="3" t="s">
        <v>464</v>
      </c>
      <c r="C3283">
        <v>2004</v>
      </c>
      <c r="D3283">
        <v>20000000</v>
      </c>
    </row>
    <row r="3284" spans="1:4">
      <c r="A3284" s="3" t="s">
        <v>463</v>
      </c>
      <c r="B3284" s="3" t="s">
        <v>464</v>
      </c>
      <c r="C3284">
        <v>2005</v>
      </c>
      <c r="D3284">
        <v>30000000</v>
      </c>
    </row>
    <row r="3285" spans="1:4">
      <c r="A3285" s="3" t="s">
        <v>463</v>
      </c>
      <c r="B3285" s="3" t="s">
        <v>464</v>
      </c>
      <c r="C3285">
        <v>2006</v>
      </c>
      <c r="D3285">
        <v>95000000</v>
      </c>
    </row>
    <row r="3286" spans="1:4">
      <c r="A3286" s="3" t="s">
        <v>463</v>
      </c>
      <c r="B3286" s="3" t="s">
        <v>464</v>
      </c>
      <c r="C3286">
        <v>2007</v>
      </c>
      <c r="D3286">
        <v>15000000</v>
      </c>
    </row>
    <row r="3287" spans="1:4">
      <c r="A3287" s="3" t="s">
        <v>463</v>
      </c>
      <c r="B3287" s="3" t="s">
        <v>464</v>
      </c>
      <c r="C3287">
        <v>2008</v>
      </c>
      <c r="D3287">
        <v>326000000</v>
      </c>
    </row>
    <row r="3288" spans="1:4">
      <c r="A3288" s="3" t="s">
        <v>463</v>
      </c>
      <c r="B3288" s="3" t="s">
        <v>464</v>
      </c>
      <c r="C3288">
        <v>2009</v>
      </c>
      <c r="D3288">
        <v>253000000</v>
      </c>
    </row>
    <row r="3289" spans="1:4">
      <c r="A3289" s="3" t="s">
        <v>463</v>
      </c>
      <c r="B3289" s="3" t="s">
        <v>464</v>
      </c>
      <c r="C3289">
        <v>2010</v>
      </c>
      <c r="D3289">
        <v>420000000</v>
      </c>
    </row>
    <row r="3290" spans="1:4">
      <c r="A3290" s="3" t="s">
        <v>463</v>
      </c>
      <c r="B3290" s="3" t="s">
        <v>464</v>
      </c>
      <c r="C3290">
        <v>2011</v>
      </c>
      <c r="D3290">
        <v>485000000</v>
      </c>
    </row>
    <row r="3291" spans="1:4">
      <c r="A3291" s="3" t="s">
        <v>463</v>
      </c>
      <c r="B3291" s="3" t="s">
        <v>464</v>
      </c>
      <c r="C3291">
        <v>2012</v>
      </c>
      <c r="D3291">
        <v>532000000</v>
      </c>
    </row>
    <row r="3292" spans="1:4">
      <c r="A3292" s="3" t="s">
        <v>463</v>
      </c>
      <c r="B3292" s="3" t="s">
        <v>464</v>
      </c>
      <c r="C3292">
        <v>2013</v>
      </c>
      <c r="D3292">
        <v>498000000</v>
      </c>
    </row>
    <row r="3293" spans="1:4">
      <c r="A3293" s="3" t="s">
        <v>463</v>
      </c>
      <c r="B3293" s="3" t="s">
        <v>464</v>
      </c>
      <c r="C3293">
        <v>2014</v>
      </c>
      <c r="D3293">
        <v>7000000</v>
      </c>
    </row>
    <row r="3294" spans="1:4">
      <c r="A3294" s="3" t="s">
        <v>463</v>
      </c>
      <c r="B3294" s="3" t="s">
        <v>464</v>
      </c>
      <c r="C3294">
        <v>2015</v>
      </c>
      <c r="D3294">
        <v>16000000</v>
      </c>
    </row>
    <row r="3295" spans="1:4">
      <c r="A3295" s="3" t="s">
        <v>463</v>
      </c>
      <c r="B3295" s="3" t="s">
        <v>464</v>
      </c>
      <c r="C3295">
        <v>2016</v>
      </c>
      <c r="D3295">
        <v>18000000</v>
      </c>
    </row>
    <row r="3296" spans="1:4">
      <c r="A3296" s="3" t="s">
        <v>463</v>
      </c>
      <c r="B3296" s="3" t="s">
        <v>464</v>
      </c>
      <c r="C3296">
        <v>2017</v>
      </c>
      <c r="D3296">
        <v>52000000</v>
      </c>
    </row>
    <row r="3297" spans="1:4">
      <c r="A3297" s="3" t="s">
        <v>463</v>
      </c>
      <c r="B3297" s="3" t="s">
        <v>464</v>
      </c>
      <c r="C3297">
        <v>2018</v>
      </c>
      <c r="D3297">
        <v>199000000</v>
      </c>
    </row>
    <row r="3298" spans="1:4">
      <c r="A3298" s="3" t="s">
        <v>463</v>
      </c>
      <c r="B3298" s="3" t="s">
        <v>464</v>
      </c>
      <c r="C3298">
        <v>2019</v>
      </c>
      <c r="D3298">
        <v>104000000</v>
      </c>
    </row>
    <row r="3299" spans="1:4">
      <c r="A3299" s="3" t="s">
        <v>463</v>
      </c>
      <c r="B3299" s="3" t="s">
        <v>464</v>
      </c>
      <c r="C3299">
        <v>2020</v>
      </c>
      <c r="D3299">
        <v>80000000</v>
      </c>
    </row>
    <row r="3300" spans="1:4">
      <c r="A3300" s="3" t="s">
        <v>463</v>
      </c>
      <c r="B3300" s="3" t="s">
        <v>464</v>
      </c>
      <c r="C3300">
        <v>2021</v>
      </c>
      <c r="D3300">
        <v>7000000</v>
      </c>
    </row>
    <row r="3301" spans="1:4">
      <c r="A3301" s="3" t="s">
        <v>467</v>
      </c>
      <c r="B3301" s="3" t="s">
        <v>468</v>
      </c>
      <c r="C3301">
        <v>2001</v>
      </c>
      <c r="D3301">
        <v>16000000</v>
      </c>
    </row>
    <row r="3302" spans="1:4">
      <c r="A3302" s="3" t="s">
        <v>467</v>
      </c>
      <c r="B3302" s="3" t="s">
        <v>468</v>
      </c>
      <c r="C3302">
        <v>2006</v>
      </c>
      <c r="D3302">
        <v>18000000</v>
      </c>
    </row>
    <row r="3303" spans="1:4">
      <c r="A3303" s="3" t="s">
        <v>467</v>
      </c>
      <c r="B3303" s="3" t="s">
        <v>468</v>
      </c>
      <c r="C3303">
        <v>2007</v>
      </c>
      <c r="D3303">
        <v>30000000</v>
      </c>
    </row>
    <row r="3304" spans="1:4">
      <c r="A3304" s="3" t="s">
        <v>467</v>
      </c>
      <c r="B3304" s="3" t="s">
        <v>468</v>
      </c>
      <c r="C3304">
        <v>2008</v>
      </c>
      <c r="D3304">
        <v>83000000</v>
      </c>
    </row>
    <row r="3305" spans="1:4">
      <c r="A3305" s="3" t="s">
        <v>467</v>
      </c>
      <c r="B3305" s="3" t="s">
        <v>468</v>
      </c>
      <c r="C3305">
        <v>2009</v>
      </c>
      <c r="D3305">
        <v>37000000</v>
      </c>
    </row>
    <row r="3306" spans="1:4">
      <c r="A3306" s="3" t="s">
        <v>467</v>
      </c>
      <c r="B3306" s="3" t="s">
        <v>468</v>
      </c>
      <c r="C3306">
        <v>2010</v>
      </c>
      <c r="D3306">
        <v>43000000</v>
      </c>
    </row>
    <row r="3307" spans="1:4">
      <c r="A3307" s="3" t="s">
        <v>467</v>
      </c>
      <c r="B3307" s="3" t="s">
        <v>468</v>
      </c>
      <c r="C3307">
        <v>2011</v>
      </c>
      <c r="D3307">
        <v>1000000</v>
      </c>
    </row>
    <row r="3308" spans="1:4">
      <c r="A3308" s="3" t="s">
        <v>467</v>
      </c>
      <c r="B3308" s="3" t="s">
        <v>468</v>
      </c>
      <c r="C3308">
        <v>2012</v>
      </c>
      <c r="D3308">
        <v>4000000</v>
      </c>
    </row>
    <row r="3309" spans="1:4">
      <c r="A3309" s="3" t="s">
        <v>467</v>
      </c>
      <c r="B3309" s="3" t="s">
        <v>468</v>
      </c>
      <c r="C3309">
        <v>2013</v>
      </c>
      <c r="D3309">
        <v>59000000</v>
      </c>
    </row>
    <row r="3310" spans="1:4">
      <c r="A3310" s="3" t="s">
        <v>467</v>
      </c>
      <c r="B3310" s="3" t="s">
        <v>468</v>
      </c>
      <c r="C3310">
        <v>2014</v>
      </c>
      <c r="D3310">
        <v>58000000</v>
      </c>
    </row>
    <row r="3311" spans="1:4">
      <c r="A3311" s="3" t="s">
        <v>467</v>
      </c>
      <c r="B3311" s="3" t="s">
        <v>468</v>
      </c>
      <c r="C3311">
        <v>2015</v>
      </c>
      <c r="D3311">
        <v>1000000</v>
      </c>
    </row>
    <row r="3312" spans="1:4">
      <c r="A3312" s="3" t="s">
        <v>467</v>
      </c>
      <c r="B3312" s="3" t="s">
        <v>468</v>
      </c>
      <c r="C3312">
        <v>2016</v>
      </c>
      <c r="D3312">
        <v>2000000</v>
      </c>
    </row>
    <row r="3313" spans="1:4">
      <c r="A3313" s="3" t="s">
        <v>467</v>
      </c>
      <c r="B3313" s="3" t="s">
        <v>468</v>
      </c>
      <c r="C3313">
        <v>2017</v>
      </c>
      <c r="D3313">
        <v>6000000</v>
      </c>
    </row>
    <row r="3314" spans="1:4">
      <c r="A3314" s="3" t="s">
        <v>467</v>
      </c>
      <c r="B3314" s="3" t="s">
        <v>468</v>
      </c>
      <c r="C3314">
        <v>2018</v>
      </c>
      <c r="D3314">
        <v>7000000</v>
      </c>
    </row>
    <row r="3315" spans="1:4">
      <c r="A3315" s="3" t="s">
        <v>467</v>
      </c>
      <c r="B3315" s="3" t="s">
        <v>468</v>
      </c>
      <c r="C3315">
        <v>2019</v>
      </c>
      <c r="D3315">
        <v>1000000</v>
      </c>
    </row>
    <row r="3316" spans="1:4">
      <c r="A3316" s="3" t="s">
        <v>467</v>
      </c>
      <c r="B3316" s="3" t="s">
        <v>468</v>
      </c>
      <c r="C3316">
        <v>2020</v>
      </c>
      <c r="D3316">
        <v>4000000</v>
      </c>
    </row>
    <row r="3317" spans="1:4">
      <c r="A3317" s="3" t="s">
        <v>467</v>
      </c>
      <c r="B3317" s="3" t="s">
        <v>468</v>
      </c>
      <c r="C3317">
        <v>2021</v>
      </c>
      <c r="D3317">
        <v>47000000</v>
      </c>
    </row>
    <row r="3318" spans="1:4">
      <c r="A3318" s="3" t="s">
        <v>467</v>
      </c>
      <c r="B3318" s="3" t="s">
        <v>468</v>
      </c>
      <c r="C3318">
        <v>2022</v>
      </c>
      <c r="D3318">
        <v>6000000</v>
      </c>
    </row>
    <row r="3319" spans="1:4">
      <c r="A3319" s="3" t="s">
        <v>467</v>
      </c>
      <c r="B3319" s="3" t="s">
        <v>468</v>
      </c>
      <c r="C3319">
        <v>2023</v>
      </c>
      <c r="D3319">
        <v>32000000</v>
      </c>
    </row>
    <row r="3320" spans="1:4">
      <c r="A3320" s="3" t="s">
        <v>467</v>
      </c>
      <c r="B3320" s="3" t="s">
        <v>468</v>
      </c>
      <c r="C3320">
        <v>2024</v>
      </c>
      <c r="D3320">
        <v>10000000</v>
      </c>
    </row>
    <row r="3321" spans="1:4">
      <c r="A3321" s="3" t="s">
        <v>469</v>
      </c>
      <c r="B3321" s="3" t="s">
        <v>470</v>
      </c>
      <c r="C3321">
        <v>2000</v>
      </c>
      <c r="D3321">
        <v>2781000000</v>
      </c>
    </row>
    <row r="3322" spans="1:4">
      <c r="A3322" s="3" t="s">
        <v>469</v>
      </c>
      <c r="B3322" s="3" t="s">
        <v>470</v>
      </c>
      <c r="C3322">
        <v>2001</v>
      </c>
      <c r="D3322">
        <v>3172000000</v>
      </c>
    </row>
    <row r="3323" spans="1:4">
      <c r="A3323" s="3" t="s">
        <v>469</v>
      </c>
      <c r="B3323" s="3" t="s">
        <v>470</v>
      </c>
      <c r="C3323">
        <v>2002</v>
      </c>
      <c r="D3323">
        <v>3422000000</v>
      </c>
    </row>
    <row r="3324" spans="1:4">
      <c r="A3324" s="3" t="s">
        <v>469</v>
      </c>
      <c r="B3324" s="3" t="s">
        <v>470</v>
      </c>
      <c r="C3324">
        <v>2003</v>
      </c>
      <c r="D3324">
        <v>3132000000</v>
      </c>
    </row>
    <row r="3325" spans="1:4">
      <c r="A3325" s="3" t="s">
        <v>469</v>
      </c>
      <c r="B3325" s="3" t="s">
        <v>470</v>
      </c>
      <c r="C3325">
        <v>2004</v>
      </c>
      <c r="D3325">
        <v>4044000000</v>
      </c>
    </row>
    <row r="3326" spans="1:4">
      <c r="A3326" s="3" t="s">
        <v>469</v>
      </c>
      <c r="B3326" s="3" t="s">
        <v>470</v>
      </c>
      <c r="C3326">
        <v>2005</v>
      </c>
      <c r="D3326">
        <v>4088000000</v>
      </c>
    </row>
    <row r="3327" spans="1:4">
      <c r="A3327" s="3" t="s">
        <v>469</v>
      </c>
      <c r="B3327" s="3" t="s">
        <v>470</v>
      </c>
      <c r="C3327">
        <v>2006</v>
      </c>
      <c r="D3327">
        <v>3462000000</v>
      </c>
    </row>
    <row r="3328" spans="1:4">
      <c r="A3328" s="3" t="s">
        <v>469</v>
      </c>
      <c r="B3328" s="3" t="s">
        <v>470</v>
      </c>
      <c r="C3328">
        <v>2007</v>
      </c>
      <c r="D3328">
        <v>3016000000</v>
      </c>
    </row>
    <row r="3329" spans="1:4">
      <c r="A3329" s="3" t="s">
        <v>469</v>
      </c>
      <c r="B3329" s="3" t="s">
        <v>470</v>
      </c>
      <c r="C3329">
        <v>2008</v>
      </c>
      <c r="D3329">
        <v>2830000000</v>
      </c>
    </row>
    <row r="3330" spans="1:4">
      <c r="A3330" s="3" t="s">
        <v>469</v>
      </c>
      <c r="B3330" s="3" t="s">
        <v>470</v>
      </c>
      <c r="C3330">
        <v>2009</v>
      </c>
      <c r="D3330">
        <v>3329000000</v>
      </c>
    </row>
    <row r="3331" spans="1:4">
      <c r="A3331" s="3" t="s">
        <v>469</v>
      </c>
      <c r="B3331" s="3" t="s">
        <v>470</v>
      </c>
      <c r="C3331">
        <v>2010</v>
      </c>
      <c r="D3331">
        <v>1776000000</v>
      </c>
    </row>
    <row r="3332" spans="1:4">
      <c r="A3332" s="3" t="s">
        <v>469</v>
      </c>
      <c r="B3332" s="3" t="s">
        <v>470</v>
      </c>
      <c r="C3332">
        <v>2011</v>
      </c>
      <c r="D3332">
        <v>3325000000</v>
      </c>
    </row>
    <row r="3333" spans="1:4">
      <c r="A3333" s="3" t="s">
        <v>469</v>
      </c>
      <c r="B3333" s="3" t="s">
        <v>470</v>
      </c>
      <c r="C3333">
        <v>2012</v>
      </c>
      <c r="D3333">
        <v>3377000000</v>
      </c>
    </row>
    <row r="3334" spans="1:4">
      <c r="A3334" s="3" t="s">
        <v>469</v>
      </c>
      <c r="B3334" s="3" t="s">
        <v>470</v>
      </c>
      <c r="C3334">
        <v>2013</v>
      </c>
      <c r="D3334">
        <v>3301000000</v>
      </c>
    </row>
    <row r="3335" spans="1:4">
      <c r="A3335" s="3" t="s">
        <v>469</v>
      </c>
      <c r="B3335" s="3" t="s">
        <v>470</v>
      </c>
      <c r="C3335">
        <v>2014</v>
      </c>
      <c r="D3335">
        <v>3762000000</v>
      </c>
    </row>
    <row r="3336" spans="1:4">
      <c r="A3336" s="3" t="s">
        <v>469</v>
      </c>
      <c r="B3336" s="3" t="s">
        <v>470</v>
      </c>
      <c r="C3336">
        <v>2015</v>
      </c>
      <c r="D3336">
        <v>3290000000</v>
      </c>
    </row>
    <row r="3337" spans="1:4">
      <c r="A3337" s="3" t="s">
        <v>469</v>
      </c>
      <c r="B3337" s="3" t="s">
        <v>470</v>
      </c>
      <c r="C3337">
        <v>2016</v>
      </c>
      <c r="D3337">
        <v>3613000000</v>
      </c>
    </row>
    <row r="3338" spans="1:4">
      <c r="A3338" s="3" t="s">
        <v>469</v>
      </c>
      <c r="B3338" s="3" t="s">
        <v>470</v>
      </c>
      <c r="C3338">
        <v>2017</v>
      </c>
      <c r="D3338">
        <v>4505000000</v>
      </c>
    </row>
    <row r="3339" spans="1:4">
      <c r="A3339" s="3" t="s">
        <v>469</v>
      </c>
      <c r="B3339" s="3" t="s">
        <v>470</v>
      </c>
      <c r="C3339">
        <v>2018</v>
      </c>
      <c r="D3339">
        <v>4313000000</v>
      </c>
    </row>
    <row r="3340" spans="1:4">
      <c r="A3340" s="3" t="s">
        <v>469</v>
      </c>
      <c r="B3340" s="3" t="s">
        <v>470</v>
      </c>
      <c r="C3340">
        <v>2019</v>
      </c>
      <c r="D3340">
        <v>2807000000</v>
      </c>
    </row>
    <row r="3341" spans="1:4">
      <c r="A3341" s="3" t="s">
        <v>469</v>
      </c>
      <c r="B3341" s="3" t="s">
        <v>470</v>
      </c>
      <c r="C3341">
        <v>2020</v>
      </c>
      <c r="D3341">
        <v>1928000000</v>
      </c>
    </row>
    <row r="3342" spans="1:4">
      <c r="A3342" s="3" t="s">
        <v>469</v>
      </c>
      <c r="B3342" s="3" t="s">
        <v>470</v>
      </c>
      <c r="C3342">
        <v>2021</v>
      </c>
      <c r="D3342">
        <v>2100000000</v>
      </c>
    </row>
    <row r="3343" spans="1:4">
      <c r="A3343" s="3" t="s">
        <v>469</v>
      </c>
      <c r="B3343" s="3" t="s">
        <v>470</v>
      </c>
      <c r="C3343">
        <v>2022</v>
      </c>
      <c r="D3343">
        <v>1717000000</v>
      </c>
    </row>
    <row r="3344" spans="1:4">
      <c r="A3344" s="3" t="s">
        <v>469</v>
      </c>
      <c r="B3344" s="3" t="s">
        <v>470</v>
      </c>
      <c r="C3344">
        <v>2023</v>
      </c>
      <c r="D3344">
        <v>1479000000</v>
      </c>
    </row>
    <row r="3345" spans="1:4">
      <c r="A3345" s="3" t="s">
        <v>469</v>
      </c>
      <c r="B3345" s="3" t="s">
        <v>470</v>
      </c>
      <c r="C3345">
        <v>2024</v>
      </c>
      <c r="D3345">
        <v>944000000</v>
      </c>
    </row>
    <row r="3346" spans="1:4">
      <c r="A3346" s="3" t="s">
        <v>471</v>
      </c>
      <c r="B3346" s="3" t="s">
        <v>472</v>
      </c>
      <c r="C3346">
        <v>2000</v>
      </c>
      <c r="D3346">
        <v>2643000000</v>
      </c>
    </row>
    <row r="3347" spans="1:4">
      <c r="A3347" s="3" t="s">
        <v>471</v>
      </c>
      <c r="B3347" s="3" t="s">
        <v>472</v>
      </c>
      <c r="C3347">
        <v>2001</v>
      </c>
      <c r="D3347">
        <v>992000000</v>
      </c>
    </row>
    <row r="3348" spans="1:4">
      <c r="A3348" s="3" t="s">
        <v>471</v>
      </c>
      <c r="B3348" s="3" t="s">
        <v>472</v>
      </c>
      <c r="C3348">
        <v>2007</v>
      </c>
      <c r="D3348">
        <v>2373000000</v>
      </c>
    </row>
    <row r="3349" spans="1:4">
      <c r="A3349" s="3" t="s">
        <v>471</v>
      </c>
      <c r="B3349" s="3" t="s">
        <v>472</v>
      </c>
      <c r="C3349">
        <v>2009</v>
      </c>
      <c r="D3349">
        <v>1462000000</v>
      </c>
    </row>
    <row r="3350" spans="1:4">
      <c r="A3350" s="3" t="s">
        <v>471</v>
      </c>
      <c r="B3350" s="3" t="s">
        <v>472</v>
      </c>
      <c r="C3350">
        <v>2010</v>
      </c>
      <c r="D3350">
        <v>1145000000</v>
      </c>
    </row>
    <row r="3351" spans="1:4">
      <c r="A3351" s="3" t="s">
        <v>471</v>
      </c>
      <c r="B3351" s="3" t="s">
        <v>472</v>
      </c>
      <c r="C3351">
        <v>2011</v>
      </c>
      <c r="D3351">
        <v>2023000000</v>
      </c>
    </row>
    <row r="3352" spans="1:4">
      <c r="A3352" s="3" t="s">
        <v>471</v>
      </c>
      <c r="B3352" s="3" t="s">
        <v>472</v>
      </c>
      <c r="C3352">
        <v>2012</v>
      </c>
      <c r="D3352">
        <v>2578000000</v>
      </c>
    </row>
    <row r="3353" spans="1:4">
      <c r="A3353" s="3" t="s">
        <v>471</v>
      </c>
      <c r="B3353" s="3" t="s">
        <v>472</v>
      </c>
      <c r="C3353">
        <v>2013</v>
      </c>
      <c r="D3353">
        <v>1874000000</v>
      </c>
    </row>
    <row r="3354" spans="1:4">
      <c r="A3354" s="3" t="s">
        <v>471</v>
      </c>
      <c r="B3354" s="3" t="s">
        <v>472</v>
      </c>
      <c r="C3354">
        <v>2014</v>
      </c>
      <c r="D3354">
        <v>2930000000</v>
      </c>
    </row>
    <row r="3355" spans="1:4">
      <c r="A3355" s="3" t="s">
        <v>471</v>
      </c>
      <c r="B3355" s="3" t="s">
        <v>472</v>
      </c>
      <c r="C3355">
        <v>2015</v>
      </c>
      <c r="D3355">
        <v>1921000000</v>
      </c>
    </row>
    <row r="3356" spans="1:4">
      <c r="A3356" s="3" t="s">
        <v>471</v>
      </c>
      <c r="B3356" s="3" t="s">
        <v>472</v>
      </c>
      <c r="C3356">
        <v>2016</v>
      </c>
      <c r="D3356">
        <v>2001000000</v>
      </c>
    </row>
    <row r="3357" spans="1:4">
      <c r="A3357" s="3" t="s">
        <v>471</v>
      </c>
      <c r="B3357" s="3" t="s">
        <v>472</v>
      </c>
      <c r="C3357">
        <v>2017</v>
      </c>
      <c r="D3357">
        <v>1660000000</v>
      </c>
    </row>
    <row r="3358" spans="1:4">
      <c r="A3358" s="3" t="s">
        <v>471</v>
      </c>
      <c r="B3358" s="3" t="s">
        <v>472</v>
      </c>
      <c r="C3358">
        <v>2018</v>
      </c>
      <c r="D3358">
        <v>1681000000</v>
      </c>
    </row>
    <row r="3359" spans="1:4">
      <c r="A3359" s="3" t="s">
        <v>471</v>
      </c>
      <c r="B3359" s="3" t="s">
        <v>472</v>
      </c>
      <c r="C3359">
        <v>2019</v>
      </c>
      <c r="D3359">
        <v>2061000000</v>
      </c>
    </row>
    <row r="3360" spans="1:4">
      <c r="A3360" s="3" t="s">
        <v>471</v>
      </c>
      <c r="B3360" s="3" t="s">
        <v>472</v>
      </c>
      <c r="C3360">
        <v>2020</v>
      </c>
      <c r="D3360">
        <v>1087000000</v>
      </c>
    </row>
    <row r="3361" spans="1:4">
      <c r="A3361" s="3" t="s">
        <v>471</v>
      </c>
      <c r="B3361" s="3" t="s">
        <v>472</v>
      </c>
      <c r="C3361">
        <v>2021</v>
      </c>
      <c r="D3361">
        <v>1310000000</v>
      </c>
    </row>
    <row r="3362" spans="1:4">
      <c r="A3362" s="3" t="s">
        <v>471</v>
      </c>
      <c r="B3362" s="3" t="s">
        <v>472</v>
      </c>
      <c r="C3362">
        <v>2022</v>
      </c>
      <c r="D3362">
        <v>4478000000</v>
      </c>
    </row>
    <row r="3363" spans="1:4">
      <c r="A3363" s="3" t="s">
        <v>471</v>
      </c>
      <c r="B3363" s="3" t="s">
        <v>472</v>
      </c>
      <c r="C3363">
        <v>2023</v>
      </c>
      <c r="D3363">
        <v>7797000000</v>
      </c>
    </row>
    <row r="3364" spans="1:4">
      <c r="A3364" s="3" t="s">
        <v>471</v>
      </c>
      <c r="B3364" s="3" t="s">
        <v>472</v>
      </c>
      <c r="C3364">
        <v>2024</v>
      </c>
      <c r="D3364">
        <v>9221000000</v>
      </c>
    </row>
    <row r="3365" spans="1:4">
      <c r="A3365" s="3" t="s">
        <v>473</v>
      </c>
      <c r="B3365" s="3" t="s">
        <v>474</v>
      </c>
      <c r="C3365">
        <v>2010</v>
      </c>
      <c r="D3365">
        <v>1000000</v>
      </c>
    </row>
    <row r="3366" spans="1:4">
      <c r="A3366" s="3" t="s">
        <v>473</v>
      </c>
      <c r="B3366" s="3" t="s">
        <v>474</v>
      </c>
      <c r="C3366">
        <v>2014</v>
      </c>
      <c r="D3366">
        <v>15000000</v>
      </c>
    </row>
    <row r="3367" spans="1:4">
      <c r="A3367" s="3" t="s">
        <v>473</v>
      </c>
      <c r="B3367" s="3" t="s">
        <v>474</v>
      </c>
      <c r="C3367">
        <v>2019</v>
      </c>
      <c r="D3367">
        <v>6000000</v>
      </c>
    </row>
    <row r="3368" spans="1:4">
      <c r="A3368" s="3" t="s">
        <v>473</v>
      </c>
      <c r="B3368" s="3" t="s">
        <v>474</v>
      </c>
      <c r="C3368">
        <v>2020</v>
      </c>
      <c r="D3368">
        <v>5000000</v>
      </c>
    </row>
    <row r="3369" spans="1:4">
      <c r="A3369" s="3" t="s">
        <v>473</v>
      </c>
      <c r="B3369" s="3" t="s">
        <v>474</v>
      </c>
      <c r="C3369">
        <v>2021</v>
      </c>
      <c r="D3369">
        <v>10000000</v>
      </c>
    </row>
    <row r="3370" spans="1:4">
      <c r="A3370" s="3" t="s">
        <v>473</v>
      </c>
      <c r="B3370" s="3" t="s">
        <v>474</v>
      </c>
      <c r="C3370">
        <v>2022</v>
      </c>
      <c r="D3370">
        <v>59000000</v>
      </c>
    </row>
    <row r="3371" spans="1:4">
      <c r="A3371" s="3" t="s">
        <v>473</v>
      </c>
      <c r="B3371" s="3" t="s">
        <v>474</v>
      </c>
      <c r="C3371">
        <v>2023</v>
      </c>
      <c r="D3371">
        <v>2000000</v>
      </c>
    </row>
    <row r="3372" spans="1:4">
      <c r="A3372" s="3" t="s">
        <v>473</v>
      </c>
      <c r="B3372" s="3" t="s">
        <v>474</v>
      </c>
      <c r="C3372">
        <v>2024</v>
      </c>
      <c r="D3372">
        <v>1000000</v>
      </c>
    </row>
    <row r="3373" spans="1:4">
      <c r="A3373" s="3" t="s">
        <v>475</v>
      </c>
      <c r="B3373" s="3" t="s">
        <v>476</v>
      </c>
      <c r="C3373">
        <v>2000</v>
      </c>
      <c r="D3373">
        <v>77000000</v>
      </c>
    </row>
    <row r="3374" spans="1:4">
      <c r="A3374" s="3" t="s">
        <v>475</v>
      </c>
      <c r="B3374" s="3" t="s">
        <v>476</v>
      </c>
      <c r="C3374">
        <v>2001</v>
      </c>
      <c r="D3374">
        <v>109000000</v>
      </c>
    </row>
    <row r="3375" spans="1:4">
      <c r="A3375" s="3" t="s">
        <v>475</v>
      </c>
      <c r="B3375" s="3" t="s">
        <v>476</v>
      </c>
      <c r="C3375">
        <v>2002</v>
      </c>
      <c r="D3375">
        <v>152000000</v>
      </c>
    </row>
    <row r="3376" spans="1:4">
      <c r="A3376" s="3" t="s">
        <v>475</v>
      </c>
      <c r="B3376" s="3" t="s">
        <v>476</v>
      </c>
      <c r="C3376">
        <v>2003</v>
      </c>
      <c r="D3376">
        <v>131000000</v>
      </c>
    </row>
    <row r="3377" spans="1:4">
      <c r="A3377" s="3" t="s">
        <v>475</v>
      </c>
      <c r="B3377" s="3" t="s">
        <v>476</v>
      </c>
      <c r="C3377">
        <v>2004</v>
      </c>
      <c r="D3377">
        <v>138000000</v>
      </c>
    </row>
    <row r="3378" spans="1:4">
      <c r="A3378" s="3" t="s">
        <v>475</v>
      </c>
      <c r="B3378" s="3" t="s">
        <v>476</v>
      </c>
      <c r="C3378">
        <v>2005</v>
      </c>
      <c r="D3378">
        <v>115000000</v>
      </c>
    </row>
    <row r="3379" spans="1:4">
      <c r="A3379" s="3" t="s">
        <v>475</v>
      </c>
      <c r="B3379" s="3" t="s">
        <v>476</v>
      </c>
      <c r="C3379">
        <v>2006</v>
      </c>
      <c r="D3379">
        <v>99000000</v>
      </c>
    </row>
    <row r="3380" spans="1:4">
      <c r="A3380" s="3" t="s">
        <v>475</v>
      </c>
      <c r="B3380" s="3" t="s">
        <v>476</v>
      </c>
      <c r="C3380">
        <v>2007</v>
      </c>
      <c r="D3380">
        <v>8000000</v>
      </c>
    </row>
    <row r="3381" spans="1:4">
      <c r="A3381" s="3" t="s">
        <v>475</v>
      </c>
      <c r="B3381" s="3" t="s">
        <v>476</v>
      </c>
      <c r="C3381">
        <v>2008</v>
      </c>
      <c r="D3381">
        <v>16000000</v>
      </c>
    </row>
    <row r="3382" spans="1:4">
      <c r="A3382" s="3" t="s">
        <v>475</v>
      </c>
      <c r="B3382" s="3" t="s">
        <v>476</v>
      </c>
      <c r="C3382">
        <v>2009</v>
      </c>
      <c r="D3382">
        <v>63000000</v>
      </c>
    </row>
    <row r="3383" spans="1:4">
      <c r="A3383" s="3" t="s">
        <v>475</v>
      </c>
      <c r="B3383" s="3" t="s">
        <v>476</v>
      </c>
      <c r="C3383">
        <v>2010</v>
      </c>
      <c r="D3383">
        <v>60000000</v>
      </c>
    </row>
    <row r="3384" spans="1:4">
      <c r="A3384" s="3" t="s">
        <v>475</v>
      </c>
      <c r="B3384" s="3" t="s">
        <v>476</v>
      </c>
      <c r="C3384">
        <v>2011</v>
      </c>
      <c r="D3384">
        <v>252000000</v>
      </c>
    </row>
    <row r="3385" spans="1:4">
      <c r="A3385" s="3" t="s">
        <v>475</v>
      </c>
      <c r="B3385" s="3" t="s">
        <v>476</v>
      </c>
      <c r="C3385">
        <v>2012</v>
      </c>
      <c r="D3385">
        <v>278000000</v>
      </c>
    </row>
    <row r="3386" spans="1:4">
      <c r="A3386" s="3" t="s">
        <v>475</v>
      </c>
      <c r="B3386" s="3" t="s">
        <v>476</v>
      </c>
      <c r="C3386">
        <v>2013</v>
      </c>
      <c r="D3386">
        <v>383000000</v>
      </c>
    </row>
    <row r="3387" spans="1:4">
      <c r="A3387" s="3" t="s">
        <v>475</v>
      </c>
      <c r="B3387" s="3" t="s">
        <v>476</v>
      </c>
      <c r="C3387">
        <v>2014</v>
      </c>
      <c r="D3387">
        <v>107000000</v>
      </c>
    </row>
    <row r="3388" spans="1:4">
      <c r="A3388" s="3" t="s">
        <v>475</v>
      </c>
      <c r="B3388" s="3" t="s">
        <v>476</v>
      </c>
      <c r="C3388">
        <v>2015</v>
      </c>
      <c r="D3388">
        <v>184000000</v>
      </c>
    </row>
    <row r="3389" spans="1:4">
      <c r="A3389" s="3" t="s">
        <v>475</v>
      </c>
      <c r="B3389" s="3" t="s">
        <v>476</v>
      </c>
      <c r="C3389">
        <v>2016</v>
      </c>
      <c r="D3389">
        <v>346000000</v>
      </c>
    </row>
    <row r="3390" spans="1:4">
      <c r="A3390" s="3" t="s">
        <v>475</v>
      </c>
      <c r="B3390" s="3" t="s">
        <v>476</v>
      </c>
      <c r="C3390">
        <v>2017</v>
      </c>
      <c r="D3390">
        <v>317000000</v>
      </c>
    </row>
    <row r="3391" spans="1:4">
      <c r="A3391" s="3" t="s">
        <v>475</v>
      </c>
      <c r="B3391" s="3" t="s">
        <v>476</v>
      </c>
      <c r="C3391">
        <v>2018</v>
      </c>
      <c r="D3391">
        <v>636000000</v>
      </c>
    </row>
    <row r="3392" spans="1:4">
      <c r="A3392" s="3" t="s">
        <v>475</v>
      </c>
      <c r="B3392" s="3" t="s">
        <v>476</v>
      </c>
      <c r="C3392">
        <v>2019</v>
      </c>
      <c r="D3392">
        <v>293000000</v>
      </c>
    </row>
    <row r="3393" spans="1:4">
      <c r="A3393" s="3" t="s">
        <v>475</v>
      </c>
      <c r="B3393" s="3" t="s">
        <v>476</v>
      </c>
      <c r="C3393">
        <v>2020</v>
      </c>
      <c r="D3393">
        <v>141000000</v>
      </c>
    </row>
    <row r="3394" spans="1:4">
      <c r="A3394" s="3" t="s">
        <v>475</v>
      </c>
      <c r="B3394" s="3" t="s">
        <v>476</v>
      </c>
      <c r="C3394">
        <v>2021</v>
      </c>
      <c r="D3394">
        <v>151000000</v>
      </c>
    </row>
    <row r="3395" spans="1:4">
      <c r="A3395" s="3" t="s">
        <v>475</v>
      </c>
      <c r="B3395" s="3" t="s">
        <v>476</v>
      </c>
      <c r="C3395">
        <v>2022</v>
      </c>
      <c r="D3395">
        <v>271000000</v>
      </c>
    </row>
    <row r="3396" spans="1:4">
      <c r="A3396" s="3" t="s">
        <v>475</v>
      </c>
      <c r="B3396" s="3" t="s">
        <v>476</v>
      </c>
      <c r="C3396">
        <v>2023</v>
      </c>
      <c r="D3396">
        <v>290000000</v>
      </c>
    </row>
    <row r="3397" spans="1:4">
      <c r="A3397" s="3" t="s">
        <v>475</v>
      </c>
      <c r="B3397" s="3" t="s">
        <v>476</v>
      </c>
      <c r="C3397">
        <v>2024</v>
      </c>
      <c r="D3397">
        <v>73000000</v>
      </c>
    </row>
    <row r="3398" spans="1:4">
      <c r="A3398" s="3" t="s">
        <v>477</v>
      </c>
      <c r="B3398" s="3" t="s">
        <v>478</v>
      </c>
      <c r="C3398">
        <v>2006</v>
      </c>
      <c r="D3398">
        <v>13000000</v>
      </c>
    </row>
    <row r="3399" spans="1:4">
      <c r="A3399" s="3" t="s">
        <v>477</v>
      </c>
      <c r="B3399" s="3" t="s">
        <v>478</v>
      </c>
      <c r="C3399">
        <v>2007</v>
      </c>
      <c r="D3399">
        <v>7000000</v>
      </c>
    </row>
    <row r="3400" spans="1:4">
      <c r="A3400" s="3" t="s">
        <v>477</v>
      </c>
      <c r="B3400" s="3" t="s">
        <v>478</v>
      </c>
      <c r="C3400">
        <v>2009</v>
      </c>
      <c r="D3400">
        <v>34000000</v>
      </c>
    </row>
    <row r="3401" spans="1:4">
      <c r="A3401" s="3" t="s">
        <v>477</v>
      </c>
      <c r="B3401" s="3" t="s">
        <v>478</v>
      </c>
      <c r="C3401">
        <v>2013</v>
      </c>
      <c r="D3401">
        <v>4000000</v>
      </c>
    </row>
    <row r="3402" spans="1:4">
      <c r="A3402" s="3" t="s">
        <v>477</v>
      </c>
      <c r="B3402" s="3" t="s">
        <v>478</v>
      </c>
      <c r="C3402">
        <v>2016</v>
      </c>
      <c r="D3402">
        <v>7000000</v>
      </c>
    </row>
    <row r="3403" spans="1:4">
      <c r="A3403" s="3" t="s">
        <v>477</v>
      </c>
      <c r="B3403" s="3" t="s">
        <v>478</v>
      </c>
      <c r="C3403">
        <v>2017</v>
      </c>
      <c r="D3403">
        <v>19000000</v>
      </c>
    </row>
    <row r="3404" spans="1:4">
      <c r="A3404" s="3" t="s">
        <v>477</v>
      </c>
      <c r="B3404" s="3" t="s">
        <v>478</v>
      </c>
      <c r="C3404">
        <v>2018</v>
      </c>
      <c r="D3404">
        <v>4000000</v>
      </c>
    </row>
    <row r="3405" spans="1:4">
      <c r="A3405" s="3" t="s">
        <v>477</v>
      </c>
      <c r="B3405" s="3" t="s">
        <v>478</v>
      </c>
      <c r="C3405">
        <v>2019</v>
      </c>
      <c r="D3405">
        <v>5000000</v>
      </c>
    </row>
    <row r="3406" spans="1:4">
      <c r="A3406" s="3" t="s">
        <v>477</v>
      </c>
      <c r="B3406" s="3" t="s">
        <v>478</v>
      </c>
      <c r="C3406">
        <v>2022</v>
      </c>
      <c r="D3406">
        <v>3000000</v>
      </c>
    </row>
    <row r="3407" spans="1:4">
      <c r="A3407" s="3" t="s">
        <v>477</v>
      </c>
      <c r="B3407" s="3" t="s">
        <v>478</v>
      </c>
      <c r="C3407">
        <v>2023</v>
      </c>
      <c r="D3407">
        <v>0</v>
      </c>
    </row>
    <row r="3408" spans="1:4">
      <c r="A3408" s="3" t="s">
        <v>477</v>
      </c>
      <c r="B3408" s="3" t="s">
        <v>478</v>
      </c>
      <c r="C3408">
        <v>2024</v>
      </c>
      <c r="D3408">
        <v>0</v>
      </c>
    </row>
    <row r="3409" spans="1:4">
      <c r="A3409" s="3" t="s">
        <v>479</v>
      </c>
      <c r="B3409" s="3" t="s">
        <v>480</v>
      </c>
      <c r="C3409">
        <v>2003</v>
      </c>
      <c r="D3409">
        <v>18000000</v>
      </c>
    </row>
    <row r="3410" spans="1:4">
      <c r="A3410" s="3" t="s">
        <v>479</v>
      </c>
      <c r="B3410" s="3" t="s">
        <v>480</v>
      </c>
      <c r="C3410">
        <v>2004</v>
      </c>
      <c r="D3410">
        <v>21000000</v>
      </c>
    </row>
    <row r="3411" spans="1:4">
      <c r="A3411" s="3" t="s">
        <v>479</v>
      </c>
      <c r="B3411" s="3" t="s">
        <v>480</v>
      </c>
      <c r="C3411">
        <v>2008</v>
      </c>
      <c r="D3411">
        <v>7000000</v>
      </c>
    </row>
    <row r="3412" spans="1:4">
      <c r="A3412" s="3" t="s">
        <v>479</v>
      </c>
      <c r="B3412" s="3" t="s">
        <v>480</v>
      </c>
      <c r="C3412">
        <v>2009</v>
      </c>
      <c r="D3412">
        <v>38000000</v>
      </c>
    </row>
    <row r="3413" spans="1:4">
      <c r="A3413" s="3" t="s">
        <v>479</v>
      </c>
      <c r="B3413" s="3" t="s">
        <v>480</v>
      </c>
      <c r="C3413">
        <v>2010</v>
      </c>
      <c r="D3413">
        <v>32000000</v>
      </c>
    </row>
    <row r="3414" spans="1:4">
      <c r="A3414" s="3" t="s">
        <v>479</v>
      </c>
      <c r="B3414" s="3" t="s">
        <v>480</v>
      </c>
      <c r="C3414">
        <v>2011</v>
      </c>
      <c r="D3414">
        <v>237000000</v>
      </c>
    </row>
    <row r="3415" spans="1:4">
      <c r="A3415" s="3" t="s">
        <v>479</v>
      </c>
      <c r="B3415" s="3" t="s">
        <v>480</v>
      </c>
      <c r="C3415">
        <v>2012</v>
      </c>
      <c r="D3415">
        <v>112000000</v>
      </c>
    </row>
    <row r="3416" spans="1:4">
      <c r="A3416" s="3" t="s">
        <v>479</v>
      </c>
      <c r="B3416" s="3" t="s">
        <v>480</v>
      </c>
      <c r="C3416">
        <v>2013</v>
      </c>
      <c r="D3416">
        <v>69000000</v>
      </c>
    </row>
    <row r="3417" spans="1:4">
      <c r="A3417" s="3" t="s">
        <v>479</v>
      </c>
      <c r="B3417" s="3" t="s">
        <v>480</v>
      </c>
      <c r="C3417">
        <v>2014</v>
      </c>
      <c r="D3417">
        <v>72000000</v>
      </c>
    </row>
    <row r="3418" spans="1:4">
      <c r="A3418" s="3" t="s">
        <v>479</v>
      </c>
      <c r="B3418" s="3" t="s">
        <v>480</v>
      </c>
      <c r="C3418">
        <v>2015</v>
      </c>
      <c r="D3418">
        <v>169000000</v>
      </c>
    </row>
    <row r="3419" spans="1:4">
      <c r="A3419" s="3" t="s">
        <v>479</v>
      </c>
      <c r="B3419" s="3" t="s">
        <v>480</v>
      </c>
      <c r="C3419">
        <v>2016</v>
      </c>
      <c r="D3419">
        <v>433000000</v>
      </c>
    </row>
    <row r="3420" spans="1:4">
      <c r="A3420" s="3" t="s">
        <v>479</v>
      </c>
      <c r="B3420" s="3" t="s">
        <v>480</v>
      </c>
      <c r="C3420">
        <v>2017</v>
      </c>
      <c r="D3420">
        <v>108000000</v>
      </c>
    </row>
    <row r="3421" spans="1:4">
      <c r="A3421" s="3" t="s">
        <v>479</v>
      </c>
      <c r="B3421" s="3" t="s">
        <v>480</v>
      </c>
      <c r="C3421">
        <v>2021</v>
      </c>
      <c r="D3421">
        <v>382000000</v>
      </c>
    </row>
    <row r="3422" spans="1:4">
      <c r="A3422" s="3" t="s">
        <v>481</v>
      </c>
      <c r="B3422" s="3" t="s">
        <v>482</v>
      </c>
      <c r="C3422">
        <v>2000</v>
      </c>
      <c r="D3422">
        <v>992000000</v>
      </c>
    </row>
    <row r="3423" spans="1:4">
      <c r="A3423" s="3" t="s">
        <v>481</v>
      </c>
      <c r="B3423" s="3" t="s">
        <v>482</v>
      </c>
      <c r="C3423">
        <v>2001</v>
      </c>
      <c r="D3423">
        <v>1231000000</v>
      </c>
    </row>
    <row r="3424" spans="1:4">
      <c r="A3424" s="3" t="s">
        <v>481</v>
      </c>
      <c r="B3424" s="3" t="s">
        <v>482</v>
      </c>
      <c r="C3424">
        <v>2002</v>
      </c>
      <c r="D3424">
        <v>679000000</v>
      </c>
    </row>
    <row r="3425" spans="1:4">
      <c r="A3425" s="3" t="s">
        <v>481</v>
      </c>
      <c r="B3425" s="3" t="s">
        <v>482</v>
      </c>
      <c r="C3425">
        <v>2003</v>
      </c>
      <c r="D3425">
        <v>535000000</v>
      </c>
    </row>
    <row r="3426" spans="1:4">
      <c r="A3426" s="3" t="s">
        <v>481</v>
      </c>
      <c r="B3426" s="3" t="s">
        <v>482</v>
      </c>
      <c r="C3426">
        <v>2004</v>
      </c>
      <c r="D3426">
        <v>746000000</v>
      </c>
    </row>
    <row r="3427" spans="1:4">
      <c r="A3427" s="3" t="s">
        <v>481</v>
      </c>
      <c r="B3427" s="3" t="s">
        <v>482</v>
      </c>
      <c r="C3427">
        <v>2005</v>
      </c>
      <c r="D3427">
        <v>1192000000</v>
      </c>
    </row>
    <row r="3428" spans="1:4">
      <c r="A3428" s="3" t="s">
        <v>481</v>
      </c>
      <c r="B3428" s="3" t="s">
        <v>482</v>
      </c>
      <c r="C3428">
        <v>2006</v>
      </c>
      <c r="D3428">
        <v>2063000000</v>
      </c>
    </row>
    <row r="3429" spans="1:4">
      <c r="A3429" s="3" t="s">
        <v>481</v>
      </c>
      <c r="B3429" s="3" t="s">
        <v>482</v>
      </c>
      <c r="C3429">
        <v>2008</v>
      </c>
      <c r="D3429">
        <v>1666000000</v>
      </c>
    </row>
    <row r="3430" spans="1:4">
      <c r="A3430" s="3" t="s">
        <v>481</v>
      </c>
      <c r="B3430" s="3" t="s">
        <v>482</v>
      </c>
      <c r="C3430">
        <v>2009</v>
      </c>
      <c r="D3430">
        <v>1359000000</v>
      </c>
    </row>
    <row r="3431" spans="1:4">
      <c r="A3431" s="3" t="s">
        <v>481</v>
      </c>
      <c r="B3431" s="3" t="s">
        <v>482</v>
      </c>
      <c r="C3431">
        <v>2010</v>
      </c>
      <c r="D3431">
        <v>1558000000</v>
      </c>
    </row>
    <row r="3432" spans="1:4">
      <c r="A3432" s="3" t="s">
        <v>481</v>
      </c>
      <c r="B3432" s="3" t="s">
        <v>482</v>
      </c>
      <c r="C3432">
        <v>2011</v>
      </c>
      <c r="D3432">
        <v>1743000000</v>
      </c>
    </row>
    <row r="3433" spans="1:4">
      <c r="A3433" s="3" t="s">
        <v>481</v>
      </c>
      <c r="B3433" s="3" t="s">
        <v>482</v>
      </c>
      <c r="C3433">
        <v>2012</v>
      </c>
      <c r="D3433">
        <v>1666000000</v>
      </c>
    </row>
    <row r="3434" spans="1:4">
      <c r="A3434" s="3" t="s">
        <v>481</v>
      </c>
      <c r="B3434" s="3" t="s">
        <v>482</v>
      </c>
      <c r="C3434">
        <v>2013</v>
      </c>
      <c r="D3434">
        <v>1576000000</v>
      </c>
    </row>
    <row r="3435" spans="1:4">
      <c r="A3435" s="3" t="s">
        <v>481</v>
      </c>
      <c r="B3435" s="3" t="s">
        <v>482</v>
      </c>
      <c r="C3435">
        <v>2014</v>
      </c>
      <c r="D3435">
        <v>1098000000</v>
      </c>
    </row>
    <row r="3436" spans="1:4">
      <c r="A3436" s="3" t="s">
        <v>481</v>
      </c>
      <c r="B3436" s="3" t="s">
        <v>482</v>
      </c>
      <c r="C3436">
        <v>2015</v>
      </c>
      <c r="D3436">
        <v>1368000000</v>
      </c>
    </row>
    <row r="3437" spans="1:4">
      <c r="A3437" s="3" t="s">
        <v>481</v>
      </c>
      <c r="B3437" s="3" t="s">
        <v>482</v>
      </c>
      <c r="C3437">
        <v>2016</v>
      </c>
      <c r="D3437">
        <v>1000000000</v>
      </c>
    </row>
    <row r="3438" spans="1:4">
      <c r="A3438" s="3" t="s">
        <v>481</v>
      </c>
      <c r="B3438" s="3" t="s">
        <v>482</v>
      </c>
      <c r="C3438">
        <v>2017</v>
      </c>
      <c r="D3438">
        <v>571000000</v>
      </c>
    </row>
    <row r="3439" spans="1:4">
      <c r="A3439" s="3" t="s">
        <v>481</v>
      </c>
      <c r="B3439" s="3" t="s">
        <v>482</v>
      </c>
      <c r="C3439">
        <v>2018</v>
      </c>
      <c r="D3439">
        <v>542000000</v>
      </c>
    </row>
    <row r="3440" spans="1:4">
      <c r="A3440" s="3" t="s">
        <v>481</v>
      </c>
      <c r="B3440" s="3" t="s">
        <v>482</v>
      </c>
      <c r="C3440">
        <v>2020</v>
      </c>
      <c r="D3440">
        <v>999000000</v>
      </c>
    </row>
    <row r="3441" spans="1:4">
      <c r="A3441" s="3" t="s">
        <v>481</v>
      </c>
      <c r="B3441" s="3" t="s">
        <v>482</v>
      </c>
      <c r="C3441">
        <v>2021</v>
      </c>
      <c r="D3441">
        <v>591000000</v>
      </c>
    </row>
    <row r="3442" spans="1:4">
      <c r="A3442" s="3" t="s">
        <v>481</v>
      </c>
      <c r="B3442" s="3" t="s">
        <v>482</v>
      </c>
      <c r="C3442">
        <v>2023</v>
      </c>
      <c r="D3442">
        <v>393000000</v>
      </c>
    </row>
    <row r="3443" spans="1:4">
      <c r="A3443" s="3" t="s">
        <v>481</v>
      </c>
      <c r="B3443" s="3" t="s">
        <v>482</v>
      </c>
      <c r="C3443">
        <v>2024</v>
      </c>
      <c r="D3443">
        <v>648000000</v>
      </c>
    </row>
    <row r="3444" spans="1:4">
      <c r="A3444" s="3" t="s">
        <v>483</v>
      </c>
      <c r="B3444" s="3" t="s">
        <v>484</v>
      </c>
      <c r="C3444">
        <v>2010</v>
      </c>
      <c r="D3444">
        <v>18000000</v>
      </c>
    </row>
    <row r="3445" spans="1:4">
      <c r="A3445" s="3" t="s">
        <v>483</v>
      </c>
      <c r="B3445" s="3" t="s">
        <v>484</v>
      </c>
      <c r="C3445">
        <v>2011</v>
      </c>
      <c r="D3445">
        <v>14000000</v>
      </c>
    </row>
    <row r="3446" spans="1:4">
      <c r="A3446" s="3" t="s">
        <v>485</v>
      </c>
      <c r="B3446" s="3" t="s">
        <v>486</v>
      </c>
      <c r="C3446">
        <v>2000</v>
      </c>
      <c r="D3446">
        <v>2308000000</v>
      </c>
    </row>
    <row r="3447" spans="1:4">
      <c r="A3447" s="3" t="s">
        <v>485</v>
      </c>
      <c r="B3447" s="3" t="s">
        <v>486</v>
      </c>
      <c r="C3447">
        <v>2001</v>
      </c>
      <c r="D3447">
        <v>2565000000</v>
      </c>
    </row>
    <row r="3448" spans="1:4">
      <c r="A3448" s="3" t="s">
        <v>485</v>
      </c>
      <c r="B3448" s="3" t="s">
        <v>486</v>
      </c>
      <c r="C3448">
        <v>2002</v>
      </c>
      <c r="D3448">
        <v>2963000000</v>
      </c>
    </row>
    <row r="3449" spans="1:4">
      <c r="A3449" s="3" t="s">
        <v>485</v>
      </c>
      <c r="B3449" s="3" t="s">
        <v>486</v>
      </c>
      <c r="C3449">
        <v>2003</v>
      </c>
      <c r="D3449">
        <v>2181000000</v>
      </c>
    </row>
    <row r="3450" spans="1:4">
      <c r="A3450" s="3" t="s">
        <v>485</v>
      </c>
      <c r="B3450" s="3" t="s">
        <v>486</v>
      </c>
      <c r="C3450">
        <v>2005</v>
      </c>
      <c r="D3450">
        <v>2403000000</v>
      </c>
    </row>
    <row r="3451" spans="1:4">
      <c r="A3451" s="3" t="s">
        <v>485</v>
      </c>
      <c r="B3451" s="3" t="s">
        <v>486</v>
      </c>
      <c r="C3451">
        <v>2006</v>
      </c>
      <c r="D3451">
        <v>2334000000</v>
      </c>
    </row>
    <row r="3452" spans="1:4">
      <c r="A3452" s="3" t="s">
        <v>485</v>
      </c>
      <c r="B3452" s="3" t="s">
        <v>486</v>
      </c>
      <c r="C3452">
        <v>2007</v>
      </c>
      <c r="D3452">
        <v>2833000000</v>
      </c>
    </row>
    <row r="3453" spans="1:4">
      <c r="A3453" s="3" t="s">
        <v>485</v>
      </c>
      <c r="B3453" s="3" t="s">
        <v>486</v>
      </c>
      <c r="C3453">
        <v>2008</v>
      </c>
      <c r="D3453">
        <v>4094000000</v>
      </c>
    </row>
    <row r="3454" spans="1:4">
      <c r="A3454" s="3" t="s">
        <v>485</v>
      </c>
      <c r="B3454" s="3" t="s">
        <v>486</v>
      </c>
      <c r="C3454">
        <v>2009</v>
      </c>
      <c r="D3454">
        <v>3803000000</v>
      </c>
    </row>
    <row r="3455" spans="1:4">
      <c r="A3455" s="3" t="s">
        <v>485</v>
      </c>
      <c r="B3455" s="3" t="s">
        <v>486</v>
      </c>
      <c r="C3455">
        <v>2010</v>
      </c>
      <c r="D3455">
        <v>5907000000</v>
      </c>
    </row>
    <row r="3456" spans="1:4">
      <c r="A3456" s="3" t="s">
        <v>485</v>
      </c>
      <c r="B3456" s="3" t="s">
        <v>486</v>
      </c>
      <c r="C3456">
        <v>2011</v>
      </c>
      <c r="D3456">
        <v>6356000000</v>
      </c>
    </row>
    <row r="3457" spans="1:4">
      <c r="A3457" s="3" t="s">
        <v>485</v>
      </c>
      <c r="B3457" s="3" t="s">
        <v>486</v>
      </c>
      <c r="C3457">
        <v>2012</v>
      </c>
      <c r="D3457">
        <v>4993000000</v>
      </c>
    </row>
    <row r="3458" spans="1:4">
      <c r="A3458" s="3" t="s">
        <v>485</v>
      </c>
      <c r="B3458" s="3" t="s">
        <v>486</v>
      </c>
      <c r="C3458">
        <v>2013</v>
      </c>
      <c r="D3458">
        <v>3680000000</v>
      </c>
    </row>
    <row r="3459" spans="1:4">
      <c r="A3459" s="3" t="s">
        <v>485</v>
      </c>
      <c r="B3459" s="3" t="s">
        <v>486</v>
      </c>
      <c r="C3459">
        <v>2014</v>
      </c>
      <c r="D3459">
        <v>3838000000</v>
      </c>
    </row>
    <row r="3460" spans="1:4">
      <c r="A3460" s="3" t="s">
        <v>485</v>
      </c>
      <c r="B3460" s="3" t="s">
        <v>486</v>
      </c>
      <c r="C3460">
        <v>2015</v>
      </c>
      <c r="D3460">
        <v>5124000000</v>
      </c>
    </row>
    <row r="3461" spans="1:4">
      <c r="A3461" s="3" t="s">
        <v>485</v>
      </c>
      <c r="B3461" s="3" t="s">
        <v>486</v>
      </c>
      <c r="C3461">
        <v>2016</v>
      </c>
      <c r="D3461">
        <v>8494000000</v>
      </c>
    </row>
    <row r="3462" spans="1:4">
      <c r="A3462" s="3" t="s">
        <v>485</v>
      </c>
      <c r="B3462" s="3" t="s">
        <v>486</v>
      </c>
      <c r="C3462">
        <v>2017</v>
      </c>
      <c r="D3462">
        <v>6863000000</v>
      </c>
    </row>
    <row r="3463" spans="1:4">
      <c r="A3463" s="3" t="s">
        <v>485</v>
      </c>
      <c r="B3463" s="3" t="s">
        <v>486</v>
      </c>
      <c r="C3463">
        <v>2018</v>
      </c>
      <c r="D3463">
        <v>5651000000</v>
      </c>
    </row>
    <row r="3464" spans="1:4">
      <c r="A3464" s="3" t="s">
        <v>485</v>
      </c>
      <c r="B3464" s="3" t="s">
        <v>486</v>
      </c>
      <c r="C3464">
        <v>2019</v>
      </c>
      <c r="D3464">
        <v>2916000000</v>
      </c>
    </row>
    <row r="3465" spans="1:4">
      <c r="A3465" s="3" t="s">
        <v>485</v>
      </c>
      <c r="B3465" s="3" t="s">
        <v>486</v>
      </c>
      <c r="C3465">
        <v>2020</v>
      </c>
      <c r="D3465">
        <v>3167000000</v>
      </c>
    </row>
    <row r="3466" spans="1:4">
      <c r="A3466" s="3" t="s">
        <v>485</v>
      </c>
      <c r="B3466" s="3" t="s">
        <v>486</v>
      </c>
      <c r="C3466">
        <v>2021</v>
      </c>
      <c r="D3466">
        <v>2747000000</v>
      </c>
    </row>
    <row r="3467" spans="1:4">
      <c r="A3467" s="3" t="s">
        <v>485</v>
      </c>
      <c r="B3467" s="3" t="s">
        <v>486</v>
      </c>
      <c r="C3467">
        <v>2022</v>
      </c>
      <c r="D3467">
        <v>3418000000</v>
      </c>
    </row>
    <row r="3468" spans="1:4">
      <c r="A3468" s="3" t="s">
        <v>485</v>
      </c>
      <c r="B3468" s="3" t="s">
        <v>486</v>
      </c>
      <c r="C3468">
        <v>2023</v>
      </c>
      <c r="D3468">
        <v>4402000000</v>
      </c>
    </row>
    <row r="3469" spans="1:4">
      <c r="A3469" s="3" t="s">
        <v>485</v>
      </c>
      <c r="B3469" s="3" t="s">
        <v>486</v>
      </c>
      <c r="C3469">
        <v>2024</v>
      </c>
      <c r="D3469">
        <v>1779000000</v>
      </c>
    </row>
    <row r="3470" spans="1:4">
      <c r="A3470" s="3" t="s">
        <v>487</v>
      </c>
      <c r="B3470" s="3" t="s">
        <v>488</v>
      </c>
      <c r="C3470">
        <v>2019</v>
      </c>
      <c r="D3470">
        <v>7000000</v>
      </c>
    </row>
    <row r="3471" spans="1:4">
      <c r="A3471" s="3" t="s">
        <v>487</v>
      </c>
      <c r="B3471" s="3" t="s">
        <v>488</v>
      </c>
      <c r="C3471">
        <v>2020</v>
      </c>
      <c r="D3471">
        <v>7000000</v>
      </c>
    </row>
    <row r="3472" spans="1:4">
      <c r="A3472" s="3" t="s">
        <v>489</v>
      </c>
      <c r="B3472" s="3" t="s">
        <v>490</v>
      </c>
      <c r="C3472">
        <v>2000</v>
      </c>
      <c r="D3472">
        <v>1482000000</v>
      </c>
    </row>
    <row r="3473" spans="1:4">
      <c r="A3473" s="3" t="s">
        <v>489</v>
      </c>
      <c r="B3473" s="3" t="s">
        <v>490</v>
      </c>
      <c r="C3473">
        <v>2001</v>
      </c>
      <c r="D3473">
        <v>1490000000</v>
      </c>
    </row>
    <row r="3474" spans="1:4">
      <c r="A3474" s="3" t="s">
        <v>489</v>
      </c>
      <c r="B3474" s="3" t="s">
        <v>490</v>
      </c>
      <c r="C3474">
        <v>2002</v>
      </c>
      <c r="D3474">
        <v>1992000000</v>
      </c>
    </row>
    <row r="3475" spans="1:4">
      <c r="A3475" s="3" t="s">
        <v>489</v>
      </c>
      <c r="B3475" s="3" t="s">
        <v>490</v>
      </c>
      <c r="C3475">
        <v>2003</v>
      </c>
      <c r="D3475">
        <v>2850000000</v>
      </c>
    </row>
    <row r="3476" spans="1:4">
      <c r="A3476" s="3" t="s">
        <v>489</v>
      </c>
      <c r="B3476" s="3" t="s">
        <v>490</v>
      </c>
      <c r="C3476">
        <v>2004</v>
      </c>
      <c r="D3476">
        <v>2352000000</v>
      </c>
    </row>
    <row r="3477" spans="1:4">
      <c r="A3477" s="3" t="s">
        <v>489</v>
      </c>
      <c r="B3477" s="3" t="s">
        <v>490</v>
      </c>
      <c r="C3477">
        <v>2005</v>
      </c>
      <c r="D3477">
        <v>1282000000</v>
      </c>
    </row>
    <row r="3478" spans="1:4">
      <c r="A3478" s="3" t="s">
        <v>489</v>
      </c>
      <c r="B3478" s="3" t="s">
        <v>490</v>
      </c>
      <c r="C3478">
        <v>2006</v>
      </c>
      <c r="D3478">
        <v>1819000000</v>
      </c>
    </row>
    <row r="3479" spans="1:4">
      <c r="A3479" s="3" t="s">
        <v>489</v>
      </c>
      <c r="B3479" s="3" t="s">
        <v>490</v>
      </c>
      <c r="C3479">
        <v>2007</v>
      </c>
      <c r="D3479">
        <v>2473000000</v>
      </c>
    </row>
    <row r="3480" spans="1:4">
      <c r="A3480" s="3" t="s">
        <v>489</v>
      </c>
      <c r="B3480" s="3" t="s">
        <v>490</v>
      </c>
      <c r="C3480">
        <v>2008</v>
      </c>
      <c r="D3480">
        <v>1735000000</v>
      </c>
    </row>
    <row r="3481" spans="1:4">
      <c r="A3481" s="3" t="s">
        <v>489</v>
      </c>
      <c r="B3481" s="3" t="s">
        <v>490</v>
      </c>
      <c r="C3481">
        <v>2009</v>
      </c>
      <c r="D3481">
        <v>1979000000</v>
      </c>
    </row>
    <row r="3482" spans="1:4">
      <c r="A3482" s="3" t="s">
        <v>489</v>
      </c>
      <c r="B3482" s="3" t="s">
        <v>490</v>
      </c>
      <c r="C3482">
        <v>2010</v>
      </c>
      <c r="D3482">
        <v>2943000000</v>
      </c>
    </row>
    <row r="3483" spans="1:4">
      <c r="A3483" s="3" t="s">
        <v>489</v>
      </c>
      <c r="B3483" s="3" t="s">
        <v>490</v>
      </c>
      <c r="C3483">
        <v>2011</v>
      </c>
      <c r="D3483">
        <v>3769000000</v>
      </c>
    </row>
    <row r="3484" spans="1:4">
      <c r="A3484" s="3" t="s">
        <v>489</v>
      </c>
      <c r="B3484" s="3" t="s">
        <v>490</v>
      </c>
      <c r="C3484">
        <v>2012</v>
      </c>
      <c r="D3484">
        <v>4705000000</v>
      </c>
    </row>
    <row r="3485" spans="1:4">
      <c r="A3485" s="3" t="s">
        <v>489</v>
      </c>
      <c r="B3485" s="3" t="s">
        <v>490</v>
      </c>
      <c r="C3485">
        <v>2013</v>
      </c>
      <c r="D3485">
        <v>5977000000</v>
      </c>
    </row>
    <row r="3486" spans="1:4">
      <c r="A3486" s="3" t="s">
        <v>489</v>
      </c>
      <c r="B3486" s="3" t="s">
        <v>490</v>
      </c>
      <c r="C3486">
        <v>2014</v>
      </c>
      <c r="D3486">
        <v>3499000000</v>
      </c>
    </row>
    <row r="3487" spans="1:4">
      <c r="A3487" s="3" t="s">
        <v>489</v>
      </c>
      <c r="B3487" s="3" t="s">
        <v>490</v>
      </c>
      <c r="C3487">
        <v>2015</v>
      </c>
      <c r="D3487">
        <v>3387000000</v>
      </c>
    </row>
    <row r="3488" spans="1:4">
      <c r="A3488" s="3" t="s">
        <v>489</v>
      </c>
      <c r="B3488" s="3" t="s">
        <v>490</v>
      </c>
      <c r="C3488">
        <v>2016</v>
      </c>
      <c r="D3488">
        <v>3116000000</v>
      </c>
    </row>
    <row r="3489" spans="1:4">
      <c r="A3489" s="3" t="s">
        <v>489</v>
      </c>
      <c r="B3489" s="3" t="s">
        <v>490</v>
      </c>
      <c r="C3489">
        <v>2017</v>
      </c>
      <c r="D3489">
        <v>3062000000</v>
      </c>
    </row>
    <row r="3490" spans="1:4">
      <c r="A3490" s="3" t="s">
        <v>489</v>
      </c>
      <c r="B3490" s="3" t="s">
        <v>490</v>
      </c>
      <c r="C3490">
        <v>2018</v>
      </c>
      <c r="D3490">
        <v>2250000000</v>
      </c>
    </row>
    <row r="3491" spans="1:4">
      <c r="A3491" s="3" t="s">
        <v>489</v>
      </c>
      <c r="B3491" s="3" t="s">
        <v>490</v>
      </c>
      <c r="C3491">
        <v>2019</v>
      </c>
      <c r="D3491">
        <v>4014000000</v>
      </c>
    </row>
    <row r="3492" spans="1:4">
      <c r="A3492" s="3" t="s">
        <v>489</v>
      </c>
      <c r="B3492" s="3" t="s">
        <v>490</v>
      </c>
      <c r="C3492">
        <v>2020</v>
      </c>
      <c r="D3492">
        <v>2743000000</v>
      </c>
    </row>
    <row r="3493" spans="1:4">
      <c r="A3493" s="3" t="s">
        <v>489</v>
      </c>
      <c r="B3493" s="3" t="s">
        <v>490</v>
      </c>
      <c r="C3493">
        <v>2021</v>
      </c>
      <c r="D3493">
        <v>4079000000</v>
      </c>
    </row>
    <row r="3494" spans="1:4">
      <c r="A3494" s="3" t="s">
        <v>489</v>
      </c>
      <c r="B3494" s="3" t="s">
        <v>490</v>
      </c>
      <c r="C3494">
        <v>2022</v>
      </c>
      <c r="D3494">
        <v>3035000000</v>
      </c>
    </row>
    <row r="3495" spans="1:4">
      <c r="A3495" s="3" t="s">
        <v>489</v>
      </c>
      <c r="B3495" s="3" t="s">
        <v>490</v>
      </c>
      <c r="C3495">
        <v>2023</v>
      </c>
      <c r="D3495">
        <v>1619000000</v>
      </c>
    </row>
    <row r="3496" spans="1:4">
      <c r="A3496" s="3" t="s">
        <v>489</v>
      </c>
      <c r="B3496" s="3" t="s">
        <v>490</v>
      </c>
      <c r="C3496">
        <v>2024</v>
      </c>
      <c r="D3496">
        <v>1689000000</v>
      </c>
    </row>
    <row r="3497" spans="1:4">
      <c r="A3497" s="3" t="s">
        <v>491</v>
      </c>
      <c r="B3497" s="3" t="s">
        <v>492</v>
      </c>
      <c r="C3497">
        <v>2000</v>
      </c>
      <c r="D3497">
        <v>633000000</v>
      </c>
    </row>
    <row r="3498" spans="1:4">
      <c r="A3498" s="3" t="s">
        <v>491</v>
      </c>
      <c r="B3498" s="3" t="s">
        <v>492</v>
      </c>
      <c r="C3498">
        <v>2001</v>
      </c>
      <c r="D3498">
        <v>459000000</v>
      </c>
    </row>
    <row r="3499" spans="1:4">
      <c r="A3499" s="3" t="s">
        <v>491</v>
      </c>
      <c r="B3499" s="3" t="s">
        <v>492</v>
      </c>
      <c r="C3499">
        <v>2006</v>
      </c>
      <c r="D3499">
        <v>1137000000</v>
      </c>
    </row>
    <row r="3500" spans="1:4">
      <c r="A3500" s="3" t="s">
        <v>491</v>
      </c>
      <c r="B3500" s="3" t="s">
        <v>492</v>
      </c>
      <c r="C3500">
        <v>2007</v>
      </c>
      <c r="D3500">
        <v>1262000000</v>
      </c>
    </row>
    <row r="3501" spans="1:4">
      <c r="A3501" s="3" t="s">
        <v>491</v>
      </c>
      <c r="B3501" s="3" t="s">
        <v>492</v>
      </c>
      <c r="C3501">
        <v>2008</v>
      </c>
      <c r="D3501">
        <v>932000000</v>
      </c>
    </row>
    <row r="3502" spans="1:4">
      <c r="A3502" s="3" t="s">
        <v>491</v>
      </c>
      <c r="B3502" s="3" t="s">
        <v>492</v>
      </c>
      <c r="C3502">
        <v>2009</v>
      </c>
      <c r="D3502">
        <v>639000000</v>
      </c>
    </row>
    <row r="3503" spans="1:4">
      <c r="A3503" s="3" t="s">
        <v>491</v>
      </c>
      <c r="B3503" s="3" t="s">
        <v>492</v>
      </c>
      <c r="C3503">
        <v>2010</v>
      </c>
      <c r="D3503">
        <v>1105000000</v>
      </c>
    </row>
    <row r="3504" spans="1:4">
      <c r="A3504" s="3" t="s">
        <v>491</v>
      </c>
      <c r="B3504" s="3" t="s">
        <v>492</v>
      </c>
      <c r="C3504">
        <v>2011</v>
      </c>
      <c r="D3504">
        <v>1384000000</v>
      </c>
    </row>
    <row r="3505" spans="1:4">
      <c r="A3505" s="3" t="s">
        <v>491</v>
      </c>
      <c r="B3505" s="3" t="s">
        <v>492</v>
      </c>
      <c r="C3505">
        <v>2012</v>
      </c>
      <c r="D3505">
        <v>1212000000</v>
      </c>
    </row>
    <row r="3506" spans="1:4">
      <c r="A3506" s="3" t="s">
        <v>491</v>
      </c>
      <c r="B3506" s="3" t="s">
        <v>492</v>
      </c>
      <c r="C3506">
        <v>2013</v>
      </c>
      <c r="D3506">
        <v>905000000</v>
      </c>
    </row>
    <row r="3507" spans="1:4">
      <c r="A3507" s="3" t="s">
        <v>491</v>
      </c>
      <c r="B3507" s="3" t="s">
        <v>492</v>
      </c>
      <c r="C3507">
        <v>2014</v>
      </c>
      <c r="D3507">
        <v>888000000</v>
      </c>
    </row>
    <row r="3508" spans="1:4">
      <c r="A3508" s="3" t="s">
        <v>491</v>
      </c>
      <c r="B3508" s="3" t="s">
        <v>492</v>
      </c>
      <c r="C3508">
        <v>2015</v>
      </c>
      <c r="D3508">
        <v>595000000</v>
      </c>
    </row>
    <row r="3509" spans="1:4">
      <c r="A3509" s="3" t="s">
        <v>491</v>
      </c>
      <c r="B3509" s="3" t="s">
        <v>492</v>
      </c>
      <c r="C3509">
        <v>2016</v>
      </c>
      <c r="D3509">
        <v>787000000</v>
      </c>
    </row>
    <row r="3510" spans="1:4">
      <c r="A3510" s="3" t="s">
        <v>491</v>
      </c>
      <c r="B3510" s="3" t="s">
        <v>492</v>
      </c>
      <c r="C3510">
        <v>2022</v>
      </c>
      <c r="D3510">
        <v>583000000</v>
      </c>
    </row>
    <row r="3511" spans="1:4">
      <c r="A3511" s="3" t="s">
        <v>491</v>
      </c>
      <c r="B3511" s="3" t="s">
        <v>492</v>
      </c>
      <c r="C3511">
        <v>2023</v>
      </c>
      <c r="D3511">
        <v>753000000</v>
      </c>
    </row>
    <row r="3512" spans="1:4">
      <c r="A3512" s="3" t="s">
        <v>493</v>
      </c>
      <c r="B3512" s="3" t="s">
        <v>494</v>
      </c>
      <c r="C3512">
        <v>2000</v>
      </c>
      <c r="D3512">
        <v>11000000</v>
      </c>
    </row>
    <row r="3513" spans="1:4">
      <c r="A3513" s="3" t="s">
        <v>493</v>
      </c>
      <c r="B3513" s="3" t="s">
        <v>494</v>
      </c>
      <c r="C3513">
        <v>2001</v>
      </c>
      <c r="D3513">
        <v>0</v>
      </c>
    </row>
    <row r="3514" spans="1:4">
      <c r="A3514" s="3" t="s">
        <v>493</v>
      </c>
      <c r="B3514" s="3" t="s">
        <v>494</v>
      </c>
      <c r="C3514">
        <v>2002</v>
      </c>
      <c r="D3514">
        <v>2000000</v>
      </c>
    </row>
    <row r="3515" spans="1:4">
      <c r="A3515" s="3" t="s">
        <v>493</v>
      </c>
      <c r="B3515" s="3" t="s">
        <v>494</v>
      </c>
      <c r="C3515">
        <v>2007</v>
      </c>
      <c r="D3515">
        <v>6000000</v>
      </c>
    </row>
    <row r="3516" spans="1:4">
      <c r="A3516" s="3" t="s">
        <v>493</v>
      </c>
      <c r="B3516" s="3" t="s">
        <v>494</v>
      </c>
      <c r="C3516">
        <v>2010</v>
      </c>
      <c r="D3516">
        <v>24000000</v>
      </c>
    </row>
    <row r="3517" spans="1:4">
      <c r="A3517" s="3" t="s">
        <v>493</v>
      </c>
      <c r="B3517" s="3" t="s">
        <v>494</v>
      </c>
      <c r="C3517">
        <v>2011</v>
      </c>
      <c r="D3517">
        <v>12000000</v>
      </c>
    </row>
    <row r="3518" spans="1:4">
      <c r="A3518" s="3" t="s">
        <v>493</v>
      </c>
      <c r="B3518" s="3" t="s">
        <v>494</v>
      </c>
      <c r="C3518">
        <v>2012</v>
      </c>
      <c r="D3518">
        <v>12000000</v>
      </c>
    </row>
    <row r="3519" spans="1:4">
      <c r="A3519" s="3" t="s">
        <v>493</v>
      </c>
      <c r="B3519" s="3" t="s">
        <v>494</v>
      </c>
      <c r="C3519">
        <v>2015</v>
      </c>
      <c r="D3519">
        <v>46000000</v>
      </c>
    </row>
    <row r="3520" spans="1:4">
      <c r="A3520" s="3" t="s">
        <v>493</v>
      </c>
      <c r="B3520" s="3" t="s">
        <v>494</v>
      </c>
      <c r="C3520">
        <v>2016</v>
      </c>
      <c r="D3520">
        <v>30000000</v>
      </c>
    </row>
    <row r="3521" spans="1:4">
      <c r="A3521" s="3" t="s">
        <v>493</v>
      </c>
      <c r="B3521" s="3" t="s">
        <v>494</v>
      </c>
      <c r="C3521">
        <v>2021</v>
      </c>
      <c r="D3521">
        <v>32000000</v>
      </c>
    </row>
    <row r="3522" spans="1:4">
      <c r="A3522" s="3" t="s">
        <v>495</v>
      </c>
      <c r="B3522" s="3" t="s">
        <v>496</v>
      </c>
      <c r="C3522">
        <v>2002</v>
      </c>
      <c r="D3522">
        <v>44000000</v>
      </c>
    </row>
    <row r="3523" spans="1:4">
      <c r="A3523" s="3" t="s">
        <v>495</v>
      </c>
      <c r="B3523" s="3" t="s">
        <v>496</v>
      </c>
      <c r="C3523">
        <v>2003</v>
      </c>
      <c r="D3523">
        <v>1000000</v>
      </c>
    </row>
    <row r="3524" spans="1:4">
      <c r="A3524" s="3" t="s">
        <v>495</v>
      </c>
      <c r="B3524" s="3" t="s">
        <v>496</v>
      </c>
      <c r="C3524">
        <v>2005</v>
      </c>
      <c r="D3524">
        <v>168000000</v>
      </c>
    </row>
    <row r="3525" spans="1:4">
      <c r="A3525" s="3" t="s">
        <v>495</v>
      </c>
      <c r="B3525" s="3" t="s">
        <v>496</v>
      </c>
      <c r="C3525">
        <v>2006</v>
      </c>
      <c r="D3525">
        <v>2000000</v>
      </c>
    </row>
    <row r="3526" spans="1:4">
      <c r="A3526" s="3" t="s">
        <v>495</v>
      </c>
      <c r="B3526" s="3" t="s">
        <v>496</v>
      </c>
      <c r="C3526">
        <v>2008</v>
      </c>
      <c r="D3526">
        <v>3000000</v>
      </c>
    </row>
    <row r="3527" spans="1:4">
      <c r="A3527" s="3" t="s">
        <v>495</v>
      </c>
      <c r="B3527" s="3" t="s">
        <v>496</v>
      </c>
      <c r="C3527">
        <v>2010</v>
      </c>
      <c r="D3527">
        <v>7000000</v>
      </c>
    </row>
    <row r="3528" spans="1:4">
      <c r="A3528" s="3" t="s">
        <v>495</v>
      </c>
      <c r="B3528" s="3" t="s">
        <v>496</v>
      </c>
      <c r="C3528">
        <v>2011</v>
      </c>
      <c r="D3528">
        <v>7000000</v>
      </c>
    </row>
    <row r="3529" spans="1:4">
      <c r="A3529" s="3" t="s">
        <v>495</v>
      </c>
      <c r="B3529" s="3" t="s">
        <v>496</v>
      </c>
      <c r="C3529">
        <v>2013</v>
      </c>
      <c r="D3529">
        <v>40000000</v>
      </c>
    </row>
    <row r="3530" spans="1:4">
      <c r="A3530" s="3" t="s">
        <v>495</v>
      </c>
      <c r="B3530" s="3" t="s">
        <v>496</v>
      </c>
      <c r="C3530">
        <v>2014</v>
      </c>
      <c r="D3530">
        <v>50000000</v>
      </c>
    </row>
    <row r="3531" spans="1:4">
      <c r="A3531" s="3" t="s">
        <v>495</v>
      </c>
      <c r="B3531" s="3" t="s">
        <v>496</v>
      </c>
      <c r="C3531">
        <v>2015</v>
      </c>
      <c r="D3531">
        <v>7000000</v>
      </c>
    </row>
    <row r="3532" spans="1:4">
      <c r="A3532" s="3" t="s">
        <v>495</v>
      </c>
      <c r="B3532" s="3" t="s">
        <v>496</v>
      </c>
      <c r="C3532">
        <v>2016</v>
      </c>
      <c r="D3532">
        <v>43000000</v>
      </c>
    </row>
    <row r="3533" spans="1:4">
      <c r="A3533" s="3" t="s">
        <v>495</v>
      </c>
      <c r="B3533" s="3" t="s">
        <v>496</v>
      </c>
      <c r="C3533">
        <v>2017</v>
      </c>
      <c r="D3533">
        <v>98000000</v>
      </c>
    </row>
    <row r="3534" spans="1:4">
      <c r="A3534" s="3" t="s">
        <v>495</v>
      </c>
      <c r="B3534" s="3" t="s">
        <v>496</v>
      </c>
      <c r="C3534">
        <v>2018</v>
      </c>
      <c r="D3534">
        <v>181000000</v>
      </c>
    </row>
    <row r="3535" spans="1:4">
      <c r="A3535" s="3" t="s">
        <v>495</v>
      </c>
      <c r="B3535" s="3" t="s">
        <v>496</v>
      </c>
      <c r="C3535">
        <v>2019</v>
      </c>
      <c r="D3535">
        <v>15000000</v>
      </c>
    </row>
    <row r="3536" spans="1:4">
      <c r="A3536" s="3" t="s">
        <v>495</v>
      </c>
      <c r="B3536" s="3" t="s">
        <v>496</v>
      </c>
      <c r="C3536">
        <v>2020</v>
      </c>
      <c r="D3536">
        <v>16000000</v>
      </c>
    </row>
    <row r="3537" spans="1:4">
      <c r="A3537" s="3" t="s">
        <v>495</v>
      </c>
      <c r="B3537" s="3" t="s">
        <v>496</v>
      </c>
      <c r="C3537">
        <v>2021</v>
      </c>
      <c r="D3537">
        <v>19000000</v>
      </c>
    </row>
    <row r="3538" spans="1:4">
      <c r="A3538" s="3" t="s">
        <v>495</v>
      </c>
      <c r="B3538" s="3" t="s">
        <v>496</v>
      </c>
      <c r="C3538">
        <v>2022</v>
      </c>
      <c r="D3538">
        <v>35000000</v>
      </c>
    </row>
    <row r="3539" spans="1:4">
      <c r="A3539" s="3" t="s">
        <v>495</v>
      </c>
      <c r="B3539" s="3" t="s">
        <v>496</v>
      </c>
      <c r="C3539">
        <v>2023</v>
      </c>
      <c r="D3539">
        <v>35000000</v>
      </c>
    </row>
    <row r="3540" spans="1:4">
      <c r="A3540" s="3" t="s">
        <v>495</v>
      </c>
      <c r="B3540" s="3" t="s">
        <v>496</v>
      </c>
      <c r="C3540">
        <v>2024</v>
      </c>
      <c r="D3540">
        <v>78000000</v>
      </c>
    </row>
    <row r="3541" spans="1:4">
      <c r="A3541" s="3" t="s">
        <v>497</v>
      </c>
      <c r="B3541" s="3" t="s">
        <v>498</v>
      </c>
      <c r="C3541">
        <v>2000</v>
      </c>
      <c r="D3541">
        <v>1181000000</v>
      </c>
    </row>
    <row r="3542" spans="1:4">
      <c r="A3542" s="3" t="s">
        <v>497</v>
      </c>
      <c r="B3542" s="3" t="s">
        <v>498</v>
      </c>
      <c r="C3542">
        <v>2001</v>
      </c>
      <c r="D3542">
        <v>501000000</v>
      </c>
    </row>
    <row r="3543" spans="1:4">
      <c r="A3543" s="3" t="s">
        <v>497</v>
      </c>
      <c r="B3543" s="3" t="s">
        <v>498</v>
      </c>
      <c r="C3543">
        <v>2002</v>
      </c>
      <c r="D3543">
        <v>878000000</v>
      </c>
    </row>
    <row r="3544" spans="1:4">
      <c r="A3544" s="3" t="s">
        <v>497</v>
      </c>
      <c r="B3544" s="3" t="s">
        <v>498</v>
      </c>
      <c r="C3544">
        <v>2003</v>
      </c>
      <c r="D3544">
        <v>327000000</v>
      </c>
    </row>
    <row r="3545" spans="1:4">
      <c r="A3545" s="3" t="s">
        <v>497</v>
      </c>
      <c r="B3545" s="3" t="s">
        <v>498</v>
      </c>
      <c r="C3545">
        <v>2004</v>
      </c>
      <c r="D3545">
        <v>252000000</v>
      </c>
    </row>
    <row r="3546" spans="1:4">
      <c r="A3546" s="3" t="s">
        <v>497</v>
      </c>
      <c r="B3546" s="3" t="s">
        <v>498</v>
      </c>
      <c r="C3546">
        <v>2005</v>
      </c>
      <c r="D3546">
        <v>1076000000</v>
      </c>
    </row>
    <row r="3547" spans="1:4">
      <c r="A3547" s="3" t="s">
        <v>497</v>
      </c>
      <c r="B3547" s="3" t="s">
        <v>498</v>
      </c>
      <c r="C3547">
        <v>2006</v>
      </c>
      <c r="D3547">
        <v>524000000</v>
      </c>
    </row>
    <row r="3548" spans="1:4">
      <c r="A3548" s="3" t="s">
        <v>497</v>
      </c>
      <c r="B3548" s="3" t="s">
        <v>498</v>
      </c>
      <c r="C3548">
        <v>2007</v>
      </c>
      <c r="D3548">
        <v>675000000</v>
      </c>
    </row>
    <row r="3549" spans="1:4">
      <c r="A3549" s="3" t="s">
        <v>497</v>
      </c>
      <c r="B3549" s="3" t="s">
        <v>498</v>
      </c>
      <c r="C3549">
        <v>2008</v>
      </c>
      <c r="D3549">
        <v>623000000</v>
      </c>
    </row>
    <row r="3550" spans="1:4">
      <c r="A3550" s="3" t="s">
        <v>497</v>
      </c>
      <c r="B3550" s="3" t="s">
        <v>498</v>
      </c>
      <c r="C3550">
        <v>2009</v>
      </c>
      <c r="D3550">
        <v>714000000</v>
      </c>
    </row>
    <row r="3551" spans="1:4">
      <c r="A3551" s="3" t="s">
        <v>497</v>
      </c>
      <c r="B3551" s="3" t="s">
        <v>498</v>
      </c>
      <c r="C3551">
        <v>2010</v>
      </c>
      <c r="D3551">
        <v>469000000</v>
      </c>
    </row>
    <row r="3552" spans="1:4">
      <c r="A3552" s="3" t="s">
        <v>497</v>
      </c>
      <c r="B3552" s="3" t="s">
        <v>498</v>
      </c>
      <c r="C3552">
        <v>2011</v>
      </c>
      <c r="D3552">
        <v>794000000</v>
      </c>
    </row>
    <row r="3553" spans="1:4">
      <c r="A3553" s="3" t="s">
        <v>497</v>
      </c>
      <c r="B3553" s="3" t="s">
        <v>498</v>
      </c>
      <c r="C3553">
        <v>2012</v>
      </c>
      <c r="D3553">
        <v>1482000000</v>
      </c>
    </row>
    <row r="3554" spans="1:4">
      <c r="A3554" s="3" t="s">
        <v>497</v>
      </c>
      <c r="B3554" s="3" t="s">
        <v>498</v>
      </c>
      <c r="C3554">
        <v>2013</v>
      </c>
      <c r="D3554">
        <v>769000000</v>
      </c>
    </row>
    <row r="3555" spans="1:4">
      <c r="A3555" s="3" t="s">
        <v>497</v>
      </c>
      <c r="B3555" s="3" t="s">
        <v>498</v>
      </c>
      <c r="C3555">
        <v>2014</v>
      </c>
      <c r="D3555">
        <v>1529000000</v>
      </c>
    </row>
    <row r="3556" spans="1:4">
      <c r="A3556" s="3" t="s">
        <v>497</v>
      </c>
      <c r="B3556" s="3" t="s">
        <v>498</v>
      </c>
      <c r="C3556">
        <v>2015</v>
      </c>
      <c r="D3556">
        <v>446000000</v>
      </c>
    </row>
    <row r="3557" spans="1:4">
      <c r="A3557" s="3" t="s">
        <v>497</v>
      </c>
      <c r="B3557" s="3" t="s">
        <v>498</v>
      </c>
      <c r="C3557">
        <v>2016</v>
      </c>
      <c r="D3557">
        <v>324000000</v>
      </c>
    </row>
    <row r="3558" spans="1:4">
      <c r="A3558" s="3" t="s">
        <v>497</v>
      </c>
      <c r="B3558" s="3" t="s">
        <v>498</v>
      </c>
      <c r="C3558">
        <v>2017</v>
      </c>
      <c r="D3558">
        <v>427000000</v>
      </c>
    </row>
    <row r="3559" spans="1:4">
      <c r="A3559" s="3" t="s">
        <v>497</v>
      </c>
      <c r="B3559" s="3" t="s">
        <v>498</v>
      </c>
      <c r="C3559">
        <v>2018</v>
      </c>
      <c r="D3559">
        <v>476000000</v>
      </c>
    </row>
    <row r="3560" spans="1:4">
      <c r="A3560" s="3" t="s">
        <v>497</v>
      </c>
      <c r="B3560" s="3" t="s">
        <v>498</v>
      </c>
      <c r="C3560">
        <v>2019</v>
      </c>
      <c r="D3560">
        <v>742000000</v>
      </c>
    </row>
    <row r="3561" spans="1:4">
      <c r="A3561" s="3" t="s">
        <v>497</v>
      </c>
      <c r="B3561" s="3" t="s">
        <v>498</v>
      </c>
      <c r="C3561">
        <v>2020</v>
      </c>
      <c r="D3561">
        <v>110000000</v>
      </c>
    </row>
    <row r="3562" spans="1:4">
      <c r="A3562" s="3" t="s">
        <v>497</v>
      </c>
      <c r="B3562" s="3" t="s">
        <v>498</v>
      </c>
      <c r="C3562">
        <v>2021</v>
      </c>
      <c r="D3562">
        <v>249000000</v>
      </c>
    </row>
    <row r="3563" spans="1:4">
      <c r="A3563" s="3" t="s">
        <v>497</v>
      </c>
      <c r="B3563" s="3" t="s">
        <v>498</v>
      </c>
      <c r="C3563">
        <v>2022</v>
      </c>
      <c r="D3563">
        <v>187000000</v>
      </c>
    </row>
    <row r="3564" spans="1:4">
      <c r="A3564" s="3" t="s">
        <v>497</v>
      </c>
      <c r="B3564" s="3" t="s">
        <v>498</v>
      </c>
      <c r="C3564">
        <v>2023</v>
      </c>
      <c r="D3564">
        <v>679000000</v>
      </c>
    </row>
    <row r="3565" spans="1:4">
      <c r="A3565" s="3" t="s">
        <v>497</v>
      </c>
      <c r="B3565" s="3" t="s">
        <v>498</v>
      </c>
      <c r="C3565">
        <v>2024</v>
      </c>
      <c r="D3565">
        <v>381000000</v>
      </c>
    </row>
    <row r="3566" spans="1:4">
      <c r="A3566" s="3" t="s">
        <v>499</v>
      </c>
      <c r="B3566" s="3" t="s">
        <v>500</v>
      </c>
      <c r="C3566">
        <v>2019</v>
      </c>
      <c r="D3566">
        <v>7000000</v>
      </c>
    </row>
    <row r="3567" spans="1:4">
      <c r="A3567" s="3" t="s">
        <v>501</v>
      </c>
      <c r="B3567" s="3" t="s">
        <v>502</v>
      </c>
      <c r="C3567">
        <v>2000</v>
      </c>
      <c r="D3567">
        <v>2000000</v>
      </c>
    </row>
    <row r="3568" spans="1:4">
      <c r="A3568" s="3" t="s">
        <v>501</v>
      </c>
      <c r="B3568" s="3" t="s">
        <v>502</v>
      </c>
      <c r="C3568">
        <v>2002</v>
      </c>
      <c r="D3568">
        <v>1000000</v>
      </c>
    </row>
    <row r="3569" spans="1:4">
      <c r="A3569" s="3" t="s">
        <v>501</v>
      </c>
      <c r="B3569" s="3" t="s">
        <v>502</v>
      </c>
      <c r="C3569">
        <v>2003</v>
      </c>
      <c r="D3569">
        <v>51000000</v>
      </c>
    </row>
    <row r="3570" spans="1:4">
      <c r="A3570" s="3" t="s">
        <v>501</v>
      </c>
      <c r="B3570" s="3" t="s">
        <v>502</v>
      </c>
      <c r="C3570">
        <v>2005</v>
      </c>
      <c r="D3570">
        <v>10000000</v>
      </c>
    </row>
    <row r="3571" spans="1:4">
      <c r="A3571" s="3" t="s">
        <v>501</v>
      </c>
      <c r="B3571" s="3" t="s">
        <v>502</v>
      </c>
      <c r="C3571">
        <v>2006</v>
      </c>
      <c r="D3571">
        <v>12000000</v>
      </c>
    </row>
    <row r="3572" spans="1:4">
      <c r="A3572" s="3" t="s">
        <v>501</v>
      </c>
      <c r="B3572" s="3" t="s">
        <v>502</v>
      </c>
      <c r="C3572">
        <v>2007</v>
      </c>
      <c r="D3572">
        <v>1000000</v>
      </c>
    </row>
    <row r="3573" spans="1:4">
      <c r="A3573" s="3" t="s">
        <v>501</v>
      </c>
      <c r="B3573" s="3" t="s">
        <v>502</v>
      </c>
      <c r="C3573">
        <v>2009</v>
      </c>
      <c r="D3573">
        <v>29000000</v>
      </c>
    </row>
    <row r="3574" spans="1:4">
      <c r="A3574" s="3" t="s">
        <v>501</v>
      </c>
      <c r="B3574" s="3" t="s">
        <v>502</v>
      </c>
      <c r="C3574">
        <v>2011</v>
      </c>
      <c r="D3574">
        <v>78000000</v>
      </c>
    </row>
    <row r="3575" spans="1:4">
      <c r="A3575" s="3" t="s">
        <v>501</v>
      </c>
      <c r="B3575" s="3" t="s">
        <v>502</v>
      </c>
      <c r="C3575">
        <v>2012</v>
      </c>
      <c r="D3575">
        <v>115000000</v>
      </c>
    </row>
    <row r="3576" spans="1:4">
      <c r="A3576" s="3" t="s">
        <v>501</v>
      </c>
      <c r="B3576" s="3" t="s">
        <v>502</v>
      </c>
      <c r="C3576">
        <v>2013</v>
      </c>
      <c r="D3576">
        <v>130000000</v>
      </c>
    </row>
    <row r="3577" spans="1:4">
      <c r="A3577" s="3" t="s">
        <v>501</v>
      </c>
      <c r="B3577" s="3" t="s">
        <v>502</v>
      </c>
      <c r="C3577">
        <v>2014</v>
      </c>
      <c r="D3577">
        <v>14000000</v>
      </c>
    </row>
    <row r="3578" spans="1:4">
      <c r="A3578" s="3" t="s">
        <v>501</v>
      </c>
      <c r="B3578" s="3" t="s">
        <v>502</v>
      </c>
      <c r="C3578">
        <v>2015</v>
      </c>
      <c r="D3578">
        <v>20000000</v>
      </c>
    </row>
    <row r="3579" spans="1:4">
      <c r="A3579" s="3" t="s">
        <v>501</v>
      </c>
      <c r="B3579" s="3" t="s">
        <v>502</v>
      </c>
      <c r="C3579">
        <v>2016</v>
      </c>
      <c r="D3579">
        <v>20000000</v>
      </c>
    </row>
    <row r="3580" spans="1:4">
      <c r="A3580" s="3" t="s">
        <v>501</v>
      </c>
      <c r="B3580" s="3" t="s">
        <v>502</v>
      </c>
      <c r="C3580">
        <v>2017</v>
      </c>
      <c r="D3580">
        <v>2000000</v>
      </c>
    </row>
    <row r="3581" spans="1:4">
      <c r="A3581" s="3" t="s">
        <v>501</v>
      </c>
      <c r="B3581" s="3" t="s">
        <v>502</v>
      </c>
      <c r="C3581">
        <v>2018</v>
      </c>
      <c r="D3581">
        <v>17000000</v>
      </c>
    </row>
    <row r="3582" spans="1:4">
      <c r="A3582" s="3" t="s">
        <v>501</v>
      </c>
      <c r="B3582" s="3" t="s">
        <v>502</v>
      </c>
      <c r="C3582">
        <v>2020</v>
      </c>
      <c r="D3582">
        <v>9000000</v>
      </c>
    </row>
    <row r="3583" spans="1:4">
      <c r="A3583" s="3" t="s">
        <v>501</v>
      </c>
      <c r="B3583" s="3" t="s">
        <v>502</v>
      </c>
      <c r="C3583">
        <v>2021</v>
      </c>
      <c r="D3583">
        <v>53000000</v>
      </c>
    </row>
    <row r="3584" spans="1:4">
      <c r="A3584" s="3" t="s">
        <v>503</v>
      </c>
      <c r="B3584" s="3" t="s">
        <v>504</v>
      </c>
      <c r="C3584">
        <v>2000</v>
      </c>
      <c r="D3584">
        <v>6000000</v>
      </c>
    </row>
    <row r="3585" spans="1:4">
      <c r="A3585" s="3" t="s">
        <v>503</v>
      </c>
      <c r="B3585" s="3" t="s">
        <v>504</v>
      </c>
      <c r="C3585">
        <v>2002</v>
      </c>
      <c r="D3585">
        <v>33000000</v>
      </c>
    </row>
    <row r="3586" spans="1:4">
      <c r="A3586" s="3" t="s">
        <v>503</v>
      </c>
      <c r="B3586" s="3" t="s">
        <v>504</v>
      </c>
      <c r="C3586">
        <v>2004</v>
      </c>
      <c r="D3586">
        <v>36000000</v>
      </c>
    </row>
    <row r="3587" spans="1:4">
      <c r="A3587" s="3" t="s">
        <v>503</v>
      </c>
      <c r="B3587" s="3" t="s">
        <v>504</v>
      </c>
      <c r="C3587">
        <v>2005</v>
      </c>
      <c r="D3587">
        <v>10000000</v>
      </c>
    </row>
    <row r="3588" spans="1:4">
      <c r="A3588" s="3" t="s">
        <v>503</v>
      </c>
      <c r="B3588" s="3" t="s">
        <v>504</v>
      </c>
      <c r="C3588">
        <v>2006</v>
      </c>
      <c r="D3588">
        <v>5000000</v>
      </c>
    </row>
    <row r="3589" spans="1:4">
      <c r="A3589" s="3" t="s">
        <v>503</v>
      </c>
      <c r="B3589" s="3" t="s">
        <v>504</v>
      </c>
      <c r="C3589">
        <v>2007</v>
      </c>
      <c r="D3589">
        <v>0</v>
      </c>
    </row>
    <row r="3590" spans="1:4">
      <c r="A3590" s="3" t="s">
        <v>503</v>
      </c>
      <c r="B3590" s="3" t="s">
        <v>504</v>
      </c>
      <c r="C3590">
        <v>2008</v>
      </c>
      <c r="D3590">
        <v>14000000</v>
      </c>
    </row>
    <row r="3591" spans="1:4">
      <c r="A3591" s="3" t="s">
        <v>503</v>
      </c>
      <c r="B3591" s="3" t="s">
        <v>504</v>
      </c>
      <c r="C3591">
        <v>2009</v>
      </c>
      <c r="D3591">
        <v>28000000</v>
      </c>
    </row>
    <row r="3592" spans="1:4">
      <c r="A3592" s="3" t="s">
        <v>503</v>
      </c>
      <c r="B3592" s="3" t="s">
        <v>504</v>
      </c>
      <c r="C3592">
        <v>2010</v>
      </c>
      <c r="D3592">
        <v>37000000</v>
      </c>
    </row>
    <row r="3593" spans="1:4">
      <c r="A3593" s="3" t="s">
        <v>503</v>
      </c>
      <c r="B3593" s="3" t="s">
        <v>504</v>
      </c>
      <c r="C3593">
        <v>2011</v>
      </c>
      <c r="D3593">
        <v>468000000</v>
      </c>
    </row>
    <row r="3594" spans="1:4">
      <c r="A3594" s="3" t="s">
        <v>503</v>
      </c>
      <c r="B3594" s="3" t="s">
        <v>504</v>
      </c>
      <c r="C3594">
        <v>2012</v>
      </c>
      <c r="D3594">
        <v>213000000</v>
      </c>
    </row>
    <row r="3595" spans="1:4">
      <c r="A3595" s="3" t="s">
        <v>503</v>
      </c>
      <c r="B3595" s="3" t="s">
        <v>504</v>
      </c>
      <c r="C3595">
        <v>2013</v>
      </c>
      <c r="D3595">
        <v>20000000</v>
      </c>
    </row>
    <row r="3596" spans="1:4">
      <c r="A3596" s="3" t="s">
        <v>503</v>
      </c>
      <c r="B3596" s="3" t="s">
        <v>504</v>
      </c>
      <c r="C3596">
        <v>2014</v>
      </c>
      <c r="D3596">
        <v>2000000</v>
      </c>
    </row>
    <row r="3597" spans="1:4">
      <c r="A3597" s="3" t="s">
        <v>503</v>
      </c>
      <c r="B3597" s="3" t="s">
        <v>504</v>
      </c>
      <c r="C3597">
        <v>2015</v>
      </c>
      <c r="D3597">
        <v>7000000</v>
      </c>
    </row>
    <row r="3598" spans="1:4">
      <c r="A3598" s="3" t="s">
        <v>503</v>
      </c>
      <c r="B3598" s="3" t="s">
        <v>504</v>
      </c>
      <c r="C3598">
        <v>2016</v>
      </c>
      <c r="D3598">
        <v>1000000</v>
      </c>
    </row>
    <row r="3599" spans="1:4">
      <c r="A3599" s="3" t="s">
        <v>503</v>
      </c>
      <c r="B3599" s="3" t="s">
        <v>504</v>
      </c>
      <c r="C3599">
        <v>2017</v>
      </c>
      <c r="D3599">
        <v>22000000</v>
      </c>
    </row>
    <row r="3600" spans="1:4">
      <c r="A3600" s="3" t="s">
        <v>503</v>
      </c>
      <c r="B3600" s="3" t="s">
        <v>504</v>
      </c>
      <c r="C3600">
        <v>2018</v>
      </c>
      <c r="D3600">
        <v>10000000</v>
      </c>
    </row>
    <row r="3601" spans="1:4">
      <c r="A3601" s="3" t="s">
        <v>503</v>
      </c>
      <c r="B3601" s="3" t="s">
        <v>504</v>
      </c>
      <c r="C3601">
        <v>2019</v>
      </c>
      <c r="D3601">
        <v>23000000</v>
      </c>
    </row>
    <row r="3602" spans="1:4">
      <c r="A3602" s="3" t="s">
        <v>503</v>
      </c>
      <c r="B3602" s="3" t="s">
        <v>504</v>
      </c>
      <c r="C3602">
        <v>2020</v>
      </c>
      <c r="D3602">
        <v>79000000</v>
      </c>
    </row>
    <row r="3603" spans="1:4">
      <c r="A3603" s="3" t="s">
        <v>503</v>
      </c>
      <c r="B3603" s="3" t="s">
        <v>504</v>
      </c>
      <c r="C3603">
        <v>2021</v>
      </c>
      <c r="D3603">
        <v>8000000</v>
      </c>
    </row>
    <row r="3604" spans="1:4">
      <c r="A3604" s="3" t="s">
        <v>503</v>
      </c>
      <c r="B3604" s="3" t="s">
        <v>504</v>
      </c>
      <c r="C3604">
        <v>2022</v>
      </c>
      <c r="D3604">
        <v>66000000</v>
      </c>
    </row>
    <row r="3605" spans="1:4">
      <c r="A3605" s="3" t="s">
        <v>503</v>
      </c>
      <c r="B3605" s="3" t="s">
        <v>504</v>
      </c>
      <c r="C3605">
        <v>2023</v>
      </c>
      <c r="D3605">
        <v>16000000</v>
      </c>
    </row>
    <row r="3606" spans="1:4">
      <c r="A3606" s="3" t="s">
        <v>505</v>
      </c>
      <c r="B3606" s="3" t="s">
        <v>506</v>
      </c>
      <c r="C3606">
        <v>2014</v>
      </c>
      <c r="D3606">
        <v>1000000</v>
      </c>
    </row>
    <row r="3607" spans="1:4">
      <c r="A3607" s="3" t="s">
        <v>505</v>
      </c>
      <c r="B3607" s="3" t="s">
        <v>506</v>
      </c>
      <c r="C3607">
        <v>2015</v>
      </c>
      <c r="D3607">
        <v>22000000</v>
      </c>
    </row>
    <row r="3608" spans="1:4">
      <c r="A3608" s="3" t="s">
        <v>505</v>
      </c>
      <c r="B3608" s="3" t="s">
        <v>506</v>
      </c>
      <c r="C3608">
        <v>2016</v>
      </c>
      <c r="D3608">
        <v>5000000</v>
      </c>
    </row>
    <row r="3609" spans="1:4">
      <c r="A3609" s="3" t="s">
        <v>505</v>
      </c>
      <c r="B3609" s="3" t="s">
        <v>506</v>
      </c>
      <c r="C3609">
        <v>2017</v>
      </c>
      <c r="D3609">
        <v>4000000</v>
      </c>
    </row>
    <row r="3610" spans="1:4">
      <c r="A3610" s="3" t="s">
        <v>505</v>
      </c>
      <c r="B3610" s="3" t="s">
        <v>506</v>
      </c>
      <c r="C3610">
        <v>2018</v>
      </c>
      <c r="D3610">
        <v>67000000</v>
      </c>
    </row>
    <row r="3611" spans="1:4">
      <c r="A3611" s="3" t="s">
        <v>505</v>
      </c>
      <c r="B3611" s="3" t="s">
        <v>506</v>
      </c>
      <c r="C3611">
        <v>2019</v>
      </c>
      <c r="D3611">
        <v>31000000</v>
      </c>
    </row>
    <row r="3612" spans="1:4">
      <c r="A3612" s="3" t="s">
        <v>505</v>
      </c>
      <c r="B3612" s="3" t="s">
        <v>506</v>
      </c>
      <c r="C3612">
        <v>2020</v>
      </c>
      <c r="D3612">
        <v>18000000</v>
      </c>
    </row>
    <row r="3613" spans="1:4">
      <c r="A3613" s="3" t="s">
        <v>505</v>
      </c>
      <c r="B3613" s="3" t="s">
        <v>506</v>
      </c>
      <c r="C3613">
        <v>2021</v>
      </c>
      <c r="D3613">
        <v>44000000</v>
      </c>
    </row>
    <row r="3614" spans="1:4">
      <c r="A3614" s="3" t="s">
        <v>505</v>
      </c>
      <c r="B3614" s="3" t="s">
        <v>506</v>
      </c>
      <c r="C3614">
        <v>2022</v>
      </c>
      <c r="D3614">
        <v>2967000000</v>
      </c>
    </row>
    <row r="3615" spans="1:4">
      <c r="A3615" s="3" t="s">
        <v>505</v>
      </c>
      <c r="B3615" s="3" t="s">
        <v>506</v>
      </c>
      <c r="C3615">
        <v>2023</v>
      </c>
      <c r="D3615">
        <v>4294000000</v>
      </c>
    </row>
    <row r="3616" spans="1:4">
      <c r="A3616" s="3" t="s">
        <v>505</v>
      </c>
      <c r="B3616" s="3" t="s">
        <v>506</v>
      </c>
      <c r="C3616">
        <v>2024</v>
      </c>
      <c r="D3616">
        <v>5341000000</v>
      </c>
    </row>
    <row r="3617" spans="1:4">
      <c r="A3617" s="3" t="s">
        <v>507</v>
      </c>
      <c r="B3617" s="3" t="s">
        <v>508</v>
      </c>
      <c r="C3617">
        <v>2000</v>
      </c>
      <c r="D3617">
        <v>6023000000</v>
      </c>
    </row>
    <row r="3618" spans="1:4">
      <c r="A3618" s="3" t="s">
        <v>507</v>
      </c>
      <c r="B3618" s="3" t="s">
        <v>508</v>
      </c>
      <c r="C3618">
        <v>2001</v>
      </c>
      <c r="D3618">
        <v>6366000000</v>
      </c>
    </row>
    <row r="3619" spans="1:4">
      <c r="A3619" s="3" t="s">
        <v>507</v>
      </c>
      <c r="B3619" s="3" t="s">
        <v>508</v>
      </c>
      <c r="C3619">
        <v>2002</v>
      </c>
      <c r="D3619">
        <v>5660000000</v>
      </c>
    </row>
    <row r="3620" spans="1:4">
      <c r="A3620" s="3" t="s">
        <v>507</v>
      </c>
      <c r="B3620" s="3" t="s">
        <v>508</v>
      </c>
      <c r="C3620">
        <v>2003</v>
      </c>
      <c r="D3620">
        <v>4520000000</v>
      </c>
    </row>
    <row r="3621" spans="1:4">
      <c r="A3621" s="3" t="s">
        <v>507</v>
      </c>
      <c r="B3621" s="3" t="s">
        <v>508</v>
      </c>
      <c r="C3621">
        <v>2004</v>
      </c>
      <c r="D3621">
        <v>5671000000</v>
      </c>
    </row>
    <row r="3622" spans="1:4">
      <c r="A3622" s="3" t="s">
        <v>507</v>
      </c>
      <c r="B3622" s="3" t="s">
        <v>508</v>
      </c>
      <c r="C3622">
        <v>2005</v>
      </c>
      <c r="D3622">
        <v>6723000000</v>
      </c>
    </row>
    <row r="3623" spans="1:4">
      <c r="A3623" s="3" t="s">
        <v>507</v>
      </c>
      <c r="B3623" s="3" t="s">
        <v>508</v>
      </c>
      <c r="C3623">
        <v>2006</v>
      </c>
      <c r="D3623">
        <v>6795000000</v>
      </c>
    </row>
    <row r="3624" spans="1:4">
      <c r="A3624" s="3" t="s">
        <v>507</v>
      </c>
      <c r="B3624" s="3" t="s">
        <v>508</v>
      </c>
      <c r="C3624">
        <v>2007</v>
      </c>
      <c r="D3624">
        <v>6956000000</v>
      </c>
    </row>
    <row r="3625" spans="1:4">
      <c r="A3625" s="3" t="s">
        <v>507</v>
      </c>
      <c r="B3625" s="3" t="s">
        <v>508</v>
      </c>
      <c r="C3625">
        <v>2008</v>
      </c>
      <c r="D3625">
        <v>6749000000</v>
      </c>
    </row>
    <row r="3626" spans="1:4">
      <c r="A3626" s="3" t="s">
        <v>507</v>
      </c>
      <c r="B3626" s="3" t="s">
        <v>508</v>
      </c>
      <c r="C3626">
        <v>2009</v>
      </c>
      <c r="D3626">
        <v>6956000000</v>
      </c>
    </row>
    <row r="3627" spans="1:4">
      <c r="A3627" s="3" t="s">
        <v>507</v>
      </c>
      <c r="B3627" s="3" t="s">
        <v>508</v>
      </c>
      <c r="C3627">
        <v>2010</v>
      </c>
      <c r="D3627">
        <v>5031000000</v>
      </c>
    </row>
    <row r="3628" spans="1:4">
      <c r="A3628" s="3" t="s">
        <v>507</v>
      </c>
      <c r="B3628" s="3" t="s">
        <v>508</v>
      </c>
      <c r="C3628">
        <v>2011</v>
      </c>
      <c r="D3628">
        <v>7507000000</v>
      </c>
    </row>
    <row r="3629" spans="1:4">
      <c r="A3629" s="3" t="s">
        <v>507</v>
      </c>
      <c r="B3629" s="3" t="s">
        <v>508</v>
      </c>
      <c r="C3629">
        <v>2012</v>
      </c>
      <c r="D3629">
        <v>7645000000</v>
      </c>
    </row>
    <row r="3630" spans="1:4">
      <c r="A3630" s="3" t="s">
        <v>507</v>
      </c>
      <c r="B3630" s="3" t="s">
        <v>508</v>
      </c>
      <c r="C3630">
        <v>2013</v>
      </c>
      <c r="D3630">
        <v>5953000000</v>
      </c>
    </row>
    <row r="3631" spans="1:4">
      <c r="A3631" s="3" t="s">
        <v>507</v>
      </c>
      <c r="B3631" s="3" t="s">
        <v>508</v>
      </c>
      <c r="C3631">
        <v>2014</v>
      </c>
      <c r="D3631">
        <v>8472000000</v>
      </c>
    </row>
    <row r="3632" spans="1:4">
      <c r="A3632" s="3" t="s">
        <v>507</v>
      </c>
      <c r="B3632" s="3" t="s">
        <v>508</v>
      </c>
      <c r="C3632">
        <v>2015</v>
      </c>
      <c r="D3632">
        <v>8210000000</v>
      </c>
    </row>
    <row r="3633" spans="1:4">
      <c r="A3633" s="3" t="s">
        <v>507</v>
      </c>
      <c r="B3633" s="3" t="s">
        <v>508</v>
      </c>
      <c r="C3633">
        <v>2016</v>
      </c>
      <c r="D3633">
        <v>11021000000</v>
      </c>
    </row>
    <row r="3634" spans="1:4">
      <c r="A3634" s="3" t="s">
        <v>507</v>
      </c>
      <c r="B3634" s="3" t="s">
        <v>508</v>
      </c>
      <c r="C3634">
        <v>2017</v>
      </c>
      <c r="D3634">
        <v>8627000000</v>
      </c>
    </row>
    <row r="3635" spans="1:4">
      <c r="A3635" s="3" t="s">
        <v>507</v>
      </c>
      <c r="B3635" s="3" t="s">
        <v>508</v>
      </c>
      <c r="C3635">
        <v>2018</v>
      </c>
      <c r="D3635">
        <v>7833000000</v>
      </c>
    </row>
    <row r="3636" spans="1:4">
      <c r="A3636" s="3" t="s">
        <v>507</v>
      </c>
      <c r="B3636" s="3" t="s">
        <v>508</v>
      </c>
      <c r="C3636">
        <v>2019</v>
      </c>
      <c r="D3636">
        <v>5171000000</v>
      </c>
    </row>
    <row r="3637" spans="1:4">
      <c r="A3637" s="3" t="s">
        <v>507</v>
      </c>
      <c r="B3637" s="3" t="s">
        <v>508</v>
      </c>
      <c r="C3637">
        <v>2020</v>
      </c>
      <c r="D3637">
        <v>3716000000</v>
      </c>
    </row>
    <row r="3638" spans="1:4">
      <c r="A3638" s="3" t="s">
        <v>507</v>
      </c>
      <c r="B3638" s="3" t="s">
        <v>508</v>
      </c>
      <c r="C3638">
        <v>2021</v>
      </c>
      <c r="D3638">
        <v>3858000000</v>
      </c>
    </row>
    <row r="3639" spans="1:4">
      <c r="A3639" s="3" t="s">
        <v>507</v>
      </c>
      <c r="B3639" s="3" t="s">
        <v>508</v>
      </c>
      <c r="C3639">
        <v>2022</v>
      </c>
      <c r="D3639">
        <v>6459000000</v>
      </c>
    </row>
    <row r="3640" spans="1:4">
      <c r="A3640" s="3" t="s">
        <v>507</v>
      </c>
      <c r="B3640" s="3" t="s">
        <v>508</v>
      </c>
      <c r="C3640">
        <v>2023</v>
      </c>
      <c r="D3640">
        <v>7900000000</v>
      </c>
    </row>
    <row r="3641" spans="1:4">
      <c r="A3641" s="3" t="s">
        <v>507</v>
      </c>
      <c r="B3641" s="3" t="s">
        <v>508</v>
      </c>
      <c r="C3641">
        <v>2024</v>
      </c>
      <c r="D3641">
        <v>8638000000</v>
      </c>
    </row>
    <row r="3642" spans="1:4">
      <c r="A3642" s="3" t="s">
        <v>509</v>
      </c>
      <c r="B3642" s="3" t="s">
        <v>510</v>
      </c>
      <c r="C3642">
        <v>2000</v>
      </c>
      <c r="D3642">
        <v>4000000</v>
      </c>
    </row>
    <row r="3643" spans="1:4">
      <c r="A3643" s="3" t="s">
        <v>509</v>
      </c>
      <c r="B3643" s="3" t="s">
        <v>510</v>
      </c>
      <c r="C3643">
        <v>2002</v>
      </c>
      <c r="D3643">
        <v>13000000</v>
      </c>
    </row>
    <row r="3644" spans="1:4">
      <c r="A3644" s="3" t="s">
        <v>509</v>
      </c>
      <c r="B3644" s="3" t="s">
        <v>510</v>
      </c>
      <c r="C3644">
        <v>2005</v>
      </c>
      <c r="D3644">
        <v>20000000</v>
      </c>
    </row>
    <row r="3645" spans="1:4">
      <c r="A3645" s="3" t="s">
        <v>509</v>
      </c>
      <c r="B3645" s="3" t="s">
        <v>510</v>
      </c>
      <c r="C3645">
        <v>2006</v>
      </c>
      <c r="D3645">
        <v>8000000</v>
      </c>
    </row>
    <row r="3646" spans="1:4">
      <c r="A3646" s="3" t="s">
        <v>509</v>
      </c>
      <c r="B3646" s="3" t="s">
        <v>510</v>
      </c>
      <c r="C3646">
        <v>2007</v>
      </c>
      <c r="D3646">
        <v>3000000</v>
      </c>
    </row>
    <row r="3647" spans="1:4">
      <c r="A3647" s="3" t="s">
        <v>509</v>
      </c>
      <c r="B3647" s="3" t="s">
        <v>510</v>
      </c>
      <c r="C3647">
        <v>2008</v>
      </c>
      <c r="D3647">
        <v>78000000</v>
      </c>
    </row>
    <row r="3648" spans="1:4">
      <c r="A3648" s="3" t="s">
        <v>509</v>
      </c>
      <c r="B3648" s="3" t="s">
        <v>510</v>
      </c>
      <c r="C3648">
        <v>2009</v>
      </c>
      <c r="D3648">
        <v>29000000</v>
      </c>
    </row>
    <row r="3649" spans="1:4">
      <c r="A3649" s="3" t="s">
        <v>509</v>
      </c>
      <c r="B3649" s="3" t="s">
        <v>510</v>
      </c>
      <c r="C3649">
        <v>2010</v>
      </c>
      <c r="D3649">
        <v>20000000</v>
      </c>
    </row>
    <row r="3650" spans="1:4">
      <c r="A3650" s="3" t="s">
        <v>509</v>
      </c>
      <c r="B3650" s="3" t="s">
        <v>510</v>
      </c>
      <c r="C3650">
        <v>2013</v>
      </c>
      <c r="D3650">
        <v>3000000</v>
      </c>
    </row>
    <row r="3651" spans="1:4">
      <c r="A3651" s="3" t="s">
        <v>509</v>
      </c>
      <c r="B3651" s="3" t="s">
        <v>510</v>
      </c>
      <c r="C3651">
        <v>2014</v>
      </c>
      <c r="D3651">
        <v>9000000</v>
      </c>
    </row>
    <row r="3652" spans="1:4">
      <c r="A3652" s="3" t="s">
        <v>509</v>
      </c>
      <c r="B3652" s="3" t="s">
        <v>510</v>
      </c>
      <c r="C3652">
        <v>2015</v>
      </c>
      <c r="D3652">
        <v>13000000</v>
      </c>
    </row>
    <row r="3653" spans="1:4">
      <c r="A3653" s="3" t="s">
        <v>509</v>
      </c>
      <c r="B3653" s="3" t="s">
        <v>510</v>
      </c>
      <c r="C3653">
        <v>2018</v>
      </c>
      <c r="D3653">
        <v>10000000</v>
      </c>
    </row>
    <row r="3654" spans="1:4">
      <c r="A3654" s="3" t="s">
        <v>509</v>
      </c>
      <c r="B3654" s="3" t="s">
        <v>510</v>
      </c>
      <c r="C3654">
        <v>2020</v>
      </c>
      <c r="D3654">
        <v>25000000</v>
      </c>
    </row>
    <row r="3655" spans="1:4">
      <c r="A3655" s="3" t="s">
        <v>509</v>
      </c>
      <c r="B3655" s="3" t="s">
        <v>510</v>
      </c>
      <c r="C3655">
        <v>2021</v>
      </c>
      <c r="D3655">
        <v>3000000</v>
      </c>
    </row>
    <row r="3656" spans="1:4">
      <c r="A3656" s="3" t="s">
        <v>509</v>
      </c>
      <c r="B3656" s="3" t="s">
        <v>510</v>
      </c>
      <c r="C3656">
        <v>2022</v>
      </c>
      <c r="D3656">
        <v>10000000</v>
      </c>
    </row>
    <row r="3657" spans="1:4">
      <c r="A3657" s="3" t="s">
        <v>509</v>
      </c>
      <c r="B3657" s="3" t="s">
        <v>510</v>
      </c>
      <c r="C3657">
        <v>2024</v>
      </c>
      <c r="D3657">
        <v>13000000</v>
      </c>
    </row>
    <row r="3658" spans="1:4">
      <c r="A3658" s="3" t="s">
        <v>511</v>
      </c>
      <c r="B3658" s="3" t="s">
        <v>512</v>
      </c>
      <c r="C3658">
        <v>2000</v>
      </c>
      <c r="D3658">
        <v>333000000</v>
      </c>
    </row>
    <row r="3659" spans="1:4">
      <c r="A3659" s="3" t="s">
        <v>511</v>
      </c>
      <c r="B3659" s="3" t="s">
        <v>512</v>
      </c>
      <c r="C3659">
        <v>2001</v>
      </c>
      <c r="D3659">
        <v>508000000</v>
      </c>
    </row>
    <row r="3660" spans="1:4">
      <c r="A3660" s="3" t="s">
        <v>511</v>
      </c>
      <c r="B3660" s="3" t="s">
        <v>512</v>
      </c>
      <c r="C3660">
        <v>2002</v>
      </c>
      <c r="D3660">
        <v>515000000</v>
      </c>
    </row>
    <row r="3661" spans="1:4">
      <c r="A3661" s="3" t="s">
        <v>511</v>
      </c>
      <c r="B3661" s="3" t="s">
        <v>512</v>
      </c>
      <c r="C3661">
        <v>2003</v>
      </c>
      <c r="D3661">
        <v>630000000</v>
      </c>
    </row>
    <row r="3662" spans="1:4">
      <c r="A3662" s="3" t="s">
        <v>511</v>
      </c>
      <c r="B3662" s="3" t="s">
        <v>512</v>
      </c>
      <c r="C3662">
        <v>2004</v>
      </c>
      <c r="D3662">
        <v>596000000</v>
      </c>
    </row>
    <row r="3663" spans="1:4">
      <c r="A3663" s="3" t="s">
        <v>511</v>
      </c>
      <c r="B3663" s="3" t="s">
        <v>512</v>
      </c>
      <c r="C3663">
        <v>2005</v>
      </c>
      <c r="D3663">
        <v>582000000</v>
      </c>
    </row>
    <row r="3664" spans="1:4">
      <c r="A3664" s="3" t="s">
        <v>511</v>
      </c>
      <c r="B3664" s="3" t="s">
        <v>512</v>
      </c>
      <c r="C3664">
        <v>2006</v>
      </c>
      <c r="D3664">
        <v>706000000</v>
      </c>
    </row>
    <row r="3665" spans="1:4">
      <c r="A3665" s="3" t="s">
        <v>511</v>
      </c>
      <c r="B3665" s="3" t="s">
        <v>512</v>
      </c>
      <c r="C3665">
        <v>2007</v>
      </c>
      <c r="D3665">
        <v>842000000</v>
      </c>
    </row>
    <row r="3666" spans="1:4">
      <c r="A3666" s="3" t="s">
        <v>511</v>
      </c>
      <c r="B3666" s="3" t="s">
        <v>512</v>
      </c>
      <c r="C3666">
        <v>2008</v>
      </c>
      <c r="D3666">
        <v>936000000</v>
      </c>
    </row>
    <row r="3667" spans="1:4">
      <c r="A3667" s="3" t="s">
        <v>511</v>
      </c>
      <c r="B3667" s="3" t="s">
        <v>512</v>
      </c>
      <c r="C3667">
        <v>2009</v>
      </c>
      <c r="D3667">
        <v>939000000</v>
      </c>
    </row>
    <row r="3668" spans="1:4">
      <c r="A3668" s="3" t="s">
        <v>511</v>
      </c>
      <c r="B3668" s="3" t="s">
        <v>512</v>
      </c>
      <c r="C3668">
        <v>2010</v>
      </c>
      <c r="D3668">
        <v>969000000</v>
      </c>
    </row>
    <row r="3669" spans="1:4">
      <c r="A3669" s="3" t="s">
        <v>511</v>
      </c>
      <c r="B3669" s="3" t="s">
        <v>512</v>
      </c>
      <c r="C3669">
        <v>2011</v>
      </c>
      <c r="D3669">
        <v>937000000</v>
      </c>
    </row>
    <row r="3670" spans="1:4">
      <c r="A3670" s="3" t="s">
        <v>511</v>
      </c>
      <c r="B3670" s="3" t="s">
        <v>512</v>
      </c>
      <c r="C3670">
        <v>2012</v>
      </c>
      <c r="D3670">
        <v>1138000000</v>
      </c>
    </row>
    <row r="3671" spans="1:4">
      <c r="A3671" s="3" t="s">
        <v>511</v>
      </c>
      <c r="B3671" s="3" t="s">
        <v>512</v>
      </c>
      <c r="C3671">
        <v>2013</v>
      </c>
      <c r="D3671">
        <v>767000000</v>
      </c>
    </row>
    <row r="3672" spans="1:4">
      <c r="A3672" s="3" t="s">
        <v>511</v>
      </c>
      <c r="B3672" s="3" t="s">
        <v>512</v>
      </c>
      <c r="C3672">
        <v>2014</v>
      </c>
      <c r="D3672">
        <v>568000000</v>
      </c>
    </row>
    <row r="3673" spans="1:4">
      <c r="A3673" s="3" t="s">
        <v>511</v>
      </c>
      <c r="B3673" s="3" t="s">
        <v>512</v>
      </c>
      <c r="C3673">
        <v>2015</v>
      </c>
      <c r="D3673">
        <v>482000000</v>
      </c>
    </row>
    <row r="3674" spans="1:4">
      <c r="A3674" s="3" t="s">
        <v>511</v>
      </c>
      <c r="B3674" s="3" t="s">
        <v>512</v>
      </c>
      <c r="C3674">
        <v>2016</v>
      </c>
      <c r="D3674">
        <v>447000000</v>
      </c>
    </row>
    <row r="3675" spans="1:4">
      <c r="A3675" s="3" t="s">
        <v>511</v>
      </c>
      <c r="B3675" s="3" t="s">
        <v>512</v>
      </c>
      <c r="C3675">
        <v>2017</v>
      </c>
      <c r="D3675">
        <v>504000000</v>
      </c>
    </row>
    <row r="3676" spans="1:4">
      <c r="A3676" s="3" t="s">
        <v>511</v>
      </c>
      <c r="B3676" s="3" t="s">
        <v>512</v>
      </c>
      <c r="C3676">
        <v>2018</v>
      </c>
      <c r="D3676">
        <v>379000000</v>
      </c>
    </row>
    <row r="3677" spans="1:4">
      <c r="A3677" s="3" t="s">
        <v>511</v>
      </c>
      <c r="B3677" s="3" t="s">
        <v>512</v>
      </c>
      <c r="C3677">
        <v>2019</v>
      </c>
      <c r="D3677">
        <v>882000000</v>
      </c>
    </row>
    <row r="3678" spans="1:4">
      <c r="A3678" s="3" t="s">
        <v>511</v>
      </c>
      <c r="B3678" s="3" t="s">
        <v>512</v>
      </c>
      <c r="C3678">
        <v>2020</v>
      </c>
      <c r="D3678">
        <v>806000000</v>
      </c>
    </row>
    <row r="3679" spans="1:4">
      <c r="A3679" s="3" t="s">
        <v>511</v>
      </c>
      <c r="B3679" s="3" t="s">
        <v>512</v>
      </c>
      <c r="C3679">
        <v>2021</v>
      </c>
      <c r="D3679">
        <v>922000000</v>
      </c>
    </row>
    <row r="3680" spans="1:4">
      <c r="A3680" s="3" t="s">
        <v>511</v>
      </c>
      <c r="B3680" s="3" t="s">
        <v>512</v>
      </c>
      <c r="C3680">
        <v>2022</v>
      </c>
      <c r="D3680">
        <v>846000000</v>
      </c>
    </row>
    <row r="3681" spans="1:4">
      <c r="A3681" s="3" t="s">
        <v>511</v>
      </c>
      <c r="B3681" s="3" t="s">
        <v>512</v>
      </c>
      <c r="C3681">
        <v>2023</v>
      </c>
      <c r="D3681">
        <v>891000000</v>
      </c>
    </row>
    <row r="3682" spans="1:4">
      <c r="A3682" s="3" t="s">
        <v>511</v>
      </c>
      <c r="B3682" s="3" t="s">
        <v>512</v>
      </c>
      <c r="C3682">
        <v>2024</v>
      </c>
      <c r="D3682">
        <v>1053000000</v>
      </c>
    </row>
    <row r="3683" spans="1:4">
      <c r="A3683" s="3" t="s">
        <v>513</v>
      </c>
      <c r="B3683" s="3" t="s">
        <v>514</v>
      </c>
      <c r="C3683">
        <v>2001</v>
      </c>
      <c r="D3683">
        <v>8000000</v>
      </c>
    </row>
    <row r="3684" spans="1:4">
      <c r="A3684" s="3" t="s">
        <v>513</v>
      </c>
      <c r="B3684" s="3" t="s">
        <v>514</v>
      </c>
      <c r="C3684">
        <v>2002</v>
      </c>
      <c r="D3684">
        <v>9000000</v>
      </c>
    </row>
    <row r="3685" spans="1:4">
      <c r="A3685" s="3" t="s">
        <v>513</v>
      </c>
      <c r="B3685" s="3" t="s">
        <v>514</v>
      </c>
      <c r="C3685">
        <v>2010</v>
      </c>
      <c r="D3685">
        <v>30000000</v>
      </c>
    </row>
    <row r="3686" spans="1:4">
      <c r="A3686" s="3" t="s">
        <v>513</v>
      </c>
      <c r="B3686" s="3" t="s">
        <v>514</v>
      </c>
      <c r="C3686">
        <v>2014</v>
      </c>
      <c r="D3686">
        <v>19000000</v>
      </c>
    </row>
    <row r="3687" spans="1:4">
      <c r="A3687" s="3" t="s">
        <v>513</v>
      </c>
      <c r="B3687" s="3" t="s">
        <v>514</v>
      </c>
      <c r="C3687">
        <v>2015</v>
      </c>
      <c r="D3687">
        <v>100000000</v>
      </c>
    </row>
    <row r="3688" spans="1:4">
      <c r="A3688" s="3" t="s">
        <v>513</v>
      </c>
      <c r="B3688" s="3" t="s">
        <v>514</v>
      </c>
      <c r="C3688">
        <v>2016</v>
      </c>
      <c r="D3688">
        <v>58000000</v>
      </c>
    </row>
    <row r="3689" spans="1:4">
      <c r="A3689" s="3" t="s">
        <v>513</v>
      </c>
      <c r="B3689" s="3" t="s">
        <v>514</v>
      </c>
      <c r="C3689">
        <v>2017</v>
      </c>
      <c r="D3689">
        <v>5000000</v>
      </c>
    </row>
    <row r="3690" spans="1:4">
      <c r="A3690" s="3" t="s">
        <v>513</v>
      </c>
      <c r="B3690" s="3" t="s">
        <v>514</v>
      </c>
      <c r="C3690">
        <v>2018</v>
      </c>
      <c r="D3690">
        <v>124000000</v>
      </c>
    </row>
    <row r="3691" spans="1:4">
      <c r="A3691" s="3" t="s">
        <v>513</v>
      </c>
      <c r="B3691" s="3" t="s">
        <v>514</v>
      </c>
      <c r="C3691">
        <v>2019</v>
      </c>
      <c r="D3691">
        <v>78000000</v>
      </c>
    </row>
    <row r="3692" spans="1:4">
      <c r="A3692" s="3" t="s">
        <v>513</v>
      </c>
      <c r="B3692" s="3" t="s">
        <v>514</v>
      </c>
      <c r="C3692">
        <v>2020</v>
      </c>
      <c r="D3692">
        <v>92000000</v>
      </c>
    </row>
    <row r="3693" spans="1:4">
      <c r="A3693" s="3" t="s">
        <v>513</v>
      </c>
      <c r="B3693" s="3" t="s">
        <v>514</v>
      </c>
      <c r="C3693">
        <v>2021</v>
      </c>
      <c r="D3693">
        <v>14000000</v>
      </c>
    </row>
    <row r="3694" spans="1:4">
      <c r="A3694" s="3" t="s">
        <v>513</v>
      </c>
      <c r="B3694" s="3" t="s">
        <v>514</v>
      </c>
      <c r="C3694">
        <v>2022</v>
      </c>
      <c r="D3694">
        <v>22000000</v>
      </c>
    </row>
    <row r="3695" spans="1:4">
      <c r="A3695" s="3" t="s">
        <v>513</v>
      </c>
      <c r="B3695" s="3" t="s">
        <v>514</v>
      </c>
      <c r="C3695">
        <v>2023</v>
      </c>
      <c r="D3695">
        <v>17000000</v>
      </c>
    </row>
    <row r="3696" spans="1:4">
      <c r="A3696" s="3" t="s">
        <v>513</v>
      </c>
      <c r="B3696" s="3" t="s">
        <v>514</v>
      </c>
      <c r="C3696">
        <v>2024</v>
      </c>
      <c r="D3696">
        <v>47000000</v>
      </c>
    </row>
    <row r="3697" spans="1:4">
      <c r="A3697" s="3" t="s">
        <v>517</v>
      </c>
      <c r="B3697" s="3" t="s">
        <v>518</v>
      </c>
      <c r="C3697">
        <v>2000</v>
      </c>
      <c r="D3697">
        <v>108000000</v>
      </c>
    </row>
    <row r="3698" spans="1:4">
      <c r="A3698" s="3" t="s">
        <v>517</v>
      </c>
      <c r="B3698" s="3" t="s">
        <v>518</v>
      </c>
      <c r="C3698">
        <v>2001</v>
      </c>
      <c r="D3698">
        <v>106000000</v>
      </c>
    </row>
    <row r="3699" spans="1:4">
      <c r="A3699" s="3" t="s">
        <v>517</v>
      </c>
      <c r="B3699" s="3" t="s">
        <v>518</v>
      </c>
      <c r="C3699">
        <v>2002</v>
      </c>
      <c r="D3699">
        <v>44000000</v>
      </c>
    </row>
    <row r="3700" spans="1:4">
      <c r="A3700" s="3" t="s">
        <v>517</v>
      </c>
      <c r="B3700" s="3" t="s">
        <v>518</v>
      </c>
      <c r="C3700">
        <v>2003</v>
      </c>
      <c r="D3700">
        <v>15000000</v>
      </c>
    </row>
    <row r="3701" spans="1:4">
      <c r="A3701" s="3" t="s">
        <v>517</v>
      </c>
      <c r="B3701" s="3" t="s">
        <v>518</v>
      </c>
      <c r="C3701">
        <v>2004</v>
      </c>
      <c r="D3701">
        <v>9000000</v>
      </c>
    </row>
    <row r="3702" spans="1:4">
      <c r="A3702" s="3" t="s">
        <v>517</v>
      </c>
      <c r="B3702" s="3" t="s">
        <v>518</v>
      </c>
      <c r="C3702">
        <v>2005</v>
      </c>
      <c r="D3702">
        <v>21000000</v>
      </c>
    </row>
    <row r="3703" spans="1:4">
      <c r="A3703" s="3" t="s">
        <v>517</v>
      </c>
      <c r="B3703" s="3" t="s">
        <v>518</v>
      </c>
      <c r="C3703">
        <v>2006</v>
      </c>
      <c r="D3703">
        <v>380000000</v>
      </c>
    </row>
    <row r="3704" spans="1:4">
      <c r="A3704" s="3" t="s">
        <v>517</v>
      </c>
      <c r="B3704" s="3" t="s">
        <v>518</v>
      </c>
      <c r="C3704">
        <v>2007</v>
      </c>
      <c r="D3704">
        <v>770000000</v>
      </c>
    </row>
    <row r="3705" spans="1:4">
      <c r="A3705" s="3" t="s">
        <v>517</v>
      </c>
      <c r="B3705" s="3" t="s">
        <v>518</v>
      </c>
      <c r="C3705">
        <v>2008</v>
      </c>
      <c r="D3705">
        <v>741000000</v>
      </c>
    </row>
    <row r="3706" spans="1:4">
      <c r="A3706" s="3" t="s">
        <v>517</v>
      </c>
      <c r="B3706" s="3" t="s">
        <v>518</v>
      </c>
      <c r="C3706">
        <v>2009</v>
      </c>
      <c r="D3706">
        <v>366000000</v>
      </c>
    </row>
    <row r="3707" spans="1:4">
      <c r="A3707" s="3" t="s">
        <v>517</v>
      </c>
      <c r="B3707" s="3" t="s">
        <v>518</v>
      </c>
      <c r="C3707">
        <v>2010</v>
      </c>
      <c r="D3707">
        <v>211000000</v>
      </c>
    </row>
    <row r="3708" spans="1:4">
      <c r="A3708" s="3" t="s">
        <v>517</v>
      </c>
      <c r="B3708" s="3" t="s">
        <v>518</v>
      </c>
      <c r="C3708">
        <v>2011</v>
      </c>
      <c r="D3708">
        <v>600000000</v>
      </c>
    </row>
    <row r="3709" spans="1:4">
      <c r="A3709" s="3" t="s">
        <v>517</v>
      </c>
      <c r="B3709" s="3" t="s">
        <v>518</v>
      </c>
      <c r="C3709">
        <v>2012</v>
      </c>
      <c r="D3709">
        <v>692000000</v>
      </c>
    </row>
    <row r="3710" spans="1:4">
      <c r="A3710" s="3" t="s">
        <v>517</v>
      </c>
      <c r="B3710" s="3" t="s">
        <v>518</v>
      </c>
      <c r="C3710">
        <v>2013</v>
      </c>
      <c r="D3710">
        <v>1006000000</v>
      </c>
    </row>
    <row r="3711" spans="1:4">
      <c r="A3711" s="3" t="s">
        <v>517</v>
      </c>
      <c r="B3711" s="3" t="s">
        <v>518</v>
      </c>
      <c r="C3711">
        <v>2014</v>
      </c>
      <c r="D3711">
        <v>186000000</v>
      </c>
    </row>
    <row r="3712" spans="1:4">
      <c r="A3712" s="3" t="s">
        <v>517</v>
      </c>
      <c r="B3712" s="3" t="s">
        <v>518</v>
      </c>
      <c r="C3712">
        <v>2015</v>
      </c>
      <c r="D3712">
        <v>138000000</v>
      </c>
    </row>
    <row r="3713" spans="1:4">
      <c r="A3713" s="3" t="s">
        <v>517</v>
      </c>
      <c r="B3713" s="3" t="s">
        <v>518</v>
      </c>
      <c r="C3713">
        <v>2016</v>
      </c>
      <c r="D3713">
        <v>95000000</v>
      </c>
    </row>
    <row r="3714" spans="1:4">
      <c r="A3714" s="3" t="s">
        <v>517</v>
      </c>
      <c r="B3714" s="3" t="s">
        <v>518</v>
      </c>
      <c r="C3714">
        <v>2018</v>
      </c>
      <c r="D3714">
        <v>14000000</v>
      </c>
    </row>
    <row r="3715" spans="1:4">
      <c r="A3715" s="3" t="s">
        <v>517</v>
      </c>
      <c r="B3715" s="3" t="s">
        <v>518</v>
      </c>
      <c r="C3715">
        <v>2020</v>
      </c>
      <c r="D3715">
        <v>79000000</v>
      </c>
    </row>
    <row r="3716" spans="1:4">
      <c r="A3716" s="3" t="s">
        <v>517</v>
      </c>
      <c r="B3716" s="3" t="s">
        <v>518</v>
      </c>
      <c r="C3716">
        <v>2023</v>
      </c>
      <c r="D3716">
        <v>98000000</v>
      </c>
    </row>
    <row r="3717" spans="1:4">
      <c r="A3717" s="3" t="s">
        <v>523</v>
      </c>
      <c r="B3717" s="3" t="s">
        <v>524</v>
      </c>
      <c r="C3717">
        <v>2000</v>
      </c>
      <c r="D3717">
        <v>11000000</v>
      </c>
    </row>
    <row r="3718" spans="1:4">
      <c r="A3718" s="3" t="s">
        <v>523</v>
      </c>
      <c r="B3718" s="3" t="s">
        <v>524</v>
      </c>
      <c r="C3718">
        <v>2001</v>
      </c>
      <c r="D3718">
        <v>97000000</v>
      </c>
    </row>
    <row r="3719" spans="1:4">
      <c r="A3719" s="3" t="s">
        <v>523</v>
      </c>
      <c r="B3719" s="3" t="s">
        <v>524</v>
      </c>
      <c r="C3719">
        <v>2002</v>
      </c>
      <c r="D3719">
        <v>58000000</v>
      </c>
    </row>
    <row r="3720" spans="1:4">
      <c r="A3720" s="3" t="s">
        <v>523</v>
      </c>
      <c r="B3720" s="3" t="s">
        <v>524</v>
      </c>
      <c r="C3720">
        <v>2003</v>
      </c>
      <c r="D3720">
        <v>22000000</v>
      </c>
    </row>
    <row r="3721" spans="1:4">
      <c r="A3721" s="3" t="s">
        <v>523</v>
      </c>
      <c r="B3721" s="3" t="s">
        <v>524</v>
      </c>
      <c r="C3721">
        <v>2004</v>
      </c>
      <c r="D3721">
        <v>299000000</v>
      </c>
    </row>
    <row r="3722" spans="1:4">
      <c r="A3722" s="3" t="s">
        <v>523</v>
      </c>
      <c r="B3722" s="3" t="s">
        <v>524</v>
      </c>
      <c r="C3722">
        <v>2005</v>
      </c>
      <c r="D3722">
        <v>221000000</v>
      </c>
    </row>
    <row r="3723" spans="1:4">
      <c r="A3723" s="3" t="s">
        <v>523</v>
      </c>
      <c r="B3723" s="3" t="s">
        <v>524</v>
      </c>
      <c r="C3723">
        <v>2006</v>
      </c>
      <c r="D3723">
        <v>42000000</v>
      </c>
    </row>
    <row r="3724" spans="1:4">
      <c r="A3724" s="3" t="s">
        <v>523</v>
      </c>
      <c r="B3724" s="3" t="s">
        <v>524</v>
      </c>
      <c r="C3724">
        <v>2007</v>
      </c>
      <c r="D3724">
        <v>8000000</v>
      </c>
    </row>
    <row r="3725" spans="1:4">
      <c r="A3725" s="3" t="s">
        <v>523</v>
      </c>
      <c r="B3725" s="3" t="s">
        <v>524</v>
      </c>
      <c r="C3725">
        <v>2008</v>
      </c>
      <c r="D3725">
        <v>186000000</v>
      </c>
    </row>
    <row r="3726" spans="1:4">
      <c r="A3726" s="3" t="s">
        <v>523</v>
      </c>
      <c r="B3726" s="3" t="s">
        <v>524</v>
      </c>
      <c r="C3726">
        <v>2009</v>
      </c>
      <c r="D3726">
        <v>61000000</v>
      </c>
    </row>
    <row r="3727" spans="1:4">
      <c r="A3727" s="3" t="s">
        <v>523</v>
      </c>
      <c r="B3727" s="3" t="s">
        <v>524</v>
      </c>
      <c r="C3727">
        <v>2010</v>
      </c>
      <c r="D3727">
        <v>161000000</v>
      </c>
    </row>
    <row r="3728" spans="1:4">
      <c r="A3728" s="3" t="s">
        <v>523</v>
      </c>
      <c r="B3728" s="3" t="s">
        <v>524</v>
      </c>
      <c r="C3728">
        <v>2011</v>
      </c>
      <c r="D3728">
        <v>1016000000</v>
      </c>
    </row>
    <row r="3729" spans="1:4">
      <c r="A3729" s="3" t="s">
        <v>523</v>
      </c>
      <c r="B3729" s="3" t="s">
        <v>524</v>
      </c>
      <c r="C3729">
        <v>2012</v>
      </c>
      <c r="D3729">
        <v>782000000</v>
      </c>
    </row>
    <row r="3730" spans="1:4">
      <c r="A3730" s="3" t="s">
        <v>523</v>
      </c>
      <c r="B3730" s="3" t="s">
        <v>524</v>
      </c>
      <c r="C3730">
        <v>2013</v>
      </c>
      <c r="D3730">
        <v>360000000</v>
      </c>
    </row>
    <row r="3731" spans="1:4">
      <c r="A3731" s="3" t="s">
        <v>523</v>
      </c>
      <c r="B3731" s="3" t="s">
        <v>524</v>
      </c>
      <c r="C3731">
        <v>2014</v>
      </c>
      <c r="D3731">
        <v>1225000000</v>
      </c>
    </row>
    <row r="3732" spans="1:4">
      <c r="A3732" s="3" t="s">
        <v>523</v>
      </c>
      <c r="B3732" s="3" t="s">
        <v>524</v>
      </c>
      <c r="C3732">
        <v>2015</v>
      </c>
      <c r="D3732">
        <v>869000000</v>
      </c>
    </row>
    <row r="3733" spans="1:4">
      <c r="A3733" s="3" t="s">
        <v>523</v>
      </c>
      <c r="B3733" s="3" t="s">
        <v>524</v>
      </c>
      <c r="C3733">
        <v>2016</v>
      </c>
      <c r="D3733">
        <v>924000000</v>
      </c>
    </row>
    <row r="3734" spans="1:4">
      <c r="A3734" s="3" t="s">
        <v>523</v>
      </c>
      <c r="B3734" s="3" t="s">
        <v>524</v>
      </c>
      <c r="C3734">
        <v>2017</v>
      </c>
      <c r="D3734">
        <v>783000000</v>
      </c>
    </row>
    <row r="3735" spans="1:4">
      <c r="A3735" s="3" t="s">
        <v>523</v>
      </c>
      <c r="B3735" s="3" t="s">
        <v>524</v>
      </c>
      <c r="C3735">
        <v>2018</v>
      </c>
      <c r="D3735">
        <v>604000000</v>
      </c>
    </row>
    <row r="3736" spans="1:4">
      <c r="A3736" s="3" t="s">
        <v>523</v>
      </c>
      <c r="B3736" s="3" t="s">
        <v>524</v>
      </c>
      <c r="C3736">
        <v>2019</v>
      </c>
      <c r="D3736">
        <v>166000000</v>
      </c>
    </row>
    <row r="3737" spans="1:4">
      <c r="A3737" s="3" t="s">
        <v>523</v>
      </c>
      <c r="B3737" s="3" t="s">
        <v>524</v>
      </c>
      <c r="C3737">
        <v>2020</v>
      </c>
      <c r="D3737">
        <v>38000000</v>
      </c>
    </row>
    <row r="3738" spans="1:4">
      <c r="A3738" s="3" t="s">
        <v>523</v>
      </c>
      <c r="B3738" s="3" t="s">
        <v>524</v>
      </c>
      <c r="C3738">
        <v>2021</v>
      </c>
      <c r="D3738">
        <v>235000000</v>
      </c>
    </row>
    <row r="3739" spans="1:4">
      <c r="A3739" s="3" t="s">
        <v>523</v>
      </c>
      <c r="B3739" s="3" t="s">
        <v>524</v>
      </c>
      <c r="C3739">
        <v>2022</v>
      </c>
      <c r="D3739">
        <v>86000000</v>
      </c>
    </row>
    <row r="3740" spans="1:4">
      <c r="A3740" s="3" t="s">
        <v>523</v>
      </c>
      <c r="B3740" s="3" t="s">
        <v>524</v>
      </c>
      <c r="C3740">
        <v>2023</v>
      </c>
      <c r="D3740">
        <v>45000000</v>
      </c>
    </row>
    <row r="3741" spans="1:4">
      <c r="A3741" s="3" t="s">
        <v>523</v>
      </c>
      <c r="B3741" s="3" t="s">
        <v>524</v>
      </c>
      <c r="C3741">
        <v>2024</v>
      </c>
      <c r="D3741">
        <v>58000000</v>
      </c>
    </row>
    <row r="3742" spans="1:4">
      <c r="A3742" s="3" t="s">
        <v>525</v>
      </c>
      <c r="B3742" s="3" t="s">
        <v>526</v>
      </c>
      <c r="C3742">
        <v>2021</v>
      </c>
      <c r="D3742">
        <v>7000000</v>
      </c>
    </row>
    <row r="3743" spans="1:4">
      <c r="A3743" s="3" t="s">
        <v>527</v>
      </c>
      <c r="B3743" s="3" t="s">
        <v>528</v>
      </c>
      <c r="C3743">
        <v>2000</v>
      </c>
      <c r="D3743">
        <v>20468000000</v>
      </c>
    </row>
    <row r="3744" spans="1:4">
      <c r="A3744" s="3" t="s">
        <v>527</v>
      </c>
      <c r="B3744" s="3" t="s">
        <v>528</v>
      </c>
      <c r="C3744">
        <v>2001</v>
      </c>
      <c r="D3744">
        <v>18266000000</v>
      </c>
    </row>
    <row r="3745" spans="1:4">
      <c r="A3745" s="3" t="s">
        <v>527</v>
      </c>
      <c r="B3745" s="3" t="s">
        <v>528</v>
      </c>
      <c r="C3745">
        <v>2002</v>
      </c>
      <c r="D3745">
        <v>17668000000</v>
      </c>
    </row>
    <row r="3746" spans="1:4">
      <c r="A3746" s="3" t="s">
        <v>527</v>
      </c>
      <c r="B3746" s="3" t="s">
        <v>528</v>
      </c>
      <c r="C3746">
        <v>2003</v>
      </c>
      <c r="D3746">
        <v>19145000000</v>
      </c>
    </row>
    <row r="3747" spans="1:4">
      <c r="A3747" s="3" t="s">
        <v>527</v>
      </c>
      <c r="B3747" s="3" t="s">
        <v>528</v>
      </c>
      <c r="C3747">
        <v>2004</v>
      </c>
      <c r="D3747">
        <v>21275000000</v>
      </c>
    </row>
    <row r="3748" spans="1:4">
      <c r="A3748" s="3" t="s">
        <v>527</v>
      </c>
      <c r="B3748" s="3" t="s">
        <v>528</v>
      </c>
      <c r="C3748">
        <v>2005</v>
      </c>
      <c r="D3748">
        <v>21333000000</v>
      </c>
    </row>
    <row r="3749" spans="1:4">
      <c r="A3749" s="3" t="s">
        <v>527</v>
      </c>
      <c r="B3749" s="3" t="s">
        <v>528</v>
      </c>
      <c r="C3749">
        <v>2006</v>
      </c>
      <c r="D3749">
        <v>24394000000</v>
      </c>
    </row>
    <row r="3750" spans="1:4">
      <c r="A3750" s="3" t="s">
        <v>527</v>
      </c>
      <c r="B3750" s="3" t="s">
        <v>528</v>
      </c>
      <c r="C3750">
        <v>2007</v>
      </c>
      <c r="D3750">
        <v>26514000000</v>
      </c>
    </row>
    <row r="3751" spans="1:4">
      <c r="A3751" s="3" t="s">
        <v>527</v>
      </c>
      <c r="B3751" s="3" t="s">
        <v>528</v>
      </c>
      <c r="C3751">
        <v>2008</v>
      </c>
      <c r="D3751">
        <v>24101000000</v>
      </c>
    </row>
    <row r="3752" spans="1:4">
      <c r="A3752" s="3" t="s">
        <v>527</v>
      </c>
      <c r="B3752" s="3" t="s">
        <v>528</v>
      </c>
      <c r="C3752">
        <v>2009</v>
      </c>
      <c r="D3752">
        <v>23993000000</v>
      </c>
    </row>
    <row r="3753" spans="1:4">
      <c r="A3753" s="3" t="s">
        <v>527</v>
      </c>
      <c r="B3753" s="3" t="s">
        <v>528</v>
      </c>
      <c r="C3753">
        <v>2010</v>
      </c>
      <c r="D3753">
        <v>25799000000</v>
      </c>
    </row>
    <row r="3754" spans="1:4">
      <c r="A3754" s="3" t="s">
        <v>527</v>
      </c>
      <c r="B3754" s="3" t="s">
        <v>528</v>
      </c>
      <c r="C3754">
        <v>2011</v>
      </c>
      <c r="D3754">
        <v>29925000000</v>
      </c>
    </row>
    <row r="3755" spans="1:4">
      <c r="A3755" s="3" t="s">
        <v>527</v>
      </c>
      <c r="B3755" s="3" t="s">
        <v>528</v>
      </c>
      <c r="C3755">
        <v>2012</v>
      </c>
      <c r="D3755">
        <v>27916000000</v>
      </c>
    </row>
    <row r="3756" spans="1:4">
      <c r="A3756" s="3" t="s">
        <v>527</v>
      </c>
      <c r="B3756" s="3" t="s">
        <v>528</v>
      </c>
      <c r="C3756">
        <v>2013</v>
      </c>
      <c r="D3756">
        <v>27366000000</v>
      </c>
    </row>
    <row r="3757" spans="1:4">
      <c r="A3757" s="3" t="s">
        <v>527</v>
      </c>
      <c r="B3757" s="3" t="s">
        <v>528</v>
      </c>
      <c r="C3757">
        <v>2014</v>
      </c>
      <c r="D3757">
        <v>27033000000</v>
      </c>
    </row>
    <row r="3758" spans="1:4">
      <c r="A3758" s="3" t="s">
        <v>527</v>
      </c>
      <c r="B3758" s="3" t="s">
        <v>528</v>
      </c>
      <c r="C3758">
        <v>2015</v>
      </c>
      <c r="D3758">
        <v>28670000000</v>
      </c>
    </row>
    <row r="3759" spans="1:4">
      <c r="A3759" s="3" t="s">
        <v>527</v>
      </c>
      <c r="B3759" s="3" t="s">
        <v>528</v>
      </c>
      <c r="C3759">
        <v>2016</v>
      </c>
      <c r="D3759">
        <v>31388000000</v>
      </c>
    </row>
    <row r="3760" spans="1:4">
      <c r="A3760" s="3" t="s">
        <v>527</v>
      </c>
      <c r="B3760" s="3" t="s">
        <v>528</v>
      </c>
      <c r="C3760">
        <v>2017</v>
      </c>
      <c r="D3760">
        <v>31224000000</v>
      </c>
    </row>
    <row r="3761" spans="1:4">
      <c r="A3761" s="3" t="s">
        <v>527</v>
      </c>
      <c r="B3761" s="3" t="s">
        <v>528</v>
      </c>
      <c r="C3761">
        <v>2018</v>
      </c>
      <c r="D3761">
        <v>27302000000</v>
      </c>
    </row>
    <row r="3762" spans="1:4">
      <c r="A3762" s="3" t="s">
        <v>527</v>
      </c>
      <c r="B3762" s="3" t="s">
        <v>528</v>
      </c>
      <c r="C3762">
        <v>2019</v>
      </c>
      <c r="D3762">
        <v>26892000000</v>
      </c>
    </row>
    <row r="3763" spans="1:4">
      <c r="A3763" s="3" t="s">
        <v>527</v>
      </c>
      <c r="B3763" s="3" t="s">
        <v>528</v>
      </c>
      <c r="C3763">
        <v>2020</v>
      </c>
      <c r="D3763">
        <v>23363000000</v>
      </c>
    </row>
    <row r="3764" spans="1:4">
      <c r="A3764" s="3" t="s">
        <v>527</v>
      </c>
      <c r="B3764" s="3" t="s">
        <v>528</v>
      </c>
      <c r="C3764">
        <v>2021</v>
      </c>
      <c r="D3764">
        <v>26840000000</v>
      </c>
    </row>
    <row r="3765" spans="1:4">
      <c r="A3765" s="3" t="s">
        <v>527</v>
      </c>
      <c r="B3765" s="3" t="s">
        <v>528</v>
      </c>
      <c r="C3765">
        <v>2022</v>
      </c>
      <c r="D3765">
        <v>33033000000</v>
      </c>
    </row>
    <row r="3766" spans="1:4">
      <c r="A3766" s="3" t="s">
        <v>527</v>
      </c>
      <c r="B3766" s="3" t="s">
        <v>528</v>
      </c>
      <c r="C3766">
        <v>2023</v>
      </c>
      <c r="D3766">
        <v>29506000000</v>
      </c>
    </row>
    <row r="3767" spans="1:4">
      <c r="A3767" s="3" t="s">
        <v>527</v>
      </c>
      <c r="B3767" s="3" t="s">
        <v>528</v>
      </c>
      <c r="C3767">
        <v>2024</v>
      </c>
      <c r="D3767">
        <v>30591000000</v>
      </c>
    </row>
    <row r="3768" spans="1:4">
      <c r="A3768" s="3" t="s">
        <v>529</v>
      </c>
      <c r="B3768" s="3" t="s">
        <v>530</v>
      </c>
      <c r="C3768">
        <v>2019</v>
      </c>
      <c r="D3768">
        <v>7000000</v>
      </c>
    </row>
    <row r="3769" spans="1:4">
      <c r="A3769" s="3" t="s">
        <v>531</v>
      </c>
      <c r="B3769" s="3" t="s">
        <v>532</v>
      </c>
      <c r="C3769">
        <v>2014</v>
      </c>
      <c r="D3769">
        <v>1000000</v>
      </c>
    </row>
    <row r="3770" spans="1:4">
      <c r="A3770" s="3" t="s">
        <v>531</v>
      </c>
      <c r="B3770" s="3" t="s">
        <v>532</v>
      </c>
      <c r="C3770">
        <v>2018</v>
      </c>
      <c r="D3770">
        <v>1000000</v>
      </c>
    </row>
    <row r="3771" spans="1:4">
      <c r="A3771" s="3" t="s">
        <v>531</v>
      </c>
      <c r="B3771" s="3" t="s">
        <v>532</v>
      </c>
      <c r="C3771">
        <v>2020</v>
      </c>
      <c r="D3771">
        <v>3000000</v>
      </c>
    </row>
    <row r="3772" spans="1:4">
      <c r="A3772" s="3" t="s">
        <v>531</v>
      </c>
      <c r="B3772" s="3" t="s">
        <v>532</v>
      </c>
      <c r="C3772">
        <v>2021</v>
      </c>
      <c r="D3772">
        <v>9000000</v>
      </c>
    </row>
    <row r="3773" spans="1:4">
      <c r="A3773" s="3" t="s">
        <v>531</v>
      </c>
      <c r="B3773" s="3" t="s">
        <v>532</v>
      </c>
      <c r="C3773">
        <v>2022</v>
      </c>
      <c r="D3773">
        <v>1000000</v>
      </c>
    </row>
    <row r="3774" spans="1:4">
      <c r="A3774" s="3" t="s">
        <v>531</v>
      </c>
      <c r="B3774" s="3" t="s">
        <v>532</v>
      </c>
      <c r="C3774">
        <v>2023</v>
      </c>
      <c r="D3774">
        <v>14000000</v>
      </c>
    </row>
    <row r="3775" spans="1:4">
      <c r="A3775" s="3" t="s">
        <v>533</v>
      </c>
      <c r="B3775" s="3" t="s">
        <v>534</v>
      </c>
      <c r="C3775">
        <v>2000</v>
      </c>
      <c r="D3775">
        <v>158000000</v>
      </c>
    </row>
    <row r="3776" spans="1:4">
      <c r="A3776" s="3" t="s">
        <v>533</v>
      </c>
      <c r="B3776" s="3" t="s">
        <v>534</v>
      </c>
      <c r="C3776">
        <v>2001</v>
      </c>
      <c r="D3776">
        <v>70000000</v>
      </c>
    </row>
    <row r="3777" spans="1:4">
      <c r="A3777" s="3" t="s">
        <v>533</v>
      </c>
      <c r="B3777" s="3" t="s">
        <v>534</v>
      </c>
      <c r="C3777">
        <v>2002</v>
      </c>
      <c r="D3777">
        <v>585000000</v>
      </c>
    </row>
    <row r="3778" spans="1:4">
      <c r="A3778" s="3" t="s">
        <v>533</v>
      </c>
      <c r="B3778" s="3" t="s">
        <v>534</v>
      </c>
      <c r="C3778">
        <v>2003</v>
      </c>
      <c r="D3778">
        <v>58000000</v>
      </c>
    </row>
    <row r="3779" spans="1:4">
      <c r="A3779" s="3" t="s">
        <v>533</v>
      </c>
      <c r="B3779" s="3" t="s">
        <v>534</v>
      </c>
      <c r="C3779">
        <v>2004</v>
      </c>
      <c r="D3779">
        <v>253000000</v>
      </c>
    </row>
    <row r="3780" spans="1:4">
      <c r="A3780" s="3" t="s">
        <v>533</v>
      </c>
      <c r="B3780" s="3" t="s">
        <v>534</v>
      </c>
      <c r="C3780">
        <v>2005</v>
      </c>
      <c r="D3780">
        <v>316000000</v>
      </c>
    </row>
    <row r="3781" spans="1:4">
      <c r="A3781" s="3" t="s">
        <v>533</v>
      </c>
      <c r="B3781" s="3" t="s">
        <v>534</v>
      </c>
      <c r="C3781">
        <v>2006</v>
      </c>
      <c r="D3781">
        <v>38000000</v>
      </c>
    </row>
    <row r="3782" spans="1:4">
      <c r="A3782" s="3" t="s">
        <v>533</v>
      </c>
      <c r="B3782" s="3" t="s">
        <v>534</v>
      </c>
      <c r="C3782">
        <v>2007</v>
      </c>
      <c r="D3782">
        <v>66000000</v>
      </c>
    </row>
    <row r="3783" spans="1:4">
      <c r="A3783" s="3" t="s">
        <v>533</v>
      </c>
      <c r="B3783" s="3" t="s">
        <v>534</v>
      </c>
      <c r="C3783">
        <v>2008</v>
      </c>
      <c r="D3783">
        <v>41000000</v>
      </c>
    </row>
    <row r="3784" spans="1:4">
      <c r="A3784" s="3" t="s">
        <v>533</v>
      </c>
      <c r="B3784" s="3" t="s">
        <v>534</v>
      </c>
      <c r="C3784">
        <v>2009</v>
      </c>
      <c r="D3784">
        <v>5000000</v>
      </c>
    </row>
    <row r="3785" spans="1:4">
      <c r="A3785" s="3" t="s">
        <v>533</v>
      </c>
      <c r="B3785" s="3" t="s">
        <v>534</v>
      </c>
      <c r="C3785">
        <v>2010</v>
      </c>
      <c r="D3785">
        <v>261000000</v>
      </c>
    </row>
    <row r="3786" spans="1:4">
      <c r="A3786" s="3" t="s">
        <v>533</v>
      </c>
      <c r="B3786" s="3" t="s">
        <v>534</v>
      </c>
      <c r="C3786">
        <v>2011</v>
      </c>
      <c r="D3786">
        <v>47000000</v>
      </c>
    </row>
    <row r="3787" spans="1:4">
      <c r="A3787" s="3" t="s">
        <v>533</v>
      </c>
      <c r="B3787" s="3" t="s">
        <v>534</v>
      </c>
      <c r="C3787">
        <v>2012</v>
      </c>
      <c r="D3787">
        <v>38000000</v>
      </c>
    </row>
    <row r="3788" spans="1:4">
      <c r="A3788" s="3" t="s">
        <v>533</v>
      </c>
      <c r="B3788" s="3" t="s">
        <v>534</v>
      </c>
      <c r="C3788">
        <v>2013</v>
      </c>
      <c r="D3788">
        <v>23000000</v>
      </c>
    </row>
    <row r="3789" spans="1:4">
      <c r="A3789" s="3" t="s">
        <v>533</v>
      </c>
      <c r="B3789" s="3" t="s">
        <v>534</v>
      </c>
      <c r="C3789">
        <v>2014</v>
      </c>
      <c r="D3789">
        <v>6000000</v>
      </c>
    </row>
    <row r="3790" spans="1:4">
      <c r="A3790" s="3" t="s">
        <v>533</v>
      </c>
      <c r="B3790" s="3" t="s">
        <v>534</v>
      </c>
      <c r="C3790">
        <v>2015</v>
      </c>
      <c r="D3790">
        <v>33000000</v>
      </c>
    </row>
    <row r="3791" spans="1:4">
      <c r="A3791" s="3" t="s">
        <v>533</v>
      </c>
      <c r="B3791" s="3" t="s">
        <v>534</v>
      </c>
      <c r="C3791">
        <v>2016</v>
      </c>
      <c r="D3791">
        <v>7000000</v>
      </c>
    </row>
    <row r="3792" spans="1:4">
      <c r="A3792" s="3" t="s">
        <v>533</v>
      </c>
      <c r="B3792" s="3" t="s">
        <v>534</v>
      </c>
      <c r="C3792">
        <v>2017</v>
      </c>
      <c r="D3792">
        <v>6000000</v>
      </c>
    </row>
    <row r="3793" spans="1:4">
      <c r="A3793" s="3" t="s">
        <v>533</v>
      </c>
      <c r="B3793" s="3" t="s">
        <v>534</v>
      </c>
      <c r="C3793">
        <v>2018</v>
      </c>
      <c r="D3793">
        <v>9000000</v>
      </c>
    </row>
    <row r="3794" spans="1:4">
      <c r="A3794" s="3" t="s">
        <v>533</v>
      </c>
      <c r="B3794" s="3" t="s">
        <v>534</v>
      </c>
      <c r="C3794">
        <v>2022</v>
      </c>
      <c r="D3794">
        <v>1000000</v>
      </c>
    </row>
    <row r="3795" spans="1:4">
      <c r="A3795" s="3" t="s">
        <v>535</v>
      </c>
      <c r="B3795" s="3" t="s">
        <v>536</v>
      </c>
      <c r="C3795">
        <v>2000</v>
      </c>
      <c r="D3795">
        <v>6000000</v>
      </c>
    </row>
    <row r="3796" spans="1:4">
      <c r="A3796" s="3" t="s">
        <v>535</v>
      </c>
      <c r="B3796" s="3" t="s">
        <v>536</v>
      </c>
      <c r="C3796">
        <v>2001</v>
      </c>
      <c r="D3796">
        <v>18000000</v>
      </c>
    </row>
    <row r="3797" spans="1:4">
      <c r="A3797" s="3" t="s">
        <v>535</v>
      </c>
      <c r="B3797" s="3" t="s">
        <v>536</v>
      </c>
      <c r="C3797">
        <v>2005</v>
      </c>
      <c r="D3797">
        <v>262000000</v>
      </c>
    </row>
    <row r="3798" spans="1:4">
      <c r="A3798" s="3" t="s">
        <v>535</v>
      </c>
      <c r="B3798" s="3" t="s">
        <v>536</v>
      </c>
      <c r="C3798">
        <v>2006</v>
      </c>
      <c r="D3798">
        <v>741000000</v>
      </c>
    </row>
    <row r="3799" spans="1:4">
      <c r="A3799" s="3" t="s">
        <v>535</v>
      </c>
      <c r="B3799" s="3" t="s">
        <v>536</v>
      </c>
      <c r="C3799">
        <v>2007</v>
      </c>
      <c r="D3799">
        <v>910000000</v>
      </c>
    </row>
    <row r="3800" spans="1:4">
      <c r="A3800" s="3" t="s">
        <v>535</v>
      </c>
      <c r="B3800" s="3" t="s">
        <v>536</v>
      </c>
      <c r="C3800">
        <v>2008</v>
      </c>
      <c r="D3800">
        <v>493000000</v>
      </c>
    </row>
    <row r="3801" spans="1:4">
      <c r="A3801" s="3" t="s">
        <v>535</v>
      </c>
      <c r="B3801" s="3" t="s">
        <v>536</v>
      </c>
      <c r="C3801">
        <v>2009</v>
      </c>
      <c r="D3801">
        <v>134000000</v>
      </c>
    </row>
    <row r="3802" spans="1:4">
      <c r="A3802" s="3" t="s">
        <v>535</v>
      </c>
      <c r="B3802" s="3" t="s">
        <v>536</v>
      </c>
      <c r="C3802">
        <v>2010</v>
      </c>
      <c r="D3802">
        <v>178000000</v>
      </c>
    </row>
    <row r="3803" spans="1:4">
      <c r="A3803" s="3" t="s">
        <v>535</v>
      </c>
      <c r="B3803" s="3" t="s">
        <v>536</v>
      </c>
      <c r="C3803">
        <v>2011</v>
      </c>
      <c r="D3803">
        <v>208000000</v>
      </c>
    </row>
    <row r="3804" spans="1:4">
      <c r="A3804" s="3" t="s">
        <v>535</v>
      </c>
      <c r="B3804" s="3" t="s">
        <v>536</v>
      </c>
      <c r="C3804">
        <v>2012</v>
      </c>
      <c r="D3804">
        <v>127000000</v>
      </c>
    </row>
    <row r="3805" spans="1:4">
      <c r="A3805" s="3" t="s">
        <v>535</v>
      </c>
      <c r="B3805" s="3" t="s">
        <v>536</v>
      </c>
      <c r="C3805">
        <v>2013</v>
      </c>
      <c r="D3805">
        <v>1000000</v>
      </c>
    </row>
    <row r="3806" spans="1:4">
      <c r="A3806" s="3" t="s">
        <v>535</v>
      </c>
      <c r="B3806" s="3" t="s">
        <v>536</v>
      </c>
      <c r="C3806">
        <v>2014</v>
      </c>
      <c r="D3806">
        <v>50000000</v>
      </c>
    </row>
    <row r="3807" spans="1:4">
      <c r="A3807" s="3" t="s">
        <v>535</v>
      </c>
      <c r="B3807" s="3" t="s">
        <v>536</v>
      </c>
      <c r="C3807">
        <v>2015</v>
      </c>
      <c r="D3807">
        <v>2000000</v>
      </c>
    </row>
    <row r="3808" spans="1:4">
      <c r="A3808" s="3" t="s">
        <v>535</v>
      </c>
      <c r="B3808" s="3" t="s">
        <v>536</v>
      </c>
      <c r="C3808">
        <v>2022</v>
      </c>
      <c r="D3808">
        <v>30000000</v>
      </c>
    </row>
    <row r="3809" spans="1:4">
      <c r="A3809" s="3" t="s">
        <v>535</v>
      </c>
      <c r="B3809" s="3" t="s">
        <v>536</v>
      </c>
      <c r="C3809">
        <v>2023</v>
      </c>
      <c r="D3809">
        <v>30000000</v>
      </c>
    </row>
    <row r="3810" spans="1:4">
      <c r="A3810" s="3" t="s">
        <v>537</v>
      </c>
      <c r="B3810" s="3" t="s">
        <v>538</v>
      </c>
      <c r="C3810">
        <v>2000</v>
      </c>
      <c r="D3810">
        <v>43000000</v>
      </c>
    </row>
    <row r="3811" spans="1:4">
      <c r="A3811" s="3" t="s">
        <v>537</v>
      </c>
      <c r="B3811" s="3" t="s">
        <v>538</v>
      </c>
      <c r="C3811">
        <v>2002</v>
      </c>
      <c r="D3811">
        <v>2000000</v>
      </c>
    </row>
    <row r="3812" spans="1:4">
      <c r="A3812" s="3" t="s">
        <v>537</v>
      </c>
      <c r="B3812" s="3" t="s">
        <v>538</v>
      </c>
      <c r="C3812">
        <v>2005</v>
      </c>
      <c r="D3812">
        <v>0</v>
      </c>
    </row>
    <row r="3813" spans="1:4">
      <c r="A3813" s="3" t="s">
        <v>537</v>
      </c>
      <c r="B3813" s="3" t="s">
        <v>538</v>
      </c>
      <c r="C3813">
        <v>2006</v>
      </c>
      <c r="D3813">
        <v>30000000</v>
      </c>
    </row>
    <row r="3814" spans="1:4">
      <c r="A3814" s="3" t="s">
        <v>537</v>
      </c>
      <c r="B3814" s="3" t="s">
        <v>538</v>
      </c>
      <c r="C3814">
        <v>2007</v>
      </c>
      <c r="D3814">
        <v>5000000</v>
      </c>
    </row>
    <row r="3815" spans="1:4">
      <c r="A3815" s="3" t="s">
        <v>537</v>
      </c>
      <c r="B3815" s="3" t="s">
        <v>538</v>
      </c>
      <c r="C3815">
        <v>2008</v>
      </c>
      <c r="D3815">
        <v>2000000</v>
      </c>
    </row>
    <row r="3816" spans="1:4">
      <c r="A3816" s="3" t="s">
        <v>537</v>
      </c>
      <c r="B3816" s="3" t="s">
        <v>538</v>
      </c>
      <c r="C3816">
        <v>2011</v>
      </c>
      <c r="D3816">
        <v>1000000</v>
      </c>
    </row>
    <row r="3817" spans="1:4">
      <c r="A3817" s="3" t="s">
        <v>537</v>
      </c>
      <c r="B3817" s="3" t="s">
        <v>538</v>
      </c>
      <c r="C3817">
        <v>2012</v>
      </c>
      <c r="D3817">
        <v>61000000</v>
      </c>
    </row>
    <row r="3818" spans="1:4">
      <c r="A3818" s="3" t="s">
        <v>537</v>
      </c>
      <c r="B3818" s="3" t="s">
        <v>538</v>
      </c>
      <c r="C3818">
        <v>2015</v>
      </c>
      <c r="D3818">
        <v>15000000</v>
      </c>
    </row>
    <row r="3819" spans="1:4">
      <c r="A3819" s="3" t="s">
        <v>537</v>
      </c>
      <c r="B3819" s="3" t="s">
        <v>538</v>
      </c>
      <c r="C3819">
        <v>2016</v>
      </c>
      <c r="D3819">
        <v>44000000</v>
      </c>
    </row>
    <row r="3820" spans="1:4">
      <c r="A3820" s="3" t="s">
        <v>537</v>
      </c>
      <c r="B3820" s="3" t="s">
        <v>538</v>
      </c>
      <c r="C3820">
        <v>2017</v>
      </c>
      <c r="D3820">
        <v>46000000</v>
      </c>
    </row>
    <row r="3821" spans="1:4">
      <c r="A3821" s="3" t="s">
        <v>537</v>
      </c>
      <c r="B3821" s="3" t="s">
        <v>538</v>
      </c>
      <c r="C3821">
        <v>2019</v>
      </c>
      <c r="D3821">
        <v>43000000</v>
      </c>
    </row>
    <row r="3822" spans="1:4">
      <c r="A3822" s="3" t="s">
        <v>537</v>
      </c>
      <c r="B3822" s="3" t="s">
        <v>538</v>
      </c>
      <c r="C3822">
        <v>2020</v>
      </c>
      <c r="D3822">
        <v>3000000</v>
      </c>
    </row>
    <row r="3823" spans="1:4">
      <c r="A3823" s="3" t="s">
        <v>537</v>
      </c>
      <c r="B3823" s="3" t="s">
        <v>538</v>
      </c>
      <c r="C3823">
        <v>2021</v>
      </c>
      <c r="D3823">
        <v>20000000</v>
      </c>
    </row>
    <row r="3824" spans="1:4">
      <c r="A3824" s="3" t="s">
        <v>537</v>
      </c>
      <c r="B3824" s="3" t="s">
        <v>538</v>
      </c>
      <c r="C3824">
        <v>2022</v>
      </c>
      <c r="D3824">
        <v>2000000</v>
      </c>
    </row>
    <row r="3825" spans="1:4">
      <c r="A3825" s="3" t="s">
        <v>537</v>
      </c>
      <c r="B3825" s="3" t="s">
        <v>538</v>
      </c>
      <c r="C3825">
        <v>2023</v>
      </c>
      <c r="D3825">
        <v>5000000</v>
      </c>
    </row>
    <row r="3826" spans="1:4">
      <c r="A3826" s="3" t="s">
        <v>537</v>
      </c>
      <c r="B3826" s="3" t="s">
        <v>538</v>
      </c>
      <c r="C3826">
        <v>2024</v>
      </c>
      <c r="D3826">
        <v>1000000</v>
      </c>
    </row>
    <row r="3827" spans="1:4">
      <c r="A3827" s="3" t="s">
        <v>539</v>
      </c>
      <c r="B3827" s="3" t="s">
        <v>540</v>
      </c>
      <c r="C3827">
        <v>2000</v>
      </c>
      <c r="D3827">
        <v>8000000</v>
      </c>
    </row>
    <row r="3828" spans="1:4">
      <c r="A3828" s="3" t="s">
        <v>539</v>
      </c>
      <c r="B3828" s="3" t="s">
        <v>540</v>
      </c>
      <c r="C3828">
        <v>2001</v>
      </c>
      <c r="D3828">
        <v>10000000</v>
      </c>
    </row>
    <row r="3829" spans="1:4">
      <c r="A3829" s="3" t="s">
        <v>539</v>
      </c>
      <c r="B3829" s="3" t="s">
        <v>540</v>
      </c>
      <c r="C3829">
        <v>2003</v>
      </c>
      <c r="D3829">
        <v>16000000</v>
      </c>
    </row>
    <row r="3830" spans="1:4">
      <c r="A3830" s="3" t="s">
        <v>539</v>
      </c>
      <c r="B3830" s="3" t="s">
        <v>540</v>
      </c>
      <c r="C3830">
        <v>2004</v>
      </c>
      <c r="D3830">
        <v>14000000</v>
      </c>
    </row>
    <row r="3831" spans="1:4">
      <c r="A3831" s="3" t="s">
        <v>539</v>
      </c>
      <c r="B3831" s="3" t="s">
        <v>540</v>
      </c>
      <c r="C3831">
        <v>2005</v>
      </c>
      <c r="D3831">
        <v>25000000</v>
      </c>
    </row>
    <row r="3832" spans="1:4">
      <c r="A3832" s="3" t="s">
        <v>539</v>
      </c>
      <c r="B3832" s="3" t="s">
        <v>540</v>
      </c>
      <c r="C3832">
        <v>2006</v>
      </c>
      <c r="D3832">
        <v>25000000</v>
      </c>
    </row>
    <row r="3833" spans="1:4">
      <c r="A3833" s="3" t="s">
        <v>539</v>
      </c>
      <c r="B3833" s="3" t="s">
        <v>540</v>
      </c>
      <c r="C3833">
        <v>2023</v>
      </c>
      <c r="D3833">
        <v>20000000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8D01-8BB7-4D6F-A264-7480FAA32F23}">
  <dimension ref="A1:I3986"/>
  <sheetViews>
    <sheetView showGridLines="0" zoomScale="70" zoomScaleNormal="70" workbookViewId="0">
      <selection activeCell="D14" sqref="D14"/>
    </sheetView>
  </sheetViews>
  <sheetFormatPr defaultRowHeight="14.4"/>
  <cols>
    <col min="1" max="1" width="60.109375" bestFit="1" customWidth="1"/>
    <col min="2" max="2" width="14.77734375" bestFit="1" customWidth="1"/>
    <col min="3" max="3" width="10" style="5" bestFit="1" customWidth="1"/>
    <col min="4" max="5" width="17.6640625" style="4" bestFit="1" customWidth="1"/>
    <col min="6" max="6" width="23" bestFit="1" customWidth="1"/>
    <col min="7" max="7" width="18.88671875" bestFit="1" customWidth="1"/>
    <col min="8" max="8" width="18.33203125" style="4" bestFit="1" customWidth="1"/>
    <col min="9" max="9" width="19.77734375" style="4" bestFit="1" customWidth="1"/>
    <col min="11" max="11" width="10.33203125" bestFit="1" customWidth="1"/>
    <col min="12" max="12" width="10.109375" bestFit="1" customWidth="1"/>
    <col min="13" max="13" width="12.44140625" bestFit="1" customWidth="1"/>
    <col min="14" max="14" width="15.109375" bestFit="1" customWidth="1"/>
  </cols>
  <sheetData>
    <row r="1" spans="1:9">
      <c r="A1" s="4" t="s">
        <v>680</v>
      </c>
      <c r="B1" s="4" t="s">
        <v>679</v>
      </c>
      <c r="C1" s="5" t="s">
        <v>681</v>
      </c>
      <c r="D1" s="4" t="s">
        <v>683</v>
      </c>
      <c r="E1" s="4" t="s">
        <v>682</v>
      </c>
      <c r="F1" s="4" t="s">
        <v>543</v>
      </c>
      <c r="G1" s="4" t="s">
        <v>686</v>
      </c>
      <c r="H1" s="4" t="s">
        <v>684</v>
      </c>
      <c r="I1" s="4" t="s">
        <v>685</v>
      </c>
    </row>
    <row r="2" spans="1:9">
      <c r="A2" s="4" t="s">
        <v>15</v>
      </c>
      <c r="B2" s="4" t="s">
        <v>16</v>
      </c>
      <c r="C2" s="5">
        <v>2024</v>
      </c>
      <c r="D2" s="4">
        <v>0</v>
      </c>
      <c r="E2" s="4">
        <v>433000000</v>
      </c>
      <c r="F2" s="4" t="str">
        <f>_xlfn.LET(_xlpm.r, _xlfn.XLOOKUP(Clean_Data[[#This Row],[Country_Code]], Metadata_Country!$A:$A, Metadata_Country!$B:$B, "Unknown"), IF(OR(_xlpm.r=0, _xlpm.r=""), "Regional Aggregate", _xlpm.r))</f>
        <v>Regional Aggregate</v>
      </c>
      <c r="G2" s="4" t="str">
        <f>_xlfn.LET(_xlpm.ig, _xlfn.XLOOKUP(Clean_Data[[#This Row],[Country_Code]], Metadata_Country!$A:$A, Metadata_Country!$C:$C, "Unknown"), IF(OR(_xlpm.ig=0, _xlpm.ig=""), "Regional Aggregate", _xlpm.ig))</f>
        <v>Regional Aggregate</v>
      </c>
      <c r="H2" s="4">
        <f>Clean_Data[[#This Row],[Exports_TIV]] - Clean_Data[[#This Row],[Imports_TIV]]</f>
        <v>-433000000</v>
      </c>
      <c r="I2" s="4">
        <f>Clean_Data[[#This Row],[Exports_TIV]] + Clean_Data[[#This Row],[Imports_TIV]]</f>
        <v>433000000</v>
      </c>
    </row>
    <row r="3" spans="1:9">
      <c r="A3" s="4" t="s">
        <v>19</v>
      </c>
      <c r="B3" s="4" t="s">
        <v>20</v>
      </c>
      <c r="C3" s="5">
        <v>2024</v>
      </c>
      <c r="D3" s="4">
        <v>0</v>
      </c>
      <c r="E3" s="4">
        <v>38000000</v>
      </c>
      <c r="F3" s="4" t="str">
        <f>_xlfn.LET(_xlpm.r, _xlfn.XLOOKUP(Clean_Data[[#This Row],[Country_Code]], Metadata_Country!$A:$A, Metadata_Country!$B:$B, "Unknown"), IF(OR(_xlpm.r=0, _xlpm.r=""), "Regional Aggregate", _xlpm.r))</f>
        <v>Europe &amp; Central Asia</v>
      </c>
      <c r="G3" s="4" t="str">
        <f>_xlfn.LET(_xlpm.ig, _xlfn.XLOOKUP(Clean_Data[[#This Row],[Country_Code]], Metadata_Country!$A:$A, Metadata_Country!$C:$C, "Unknown"), IF(OR(_xlpm.ig=0, _xlpm.ig=""), "Regional Aggregate", _xlpm.ig))</f>
        <v>Upper middle income</v>
      </c>
      <c r="H3" s="4">
        <f>Clean_Data[[#This Row],[Exports_TIV]] - Clean_Data[[#This Row],[Imports_TIV]]</f>
        <v>-38000000</v>
      </c>
      <c r="I3" s="4">
        <f>Clean_Data[[#This Row],[Exports_TIV]] + Clean_Data[[#This Row],[Imports_TIV]]</f>
        <v>38000000</v>
      </c>
    </row>
    <row r="4" spans="1:9">
      <c r="A4" s="4" t="s">
        <v>129</v>
      </c>
      <c r="B4" s="4" t="s">
        <v>130</v>
      </c>
      <c r="C4" s="5">
        <v>2024</v>
      </c>
      <c r="D4" s="4">
        <v>0</v>
      </c>
      <c r="E4" s="4">
        <v>205000000</v>
      </c>
      <c r="F4" s="4" t="str">
        <f>_xlfn.LET(_xlpm.r, _xlfn.XLOOKUP(Clean_Data[[#This Row],[Country_Code]], Metadata_Country!$A:$A, Metadata_Country!$B:$B, "Unknown"), IF(OR(_xlpm.r=0, _xlpm.r=""), "Regional Aggregate", _xlpm.r))</f>
        <v>Middle East &amp; North Africa</v>
      </c>
      <c r="G4" s="4" t="str">
        <f>_xlfn.LET(_xlpm.ig, _xlfn.XLOOKUP(Clean_Data[[#This Row],[Country_Code]], Metadata_Country!$A:$A, Metadata_Country!$C:$C, "Unknown"), IF(OR(_xlpm.ig=0, _xlpm.ig=""), "Regional Aggregate", _xlpm.ig))</f>
        <v>Upper middle income</v>
      </c>
      <c r="H4" s="4">
        <f>Clean_Data[[#This Row],[Exports_TIV]] - Clean_Data[[#This Row],[Imports_TIV]]</f>
        <v>-205000000</v>
      </c>
      <c r="I4" s="4">
        <f>Clean_Data[[#This Row],[Exports_TIV]] + Clean_Data[[#This Row],[Imports_TIV]]</f>
        <v>205000000</v>
      </c>
    </row>
    <row r="5" spans="1:9">
      <c r="A5" s="4" t="s">
        <v>17</v>
      </c>
      <c r="B5" s="4" t="s">
        <v>18</v>
      </c>
      <c r="C5" s="5">
        <v>2024</v>
      </c>
      <c r="D5" s="4">
        <v>0</v>
      </c>
      <c r="E5" s="4">
        <v>16000000</v>
      </c>
      <c r="F5" s="4" t="str">
        <f>_xlfn.LET(_xlpm.r, _xlfn.XLOOKUP(Clean_Data[[#This Row],[Country_Code]], Metadata_Country!$A:$A, Metadata_Country!$B:$B, "Unknown"), IF(OR(_xlpm.r=0, _xlpm.r=""), "Regional Aggregate", _xlpm.r))</f>
        <v>Sub-Saharan Africa</v>
      </c>
      <c r="G5" s="4" t="str">
        <f>_xlfn.LET(_xlpm.ig, _xlfn.XLOOKUP(Clean_Data[[#This Row],[Country_Code]], Metadata_Country!$A:$A, Metadata_Country!$C:$C, "Unknown"), IF(OR(_xlpm.ig=0, _xlpm.ig=""), "Regional Aggregate", _xlpm.ig))</f>
        <v>Lower middle income</v>
      </c>
      <c r="H5" s="4">
        <f>Clean_Data[[#This Row],[Exports_TIV]] - Clean_Data[[#This Row],[Imports_TIV]]</f>
        <v>-16000000</v>
      </c>
      <c r="I5" s="4">
        <f>Clean_Data[[#This Row],[Exports_TIV]] + Clean_Data[[#This Row],[Imports_TIV]]</f>
        <v>16000000</v>
      </c>
    </row>
    <row r="6" spans="1:9">
      <c r="A6" s="4" t="s">
        <v>23</v>
      </c>
      <c r="B6" s="4" t="s">
        <v>24</v>
      </c>
      <c r="C6" s="5">
        <v>2024</v>
      </c>
      <c r="D6" s="4">
        <v>0</v>
      </c>
      <c r="E6" s="4">
        <v>5605000000</v>
      </c>
      <c r="F6" s="4" t="str">
        <f>_xlfn.LET(_xlpm.r, _xlfn.XLOOKUP(Clean_Data[[#This Row],[Country_Code]], Metadata_Country!$A:$A, Metadata_Country!$B:$B, "Unknown"), IF(OR(_xlpm.r=0, _xlpm.r=""), "Regional Aggregate", _xlpm.r))</f>
        <v>Regional Aggregate</v>
      </c>
      <c r="G6" s="4" t="str">
        <f>_xlfn.LET(_xlpm.ig, _xlfn.XLOOKUP(Clean_Data[[#This Row],[Country_Code]], Metadata_Country!$A:$A, Metadata_Country!$C:$C, "Unknown"), IF(OR(_xlpm.ig=0, _xlpm.ig=""), "Regional Aggregate", _xlpm.ig))</f>
        <v>Regional Aggregate</v>
      </c>
      <c r="H6" s="4">
        <f>Clean_Data[[#This Row],[Exports_TIV]] - Clean_Data[[#This Row],[Imports_TIV]]</f>
        <v>-5605000000</v>
      </c>
      <c r="I6" s="4">
        <f>Clean_Data[[#This Row],[Exports_TIV]] + Clean_Data[[#This Row],[Imports_TIV]]</f>
        <v>5605000000</v>
      </c>
    </row>
    <row r="7" spans="1:9">
      <c r="A7" s="4" t="s">
        <v>27</v>
      </c>
      <c r="B7" s="4" t="s">
        <v>28</v>
      </c>
      <c r="C7" s="5">
        <v>2024</v>
      </c>
      <c r="D7" s="4">
        <v>0</v>
      </c>
      <c r="E7" s="4">
        <v>45000000</v>
      </c>
      <c r="F7" s="4" t="str">
        <f>_xlfn.LET(_xlpm.r, _xlfn.XLOOKUP(Clean_Data[[#This Row],[Country_Code]], Metadata_Country!$A:$A, Metadata_Country!$B:$B, "Unknown"), IF(OR(_xlpm.r=0, _xlpm.r=""), "Regional Aggregate", _xlpm.r))</f>
        <v>Latin America &amp; Caribbean</v>
      </c>
      <c r="G7" s="4" t="str">
        <f>_xlfn.LET(_xlpm.ig, _xlfn.XLOOKUP(Clean_Data[[#This Row],[Country_Code]], Metadata_Country!$A:$A, Metadata_Country!$C:$C, "Unknown"), IF(OR(_xlpm.ig=0, _xlpm.ig=""), "Regional Aggregate", _xlpm.ig))</f>
        <v>Upper middle income</v>
      </c>
      <c r="H7" s="4">
        <f>Clean_Data[[#This Row],[Exports_TIV]] - Clean_Data[[#This Row],[Imports_TIV]]</f>
        <v>-45000000</v>
      </c>
      <c r="I7" s="4">
        <f>Clean_Data[[#This Row],[Exports_TIV]] + Clean_Data[[#This Row],[Imports_TIV]]</f>
        <v>45000000</v>
      </c>
    </row>
    <row r="8" spans="1:9">
      <c r="A8" s="4" t="s">
        <v>29</v>
      </c>
      <c r="B8" s="4" t="s">
        <v>30</v>
      </c>
      <c r="C8" s="5">
        <v>2024</v>
      </c>
      <c r="D8" s="4">
        <v>0</v>
      </c>
      <c r="E8" s="4">
        <v>32000000</v>
      </c>
      <c r="F8" s="4" t="str">
        <f>_xlfn.LET(_xlpm.r, _xlfn.XLOOKUP(Clean_Data[[#This Row],[Country_Code]], Metadata_Country!$A:$A, Metadata_Country!$B:$B, "Unknown"), IF(OR(_xlpm.r=0, _xlpm.r=""), "Regional Aggregate", _xlpm.r))</f>
        <v>Europe &amp; Central Asia</v>
      </c>
      <c r="G8" s="4" t="str">
        <f>_xlfn.LET(_xlpm.ig, _xlfn.XLOOKUP(Clean_Data[[#This Row],[Country_Code]], Metadata_Country!$A:$A, Metadata_Country!$C:$C, "Unknown"), IF(OR(_xlpm.ig=0, _xlpm.ig=""), "Regional Aggregate", _xlpm.ig))</f>
        <v>Upper middle income</v>
      </c>
      <c r="H8" s="4">
        <f>Clean_Data[[#This Row],[Exports_TIV]] - Clean_Data[[#This Row],[Imports_TIV]]</f>
        <v>-32000000</v>
      </c>
      <c r="I8" s="4">
        <f>Clean_Data[[#This Row],[Exports_TIV]] + Clean_Data[[#This Row],[Imports_TIV]]</f>
        <v>32000000</v>
      </c>
    </row>
    <row r="9" spans="1:9">
      <c r="A9" s="4" t="s">
        <v>35</v>
      </c>
      <c r="B9" s="4" t="s">
        <v>36</v>
      </c>
      <c r="C9" s="5">
        <v>2024</v>
      </c>
      <c r="D9" s="4">
        <v>73000000</v>
      </c>
      <c r="E9" s="4">
        <v>1077000000</v>
      </c>
      <c r="F9" s="4" t="str">
        <f>_xlfn.LET(_xlpm.r, _xlfn.XLOOKUP(Clean_Data[[#This Row],[Country_Code]], Metadata_Country!$A:$A, Metadata_Country!$B:$B, "Unknown"), IF(OR(_xlpm.r=0, _xlpm.r=""), "Regional Aggregate", _xlpm.r))</f>
        <v>East Asia &amp; Pacific</v>
      </c>
      <c r="G9" s="4" t="str">
        <f>_xlfn.LET(_xlpm.ig, _xlfn.XLOOKUP(Clean_Data[[#This Row],[Country_Code]], Metadata_Country!$A:$A, Metadata_Country!$C:$C, "Unknown"), IF(OR(_xlpm.ig=0, _xlpm.ig=""), "Regional Aggregate", _xlpm.ig))</f>
        <v>High income</v>
      </c>
      <c r="H9" s="4">
        <f>Clean_Data[[#This Row],[Exports_TIV]] - Clean_Data[[#This Row],[Imports_TIV]]</f>
        <v>-1004000000</v>
      </c>
      <c r="I9" s="4">
        <f>Clean_Data[[#This Row],[Exports_TIV]] + Clean_Data[[#This Row],[Imports_TIV]]</f>
        <v>1150000000</v>
      </c>
    </row>
    <row r="10" spans="1:9">
      <c r="A10" s="4" t="s">
        <v>37</v>
      </c>
      <c r="B10" s="4" t="s">
        <v>38</v>
      </c>
      <c r="C10" s="5">
        <v>2024</v>
      </c>
      <c r="D10" s="4">
        <v>23000000</v>
      </c>
      <c r="E10" s="4">
        <v>13000000</v>
      </c>
      <c r="F10" s="4" t="str">
        <f>_xlfn.LET(_xlpm.r, _xlfn.XLOOKUP(Clean_Data[[#This Row],[Country_Code]], Metadata_Country!$A:$A, Metadata_Country!$B:$B, "Unknown"), IF(OR(_xlpm.r=0, _xlpm.r=""), "Regional Aggregate", _xlpm.r))</f>
        <v>Europe &amp; Central Asia</v>
      </c>
      <c r="G10" s="4" t="str">
        <f>_xlfn.LET(_xlpm.ig, _xlfn.XLOOKUP(Clean_Data[[#This Row],[Country_Code]], Metadata_Country!$A:$A, Metadata_Country!$C:$C, "Unknown"), IF(OR(_xlpm.ig=0, _xlpm.ig=""), "Regional Aggregate", _xlpm.ig))</f>
        <v>High income</v>
      </c>
      <c r="H10" s="4">
        <f>Clean_Data[[#This Row],[Exports_TIV]] - Clean_Data[[#This Row],[Imports_TIV]]</f>
        <v>10000000</v>
      </c>
      <c r="I10" s="4">
        <f>Clean_Data[[#This Row],[Exports_TIV]] + Clean_Data[[#This Row],[Imports_TIV]]</f>
        <v>36000000</v>
      </c>
    </row>
    <row r="11" spans="1:9">
      <c r="A11" s="4" t="s">
        <v>39</v>
      </c>
      <c r="B11" s="4" t="s">
        <v>40</v>
      </c>
      <c r="C11" s="5">
        <v>2024</v>
      </c>
      <c r="D11" s="4">
        <v>0</v>
      </c>
      <c r="E11" s="4">
        <v>75000000</v>
      </c>
      <c r="F11" s="4" t="str">
        <f>_xlfn.LET(_xlpm.r, _xlfn.XLOOKUP(Clean_Data[[#This Row],[Country_Code]], Metadata_Country!$A:$A, Metadata_Country!$B:$B, "Unknown"), IF(OR(_xlpm.r=0, _xlpm.r=""), "Regional Aggregate", _xlpm.r))</f>
        <v>Europe &amp; Central Asia</v>
      </c>
      <c r="G11" s="4" t="str">
        <f>_xlfn.LET(_xlpm.ig, _xlfn.XLOOKUP(Clean_Data[[#This Row],[Country_Code]], Metadata_Country!$A:$A, Metadata_Country!$C:$C, "Unknown"), IF(OR(_xlpm.ig=0, _xlpm.ig=""), "Regional Aggregate", _xlpm.ig))</f>
        <v>Upper middle income</v>
      </c>
      <c r="H11" s="4">
        <f>Clean_Data[[#This Row],[Exports_TIV]] - Clean_Data[[#This Row],[Imports_TIV]]</f>
        <v>-75000000</v>
      </c>
      <c r="I11" s="4">
        <f>Clean_Data[[#This Row],[Exports_TIV]] + Clean_Data[[#This Row],[Imports_TIV]]</f>
        <v>75000000</v>
      </c>
    </row>
    <row r="12" spans="1:9">
      <c r="A12" s="4" t="s">
        <v>53</v>
      </c>
      <c r="B12" s="4" t="s">
        <v>54</v>
      </c>
      <c r="C12" s="5">
        <v>2024</v>
      </c>
      <c r="D12" s="4">
        <v>0</v>
      </c>
      <c r="E12" s="4">
        <v>850000000</v>
      </c>
      <c r="F12" s="4" t="str">
        <f>_xlfn.LET(_xlpm.r, _xlfn.XLOOKUP(Clean_Data[[#This Row],[Country_Code]], Metadata_Country!$A:$A, Metadata_Country!$B:$B, "Unknown"), IF(OR(_xlpm.r=0, _xlpm.r=""), "Regional Aggregate", _xlpm.r))</f>
        <v>Middle East &amp; North Africa</v>
      </c>
      <c r="G12" s="4" t="str">
        <f>_xlfn.LET(_xlpm.ig, _xlfn.XLOOKUP(Clean_Data[[#This Row],[Country_Code]], Metadata_Country!$A:$A, Metadata_Country!$C:$C, "Unknown"), IF(OR(_xlpm.ig=0, _xlpm.ig=""), "Regional Aggregate", _xlpm.ig))</f>
        <v>High income</v>
      </c>
      <c r="H12" s="4">
        <f>Clean_Data[[#This Row],[Exports_TIV]] - Clean_Data[[#This Row],[Imports_TIV]]</f>
        <v>-850000000</v>
      </c>
      <c r="I12" s="4">
        <f>Clean_Data[[#This Row],[Exports_TIV]] + Clean_Data[[#This Row],[Imports_TIV]]</f>
        <v>850000000</v>
      </c>
    </row>
    <row r="13" spans="1:9">
      <c r="A13" s="4" t="s">
        <v>49</v>
      </c>
      <c r="B13" s="4" t="s">
        <v>50</v>
      </c>
      <c r="C13" s="5">
        <v>2024</v>
      </c>
      <c r="D13" s="4">
        <v>0</v>
      </c>
      <c r="E13" s="4">
        <v>70000000</v>
      </c>
      <c r="F13" s="4" t="str">
        <f>_xlfn.LET(_xlpm.r, _xlfn.XLOOKUP(Clean_Data[[#This Row],[Country_Code]], Metadata_Country!$A:$A, Metadata_Country!$B:$B, "Unknown"), IF(OR(_xlpm.r=0, _xlpm.r=""), "Regional Aggregate", _xlpm.r))</f>
        <v>South Asia</v>
      </c>
      <c r="G13" s="4" t="str">
        <f>_xlfn.LET(_xlpm.ig, _xlfn.XLOOKUP(Clean_Data[[#This Row],[Country_Code]], Metadata_Country!$A:$A, Metadata_Country!$C:$C, "Unknown"), IF(OR(_xlpm.ig=0, _xlpm.ig=""), "Regional Aggregate", _xlpm.ig))</f>
        <v>Lower middle income</v>
      </c>
      <c r="H13" s="4">
        <f>Clean_Data[[#This Row],[Exports_TIV]] - Clean_Data[[#This Row],[Imports_TIV]]</f>
        <v>-70000000</v>
      </c>
      <c r="I13" s="4">
        <f>Clean_Data[[#This Row],[Exports_TIV]] + Clean_Data[[#This Row],[Imports_TIV]]</f>
        <v>70000000</v>
      </c>
    </row>
    <row r="14" spans="1:9">
      <c r="A14" s="4" t="s">
        <v>59</v>
      </c>
      <c r="B14" s="4" t="s">
        <v>60</v>
      </c>
      <c r="C14" s="5">
        <v>2024</v>
      </c>
      <c r="D14" s="4">
        <v>65000000</v>
      </c>
      <c r="E14" s="4">
        <v>399000000</v>
      </c>
      <c r="F14" s="4" t="str">
        <f>_xlfn.LET(_xlpm.r, _xlfn.XLOOKUP(Clean_Data[[#This Row],[Country_Code]], Metadata_Country!$A:$A, Metadata_Country!$B:$B, "Unknown"), IF(OR(_xlpm.r=0, _xlpm.r=""), "Regional Aggregate", _xlpm.r))</f>
        <v>Europe &amp; Central Asia</v>
      </c>
      <c r="G14" s="4" t="str">
        <f>_xlfn.LET(_xlpm.ig, _xlfn.XLOOKUP(Clean_Data[[#This Row],[Country_Code]], Metadata_Country!$A:$A, Metadata_Country!$C:$C, "Unknown"), IF(OR(_xlpm.ig=0, _xlpm.ig=""), "Regional Aggregate", _xlpm.ig))</f>
        <v>Upper middle income</v>
      </c>
      <c r="H14" s="4">
        <f>Clean_Data[[#This Row],[Exports_TIV]] - Clean_Data[[#This Row],[Imports_TIV]]</f>
        <v>-334000000</v>
      </c>
      <c r="I14" s="4">
        <f>Clean_Data[[#This Row],[Exports_TIV]] + Clean_Data[[#This Row],[Imports_TIV]]</f>
        <v>464000000</v>
      </c>
    </row>
    <row r="15" spans="1:9">
      <c r="A15" s="4" t="s">
        <v>43</v>
      </c>
      <c r="B15" s="4" t="s">
        <v>44</v>
      </c>
      <c r="C15" s="5">
        <v>2024</v>
      </c>
      <c r="D15" s="4">
        <v>69000000</v>
      </c>
      <c r="E15" s="4">
        <v>508000000</v>
      </c>
      <c r="F15" s="4" t="str">
        <f>_xlfn.LET(_xlpm.r, _xlfn.XLOOKUP(Clean_Data[[#This Row],[Country_Code]], Metadata_Country!$A:$A, Metadata_Country!$B:$B, "Unknown"), IF(OR(_xlpm.r=0, _xlpm.r=""), "Regional Aggregate", _xlpm.r))</f>
        <v>Europe &amp; Central Asia</v>
      </c>
      <c r="G15" s="4" t="str">
        <f>_xlfn.LET(_xlpm.ig, _xlfn.XLOOKUP(Clean_Data[[#This Row],[Country_Code]], Metadata_Country!$A:$A, Metadata_Country!$C:$C, "Unknown"), IF(OR(_xlpm.ig=0, _xlpm.ig=""), "Regional Aggregate", _xlpm.ig))</f>
        <v>High income</v>
      </c>
      <c r="H15" s="4">
        <f>Clean_Data[[#This Row],[Exports_TIV]] - Clean_Data[[#This Row],[Imports_TIV]]</f>
        <v>-439000000</v>
      </c>
      <c r="I15" s="4">
        <f>Clean_Data[[#This Row],[Exports_TIV]] + Clean_Data[[#This Row],[Imports_TIV]]</f>
        <v>577000000</v>
      </c>
    </row>
    <row r="16" spans="1:9">
      <c r="A16" s="4" t="s">
        <v>45</v>
      </c>
      <c r="B16" s="4" t="s">
        <v>46</v>
      </c>
      <c r="C16" s="5">
        <v>2024</v>
      </c>
      <c r="D16" s="4">
        <v>0</v>
      </c>
      <c r="E16" s="4">
        <v>7000000</v>
      </c>
      <c r="F16" s="4" t="str">
        <f>_xlfn.LET(_xlpm.r, _xlfn.XLOOKUP(Clean_Data[[#This Row],[Country_Code]], Metadata_Country!$A:$A, Metadata_Country!$B:$B, "Unknown"), IF(OR(_xlpm.r=0, _xlpm.r=""), "Regional Aggregate", _xlpm.r))</f>
        <v>Sub-Saharan Africa</v>
      </c>
      <c r="G16" s="4" t="str">
        <f>_xlfn.LET(_xlpm.ig, _xlfn.XLOOKUP(Clean_Data[[#This Row],[Country_Code]], Metadata_Country!$A:$A, Metadata_Country!$C:$C, "Unknown"), IF(OR(_xlpm.ig=0, _xlpm.ig=""), "Regional Aggregate", _xlpm.ig))</f>
        <v>Lower middle income</v>
      </c>
      <c r="H16" s="4">
        <f>Clean_Data[[#This Row],[Exports_TIV]] - Clean_Data[[#This Row],[Imports_TIV]]</f>
        <v>-7000000</v>
      </c>
      <c r="I16" s="4">
        <f>Clean_Data[[#This Row],[Exports_TIV]] + Clean_Data[[#This Row],[Imports_TIV]]</f>
        <v>7000000</v>
      </c>
    </row>
    <row r="17" spans="1:9">
      <c r="A17" s="4" t="s">
        <v>65</v>
      </c>
      <c r="B17" s="4" t="s">
        <v>66</v>
      </c>
      <c r="C17" s="5">
        <v>2024</v>
      </c>
      <c r="D17" s="4">
        <v>0</v>
      </c>
      <c r="E17" s="4">
        <v>0</v>
      </c>
      <c r="F17" s="4" t="str">
        <f>_xlfn.LET(_xlpm.r, _xlfn.XLOOKUP(Clean_Data[[#This Row],[Country_Code]], Metadata_Country!$A:$A, Metadata_Country!$B:$B, "Unknown"), IF(OR(_xlpm.r=0, _xlpm.r=""), "Regional Aggregate", _xlpm.r))</f>
        <v>Latin America &amp; Caribbean</v>
      </c>
      <c r="G17" s="4" t="str">
        <f>_xlfn.LET(_xlpm.ig, _xlfn.XLOOKUP(Clean_Data[[#This Row],[Country_Code]], Metadata_Country!$A:$A, Metadata_Country!$C:$C, "Unknown"), IF(OR(_xlpm.ig=0, _xlpm.ig=""), "Regional Aggregate", _xlpm.ig))</f>
        <v>Lower middle income</v>
      </c>
      <c r="H17" s="4">
        <f>Clean_Data[[#This Row],[Exports_TIV]] - Clean_Data[[#This Row],[Imports_TIV]]</f>
        <v>0</v>
      </c>
      <c r="I17" s="4">
        <f>Clean_Data[[#This Row],[Exports_TIV]] + Clean_Data[[#This Row],[Imports_TIV]]</f>
        <v>0</v>
      </c>
    </row>
    <row r="18" spans="1:9">
      <c r="A18" s="4" t="s">
        <v>75</v>
      </c>
      <c r="B18" s="4" t="s">
        <v>76</v>
      </c>
      <c r="C18" s="5">
        <v>2024</v>
      </c>
      <c r="D18" s="4">
        <v>0</v>
      </c>
      <c r="E18" s="4">
        <v>11000000</v>
      </c>
      <c r="F18" s="4" t="str">
        <f>_xlfn.LET(_xlpm.r, _xlfn.XLOOKUP(Clean_Data[[#This Row],[Country_Code]], Metadata_Country!$A:$A, Metadata_Country!$B:$B, "Unknown"), IF(OR(_xlpm.r=0, _xlpm.r=""), "Regional Aggregate", _xlpm.r))</f>
        <v>Sub-Saharan Africa</v>
      </c>
      <c r="G18" s="4" t="str">
        <f>_xlfn.LET(_xlpm.ig, _xlfn.XLOOKUP(Clean_Data[[#This Row],[Country_Code]], Metadata_Country!$A:$A, Metadata_Country!$C:$C, "Unknown"), IF(OR(_xlpm.ig=0, _xlpm.ig=""), "Regional Aggregate", _xlpm.ig))</f>
        <v>Upper middle income</v>
      </c>
      <c r="H18" s="4">
        <f>Clean_Data[[#This Row],[Exports_TIV]] - Clean_Data[[#This Row],[Imports_TIV]]</f>
        <v>-11000000</v>
      </c>
      <c r="I18" s="4">
        <f>Clean_Data[[#This Row],[Exports_TIV]] + Clean_Data[[#This Row],[Imports_TIV]]</f>
        <v>11000000</v>
      </c>
    </row>
    <row r="19" spans="1:9">
      <c r="A19" s="4" t="s">
        <v>67</v>
      </c>
      <c r="B19" s="4" t="s">
        <v>68</v>
      </c>
      <c r="C19" s="5">
        <v>2024</v>
      </c>
      <c r="D19" s="4">
        <v>112000000</v>
      </c>
      <c r="E19" s="4">
        <v>450000000</v>
      </c>
      <c r="F19" s="4" t="str">
        <f>_xlfn.LET(_xlpm.r, _xlfn.XLOOKUP(Clean_Data[[#This Row],[Country_Code]], Metadata_Country!$A:$A, Metadata_Country!$B:$B, "Unknown"), IF(OR(_xlpm.r=0, _xlpm.r=""), "Regional Aggregate", _xlpm.r))</f>
        <v>Latin America &amp; Caribbean</v>
      </c>
      <c r="G19" s="4" t="str">
        <f>_xlfn.LET(_xlpm.ig, _xlfn.XLOOKUP(Clean_Data[[#This Row],[Country_Code]], Metadata_Country!$A:$A, Metadata_Country!$C:$C, "Unknown"), IF(OR(_xlpm.ig=0, _xlpm.ig=""), "Regional Aggregate", _xlpm.ig))</f>
        <v>Upper middle income</v>
      </c>
      <c r="H19" s="4">
        <f>Clean_Data[[#This Row],[Exports_TIV]] - Clean_Data[[#This Row],[Imports_TIV]]</f>
        <v>-338000000</v>
      </c>
      <c r="I19" s="4">
        <f>Clean_Data[[#This Row],[Exports_TIV]] + Clean_Data[[#This Row],[Imports_TIV]]</f>
        <v>562000000</v>
      </c>
    </row>
    <row r="20" spans="1:9">
      <c r="A20" s="4" t="s">
        <v>71</v>
      </c>
      <c r="B20" s="4" t="s">
        <v>72</v>
      </c>
      <c r="C20" s="5">
        <v>2024</v>
      </c>
      <c r="D20" s="4">
        <v>0</v>
      </c>
      <c r="E20" s="4">
        <v>28000000</v>
      </c>
      <c r="F20" s="4" t="str">
        <f>_xlfn.LET(_xlpm.r, _xlfn.XLOOKUP(Clean_Data[[#This Row],[Country_Code]], Metadata_Country!$A:$A, Metadata_Country!$B:$B, "Unknown"), IF(OR(_xlpm.r=0, _xlpm.r=""), "Regional Aggregate", _xlpm.r))</f>
        <v>East Asia &amp; Pacific</v>
      </c>
      <c r="G20" s="4" t="str">
        <f>_xlfn.LET(_xlpm.ig, _xlfn.XLOOKUP(Clean_Data[[#This Row],[Country_Code]], Metadata_Country!$A:$A, Metadata_Country!$C:$C, "Unknown"), IF(OR(_xlpm.ig=0, _xlpm.ig=""), "Regional Aggregate", _xlpm.ig))</f>
        <v>High income</v>
      </c>
      <c r="H20" s="4">
        <f>Clean_Data[[#This Row],[Exports_TIV]] - Clean_Data[[#This Row],[Imports_TIV]]</f>
        <v>-28000000</v>
      </c>
      <c r="I20" s="4">
        <f>Clean_Data[[#This Row],[Exports_TIV]] + Clean_Data[[#This Row],[Imports_TIV]]</f>
        <v>28000000</v>
      </c>
    </row>
    <row r="21" spans="1:9">
      <c r="A21" s="4" t="s">
        <v>51</v>
      </c>
      <c r="B21" s="4" t="s">
        <v>52</v>
      </c>
      <c r="C21" s="5">
        <v>2024</v>
      </c>
      <c r="D21" s="4">
        <v>33000000</v>
      </c>
      <c r="E21" s="4">
        <v>0</v>
      </c>
      <c r="F21" s="4" t="str">
        <f>_xlfn.LET(_xlpm.r, _xlfn.XLOOKUP(Clean_Data[[#This Row],[Country_Code]], Metadata_Country!$A:$A, Metadata_Country!$B:$B, "Unknown"), IF(OR(_xlpm.r=0, _xlpm.r=""), "Regional Aggregate", _xlpm.r))</f>
        <v>Europe &amp; Central Asia</v>
      </c>
      <c r="G21" s="4" t="str">
        <f>_xlfn.LET(_xlpm.ig, _xlfn.XLOOKUP(Clean_Data[[#This Row],[Country_Code]], Metadata_Country!$A:$A, Metadata_Country!$C:$C, "Unknown"), IF(OR(_xlpm.ig=0, _xlpm.ig=""), "Regional Aggregate", _xlpm.ig))</f>
        <v>High income</v>
      </c>
      <c r="H21" s="4">
        <f>Clean_Data[[#This Row],[Exports_TIV]] - Clean_Data[[#This Row],[Imports_TIV]]</f>
        <v>33000000</v>
      </c>
      <c r="I21" s="4">
        <f>Clean_Data[[#This Row],[Exports_TIV]] + Clean_Data[[#This Row],[Imports_TIV]]</f>
        <v>33000000</v>
      </c>
    </row>
    <row r="22" spans="1:9">
      <c r="A22" s="4" t="s">
        <v>47</v>
      </c>
      <c r="B22" s="4" t="s">
        <v>48</v>
      </c>
      <c r="C22" s="5">
        <v>2024</v>
      </c>
      <c r="D22" s="4">
        <v>0</v>
      </c>
      <c r="E22" s="4">
        <v>37000000</v>
      </c>
      <c r="F22" s="4" t="str">
        <f>_xlfn.LET(_xlpm.r, _xlfn.XLOOKUP(Clean_Data[[#This Row],[Country_Code]], Metadata_Country!$A:$A, Metadata_Country!$B:$B, "Unknown"), IF(OR(_xlpm.r=0, _xlpm.r=""), "Regional Aggregate", _xlpm.r))</f>
        <v>Sub-Saharan Africa</v>
      </c>
      <c r="G22" s="4" t="str">
        <f>_xlfn.LET(_xlpm.ig, _xlfn.XLOOKUP(Clean_Data[[#This Row],[Country_Code]], Metadata_Country!$A:$A, Metadata_Country!$C:$C, "Unknown"), IF(OR(_xlpm.ig=0, _xlpm.ig=""), "Regional Aggregate", _xlpm.ig))</f>
        <v>Low income</v>
      </c>
      <c r="H22" s="4">
        <f>Clean_Data[[#This Row],[Exports_TIV]] - Clean_Data[[#This Row],[Imports_TIV]]</f>
        <v>-37000000</v>
      </c>
      <c r="I22" s="4">
        <f>Clean_Data[[#This Row],[Exports_TIV]] + Clean_Data[[#This Row],[Imports_TIV]]</f>
        <v>37000000</v>
      </c>
    </row>
    <row r="23" spans="1:9">
      <c r="A23" s="4" t="s">
        <v>79</v>
      </c>
      <c r="B23" s="4" t="s">
        <v>80</v>
      </c>
      <c r="C23" s="5">
        <v>2024</v>
      </c>
      <c r="D23" s="4">
        <v>237000000</v>
      </c>
      <c r="E23" s="4">
        <v>198000000</v>
      </c>
      <c r="F23" s="4" t="str">
        <f>_xlfn.LET(_xlpm.r, _xlfn.XLOOKUP(Clean_Data[[#This Row],[Country_Code]], Metadata_Country!$A:$A, Metadata_Country!$B:$B, "Unknown"), IF(OR(_xlpm.r=0, _xlpm.r=""), "Regional Aggregate", _xlpm.r))</f>
        <v>North America</v>
      </c>
      <c r="G23" s="4" t="str">
        <f>_xlfn.LET(_xlpm.ig, _xlfn.XLOOKUP(Clean_Data[[#This Row],[Country_Code]], Metadata_Country!$A:$A, Metadata_Country!$C:$C, "Unknown"), IF(OR(_xlpm.ig=0, _xlpm.ig=""), "Regional Aggregate", _xlpm.ig))</f>
        <v>High income</v>
      </c>
      <c r="H23" s="4">
        <f>Clean_Data[[#This Row],[Exports_TIV]] - Clean_Data[[#This Row],[Imports_TIV]]</f>
        <v>39000000</v>
      </c>
      <c r="I23" s="4">
        <f>Clean_Data[[#This Row],[Exports_TIV]] + Clean_Data[[#This Row],[Imports_TIV]]</f>
        <v>435000000</v>
      </c>
    </row>
    <row r="24" spans="1:9">
      <c r="A24" s="4" t="s">
        <v>81</v>
      </c>
      <c r="B24" s="4" t="s">
        <v>82</v>
      </c>
      <c r="C24" s="5">
        <v>2024</v>
      </c>
      <c r="D24" s="4">
        <v>562000000</v>
      </c>
      <c r="E24" s="4">
        <v>3002000000</v>
      </c>
      <c r="F24" s="4" t="str">
        <f>_xlfn.LET(_xlpm.r, _xlfn.XLOOKUP(Clean_Data[[#This Row],[Country_Code]], Metadata_Country!$A:$A, Metadata_Country!$B:$B, "Unknown"), IF(OR(_xlpm.r=0, _xlpm.r=""), "Regional Aggregate", _xlpm.r))</f>
        <v>Regional Aggregate</v>
      </c>
      <c r="G24" s="4" t="str">
        <f>_xlfn.LET(_xlpm.ig, _xlfn.XLOOKUP(Clean_Data[[#This Row],[Country_Code]], Metadata_Country!$A:$A, Metadata_Country!$C:$C, "Unknown"), IF(OR(_xlpm.ig=0, _xlpm.ig=""), "Regional Aggregate", _xlpm.ig))</f>
        <v>Regional Aggregate</v>
      </c>
      <c r="H24" s="4">
        <f>Clean_Data[[#This Row],[Exports_TIV]] - Clean_Data[[#This Row],[Imports_TIV]]</f>
        <v>-2440000000</v>
      </c>
      <c r="I24" s="4">
        <f>Clean_Data[[#This Row],[Exports_TIV]] + Clean_Data[[#This Row],[Imports_TIV]]</f>
        <v>3564000000</v>
      </c>
    </row>
    <row r="25" spans="1:9">
      <c r="A25" s="4" t="s">
        <v>467</v>
      </c>
      <c r="B25" s="4" t="s">
        <v>468</v>
      </c>
      <c r="C25" s="5">
        <v>2024</v>
      </c>
      <c r="D25" s="4">
        <v>0</v>
      </c>
      <c r="E25" s="4">
        <v>10000000</v>
      </c>
      <c r="F25" s="4" t="str">
        <f>_xlfn.LET(_xlpm.r, _xlfn.XLOOKUP(Clean_Data[[#This Row],[Country_Code]], Metadata_Country!$A:$A, Metadata_Country!$B:$B, "Unknown"), IF(OR(_xlpm.r=0, _xlpm.r=""), "Regional Aggregate", _xlpm.r))</f>
        <v>Sub-Saharan Africa</v>
      </c>
      <c r="G25" s="4" t="str">
        <f>_xlfn.LET(_xlpm.ig, _xlfn.XLOOKUP(Clean_Data[[#This Row],[Country_Code]], Metadata_Country!$A:$A, Metadata_Country!$C:$C, "Unknown"), IF(OR(_xlpm.ig=0, _xlpm.ig=""), "Regional Aggregate", _xlpm.ig))</f>
        <v>Low income</v>
      </c>
      <c r="H25" s="4">
        <f>Clean_Data[[#This Row],[Exports_TIV]] - Clean_Data[[#This Row],[Imports_TIV]]</f>
        <v>-10000000</v>
      </c>
      <c r="I25" s="4">
        <f>Clean_Data[[#This Row],[Exports_TIV]] + Clean_Data[[#This Row],[Imports_TIV]]</f>
        <v>10000000</v>
      </c>
    </row>
    <row r="26" spans="1:9">
      <c r="A26" s="4" t="s">
        <v>87</v>
      </c>
      <c r="B26" s="4" t="s">
        <v>88</v>
      </c>
      <c r="C26" s="5">
        <v>2024</v>
      </c>
      <c r="D26" s="4">
        <v>0</v>
      </c>
      <c r="E26" s="4">
        <v>14000000</v>
      </c>
      <c r="F26" s="4" t="str">
        <f>_xlfn.LET(_xlpm.r, _xlfn.XLOOKUP(Clean_Data[[#This Row],[Country_Code]], Metadata_Country!$A:$A, Metadata_Country!$B:$B, "Unknown"), IF(OR(_xlpm.r=0, _xlpm.r=""), "Regional Aggregate", _xlpm.r))</f>
        <v>Latin America &amp; Caribbean</v>
      </c>
      <c r="G26" s="4" t="str">
        <f>_xlfn.LET(_xlpm.ig, _xlfn.XLOOKUP(Clean_Data[[#This Row],[Country_Code]], Metadata_Country!$A:$A, Metadata_Country!$C:$C, "Unknown"), IF(OR(_xlpm.ig=0, _xlpm.ig=""), "Regional Aggregate", _xlpm.ig))</f>
        <v>High income</v>
      </c>
      <c r="H26" s="4">
        <f>Clean_Data[[#This Row],[Exports_TIV]] - Clean_Data[[#This Row],[Imports_TIV]]</f>
        <v>-14000000</v>
      </c>
      <c r="I26" s="4">
        <f>Clean_Data[[#This Row],[Exports_TIV]] + Clean_Data[[#This Row],[Imports_TIV]]</f>
        <v>14000000</v>
      </c>
    </row>
    <row r="27" spans="1:9">
      <c r="A27" s="4" t="s">
        <v>89</v>
      </c>
      <c r="B27" s="4" t="s">
        <v>90</v>
      </c>
      <c r="C27" s="5">
        <v>2024</v>
      </c>
      <c r="D27" s="4">
        <v>1294000000</v>
      </c>
      <c r="E27" s="4">
        <v>71000000</v>
      </c>
      <c r="F27" s="4" t="str">
        <f>_xlfn.LET(_xlpm.r, _xlfn.XLOOKUP(Clean_Data[[#This Row],[Country_Code]], Metadata_Country!$A:$A, Metadata_Country!$B:$B, "Unknown"), IF(OR(_xlpm.r=0, _xlpm.r=""), "Regional Aggregate", _xlpm.r))</f>
        <v>East Asia &amp; Pacific</v>
      </c>
      <c r="G27" s="4" t="str">
        <f>_xlfn.LET(_xlpm.ig, _xlfn.XLOOKUP(Clean_Data[[#This Row],[Country_Code]], Metadata_Country!$A:$A, Metadata_Country!$C:$C, "Unknown"), IF(OR(_xlpm.ig=0, _xlpm.ig=""), "Regional Aggregate", _xlpm.ig))</f>
        <v>Upper middle income</v>
      </c>
      <c r="H27" s="4">
        <f>Clean_Data[[#This Row],[Exports_TIV]] - Clean_Data[[#This Row],[Imports_TIV]]</f>
        <v>1223000000</v>
      </c>
      <c r="I27" s="4">
        <f>Clean_Data[[#This Row],[Exports_TIV]] + Clean_Data[[#This Row],[Imports_TIV]]</f>
        <v>1365000000</v>
      </c>
    </row>
    <row r="28" spans="1:9">
      <c r="A28" s="4" t="s">
        <v>99</v>
      </c>
      <c r="B28" s="4" t="s">
        <v>100</v>
      </c>
      <c r="C28" s="5">
        <v>2024</v>
      </c>
      <c r="D28" s="4">
        <v>0</v>
      </c>
      <c r="E28" s="4">
        <v>12000000</v>
      </c>
      <c r="F28" s="4" t="str">
        <f>_xlfn.LET(_xlpm.r, _xlfn.XLOOKUP(Clean_Data[[#This Row],[Country_Code]], Metadata_Country!$A:$A, Metadata_Country!$B:$B, "Unknown"), IF(OR(_xlpm.r=0, _xlpm.r=""), "Regional Aggregate", _xlpm.r))</f>
        <v>Latin America &amp; Caribbean</v>
      </c>
      <c r="G28" s="4" t="str">
        <f>_xlfn.LET(_xlpm.ig, _xlfn.XLOOKUP(Clean_Data[[#This Row],[Country_Code]], Metadata_Country!$A:$A, Metadata_Country!$C:$C, "Unknown"), IF(OR(_xlpm.ig=0, _xlpm.ig=""), "Regional Aggregate", _xlpm.ig))</f>
        <v>Upper middle income</v>
      </c>
      <c r="H28" s="4">
        <f>Clean_Data[[#This Row],[Exports_TIV]] - Clean_Data[[#This Row],[Imports_TIV]]</f>
        <v>-12000000</v>
      </c>
      <c r="I28" s="4">
        <f>Clean_Data[[#This Row],[Exports_TIV]] + Clean_Data[[#This Row],[Imports_TIV]]</f>
        <v>12000000</v>
      </c>
    </row>
    <row r="29" spans="1:9">
      <c r="A29" s="4" t="s">
        <v>95</v>
      </c>
      <c r="B29" s="4" t="s">
        <v>96</v>
      </c>
      <c r="C29" s="5">
        <v>2024</v>
      </c>
      <c r="D29" s="4">
        <v>0</v>
      </c>
      <c r="E29" s="4">
        <v>40000000</v>
      </c>
      <c r="F29" s="4" t="str">
        <f>_xlfn.LET(_xlpm.r, _xlfn.XLOOKUP(Clean_Data[[#This Row],[Country_Code]], Metadata_Country!$A:$A, Metadata_Country!$B:$B, "Unknown"), IF(OR(_xlpm.r=0, _xlpm.r=""), "Regional Aggregate", _xlpm.r))</f>
        <v>Sub-Saharan Africa</v>
      </c>
      <c r="G29" s="4" t="str">
        <f>_xlfn.LET(_xlpm.ig, _xlfn.XLOOKUP(Clean_Data[[#This Row],[Country_Code]], Metadata_Country!$A:$A, Metadata_Country!$C:$C, "Unknown"), IF(OR(_xlpm.ig=0, _xlpm.ig=""), "Regional Aggregate", _xlpm.ig))</f>
        <v>Low income</v>
      </c>
      <c r="H29" s="4">
        <f>Clean_Data[[#This Row],[Exports_TIV]] - Clean_Data[[#This Row],[Imports_TIV]]</f>
        <v>-40000000</v>
      </c>
      <c r="I29" s="4">
        <f>Clean_Data[[#This Row],[Exports_TIV]] + Clean_Data[[#This Row],[Imports_TIV]]</f>
        <v>40000000</v>
      </c>
    </row>
    <row r="30" spans="1:9">
      <c r="A30" s="4" t="s">
        <v>97</v>
      </c>
      <c r="B30" s="4" t="s">
        <v>98</v>
      </c>
      <c r="C30" s="5">
        <v>2024</v>
      </c>
      <c r="D30" s="4">
        <v>0</v>
      </c>
      <c r="E30" s="4">
        <v>9000000</v>
      </c>
      <c r="F30" s="4" t="str">
        <f>_xlfn.LET(_xlpm.r, _xlfn.XLOOKUP(Clean_Data[[#This Row],[Country_Code]], Metadata_Country!$A:$A, Metadata_Country!$B:$B, "Unknown"), IF(OR(_xlpm.r=0, _xlpm.r=""), "Regional Aggregate", _xlpm.r))</f>
        <v>Sub-Saharan Africa</v>
      </c>
      <c r="G30" s="4" t="str">
        <f>_xlfn.LET(_xlpm.ig, _xlfn.XLOOKUP(Clean_Data[[#This Row],[Country_Code]], Metadata_Country!$A:$A, Metadata_Country!$C:$C, "Unknown"), IF(OR(_xlpm.ig=0, _xlpm.ig=""), "Regional Aggregate", _xlpm.ig))</f>
        <v>Lower middle income</v>
      </c>
      <c r="H30" s="4">
        <f>Clean_Data[[#This Row],[Exports_TIV]] - Clean_Data[[#This Row],[Imports_TIV]]</f>
        <v>-9000000</v>
      </c>
      <c r="I30" s="4">
        <f>Clean_Data[[#This Row],[Exports_TIV]] + Clean_Data[[#This Row],[Imports_TIV]]</f>
        <v>9000000</v>
      </c>
    </row>
    <row r="31" spans="1:9">
      <c r="A31" s="4" t="s">
        <v>91</v>
      </c>
      <c r="B31" s="4" t="s">
        <v>92</v>
      </c>
      <c r="C31" s="5">
        <v>2024</v>
      </c>
      <c r="D31" s="4">
        <v>0</v>
      </c>
      <c r="E31" s="4">
        <v>7000000</v>
      </c>
      <c r="F31" s="4" t="str">
        <f>_xlfn.LET(_xlpm.r, _xlfn.XLOOKUP(Clean_Data[[#This Row],[Country_Code]], Metadata_Country!$A:$A, Metadata_Country!$B:$B, "Unknown"), IF(OR(_xlpm.r=0, _xlpm.r=""), "Regional Aggregate", _xlpm.r))</f>
        <v>Sub-Saharan Africa</v>
      </c>
      <c r="G31" s="4" t="str">
        <f>_xlfn.LET(_xlpm.ig, _xlfn.XLOOKUP(Clean_Data[[#This Row],[Country_Code]], Metadata_Country!$A:$A, Metadata_Country!$C:$C, "Unknown"), IF(OR(_xlpm.ig=0, _xlpm.ig=""), "Regional Aggregate", _xlpm.ig))</f>
        <v>Lower middle income</v>
      </c>
      <c r="H31" s="4">
        <f>Clean_Data[[#This Row],[Exports_TIV]] - Clean_Data[[#This Row],[Imports_TIV]]</f>
        <v>-7000000</v>
      </c>
      <c r="I31" s="4">
        <f>Clean_Data[[#This Row],[Exports_TIV]] + Clean_Data[[#This Row],[Imports_TIV]]</f>
        <v>7000000</v>
      </c>
    </row>
    <row r="32" spans="1:9">
      <c r="A32" s="4" t="s">
        <v>207</v>
      </c>
      <c r="B32" s="4" t="s">
        <v>208</v>
      </c>
      <c r="C32" s="5">
        <v>2024</v>
      </c>
      <c r="D32" s="4">
        <v>53000000</v>
      </c>
      <c r="E32" s="4">
        <v>90000000</v>
      </c>
      <c r="F32" s="4" t="str">
        <f>_xlfn.LET(_xlpm.r, _xlfn.XLOOKUP(Clean_Data[[#This Row],[Country_Code]], Metadata_Country!$A:$A, Metadata_Country!$B:$B, "Unknown"), IF(OR(_xlpm.r=0, _xlpm.r=""), "Regional Aggregate", _xlpm.r))</f>
        <v>Europe &amp; Central Asia</v>
      </c>
      <c r="G32" s="4" t="str">
        <f>_xlfn.LET(_xlpm.ig, _xlfn.XLOOKUP(Clean_Data[[#This Row],[Country_Code]], Metadata_Country!$A:$A, Metadata_Country!$C:$C, "Unknown"), IF(OR(_xlpm.ig=0, _xlpm.ig=""), "Regional Aggregate", _xlpm.ig))</f>
        <v>High income</v>
      </c>
      <c r="H32" s="4">
        <f>Clean_Data[[#This Row],[Exports_TIV]] - Clean_Data[[#This Row],[Imports_TIV]]</f>
        <v>-37000000</v>
      </c>
      <c r="I32" s="4">
        <f>Clean_Data[[#This Row],[Exports_TIV]] + Clean_Data[[#This Row],[Imports_TIV]]</f>
        <v>143000000</v>
      </c>
    </row>
    <row r="33" spans="1:9">
      <c r="A33" s="4" t="s">
        <v>115</v>
      </c>
      <c r="B33" s="4" t="s">
        <v>116</v>
      </c>
      <c r="C33" s="5">
        <v>2024</v>
      </c>
      <c r="D33" s="4">
        <v>0</v>
      </c>
      <c r="E33" s="4">
        <v>120000000</v>
      </c>
      <c r="F33" s="4" t="str">
        <f>_xlfn.LET(_xlpm.r, _xlfn.XLOOKUP(Clean_Data[[#This Row],[Country_Code]], Metadata_Country!$A:$A, Metadata_Country!$B:$B, "Unknown"), IF(OR(_xlpm.r=0, _xlpm.r=""), "Regional Aggregate", _xlpm.r))</f>
        <v>Europe &amp; Central Asia</v>
      </c>
      <c r="G33" s="4" t="str">
        <f>_xlfn.LET(_xlpm.ig, _xlfn.XLOOKUP(Clean_Data[[#This Row],[Country_Code]], Metadata_Country!$A:$A, Metadata_Country!$C:$C, "Unknown"), IF(OR(_xlpm.ig=0, _xlpm.ig=""), "Regional Aggregate", _xlpm.ig))</f>
        <v>High income</v>
      </c>
      <c r="H33" s="4">
        <f>Clean_Data[[#This Row],[Exports_TIV]] - Clean_Data[[#This Row],[Imports_TIV]]</f>
        <v>-120000000</v>
      </c>
      <c r="I33" s="4">
        <f>Clean_Data[[#This Row],[Exports_TIV]] + Clean_Data[[#This Row],[Imports_TIV]]</f>
        <v>120000000</v>
      </c>
    </row>
    <row r="34" spans="1:9">
      <c r="A34" s="4" t="s">
        <v>117</v>
      </c>
      <c r="B34" s="4" t="s">
        <v>118</v>
      </c>
      <c r="C34" s="5">
        <v>2024</v>
      </c>
      <c r="D34" s="4">
        <v>189000000</v>
      </c>
      <c r="E34" s="4">
        <v>58000000</v>
      </c>
      <c r="F34" s="4" t="str">
        <f>_xlfn.LET(_xlpm.r, _xlfn.XLOOKUP(Clean_Data[[#This Row],[Country_Code]], Metadata_Country!$A:$A, Metadata_Country!$B:$B, "Unknown"), IF(OR(_xlpm.r=0, _xlpm.r=""), "Regional Aggregate", _xlpm.r))</f>
        <v>Europe &amp; Central Asia</v>
      </c>
      <c r="G34" s="4" t="str">
        <f>_xlfn.LET(_xlpm.ig, _xlfn.XLOOKUP(Clean_Data[[#This Row],[Country_Code]], Metadata_Country!$A:$A, Metadata_Country!$C:$C, "Unknown"), IF(OR(_xlpm.ig=0, _xlpm.ig=""), "Regional Aggregate", _xlpm.ig))</f>
        <v>High income</v>
      </c>
      <c r="H34" s="4">
        <f>Clean_Data[[#This Row],[Exports_TIV]] - Clean_Data[[#This Row],[Imports_TIV]]</f>
        <v>131000000</v>
      </c>
      <c r="I34" s="4">
        <f>Clean_Data[[#This Row],[Exports_TIV]] + Clean_Data[[#This Row],[Imports_TIV]]</f>
        <v>247000000</v>
      </c>
    </row>
    <row r="35" spans="1:9">
      <c r="A35" s="4" t="s">
        <v>125</v>
      </c>
      <c r="B35" s="4" t="s">
        <v>126</v>
      </c>
      <c r="C35" s="5">
        <v>2024</v>
      </c>
      <c r="D35" s="4">
        <v>189000000</v>
      </c>
      <c r="E35" s="4">
        <v>440000000</v>
      </c>
      <c r="F35" s="4" t="str">
        <f>_xlfn.LET(_xlpm.r, _xlfn.XLOOKUP(Clean_Data[[#This Row],[Country_Code]], Metadata_Country!$A:$A, Metadata_Country!$B:$B, "Unknown"), IF(OR(_xlpm.r=0, _xlpm.r=""), "Regional Aggregate", _xlpm.r))</f>
        <v>Europe &amp; Central Asia</v>
      </c>
      <c r="G35" s="4" t="str">
        <f>_xlfn.LET(_xlpm.ig, _xlfn.XLOOKUP(Clean_Data[[#This Row],[Country_Code]], Metadata_Country!$A:$A, Metadata_Country!$C:$C, "Unknown"), IF(OR(_xlpm.ig=0, _xlpm.ig=""), "Regional Aggregate", _xlpm.ig))</f>
        <v>High income</v>
      </c>
      <c r="H35" s="4">
        <f>Clean_Data[[#This Row],[Exports_TIV]] - Clean_Data[[#This Row],[Imports_TIV]]</f>
        <v>-251000000</v>
      </c>
      <c r="I35" s="4">
        <f>Clean_Data[[#This Row],[Exports_TIV]] + Clean_Data[[#This Row],[Imports_TIV]]</f>
        <v>629000000</v>
      </c>
    </row>
    <row r="36" spans="1:9">
      <c r="A36" s="4" t="s">
        <v>127</v>
      </c>
      <c r="B36" s="4" t="s">
        <v>128</v>
      </c>
      <c r="C36" s="5">
        <v>2024</v>
      </c>
      <c r="D36" s="4">
        <v>0</v>
      </c>
      <c r="E36" s="4">
        <v>10000000</v>
      </c>
      <c r="F36" s="4" t="str">
        <f>_xlfn.LET(_xlpm.r, _xlfn.XLOOKUP(Clean_Data[[#This Row],[Country_Code]], Metadata_Country!$A:$A, Metadata_Country!$B:$B, "Unknown"), IF(OR(_xlpm.r=0, _xlpm.r=""), "Regional Aggregate", _xlpm.r))</f>
        <v>Latin America &amp; Caribbean</v>
      </c>
      <c r="G36" s="4" t="str">
        <f>_xlfn.LET(_xlpm.ig, _xlfn.XLOOKUP(Clean_Data[[#This Row],[Country_Code]], Metadata_Country!$A:$A, Metadata_Country!$C:$C, "Unknown"), IF(OR(_xlpm.ig=0, _xlpm.ig=""), "Regional Aggregate", _xlpm.ig))</f>
        <v>Upper middle income</v>
      </c>
      <c r="H36" s="4">
        <f>Clean_Data[[#This Row],[Exports_TIV]] - Clean_Data[[#This Row],[Imports_TIV]]</f>
        <v>-10000000</v>
      </c>
      <c r="I36" s="4">
        <f>Clean_Data[[#This Row],[Exports_TIV]] + Clean_Data[[#This Row],[Imports_TIV]]</f>
        <v>10000000</v>
      </c>
    </row>
    <row r="37" spans="1:9">
      <c r="A37" s="4" t="s">
        <v>133</v>
      </c>
      <c r="B37" s="4" t="s">
        <v>134</v>
      </c>
      <c r="C37" s="5">
        <v>2024</v>
      </c>
      <c r="D37" s="4">
        <v>0</v>
      </c>
      <c r="E37" s="4">
        <v>6906000000</v>
      </c>
      <c r="F37" s="4" t="str">
        <f>_xlfn.LET(_xlpm.r, _xlfn.XLOOKUP(Clean_Data[[#This Row],[Country_Code]], Metadata_Country!$A:$A, Metadata_Country!$B:$B, "Unknown"), IF(OR(_xlpm.r=0, _xlpm.r=""), "Regional Aggregate", _xlpm.r))</f>
        <v>Regional Aggregate</v>
      </c>
      <c r="G37" s="4" t="str">
        <f>_xlfn.LET(_xlpm.ig, _xlfn.XLOOKUP(Clean_Data[[#This Row],[Country_Code]], Metadata_Country!$A:$A, Metadata_Country!$C:$C, "Unknown"), IF(OR(_xlpm.ig=0, _xlpm.ig=""), "Regional Aggregate", _xlpm.ig))</f>
        <v>Regional Aggregate</v>
      </c>
      <c r="H37" s="4">
        <f>Clean_Data[[#This Row],[Exports_TIV]] - Clean_Data[[#This Row],[Imports_TIV]]</f>
        <v>-6906000000</v>
      </c>
      <c r="I37" s="4">
        <f>Clean_Data[[#This Row],[Exports_TIV]] + Clean_Data[[#This Row],[Imports_TIV]]</f>
        <v>6906000000</v>
      </c>
    </row>
    <row r="38" spans="1:9">
      <c r="A38" s="4" t="s">
        <v>135</v>
      </c>
      <c r="B38" s="4" t="s">
        <v>136</v>
      </c>
      <c r="C38" s="5">
        <v>2024</v>
      </c>
      <c r="D38" s="4">
        <v>0</v>
      </c>
      <c r="E38" s="4">
        <v>5068000000</v>
      </c>
      <c r="F38" s="4" t="str">
        <f>_xlfn.LET(_xlpm.r, _xlfn.XLOOKUP(Clean_Data[[#This Row],[Country_Code]], Metadata_Country!$A:$A, Metadata_Country!$B:$B, "Unknown"), IF(OR(_xlpm.r=0, _xlpm.r=""), "Regional Aggregate", _xlpm.r))</f>
        <v>Regional Aggregate</v>
      </c>
      <c r="G38" s="4" t="str">
        <f>_xlfn.LET(_xlpm.ig, _xlfn.XLOOKUP(Clean_Data[[#This Row],[Country_Code]], Metadata_Country!$A:$A, Metadata_Country!$C:$C, "Unknown"), IF(OR(_xlpm.ig=0, _xlpm.ig=""), "Regional Aggregate", _xlpm.ig))</f>
        <v>Regional Aggregate</v>
      </c>
      <c r="H38" s="4">
        <f>Clean_Data[[#This Row],[Exports_TIV]] - Clean_Data[[#This Row],[Imports_TIV]]</f>
        <v>-5068000000</v>
      </c>
      <c r="I38" s="4">
        <f>Clean_Data[[#This Row],[Exports_TIV]] + Clean_Data[[#This Row],[Imports_TIV]]</f>
        <v>5068000000</v>
      </c>
    </row>
    <row r="39" spans="1:9">
      <c r="A39" s="4" t="s">
        <v>131</v>
      </c>
      <c r="B39" s="4" t="s">
        <v>132</v>
      </c>
      <c r="C39" s="5">
        <v>2024</v>
      </c>
      <c r="D39" s="4">
        <v>1540000000</v>
      </c>
      <c r="E39" s="4">
        <v>944000000</v>
      </c>
      <c r="F39" s="4" t="str">
        <f>_xlfn.LET(_xlpm.r, _xlfn.XLOOKUP(Clean_Data[[#This Row],[Country_Code]], Metadata_Country!$A:$A, Metadata_Country!$B:$B, "Unknown"), IF(OR(_xlpm.r=0, _xlpm.r=""), "Regional Aggregate", _xlpm.r))</f>
        <v>Regional Aggregate</v>
      </c>
      <c r="G39" s="4" t="str">
        <f>_xlfn.LET(_xlpm.ig, _xlfn.XLOOKUP(Clean_Data[[#This Row],[Country_Code]], Metadata_Country!$A:$A, Metadata_Country!$C:$C, "Unknown"), IF(OR(_xlpm.ig=0, _xlpm.ig=""), "Regional Aggregate", _xlpm.ig))</f>
        <v>Regional Aggregate</v>
      </c>
      <c r="H39" s="4">
        <f>Clean_Data[[#This Row],[Exports_TIV]] - Clean_Data[[#This Row],[Imports_TIV]]</f>
        <v>596000000</v>
      </c>
      <c r="I39" s="4">
        <f>Clean_Data[[#This Row],[Exports_TIV]] + Clean_Data[[#This Row],[Imports_TIV]]</f>
        <v>2484000000</v>
      </c>
    </row>
    <row r="40" spans="1:9">
      <c r="A40" s="4" t="s">
        <v>469</v>
      </c>
      <c r="B40" s="4" t="s">
        <v>470</v>
      </c>
      <c r="C40" s="5">
        <v>2024</v>
      </c>
      <c r="D40" s="4">
        <v>1329000000</v>
      </c>
      <c r="E40" s="4">
        <v>944000000</v>
      </c>
      <c r="F40" s="4" t="str">
        <f>_xlfn.LET(_xlpm.r, _xlfn.XLOOKUP(Clean_Data[[#This Row],[Country_Code]], Metadata_Country!$A:$A, Metadata_Country!$B:$B, "Unknown"), IF(OR(_xlpm.r=0, _xlpm.r=""), "Regional Aggregate", _xlpm.r))</f>
        <v>Regional Aggregate</v>
      </c>
      <c r="G40" s="4" t="str">
        <f>_xlfn.LET(_xlpm.ig, _xlfn.XLOOKUP(Clean_Data[[#This Row],[Country_Code]], Metadata_Country!$A:$A, Metadata_Country!$C:$C, "Unknown"), IF(OR(_xlpm.ig=0, _xlpm.ig=""), "Regional Aggregate", _xlpm.ig))</f>
        <v>Regional Aggregate</v>
      </c>
      <c r="H40" s="4">
        <f>Clean_Data[[#This Row],[Exports_TIV]] - Clean_Data[[#This Row],[Imports_TIV]]</f>
        <v>385000000</v>
      </c>
      <c r="I40" s="4">
        <f>Clean_Data[[#This Row],[Exports_TIV]] + Clean_Data[[#This Row],[Imports_TIV]]</f>
        <v>2273000000</v>
      </c>
    </row>
    <row r="41" spans="1:9">
      <c r="A41" s="4" t="s">
        <v>141</v>
      </c>
      <c r="B41" s="4" t="s">
        <v>142</v>
      </c>
      <c r="C41" s="5">
        <v>2024</v>
      </c>
      <c r="D41" s="4">
        <v>0</v>
      </c>
      <c r="E41" s="4">
        <v>19000000</v>
      </c>
      <c r="F41" s="4" t="str">
        <f>_xlfn.LET(_xlpm.r, _xlfn.XLOOKUP(Clean_Data[[#This Row],[Country_Code]], Metadata_Country!$A:$A, Metadata_Country!$B:$B, "Unknown"), IF(OR(_xlpm.r=0, _xlpm.r=""), "Regional Aggregate", _xlpm.r))</f>
        <v>Latin America &amp; Caribbean</v>
      </c>
      <c r="G41" s="4" t="str">
        <f>_xlfn.LET(_xlpm.ig, _xlfn.XLOOKUP(Clean_Data[[#This Row],[Country_Code]], Metadata_Country!$A:$A, Metadata_Country!$C:$C, "Unknown"), IF(OR(_xlpm.ig=0, _xlpm.ig=""), "Regional Aggregate", _xlpm.ig))</f>
        <v>Upper middle income</v>
      </c>
      <c r="H41" s="4">
        <f>Clean_Data[[#This Row],[Exports_TIV]] - Clean_Data[[#This Row],[Imports_TIV]]</f>
        <v>-19000000</v>
      </c>
      <c r="I41" s="4">
        <f>Clean_Data[[#This Row],[Exports_TIV]] + Clean_Data[[#This Row],[Imports_TIV]]</f>
        <v>19000000</v>
      </c>
    </row>
    <row r="42" spans="1:9">
      <c r="A42" s="4" t="s">
        <v>143</v>
      </c>
      <c r="B42" s="4" t="s">
        <v>144</v>
      </c>
      <c r="C42" s="5">
        <v>2024</v>
      </c>
      <c r="D42" s="4">
        <v>2000000</v>
      </c>
      <c r="E42" s="4">
        <v>128000000</v>
      </c>
      <c r="F42" s="4" t="str">
        <f>_xlfn.LET(_xlpm.r, _xlfn.XLOOKUP(Clean_Data[[#This Row],[Country_Code]], Metadata_Country!$A:$A, Metadata_Country!$B:$B, "Unknown"), IF(OR(_xlpm.r=0, _xlpm.r=""), "Regional Aggregate", _xlpm.r))</f>
        <v>Middle East &amp; North Africa</v>
      </c>
      <c r="G42" s="4" t="str">
        <f>_xlfn.LET(_xlpm.ig, _xlfn.XLOOKUP(Clean_Data[[#This Row],[Country_Code]], Metadata_Country!$A:$A, Metadata_Country!$C:$C, "Unknown"), IF(OR(_xlpm.ig=0, _xlpm.ig=""), "Regional Aggregate", _xlpm.ig))</f>
        <v>Lower middle income</v>
      </c>
      <c r="H42" s="4">
        <f>Clean_Data[[#This Row],[Exports_TIV]] - Clean_Data[[#This Row],[Imports_TIV]]</f>
        <v>-126000000</v>
      </c>
      <c r="I42" s="4">
        <f>Clean_Data[[#This Row],[Exports_TIV]] + Clean_Data[[#This Row],[Imports_TIV]]</f>
        <v>130000000</v>
      </c>
    </row>
    <row r="43" spans="1:9">
      <c r="A43" s="4" t="s">
        <v>431</v>
      </c>
      <c r="B43" s="4" t="s">
        <v>432</v>
      </c>
      <c r="C43" s="5">
        <v>2024</v>
      </c>
      <c r="D43" s="4">
        <v>0</v>
      </c>
      <c r="E43" s="4">
        <v>0</v>
      </c>
      <c r="F43" s="4" t="str">
        <f>_xlfn.LET(_xlpm.r, _xlfn.XLOOKUP(Clean_Data[[#This Row],[Country_Code]], Metadata_Country!$A:$A, Metadata_Country!$B:$B, "Unknown"), IF(OR(_xlpm.r=0, _xlpm.r=""), "Regional Aggregate", _xlpm.r))</f>
        <v>Latin America &amp; Caribbean</v>
      </c>
      <c r="G43" s="4" t="str">
        <f>_xlfn.LET(_xlpm.ig, _xlfn.XLOOKUP(Clean_Data[[#This Row],[Country_Code]], Metadata_Country!$A:$A, Metadata_Country!$C:$C, "Unknown"), IF(OR(_xlpm.ig=0, _xlpm.ig=""), "Regional Aggregate", _xlpm.ig))</f>
        <v>Upper middle income</v>
      </c>
      <c r="H43" s="4">
        <f>Clean_Data[[#This Row],[Exports_TIV]] - Clean_Data[[#This Row],[Imports_TIV]]</f>
        <v>0</v>
      </c>
      <c r="I43" s="4">
        <f>Clean_Data[[#This Row],[Exports_TIV]] + Clean_Data[[#This Row],[Imports_TIV]]</f>
        <v>0</v>
      </c>
    </row>
    <row r="44" spans="1:9">
      <c r="A44" s="4" t="s">
        <v>185</v>
      </c>
      <c r="B44" s="4" t="s">
        <v>186</v>
      </c>
      <c r="C44" s="5">
        <v>2024</v>
      </c>
      <c r="D44" s="4">
        <v>0</v>
      </c>
      <c r="E44" s="4">
        <v>12000000</v>
      </c>
      <c r="F44" s="4" t="str">
        <f>_xlfn.LET(_xlpm.r, _xlfn.XLOOKUP(Clean_Data[[#This Row],[Country_Code]], Metadata_Country!$A:$A, Metadata_Country!$B:$B, "Unknown"), IF(OR(_xlpm.r=0, _xlpm.r=""), "Regional Aggregate", _xlpm.r))</f>
        <v>Sub-Saharan Africa</v>
      </c>
      <c r="G44" s="4" t="str">
        <f>_xlfn.LET(_xlpm.ig, _xlfn.XLOOKUP(Clean_Data[[#This Row],[Country_Code]], Metadata_Country!$A:$A, Metadata_Country!$C:$C, "Unknown"), IF(OR(_xlpm.ig=0, _xlpm.ig=""), "Regional Aggregate", _xlpm.ig))</f>
        <v>Upper middle income</v>
      </c>
      <c r="H44" s="4">
        <f>Clean_Data[[#This Row],[Exports_TIV]] - Clean_Data[[#This Row],[Imports_TIV]]</f>
        <v>-12000000</v>
      </c>
      <c r="I44" s="4">
        <f>Clean_Data[[#This Row],[Exports_TIV]] + Clean_Data[[#This Row],[Imports_TIV]]</f>
        <v>12000000</v>
      </c>
    </row>
    <row r="45" spans="1:9">
      <c r="A45" s="4" t="s">
        <v>151</v>
      </c>
      <c r="B45" s="4" t="s">
        <v>152</v>
      </c>
      <c r="C45" s="5">
        <v>2024</v>
      </c>
      <c r="D45" s="4">
        <v>2000000</v>
      </c>
      <c r="E45" s="4">
        <v>115000000</v>
      </c>
      <c r="F45" s="4" t="str">
        <f>_xlfn.LET(_xlpm.r, _xlfn.XLOOKUP(Clean_Data[[#This Row],[Country_Code]], Metadata_Country!$A:$A, Metadata_Country!$B:$B, "Unknown"), IF(OR(_xlpm.r=0, _xlpm.r=""), "Regional Aggregate", _xlpm.r))</f>
        <v>Europe &amp; Central Asia</v>
      </c>
      <c r="G45" s="4" t="str">
        <f>_xlfn.LET(_xlpm.ig, _xlfn.XLOOKUP(Clean_Data[[#This Row],[Country_Code]], Metadata_Country!$A:$A, Metadata_Country!$C:$C, "Unknown"), IF(OR(_xlpm.ig=0, _xlpm.ig=""), "Regional Aggregate", _xlpm.ig))</f>
        <v>High income</v>
      </c>
      <c r="H45" s="4">
        <f>Clean_Data[[#This Row],[Exports_TIV]] - Clean_Data[[#This Row],[Imports_TIV]]</f>
        <v>-113000000</v>
      </c>
      <c r="I45" s="4">
        <f>Clean_Data[[#This Row],[Exports_TIV]] + Clean_Data[[#This Row],[Imports_TIV]]</f>
        <v>117000000</v>
      </c>
    </row>
    <row r="46" spans="1:9">
      <c r="A46" s="4" t="s">
        <v>153</v>
      </c>
      <c r="B46" s="4" t="s">
        <v>154</v>
      </c>
      <c r="C46" s="5">
        <v>2024</v>
      </c>
      <c r="D46" s="4">
        <v>0</v>
      </c>
      <c r="E46" s="4">
        <v>48000000</v>
      </c>
      <c r="F46" s="4" t="str">
        <f>_xlfn.LET(_xlpm.r, _xlfn.XLOOKUP(Clean_Data[[#This Row],[Country_Code]], Metadata_Country!$A:$A, Metadata_Country!$B:$B, "Unknown"), IF(OR(_xlpm.r=0, _xlpm.r=""), "Regional Aggregate", _xlpm.r))</f>
        <v>Sub-Saharan Africa</v>
      </c>
      <c r="G46" s="4" t="str">
        <f>_xlfn.LET(_xlpm.ig, _xlfn.XLOOKUP(Clean_Data[[#This Row],[Country_Code]], Metadata_Country!$A:$A, Metadata_Country!$C:$C, "Unknown"), IF(OR(_xlpm.ig=0, _xlpm.ig=""), "Regional Aggregate", _xlpm.ig))</f>
        <v>Low income</v>
      </c>
      <c r="H46" s="4">
        <f>Clean_Data[[#This Row],[Exports_TIV]] - Clean_Data[[#This Row],[Imports_TIV]]</f>
        <v>-48000000</v>
      </c>
      <c r="I46" s="4">
        <f>Clean_Data[[#This Row],[Exports_TIV]] + Clean_Data[[#This Row],[Imports_TIV]]</f>
        <v>48000000</v>
      </c>
    </row>
    <row r="47" spans="1:9">
      <c r="A47" s="4" t="s">
        <v>145</v>
      </c>
      <c r="B47" s="4" t="s">
        <v>146</v>
      </c>
      <c r="C47" s="5">
        <v>2024</v>
      </c>
      <c r="D47" s="4">
        <v>7045000000</v>
      </c>
      <c r="E47" s="4">
        <v>3351000000</v>
      </c>
      <c r="F47" s="4" t="str">
        <f>_xlfn.LET(_xlpm.r, _xlfn.XLOOKUP(Clean_Data[[#This Row],[Country_Code]], Metadata_Country!$A:$A, Metadata_Country!$B:$B, "Unknown"), IF(OR(_xlpm.r=0, _xlpm.r=""), "Regional Aggregate", _xlpm.r))</f>
        <v>Regional Aggregate</v>
      </c>
      <c r="G47" s="4" t="str">
        <f>_xlfn.LET(_xlpm.ig, _xlfn.XLOOKUP(Clean_Data[[#This Row],[Country_Code]], Metadata_Country!$A:$A, Metadata_Country!$C:$C, "Unknown"), IF(OR(_xlpm.ig=0, _xlpm.ig=""), "Regional Aggregate", _xlpm.ig))</f>
        <v>Regional Aggregate</v>
      </c>
      <c r="H47" s="4">
        <f>Clean_Data[[#This Row],[Exports_TIV]] - Clean_Data[[#This Row],[Imports_TIV]]</f>
        <v>3694000000</v>
      </c>
      <c r="I47" s="4">
        <f>Clean_Data[[#This Row],[Exports_TIV]] + Clean_Data[[#This Row],[Imports_TIV]]</f>
        <v>10396000000</v>
      </c>
    </row>
    <row r="48" spans="1:9">
      <c r="A48" s="4" t="s">
        <v>139</v>
      </c>
      <c r="B48" s="4" t="s">
        <v>140</v>
      </c>
      <c r="C48" s="5">
        <v>2024</v>
      </c>
      <c r="D48" s="4">
        <v>12104000000</v>
      </c>
      <c r="E48" s="4">
        <v>14482000000</v>
      </c>
      <c r="F48" s="4" t="str">
        <f>_xlfn.LET(_xlpm.r, _xlfn.XLOOKUP(Clean_Data[[#This Row],[Country_Code]], Metadata_Country!$A:$A, Metadata_Country!$B:$B, "Unknown"), IF(OR(_xlpm.r=0, _xlpm.r=""), "Regional Aggregate", _xlpm.r))</f>
        <v>Regional Aggregate</v>
      </c>
      <c r="G48" s="4" t="str">
        <f>_xlfn.LET(_xlpm.ig, _xlfn.XLOOKUP(Clean_Data[[#This Row],[Country_Code]], Metadata_Country!$A:$A, Metadata_Country!$C:$C, "Unknown"), IF(OR(_xlpm.ig=0, _xlpm.ig=""), "Regional Aggregate", _xlpm.ig))</f>
        <v>Regional Aggregate</v>
      </c>
      <c r="H48" s="4">
        <f>Clean_Data[[#This Row],[Exports_TIV]] - Clean_Data[[#This Row],[Imports_TIV]]</f>
        <v>-2378000000</v>
      </c>
      <c r="I48" s="4">
        <f>Clean_Data[[#This Row],[Exports_TIV]] + Clean_Data[[#This Row],[Imports_TIV]]</f>
        <v>26586000000</v>
      </c>
    </row>
    <row r="49" spans="1:9">
      <c r="A49" s="4" t="s">
        <v>137</v>
      </c>
      <c r="B49" s="4" t="s">
        <v>138</v>
      </c>
      <c r="C49" s="5">
        <v>2024</v>
      </c>
      <c r="D49" s="4">
        <v>0</v>
      </c>
      <c r="E49" s="4">
        <v>6954000000</v>
      </c>
      <c r="F49" s="4" t="str">
        <f>_xlfn.LET(_xlpm.r, _xlfn.XLOOKUP(Clean_Data[[#This Row],[Country_Code]], Metadata_Country!$A:$A, Metadata_Country!$B:$B, "Unknown"), IF(OR(_xlpm.r=0, _xlpm.r=""), "Regional Aggregate", _xlpm.r))</f>
        <v>Regional Aggregate</v>
      </c>
      <c r="G49" s="4" t="str">
        <f>_xlfn.LET(_xlpm.ig, _xlfn.XLOOKUP(Clean_Data[[#This Row],[Country_Code]], Metadata_Country!$A:$A, Metadata_Country!$C:$C, "Unknown"), IF(OR(_xlpm.ig=0, _xlpm.ig=""), "Regional Aggregate", _xlpm.ig))</f>
        <v>Regional Aggregate</v>
      </c>
      <c r="H49" s="4">
        <f>Clean_Data[[#This Row],[Exports_TIV]] - Clean_Data[[#This Row],[Imports_TIV]]</f>
        <v>-6954000000</v>
      </c>
      <c r="I49" s="4">
        <f>Clean_Data[[#This Row],[Exports_TIV]] + Clean_Data[[#This Row],[Imports_TIV]]</f>
        <v>6954000000</v>
      </c>
    </row>
    <row r="50" spans="1:9">
      <c r="A50" s="4" t="s">
        <v>471</v>
      </c>
      <c r="B50" s="4" t="s">
        <v>472</v>
      </c>
      <c r="C50" s="5">
        <v>2024</v>
      </c>
      <c r="D50" s="4">
        <v>2887000000</v>
      </c>
      <c r="E50" s="4">
        <v>9221000000</v>
      </c>
      <c r="F50" s="4" t="str">
        <f>_xlfn.LET(_xlpm.r, _xlfn.XLOOKUP(Clean_Data[[#This Row],[Country_Code]], Metadata_Country!$A:$A, Metadata_Country!$B:$B, "Unknown"), IF(OR(_xlpm.r=0, _xlpm.r=""), "Regional Aggregate", _xlpm.r))</f>
        <v>Regional Aggregate</v>
      </c>
      <c r="G50" s="4" t="str">
        <f>_xlfn.LET(_xlpm.ig, _xlfn.XLOOKUP(Clean_Data[[#This Row],[Country_Code]], Metadata_Country!$A:$A, Metadata_Country!$C:$C, "Unknown"), IF(OR(_xlpm.ig=0, _xlpm.ig=""), "Regional Aggregate", _xlpm.ig))</f>
        <v>Regional Aggregate</v>
      </c>
      <c r="H50" s="4">
        <f>Clean_Data[[#This Row],[Exports_TIV]] - Clean_Data[[#This Row],[Imports_TIV]]</f>
        <v>-6334000000</v>
      </c>
      <c r="I50" s="4">
        <f>Clean_Data[[#This Row],[Exports_TIV]] + Clean_Data[[#This Row],[Imports_TIV]]</f>
        <v>12108000000</v>
      </c>
    </row>
    <row r="51" spans="1:9">
      <c r="A51" s="4" t="s">
        <v>155</v>
      </c>
      <c r="B51" s="4" t="s">
        <v>156</v>
      </c>
      <c r="C51" s="5">
        <v>2024</v>
      </c>
      <c r="D51" s="4">
        <v>8107000000</v>
      </c>
      <c r="E51" s="4">
        <v>6348000000</v>
      </c>
      <c r="F51" s="4" t="str">
        <f>_xlfn.LET(_xlpm.r, _xlfn.XLOOKUP(Clean_Data[[#This Row],[Country_Code]], Metadata_Country!$A:$A, Metadata_Country!$B:$B, "Unknown"), IF(OR(_xlpm.r=0, _xlpm.r=""), "Regional Aggregate", _xlpm.r))</f>
        <v>Regional Aggregate</v>
      </c>
      <c r="G51" s="4" t="str">
        <f>_xlfn.LET(_xlpm.ig, _xlfn.XLOOKUP(Clean_Data[[#This Row],[Country_Code]], Metadata_Country!$A:$A, Metadata_Country!$C:$C, "Unknown"), IF(OR(_xlpm.ig=0, _xlpm.ig=""), "Regional Aggregate", _xlpm.ig))</f>
        <v>Regional Aggregate</v>
      </c>
      <c r="H51" s="4">
        <f>Clean_Data[[#This Row],[Exports_TIV]] - Clean_Data[[#This Row],[Imports_TIV]]</f>
        <v>1759000000</v>
      </c>
      <c r="I51" s="4">
        <f>Clean_Data[[#This Row],[Exports_TIV]] + Clean_Data[[#This Row],[Imports_TIV]]</f>
        <v>14455000000</v>
      </c>
    </row>
    <row r="52" spans="1:9">
      <c r="A52" s="4" t="s">
        <v>161</v>
      </c>
      <c r="B52" s="4" t="s">
        <v>162</v>
      </c>
      <c r="C52" s="5">
        <v>2024</v>
      </c>
      <c r="D52" s="4">
        <v>0</v>
      </c>
      <c r="E52" s="4">
        <v>16000000</v>
      </c>
      <c r="F52" s="4" t="str">
        <f>_xlfn.LET(_xlpm.r, _xlfn.XLOOKUP(Clean_Data[[#This Row],[Country_Code]], Metadata_Country!$A:$A, Metadata_Country!$B:$B, "Unknown"), IF(OR(_xlpm.r=0, _xlpm.r=""), "Regional Aggregate", _xlpm.r))</f>
        <v>East Asia &amp; Pacific</v>
      </c>
      <c r="G52" s="4" t="str">
        <f>_xlfn.LET(_xlpm.ig, _xlfn.XLOOKUP(Clean_Data[[#This Row],[Country_Code]], Metadata_Country!$A:$A, Metadata_Country!$C:$C, "Unknown"), IF(OR(_xlpm.ig=0, _xlpm.ig=""), "Regional Aggregate", _xlpm.ig))</f>
        <v>Upper middle income</v>
      </c>
      <c r="H52" s="4">
        <f>Clean_Data[[#This Row],[Exports_TIV]] - Clean_Data[[#This Row],[Imports_TIV]]</f>
        <v>-16000000</v>
      </c>
      <c r="I52" s="4">
        <f>Clean_Data[[#This Row],[Exports_TIV]] + Clean_Data[[#This Row],[Imports_TIV]]</f>
        <v>16000000</v>
      </c>
    </row>
    <row r="53" spans="1:9">
      <c r="A53" s="4" t="s">
        <v>159</v>
      </c>
      <c r="B53" s="4" t="s">
        <v>160</v>
      </c>
      <c r="C53" s="5">
        <v>2024</v>
      </c>
      <c r="D53" s="4">
        <v>20000000</v>
      </c>
      <c r="E53" s="4">
        <v>105000000</v>
      </c>
      <c r="F53" s="4" t="str">
        <f>_xlfn.LET(_xlpm.r, _xlfn.XLOOKUP(Clean_Data[[#This Row],[Country_Code]], Metadata_Country!$A:$A, Metadata_Country!$B:$B, "Unknown"), IF(OR(_xlpm.r=0, _xlpm.r=""), "Regional Aggregate", _xlpm.r))</f>
        <v>Europe &amp; Central Asia</v>
      </c>
      <c r="G53" s="4" t="str">
        <f>_xlfn.LET(_xlpm.ig, _xlfn.XLOOKUP(Clean_Data[[#This Row],[Country_Code]], Metadata_Country!$A:$A, Metadata_Country!$C:$C, "Unknown"), IF(OR(_xlpm.ig=0, _xlpm.ig=""), "Regional Aggregate", _xlpm.ig))</f>
        <v>High income</v>
      </c>
      <c r="H53" s="4">
        <f>Clean_Data[[#This Row],[Exports_TIV]] - Clean_Data[[#This Row],[Imports_TIV]]</f>
        <v>-85000000</v>
      </c>
      <c r="I53" s="4">
        <f>Clean_Data[[#This Row],[Exports_TIV]] + Clean_Data[[#This Row],[Imports_TIV]]</f>
        <v>125000000</v>
      </c>
    </row>
    <row r="54" spans="1:9">
      <c r="A54" s="4" t="s">
        <v>157</v>
      </c>
      <c r="B54" s="4" t="s">
        <v>158</v>
      </c>
      <c r="C54" s="5">
        <v>2024</v>
      </c>
      <c r="D54" s="4">
        <v>0</v>
      </c>
      <c r="E54" s="4">
        <v>6001000000</v>
      </c>
      <c r="F54" s="4" t="str">
        <f>_xlfn.LET(_xlpm.r, _xlfn.XLOOKUP(Clean_Data[[#This Row],[Country_Code]], Metadata_Country!$A:$A, Metadata_Country!$B:$B, "Unknown"), IF(OR(_xlpm.r=0, _xlpm.r=""), "Regional Aggregate", _xlpm.r))</f>
        <v>Regional Aggregate</v>
      </c>
      <c r="G54" s="4" t="str">
        <f>_xlfn.LET(_xlpm.ig, _xlfn.XLOOKUP(Clean_Data[[#This Row],[Country_Code]], Metadata_Country!$A:$A, Metadata_Country!$C:$C, "Unknown"), IF(OR(_xlpm.ig=0, _xlpm.ig=""), "Regional Aggregate", _xlpm.ig))</f>
        <v>Regional Aggregate</v>
      </c>
      <c r="H54" s="4">
        <f>Clean_Data[[#This Row],[Exports_TIV]] - Clean_Data[[#This Row],[Imports_TIV]]</f>
        <v>-6001000000</v>
      </c>
      <c r="I54" s="4">
        <f>Clean_Data[[#This Row],[Exports_TIV]] + Clean_Data[[#This Row],[Imports_TIV]]</f>
        <v>6001000000</v>
      </c>
    </row>
    <row r="55" spans="1:9">
      <c r="A55" s="4" t="s">
        <v>163</v>
      </c>
      <c r="B55" s="4" t="s">
        <v>164</v>
      </c>
      <c r="C55" s="5">
        <v>2024</v>
      </c>
      <c r="D55" s="4">
        <v>2472000000</v>
      </c>
      <c r="E55" s="4">
        <v>183000000</v>
      </c>
      <c r="F55" s="4" t="str">
        <f>_xlfn.LET(_xlpm.r, _xlfn.XLOOKUP(Clean_Data[[#This Row],[Country_Code]], Metadata_Country!$A:$A, Metadata_Country!$B:$B, "Unknown"), IF(OR(_xlpm.r=0, _xlpm.r=""), "Regional Aggregate", _xlpm.r))</f>
        <v>Europe &amp; Central Asia</v>
      </c>
      <c r="G55" s="4" t="str">
        <f>_xlfn.LET(_xlpm.ig, _xlfn.XLOOKUP(Clean_Data[[#This Row],[Country_Code]], Metadata_Country!$A:$A, Metadata_Country!$C:$C, "Unknown"), IF(OR(_xlpm.ig=0, _xlpm.ig=""), "Regional Aggregate", _xlpm.ig))</f>
        <v>High income</v>
      </c>
      <c r="H55" s="4">
        <f>Clean_Data[[#This Row],[Exports_TIV]] - Clean_Data[[#This Row],[Imports_TIV]]</f>
        <v>2289000000</v>
      </c>
      <c r="I55" s="4">
        <f>Clean_Data[[#This Row],[Exports_TIV]] + Clean_Data[[#This Row],[Imports_TIV]]</f>
        <v>2655000000</v>
      </c>
    </row>
    <row r="56" spans="1:9">
      <c r="A56" s="4" t="s">
        <v>169</v>
      </c>
      <c r="B56" s="4" t="s">
        <v>170</v>
      </c>
      <c r="C56" s="5">
        <v>2024</v>
      </c>
      <c r="D56" s="4">
        <v>0</v>
      </c>
      <c r="E56" s="4">
        <v>6000000</v>
      </c>
      <c r="F56" s="4" t="str">
        <f>_xlfn.LET(_xlpm.r, _xlfn.XLOOKUP(Clean_Data[[#This Row],[Country_Code]], Metadata_Country!$A:$A, Metadata_Country!$B:$B, "Unknown"), IF(OR(_xlpm.r=0, _xlpm.r=""), "Regional Aggregate", _xlpm.r))</f>
        <v>Sub-Saharan Africa</v>
      </c>
      <c r="G56" s="4" t="str">
        <f>_xlfn.LET(_xlpm.ig, _xlfn.XLOOKUP(Clean_Data[[#This Row],[Country_Code]], Metadata_Country!$A:$A, Metadata_Country!$C:$C, "Unknown"), IF(OR(_xlpm.ig=0, _xlpm.ig=""), "Regional Aggregate", _xlpm.ig))</f>
        <v>Upper middle income</v>
      </c>
      <c r="H56" s="4">
        <f>Clean_Data[[#This Row],[Exports_TIV]] - Clean_Data[[#This Row],[Imports_TIV]]</f>
        <v>-6000000</v>
      </c>
      <c r="I56" s="4">
        <f>Clean_Data[[#This Row],[Exports_TIV]] + Clean_Data[[#This Row],[Imports_TIV]]</f>
        <v>6000000</v>
      </c>
    </row>
    <row r="57" spans="1:9">
      <c r="A57" s="4" t="s">
        <v>173</v>
      </c>
      <c r="B57" s="4" t="s">
        <v>174</v>
      </c>
      <c r="C57" s="5">
        <v>2024</v>
      </c>
      <c r="D57" s="4">
        <v>0</v>
      </c>
      <c r="E57" s="4">
        <v>15000000</v>
      </c>
      <c r="F57" s="4" t="str">
        <f>_xlfn.LET(_xlpm.r, _xlfn.XLOOKUP(Clean_Data[[#This Row],[Country_Code]], Metadata_Country!$A:$A, Metadata_Country!$B:$B, "Unknown"), IF(OR(_xlpm.r=0, _xlpm.r=""), "Regional Aggregate", _xlpm.r))</f>
        <v>Europe &amp; Central Asia</v>
      </c>
      <c r="G57" s="4" t="str">
        <f>_xlfn.LET(_xlpm.ig, _xlfn.XLOOKUP(Clean_Data[[#This Row],[Country_Code]], Metadata_Country!$A:$A, Metadata_Country!$C:$C, "Unknown"), IF(OR(_xlpm.ig=0, _xlpm.ig=""), "Regional Aggregate", _xlpm.ig))</f>
        <v>Upper middle income</v>
      </c>
      <c r="H57" s="4">
        <f>Clean_Data[[#This Row],[Exports_TIV]] - Clean_Data[[#This Row],[Imports_TIV]]</f>
        <v>-15000000</v>
      </c>
      <c r="I57" s="4">
        <f>Clean_Data[[#This Row],[Exports_TIV]] + Clean_Data[[#This Row],[Imports_TIV]]</f>
        <v>15000000</v>
      </c>
    </row>
    <row r="58" spans="1:9">
      <c r="A58" s="4" t="s">
        <v>119</v>
      </c>
      <c r="B58" s="4" t="s">
        <v>120</v>
      </c>
      <c r="C58" s="5">
        <v>2024</v>
      </c>
      <c r="D58" s="4">
        <v>2108000000</v>
      </c>
      <c r="E58" s="4">
        <v>240000000</v>
      </c>
      <c r="F58" s="4" t="str">
        <f>_xlfn.LET(_xlpm.r, _xlfn.XLOOKUP(Clean_Data[[#This Row],[Country_Code]], Metadata_Country!$A:$A, Metadata_Country!$B:$B, "Unknown"), IF(OR(_xlpm.r=0, _xlpm.r=""), "Regional Aggregate", _xlpm.r))</f>
        <v>Europe &amp; Central Asia</v>
      </c>
      <c r="G58" s="4" t="str">
        <f>_xlfn.LET(_xlpm.ig, _xlfn.XLOOKUP(Clean_Data[[#This Row],[Country_Code]], Metadata_Country!$A:$A, Metadata_Country!$C:$C, "Unknown"), IF(OR(_xlpm.ig=0, _xlpm.ig=""), "Regional Aggregate", _xlpm.ig))</f>
        <v>High income</v>
      </c>
      <c r="H58" s="4">
        <f>Clean_Data[[#This Row],[Exports_TIV]] - Clean_Data[[#This Row],[Imports_TIV]]</f>
        <v>1868000000</v>
      </c>
      <c r="I58" s="4">
        <f>Clean_Data[[#This Row],[Exports_TIV]] + Clean_Data[[#This Row],[Imports_TIV]]</f>
        <v>2348000000</v>
      </c>
    </row>
    <row r="59" spans="1:9">
      <c r="A59" s="4" t="s">
        <v>175</v>
      </c>
      <c r="B59" s="4" t="s">
        <v>176</v>
      </c>
      <c r="C59" s="5">
        <v>2024</v>
      </c>
      <c r="D59" s="4">
        <v>0</v>
      </c>
      <c r="E59" s="4">
        <v>11000000</v>
      </c>
      <c r="F59" s="4" t="str">
        <f>_xlfn.LET(_xlpm.r, _xlfn.XLOOKUP(Clean_Data[[#This Row],[Country_Code]], Metadata_Country!$A:$A, Metadata_Country!$B:$B, "Unknown"), IF(OR(_xlpm.r=0, _xlpm.r=""), "Regional Aggregate", _xlpm.r))</f>
        <v>Sub-Saharan Africa</v>
      </c>
      <c r="G59" s="4" t="str">
        <f>_xlfn.LET(_xlpm.ig, _xlfn.XLOOKUP(Clean_Data[[#This Row],[Country_Code]], Metadata_Country!$A:$A, Metadata_Country!$C:$C, "Unknown"), IF(OR(_xlpm.ig=0, _xlpm.ig=""), "Regional Aggregate", _xlpm.ig))</f>
        <v>Lower middle income</v>
      </c>
      <c r="H59" s="4">
        <f>Clean_Data[[#This Row],[Exports_TIV]] - Clean_Data[[#This Row],[Imports_TIV]]</f>
        <v>-11000000</v>
      </c>
      <c r="I59" s="4">
        <f>Clean_Data[[#This Row],[Exports_TIV]] + Clean_Data[[#This Row],[Imports_TIV]]</f>
        <v>11000000</v>
      </c>
    </row>
    <row r="60" spans="1:9">
      <c r="A60" s="4" t="s">
        <v>187</v>
      </c>
      <c r="B60" s="4" t="s">
        <v>188</v>
      </c>
      <c r="C60" s="5">
        <v>2024</v>
      </c>
      <c r="D60" s="4">
        <v>20000000</v>
      </c>
      <c r="E60" s="4">
        <v>631000000</v>
      </c>
      <c r="F60" s="4" t="str">
        <f>_xlfn.LET(_xlpm.r, _xlfn.XLOOKUP(Clean_Data[[#This Row],[Country_Code]], Metadata_Country!$A:$A, Metadata_Country!$B:$B, "Unknown"), IF(OR(_xlpm.r=0, _xlpm.r=""), "Regional Aggregate", _xlpm.r))</f>
        <v>Europe &amp; Central Asia</v>
      </c>
      <c r="G60" s="4" t="str">
        <f>_xlfn.LET(_xlpm.ig, _xlfn.XLOOKUP(Clean_Data[[#This Row],[Country_Code]], Metadata_Country!$A:$A, Metadata_Country!$C:$C, "Unknown"), IF(OR(_xlpm.ig=0, _xlpm.ig=""), "Regional Aggregate", _xlpm.ig))</f>
        <v>High income</v>
      </c>
      <c r="H60" s="4">
        <f>Clean_Data[[#This Row],[Exports_TIV]] - Clean_Data[[#This Row],[Imports_TIV]]</f>
        <v>-611000000</v>
      </c>
      <c r="I60" s="4">
        <f>Clean_Data[[#This Row],[Exports_TIV]] + Clean_Data[[#This Row],[Imports_TIV]]</f>
        <v>651000000</v>
      </c>
    </row>
    <row r="61" spans="1:9">
      <c r="A61" s="4" t="s">
        <v>179</v>
      </c>
      <c r="B61" s="4" t="s">
        <v>180</v>
      </c>
      <c r="C61" s="5">
        <v>2024</v>
      </c>
      <c r="D61" s="4">
        <v>0</v>
      </c>
      <c r="E61" s="4">
        <v>6000000</v>
      </c>
      <c r="F61" s="4" t="str">
        <f>_xlfn.LET(_xlpm.r, _xlfn.XLOOKUP(Clean_Data[[#This Row],[Country_Code]], Metadata_Country!$A:$A, Metadata_Country!$B:$B, "Unknown"), IF(OR(_xlpm.r=0, _xlpm.r=""), "Regional Aggregate", _xlpm.r))</f>
        <v>Sub-Saharan Africa</v>
      </c>
      <c r="G61" s="4" t="str">
        <f>_xlfn.LET(_xlpm.ig, _xlfn.XLOOKUP(Clean_Data[[#This Row],[Country_Code]], Metadata_Country!$A:$A, Metadata_Country!$C:$C, "Unknown"), IF(OR(_xlpm.ig=0, _xlpm.ig=""), "Regional Aggregate", _xlpm.ig))</f>
        <v>Lower middle income</v>
      </c>
      <c r="H61" s="4">
        <f>Clean_Data[[#This Row],[Exports_TIV]] - Clean_Data[[#This Row],[Imports_TIV]]</f>
        <v>-6000000</v>
      </c>
      <c r="I61" s="4">
        <f>Clean_Data[[#This Row],[Exports_TIV]] + Clean_Data[[#This Row],[Imports_TIV]]</f>
        <v>6000000</v>
      </c>
    </row>
    <row r="62" spans="1:9">
      <c r="A62" s="4" t="s">
        <v>197</v>
      </c>
      <c r="B62" s="4" t="s">
        <v>198</v>
      </c>
      <c r="C62" s="5">
        <v>2024</v>
      </c>
      <c r="D62" s="4">
        <v>0</v>
      </c>
      <c r="E62" s="4">
        <v>9000000</v>
      </c>
      <c r="F62" s="4" t="str">
        <f>_xlfn.LET(_xlpm.r, _xlfn.XLOOKUP(Clean_Data[[#This Row],[Country_Code]], Metadata_Country!$A:$A, Metadata_Country!$B:$B, "Unknown"), IF(OR(_xlpm.r=0, _xlpm.r=""), "Regional Aggregate", _xlpm.r))</f>
        <v>Latin America &amp; Caribbean</v>
      </c>
      <c r="G62" s="4" t="str">
        <f>_xlfn.LET(_xlpm.ig, _xlfn.XLOOKUP(Clean_Data[[#This Row],[Country_Code]], Metadata_Country!$A:$A, Metadata_Country!$C:$C, "Unknown"), IF(OR(_xlpm.ig=0, _xlpm.ig=""), "Regional Aggregate", _xlpm.ig))</f>
        <v>High income</v>
      </c>
      <c r="H62" s="4">
        <f>Clean_Data[[#This Row],[Exports_TIV]] - Clean_Data[[#This Row],[Imports_TIV]]</f>
        <v>-9000000</v>
      </c>
      <c r="I62" s="4">
        <f>Clean_Data[[#This Row],[Exports_TIV]] + Clean_Data[[#This Row],[Imports_TIV]]</f>
        <v>9000000</v>
      </c>
    </row>
    <row r="63" spans="1:9">
      <c r="A63" s="4" t="s">
        <v>205</v>
      </c>
      <c r="B63" s="4" t="s">
        <v>206</v>
      </c>
      <c r="C63" s="5">
        <v>2024</v>
      </c>
      <c r="D63" s="4">
        <v>0</v>
      </c>
      <c r="E63" s="4">
        <v>484000000</v>
      </c>
      <c r="F63" s="4" t="str">
        <f>_xlfn.LET(_xlpm.r, _xlfn.XLOOKUP(Clean_Data[[#This Row],[Country_Code]], Metadata_Country!$A:$A, Metadata_Country!$B:$B, "Unknown"), IF(OR(_xlpm.r=0, _xlpm.r=""), "Regional Aggregate", _xlpm.r))</f>
        <v>Regional Aggregate</v>
      </c>
      <c r="G63" s="4" t="str">
        <f>_xlfn.LET(_xlpm.ig, _xlfn.XLOOKUP(Clean_Data[[#This Row],[Country_Code]], Metadata_Country!$A:$A, Metadata_Country!$C:$C, "Unknown"), IF(OR(_xlpm.ig=0, _xlpm.ig=""), "Regional Aggregate", _xlpm.ig))</f>
        <v>Regional Aggregate</v>
      </c>
      <c r="H63" s="4">
        <f>Clean_Data[[#This Row],[Exports_TIV]] - Clean_Data[[#This Row],[Imports_TIV]]</f>
        <v>-484000000</v>
      </c>
      <c r="I63" s="4">
        <f>Clean_Data[[#This Row],[Exports_TIV]] + Clean_Data[[#This Row],[Imports_TIV]]</f>
        <v>484000000</v>
      </c>
    </row>
    <row r="64" spans="1:9">
      <c r="A64" s="4" t="s">
        <v>199</v>
      </c>
      <c r="B64" s="4" t="s">
        <v>200</v>
      </c>
      <c r="C64" s="5">
        <v>2024</v>
      </c>
      <c r="D64" s="4">
        <v>27951000000</v>
      </c>
      <c r="E64" s="4">
        <v>17932000000</v>
      </c>
      <c r="F64" s="4" t="str">
        <f>_xlfn.LET(_xlpm.r, _xlfn.XLOOKUP(Clean_Data[[#This Row],[Country_Code]], Metadata_Country!$A:$A, Metadata_Country!$B:$B, "Unknown"), IF(OR(_xlpm.r=0, _xlpm.r=""), "Regional Aggregate", _xlpm.r))</f>
        <v>Regional Aggregate</v>
      </c>
      <c r="G64" s="4" t="str">
        <f>_xlfn.LET(_xlpm.ig, _xlfn.XLOOKUP(Clean_Data[[#This Row],[Country_Code]], Metadata_Country!$A:$A, Metadata_Country!$C:$C, "Unknown"), IF(OR(_xlpm.ig=0, _xlpm.ig=""), "Regional Aggregate", _xlpm.ig))</f>
        <v>Regional Aggregate</v>
      </c>
      <c r="H64" s="4">
        <f>Clean_Data[[#This Row],[Exports_TIV]] - Clean_Data[[#This Row],[Imports_TIV]]</f>
        <v>10019000000</v>
      </c>
      <c r="I64" s="4">
        <f>Clean_Data[[#This Row],[Exports_TIV]] + Clean_Data[[#This Row],[Imports_TIV]]</f>
        <v>45883000000</v>
      </c>
    </row>
    <row r="65" spans="1:9">
      <c r="A65" s="4" t="s">
        <v>203</v>
      </c>
      <c r="B65" s="4" t="s">
        <v>204</v>
      </c>
      <c r="C65" s="5">
        <v>2024</v>
      </c>
      <c r="D65" s="4">
        <v>0</v>
      </c>
      <c r="E65" s="4">
        <v>7000000</v>
      </c>
      <c r="F65" s="4" t="str">
        <f>_xlfn.LET(_xlpm.r, _xlfn.XLOOKUP(Clean_Data[[#This Row],[Country_Code]], Metadata_Country!$A:$A, Metadata_Country!$B:$B, "Unknown"), IF(OR(_xlpm.r=0, _xlpm.r=""), "Regional Aggregate", _xlpm.r))</f>
        <v>Latin America &amp; Caribbean</v>
      </c>
      <c r="G65" s="4" t="str">
        <f>_xlfn.LET(_xlpm.ig, _xlfn.XLOOKUP(Clean_Data[[#This Row],[Country_Code]], Metadata_Country!$A:$A, Metadata_Country!$C:$C, "Unknown"), IF(OR(_xlpm.ig=0, _xlpm.ig=""), "Regional Aggregate", _xlpm.ig))</f>
        <v>Lower middle income</v>
      </c>
      <c r="H65" s="4">
        <f>Clean_Data[[#This Row],[Exports_TIV]] - Clean_Data[[#This Row],[Imports_TIV]]</f>
        <v>-7000000</v>
      </c>
      <c r="I65" s="4">
        <f>Clean_Data[[#This Row],[Exports_TIV]] + Clean_Data[[#This Row],[Imports_TIV]]</f>
        <v>7000000</v>
      </c>
    </row>
    <row r="66" spans="1:9">
      <c r="A66" s="4" t="s">
        <v>211</v>
      </c>
      <c r="B66" s="4" t="s">
        <v>212</v>
      </c>
      <c r="C66" s="5">
        <v>2024</v>
      </c>
      <c r="D66" s="4">
        <v>11000000</v>
      </c>
      <c r="E66" s="4">
        <v>581000000</v>
      </c>
      <c r="F66" s="4" t="str">
        <f>_xlfn.LET(_xlpm.r, _xlfn.XLOOKUP(Clean_Data[[#This Row],[Country_Code]], Metadata_Country!$A:$A, Metadata_Country!$B:$B, "Unknown"), IF(OR(_xlpm.r=0, _xlpm.r=""), "Regional Aggregate", _xlpm.r))</f>
        <v>Europe &amp; Central Asia</v>
      </c>
      <c r="G66" s="4" t="str">
        <f>_xlfn.LET(_xlpm.ig, _xlfn.XLOOKUP(Clean_Data[[#This Row],[Country_Code]], Metadata_Country!$A:$A, Metadata_Country!$C:$C, "Unknown"), IF(OR(_xlpm.ig=0, _xlpm.ig=""), "Regional Aggregate", _xlpm.ig))</f>
        <v>High income</v>
      </c>
      <c r="H66" s="4">
        <f>Clean_Data[[#This Row],[Exports_TIV]] - Clean_Data[[#This Row],[Imports_TIV]]</f>
        <v>-570000000</v>
      </c>
      <c r="I66" s="4">
        <f>Clean_Data[[#This Row],[Exports_TIV]] + Clean_Data[[#This Row],[Imports_TIV]]</f>
        <v>592000000</v>
      </c>
    </row>
    <row r="67" spans="1:9">
      <c r="A67" s="4" t="s">
        <v>213</v>
      </c>
      <c r="B67" s="4" t="s">
        <v>214</v>
      </c>
      <c r="C67" s="5">
        <v>2024</v>
      </c>
      <c r="D67" s="4">
        <v>4844000000</v>
      </c>
      <c r="E67" s="4">
        <v>12908000000</v>
      </c>
      <c r="F67" s="4" t="str">
        <f>_xlfn.LET(_xlpm.r, _xlfn.XLOOKUP(Clean_Data[[#This Row],[Country_Code]], Metadata_Country!$A:$A, Metadata_Country!$B:$B, "Unknown"), IF(OR(_xlpm.r=0, _xlpm.r=""), "Regional Aggregate", _xlpm.r))</f>
        <v>Regional Aggregate</v>
      </c>
      <c r="G67" s="4" t="str">
        <f>_xlfn.LET(_xlpm.ig, _xlfn.XLOOKUP(Clean_Data[[#This Row],[Country_Code]], Metadata_Country!$A:$A, Metadata_Country!$C:$C, "Unknown"), IF(OR(_xlpm.ig=0, _xlpm.ig=""), "Regional Aggregate", _xlpm.ig))</f>
        <v>Regional Aggregate</v>
      </c>
      <c r="H67" s="4">
        <f>Clean_Data[[#This Row],[Exports_TIV]] - Clean_Data[[#This Row],[Imports_TIV]]</f>
        <v>-8064000000</v>
      </c>
      <c r="I67" s="4">
        <f>Clean_Data[[#This Row],[Exports_TIV]] + Clean_Data[[#This Row],[Imports_TIV]]</f>
        <v>17752000000</v>
      </c>
    </row>
    <row r="68" spans="1:9">
      <c r="A68" s="4" t="s">
        <v>215</v>
      </c>
      <c r="B68" s="4" t="s">
        <v>216</v>
      </c>
      <c r="C68" s="5">
        <v>2024</v>
      </c>
      <c r="D68" s="4">
        <v>4884000000</v>
      </c>
      <c r="E68" s="4">
        <v>14962000000</v>
      </c>
      <c r="F68" s="4" t="str">
        <f>_xlfn.LET(_xlpm.r, _xlfn.XLOOKUP(Clean_Data[[#This Row],[Country_Code]], Metadata_Country!$A:$A, Metadata_Country!$B:$B, "Unknown"), IF(OR(_xlpm.r=0, _xlpm.r=""), "Regional Aggregate", _xlpm.r))</f>
        <v>Regional Aggregate</v>
      </c>
      <c r="G68" s="4" t="str">
        <f>_xlfn.LET(_xlpm.ig, _xlfn.XLOOKUP(Clean_Data[[#This Row],[Country_Code]], Metadata_Country!$A:$A, Metadata_Country!$C:$C, "Unknown"), IF(OR(_xlpm.ig=0, _xlpm.ig=""), "Regional Aggregate", _xlpm.ig))</f>
        <v>Regional Aggregate</v>
      </c>
      <c r="H68" s="4">
        <f>Clean_Data[[#This Row],[Exports_TIV]] - Clean_Data[[#This Row],[Imports_TIV]]</f>
        <v>-10078000000</v>
      </c>
      <c r="I68" s="4">
        <f>Clean_Data[[#This Row],[Exports_TIV]] + Clean_Data[[#This Row],[Imports_TIV]]</f>
        <v>19846000000</v>
      </c>
    </row>
    <row r="69" spans="1:9">
      <c r="A69" s="4" t="s">
        <v>219</v>
      </c>
      <c r="B69" s="4" t="s">
        <v>220</v>
      </c>
      <c r="C69" s="5">
        <v>2024</v>
      </c>
      <c r="D69" s="4">
        <v>0</v>
      </c>
      <c r="E69" s="4">
        <v>1271000000</v>
      </c>
      <c r="F69" s="4" t="str">
        <f>_xlfn.LET(_xlpm.r, _xlfn.XLOOKUP(Clean_Data[[#This Row],[Country_Code]], Metadata_Country!$A:$A, Metadata_Country!$B:$B, "Unknown"), IF(OR(_xlpm.r=0, _xlpm.r=""), "Regional Aggregate", _xlpm.r))</f>
        <v>Regional Aggregate</v>
      </c>
      <c r="G69" s="4" t="str">
        <f>_xlfn.LET(_xlpm.ig, _xlfn.XLOOKUP(Clean_Data[[#This Row],[Country_Code]], Metadata_Country!$A:$A, Metadata_Country!$C:$C, "Unknown"), IF(OR(_xlpm.ig=0, _xlpm.ig=""), "Regional Aggregate", _xlpm.ig))</f>
        <v>Regional Aggregate</v>
      </c>
      <c r="H69" s="4">
        <f>Clean_Data[[#This Row],[Exports_TIV]] - Clean_Data[[#This Row],[Imports_TIV]]</f>
        <v>-1271000000</v>
      </c>
      <c r="I69" s="4">
        <f>Clean_Data[[#This Row],[Exports_TIV]] + Clean_Data[[#This Row],[Imports_TIV]]</f>
        <v>1271000000</v>
      </c>
    </row>
    <row r="70" spans="1:9">
      <c r="A70" s="4" t="s">
        <v>223</v>
      </c>
      <c r="B70" s="4" t="s">
        <v>224</v>
      </c>
      <c r="C70" s="5">
        <v>2024</v>
      </c>
      <c r="D70" s="4">
        <v>0</v>
      </c>
      <c r="E70" s="4">
        <v>783000000</v>
      </c>
      <c r="F70" s="4" t="str">
        <f>_xlfn.LET(_xlpm.r, _xlfn.XLOOKUP(Clean_Data[[#This Row],[Country_Code]], Metadata_Country!$A:$A, Metadata_Country!$B:$B, "Unknown"), IF(OR(_xlpm.r=0, _xlpm.r=""), "Regional Aggregate", _xlpm.r))</f>
        <v>Regional Aggregate</v>
      </c>
      <c r="G70" s="4" t="str">
        <f>_xlfn.LET(_xlpm.ig, _xlfn.XLOOKUP(Clean_Data[[#This Row],[Country_Code]], Metadata_Country!$A:$A, Metadata_Country!$C:$C, "Unknown"), IF(OR(_xlpm.ig=0, _xlpm.ig=""), "Regional Aggregate", _xlpm.ig))</f>
        <v>Regional Aggregate</v>
      </c>
      <c r="H70" s="4">
        <f>Clean_Data[[#This Row],[Exports_TIV]] - Clean_Data[[#This Row],[Imports_TIV]]</f>
        <v>-783000000</v>
      </c>
      <c r="I70" s="4">
        <f>Clean_Data[[#This Row],[Exports_TIV]] + Clean_Data[[#This Row],[Imports_TIV]]</f>
        <v>783000000</v>
      </c>
    </row>
    <row r="71" spans="1:9">
      <c r="A71" s="4" t="s">
        <v>217</v>
      </c>
      <c r="B71" s="4" t="s">
        <v>218</v>
      </c>
      <c r="C71" s="5">
        <v>2024</v>
      </c>
      <c r="D71" s="4">
        <v>0</v>
      </c>
      <c r="E71" s="4">
        <v>2054000000</v>
      </c>
      <c r="F71" s="4" t="str">
        <f>_xlfn.LET(_xlpm.r, _xlfn.XLOOKUP(Clean_Data[[#This Row],[Country_Code]], Metadata_Country!$A:$A, Metadata_Country!$B:$B, "Unknown"), IF(OR(_xlpm.r=0, _xlpm.r=""), "Regional Aggregate", _xlpm.r))</f>
        <v>Regional Aggregate</v>
      </c>
      <c r="G71" s="4" t="str">
        <f>_xlfn.LET(_xlpm.ig, _xlfn.XLOOKUP(Clean_Data[[#This Row],[Country_Code]], Metadata_Country!$A:$A, Metadata_Country!$C:$C, "Unknown"), IF(OR(_xlpm.ig=0, _xlpm.ig=""), "Regional Aggregate", _xlpm.ig))</f>
        <v>Regional Aggregate</v>
      </c>
      <c r="H71" s="4">
        <f>Clean_Data[[#This Row],[Exports_TIV]] - Clean_Data[[#This Row],[Imports_TIV]]</f>
        <v>-2054000000</v>
      </c>
      <c r="I71" s="4">
        <f>Clean_Data[[#This Row],[Exports_TIV]] + Clean_Data[[#This Row],[Imports_TIV]]</f>
        <v>2054000000</v>
      </c>
    </row>
    <row r="72" spans="1:9">
      <c r="A72" s="4" t="s">
        <v>227</v>
      </c>
      <c r="B72" s="4" t="s">
        <v>228</v>
      </c>
      <c r="C72" s="5">
        <v>2024</v>
      </c>
      <c r="D72" s="4">
        <v>94000000</v>
      </c>
      <c r="E72" s="4">
        <v>1603000000</v>
      </c>
      <c r="F72" s="4" t="str">
        <f>_xlfn.LET(_xlpm.r, _xlfn.XLOOKUP(Clean_Data[[#This Row],[Country_Code]], Metadata_Country!$A:$A, Metadata_Country!$B:$B, "Unknown"), IF(OR(_xlpm.r=0, _xlpm.r=""), "Regional Aggregate", _xlpm.r))</f>
        <v>South Asia</v>
      </c>
      <c r="G72" s="4" t="str">
        <f>_xlfn.LET(_xlpm.ig, _xlfn.XLOOKUP(Clean_Data[[#This Row],[Country_Code]], Metadata_Country!$A:$A, Metadata_Country!$C:$C, "Unknown"), IF(OR(_xlpm.ig=0, _xlpm.ig=""), "Regional Aggregate", _xlpm.ig))</f>
        <v>Lower middle income</v>
      </c>
      <c r="H72" s="4">
        <f>Clean_Data[[#This Row],[Exports_TIV]] - Clean_Data[[#This Row],[Imports_TIV]]</f>
        <v>-1509000000</v>
      </c>
      <c r="I72" s="4">
        <f>Clean_Data[[#This Row],[Exports_TIV]] + Clean_Data[[#This Row],[Imports_TIV]]</f>
        <v>1697000000</v>
      </c>
    </row>
    <row r="73" spans="1:9">
      <c r="A73" s="4" t="s">
        <v>221</v>
      </c>
      <c r="B73" s="4" t="s">
        <v>222</v>
      </c>
      <c r="C73" s="5">
        <v>2024</v>
      </c>
      <c r="D73" s="4">
        <v>0</v>
      </c>
      <c r="E73" s="4">
        <v>185000000</v>
      </c>
      <c r="F73" s="4" t="str">
        <f>_xlfn.LET(_xlpm.r, _xlfn.XLOOKUP(Clean_Data[[#This Row],[Country_Code]], Metadata_Country!$A:$A, Metadata_Country!$B:$B, "Unknown"), IF(OR(_xlpm.r=0, _xlpm.r=""), "Regional Aggregate", _xlpm.r))</f>
        <v>East Asia &amp; Pacific</v>
      </c>
      <c r="G73" s="4" t="str">
        <f>_xlfn.LET(_xlpm.ig, _xlfn.XLOOKUP(Clean_Data[[#This Row],[Country_Code]], Metadata_Country!$A:$A, Metadata_Country!$C:$C, "Unknown"), IF(OR(_xlpm.ig=0, _xlpm.ig=""), "Regional Aggregate", _xlpm.ig))</f>
        <v>Upper middle income</v>
      </c>
      <c r="H73" s="4">
        <f>Clean_Data[[#This Row],[Exports_TIV]] - Clean_Data[[#This Row],[Imports_TIV]]</f>
        <v>-185000000</v>
      </c>
      <c r="I73" s="4">
        <f>Clean_Data[[#This Row],[Exports_TIV]] + Clean_Data[[#This Row],[Imports_TIV]]</f>
        <v>185000000</v>
      </c>
    </row>
    <row r="74" spans="1:9">
      <c r="A74" s="4" t="s">
        <v>233</v>
      </c>
      <c r="B74" s="4" t="s">
        <v>234</v>
      </c>
      <c r="C74" s="5">
        <v>2024</v>
      </c>
      <c r="D74" s="4">
        <v>106000000</v>
      </c>
      <c r="E74" s="4">
        <v>42000000</v>
      </c>
      <c r="F74" s="4" t="str">
        <f>_xlfn.LET(_xlpm.r, _xlfn.XLOOKUP(Clean_Data[[#This Row],[Country_Code]], Metadata_Country!$A:$A, Metadata_Country!$B:$B, "Unknown"), IF(OR(_xlpm.r=0, _xlpm.r=""), "Regional Aggregate", _xlpm.r))</f>
        <v>Middle East &amp; North Africa</v>
      </c>
      <c r="G74" s="4" t="str">
        <f>_xlfn.LET(_xlpm.ig, _xlfn.XLOOKUP(Clean_Data[[#This Row],[Country_Code]], Metadata_Country!$A:$A, Metadata_Country!$C:$C, "Unknown"), IF(OR(_xlpm.ig=0, _xlpm.ig=""), "Regional Aggregate", _xlpm.ig))</f>
        <v>Upper middle income</v>
      </c>
      <c r="H74" s="4">
        <f>Clean_Data[[#This Row],[Exports_TIV]] - Clean_Data[[#This Row],[Imports_TIV]]</f>
        <v>64000000</v>
      </c>
      <c r="I74" s="4">
        <f>Clean_Data[[#This Row],[Exports_TIV]] + Clean_Data[[#This Row],[Imports_TIV]]</f>
        <v>148000000</v>
      </c>
    </row>
    <row r="75" spans="1:9">
      <c r="A75" s="4" t="s">
        <v>235</v>
      </c>
      <c r="B75" s="4" t="s">
        <v>236</v>
      </c>
      <c r="C75" s="5">
        <v>2024</v>
      </c>
      <c r="D75" s="4">
        <v>0</v>
      </c>
      <c r="E75" s="4">
        <v>80000000</v>
      </c>
      <c r="F75" s="4" t="str">
        <f>_xlfn.LET(_xlpm.r, _xlfn.XLOOKUP(Clean_Data[[#This Row],[Country_Code]], Metadata_Country!$A:$A, Metadata_Country!$B:$B, "Unknown"), IF(OR(_xlpm.r=0, _xlpm.r=""), "Regional Aggregate", _xlpm.r))</f>
        <v>Middle East &amp; North Africa</v>
      </c>
      <c r="G75" s="4" t="str">
        <f>_xlfn.LET(_xlpm.ig, _xlfn.XLOOKUP(Clean_Data[[#This Row],[Country_Code]], Metadata_Country!$A:$A, Metadata_Country!$C:$C, "Unknown"), IF(OR(_xlpm.ig=0, _xlpm.ig=""), "Regional Aggregate", _xlpm.ig))</f>
        <v>Upper middle income</v>
      </c>
      <c r="H75" s="4">
        <f>Clean_Data[[#This Row],[Exports_TIV]] - Clean_Data[[#This Row],[Imports_TIV]]</f>
        <v>-80000000</v>
      </c>
      <c r="I75" s="4">
        <f>Clean_Data[[#This Row],[Exports_TIV]] + Clean_Data[[#This Row],[Imports_TIV]]</f>
        <v>80000000</v>
      </c>
    </row>
    <row r="76" spans="1:9">
      <c r="A76" s="4" t="s">
        <v>231</v>
      </c>
      <c r="B76" s="4" t="s">
        <v>232</v>
      </c>
      <c r="C76" s="5">
        <v>2024</v>
      </c>
      <c r="D76" s="4">
        <v>18000000</v>
      </c>
      <c r="E76" s="4">
        <v>0</v>
      </c>
      <c r="F76" s="4" t="str">
        <f>_xlfn.LET(_xlpm.r, _xlfn.XLOOKUP(Clean_Data[[#This Row],[Country_Code]], Metadata_Country!$A:$A, Metadata_Country!$B:$B, "Unknown"), IF(OR(_xlpm.r=0, _xlpm.r=""), "Regional Aggregate", _xlpm.r))</f>
        <v>Europe &amp; Central Asia</v>
      </c>
      <c r="G76" s="4" t="str">
        <f>_xlfn.LET(_xlpm.ig, _xlfn.XLOOKUP(Clean_Data[[#This Row],[Country_Code]], Metadata_Country!$A:$A, Metadata_Country!$C:$C, "Unknown"), IF(OR(_xlpm.ig=0, _xlpm.ig=""), "Regional Aggregate", _xlpm.ig))</f>
        <v>High income</v>
      </c>
      <c r="H76" s="4">
        <f>Clean_Data[[#This Row],[Exports_TIV]] - Clean_Data[[#This Row],[Imports_TIV]]</f>
        <v>18000000</v>
      </c>
      <c r="I76" s="4">
        <f>Clean_Data[[#This Row],[Exports_TIV]] + Clean_Data[[#This Row],[Imports_TIV]]</f>
        <v>18000000</v>
      </c>
    </row>
    <row r="77" spans="1:9">
      <c r="A77" s="4" t="s">
        <v>239</v>
      </c>
      <c r="B77" s="4" t="s">
        <v>240</v>
      </c>
      <c r="C77" s="5">
        <v>2024</v>
      </c>
      <c r="D77" s="4">
        <v>1163000000</v>
      </c>
      <c r="E77" s="4">
        <v>237000000</v>
      </c>
      <c r="F77" s="4" t="str">
        <f>_xlfn.LET(_xlpm.r, _xlfn.XLOOKUP(Clean_Data[[#This Row],[Country_Code]], Metadata_Country!$A:$A, Metadata_Country!$B:$B, "Unknown"), IF(OR(_xlpm.r=0, _xlpm.r=""), "Regional Aggregate", _xlpm.r))</f>
        <v>Middle East &amp; North Africa</v>
      </c>
      <c r="G77" s="4" t="str">
        <f>_xlfn.LET(_xlpm.ig, _xlfn.XLOOKUP(Clean_Data[[#This Row],[Country_Code]], Metadata_Country!$A:$A, Metadata_Country!$C:$C, "Unknown"), IF(OR(_xlpm.ig=0, _xlpm.ig=""), "Regional Aggregate", _xlpm.ig))</f>
        <v>High income</v>
      </c>
      <c r="H77" s="4">
        <f>Clean_Data[[#This Row],[Exports_TIV]] - Clean_Data[[#This Row],[Imports_TIV]]</f>
        <v>926000000</v>
      </c>
      <c r="I77" s="4">
        <f>Clean_Data[[#This Row],[Exports_TIV]] + Clean_Data[[#This Row],[Imports_TIV]]</f>
        <v>1400000000</v>
      </c>
    </row>
    <row r="78" spans="1:9">
      <c r="A78" s="4" t="s">
        <v>241</v>
      </c>
      <c r="B78" s="4" t="s">
        <v>242</v>
      </c>
      <c r="C78" s="5">
        <v>2024</v>
      </c>
      <c r="D78" s="4">
        <v>1208000000</v>
      </c>
      <c r="E78" s="4">
        <v>494000000</v>
      </c>
      <c r="F78" s="4" t="str">
        <f>_xlfn.LET(_xlpm.r, _xlfn.XLOOKUP(Clean_Data[[#This Row],[Country_Code]], Metadata_Country!$A:$A, Metadata_Country!$B:$B, "Unknown"), IF(OR(_xlpm.r=0, _xlpm.r=""), "Regional Aggregate", _xlpm.r))</f>
        <v>Europe &amp; Central Asia</v>
      </c>
      <c r="G78" s="4" t="str">
        <f>_xlfn.LET(_xlpm.ig, _xlfn.XLOOKUP(Clean_Data[[#This Row],[Country_Code]], Metadata_Country!$A:$A, Metadata_Country!$C:$C, "Unknown"), IF(OR(_xlpm.ig=0, _xlpm.ig=""), "Regional Aggregate", _xlpm.ig))</f>
        <v>High income</v>
      </c>
      <c r="H78" s="4">
        <f>Clean_Data[[#This Row],[Exports_TIV]] - Clean_Data[[#This Row],[Imports_TIV]]</f>
        <v>714000000</v>
      </c>
      <c r="I78" s="4">
        <f>Clean_Data[[#This Row],[Exports_TIV]] + Clean_Data[[#This Row],[Imports_TIV]]</f>
        <v>1702000000</v>
      </c>
    </row>
    <row r="79" spans="1:9">
      <c r="A79" s="4" t="s">
        <v>243</v>
      </c>
      <c r="B79" s="4" t="s">
        <v>244</v>
      </c>
      <c r="C79" s="5">
        <v>2024</v>
      </c>
      <c r="D79" s="4">
        <v>0</v>
      </c>
      <c r="E79" s="4">
        <v>10000000</v>
      </c>
      <c r="F79" s="4" t="str">
        <f>_xlfn.LET(_xlpm.r, _xlfn.XLOOKUP(Clean_Data[[#This Row],[Country_Code]], Metadata_Country!$A:$A, Metadata_Country!$B:$B, "Unknown"), IF(OR(_xlpm.r=0, _xlpm.r=""), "Regional Aggregate", _xlpm.r))</f>
        <v>Latin America &amp; Caribbean</v>
      </c>
      <c r="G79" s="4" t="str">
        <f>_xlfn.LET(_xlpm.ig, _xlfn.XLOOKUP(Clean_Data[[#This Row],[Country_Code]], Metadata_Country!$A:$A, Metadata_Country!$C:$C, "Unknown"), IF(OR(_xlpm.ig=0, _xlpm.ig=""), "Regional Aggregate", _xlpm.ig))</f>
        <v>Upper middle income</v>
      </c>
      <c r="H79" s="4">
        <f>Clean_Data[[#This Row],[Exports_TIV]] - Clean_Data[[#This Row],[Imports_TIV]]</f>
        <v>-10000000</v>
      </c>
      <c r="I79" s="4">
        <f>Clean_Data[[#This Row],[Exports_TIV]] + Clean_Data[[#This Row],[Imports_TIV]]</f>
        <v>10000000</v>
      </c>
    </row>
    <row r="80" spans="1:9">
      <c r="A80" s="4" t="s">
        <v>247</v>
      </c>
      <c r="B80" s="4" t="s">
        <v>248</v>
      </c>
      <c r="C80" s="5">
        <v>2024</v>
      </c>
      <c r="D80" s="4">
        <v>21000000</v>
      </c>
      <c r="E80" s="4">
        <v>1043000000</v>
      </c>
      <c r="F80" s="4" t="str">
        <f>_xlfn.LET(_xlpm.r, _xlfn.XLOOKUP(Clean_Data[[#This Row],[Country_Code]], Metadata_Country!$A:$A, Metadata_Country!$B:$B, "Unknown"), IF(OR(_xlpm.r=0, _xlpm.r=""), "Regional Aggregate", _xlpm.r))</f>
        <v>East Asia &amp; Pacific</v>
      </c>
      <c r="G80" s="4" t="str">
        <f>_xlfn.LET(_xlpm.ig, _xlfn.XLOOKUP(Clean_Data[[#This Row],[Country_Code]], Metadata_Country!$A:$A, Metadata_Country!$C:$C, "Unknown"), IF(OR(_xlpm.ig=0, _xlpm.ig=""), "Regional Aggregate", _xlpm.ig))</f>
        <v>High income</v>
      </c>
      <c r="H80" s="4">
        <f>Clean_Data[[#This Row],[Exports_TIV]] - Clean_Data[[#This Row],[Imports_TIV]]</f>
        <v>-1022000000</v>
      </c>
      <c r="I80" s="4">
        <f>Clean_Data[[#This Row],[Exports_TIV]] + Clean_Data[[#This Row],[Imports_TIV]]</f>
        <v>1064000000</v>
      </c>
    </row>
    <row r="81" spans="1:9">
      <c r="A81" s="4" t="s">
        <v>245</v>
      </c>
      <c r="B81" s="4" t="s">
        <v>246</v>
      </c>
      <c r="C81" s="5">
        <v>2024</v>
      </c>
      <c r="D81" s="4">
        <v>226000000</v>
      </c>
      <c r="E81" s="4">
        <v>34000000</v>
      </c>
      <c r="F81" s="4" t="str">
        <f>_xlfn.LET(_xlpm.r, _xlfn.XLOOKUP(Clean_Data[[#This Row],[Country_Code]], Metadata_Country!$A:$A, Metadata_Country!$B:$B, "Unknown"), IF(OR(_xlpm.r=0, _xlpm.r=""), "Regional Aggregate", _xlpm.r))</f>
        <v>Middle East &amp; North Africa</v>
      </c>
      <c r="G81" s="4" t="str">
        <f>_xlfn.LET(_xlpm.ig, _xlfn.XLOOKUP(Clean_Data[[#This Row],[Country_Code]], Metadata_Country!$A:$A, Metadata_Country!$C:$C, "Unknown"), IF(OR(_xlpm.ig=0, _xlpm.ig=""), "Regional Aggregate", _xlpm.ig))</f>
        <v>Upper middle income</v>
      </c>
      <c r="H81" s="4">
        <f>Clean_Data[[#This Row],[Exports_TIV]] - Clean_Data[[#This Row],[Imports_TIV]]</f>
        <v>192000000</v>
      </c>
      <c r="I81" s="4">
        <f>Clean_Data[[#This Row],[Exports_TIV]] + Clean_Data[[#This Row],[Imports_TIV]]</f>
        <v>260000000</v>
      </c>
    </row>
    <row r="82" spans="1:9">
      <c r="A82" s="4" t="s">
        <v>249</v>
      </c>
      <c r="B82" s="4" t="s">
        <v>250</v>
      </c>
      <c r="C82" s="5">
        <v>2024</v>
      </c>
      <c r="D82" s="4">
        <v>0</v>
      </c>
      <c r="E82" s="4">
        <v>460000000</v>
      </c>
      <c r="F82" s="4" t="str">
        <f>_xlfn.LET(_xlpm.r, _xlfn.XLOOKUP(Clean_Data[[#This Row],[Country_Code]], Metadata_Country!$A:$A, Metadata_Country!$B:$B, "Unknown"), IF(OR(_xlpm.r=0, _xlpm.r=""), "Regional Aggregate", _xlpm.r))</f>
        <v>Europe &amp; Central Asia</v>
      </c>
      <c r="G82" s="4" t="str">
        <f>_xlfn.LET(_xlpm.ig, _xlfn.XLOOKUP(Clean_Data[[#This Row],[Country_Code]], Metadata_Country!$A:$A, Metadata_Country!$C:$C, "Unknown"), IF(OR(_xlpm.ig=0, _xlpm.ig=""), "Regional Aggregate", _xlpm.ig))</f>
        <v>Upper middle income</v>
      </c>
      <c r="H82" s="4">
        <f>Clean_Data[[#This Row],[Exports_TIV]] - Clean_Data[[#This Row],[Imports_TIV]]</f>
        <v>-460000000</v>
      </c>
      <c r="I82" s="4">
        <f>Clean_Data[[#This Row],[Exports_TIV]] + Clean_Data[[#This Row],[Imports_TIV]]</f>
        <v>460000000</v>
      </c>
    </row>
    <row r="83" spans="1:9">
      <c r="A83" s="4" t="s">
        <v>251</v>
      </c>
      <c r="B83" s="4" t="s">
        <v>252</v>
      </c>
      <c r="C83" s="5">
        <v>2024</v>
      </c>
      <c r="D83" s="4">
        <v>0</v>
      </c>
      <c r="E83" s="4">
        <v>19000000</v>
      </c>
      <c r="F83" s="4" t="str">
        <f>_xlfn.LET(_xlpm.r, _xlfn.XLOOKUP(Clean_Data[[#This Row],[Country_Code]], Metadata_Country!$A:$A, Metadata_Country!$B:$B, "Unknown"), IF(OR(_xlpm.r=0, _xlpm.r=""), "Regional Aggregate", _xlpm.r))</f>
        <v>Sub-Saharan Africa</v>
      </c>
      <c r="G83" s="4" t="str">
        <f>_xlfn.LET(_xlpm.ig, _xlfn.XLOOKUP(Clean_Data[[#This Row],[Country_Code]], Metadata_Country!$A:$A, Metadata_Country!$C:$C, "Unknown"), IF(OR(_xlpm.ig=0, _xlpm.ig=""), "Regional Aggregate", _xlpm.ig))</f>
        <v>Lower middle income</v>
      </c>
      <c r="H83" s="4">
        <f>Clean_Data[[#This Row],[Exports_TIV]] - Clean_Data[[#This Row],[Imports_TIV]]</f>
        <v>-19000000</v>
      </c>
      <c r="I83" s="4">
        <f>Clean_Data[[#This Row],[Exports_TIV]] + Clean_Data[[#This Row],[Imports_TIV]]</f>
        <v>19000000</v>
      </c>
    </row>
    <row r="84" spans="1:9">
      <c r="A84" s="4" t="s">
        <v>395</v>
      </c>
      <c r="B84" s="4" t="s">
        <v>396</v>
      </c>
      <c r="C84" s="5">
        <v>2024</v>
      </c>
      <c r="D84" s="4">
        <v>211000000</v>
      </c>
      <c r="E84" s="4">
        <v>0</v>
      </c>
      <c r="F84" s="4" t="str">
        <f>_xlfn.LET(_xlpm.r, _xlfn.XLOOKUP(Clean_Data[[#This Row],[Country_Code]], Metadata_Country!$A:$A, Metadata_Country!$B:$B, "Unknown"), IF(OR(_xlpm.r=0, _xlpm.r=""), "Regional Aggregate", _xlpm.r))</f>
        <v>East Asia &amp; Pacific</v>
      </c>
      <c r="G84" s="4" t="str">
        <f>_xlfn.LET(_xlpm.ig, _xlfn.XLOOKUP(Clean_Data[[#This Row],[Country_Code]], Metadata_Country!$A:$A, Metadata_Country!$C:$C, "Unknown"), IF(OR(_xlpm.ig=0, _xlpm.ig=""), "Regional Aggregate", _xlpm.ig))</f>
        <v>Low income</v>
      </c>
      <c r="H84" s="4">
        <f>Clean_Data[[#This Row],[Exports_TIV]] - Clean_Data[[#This Row],[Imports_TIV]]</f>
        <v>211000000</v>
      </c>
      <c r="I84" s="4">
        <f>Clean_Data[[#This Row],[Exports_TIV]] + Clean_Data[[#This Row],[Imports_TIV]]</f>
        <v>211000000</v>
      </c>
    </row>
    <row r="85" spans="1:9">
      <c r="A85" s="4" t="s">
        <v>261</v>
      </c>
      <c r="B85" s="4" t="s">
        <v>262</v>
      </c>
      <c r="C85" s="5">
        <v>2024</v>
      </c>
      <c r="D85" s="4">
        <v>1102000000</v>
      </c>
      <c r="E85" s="4">
        <v>1031000000</v>
      </c>
      <c r="F85" s="4" t="str">
        <f>_xlfn.LET(_xlpm.r, _xlfn.XLOOKUP(Clean_Data[[#This Row],[Country_Code]], Metadata_Country!$A:$A, Metadata_Country!$B:$B, "Unknown"), IF(OR(_xlpm.r=0, _xlpm.r=""), "Regional Aggregate", _xlpm.r))</f>
        <v>East Asia &amp; Pacific</v>
      </c>
      <c r="G85" s="4" t="str">
        <f>_xlfn.LET(_xlpm.ig, _xlfn.XLOOKUP(Clean_Data[[#This Row],[Country_Code]], Metadata_Country!$A:$A, Metadata_Country!$C:$C, "Unknown"), IF(OR(_xlpm.ig=0, _xlpm.ig=""), "Regional Aggregate", _xlpm.ig))</f>
        <v>High income</v>
      </c>
      <c r="H85" s="4">
        <f>Clean_Data[[#This Row],[Exports_TIV]] - Clean_Data[[#This Row],[Imports_TIV]]</f>
        <v>71000000</v>
      </c>
      <c r="I85" s="4">
        <f>Clean_Data[[#This Row],[Exports_TIV]] + Clean_Data[[#This Row],[Imports_TIV]]</f>
        <v>2133000000</v>
      </c>
    </row>
    <row r="86" spans="1:9">
      <c r="A86" s="4" t="s">
        <v>263</v>
      </c>
      <c r="B86" s="4" t="s">
        <v>264</v>
      </c>
      <c r="C86" s="5">
        <v>2024</v>
      </c>
      <c r="D86" s="4">
        <v>0</v>
      </c>
      <c r="E86" s="4">
        <v>388000000</v>
      </c>
      <c r="F86" s="4" t="str">
        <f>_xlfn.LET(_xlpm.r, _xlfn.XLOOKUP(Clean_Data[[#This Row],[Country_Code]], Metadata_Country!$A:$A, Metadata_Country!$B:$B, "Unknown"), IF(OR(_xlpm.r=0, _xlpm.r=""), "Regional Aggregate", _xlpm.r))</f>
        <v>Middle East &amp; North Africa</v>
      </c>
      <c r="G86" s="4" t="str">
        <f>_xlfn.LET(_xlpm.ig, _xlfn.XLOOKUP(Clean_Data[[#This Row],[Country_Code]], Metadata_Country!$A:$A, Metadata_Country!$C:$C, "Unknown"), IF(OR(_xlpm.ig=0, _xlpm.ig=""), "Regional Aggregate", _xlpm.ig))</f>
        <v>High income</v>
      </c>
      <c r="H86" s="4">
        <f>Clean_Data[[#This Row],[Exports_TIV]] - Clean_Data[[#This Row],[Imports_TIV]]</f>
        <v>-388000000</v>
      </c>
      <c r="I86" s="4">
        <f>Clean_Data[[#This Row],[Exports_TIV]] + Clean_Data[[#This Row],[Imports_TIV]]</f>
        <v>388000000</v>
      </c>
    </row>
    <row r="87" spans="1:9">
      <c r="A87" s="4" t="s">
        <v>253</v>
      </c>
      <c r="B87" s="4" t="s">
        <v>254</v>
      </c>
      <c r="C87" s="5">
        <v>2024</v>
      </c>
      <c r="D87" s="4">
        <v>34000000</v>
      </c>
      <c r="E87" s="4">
        <v>0</v>
      </c>
      <c r="F87" s="4" t="str">
        <f>_xlfn.LET(_xlpm.r, _xlfn.XLOOKUP(Clean_Data[[#This Row],[Country_Code]], Metadata_Country!$A:$A, Metadata_Country!$B:$B, "Unknown"), IF(OR(_xlpm.r=0, _xlpm.r=""), "Regional Aggregate", _xlpm.r))</f>
        <v>Europe &amp; Central Asia</v>
      </c>
      <c r="G87" s="4" t="str">
        <f>_xlfn.LET(_xlpm.ig, _xlfn.XLOOKUP(Clean_Data[[#This Row],[Country_Code]], Metadata_Country!$A:$A, Metadata_Country!$C:$C, "Unknown"), IF(OR(_xlpm.ig=0, _xlpm.ig=""), "Regional Aggregate", _xlpm.ig))</f>
        <v>Lower middle income</v>
      </c>
      <c r="H87" s="4">
        <f>Clean_Data[[#This Row],[Exports_TIV]] - Clean_Data[[#This Row],[Imports_TIV]]</f>
        <v>34000000</v>
      </c>
      <c r="I87" s="4">
        <f>Clean_Data[[#This Row],[Exports_TIV]] + Clean_Data[[#This Row],[Imports_TIV]]</f>
        <v>34000000</v>
      </c>
    </row>
    <row r="88" spans="1:9">
      <c r="A88" s="4" t="s">
        <v>267</v>
      </c>
      <c r="B88" s="4" t="s">
        <v>268</v>
      </c>
      <c r="C88" s="5">
        <v>2024</v>
      </c>
      <c r="D88" s="4">
        <v>0</v>
      </c>
      <c r="E88" s="4">
        <v>7000000</v>
      </c>
      <c r="F88" s="4" t="str">
        <f>_xlfn.LET(_xlpm.r, _xlfn.XLOOKUP(Clean_Data[[#This Row],[Country_Code]], Metadata_Country!$A:$A, Metadata_Country!$B:$B, "Unknown"), IF(OR(_xlpm.r=0, _xlpm.r=""), "Regional Aggregate", _xlpm.r))</f>
        <v>East Asia &amp; Pacific</v>
      </c>
      <c r="G88" s="4" t="str">
        <f>_xlfn.LET(_xlpm.ig, _xlfn.XLOOKUP(Clean_Data[[#This Row],[Country_Code]], Metadata_Country!$A:$A, Metadata_Country!$C:$C, "Unknown"), IF(OR(_xlpm.ig=0, _xlpm.ig=""), "Regional Aggregate", _xlpm.ig))</f>
        <v>Lower middle income</v>
      </c>
      <c r="H88" s="4">
        <f>Clean_Data[[#This Row],[Exports_TIV]] - Clean_Data[[#This Row],[Imports_TIV]]</f>
        <v>-7000000</v>
      </c>
      <c r="I88" s="4">
        <f>Clean_Data[[#This Row],[Exports_TIV]] + Clean_Data[[#This Row],[Imports_TIV]]</f>
        <v>7000000</v>
      </c>
    </row>
    <row r="89" spans="1:9">
      <c r="A89" s="4" t="s">
        <v>293</v>
      </c>
      <c r="B89" s="4" t="s">
        <v>294</v>
      </c>
      <c r="C89" s="5">
        <v>2024</v>
      </c>
      <c r="D89" s="4">
        <v>4133000000</v>
      </c>
      <c r="E89" s="4">
        <v>7053000000</v>
      </c>
      <c r="F89" s="4" t="str">
        <f>_xlfn.LET(_xlpm.r, _xlfn.XLOOKUP(Clean_Data[[#This Row],[Country_Code]], Metadata_Country!$A:$A, Metadata_Country!$B:$B, "Unknown"), IF(OR(_xlpm.r=0, _xlpm.r=""), "Regional Aggregate", _xlpm.r))</f>
        <v>Regional Aggregate</v>
      </c>
      <c r="G89" s="4" t="str">
        <f>_xlfn.LET(_xlpm.ig, _xlfn.XLOOKUP(Clean_Data[[#This Row],[Country_Code]], Metadata_Country!$A:$A, Metadata_Country!$C:$C, "Unknown"), IF(OR(_xlpm.ig=0, _xlpm.ig=""), "Regional Aggregate", _xlpm.ig))</f>
        <v>Regional Aggregate</v>
      </c>
      <c r="H89" s="4">
        <f>Clean_Data[[#This Row],[Exports_TIV]] - Clean_Data[[#This Row],[Imports_TIV]]</f>
        <v>-2920000000</v>
      </c>
      <c r="I89" s="4">
        <f>Clean_Data[[#This Row],[Exports_TIV]] + Clean_Data[[#This Row],[Imports_TIV]]</f>
        <v>11186000000</v>
      </c>
    </row>
    <row r="90" spans="1:9">
      <c r="A90" s="4" t="s">
        <v>277</v>
      </c>
      <c r="B90" s="4" t="s">
        <v>278</v>
      </c>
      <c r="C90" s="5">
        <v>2024</v>
      </c>
      <c r="D90" s="4">
        <v>0</v>
      </c>
      <c r="E90" s="4">
        <v>648000000</v>
      </c>
      <c r="F90" s="4" t="str">
        <f>_xlfn.LET(_xlpm.r, _xlfn.XLOOKUP(Clean_Data[[#This Row],[Country_Code]], Metadata_Country!$A:$A, Metadata_Country!$B:$B, "Unknown"), IF(OR(_xlpm.r=0, _xlpm.r=""), "Regional Aggregate", _xlpm.r))</f>
        <v>Regional Aggregate</v>
      </c>
      <c r="G90" s="4" t="str">
        <f>_xlfn.LET(_xlpm.ig, _xlfn.XLOOKUP(Clean_Data[[#This Row],[Country_Code]], Metadata_Country!$A:$A, Metadata_Country!$C:$C, "Unknown"), IF(OR(_xlpm.ig=0, _xlpm.ig=""), "Regional Aggregate", _xlpm.ig))</f>
        <v>Regional Aggregate</v>
      </c>
      <c r="H90" s="4">
        <f>Clean_Data[[#This Row],[Exports_TIV]] - Clean_Data[[#This Row],[Imports_TIV]]</f>
        <v>-648000000</v>
      </c>
      <c r="I90" s="4">
        <f>Clean_Data[[#This Row],[Exports_TIV]] + Clean_Data[[#This Row],[Imports_TIV]]</f>
        <v>648000000</v>
      </c>
    </row>
    <row r="91" spans="1:9">
      <c r="A91" s="4" t="s">
        <v>265</v>
      </c>
      <c r="B91" s="4" t="s">
        <v>266</v>
      </c>
      <c r="C91" s="5">
        <v>2024</v>
      </c>
      <c r="D91" s="4">
        <v>0</v>
      </c>
      <c r="E91" s="4">
        <v>612000000</v>
      </c>
      <c r="F91" s="4" t="str">
        <f>_xlfn.LET(_xlpm.r, _xlfn.XLOOKUP(Clean_Data[[#This Row],[Country_Code]], Metadata_Country!$A:$A, Metadata_Country!$B:$B, "Unknown"), IF(OR(_xlpm.r=0, _xlpm.r=""), "Regional Aggregate", _xlpm.r))</f>
        <v>Regional Aggregate</v>
      </c>
      <c r="G91" s="4" t="str">
        <f>_xlfn.LET(_xlpm.ig, _xlfn.XLOOKUP(Clean_Data[[#This Row],[Country_Code]], Metadata_Country!$A:$A, Metadata_Country!$C:$C, "Unknown"), IF(OR(_xlpm.ig=0, _xlpm.ig=""), "Regional Aggregate", _xlpm.ig))</f>
        <v>Regional Aggregate</v>
      </c>
      <c r="H91" s="4">
        <f>Clean_Data[[#This Row],[Exports_TIV]] - Clean_Data[[#This Row],[Imports_TIV]]</f>
        <v>-612000000</v>
      </c>
      <c r="I91" s="4">
        <f>Clean_Data[[#This Row],[Exports_TIV]] + Clean_Data[[#This Row],[Imports_TIV]]</f>
        <v>612000000</v>
      </c>
    </row>
    <row r="92" spans="1:9">
      <c r="A92" s="4" t="s">
        <v>481</v>
      </c>
      <c r="B92" s="4" t="s">
        <v>482</v>
      </c>
      <c r="C92" s="5">
        <v>2024</v>
      </c>
      <c r="D92" s="4">
        <v>0</v>
      </c>
      <c r="E92" s="4">
        <v>648000000</v>
      </c>
      <c r="F92" s="4" t="str">
        <f>_xlfn.LET(_xlpm.r, _xlfn.XLOOKUP(Clean_Data[[#This Row],[Country_Code]], Metadata_Country!$A:$A, Metadata_Country!$B:$B, "Unknown"), IF(OR(_xlpm.r=0, _xlpm.r=""), "Regional Aggregate", _xlpm.r))</f>
        <v>Regional Aggregate</v>
      </c>
      <c r="G92" s="4" t="str">
        <f>_xlfn.LET(_xlpm.ig, _xlfn.XLOOKUP(Clean_Data[[#This Row],[Country_Code]], Metadata_Country!$A:$A, Metadata_Country!$C:$C, "Unknown"), IF(OR(_xlpm.ig=0, _xlpm.ig=""), "Regional Aggregate", _xlpm.ig))</f>
        <v>Regional Aggregate</v>
      </c>
      <c r="H92" s="4">
        <f>Clean_Data[[#This Row],[Exports_TIV]] - Clean_Data[[#This Row],[Imports_TIV]]</f>
        <v>-648000000</v>
      </c>
      <c r="I92" s="4">
        <f>Clean_Data[[#This Row],[Exports_TIV]] + Clean_Data[[#This Row],[Imports_TIV]]</f>
        <v>648000000</v>
      </c>
    </row>
    <row r="93" spans="1:9">
      <c r="A93" s="4" t="s">
        <v>299</v>
      </c>
      <c r="B93" s="4" t="s">
        <v>300</v>
      </c>
      <c r="C93" s="5">
        <v>2024</v>
      </c>
      <c r="D93" s="4">
        <v>0</v>
      </c>
      <c r="E93" s="4">
        <v>19000000</v>
      </c>
      <c r="F93" s="4" t="str">
        <f>_xlfn.LET(_xlpm.r, _xlfn.XLOOKUP(Clean_Data[[#This Row],[Country_Code]], Metadata_Country!$A:$A, Metadata_Country!$B:$B, "Unknown"), IF(OR(_xlpm.r=0, _xlpm.r=""), "Regional Aggregate", _xlpm.r))</f>
        <v>Europe &amp; Central Asia</v>
      </c>
      <c r="G93" s="4" t="str">
        <f>_xlfn.LET(_xlpm.ig, _xlfn.XLOOKUP(Clean_Data[[#This Row],[Country_Code]], Metadata_Country!$A:$A, Metadata_Country!$C:$C, "Unknown"), IF(OR(_xlpm.ig=0, _xlpm.ig=""), "Regional Aggregate", _xlpm.ig))</f>
        <v>High income</v>
      </c>
      <c r="H93" s="4">
        <f>Clean_Data[[#This Row],[Exports_TIV]] - Clean_Data[[#This Row],[Imports_TIV]]</f>
        <v>-19000000</v>
      </c>
      <c r="I93" s="4">
        <f>Clean_Data[[#This Row],[Exports_TIV]] + Clean_Data[[#This Row],[Imports_TIV]]</f>
        <v>19000000</v>
      </c>
    </row>
    <row r="94" spans="1:9">
      <c r="A94" s="4" t="s">
        <v>279</v>
      </c>
      <c r="B94" s="4" t="s">
        <v>280</v>
      </c>
      <c r="C94" s="5">
        <v>2024</v>
      </c>
      <c r="D94" s="4">
        <v>0</v>
      </c>
      <c r="E94" s="4">
        <v>756000000</v>
      </c>
      <c r="F94" s="4" t="str">
        <f>_xlfn.LET(_xlpm.r, _xlfn.XLOOKUP(Clean_Data[[#This Row],[Country_Code]], Metadata_Country!$A:$A, Metadata_Country!$B:$B, "Unknown"), IF(OR(_xlpm.r=0, _xlpm.r=""), "Regional Aggregate", _xlpm.r))</f>
        <v>Regional Aggregate</v>
      </c>
      <c r="G94" s="4" t="str">
        <f>_xlfn.LET(_xlpm.ig, _xlfn.XLOOKUP(Clean_Data[[#This Row],[Country_Code]], Metadata_Country!$A:$A, Metadata_Country!$C:$C, "Unknown"), IF(OR(_xlpm.ig=0, _xlpm.ig=""), "Regional Aggregate", _xlpm.ig))</f>
        <v>Regional Aggregate</v>
      </c>
      <c r="H94" s="4">
        <f>Clean_Data[[#This Row],[Exports_TIV]] - Clean_Data[[#This Row],[Imports_TIV]]</f>
        <v>-756000000</v>
      </c>
      <c r="I94" s="4">
        <f>Clean_Data[[#This Row],[Exports_TIV]] + Clean_Data[[#This Row],[Imports_TIV]]</f>
        <v>756000000</v>
      </c>
    </row>
    <row r="95" spans="1:9">
      <c r="A95" s="4" t="s">
        <v>269</v>
      </c>
      <c r="B95" s="4" t="s">
        <v>270</v>
      </c>
      <c r="C95" s="5">
        <v>2024</v>
      </c>
      <c r="D95" s="4">
        <v>0</v>
      </c>
      <c r="E95" s="4">
        <v>9000000</v>
      </c>
      <c r="F95" s="4" t="str">
        <f>_xlfn.LET(_xlpm.r, _xlfn.XLOOKUP(Clean_Data[[#This Row],[Country_Code]], Metadata_Country!$A:$A, Metadata_Country!$B:$B, "Unknown"), IF(OR(_xlpm.r=0, _xlpm.r=""), "Regional Aggregate", _xlpm.r))</f>
        <v>Middle East &amp; North Africa</v>
      </c>
      <c r="G95" s="4" t="str">
        <f>_xlfn.LET(_xlpm.ig, _xlfn.XLOOKUP(Clean_Data[[#This Row],[Country_Code]], Metadata_Country!$A:$A, Metadata_Country!$C:$C, "Unknown"), IF(OR(_xlpm.ig=0, _xlpm.ig=""), "Regional Aggregate", _xlpm.ig))</f>
        <v>Lower middle income</v>
      </c>
      <c r="H95" s="4">
        <f>Clean_Data[[#This Row],[Exports_TIV]] - Clean_Data[[#This Row],[Imports_TIV]]</f>
        <v>-9000000</v>
      </c>
      <c r="I95" s="4">
        <f>Clean_Data[[#This Row],[Exports_TIV]] + Clean_Data[[#This Row],[Imports_TIV]]</f>
        <v>9000000</v>
      </c>
    </row>
    <row r="96" spans="1:9">
      <c r="A96" s="4" t="s">
        <v>273</v>
      </c>
      <c r="B96" s="4" t="s">
        <v>274</v>
      </c>
      <c r="C96" s="5">
        <v>2024</v>
      </c>
      <c r="D96" s="4">
        <v>0</v>
      </c>
      <c r="E96" s="4">
        <v>5000000</v>
      </c>
      <c r="F96" s="4" t="str">
        <f>_xlfn.LET(_xlpm.r, _xlfn.XLOOKUP(Clean_Data[[#This Row],[Country_Code]], Metadata_Country!$A:$A, Metadata_Country!$B:$B, "Unknown"), IF(OR(_xlpm.r=0, _xlpm.r=""), "Regional Aggregate", _xlpm.r))</f>
        <v>Middle East &amp; North Africa</v>
      </c>
      <c r="G96" s="4" t="str">
        <f>_xlfn.LET(_xlpm.ig, _xlfn.XLOOKUP(Clean_Data[[#This Row],[Country_Code]], Metadata_Country!$A:$A, Metadata_Country!$C:$C, "Unknown"), IF(OR(_xlpm.ig=0, _xlpm.ig=""), "Regional Aggregate", _xlpm.ig))</f>
        <v>Upper middle income</v>
      </c>
      <c r="H96" s="4">
        <f>Clean_Data[[#This Row],[Exports_TIV]] - Clean_Data[[#This Row],[Imports_TIV]]</f>
        <v>-5000000</v>
      </c>
      <c r="I96" s="4">
        <f>Clean_Data[[#This Row],[Exports_TIV]] + Clean_Data[[#This Row],[Imports_TIV]]</f>
        <v>5000000</v>
      </c>
    </row>
    <row r="97" spans="1:9">
      <c r="A97" s="4" t="s">
        <v>295</v>
      </c>
      <c r="B97" s="4" t="s">
        <v>296</v>
      </c>
      <c r="C97" s="5">
        <v>2024</v>
      </c>
      <c r="D97" s="4">
        <v>3000000</v>
      </c>
      <c r="E97" s="4">
        <v>77000000</v>
      </c>
      <c r="F97" s="4" t="str">
        <f>_xlfn.LET(_xlpm.r, _xlfn.XLOOKUP(Clean_Data[[#This Row],[Country_Code]], Metadata_Country!$A:$A, Metadata_Country!$B:$B, "Unknown"), IF(OR(_xlpm.r=0, _xlpm.r=""), "Regional Aggregate", _xlpm.r))</f>
        <v>Europe &amp; Central Asia</v>
      </c>
      <c r="G97" s="4" t="str">
        <f>_xlfn.LET(_xlpm.ig, _xlfn.XLOOKUP(Clean_Data[[#This Row],[Country_Code]], Metadata_Country!$A:$A, Metadata_Country!$C:$C, "Unknown"), IF(OR(_xlpm.ig=0, _xlpm.ig=""), "Regional Aggregate", _xlpm.ig))</f>
        <v>High income</v>
      </c>
      <c r="H97" s="4">
        <f>Clean_Data[[#This Row],[Exports_TIV]] - Clean_Data[[#This Row],[Imports_TIV]]</f>
        <v>-74000000</v>
      </c>
      <c r="I97" s="4">
        <f>Clean_Data[[#This Row],[Exports_TIV]] + Clean_Data[[#This Row],[Imports_TIV]]</f>
        <v>80000000</v>
      </c>
    </row>
    <row r="98" spans="1:9">
      <c r="A98" s="4" t="s">
        <v>289</v>
      </c>
      <c r="B98" s="4" t="s">
        <v>290</v>
      </c>
      <c r="C98" s="5">
        <v>2024</v>
      </c>
      <c r="D98" s="4">
        <v>2747000000</v>
      </c>
      <c r="E98" s="4">
        <v>12659000000</v>
      </c>
      <c r="F98" s="4" t="str">
        <f>_xlfn.LET(_xlpm.r, _xlfn.XLOOKUP(Clean_Data[[#This Row],[Country_Code]], Metadata_Country!$A:$A, Metadata_Country!$B:$B, "Unknown"), IF(OR(_xlpm.r=0, _xlpm.r=""), "Regional Aggregate", _xlpm.r))</f>
        <v>Regional Aggregate</v>
      </c>
      <c r="G98" s="4" t="str">
        <f>_xlfn.LET(_xlpm.ig, _xlfn.XLOOKUP(Clean_Data[[#This Row],[Country_Code]], Metadata_Country!$A:$A, Metadata_Country!$C:$C, "Unknown"), IF(OR(_xlpm.ig=0, _xlpm.ig=""), "Regional Aggregate", _xlpm.ig))</f>
        <v>Regional Aggregate</v>
      </c>
      <c r="H98" s="4">
        <f>Clean_Data[[#This Row],[Exports_TIV]] - Clean_Data[[#This Row],[Imports_TIV]]</f>
        <v>-9912000000</v>
      </c>
      <c r="I98" s="4">
        <f>Clean_Data[[#This Row],[Exports_TIV]] + Clean_Data[[#This Row],[Imports_TIV]]</f>
        <v>15406000000</v>
      </c>
    </row>
    <row r="99" spans="1:9">
      <c r="A99" s="4" t="s">
        <v>281</v>
      </c>
      <c r="B99" s="4" t="s">
        <v>282</v>
      </c>
      <c r="C99" s="5">
        <v>2024</v>
      </c>
      <c r="D99" s="4">
        <v>0</v>
      </c>
      <c r="E99" s="4">
        <v>221000000</v>
      </c>
      <c r="F99" s="4" t="str">
        <f>_xlfn.LET(_xlpm.r, _xlfn.XLOOKUP(Clean_Data[[#This Row],[Country_Code]], Metadata_Country!$A:$A, Metadata_Country!$B:$B, "Unknown"), IF(OR(_xlpm.r=0, _xlpm.r=""), "Regional Aggregate", _xlpm.r))</f>
        <v>Regional Aggregate</v>
      </c>
      <c r="G99" s="4" t="str">
        <f>_xlfn.LET(_xlpm.ig, _xlfn.XLOOKUP(Clean_Data[[#This Row],[Country_Code]], Metadata_Country!$A:$A, Metadata_Country!$C:$C, "Unknown"), IF(OR(_xlpm.ig=0, _xlpm.ig=""), "Regional Aggregate", _xlpm.ig))</f>
        <v>Regional Aggregate</v>
      </c>
      <c r="H99" s="4">
        <f>Clean_Data[[#This Row],[Exports_TIV]] - Clean_Data[[#This Row],[Imports_TIV]]</f>
        <v>-221000000</v>
      </c>
      <c r="I99" s="4">
        <f>Clean_Data[[#This Row],[Exports_TIV]] + Clean_Data[[#This Row],[Imports_TIV]]</f>
        <v>221000000</v>
      </c>
    </row>
    <row r="100" spans="1:9">
      <c r="A100" s="4" t="s">
        <v>287</v>
      </c>
      <c r="B100" s="4" t="s">
        <v>288</v>
      </c>
      <c r="C100" s="5">
        <v>2024</v>
      </c>
      <c r="D100" s="4">
        <v>162000000</v>
      </c>
      <c r="E100" s="4">
        <v>3800000000</v>
      </c>
      <c r="F100" s="4" t="str">
        <f>_xlfn.LET(_xlpm.r, _xlfn.XLOOKUP(Clean_Data[[#This Row],[Country_Code]], Metadata_Country!$A:$A, Metadata_Country!$B:$B, "Unknown"), IF(OR(_xlpm.r=0, _xlpm.r=""), "Regional Aggregate", _xlpm.r))</f>
        <v>Regional Aggregate</v>
      </c>
      <c r="G100" s="4" t="str">
        <f>_xlfn.LET(_xlpm.ig, _xlfn.XLOOKUP(Clean_Data[[#This Row],[Country_Code]], Metadata_Country!$A:$A, Metadata_Country!$C:$C, "Unknown"), IF(OR(_xlpm.ig=0, _xlpm.ig=""), "Regional Aggregate", _xlpm.ig))</f>
        <v>Regional Aggregate</v>
      </c>
      <c r="H100" s="4">
        <f>Clean_Data[[#This Row],[Exports_TIV]] - Clean_Data[[#This Row],[Imports_TIV]]</f>
        <v>-3638000000</v>
      </c>
      <c r="I100" s="4">
        <f>Clean_Data[[#This Row],[Exports_TIV]] + Clean_Data[[#This Row],[Imports_TIV]]</f>
        <v>3962000000</v>
      </c>
    </row>
    <row r="101" spans="1:9">
      <c r="A101" s="4" t="s">
        <v>297</v>
      </c>
      <c r="B101" s="4" t="s">
        <v>298</v>
      </c>
      <c r="C101" s="5">
        <v>2024</v>
      </c>
      <c r="D101" s="4">
        <v>0</v>
      </c>
      <c r="E101" s="4">
        <v>3000000</v>
      </c>
      <c r="F101" s="4" t="str">
        <f>_xlfn.LET(_xlpm.r, _xlfn.XLOOKUP(Clean_Data[[#This Row],[Country_Code]], Metadata_Country!$A:$A, Metadata_Country!$B:$B, "Unknown"), IF(OR(_xlpm.r=0, _xlpm.r=""), "Regional Aggregate", _xlpm.r))</f>
        <v>Europe &amp; Central Asia</v>
      </c>
      <c r="G101" s="4" t="str">
        <f>_xlfn.LET(_xlpm.ig, _xlfn.XLOOKUP(Clean_Data[[#This Row],[Country_Code]], Metadata_Country!$A:$A, Metadata_Country!$C:$C, "Unknown"), IF(OR(_xlpm.ig=0, _xlpm.ig=""), "Regional Aggregate", _xlpm.ig))</f>
        <v>High income</v>
      </c>
      <c r="H101" s="4">
        <f>Clean_Data[[#This Row],[Exports_TIV]] - Clean_Data[[#This Row],[Imports_TIV]]</f>
        <v>-3000000</v>
      </c>
      <c r="I101" s="4">
        <f>Clean_Data[[#This Row],[Exports_TIV]] + Clean_Data[[#This Row],[Imports_TIV]]</f>
        <v>3000000</v>
      </c>
    </row>
    <row r="102" spans="1:9">
      <c r="A102" s="4" t="s">
        <v>345</v>
      </c>
      <c r="B102" s="4" t="s">
        <v>346</v>
      </c>
      <c r="C102" s="5">
        <v>2024</v>
      </c>
      <c r="D102" s="4">
        <v>0</v>
      </c>
      <c r="E102" s="4">
        <v>2000000</v>
      </c>
      <c r="F102" s="4" t="str">
        <f>_xlfn.LET(_xlpm.r, _xlfn.XLOOKUP(Clean_Data[[#This Row],[Country_Code]], Metadata_Country!$A:$A, Metadata_Country!$B:$B, "Unknown"), IF(OR(_xlpm.r=0, _xlpm.r=""), "Regional Aggregate", _xlpm.r))</f>
        <v>Sub-Saharan Africa</v>
      </c>
      <c r="G102" s="4" t="str">
        <f>_xlfn.LET(_xlpm.ig, _xlfn.XLOOKUP(Clean_Data[[#This Row],[Country_Code]], Metadata_Country!$A:$A, Metadata_Country!$C:$C, "Unknown"), IF(OR(_xlpm.ig=0, _xlpm.ig=""), "Regional Aggregate", _xlpm.ig))</f>
        <v>Low income</v>
      </c>
      <c r="H102" s="4">
        <f>Clean_Data[[#This Row],[Exports_TIV]] - Clean_Data[[#This Row],[Imports_TIV]]</f>
        <v>-2000000</v>
      </c>
      <c r="I102" s="4">
        <f>Clean_Data[[#This Row],[Exports_TIV]] + Clean_Data[[#This Row],[Imports_TIV]]</f>
        <v>2000000</v>
      </c>
    </row>
    <row r="103" spans="1:9">
      <c r="A103" s="4" t="s">
        <v>347</v>
      </c>
      <c r="B103" s="4" t="s">
        <v>348</v>
      </c>
      <c r="C103" s="5">
        <v>2024</v>
      </c>
      <c r="D103" s="4">
        <v>20000000</v>
      </c>
      <c r="E103" s="4">
        <v>7000000</v>
      </c>
      <c r="F103" s="4" t="str">
        <f>_xlfn.LET(_xlpm.r, _xlfn.XLOOKUP(Clean_Data[[#This Row],[Country_Code]], Metadata_Country!$A:$A, Metadata_Country!$B:$B, "Unknown"), IF(OR(_xlpm.r=0, _xlpm.r=""), "Regional Aggregate", _xlpm.r))</f>
        <v>East Asia &amp; Pacific</v>
      </c>
      <c r="G103" s="4" t="str">
        <f>_xlfn.LET(_xlpm.ig, _xlfn.XLOOKUP(Clean_Data[[#This Row],[Country_Code]], Metadata_Country!$A:$A, Metadata_Country!$C:$C, "Unknown"), IF(OR(_xlpm.ig=0, _xlpm.ig=""), "Regional Aggregate", _xlpm.ig))</f>
        <v>Upper middle income</v>
      </c>
      <c r="H103" s="4">
        <f>Clean_Data[[#This Row],[Exports_TIV]] - Clean_Data[[#This Row],[Imports_TIV]]</f>
        <v>13000000</v>
      </c>
      <c r="I103" s="4">
        <f>Clean_Data[[#This Row],[Exports_TIV]] + Clean_Data[[#This Row],[Imports_TIV]]</f>
        <v>27000000</v>
      </c>
    </row>
    <row r="104" spans="1:9">
      <c r="A104" s="4" t="s">
        <v>313</v>
      </c>
      <c r="B104" s="4" t="s">
        <v>314</v>
      </c>
      <c r="C104" s="5">
        <v>2024</v>
      </c>
      <c r="D104" s="4">
        <v>0</v>
      </c>
      <c r="E104" s="4">
        <v>7000000</v>
      </c>
      <c r="F104" s="4" t="str">
        <f>_xlfn.LET(_xlpm.r, _xlfn.XLOOKUP(Clean_Data[[#This Row],[Country_Code]], Metadata_Country!$A:$A, Metadata_Country!$B:$B, "Unknown"), IF(OR(_xlpm.r=0, _xlpm.r=""), "Regional Aggregate", _xlpm.r))</f>
        <v>South Asia</v>
      </c>
      <c r="G104" s="4" t="str">
        <f>_xlfn.LET(_xlpm.ig, _xlfn.XLOOKUP(Clean_Data[[#This Row],[Country_Code]], Metadata_Country!$A:$A, Metadata_Country!$C:$C, "Unknown"), IF(OR(_xlpm.ig=0, _xlpm.ig=""), "Regional Aggregate", _xlpm.ig))</f>
        <v>Upper middle income</v>
      </c>
      <c r="H104" s="4">
        <f>Clean_Data[[#This Row],[Exports_TIV]] - Clean_Data[[#This Row],[Imports_TIV]]</f>
        <v>-7000000</v>
      </c>
      <c r="I104" s="4">
        <f>Clean_Data[[#This Row],[Exports_TIV]] + Clean_Data[[#This Row],[Imports_TIV]]</f>
        <v>7000000</v>
      </c>
    </row>
    <row r="105" spans="1:9">
      <c r="A105" s="4" t="s">
        <v>325</v>
      </c>
      <c r="B105" s="4" t="s">
        <v>326</v>
      </c>
      <c r="C105" s="5">
        <v>2024</v>
      </c>
      <c r="D105" s="4">
        <v>0</v>
      </c>
      <c r="E105" s="4">
        <v>25000000</v>
      </c>
      <c r="F105" s="4" t="str">
        <f>_xlfn.LET(_xlpm.r, _xlfn.XLOOKUP(Clean_Data[[#This Row],[Country_Code]], Metadata_Country!$A:$A, Metadata_Country!$B:$B, "Unknown"), IF(OR(_xlpm.r=0, _xlpm.r=""), "Regional Aggregate", _xlpm.r))</f>
        <v>Sub-Saharan Africa</v>
      </c>
      <c r="G105" s="4" t="str">
        <f>_xlfn.LET(_xlpm.ig, _xlfn.XLOOKUP(Clean_Data[[#This Row],[Country_Code]], Metadata_Country!$A:$A, Metadata_Country!$C:$C, "Unknown"), IF(OR(_xlpm.ig=0, _xlpm.ig=""), "Regional Aggregate", _xlpm.ig))</f>
        <v>Low income</v>
      </c>
      <c r="H105" s="4">
        <f>Clean_Data[[#This Row],[Exports_TIV]] - Clean_Data[[#This Row],[Imports_TIV]]</f>
        <v>-25000000</v>
      </c>
      <c r="I105" s="4">
        <f>Clean_Data[[#This Row],[Exports_TIV]] + Clean_Data[[#This Row],[Imports_TIV]]</f>
        <v>25000000</v>
      </c>
    </row>
    <row r="106" spans="1:9">
      <c r="A106" s="4" t="s">
        <v>341</v>
      </c>
      <c r="B106" s="4" t="s">
        <v>342</v>
      </c>
      <c r="C106" s="5">
        <v>2024</v>
      </c>
      <c r="D106" s="4">
        <v>0</v>
      </c>
      <c r="E106" s="4">
        <v>126000000</v>
      </c>
      <c r="F106" s="4" t="str">
        <f>_xlfn.LET(_xlpm.r, _xlfn.XLOOKUP(Clean_Data[[#This Row],[Country_Code]], Metadata_Country!$A:$A, Metadata_Country!$B:$B, "Unknown"), IF(OR(_xlpm.r=0, _xlpm.r=""), "Regional Aggregate", _xlpm.r))</f>
        <v>Sub-Saharan Africa</v>
      </c>
      <c r="G106" s="4" t="str">
        <f>_xlfn.LET(_xlpm.ig, _xlfn.XLOOKUP(Clean_Data[[#This Row],[Country_Code]], Metadata_Country!$A:$A, Metadata_Country!$C:$C, "Unknown"), IF(OR(_xlpm.ig=0, _xlpm.ig=""), "Regional Aggregate", _xlpm.ig))</f>
        <v>Lower middle income</v>
      </c>
      <c r="H106" s="4">
        <f>Clean_Data[[#This Row],[Exports_TIV]] - Clean_Data[[#This Row],[Imports_TIV]]</f>
        <v>-126000000</v>
      </c>
      <c r="I106" s="4">
        <f>Clean_Data[[#This Row],[Exports_TIV]] + Clean_Data[[#This Row],[Imports_TIV]]</f>
        <v>126000000</v>
      </c>
    </row>
    <row r="107" spans="1:9">
      <c r="A107" s="4" t="s">
        <v>317</v>
      </c>
      <c r="B107" s="4" t="s">
        <v>318</v>
      </c>
      <c r="C107" s="5">
        <v>2024</v>
      </c>
      <c r="D107" s="4">
        <v>0</v>
      </c>
      <c r="E107" s="4">
        <v>46000000</v>
      </c>
      <c r="F107" s="4" t="str">
        <f>_xlfn.LET(_xlpm.r, _xlfn.XLOOKUP(Clean_Data[[#This Row],[Country_Code]], Metadata_Country!$A:$A, Metadata_Country!$B:$B, "Unknown"), IF(OR(_xlpm.r=0, _xlpm.r=""), "Regional Aggregate", _xlpm.r))</f>
        <v>Latin America &amp; Caribbean</v>
      </c>
      <c r="G107" s="4" t="str">
        <f>_xlfn.LET(_xlpm.ig, _xlfn.XLOOKUP(Clean_Data[[#This Row],[Country_Code]], Metadata_Country!$A:$A, Metadata_Country!$C:$C, "Unknown"), IF(OR(_xlpm.ig=0, _xlpm.ig=""), "Regional Aggregate", _xlpm.ig))</f>
        <v>Upper middle income</v>
      </c>
      <c r="H107" s="4">
        <f>Clean_Data[[#This Row],[Exports_TIV]] - Clean_Data[[#This Row],[Imports_TIV]]</f>
        <v>-46000000</v>
      </c>
      <c r="I107" s="4">
        <f>Clean_Data[[#This Row],[Exports_TIV]] + Clean_Data[[#This Row],[Imports_TIV]]</f>
        <v>46000000</v>
      </c>
    </row>
    <row r="108" spans="1:9">
      <c r="A108" s="4" t="s">
        <v>315</v>
      </c>
      <c r="B108" s="4" t="s">
        <v>316</v>
      </c>
      <c r="C108" s="5">
        <v>2024</v>
      </c>
      <c r="D108" s="4">
        <v>0</v>
      </c>
      <c r="E108" s="4">
        <v>6772000000</v>
      </c>
      <c r="F108" s="4" t="str">
        <f>_xlfn.LET(_xlpm.r, _xlfn.XLOOKUP(Clean_Data[[#This Row],[Country_Code]], Metadata_Country!$A:$A, Metadata_Country!$B:$B, "Unknown"), IF(OR(_xlpm.r=0, _xlpm.r=""), "Regional Aggregate", _xlpm.r))</f>
        <v>Regional Aggregate</v>
      </c>
      <c r="G108" s="4" t="str">
        <f>_xlfn.LET(_xlpm.ig, _xlfn.XLOOKUP(Clean_Data[[#This Row],[Country_Code]], Metadata_Country!$A:$A, Metadata_Country!$C:$C, "Unknown"), IF(OR(_xlpm.ig=0, _xlpm.ig=""), "Regional Aggregate", _xlpm.ig))</f>
        <v>Regional Aggregate</v>
      </c>
      <c r="H108" s="4">
        <f>Clean_Data[[#This Row],[Exports_TIV]] - Clean_Data[[#This Row],[Imports_TIV]]</f>
        <v>-6772000000</v>
      </c>
      <c r="I108" s="4">
        <f>Clean_Data[[#This Row],[Exports_TIV]] + Clean_Data[[#This Row],[Imports_TIV]]</f>
        <v>6772000000</v>
      </c>
    </row>
    <row r="109" spans="1:9">
      <c r="A109" s="4" t="s">
        <v>331</v>
      </c>
      <c r="B109" s="4" t="s">
        <v>332</v>
      </c>
      <c r="C109" s="5">
        <v>2024</v>
      </c>
      <c r="D109" s="4">
        <v>0</v>
      </c>
      <c r="E109" s="4">
        <v>1779000000</v>
      </c>
      <c r="F109" s="4" t="str">
        <f>_xlfn.LET(_xlpm.r, _xlfn.XLOOKUP(Clean_Data[[#This Row],[Country_Code]], Metadata_Country!$A:$A, Metadata_Country!$B:$B, "Unknown"), IF(OR(_xlpm.r=0, _xlpm.r=""), "Regional Aggregate", _xlpm.r))</f>
        <v>Regional Aggregate</v>
      </c>
      <c r="G109" s="4" t="str">
        <f>_xlfn.LET(_xlpm.ig, _xlfn.XLOOKUP(Clean_Data[[#This Row],[Country_Code]], Metadata_Country!$A:$A, Metadata_Country!$C:$C, "Unknown"), IF(OR(_xlpm.ig=0, _xlpm.ig=""), "Regional Aggregate", _xlpm.ig))</f>
        <v>Regional Aggregate</v>
      </c>
      <c r="H109" s="4">
        <f>Clean_Data[[#This Row],[Exports_TIV]] - Clean_Data[[#This Row],[Imports_TIV]]</f>
        <v>-1779000000</v>
      </c>
      <c r="I109" s="4">
        <f>Clean_Data[[#This Row],[Exports_TIV]] + Clean_Data[[#This Row],[Imports_TIV]]</f>
        <v>1779000000</v>
      </c>
    </row>
    <row r="110" spans="1:9">
      <c r="A110" s="4" t="s">
        <v>485</v>
      </c>
      <c r="B110" s="4" t="s">
        <v>486</v>
      </c>
      <c r="C110" s="5">
        <v>2024</v>
      </c>
      <c r="D110" s="4">
        <v>0</v>
      </c>
      <c r="E110" s="4">
        <v>1779000000</v>
      </c>
      <c r="F110" s="4" t="str">
        <f>_xlfn.LET(_xlpm.r, _xlfn.XLOOKUP(Clean_Data[[#This Row],[Country_Code]], Metadata_Country!$A:$A, Metadata_Country!$B:$B, "Unknown"), IF(OR(_xlpm.r=0, _xlpm.r=""), "Regional Aggregate", _xlpm.r))</f>
        <v>Regional Aggregate</v>
      </c>
      <c r="G110" s="4" t="str">
        <f>_xlfn.LET(_xlpm.ig, _xlfn.XLOOKUP(Clean_Data[[#This Row],[Country_Code]], Metadata_Country!$A:$A, Metadata_Country!$C:$C, "Unknown"), IF(OR(_xlpm.ig=0, _xlpm.ig=""), "Regional Aggregate", _xlpm.ig))</f>
        <v>Regional Aggregate</v>
      </c>
      <c r="H110" s="4">
        <f>Clean_Data[[#This Row],[Exports_TIV]] - Clean_Data[[#This Row],[Imports_TIV]]</f>
        <v>-1779000000</v>
      </c>
      <c r="I110" s="4">
        <f>Clean_Data[[#This Row],[Exports_TIV]] + Clean_Data[[#This Row],[Imports_TIV]]</f>
        <v>1779000000</v>
      </c>
    </row>
    <row r="111" spans="1:9">
      <c r="A111" s="4" t="s">
        <v>321</v>
      </c>
      <c r="B111" s="4" t="s">
        <v>322</v>
      </c>
      <c r="C111" s="5">
        <v>2024</v>
      </c>
      <c r="D111" s="4">
        <v>2536000000</v>
      </c>
      <c r="E111" s="4">
        <v>12438000000</v>
      </c>
      <c r="F111" s="4" t="str">
        <f>_xlfn.LET(_xlpm.r, _xlfn.XLOOKUP(Clean_Data[[#This Row],[Country_Code]], Metadata_Country!$A:$A, Metadata_Country!$B:$B, "Unknown"), IF(OR(_xlpm.r=0, _xlpm.r=""), "Regional Aggregate", _xlpm.r))</f>
        <v>Regional Aggregate</v>
      </c>
      <c r="G111" s="4" t="str">
        <f>_xlfn.LET(_xlpm.ig, _xlfn.XLOOKUP(Clean_Data[[#This Row],[Country_Code]], Metadata_Country!$A:$A, Metadata_Country!$C:$C, "Unknown"), IF(OR(_xlpm.ig=0, _xlpm.ig=""), "Regional Aggregate", _xlpm.ig))</f>
        <v>Regional Aggregate</v>
      </c>
      <c r="H111" s="4">
        <f>Clean_Data[[#This Row],[Exports_TIV]] - Clean_Data[[#This Row],[Imports_TIV]]</f>
        <v>-9902000000</v>
      </c>
      <c r="I111" s="4">
        <f>Clean_Data[[#This Row],[Exports_TIV]] + Clean_Data[[#This Row],[Imports_TIV]]</f>
        <v>14974000000</v>
      </c>
    </row>
    <row r="112" spans="1:9">
      <c r="A112" s="4" t="s">
        <v>309</v>
      </c>
      <c r="B112" s="4" t="s">
        <v>310</v>
      </c>
      <c r="C112" s="5">
        <v>2024</v>
      </c>
      <c r="D112" s="4">
        <v>0</v>
      </c>
      <c r="E112" s="4">
        <v>4000000</v>
      </c>
      <c r="F112" s="4" t="str">
        <f>_xlfn.LET(_xlpm.r, _xlfn.XLOOKUP(Clean_Data[[#This Row],[Country_Code]], Metadata_Country!$A:$A, Metadata_Country!$B:$B, "Unknown"), IF(OR(_xlpm.r=0, _xlpm.r=""), "Regional Aggregate", _xlpm.r))</f>
        <v>Europe &amp; Central Asia</v>
      </c>
      <c r="G112" s="4" t="str">
        <f>_xlfn.LET(_xlpm.ig, _xlfn.XLOOKUP(Clean_Data[[#This Row],[Country_Code]], Metadata_Country!$A:$A, Metadata_Country!$C:$C, "Unknown"), IF(OR(_xlpm.ig=0, _xlpm.ig=""), "Regional Aggregate", _xlpm.ig))</f>
        <v>Upper middle income</v>
      </c>
      <c r="H112" s="4">
        <f>Clean_Data[[#This Row],[Exports_TIV]] - Clean_Data[[#This Row],[Imports_TIV]]</f>
        <v>-4000000</v>
      </c>
      <c r="I112" s="4">
        <f>Clean_Data[[#This Row],[Exports_TIV]] + Clean_Data[[#This Row],[Imports_TIV]]</f>
        <v>4000000</v>
      </c>
    </row>
    <row r="113" spans="1:9">
      <c r="A113" s="4" t="s">
        <v>333</v>
      </c>
      <c r="B113" s="4" t="s">
        <v>334</v>
      </c>
      <c r="C113" s="5">
        <v>2024</v>
      </c>
      <c r="D113" s="4">
        <v>0</v>
      </c>
      <c r="E113" s="4">
        <v>6000000</v>
      </c>
      <c r="F113" s="4" t="str">
        <f>_xlfn.LET(_xlpm.r, _xlfn.XLOOKUP(Clean_Data[[#This Row],[Country_Code]], Metadata_Country!$A:$A, Metadata_Country!$B:$B, "Unknown"), IF(OR(_xlpm.r=0, _xlpm.r=""), "Regional Aggregate", _xlpm.r))</f>
        <v>Europe &amp; Central Asia</v>
      </c>
      <c r="G113" s="4" t="str">
        <f>_xlfn.LET(_xlpm.ig, _xlfn.XLOOKUP(Clean_Data[[#This Row],[Country_Code]], Metadata_Country!$A:$A, Metadata_Country!$C:$C, "Unknown"), IF(OR(_xlpm.ig=0, _xlpm.ig=""), "Regional Aggregate", _xlpm.ig))</f>
        <v>Upper middle income</v>
      </c>
      <c r="H113" s="4">
        <f>Clean_Data[[#This Row],[Exports_TIV]] - Clean_Data[[#This Row],[Imports_TIV]]</f>
        <v>-6000000</v>
      </c>
      <c r="I113" s="4">
        <f>Clean_Data[[#This Row],[Exports_TIV]] + Clean_Data[[#This Row],[Imports_TIV]]</f>
        <v>6000000</v>
      </c>
    </row>
    <row r="114" spans="1:9">
      <c r="A114" s="4" t="s">
        <v>305</v>
      </c>
      <c r="B114" s="4" t="s">
        <v>306</v>
      </c>
      <c r="C114" s="5">
        <v>2024</v>
      </c>
      <c r="D114" s="4">
        <v>26000000</v>
      </c>
      <c r="E114" s="4">
        <v>130000000</v>
      </c>
      <c r="F114" s="4" t="str">
        <f>_xlfn.LET(_xlpm.r, _xlfn.XLOOKUP(Clean_Data[[#This Row],[Country_Code]], Metadata_Country!$A:$A, Metadata_Country!$B:$B, "Unknown"), IF(OR(_xlpm.r=0, _xlpm.r=""), "Regional Aggregate", _xlpm.r))</f>
        <v>Middle East &amp; North Africa</v>
      </c>
      <c r="G114" s="4" t="str">
        <f>_xlfn.LET(_xlpm.ig, _xlfn.XLOOKUP(Clean_Data[[#This Row],[Country_Code]], Metadata_Country!$A:$A, Metadata_Country!$C:$C, "Unknown"), IF(OR(_xlpm.ig=0, _xlpm.ig=""), "Regional Aggregate", _xlpm.ig))</f>
        <v>Lower middle income</v>
      </c>
      <c r="H114" s="4">
        <f>Clean_Data[[#This Row],[Exports_TIV]] - Clean_Data[[#This Row],[Imports_TIV]]</f>
        <v>-104000000</v>
      </c>
      <c r="I114" s="4">
        <f>Clean_Data[[#This Row],[Exports_TIV]] + Clean_Data[[#This Row],[Imports_TIV]]</f>
        <v>156000000</v>
      </c>
    </row>
    <row r="115" spans="1:9">
      <c r="A115" s="4" t="s">
        <v>339</v>
      </c>
      <c r="B115" s="4" t="s">
        <v>340</v>
      </c>
      <c r="C115" s="5">
        <v>2024</v>
      </c>
      <c r="D115" s="4">
        <v>0</v>
      </c>
      <c r="E115" s="4">
        <v>1000000</v>
      </c>
      <c r="F115" s="4" t="str">
        <f>_xlfn.LET(_xlpm.r, _xlfn.XLOOKUP(Clean_Data[[#This Row],[Country_Code]], Metadata_Country!$A:$A, Metadata_Country!$B:$B, "Unknown"), IF(OR(_xlpm.r=0, _xlpm.r=""), "Regional Aggregate", _xlpm.r))</f>
        <v>Sub-Saharan Africa</v>
      </c>
      <c r="G115" s="4" t="str">
        <f>_xlfn.LET(_xlpm.ig, _xlfn.XLOOKUP(Clean_Data[[#This Row],[Country_Code]], Metadata_Country!$A:$A, Metadata_Country!$C:$C, "Unknown"), IF(OR(_xlpm.ig=0, _xlpm.ig=""), "Regional Aggregate", _xlpm.ig))</f>
        <v>Low income</v>
      </c>
      <c r="H115" s="4">
        <f>Clean_Data[[#This Row],[Exports_TIV]] - Clean_Data[[#This Row],[Imports_TIV]]</f>
        <v>-1000000</v>
      </c>
      <c r="I115" s="4">
        <f>Clean_Data[[#This Row],[Exports_TIV]] + Clean_Data[[#This Row],[Imports_TIV]]</f>
        <v>1000000</v>
      </c>
    </row>
    <row r="116" spans="1:9">
      <c r="A116" s="4" t="s">
        <v>329</v>
      </c>
      <c r="B116" s="4" t="s">
        <v>330</v>
      </c>
      <c r="C116" s="5">
        <v>2024</v>
      </c>
      <c r="D116" s="4">
        <v>0</v>
      </c>
      <c r="E116" s="4">
        <v>222000000</v>
      </c>
      <c r="F116" s="4" t="str">
        <f>_xlfn.LET(_xlpm.r, _xlfn.XLOOKUP(Clean_Data[[#This Row],[Country_Code]], Metadata_Country!$A:$A, Metadata_Country!$B:$B, "Unknown"), IF(OR(_xlpm.r=0, _xlpm.r=""), "Regional Aggregate", _xlpm.r))</f>
        <v>East Asia &amp; Pacific</v>
      </c>
      <c r="G116" s="4" t="str">
        <f>_xlfn.LET(_xlpm.ig, _xlfn.XLOOKUP(Clean_Data[[#This Row],[Country_Code]], Metadata_Country!$A:$A, Metadata_Country!$C:$C, "Unknown"), IF(OR(_xlpm.ig=0, _xlpm.ig=""), "Regional Aggregate", _xlpm.ig))</f>
        <v>Lower middle income</v>
      </c>
      <c r="H116" s="4">
        <f>Clean_Data[[#This Row],[Exports_TIV]] - Clean_Data[[#This Row],[Imports_TIV]]</f>
        <v>-222000000</v>
      </c>
      <c r="I116" s="4">
        <f>Clean_Data[[#This Row],[Exports_TIV]] + Clean_Data[[#This Row],[Imports_TIV]]</f>
        <v>222000000</v>
      </c>
    </row>
    <row r="117" spans="1:9">
      <c r="A117" s="4" t="s">
        <v>351</v>
      </c>
      <c r="B117" s="4" t="s">
        <v>352</v>
      </c>
      <c r="C117" s="5">
        <v>2024</v>
      </c>
      <c r="D117" s="4">
        <v>0</v>
      </c>
      <c r="E117" s="4">
        <v>56000000</v>
      </c>
      <c r="F117" s="4" t="str">
        <f>_xlfn.LET(_xlpm.r, _xlfn.XLOOKUP(Clean_Data[[#This Row],[Country_Code]], Metadata_Country!$A:$A, Metadata_Country!$B:$B, "Unknown"), IF(OR(_xlpm.r=0, _xlpm.r=""), "Regional Aggregate", _xlpm.r))</f>
        <v>Sub-Saharan Africa</v>
      </c>
      <c r="G117" s="4" t="str">
        <f>_xlfn.LET(_xlpm.ig, _xlfn.XLOOKUP(Clean_Data[[#This Row],[Country_Code]], Metadata_Country!$A:$A, Metadata_Country!$C:$C, "Unknown"), IF(OR(_xlpm.ig=0, _xlpm.ig=""), "Regional Aggregate", _xlpm.ig))</f>
        <v>Lower middle income</v>
      </c>
      <c r="H117" s="4">
        <f>Clean_Data[[#This Row],[Exports_TIV]] - Clean_Data[[#This Row],[Imports_TIV]]</f>
        <v>-56000000</v>
      </c>
      <c r="I117" s="4">
        <f>Clean_Data[[#This Row],[Exports_TIV]] + Clean_Data[[#This Row],[Imports_TIV]]</f>
        <v>56000000</v>
      </c>
    </row>
    <row r="118" spans="1:9">
      <c r="A118" s="4" t="s">
        <v>361</v>
      </c>
      <c r="B118" s="4" t="s">
        <v>362</v>
      </c>
      <c r="C118" s="5">
        <v>2024</v>
      </c>
      <c r="D118" s="4">
        <v>370000000</v>
      </c>
      <c r="E118" s="4">
        <v>333000000</v>
      </c>
      <c r="F118" s="4" t="str">
        <f>_xlfn.LET(_xlpm.r, _xlfn.XLOOKUP(Clean_Data[[#This Row],[Country_Code]], Metadata_Country!$A:$A, Metadata_Country!$B:$B, "Unknown"), IF(OR(_xlpm.r=0, _xlpm.r=""), "Regional Aggregate", _xlpm.r))</f>
        <v>Europe &amp; Central Asia</v>
      </c>
      <c r="G118" s="4" t="str">
        <f>_xlfn.LET(_xlpm.ig, _xlfn.XLOOKUP(Clean_Data[[#This Row],[Country_Code]], Metadata_Country!$A:$A, Metadata_Country!$C:$C, "Unknown"), IF(OR(_xlpm.ig=0, _xlpm.ig=""), "Regional Aggregate", _xlpm.ig))</f>
        <v>High income</v>
      </c>
      <c r="H118" s="4">
        <f>Clean_Data[[#This Row],[Exports_TIV]] - Clean_Data[[#This Row],[Imports_TIV]]</f>
        <v>37000000</v>
      </c>
      <c r="I118" s="4">
        <f>Clean_Data[[#This Row],[Exports_TIV]] + Clean_Data[[#This Row],[Imports_TIV]]</f>
        <v>703000000</v>
      </c>
    </row>
    <row r="119" spans="1:9">
      <c r="A119" s="4" t="s">
        <v>369</v>
      </c>
      <c r="B119" s="4" t="s">
        <v>370</v>
      </c>
      <c r="C119" s="5">
        <v>2024</v>
      </c>
      <c r="D119" s="4">
        <v>0</v>
      </c>
      <c r="E119" s="4">
        <v>200000000</v>
      </c>
      <c r="F119" s="4" t="str">
        <f>_xlfn.LET(_xlpm.r, _xlfn.XLOOKUP(Clean_Data[[#This Row],[Country_Code]], Metadata_Country!$A:$A, Metadata_Country!$B:$B, "Unknown"), IF(OR(_xlpm.r=0, _xlpm.r=""), "Regional Aggregate", _xlpm.r))</f>
        <v>East Asia &amp; Pacific</v>
      </c>
      <c r="G119" s="4" t="str">
        <f>_xlfn.LET(_xlpm.ig, _xlfn.XLOOKUP(Clean_Data[[#This Row],[Country_Code]], Metadata_Country!$A:$A, Metadata_Country!$C:$C, "Unknown"), IF(OR(_xlpm.ig=0, _xlpm.ig=""), "Regional Aggregate", _xlpm.ig))</f>
        <v>High income</v>
      </c>
      <c r="H119" s="4">
        <f>Clean_Data[[#This Row],[Exports_TIV]] - Clean_Data[[#This Row],[Imports_TIV]]</f>
        <v>-200000000</v>
      </c>
      <c r="I119" s="4">
        <f>Clean_Data[[#This Row],[Exports_TIV]] + Clean_Data[[#This Row],[Imports_TIV]]</f>
        <v>200000000</v>
      </c>
    </row>
    <row r="120" spans="1:9">
      <c r="A120" s="4" t="s">
        <v>355</v>
      </c>
      <c r="B120" s="4" t="s">
        <v>356</v>
      </c>
      <c r="C120" s="5">
        <v>2024</v>
      </c>
      <c r="D120" s="4">
        <v>0</v>
      </c>
      <c r="E120" s="4">
        <v>4000000</v>
      </c>
      <c r="F120" s="4" t="str">
        <f>_xlfn.LET(_xlpm.r, _xlfn.XLOOKUP(Clean_Data[[#This Row],[Country_Code]], Metadata_Country!$A:$A, Metadata_Country!$B:$B, "Unknown"), IF(OR(_xlpm.r=0, _xlpm.r=""), "Regional Aggregate", _xlpm.r))</f>
        <v>Sub-Saharan Africa</v>
      </c>
      <c r="G120" s="4" t="str">
        <f>_xlfn.LET(_xlpm.ig, _xlfn.XLOOKUP(Clean_Data[[#This Row],[Country_Code]], Metadata_Country!$A:$A, Metadata_Country!$C:$C, "Unknown"), IF(OR(_xlpm.ig=0, _xlpm.ig=""), "Regional Aggregate", _xlpm.ig))</f>
        <v>Low income</v>
      </c>
      <c r="H120" s="4">
        <f>Clean_Data[[#This Row],[Exports_TIV]] - Clean_Data[[#This Row],[Imports_TIV]]</f>
        <v>-4000000</v>
      </c>
      <c r="I120" s="4">
        <f>Clean_Data[[#This Row],[Exports_TIV]] + Clean_Data[[#This Row],[Imports_TIV]]</f>
        <v>4000000</v>
      </c>
    </row>
    <row r="121" spans="1:9">
      <c r="A121" s="4" t="s">
        <v>357</v>
      </c>
      <c r="B121" s="4" t="s">
        <v>358</v>
      </c>
      <c r="C121" s="5">
        <v>2024</v>
      </c>
      <c r="D121" s="4">
        <v>0</v>
      </c>
      <c r="E121" s="4">
        <v>93000000</v>
      </c>
      <c r="F121" s="4" t="str">
        <f>_xlfn.LET(_xlpm.r, _xlfn.XLOOKUP(Clean_Data[[#This Row],[Country_Code]], Metadata_Country!$A:$A, Metadata_Country!$B:$B, "Unknown"), IF(OR(_xlpm.r=0, _xlpm.r=""), "Regional Aggregate", _xlpm.r))</f>
        <v>Sub-Saharan Africa</v>
      </c>
      <c r="G121" s="4" t="str">
        <f>_xlfn.LET(_xlpm.ig, _xlfn.XLOOKUP(Clean_Data[[#This Row],[Country_Code]], Metadata_Country!$A:$A, Metadata_Country!$C:$C, "Unknown"), IF(OR(_xlpm.ig=0, _xlpm.ig=""), "Regional Aggregate", _xlpm.ig))</f>
        <v>Lower middle income</v>
      </c>
      <c r="H121" s="4">
        <f>Clean_Data[[#This Row],[Exports_TIV]] - Clean_Data[[#This Row],[Imports_TIV]]</f>
        <v>-93000000</v>
      </c>
      <c r="I121" s="4">
        <f>Clean_Data[[#This Row],[Exports_TIV]] + Clean_Data[[#This Row],[Imports_TIV]]</f>
        <v>93000000</v>
      </c>
    </row>
    <row r="122" spans="1:9">
      <c r="A122" s="4" t="s">
        <v>349</v>
      </c>
      <c r="B122" s="4" t="s">
        <v>350</v>
      </c>
      <c r="C122" s="5">
        <v>2024</v>
      </c>
      <c r="D122" s="4">
        <v>13888000000</v>
      </c>
      <c r="E122" s="4">
        <v>1251000000</v>
      </c>
      <c r="F122" s="4" t="str">
        <f>_xlfn.LET(_xlpm.r, _xlfn.XLOOKUP(Clean_Data[[#This Row],[Country_Code]], Metadata_Country!$A:$A, Metadata_Country!$B:$B, "Unknown"), IF(OR(_xlpm.r=0, _xlpm.r=""), "Regional Aggregate", _xlpm.r))</f>
        <v>Regional Aggregate</v>
      </c>
      <c r="G122" s="4" t="str">
        <f>_xlfn.LET(_xlpm.ig, _xlfn.XLOOKUP(Clean_Data[[#This Row],[Country_Code]], Metadata_Country!$A:$A, Metadata_Country!$C:$C, "Unknown"), IF(OR(_xlpm.ig=0, _xlpm.ig=""), "Regional Aggregate", _xlpm.ig))</f>
        <v>Regional Aggregate</v>
      </c>
      <c r="H122" s="4">
        <f>Clean_Data[[#This Row],[Exports_TIV]] - Clean_Data[[#This Row],[Imports_TIV]]</f>
        <v>12637000000</v>
      </c>
      <c r="I122" s="4">
        <f>Clean_Data[[#This Row],[Exports_TIV]] + Clean_Data[[#This Row],[Imports_TIV]]</f>
        <v>15139000000</v>
      </c>
    </row>
    <row r="123" spans="1:9">
      <c r="A123" s="4" t="s">
        <v>323</v>
      </c>
      <c r="B123" s="4" t="s">
        <v>324</v>
      </c>
      <c r="C123" s="5">
        <v>2024</v>
      </c>
      <c r="D123" s="4">
        <v>0</v>
      </c>
      <c r="E123" s="4">
        <v>1000000</v>
      </c>
      <c r="F123" s="4" t="str">
        <f>_xlfn.LET(_xlpm.r, _xlfn.XLOOKUP(Clean_Data[[#This Row],[Country_Code]], Metadata_Country!$A:$A, Metadata_Country!$B:$B, "Unknown"), IF(OR(_xlpm.r=0, _xlpm.r=""), "Regional Aggregate", _xlpm.r))</f>
        <v>Europe &amp; Central Asia</v>
      </c>
      <c r="G123" s="4" t="str">
        <f>_xlfn.LET(_xlpm.ig, _xlfn.XLOOKUP(Clean_Data[[#This Row],[Country_Code]], Metadata_Country!$A:$A, Metadata_Country!$C:$C, "Unknown"), IF(OR(_xlpm.ig=0, _xlpm.ig=""), "Regional Aggregate", _xlpm.ig))</f>
        <v>Upper middle income</v>
      </c>
      <c r="H123" s="4">
        <f>Clean_Data[[#This Row],[Exports_TIV]] - Clean_Data[[#This Row],[Imports_TIV]]</f>
        <v>-1000000</v>
      </c>
      <c r="I123" s="4">
        <f>Clean_Data[[#This Row],[Exports_TIV]] + Clean_Data[[#This Row],[Imports_TIV]]</f>
        <v>1000000</v>
      </c>
    </row>
    <row r="124" spans="1:9">
      <c r="A124" s="4" t="s">
        <v>363</v>
      </c>
      <c r="B124" s="4" t="s">
        <v>364</v>
      </c>
      <c r="C124" s="5">
        <v>2024</v>
      </c>
      <c r="D124" s="4">
        <v>569000000</v>
      </c>
      <c r="E124" s="4">
        <v>379000000</v>
      </c>
      <c r="F124" s="4" t="str">
        <f>_xlfn.LET(_xlpm.r, _xlfn.XLOOKUP(Clean_Data[[#This Row],[Country_Code]], Metadata_Country!$A:$A, Metadata_Country!$B:$B, "Unknown"), IF(OR(_xlpm.r=0, _xlpm.r=""), "Regional Aggregate", _xlpm.r))</f>
        <v>Europe &amp; Central Asia</v>
      </c>
      <c r="G124" s="4" t="str">
        <f>_xlfn.LET(_xlpm.ig, _xlfn.XLOOKUP(Clean_Data[[#This Row],[Country_Code]], Metadata_Country!$A:$A, Metadata_Country!$C:$C, "Unknown"), IF(OR(_xlpm.ig=0, _xlpm.ig=""), "Regional Aggregate", _xlpm.ig))</f>
        <v>High income</v>
      </c>
      <c r="H124" s="4">
        <f>Clean_Data[[#This Row],[Exports_TIV]] - Clean_Data[[#This Row],[Imports_TIV]]</f>
        <v>190000000</v>
      </c>
      <c r="I124" s="4">
        <f>Clean_Data[[#This Row],[Exports_TIV]] + Clean_Data[[#This Row],[Imports_TIV]]</f>
        <v>948000000</v>
      </c>
    </row>
    <row r="125" spans="1:9">
      <c r="A125" s="4" t="s">
        <v>371</v>
      </c>
      <c r="B125" s="4" t="s">
        <v>372</v>
      </c>
      <c r="C125" s="5">
        <v>2024</v>
      </c>
      <c r="D125" s="4">
        <v>26020000000</v>
      </c>
      <c r="E125" s="4">
        <v>11975000000</v>
      </c>
      <c r="F125" s="4" t="str">
        <f>_xlfn.LET(_xlpm.r, _xlfn.XLOOKUP(Clean_Data[[#This Row],[Country_Code]], Metadata_Country!$A:$A, Metadata_Country!$B:$B, "Unknown"), IF(OR(_xlpm.r=0, _xlpm.r=""), "Regional Aggregate", _xlpm.r))</f>
        <v>Regional Aggregate</v>
      </c>
      <c r="G125" s="4" t="str">
        <f>_xlfn.LET(_xlpm.ig, _xlfn.XLOOKUP(Clean_Data[[#This Row],[Country_Code]], Metadata_Country!$A:$A, Metadata_Country!$C:$C, "Unknown"), IF(OR(_xlpm.ig=0, _xlpm.ig=""), "Regional Aggregate", _xlpm.ig))</f>
        <v>Regional Aggregate</v>
      </c>
      <c r="H125" s="4">
        <f>Clean_Data[[#This Row],[Exports_TIV]] - Clean_Data[[#This Row],[Imports_TIV]]</f>
        <v>14045000000</v>
      </c>
      <c r="I125" s="4">
        <f>Clean_Data[[#This Row],[Exports_TIV]] + Clean_Data[[#This Row],[Imports_TIV]]</f>
        <v>37995000000</v>
      </c>
    </row>
    <row r="126" spans="1:9">
      <c r="A126" s="4" t="s">
        <v>377</v>
      </c>
      <c r="B126" s="4" t="s">
        <v>378</v>
      </c>
      <c r="C126" s="5">
        <v>2024</v>
      </c>
      <c r="D126" s="4">
        <v>6000000</v>
      </c>
      <c r="E126" s="4">
        <v>1068000000</v>
      </c>
      <c r="F126" s="4" t="str">
        <f>_xlfn.LET(_xlpm.r, _xlfn.XLOOKUP(Clean_Data[[#This Row],[Country_Code]], Metadata_Country!$A:$A, Metadata_Country!$B:$B, "Unknown"), IF(OR(_xlpm.r=0, _xlpm.r=""), "Regional Aggregate", _xlpm.r))</f>
        <v>Middle East &amp; North Africa</v>
      </c>
      <c r="G126" s="4" t="str">
        <f>_xlfn.LET(_xlpm.ig, _xlfn.XLOOKUP(Clean_Data[[#This Row],[Country_Code]], Metadata_Country!$A:$A, Metadata_Country!$C:$C, "Unknown"), IF(OR(_xlpm.ig=0, _xlpm.ig=""), "Regional Aggregate", _xlpm.ig))</f>
        <v>Lower middle income</v>
      </c>
      <c r="H126" s="4">
        <f>Clean_Data[[#This Row],[Exports_TIV]] - Clean_Data[[#This Row],[Imports_TIV]]</f>
        <v>-1062000000</v>
      </c>
      <c r="I126" s="4">
        <f>Clean_Data[[#This Row],[Exports_TIV]] + Clean_Data[[#This Row],[Imports_TIV]]</f>
        <v>1074000000</v>
      </c>
    </row>
    <row r="127" spans="1:9">
      <c r="A127" s="4" t="s">
        <v>381</v>
      </c>
      <c r="B127" s="4" t="s">
        <v>382</v>
      </c>
      <c r="C127" s="5">
        <v>2024</v>
      </c>
      <c r="D127" s="4">
        <v>0</v>
      </c>
      <c r="E127" s="4">
        <v>1000000</v>
      </c>
      <c r="F127" s="4" t="str">
        <f>_xlfn.LET(_xlpm.r, _xlfn.XLOOKUP(Clean_Data[[#This Row],[Country_Code]], Metadata_Country!$A:$A, Metadata_Country!$B:$B, "Unknown"), IF(OR(_xlpm.r=0, _xlpm.r=""), "Regional Aggregate", _xlpm.r))</f>
        <v>Latin America &amp; Caribbean</v>
      </c>
      <c r="G127" s="4" t="str">
        <f>_xlfn.LET(_xlpm.ig, _xlfn.XLOOKUP(Clean_Data[[#This Row],[Country_Code]], Metadata_Country!$A:$A, Metadata_Country!$C:$C, "Unknown"), IF(OR(_xlpm.ig=0, _xlpm.ig=""), "Regional Aggregate", _xlpm.ig))</f>
        <v>Upper middle income</v>
      </c>
      <c r="H127" s="4">
        <f>Clean_Data[[#This Row],[Exports_TIV]] - Clean_Data[[#This Row],[Imports_TIV]]</f>
        <v>-1000000</v>
      </c>
      <c r="I127" s="4">
        <f>Clean_Data[[#This Row],[Exports_TIV]] + Clean_Data[[#This Row],[Imports_TIV]]</f>
        <v>1000000</v>
      </c>
    </row>
    <row r="128" spans="1:9">
      <c r="A128" s="4" t="s">
        <v>383</v>
      </c>
      <c r="B128" s="4" t="s">
        <v>384</v>
      </c>
      <c r="C128" s="5">
        <v>2024</v>
      </c>
      <c r="D128" s="4">
        <v>0</v>
      </c>
      <c r="E128" s="4">
        <v>305000000</v>
      </c>
      <c r="F128" s="4" t="str">
        <f>_xlfn.LET(_xlpm.r, _xlfn.XLOOKUP(Clean_Data[[#This Row],[Country_Code]], Metadata_Country!$A:$A, Metadata_Country!$B:$B, "Unknown"), IF(OR(_xlpm.r=0, _xlpm.r=""), "Regional Aggregate", _xlpm.r))</f>
        <v>East Asia &amp; Pacific</v>
      </c>
      <c r="G128" s="4" t="str">
        <f>_xlfn.LET(_xlpm.ig, _xlfn.XLOOKUP(Clean_Data[[#This Row],[Country_Code]], Metadata_Country!$A:$A, Metadata_Country!$C:$C, "Unknown"), IF(OR(_xlpm.ig=0, _xlpm.ig=""), "Regional Aggregate", _xlpm.ig))</f>
        <v>Upper middle income</v>
      </c>
      <c r="H128" s="4">
        <f>Clean_Data[[#This Row],[Exports_TIV]] - Clean_Data[[#This Row],[Imports_TIV]]</f>
        <v>-305000000</v>
      </c>
      <c r="I128" s="4">
        <f>Clean_Data[[#This Row],[Exports_TIV]] + Clean_Data[[#This Row],[Imports_TIV]]</f>
        <v>305000000</v>
      </c>
    </row>
    <row r="129" spans="1:9">
      <c r="A129" s="4" t="s">
        <v>389</v>
      </c>
      <c r="B129" s="4" t="s">
        <v>390</v>
      </c>
      <c r="C129" s="5">
        <v>2024</v>
      </c>
      <c r="D129" s="4">
        <v>145000000</v>
      </c>
      <c r="E129" s="4">
        <v>1542000000</v>
      </c>
      <c r="F129" s="4" t="str">
        <f>_xlfn.LET(_xlpm.r, _xlfn.XLOOKUP(Clean_Data[[#This Row],[Country_Code]], Metadata_Country!$A:$A, Metadata_Country!$B:$B, "Unknown"), IF(OR(_xlpm.r=0, _xlpm.r=""), "Regional Aggregate", _xlpm.r))</f>
        <v>Europe &amp; Central Asia</v>
      </c>
      <c r="G129" s="4" t="str">
        <f>_xlfn.LET(_xlpm.ig, _xlfn.XLOOKUP(Clean_Data[[#This Row],[Country_Code]], Metadata_Country!$A:$A, Metadata_Country!$C:$C, "Unknown"), IF(OR(_xlpm.ig=0, _xlpm.ig=""), "Regional Aggregate", _xlpm.ig))</f>
        <v>High income</v>
      </c>
      <c r="H129" s="4">
        <f>Clean_Data[[#This Row],[Exports_TIV]] - Clean_Data[[#This Row],[Imports_TIV]]</f>
        <v>-1397000000</v>
      </c>
      <c r="I129" s="4">
        <f>Clean_Data[[#This Row],[Exports_TIV]] + Clean_Data[[#This Row],[Imports_TIV]]</f>
        <v>1687000000</v>
      </c>
    </row>
    <row r="130" spans="1:9">
      <c r="A130" s="4" t="s">
        <v>397</v>
      </c>
      <c r="B130" s="4" t="s">
        <v>398</v>
      </c>
      <c r="C130" s="5">
        <v>2024</v>
      </c>
      <c r="D130" s="4">
        <v>37000000</v>
      </c>
      <c r="E130" s="4">
        <v>61000000</v>
      </c>
      <c r="F130" s="4" t="str">
        <f>_xlfn.LET(_xlpm.r, _xlfn.XLOOKUP(Clean_Data[[#This Row],[Country_Code]], Metadata_Country!$A:$A, Metadata_Country!$B:$B, "Unknown"), IF(OR(_xlpm.r=0, _xlpm.r=""), "Regional Aggregate", _xlpm.r))</f>
        <v>Europe &amp; Central Asia</v>
      </c>
      <c r="G130" s="4" t="str">
        <f>_xlfn.LET(_xlpm.ig, _xlfn.XLOOKUP(Clean_Data[[#This Row],[Country_Code]], Metadata_Country!$A:$A, Metadata_Country!$C:$C, "Unknown"), IF(OR(_xlpm.ig=0, _xlpm.ig=""), "Regional Aggregate", _xlpm.ig))</f>
        <v>High income</v>
      </c>
      <c r="H130" s="4">
        <f>Clean_Data[[#This Row],[Exports_TIV]] - Clean_Data[[#This Row],[Imports_TIV]]</f>
        <v>-24000000</v>
      </c>
      <c r="I130" s="4">
        <f>Clean_Data[[#This Row],[Exports_TIV]] + Clean_Data[[#This Row],[Imports_TIV]]</f>
        <v>98000000</v>
      </c>
    </row>
    <row r="131" spans="1:9">
      <c r="A131" s="4" t="s">
        <v>405</v>
      </c>
      <c r="B131" s="4" t="s">
        <v>406</v>
      </c>
      <c r="C131" s="5">
        <v>2024</v>
      </c>
      <c r="D131" s="4">
        <v>24461000000</v>
      </c>
      <c r="E131" s="4">
        <v>15636000000</v>
      </c>
      <c r="F131" s="4" t="str">
        <f>_xlfn.LET(_xlpm.r, _xlfn.XLOOKUP(Clean_Data[[#This Row],[Country_Code]], Metadata_Country!$A:$A, Metadata_Country!$B:$B, "Unknown"), IF(OR(_xlpm.r=0, _xlpm.r=""), "Regional Aggregate", _xlpm.r))</f>
        <v>Regional Aggregate</v>
      </c>
      <c r="G131" s="4" t="str">
        <f>_xlfn.LET(_xlpm.ig, _xlfn.XLOOKUP(Clean_Data[[#This Row],[Country_Code]], Metadata_Country!$A:$A, Metadata_Country!$C:$C, "Unknown"), IF(OR(_xlpm.ig=0, _xlpm.ig=""), "Regional Aggregate", _xlpm.ig))</f>
        <v>Regional Aggregate</v>
      </c>
      <c r="H131" s="4">
        <f>Clean_Data[[#This Row],[Exports_TIV]] - Clean_Data[[#This Row],[Imports_TIV]]</f>
        <v>8825000000</v>
      </c>
      <c r="I131" s="4">
        <f>Clean_Data[[#This Row],[Exports_TIV]] + Clean_Data[[#This Row],[Imports_TIV]]</f>
        <v>40097000000</v>
      </c>
    </row>
    <row r="132" spans="1:9">
      <c r="A132" s="4" t="s">
        <v>391</v>
      </c>
      <c r="B132" s="4" t="s">
        <v>392</v>
      </c>
      <c r="C132" s="5">
        <v>2024</v>
      </c>
      <c r="D132" s="4">
        <v>0</v>
      </c>
      <c r="E132" s="4">
        <v>629000000</v>
      </c>
      <c r="F132" s="4" t="str">
        <f>_xlfn.LET(_xlpm.r, _xlfn.XLOOKUP(Clean_Data[[#This Row],[Country_Code]], Metadata_Country!$A:$A, Metadata_Country!$B:$B, "Unknown"), IF(OR(_xlpm.r=0, _xlpm.r=""), "Regional Aggregate", _xlpm.r))</f>
        <v>Regional Aggregate</v>
      </c>
      <c r="G132" s="4" t="str">
        <f>_xlfn.LET(_xlpm.ig, _xlfn.XLOOKUP(Clean_Data[[#This Row],[Country_Code]], Metadata_Country!$A:$A, Metadata_Country!$C:$C, "Unknown"), IF(OR(_xlpm.ig=0, _xlpm.ig=""), "Regional Aggregate", _xlpm.ig))</f>
        <v>Regional Aggregate</v>
      </c>
      <c r="H132" s="4">
        <f>Clean_Data[[#This Row],[Exports_TIV]] - Clean_Data[[#This Row],[Imports_TIV]]</f>
        <v>-629000000</v>
      </c>
      <c r="I132" s="4">
        <f>Clean_Data[[#This Row],[Exports_TIV]] + Clean_Data[[#This Row],[Imports_TIV]]</f>
        <v>629000000</v>
      </c>
    </row>
    <row r="133" spans="1:9">
      <c r="A133" s="4" t="s">
        <v>409</v>
      </c>
      <c r="B133" s="4" t="s">
        <v>410</v>
      </c>
      <c r="C133" s="5">
        <v>2024</v>
      </c>
      <c r="D133" s="4">
        <v>20000000</v>
      </c>
      <c r="E133" s="4">
        <v>1194000000</v>
      </c>
      <c r="F133" s="4" t="str">
        <f>_xlfn.LET(_xlpm.r, _xlfn.XLOOKUP(Clean_Data[[#This Row],[Country_Code]], Metadata_Country!$A:$A, Metadata_Country!$B:$B, "Unknown"), IF(OR(_xlpm.r=0, _xlpm.r=""), "Regional Aggregate", _xlpm.r))</f>
        <v>Middle East &amp; North Africa</v>
      </c>
      <c r="G133" s="4" t="str">
        <f>_xlfn.LET(_xlpm.ig, _xlfn.XLOOKUP(Clean_Data[[#This Row],[Country_Code]], Metadata_Country!$A:$A, Metadata_Country!$C:$C, "Unknown"), IF(OR(_xlpm.ig=0, _xlpm.ig=""), "Regional Aggregate", _xlpm.ig))</f>
        <v>High income</v>
      </c>
      <c r="H133" s="4">
        <f>Clean_Data[[#This Row],[Exports_TIV]] - Clean_Data[[#This Row],[Imports_TIV]]</f>
        <v>-1174000000</v>
      </c>
      <c r="I133" s="4">
        <f>Clean_Data[[#This Row],[Exports_TIV]] + Clean_Data[[#This Row],[Imports_TIV]]</f>
        <v>1214000000</v>
      </c>
    </row>
    <row r="134" spans="1:9">
      <c r="A134" s="4" t="s">
        <v>411</v>
      </c>
      <c r="B134" s="4" t="s">
        <v>412</v>
      </c>
      <c r="C134" s="5">
        <v>2024</v>
      </c>
      <c r="D134" s="4">
        <v>123000000</v>
      </c>
      <c r="E134" s="4">
        <v>320000000</v>
      </c>
      <c r="F134" s="4" t="str">
        <f>_xlfn.LET(_xlpm.r, _xlfn.XLOOKUP(Clean_Data[[#This Row],[Country_Code]], Metadata_Country!$A:$A, Metadata_Country!$B:$B, "Unknown"), IF(OR(_xlpm.r=0, _xlpm.r=""), "Regional Aggregate", _xlpm.r))</f>
        <v>Europe &amp; Central Asia</v>
      </c>
      <c r="G134" s="4" t="str">
        <f>_xlfn.LET(_xlpm.ig, _xlfn.XLOOKUP(Clean_Data[[#This Row],[Country_Code]], Metadata_Country!$A:$A, Metadata_Country!$C:$C, "Unknown"), IF(OR(_xlpm.ig=0, _xlpm.ig=""), "Regional Aggregate", _xlpm.ig))</f>
        <v>High income</v>
      </c>
      <c r="H134" s="4">
        <f>Clean_Data[[#This Row],[Exports_TIV]] - Clean_Data[[#This Row],[Imports_TIV]]</f>
        <v>-197000000</v>
      </c>
      <c r="I134" s="4">
        <f>Clean_Data[[#This Row],[Exports_TIV]] + Clean_Data[[#This Row],[Imports_TIV]]</f>
        <v>443000000</v>
      </c>
    </row>
    <row r="135" spans="1:9">
      <c r="A135" s="4" t="s">
        <v>413</v>
      </c>
      <c r="B135" s="4" t="s">
        <v>414</v>
      </c>
      <c r="C135" s="5">
        <v>2024</v>
      </c>
      <c r="D135" s="4">
        <v>1994000000</v>
      </c>
      <c r="E135" s="4">
        <v>315000000</v>
      </c>
      <c r="F135" s="4" t="str">
        <f>_xlfn.LET(_xlpm.r, _xlfn.XLOOKUP(Clean_Data[[#This Row],[Country_Code]], Metadata_Country!$A:$A, Metadata_Country!$B:$B, "Unknown"), IF(OR(_xlpm.r=0, _xlpm.r=""), "Regional Aggregate", _xlpm.r))</f>
        <v>Europe &amp; Central Asia</v>
      </c>
      <c r="G135" s="4" t="str">
        <f>_xlfn.LET(_xlpm.ig, _xlfn.XLOOKUP(Clean_Data[[#This Row],[Country_Code]], Metadata_Country!$A:$A, Metadata_Country!$C:$C, "Unknown"), IF(OR(_xlpm.ig=0, _xlpm.ig=""), "Regional Aggregate", _xlpm.ig))</f>
        <v>High income</v>
      </c>
      <c r="H135" s="4">
        <f>Clean_Data[[#This Row],[Exports_TIV]] - Clean_Data[[#This Row],[Imports_TIV]]</f>
        <v>1679000000</v>
      </c>
      <c r="I135" s="4">
        <f>Clean_Data[[#This Row],[Exports_TIV]] + Clean_Data[[#This Row],[Imports_TIV]]</f>
        <v>2309000000</v>
      </c>
    </row>
    <row r="136" spans="1:9">
      <c r="A136" s="4" t="s">
        <v>419</v>
      </c>
      <c r="B136" s="4" t="s">
        <v>420</v>
      </c>
      <c r="C136" s="5">
        <v>2024</v>
      </c>
      <c r="D136" s="4">
        <v>0</v>
      </c>
      <c r="E136" s="4">
        <v>1238000000</v>
      </c>
      <c r="F136" s="4" t="str">
        <f>_xlfn.LET(_xlpm.r, _xlfn.XLOOKUP(Clean_Data[[#This Row],[Country_Code]], Metadata_Country!$A:$A, Metadata_Country!$B:$B, "Unknown"), IF(OR(_xlpm.r=0, _xlpm.r=""), "Regional Aggregate", _xlpm.r))</f>
        <v>Middle East &amp; North Africa</v>
      </c>
      <c r="G136" s="4" t="str">
        <f>_xlfn.LET(_xlpm.ig, _xlfn.XLOOKUP(Clean_Data[[#This Row],[Country_Code]], Metadata_Country!$A:$A, Metadata_Country!$C:$C, "Unknown"), IF(OR(_xlpm.ig=0, _xlpm.ig=""), "Regional Aggregate", _xlpm.ig))</f>
        <v>High income</v>
      </c>
      <c r="H136" s="4">
        <f>Clean_Data[[#This Row],[Exports_TIV]] - Clean_Data[[#This Row],[Imports_TIV]]</f>
        <v>-1238000000</v>
      </c>
      <c r="I136" s="4">
        <f>Clean_Data[[#This Row],[Exports_TIV]] + Clean_Data[[#This Row],[Imports_TIV]]</f>
        <v>1238000000</v>
      </c>
    </row>
    <row r="137" spans="1:9">
      <c r="A137" s="4" t="s">
        <v>423</v>
      </c>
      <c r="B137" s="4" t="s">
        <v>424</v>
      </c>
      <c r="C137" s="5">
        <v>2024</v>
      </c>
      <c r="D137" s="4">
        <v>0</v>
      </c>
      <c r="E137" s="4">
        <v>79000000</v>
      </c>
      <c r="F137" s="4" t="str">
        <f>_xlfn.LET(_xlpm.r, _xlfn.XLOOKUP(Clean_Data[[#This Row],[Country_Code]], Metadata_Country!$A:$A, Metadata_Country!$B:$B, "Unknown"), IF(OR(_xlpm.r=0, _xlpm.r=""), "Regional Aggregate", _xlpm.r))</f>
        <v>Sub-Saharan Africa</v>
      </c>
      <c r="G137" s="4" t="str">
        <f>_xlfn.LET(_xlpm.ig, _xlfn.XLOOKUP(Clean_Data[[#This Row],[Country_Code]], Metadata_Country!$A:$A, Metadata_Country!$C:$C, "Unknown"), IF(OR(_xlpm.ig=0, _xlpm.ig=""), "Regional Aggregate", _xlpm.ig))</f>
        <v>Lower middle income</v>
      </c>
      <c r="H137" s="4">
        <f>Clean_Data[[#This Row],[Exports_TIV]] - Clean_Data[[#This Row],[Imports_TIV]]</f>
        <v>-79000000</v>
      </c>
      <c r="I137" s="4">
        <f>Clean_Data[[#This Row],[Exports_TIV]] + Clean_Data[[#This Row],[Imports_TIV]]</f>
        <v>79000000</v>
      </c>
    </row>
    <row r="138" spans="1:9">
      <c r="A138" s="4" t="s">
        <v>437</v>
      </c>
      <c r="B138" s="4" t="s">
        <v>438</v>
      </c>
      <c r="C138" s="5">
        <v>2024</v>
      </c>
      <c r="D138" s="4">
        <v>0</v>
      </c>
      <c r="E138" s="4">
        <v>155000000</v>
      </c>
      <c r="F138" s="4" t="str">
        <f>_xlfn.LET(_xlpm.r, _xlfn.XLOOKUP(Clean_Data[[#This Row],[Country_Code]], Metadata_Country!$A:$A, Metadata_Country!$B:$B, "Unknown"), IF(OR(_xlpm.r=0, _xlpm.r=""), "Regional Aggregate", _xlpm.r))</f>
        <v>Europe &amp; Central Asia</v>
      </c>
      <c r="G138" s="4" t="str">
        <f>_xlfn.LET(_xlpm.ig, _xlfn.XLOOKUP(Clean_Data[[#This Row],[Country_Code]], Metadata_Country!$A:$A, Metadata_Country!$C:$C, "Unknown"), IF(OR(_xlpm.ig=0, _xlpm.ig=""), "Regional Aggregate", _xlpm.ig))</f>
        <v>Upper middle income</v>
      </c>
      <c r="H138" s="4">
        <f>Clean_Data[[#This Row],[Exports_TIV]] - Clean_Data[[#This Row],[Imports_TIV]]</f>
        <v>-155000000</v>
      </c>
      <c r="I138" s="4">
        <f>Clean_Data[[#This Row],[Exports_TIV]] + Clean_Data[[#This Row],[Imports_TIV]]</f>
        <v>155000000</v>
      </c>
    </row>
    <row r="139" spans="1:9">
      <c r="A139" s="4" t="s">
        <v>425</v>
      </c>
      <c r="B139" s="4" t="s">
        <v>426</v>
      </c>
      <c r="C139" s="5">
        <v>2024</v>
      </c>
      <c r="D139" s="4">
        <v>0</v>
      </c>
      <c r="E139" s="4">
        <v>378000000</v>
      </c>
      <c r="F139" s="4" t="str">
        <f>_xlfn.LET(_xlpm.r, _xlfn.XLOOKUP(Clean_Data[[#This Row],[Country_Code]], Metadata_Country!$A:$A, Metadata_Country!$B:$B, "Unknown"), IF(OR(_xlpm.r=0, _xlpm.r=""), "Regional Aggregate", _xlpm.r))</f>
        <v>East Asia &amp; Pacific</v>
      </c>
      <c r="G139" s="4" t="str">
        <f>_xlfn.LET(_xlpm.ig, _xlfn.XLOOKUP(Clean_Data[[#This Row],[Country_Code]], Metadata_Country!$A:$A, Metadata_Country!$C:$C, "Unknown"), IF(OR(_xlpm.ig=0, _xlpm.ig=""), "Regional Aggregate", _xlpm.ig))</f>
        <v>High income</v>
      </c>
      <c r="H139" s="4">
        <f>Clean_Data[[#This Row],[Exports_TIV]] - Clean_Data[[#This Row],[Imports_TIV]]</f>
        <v>-378000000</v>
      </c>
      <c r="I139" s="4">
        <f>Clean_Data[[#This Row],[Exports_TIV]] + Clean_Data[[#This Row],[Imports_TIV]]</f>
        <v>378000000</v>
      </c>
    </row>
    <row r="140" spans="1:9">
      <c r="A140" s="4" t="s">
        <v>451</v>
      </c>
      <c r="B140" s="4" t="s">
        <v>452</v>
      </c>
      <c r="C140" s="5">
        <v>2024</v>
      </c>
      <c r="D140" s="4">
        <v>0</v>
      </c>
      <c r="E140" s="4">
        <v>181000000</v>
      </c>
      <c r="F140" s="4" t="str">
        <f>_xlfn.LET(_xlpm.r, _xlfn.XLOOKUP(Clean_Data[[#This Row],[Country_Code]], Metadata_Country!$A:$A, Metadata_Country!$B:$B, "Unknown"), IF(OR(_xlpm.r=0, _xlpm.r=""), "Regional Aggregate", _xlpm.r))</f>
        <v>Europe &amp; Central Asia</v>
      </c>
      <c r="G140" s="4" t="str">
        <f>_xlfn.LET(_xlpm.ig, _xlfn.XLOOKUP(Clean_Data[[#This Row],[Country_Code]], Metadata_Country!$A:$A, Metadata_Country!$C:$C, "Unknown"), IF(OR(_xlpm.ig=0, _xlpm.ig=""), "Regional Aggregate", _xlpm.ig))</f>
        <v>High income</v>
      </c>
      <c r="H140" s="4">
        <f>Clean_Data[[#This Row],[Exports_TIV]] - Clean_Data[[#This Row],[Imports_TIV]]</f>
        <v>-181000000</v>
      </c>
      <c r="I140" s="4">
        <f>Clean_Data[[#This Row],[Exports_TIV]] + Clean_Data[[#This Row],[Imports_TIV]]</f>
        <v>181000000</v>
      </c>
    </row>
    <row r="141" spans="1:9">
      <c r="A141" s="4" t="s">
        <v>453</v>
      </c>
      <c r="B141" s="4" t="s">
        <v>454</v>
      </c>
      <c r="C141" s="5">
        <v>2024</v>
      </c>
      <c r="D141" s="4">
        <v>3000000</v>
      </c>
      <c r="E141" s="4">
        <v>19000000</v>
      </c>
      <c r="F141" s="4" t="str">
        <f>_xlfn.LET(_xlpm.r, _xlfn.XLOOKUP(Clean_Data[[#This Row],[Country_Code]], Metadata_Country!$A:$A, Metadata_Country!$B:$B, "Unknown"), IF(OR(_xlpm.r=0, _xlpm.r=""), "Regional Aggregate", _xlpm.r))</f>
        <v>Europe &amp; Central Asia</v>
      </c>
      <c r="G141" s="4" t="str">
        <f>_xlfn.LET(_xlpm.ig, _xlfn.XLOOKUP(Clean_Data[[#This Row],[Country_Code]], Metadata_Country!$A:$A, Metadata_Country!$C:$C, "Unknown"), IF(OR(_xlpm.ig=0, _xlpm.ig=""), "Regional Aggregate", _xlpm.ig))</f>
        <v>High income</v>
      </c>
      <c r="H141" s="4">
        <f>Clean_Data[[#This Row],[Exports_TIV]] - Clean_Data[[#This Row],[Imports_TIV]]</f>
        <v>-16000000</v>
      </c>
      <c r="I141" s="4">
        <f>Clean_Data[[#This Row],[Exports_TIV]] + Clean_Data[[#This Row],[Imports_TIV]]</f>
        <v>22000000</v>
      </c>
    </row>
    <row r="142" spans="1:9">
      <c r="A142" s="4" t="s">
        <v>435</v>
      </c>
      <c r="B142" s="4" t="s">
        <v>436</v>
      </c>
      <c r="C142" s="5">
        <v>2024</v>
      </c>
      <c r="D142" s="4">
        <v>0</v>
      </c>
      <c r="E142" s="4">
        <v>4000000</v>
      </c>
      <c r="F142" s="4" t="str">
        <f>_xlfn.LET(_xlpm.r, _xlfn.XLOOKUP(Clean_Data[[#This Row],[Country_Code]], Metadata_Country!$A:$A, Metadata_Country!$B:$B, "Unknown"), IF(OR(_xlpm.r=0, _xlpm.r=""), "Regional Aggregate", _xlpm.r))</f>
        <v>Sub-Saharan Africa</v>
      </c>
      <c r="G142" s="4" t="str">
        <f>_xlfn.LET(_xlpm.ig, _xlfn.XLOOKUP(Clean_Data[[#This Row],[Country_Code]], Metadata_Country!$A:$A, Metadata_Country!$C:$C, "Unknown"), IF(OR(_xlpm.ig=0, _xlpm.ig=""), "Regional Aggregate", _xlpm.ig))</f>
        <v>Low income</v>
      </c>
      <c r="H142" s="4">
        <f>Clean_Data[[#This Row],[Exports_TIV]] - Clean_Data[[#This Row],[Imports_TIV]]</f>
        <v>-4000000</v>
      </c>
      <c r="I142" s="4">
        <f>Clean_Data[[#This Row],[Exports_TIV]] + Clean_Data[[#This Row],[Imports_TIV]]</f>
        <v>4000000</v>
      </c>
    </row>
    <row r="143" spans="1:9">
      <c r="A143" s="4" t="s">
        <v>535</v>
      </c>
      <c r="B143" s="4" t="s">
        <v>536</v>
      </c>
      <c r="C143" s="5">
        <v>2024</v>
      </c>
      <c r="D143" s="4">
        <v>96000000</v>
      </c>
      <c r="E143" s="4">
        <v>0</v>
      </c>
      <c r="F143" s="4" t="str">
        <f>_xlfn.LET(_xlpm.r, _xlfn.XLOOKUP(Clean_Data[[#This Row],[Country_Code]], Metadata_Country!$A:$A, Metadata_Country!$B:$B, "Unknown"), IF(OR(_xlpm.r=0, _xlpm.r=""), "Regional Aggregate", _xlpm.r))</f>
        <v>Sub-Saharan Africa</v>
      </c>
      <c r="G143" s="4" t="str">
        <f>_xlfn.LET(_xlpm.ig, _xlfn.XLOOKUP(Clean_Data[[#This Row],[Country_Code]], Metadata_Country!$A:$A, Metadata_Country!$C:$C, "Unknown"), IF(OR(_xlpm.ig=0, _xlpm.ig=""), "Regional Aggregate", _xlpm.ig))</f>
        <v>Upper middle income</v>
      </c>
      <c r="H143" s="4">
        <f>Clean_Data[[#This Row],[Exports_TIV]] - Clean_Data[[#This Row],[Imports_TIV]]</f>
        <v>96000000</v>
      </c>
      <c r="I143" s="4">
        <f>Clean_Data[[#This Row],[Exports_TIV]] + Clean_Data[[#This Row],[Imports_TIV]]</f>
        <v>96000000</v>
      </c>
    </row>
    <row r="144" spans="1:9">
      <c r="A144" s="4" t="s">
        <v>417</v>
      </c>
      <c r="B144" s="4" t="s">
        <v>418</v>
      </c>
      <c r="C144" s="5">
        <v>2024</v>
      </c>
      <c r="D144" s="4">
        <v>94000000</v>
      </c>
      <c r="E144" s="4">
        <v>1689000000</v>
      </c>
      <c r="F144" s="4" t="str">
        <f>_xlfn.LET(_xlpm.r, _xlfn.XLOOKUP(Clean_Data[[#This Row],[Country_Code]], Metadata_Country!$A:$A, Metadata_Country!$B:$B, "Unknown"), IF(OR(_xlpm.r=0, _xlpm.r=""), "Regional Aggregate", _xlpm.r))</f>
        <v>Regional Aggregate</v>
      </c>
      <c r="G144" s="4" t="str">
        <f>_xlfn.LET(_xlpm.ig, _xlfn.XLOOKUP(Clean_Data[[#This Row],[Country_Code]], Metadata_Country!$A:$A, Metadata_Country!$C:$C, "Unknown"), IF(OR(_xlpm.ig=0, _xlpm.ig=""), "Regional Aggregate", _xlpm.ig))</f>
        <v>Regional Aggregate</v>
      </c>
      <c r="H144" s="4">
        <f>Clean_Data[[#This Row],[Exports_TIV]] - Clean_Data[[#This Row],[Imports_TIV]]</f>
        <v>-1595000000</v>
      </c>
      <c r="I144" s="4">
        <f>Clean_Data[[#This Row],[Exports_TIV]] + Clean_Data[[#This Row],[Imports_TIV]]</f>
        <v>1783000000</v>
      </c>
    </row>
    <row r="145" spans="1:9">
      <c r="A145" s="4" t="s">
        <v>489</v>
      </c>
      <c r="B145" s="4" t="s">
        <v>490</v>
      </c>
      <c r="C145" s="5">
        <v>2024</v>
      </c>
      <c r="D145" s="4">
        <v>94000000</v>
      </c>
      <c r="E145" s="4">
        <v>1689000000</v>
      </c>
      <c r="F145" s="4" t="str">
        <f>_xlfn.LET(_xlpm.r, _xlfn.XLOOKUP(Clean_Data[[#This Row],[Country_Code]], Metadata_Country!$A:$A, Metadata_Country!$B:$B, "Unknown"), IF(OR(_xlpm.r=0, _xlpm.r=""), "Regional Aggregate", _xlpm.r))</f>
        <v>Regional Aggregate</v>
      </c>
      <c r="G145" s="4" t="str">
        <f>_xlfn.LET(_xlpm.ig, _xlfn.XLOOKUP(Clean_Data[[#This Row],[Country_Code]], Metadata_Country!$A:$A, Metadata_Country!$C:$C, "Unknown"), IF(OR(_xlpm.ig=0, _xlpm.ig=""), "Regional Aggregate", _xlpm.ig))</f>
        <v>Regional Aggregate</v>
      </c>
      <c r="H145" s="4">
        <f>Clean_Data[[#This Row],[Exports_TIV]] - Clean_Data[[#This Row],[Imports_TIV]]</f>
        <v>-1595000000</v>
      </c>
      <c r="I145" s="4">
        <f>Clean_Data[[#This Row],[Exports_TIV]] + Clean_Data[[#This Row],[Imports_TIV]]</f>
        <v>1783000000</v>
      </c>
    </row>
    <row r="146" spans="1:9">
      <c r="A146" s="4" t="s">
        <v>149</v>
      </c>
      <c r="B146" s="4" t="s">
        <v>150</v>
      </c>
      <c r="C146" s="5">
        <v>2024</v>
      </c>
      <c r="D146" s="4">
        <v>606000000</v>
      </c>
      <c r="E146" s="4">
        <v>159000000</v>
      </c>
      <c r="F146" s="4" t="str">
        <f>_xlfn.LET(_xlpm.r, _xlfn.XLOOKUP(Clean_Data[[#This Row],[Country_Code]], Metadata_Country!$A:$A, Metadata_Country!$B:$B, "Unknown"), IF(OR(_xlpm.r=0, _xlpm.r=""), "Regional Aggregate", _xlpm.r))</f>
        <v>Europe &amp; Central Asia</v>
      </c>
      <c r="G146" s="4" t="str">
        <f>_xlfn.LET(_xlpm.ig, _xlfn.XLOOKUP(Clean_Data[[#This Row],[Country_Code]], Metadata_Country!$A:$A, Metadata_Country!$C:$C, "Unknown"), IF(OR(_xlpm.ig=0, _xlpm.ig=""), "Regional Aggregate", _xlpm.ig))</f>
        <v>High income</v>
      </c>
      <c r="H146" s="4">
        <f>Clean_Data[[#This Row],[Exports_TIV]] - Clean_Data[[#This Row],[Imports_TIV]]</f>
        <v>447000000</v>
      </c>
      <c r="I146" s="4">
        <f>Clean_Data[[#This Row],[Exports_TIV]] + Clean_Data[[#This Row],[Imports_TIV]]</f>
        <v>765000000</v>
      </c>
    </row>
    <row r="147" spans="1:9">
      <c r="A147" s="4" t="s">
        <v>285</v>
      </c>
      <c r="B147" s="4" t="s">
        <v>286</v>
      </c>
      <c r="C147" s="5">
        <v>2024</v>
      </c>
      <c r="D147" s="4">
        <v>0</v>
      </c>
      <c r="E147" s="4">
        <v>9000000</v>
      </c>
      <c r="F147" s="4" t="str">
        <f>_xlfn.LET(_xlpm.r, _xlfn.XLOOKUP(Clean_Data[[#This Row],[Country_Code]], Metadata_Country!$A:$A, Metadata_Country!$B:$B, "Unknown"), IF(OR(_xlpm.r=0, _xlpm.r=""), "Regional Aggregate", _xlpm.r))</f>
        <v>South Asia</v>
      </c>
      <c r="G147" s="4" t="str">
        <f>_xlfn.LET(_xlpm.ig, _xlfn.XLOOKUP(Clean_Data[[#This Row],[Country_Code]], Metadata_Country!$A:$A, Metadata_Country!$C:$C, "Unknown"), IF(OR(_xlpm.ig=0, _xlpm.ig=""), "Regional Aggregate", _xlpm.ig))</f>
        <v>Upper middle income</v>
      </c>
      <c r="H147" s="4">
        <f>Clean_Data[[#This Row],[Exports_TIV]] - Clean_Data[[#This Row],[Imports_TIV]]</f>
        <v>-9000000</v>
      </c>
      <c r="I147" s="4">
        <f>Clean_Data[[#This Row],[Exports_TIV]] + Clean_Data[[#This Row],[Imports_TIV]]</f>
        <v>9000000</v>
      </c>
    </row>
    <row r="148" spans="1:9">
      <c r="A148" s="4" t="s">
        <v>421</v>
      </c>
      <c r="B148" s="4" t="s">
        <v>422</v>
      </c>
      <c r="C148" s="5">
        <v>2024</v>
      </c>
      <c r="D148" s="4">
        <v>0</v>
      </c>
      <c r="E148" s="4">
        <v>50000000</v>
      </c>
      <c r="F148" s="4" t="str">
        <f>_xlfn.LET(_xlpm.r, _xlfn.XLOOKUP(Clean_Data[[#This Row],[Country_Code]], Metadata_Country!$A:$A, Metadata_Country!$B:$B, "Unknown"), IF(OR(_xlpm.r=0, _xlpm.r=""), "Regional Aggregate", _xlpm.r))</f>
        <v>Sub-Saharan Africa</v>
      </c>
      <c r="G148" s="4" t="str">
        <f>_xlfn.LET(_xlpm.ig, _xlfn.XLOOKUP(Clean_Data[[#This Row],[Country_Code]], Metadata_Country!$A:$A, Metadata_Country!$C:$C, "Unknown"), IF(OR(_xlpm.ig=0, _xlpm.ig=""), "Regional Aggregate", _xlpm.ig))</f>
        <v>Low income</v>
      </c>
      <c r="H148" s="4">
        <f>Clean_Data[[#This Row],[Exports_TIV]] - Clean_Data[[#This Row],[Imports_TIV]]</f>
        <v>-50000000</v>
      </c>
      <c r="I148" s="4">
        <f>Clean_Data[[#This Row],[Exports_TIV]] + Clean_Data[[#This Row],[Imports_TIV]]</f>
        <v>50000000</v>
      </c>
    </row>
    <row r="149" spans="1:9">
      <c r="A149" s="4" t="s">
        <v>449</v>
      </c>
      <c r="B149" s="4" t="s">
        <v>450</v>
      </c>
      <c r="C149" s="5">
        <v>2024</v>
      </c>
      <c r="D149" s="4">
        <v>0</v>
      </c>
      <c r="E149" s="4">
        <v>12000000</v>
      </c>
      <c r="F149" s="4" t="str">
        <f>_xlfn.LET(_xlpm.r, _xlfn.XLOOKUP(Clean_Data[[#This Row],[Country_Code]], Metadata_Country!$A:$A, Metadata_Country!$B:$B, "Unknown"), IF(OR(_xlpm.r=0, _xlpm.r=""), "Regional Aggregate", _xlpm.r))</f>
        <v>Latin America &amp; Caribbean</v>
      </c>
      <c r="G149" s="4" t="str">
        <f>_xlfn.LET(_xlpm.ig, _xlfn.XLOOKUP(Clean_Data[[#This Row],[Country_Code]], Metadata_Country!$A:$A, Metadata_Country!$C:$C, "Unknown"), IF(OR(_xlpm.ig=0, _xlpm.ig=""), "Regional Aggregate", _xlpm.ig))</f>
        <v>Upper middle income</v>
      </c>
      <c r="H149" s="4">
        <f>Clean_Data[[#This Row],[Exports_TIV]] - Clean_Data[[#This Row],[Imports_TIV]]</f>
        <v>-12000000</v>
      </c>
      <c r="I149" s="4">
        <f>Clean_Data[[#This Row],[Exports_TIV]] + Clean_Data[[#This Row],[Imports_TIV]]</f>
        <v>12000000</v>
      </c>
    </row>
    <row r="150" spans="1:9">
      <c r="A150" s="4" t="s">
        <v>455</v>
      </c>
      <c r="B150" s="4" t="s">
        <v>456</v>
      </c>
      <c r="C150" s="5">
        <v>2024</v>
      </c>
      <c r="D150" s="4">
        <v>405000000</v>
      </c>
      <c r="E150" s="4">
        <v>56000000</v>
      </c>
      <c r="F150" s="4" t="str">
        <f>_xlfn.LET(_xlpm.r, _xlfn.XLOOKUP(Clean_Data[[#This Row],[Country_Code]], Metadata_Country!$A:$A, Metadata_Country!$B:$B, "Unknown"), IF(OR(_xlpm.r=0, _xlpm.r=""), "Regional Aggregate", _xlpm.r))</f>
        <v>Europe &amp; Central Asia</v>
      </c>
      <c r="G150" s="4" t="str">
        <f>_xlfn.LET(_xlpm.ig, _xlfn.XLOOKUP(Clean_Data[[#This Row],[Country_Code]], Metadata_Country!$A:$A, Metadata_Country!$C:$C, "Unknown"), IF(OR(_xlpm.ig=0, _xlpm.ig=""), "Regional Aggregate", _xlpm.ig))</f>
        <v>High income</v>
      </c>
      <c r="H150" s="4">
        <f>Clean_Data[[#This Row],[Exports_TIV]] - Clean_Data[[#This Row],[Imports_TIV]]</f>
        <v>349000000</v>
      </c>
      <c r="I150" s="4">
        <f>Clean_Data[[#This Row],[Exports_TIV]] + Clean_Data[[#This Row],[Imports_TIV]]</f>
        <v>461000000</v>
      </c>
    </row>
    <row r="151" spans="1:9">
      <c r="A151" s="4" t="s">
        <v>83</v>
      </c>
      <c r="B151" s="4" t="s">
        <v>84</v>
      </c>
      <c r="C151" s="5">
        <v>2024</v>
      </c>
      <c r="D151" s="4">
        <v>11000000</v>
      </c>
      <c r="E151" s="4">
        <v>0</v>
      </c>
      <c r="F151" s="4" t="str">
        <f>_xlfn.LET(_xlpm.r, _xlfn.XLOOKUP(Clean_Data[[#This Row],[Country_Code]], Metadata_Country!$A:$A, Metadata_Country!$B:$B, "Unknown"), IF(OR(_xlpm.r=0, _xlpm.r=""), "Regional Aggregate", _xlpm.r))</f>
        <v>Europe &amp; Central Asia</v>
      </c>
      <c r="G151" s="4" t="str">
        <f>_xlfn.LET(_xlpm.ig, _xlfn.XLOOKUP(Clean_Data[[#This Row],[Country_Code]], Metadata_Country!$A:$A, Metadata_Country!$C:$C, "Unknown"), IF(OR(_xlpm.ig=0, _xlpm.ig=""), "Regional Aggregate", _xlpm.ig))</f>
        <v>High income</v>
      </c>
      <c r="H151" s="4">
        <f>Clean_Data[[#This Row],[Exports_TIV]] - Clean_Data[[#This Row],[Imports_TIV]]</f>
        <v>11000000</v>
      </c>
      <c r="I151" s="4">
        <f>Clean_Data[[#This Row],[Exports_TIV]] + Clean_Data[[#This Row],[Imports_TIV]]</f>
        <v>11000000</v>
      </c>
    </row>
    <row r="152" spans="1:9">
      <c r="A152" s="4" t="s">
        <v>477</v>
      </c>
      <c r="B152" s="4" t="s">
        <v>478</v>
      </c>
      <c r="C152" s="5">
        <v>2024</v>
      </c>
      <c r="D152" s="4">
        <v>0</v>
      </c>
      <c r="E152" s="4">
        <v>0</v>
      </c>
      <c r="F152" s="4" t="str">
        <f>_xlfn.LET(_xlpm.r, _xlfn.XLOOKUP(Clean_Data[[#This Row],[Country_Code]], Metadata_Country!$A:$A, Metadata_Country!$B:$B, "Unknown"), IF(OR(_xlpm.r=0, _xlpm.r=""), "Regional Aggregate", _xlpm.r))</f>
        <v>Europe &amp; Central Asia</v>
      </c>
      <c r="G152" s="4" t="str">
        <f>_xlfn.LET(_xlpm.ig, _xlfn.XLOOKUP(Clean_Data[[#This Row],[Country_Code]], Metadata_Country!$A:$A, Metadata_Country!$C:$C, "Unknown"), IF(OR(_xlpm.ig=0, _xlpm.ig=""), "Regional Aggregate", _xlpm.ig))</f>
        <v>Lower middle income</v>
      </c>
      <c r="H152" s="4">
        <f>Clean_Data[[#This Row],[Exports_TIV]] - Clean_Data[[#This Row],[Imports_TIV]]</f>
        <v>0</v>
      </c>
      <c r="I152" s="4">
        <f>Clean_Data[[#This Row],[Exports_TIV]] + Clean_Data[[#This Row],[Imports_TIV]]</f>
        <v>0</v>
      </c>
    </row>
    <row r="153" spans="1:9">
      <c r="A153" s="4" t="s">
        <v>475</v>
      </c>
      <c r="B153" s="4" t="s">
        <v>476</v>
      </c>
      <c r="C153" s="5">
        <v>2024</v>
      </c>
      <c r="D153" s="4">
        <v>15000000</v>
      </c>
      <c r="E153" s="4">
        <v>73000000</v>
      </c>
      <c r="F153" s="4" t="str">
        <f>_xlfn.LET(_xlpm.r, _xlfn.XLOOKUP(Clean_Data[[#This Row],[Country_Code]], Metadata_Country!$A:$A, Metadata_Country!$B:$B, "Unknown"), IF(OR(_xlpm.r=0, _xlpm.r=""), "Regional Aggregate", _xlpm.r))</f>
        <v>East Asia &amp; Pacific</v>
      </c>
      <c r="G153" s="4" t="str">
        <f>_xlfn.LET(_xlpm.ig, _xlfn.XLOOKUP(Clean_Data[[#This Row],[Country_Code]], Metadata_Country!$A:$A, Metadata_Country!$C:$C, "Unknown"), IF(OR(_xlpm.ig=0, _xlpm.ig=""), "Regional Aggregate", _xlpm.ig))</f>
        <v>Upper middle income</v>
      </c>
      <c r="H153" s="4">
        <f>Clean_Data[[#This Row],[Exports_TIV]] - Clean_Data[[#This Row],[Imports_TIV]]</f>
        <v>-58000000</v>
      </c>
      <c r="I153" s="4">
        <f>Clean_Data[[#This Row],[Exports_TIV]] + Clean_Data[[#This Row],[Imports_TIV]]</f>
        <v>88000000</v>
      </c>
    </row>
    <row r="154" spans="1:9">
      <c r="A154" s="4" t="s">
        <v>473</v>
      </c>
      <c r="B154" s="4" t="s">
        <v>474</v>
      </c>
      <c r="C154" s="5">
        <v>2024</v>
      </c>
      <c r="D154" s="4">
        <v>0</v>
      </c>
      <c r="E154" s="4">
        <v>1000000</v>
      </c>
      <c r="F154" s="4" t="str">
        <f>_xlfn.LET(_xlpm.r, _xlfn.XLOOKUP(Clean_Data[[#This Row],[Country_Code]], Metadata_Country!$A:$A, Metadata_Country!$B:$B, "Unknown"), IF(OR(_xlpm.r=0, _xlpm.r=""), "Regional Aggregate", _xlpm.r))</f>
        <v>Sub-Saharan Africa</v>
      </c>
      <c r="G154" s="4" t="str">
        <f>_xlfn.LET(_xlpm.ig, _xlfn.XLOOKUP(Clean_Data[[#This Row],[Country_Code]], Metadata_Country!$A:$A, Metadata_Country!$C:$C, "Unknown"), IF(OR(_xlpm.ig=0, _xlpm.ig=""), "Regional Aggregate", _xlpm.ig))</f>
        <v>Lower middle income</v>
      </c>
      <c r="H154" s="4">
        <f>Clean_Data[[#This Row],[Exports_TIV]] - Clean_Data[[#This Row],[Imports_TIV]]</f>
        <v>-1000000</v>
      </c>
      <c r="I154" s="4">
        <f>Clean_Data[[#This Row],[Exports_TIV]] + Clean_Data[[#This Row],[Imports_TIV]]</f>
        <v>1000000</v>
      </c>
    </row>
    <row r="155" spans="1:9">
      <c r="A155" s="4" t="s">
        <v>495</v>
      </c>
      <c r="B155" s="4" t="s">
        <v>496</v>
      </c>
      <c r="C155" s="5">
        <v>2024</v>
      </c>
      <c r="D155" s="4">
        <v>0</v>
      </c>
      <c r="E155" s="4">
        <v>78000000</v>
      </c>
      <c r="F155" s="4" t="str">
        <f>_xlfn.LET(_xlpm.r, _xlfn.XLOOKUP(Clean_Data[[#This Row],[Country_Code]], Metadata_Country!$A:$A, Metadata_Country!$B:$B, "Unknown"), IF(OR(_xlpm.r=0, _xlpm.r=""), "Regional Aggregate", _xlpm.r))</f>
        <v>Middle East &amp; North Africa</v>
      </c>
      <c r="G155" s="4" t="str">
        <f>_xlfn.LET(_xlpm.ig, _xlfn.XLOOKUP(Clean_Data[[#This Row],[Country_Code]], Metadata_Country!$A:$A, Metadata_Country!$C:$C, "Unknown"), IF(OR(_xlpm.ig=0, _xlpm.ig=""), "Regional Aggregate", _xlpm.ig))</f>
        <v>Lower middle income</v>
      </c>
      <c r="H155" s="4">
        <f>Clean_Data[[#This Row],[Exports_TIV]] - Clean_Data[[#This Row],[Imports_TIV]]</f>
        <v>-78000000</v>
      </c>
      <c r="I155" s="4">
        <f>Clean_Data[[#This Row],[Exports_TIV]] + Clean_Data[[#This Row],[Imports_TIV]]</f>
        <v>78000000</v>
      </c>
    </row>
    <row r="156" spans="1:9">
      <c r="A156" s="4" t="s">
        <v>497</v>
      </c>
      <c r="B156" s="4" t="s">
        <v>498</v>
      </c>
      <c r="C156" s="5">
        <v>2024</v>
      </c>
      <c r="D156" s="4">
        <v>411000000</v>
      </c>
      <c r="E156" s="4">
        <v>381000000</v>
      </c>
      <c r="F156" s="4" t="str">
        <f>_xlfn.LET(_xlpm.r, _xlfn.XLOOKUP(Clean_Data[[#This Row],[Country_Code]], Metadata_Country!$A:$A, Metadata_Country!$B:$B, "Unknown"), IF(OR(_xlpm.r=0, _xlpm.r=""), "Regional Aggregate", _xlpm.r))</f>
        <v>Europe &amp; Central Asia</v>
      </c>
      <c r="G156" s="4" t="str">
        <f>_xlfn.LET(_xlpm.ig, _xlfn.XLOOKUP(Clean_Data[[#This Row],[Country_Code]], Metadata_Country!$A:$A, Metadata_Country!$C:$C, "Unknown"), IF(OR(_xlpm.ig=0, _xlpm.ig=""), "Regional Aggregate", _xlpm.ig))</f>
        <v>Upper middle income</v>
      </c>
      <c r="H156" s="4">
        <f>Clean_Data[[#This Row],[Exports_TIV]] - Clean_Data[[#This Row],[Imports_TIV]]</f>
        <v>30000000</v>
      </c>
      <c r="I156" s="4">
        <f>Clean_Data[[#This Row],[Exports_TIV]] + Clean_Data[[#This Row],[Imports_TIV]]</f>
        <v>792000000</v>
      </c>
    </row>
    <row r="157" spans="1:9">
      <c r="A157" s="4" t="s">
        <v>505</v>
      </c>
      <c r="B157" s="4" t="s">
        <v>506</v>
      </c>
      <c r="C157" s="5">
        <v>2024</v>
      </c>
      <c r="D157" s="4">
        <v>29000000</v>
      </c>
      <c r="E157" s="4">
        <v>5341000000</v>
      </c>
      <c r="F157" s="4" t="str">
        <f>_xlfn.LET(_xlpm.r, _xlfn.XLOOKUP(Clean_Data[[#This Row],[Country_Code]], Metadata_Country!$A:$A, Metadata_Country!$B:$B, "Unknown"), IF(OR(_xlpm.r=0, _xlpm.r=""), "Regional Aggregate", _xlpm.r))</f>
        <v>Europe &amp; Central Asia</v>
      </c>
      <c r="G157" s="4" t="str">
        <f>_xlfn.LET(_xlpm.ig, _xlfn.XLOOKUP(Clean_Data[[#This Row],[Country_Code]], Metadata_Country!$A:$A, Metadata_Country!$C:$C, "Unknown"), IF(OR(_xlpm.ig=0, _xlpm.ig=""), "Regional Aggregate", _xlpm.ig))</f>
        <v>Upper middle income</v>
      </c>
      <c r="H157" s="4">
        <f>Clean_Data[[#This Row],[Exports_TIV]] - Clean_Data[[#This Row],[Imports_TIV]]</f>
        <v>-5312000000</v>
      </c>
      <c r="I157" s="4">
        <f>Clean_Data[[#This Row],[Exports_TIV]] + Clean_Data[[#This Row],[Imports_TIV]]</f>
        <v>5370000000</v>
      </c>
    </row>
    <row r="158" spans="1:9">
      <c r="A158" s="4" t="s">
        <v>25</v>
      </c>
      <c r="B158" s="4" t="s">
        <v>26</v>
      </c>
      <c r="C158" s="5">
        <v>2024</v>
      </c>
      <c r="D158" s="4">
        <v>119000000</v>
      </c>
      <c r="E158" s="4">
        <v>1086000000</v>
      </c>
      <c r="F158" s="4" t="str">
        <f>_xlfn.LET(_xlpm.r, _xlfn.XLOOKUP(Clean_Data[[#This Row],[Country_Code]], Metadata_Country!$A:$A, Metadata_Country!$B:$B, "Unknown"), IF(OR(_xlpm.r=0, _xlpm.r=""), "Regional Aggregate", _xlpm.r))</f>
        <v>Middle East &amp; North Africa</v>
      </c>
      <c r="G158" s="4" t="str">
        <f>_xlfn.LET(_xlpm.ig, _xlfn.XLOOKUP(Clean_Data[[#This Row],[Country_Code]], Metadata_Country!$A:$A, Metadata_Country!$C:$C, "Unknown"), IF(OR(_xlpm.ig=0, _xlpm.ig=""), "Regional Aggregate", _xlpm.ig))</f>
        <v>High income</v>
      </c>
      <c r="H158" s="4">
        <f>Clean_Data[[#This Row],[Exports_TIV]] - Clean_Data[[#This Row],[Imports_TIV]]</f>
        <v>-967000000</v>
      </c>
      <c r="I158" s="4">
        <f>Clean_Data[[#This Row],[Exports_TIV]] + Clean_Data[[#This Row],[Imports_TIV]]</f>
        <v>1205000000</v>
      </c>
    </row>
    <row r="159" spans="1:9">
      <c r="A159" s="4" t="s">
        <v>171</v>
      </c>
      <c r="B159" s="4" t="s">
        <v>172</v>
      </c>
      <c r="C159" s="5">
        <v>2024</v>
      </c>
      <c r="D159" s="4">
        <v>884000000</v>
      </c>
      <c r="E159" s="4">
        <v>486000000</v>
      </c>
      <c r="F159" s="4" t="str">
        <f>_xlfn.LET(_xlpm.r, _xlfn.XLOOKUP(Clean_Data[[#This Row],[Country_Code]], Metadata_Country!$A:$A, Metadata_Country!$B:$B, "Unknown"), IF(OR(_xlpm.r=0, _xlpm.r=""), "Regional Aggregate", _xlpm.r))</f>
        <v>Europe &amp; Central Asia</v>
      </c>
      <c r="G159" s="4" t="str">
        <f>_xlfn.LET(_xlpm.ig, _xlfn.XLOOKUP(Clean_Data[[#This Row],[Country_Code]], Metadata_Country!$A:$A, Metadata_Country!$C:$C, "Unknown"), IF(OR(_xlpm.ig=0, _xlpm.ig=""), "Regional Aggregate", _xlpm.ig))</f>
        <v>High income</v>
      </c>
      <c r="H159" s="4">
        <f>Clean_Data[[#This Row],[Exports_TIV]] - Clean_Data[[#This Row],[Imports_TIV]]</f>
        <v>398000000</v>
      </c>
      <c r="I159" s="4">
        <f>Clean_Data[[#This Row],[Exports_TIV]] + Clean_Data[[#This Row],[Imports_TIV]]</f>
        <v>1370000000</v>
      </c>
    </row>
    <row r="160" spans="1:9">
      <c r="A160" s="4" t="s">
        <v>511</v>
      </c>
      <c r="B160" s="4" t="s">
        <v>512</v>
      </c>
      <c r="C160" s="5">
        <v>2024</v>
      </c>
      <c r="D160" s="4">
        <v>13651000000</v>
      </c>
      <c r="E160" s="4">
        <v>1053000000</v>
      </c>
      <c r="F160" s="4" t="str">
        <f>_xlfn.LET(_xlpm.r, _xlfn.XLOOKUP(Clean_Data[[#This Row],[Country_Code]], Metadata_Country!$A:$A, Metadata_Country!$B:$B, "Unknown"), IF(OR(_xlpm.r=0, _xlpm.r=""), "Regional Aggregate", _xlpm.r))</f>
        <v>North America</v>
      </c>
      <c r="G160" s="4" t="str">
        <f>_xlfn.LET(_xlpm.ig, _xlfn.XLOOKUP(Clean_Data[[#This Row],[Country_Code]], Metadata_Country!$A:$A, Metadata_Country!$C:$C, "Unknown"), IF(OR(_xlpm.ig=0, _xlpm.ig=""), "Regional Aggregate", _xlpm.ig))</f>
        <v>High income</v>
      </c>
      <c r="H160" s="4">
        <f>Clean_Data[[#This Row],[Exports_TIV]] - Clean_Data[[#This Row],[Imports_TIV]]</f>
        <v>12598000000</v>
      </c>
      <c r="I160" s="4">
        <f>Clean_Data[[#This Row],[Exports_TIV]] + Clean_Data[[#This Row],[Imports_TIV]]</f>
        <v>14704000000</v>
      </c>
    </row>
    <row r="161" spans="1:9">
      <c r="A161" s="4" t="s">
        <v>507</v>
      </c>
      <c r="B161" s="4" t="s">
        <v>508</v>
      </c>
      <c r="C161" s="5">
        <v>2024</v>
      </c>
      <c r="D161" s="4">
        <v>2374000000</v>
      </c>
      <c r="E161" s="4">
        <v>8638000000</v>
      </c>
      <c r="F161" s="4" t="str">
        <f>_xlfn.LET(_xlpm.r, _xlfn.XLOOKUP(Clean_Data[[#This Row],[Country_Code]], Metadata_Country!$A:$A, Metadata_Country!$B:$B, "Unknown"), IF(OR(_xlpm.r=0, _xlpm.r=""), "Regional Aggregate", _xlpm.r))</f>
        <v>Regional Aggregate</v>
      </c>
      <c r="G161" s="4" t="str">
        <f>_xlfn.LET(_xlpm.ig, _xlfn.XLOOKUP(Clean_Data[[#This Row],[Country_Code]], Metadata_Country!$A:$A, Metadata_Country!$C:$C, "Unknown"), IF(OR(_xlpm.ig=0, _xlpm.ig=""), "Regional Aggregate", _xlpm.ig))</f>
        <v>Regional Aggregate</v>
      </c>
      <c r="H161" s="4">
        <f>Clean_Data[[#This Row],[Exports_TIV]] - Clean_Data[[#This Row],[Imports_TIV]]</f>
        <v>-6264000000</v>
      </c>
      <c r="I161" s="4">
        <f>Clean_Data[[#This Row],[Exports_TIV]] + Clean_Data[[#This Row],[Imports_TIV]]</f>
        <v>11012000000</v>
      </c>
    </row>
    <row r="162" spans="1:9">
      <c r="A162" s="4" t="s">
        <v>509</v>
      </c>
      <c r="B162" s="4" t="s">
        <v>510</v>
      </c>
      <c r="C162" s="5">
        <v>2024</v>
      </c>
      <c r="D162" s="4">
        <v>0</v>
      </c>
      <c r="E162" s="4">
        <v>13000000</v>
      </c>
      <c r="F162" s="4" t="str">
        <f>_xlfn.LET(_xlpm.r, _xlfn.XLOOKUP(Clean_Data[[#This Row],[Country_Code]], Metadata_Country!$A:$A, Metadata_Country!$B:$B, "Unknown"), IF(OR(_xlpm.r=0, _xlpm.r=""), "Regional Aggregate", _xlpm.r))</f>
        <v>Latin America &amp; Caribbean</v>
      </c>
      <c r="G162" s="4" t="str">
        <f>_xlfn.LET(_xlpm.ig, _xlfn.XLOOKUP(Clean_Data[[#This Row],[Country_Code]], Metadata_Country!$A:$A, Metadata_Country!$C:$C, "Unknown"), IF(OR(_xlpm.ig=0, _xlpm.ig=""), "Regional Aggregate", _xlpm.ig))</f>
        <v>High income</v>
      </c>
      <c r="H162" s="4">
        <f>Clean_Data[[#This Row],[Exports_TIV]] - Clean_Data[[#This Row],[Imports_TIV]]</f>
        <v>-13000000</v>
      </c>
      <c r="I162" s="4">
        <f>Clean_Data[[#This Row],[Exports_TIV]] + Clean_Data[[#This Row],[Imports_TIV]]</f>
        <v>13000000</v>
      </c>
    </row>
    <row r="163" spans="1:9">
      <c r="A163" s="4" t="s">
        <v>513</v>
      </c>
      <c r="B163" s="4" t="s">
        <v>514</v>
      </c>
      <c r="C163" s="5">
        <v>2024</v>
      </c>
      <c r="D163" s="4">
        <v>0</v>
      </c>
      <c r="E163" s="4">
        <v>47000000</v>
      </c>
      <c r="F163" s="4" t="str">
        <f>_xlfn.LET(_xlpm.r, _xlfn.XLOOKUP(Clean_Data[[#This Row],[Country_Code]], Metadata_Country!$A:$A, Metadata_Country!$B:$B, "Unknown"), IF(OR(_xlpm.r=0, _xlpm.r=""), "Regional Aggregate", _xlpm.r))</f>
        <v>Europe &amp; Central Asia</v>
      </c>
      <c r="G163" s="4" t="str">
        <f>_xlfn.LET(_xlpm.ig, _xlfn.XLOOKUP(Clean_Data[[#This Row],[Country_Code]], Metadata_Country!$A:$A, Metadata_Country!$C:$C, "Unknown"), IF(OR(_xlpm.ig=0, _xlpm.ig=""), "Regional Aggregate", _xlpm.ig))</f>
        <v>Lower middle income</v>
      </c>
      <c r="H163" s="4">
        <f>Clean_Data[[#This Row],[Exports_TIV]] - Clean_Data[[#This Row],[Imports_TIV]]</f>
        <v>-47000000</v>
      </c>
      <c r="I163" s="4">
        <f>Clean_Data[[#This Row],[Exports_TIV]] + Clean_Data[[#This Row],[Imports_TIV]]</f>
        <v>47000000</v>
      </c>
    </row>
    <row r="164" spans="1:9">
      <c r="A164" s="4" t="s">
        <v>523</v>
      </c>
      <c r="B164" s="4" t="s">
        <v>524</v>
      </c>
      <c r="C164" s="5">
        <v>2024</v>
      </c>
      <c r="D164" s="4">
        <v>0</v>
      </c>
      <c r="E164" s="4">
        <v>58000000</v>
      </c>
      <c r="F164" s="4" t="str">
        <f>_xlfn.LET(_xlpm.r, _xlfn.XLOOKUP(Clean_Data[[#This Row],[Country_Code]], Metadata_Country!$A:$A, Metadata_Country!$B:$B, "Unknown"), IF(OR(_xlpm.r=0, _xlpm.r=""), "Regional Aggregate", _xlpm.r))</f>
        <v>East Asia &amp; Pacific</v>
      </c>
      <c r="G164" s="4" t="str">
        <f>_xlfn.LET(_xlpm.ig, _xlfn.XLOOKUP(Clean_Data[[#This Row],[Country_Code]], Metadata_Country!$A:$A, Metadata_Country!$C:$C, "Unknown"), IF(OR(_xlpm.ig=0, _xlpm.ig=""), "Regional Aggregate", _xlpm.ig))</f>
        <v>Upper middle income</v>
      </c>
      <c r="H164" s="4">
        <f>Clean_Data[[#This Row],[Exports_TIV]] - Clean_Data[[#This Row],[Imports_TIV]]</f>
        <v>-58000000</v>
      </c>
      <c r="I164" s="4">
        <f>Clean_Data[[#This Row],[Exports_TIV]] + Clean_Data[[#This Row],[Imports_TIV]]</f>
        <v>58000000</v>
      </c>
    </row>
    <row r="165" spans="1:9">
      <c r="A165" s="4" t="s">
        <v>527</v>
      </c>
      <c r="B165" s="4" t="s">
        <v>528</v>
      </c>
      <c r="C165" s="5">
        <v>2024</v>
      </c>
      <c r="D165" s="4">
        <v>30721000000</v>
      </c>
      <c r="E165" s="4">
        <v>30591000000</v>
      </c>
      <c r="F165" s="4" t="str">
        <f>_xlfn.LET(_xlpm.r, _xlfn.XLOOKUP(Clean_Data[[#This Row],[Country_Code]], Metadata_Country!$A:$A, Metadata_Country!$B:$B, "Unknown"), IF(OR(_xlpm.r=0, _xlpm.r=""), "Regional Aggregate", _xlpm.r))</f>
        <v>Regional Aggregate</v>
      </c>
      <c r="G165" s="4" t="str">
        <f>_xlfn.LET(_xlpm.ig, _xlfn.XLOOKUP(Clean_Data[[#This Row],[Country_Code]], Metadata_Country!$A:$A, Metadata_Country!$C:$C, "Unknown"), IF(OR(_xlpm.ig=0, _xlpm.ig=""), "Regional Aggregate", _xlpm.ig))</f>
        <v>Regional Aggregate</v>
      </c>
      <c r="H165" s="4">
        <f>Clean_Data[[#This Row],[Exports_TIV]] - Clean_Data[[#This Row],[Imports_TIV]]</f>
        <v>130000000</v>
      </c>
      <c r="I165" s="4">
        <f>Clean_Data[[#This Row],[Exports_TIV]] + Clean_Data[[#This Row],[Imports_TIV]]</f>
        <v>61312000000</v>
      </c>
    </row>
    <row r="166" spans="1:9">
      <c r="A166" s="4" t="s">
        <v>537</v>
      </c>
      <c r="B166" s="4" t="s">
        <v>538</v>
      </c>
      <c r="C166" s="5">
        <v>2024</v>
      </c>
      <c r="D166" s="4">
        <v>0</v>
      </c>
      <c r="E166" s="4">
        <v>1000000</v>
      </c>
      <c r="F166" s="4" t="str">
        <f>_xlfn.LET(_xlpm.r, _xlfn.XLOOKUP(Clean_Data[[#This Row],[Country_Code]], Metadata_Country!$A:$A, Metadata_Country!$B:$B, "Unknown"), IF(OR(_xlpm.r=0, _xlpm.r=""), "Regional Aggregate", _xlpm.r))</f>
        <v>Sub-Saharan Africa</v>
      </c>
      <c r="G166" s="4" t="str">
        <f>_xlfn.LET(_xlpm.ig, _xlfn.XLOOKUP(Clean_Data[[#This Row],[Country_Code]], Metadata_Country!$A:$A, Metadata_Country!$C:$C, "Unknown"), IF(OR(_xlpm.ig=0, _xlpm.ig=""), "Regional Aggregate", _xlpm.ig))</f>
        <v>Lower middle income</v>
      </c>
      <c r="H166" s="4">
        <f>Clean_Data[[#This Row],[Exports_TIV]] - Clean_Data[[#This Row],[Imports_TIV]]</f>
        <v>-1000000</v>
      </c>
      <c r="I166" s="4">
        <f>Clean_Data[[#This Row],[Exports_TIV]] + Clean_Data[[#This Row],[Imports_TIV]]</f>
        <v>1000000</v>
      </c>
    </row>
    <row r="167" spans="1:9">
      <c r="A167" s="4" t="s">
        <v>11</v>
      </c>
      <c r="B167" s="4" t="s">
        <v>12</v>
      </c>
      <c r="C167" s="5">
        <v>2023</v>
      </c>
      <c r="D167" s="4">
        <v>0</v>
      </c>
      <c r="E167" s="4">
        <v>166000000</v>
      </c>
      <c r="F167" s="4" t="str">
        <f>_xlfn.LET(_xlpm.r, _xlfn.XLOOKUP(Clean_Data[[#This Row],[Country_Code]], Metadata_Country!$A:$A, Metadata_Country!$B:$B, "Unknown"), IF(OR(_xlpm.r=0, _xlpm.r=""), "Regional Aggregate", _xlpm.r))</f>
        <v>Regional Aggregate</v>
      </c>
      <c r="G167" s="4" t="str">
        <f>_xlfn.LET(_xlpm.ig, _xlfn.XLOOKUP(Clean_Data[[#This Row],[Country_Code]], Metadata_Country!$A:$A, Metadata_Country!$C:$C, "Unknown"), IF(OR(_xlpm.ig=0, _xlpm.ig=""), "Regional Aggregate", _xlpm.ig))</f>
        <v>Regional Aggregate</v>
      </c>
      <c r="H167" s="4">
        <f>Clean_Data[[#This Row],[Exports_TIV]] - Clean_Data[[#This Row],[Imports_TIV]]</f>
        <v>-166000000</v>
      </c>
      <c r="I167" s="4">
        <f>Clean_Data[[#This Row],[Exports_TIV]] + Clean_Data[[#This Row],[Imports_TIV]]</f>
        <v>166000000</v>
      </c>
    </row>
    <row r="168" spans="1:9">
      <c r="A168" s="4" t="s">
        <v>15</v>
      </c>
      <c r="B168" s="4" t="s">
        <v>16</v>
      </c>
      <c r="C168" s="5">
        <v>2023</v>
      </c>
      <c r="D168" s="4">
        <v>0</v>
      </c>
      <c r="E168" s="4">
        <v>587000000</v>
      </c>
      <c r="F168" s="4" t="str">
        <f>_xlfn.LET(_xlpm.r, _xlfn.XLOOKUP(Clean_Data[[#This Row],[Country_Code]], Metadata_Country!$A:$A, Metadata_Country!$B:$B, "Unknown"), IF(OR(_xlpm.r=0, _xlpm.r=""), "Regional Aggregate", _xlpm.r))</f>
        <v>Regional Aggregate</v>
      </c>
      <c r="G168" s="4" t="str">
        <f>_xlfn.LET(_xlpm.ig, _xlfn.XLOOKUP(Clean_Data[[#This Row],[Country_Code]], Metadata_Country!$A:$A, Metadata_Country!$C:$C, "Unknown"), IF(OR(_xlpm.ig=0, _xlpm.ig=""), "Regional Aggregate", _xlpm.ig))</f>
        <v>Regional Aggregate</v>
      </c>
      <c r="H168" s="4">
        <f>Clean_Data[[#This Row],[Exports_TIV]] - Clean_Data[[#This Row],[Imports_TIV]]</f>
        <v>-587000000</v>
      </c>
      <c r="I168" s="4">
        <f>Clean_Data[[#This Row],[Exports_TIV]] + Clean_Data[[#This Row],[Imports_TIV]]</f>
        <v>587000000</v>
      </c>
    </row>
    <row r="169" spans="1:9">
      <c r="A169" s="4" t="s">
        <v>19</v>
      </c>
      <c r="B169" s="4" t="s">
        <v>20</v>
      </c>
      <c r="C169" s="5">
        <v>2023</v>
      </c>
      <c r="D169" s="4">
        <v>0</v>
      </c>
      <c r="E169" s="4">
        <v>1000000</v>
      </c>
      <c r="F169" s="4" t="str">
        <f>_xlfn.LET(_xlpm.r, _xlfn.XLOOKUP(Clean_Data[[#This Row],[Country_Code]], Metadata_Country!$A:$A, Metadata_Country!$B:$B, "Unknown"), IF(OR(_xlpm.r=0, _xlpm.r=""), "Regional Aggregate", _xlpm.r))</f>
        <v>Europe &amp; Central Asia</v>
      </c>
      <c r="G169" s="4" t="str">
        <f>_xlfn.LET(_xlpm.ig, _xlfn.XLOOKUP(Clean_Data[[#This Row],[Country_Code]], Metadata_Country!$A:$A, Metadata_Country!$C:$C, "Unknown"), IF(OR(_xlpm.ig=0, _xlpm.ig=""), "Regional Aggregate", _xlpm.ig))</f>
        <v>Upper middle income</v>
      </c>
      <c r="H169" s="4">
        <f>Clean_Data[[#This Row],[Exports_TIV]] - Clean_Data[[#This Row],[Imports_TIV]]</f>
        <v>-1000000</v>
      </c>
      <c r="I169" s="4">
        <f>Clean_Data[[#This Row],[Exports_TIV]] + Clean_Data[[#This Row],[Imports_TIV]]</f>
        <v>1000000</v>
      </c>
    </row>
    <row r="170" spans="1:9">
      <c r="A170" s="4" t="s">
        <v>129</v>
      </c>
      <c r="B170" s="4" t="s">
        <v>130</v>
      </c>
      <c r="C170" s="5">
        <v>2023</v>
      </c>
      <c r="D170" s="4">
        <v>0</v>
      </c>
      <c r="E170" s="4">
        <v>394000000</v>
      </c>
      <c r="F170" s="4" t="str">
        <f>_xlfn.LET(_xlpm.r, _xlfn.XLOOKUP(Clean_Data[[#This Row],[Country_Code]], Metadata_Country!$A:$A, Metadata_Country!$B:$B, "Unknown"), IF(OR(_xlpm.r=0, _xlpm.r=""), "Regional Aggregate", _xlpm.r))</f>
        <v>Middle East &amp; North Africa</v>
      </c>
      <c r="G170" s="4" t="str">
        <f>_xlfn.LET(_xlpm.ig, _xlfn.XLOOKUP(Clean_Data[[#This Row],[Country_Code]], Metadata_Country!$A:$A, Metadata_Country!$C:$C, "Unknown"), IF(OR(_xlpm.ig=0, _xlpm.ig=""), "Regional Aggregate", _xlpm.ig))</f>
        <v>Upper middle income</v>
      </c>
      <c r="H170" s="4">
        <f>Clean_Data[[#This Row],[Exports_TIV]] - Clean_Data[[#This Row],[Imports_TIV]]</f>
        <v>-394000000</v>
      </c>
      <c r="I170" s="4">
        <f>Clean_Data[[#This Row],[Exports_TIV]] + Clean_Data[[#This Row],[Imports_TIV]]</f>
        <v>394000000</v>
      </c>
    </row>
    <row r="171" spans="1:9">
      <c r="A171" s="4" t="s">
        <v>17</v>
      </c>
      <c r="B171" s="4" t="s">
        <v>18</v>
      </c>
      <c r="C171" s="5">
        <v>2023</v>
      </c>
      <c r="D171" s="4">
        <v>0</v>
      </c>
      <c r="E171" s="4">
        <v>15000000</v>
      </c>
      <c r="F171" s="4" t="str">
        <f>_xlfn.LET(_xlpm.r, _xlfn.XLOOKUP(Clean_Data[[#This Row],[Country_Code]], Metadata_Country!$A:$A, Metadata_Country!$B:$B, "Unknown"), IF(OR(_xlpm.r=0, _xlpm.r=""), "Regional Aggregate", _xlpm.r))</f>
        <v>Sub-Saharan Africa</v>
      </c>
      <c r="G171" s="4" t="str">
        <f>_xlfn.LET(_xlpm.ig, _xlfn.XLOOKUP(Clean_Data[[#This Row],[Country_Code]], Metadata_Country!$A:$A, Metadata_Country!$C:$C, "Unknown"), IF(OR(_xlpm.ig=0, _xlpm.ig=""), "Regional Aggregate", _xlpm.ig))</f>
        <v>Lower middle income</v>
      </c>
      <c r="H171" s="4">
        <f>Clean_Data[[#This Row],[Exports_TIV]] - Clean_Data[[#This Row],[Imports_TIV]]</f>
        <v>-15000000</v>
      </c>
      <c r="I171" s="4">
        <f>Clean_Data[[#This Row],[Exports_TIV]] + Clean_Data[[#This Row],[Imports_TIV]]</f>
        <v>15000000</v>
      </c>
    </row>
    <row r="172" spans="1:9">
      <c r="A172" s="4" t="s">
        <v>33</v>
      </c>
      <c r="B172" s="4" t="s">
        <v>34</v>
      </c>
      <c r="C172" s="5">
        <v>2023</v>
      </c>
      <c r="D172" s="4">
        <v>0</v>
      </c>
      <c r="E172" s="4">
        <v>0</v>
      </c>
      <c r="F172" s="4" t="str">
        <f>_xlfn.LET(_xlpm.r, _xlfn.XLOOKUP(Clean_Data[[#This Row],[Country_Code]], Metadata_Country!$A:$A, Metadata_Country!$B:$B, "Unknown"), IF(OR(_xlpm.r=0, _xlpm.r=""), "Regional Aggregate", _xlpm.r))</f>
        <v>Latin America &amp; Caribbean</v>
      </c>
      <c r="G172" s="4" t="str">
        <f>_xlfn.LET(_xlpm.ig, _xlfn.XLOOKUP(Clean_Data[[#This Row],[Country_Code]], Metadata_Country!$A:$A, Metadata_Country!$C:$C, "Unknown"), IF(OR(_xlpm.ig=0, _xlpm.ig=""), "Regional Aggregate", _xlpm.ig))</f>
        <v>High income</v>
      </c>
      <c r="H172" s="4">
        <f>Clean_Data[[#This Row],[Exports_TIV]] - Clean_Data[[#This Row],[Imports_TIV]]</f>
        <v>0</v>
      </c>
      <c r="I172" s="4">
        <f>Clean_Data[[#This Row],[Exports_TIV]] + Clean_Data[[#This Row],[Imports_TIV]]</f>
        <v>0</v>
      </c>
    </row>
    <row r="173" spans="1:9">
      <c r="A173" s="4" t="s">
        <v>23</v>
      </c>
      <c r="B173" s="4" t="s">
        <v>24</v>
      </c>
      <c r="C173" s="5">
        <v>2023</v>
      </c>
      <c r="D173" s="4">
        <v>183000000</v>
      </c>
      <c r="E173" s="4">
        <v>7241000000</v>
      </c>
      <c r="F173" s="4" t="str">
        <f>_xlfn.LET(_xlpm.r, _xlfn.XLOOKUP(Clean_Data[[#This Row],[Country_Code]], Metadata_Country!$A:$A, Metadata_Country!$B:$B, "Unknown"), IF(OR(_xlpm.r=0, _xlpm.r=""), "Regional Aggregate", _xlpm.r))</f>
        <v>Regional Aggregate</v>
      </c>
      <c r="G173" s="4" t="str">
        <f>_xlfn.LET(_xlpm.ig, _xlfn.XLOOKUP(Clean_Data[[#This Row],[Country_Code]], Metadata_Country!$A:$A, Metadata_Country!$C:$C, "Unknown"), IF(OR(_xlpm.ig=0, _xlpm.ig=""), "Regional Aggregate", _xlpm.ig))</f>
        <v>Regional Aggregate</v>
      </c>
      <c r="H173" s="4">
        <f>Clean_Data[[#This Row],[Exports_TIV]] - Clean_Data[[#This Row],[Imports_TIV]]</f>
        <v>-7058000000</v>
      </c>
      <c r="I173" s="4">
        <f>Clean_Data[[#This Row],[Exports_TIV]] + Clean_Data[[#This Row],[Imports_TIV]]</f>
        <v>7424000000</v>
      </c>
    </row>
    <row r="174" spans="1:9">
      <c r="A174" s="4" t="s">
        <v>27</v>
      </c>
      <c r="B174" s="4" t="s">
        <v>28</v>
      </c>
      <c r="C174" s="5">
        <v>2023</v>
      </c>
      <c r="D174" s="4">
        <v>0</v>
      </c>
      <c r="E174" s="4">
        <v>22000000</v>
      </c>
      <c r="F174" s="4" t="str">
        <f>_xlfn.LET(_xlpm.r, _xlfn.XLOOKUP(Clean_Data[[#This Row],[Country_Code]], Metadata_Country!$A:$A, Metadata_Country!$B:$B, "Unknown"), IF(OR(_xlpm.r=0, _xlpm.r=""), "Regional Aggregate", _xlpm.r))</f>
        <v>Latin America &amp; Caribbean</v>
      </c>
      <c r="G174" s="4" t="str">
        <f>_xlfn.LET(_xlpm.ig, _xlfn.XLOOKUP(Clean_Data[[#This Row],[Country_Code]], Metadata_Country!$A:$A, Metadata_Country!$C:$C, "Unknown"), IF(OR(_xlpm.ig=0, _xlpm.ig=""), "Regional Aggregate", _xlpm.ig))</f>
        <v>Upper middle income</v>
      </c>
      <c r="H174" s="4">
        <f>Clean_Data[[#This Row],[Exports_TIV]] - Clean_Data[[#This Row],[Imports_TIV]]</f>
        <v>-22000000</v>
      </c>
      <c r="I174" s="4">
        <f>Clean_Data[[#This Row],[Exports_TIV]] + Clean_Data[[#This Row],[Imports_TIV]]</f>
        <v>22000000</v>
      </c>
    </row>
    <row r="175" spans="1:9">
      <c r="A175" s="4" t="s">
        <v>29</v>
      </c>
      <c r="B175" s="4" t="s">
        <v>30</v>
      </c>
      <c r="C175" s="5">
        <v>2023</v>
      </c>
      <c r="D175" s="4">
        <v>0</v>
      </c>
      <c r="E175" s="4">
        <v>7000000</v>
      </c>
      <c r="F175" s="4" t="str">
        <f>_xlfn.LET(_xlpm.r, _xlfn.XLOOKUP(Clean_Data[[#This Row],[Country_Code]], Metadata_Country!$A:$A, Metadata_Country!$B:$B, "Unknown"), IF(OR(_xlpm.r=0, _xlpm.r=""), "Regional Aggregate", _xlpm.r))</f>
        <v>Europe &amp; Central Asia</v>
      </c>
      <c r="G175" s="4" t="str">
        <f>_xlfn.LET(_xlpm.ig, _xlfn.XLOOKUP(Clean_Data[[#This Row],[Country_Code]], Metadata_Country!$A:$A, Metadata_Country!$C:$C, "Unknown"), IF(OR(_xlpm.ig=0, _xlpm.ig=""), "Regional Aggregate", _xlpm.ig))</f>
        <v>Upper middle income</v>
      </c>
      <c r="H175" s="4">
        <f>Clean_Data[[#This Row],[Exports_TIV]] - Clean_Data[[#This Row],[Imports_TIV]]</f>
        <v>-7000000</v>
      </c>
      <c r="I175" s="4">
        <f>Clean_Data[[#This Row],[Exports_TIV]] + Clean_Data[[#This Row],[Imports_TIV]]</f>
        <v>7000000</v>
      </c>
    </row>
    <row r="176" spans="1:9">
      <c r="A176" s="4" t="s">
        <v>35</v>
      </c>
      <c r="B176" s="4" t="s">
        <v>36</v>
      </c>
      <c r="C176" s="5">
        <v>2023</v>
      </c>
      <c r="D176" s="4">
        <v>81000000</v>
      </c>
      <c r="E176" s="4">
        <v>376000000</v>
      </c>
      <c r="F176" s="4" t="str">
        <f>_xlfn.LET(_xlpm.r, _xlfn.XLOOKUP(Clean_Data[[#This Row],[Country_Code]], Metadata_Country!$A:$A, Metadata_Country!$B:$B, "Unknown"), IF(OR(_xlpm.r=0, _xlpm.r=""), "Regional Aggregate", _xlpm.r))</f>
        <v>East Asia &amp; Pacific</v>
      </c>
      <c r="G176" s="4" t="str">
        <f>_xlfn.LET(_xlpm.ig, _xlfn.XLOOKUP(Clean_Data[[#This Row],[Country_Code]], Metadata_Country!$A:$A, Metadata_Country!$C:$C, "Unknown"), IF(OR(_xlpm.ig=0, _xlpm.ig=""), "Regional Aggregate", _xlpm.ig))</f>
        <v>High income</v>
      </c>
      <c r="H176" s="4">
        <f>Clean_Data[[#This Row],[Exports_TIV]] - Clean_Data[[#This Row],[Imports_TIV]]</f>
        <v>-295000000</v>
      </c>
      <c r="I176" s="4">
        <f>Clean_Data[[#This Row],[Exports_TIV]] + Clean_Data[[#This Row],[Imports_TIV]]</f>
        <v>457000000</v>
      </c>
    </row>
    <row r="177" spans="1:9">
      <c r="A177" s="4" t="s">
        <v>37</v>
      </c>
      <c r="B177" s="4" t="s">
        <v>38</v>
      </c>
      <c r="C177" s="5">
        <v>2023</v>
      </c>
      <c r="D177" s="4">
        <v>4000000</v>
      </c>
      <c r="E177" s="4">
        <v>17000000</v>
      </c>
      <c r="F177" s="4" t="str">
        <f>_xlfn.LET(_xlpm.r, _xlfn.XLOOKUP(Clean_Data[[#This Row],[Country_Code]], Metadata_Country!$A:$A, Metadata_Country!$B:$B, "Unknown"), IF(OR(_xlpm.r=0, _xlpm.r=""), "Regional Aggregate", _xlpm.r))</f>
        <v>Europe &amp; Central Asia</v>
      </c>
      <c r="G177" s="4" t="str">
        <f>_xlfn.LET(_xlpm.ig, _xlfn.XLOOKUP(Clean_Data[[#This Row],[Country_Code]], Metadata_Country!$A:$A, Metadata_Country!$C:$C, "Unknown"), IF(OR(_xlpm.ig=0, _xlpm.ig=""), "Regional Aggregate", _xlpm.ig))</f>
        <v>High income</v>
      </c>
      <c r="H177" s="4">
        <f>Clean_Data[[#This Row],[Exports_TIV]] - Clean_Data[[#This Row],[Imports_TIV]]</f>
        <v>-13000000</v>
      </c>
      <c r="I177" s="4">
        <f>Clean_Data[[#This Row],[Exports_TIV]] + Clean_Data[[#This Row],[Imports_TIV]]</f>
        <v>21000000</v>
      </c>
    </row>
    <row r="178" spans="1:9">
      <c r="A178" s="4" t="s">
        <v>39</v>
      </c>
      <c r="B178" s="4" t="s">
        <v>40</v>
      </c>
      <c r="C178" s="5">
        <v>2023</v>
      </c>
      <c r="D178" s="4">
        <v>2000000</v>
      </c>
      <c r="E178" s="4">
        <v>3000000</v>
      </c>
      <c r="F178" s="4" t="str">
        <f>_xlfn.LET(_xlpm.r, _xlfn.XLOOKUP(Clean_Data[[#This Row],[Country_Code]], Metadata_Country!$A:$A, Metadata_Country!$B:$B, "Unknown"), IF(OR(_xlpm.r=0, _xlpm.r=""), "Regional Aggregate", _xlpm.r))</f>
        <v>Europe &amp; Central Asia</v>
      </c>
      <c r="G178" s="4" t="str">
        <f>_xlfn.LET(_xlpm.ig, _xlfn.XLOOKUP(Clean_Data[[#This Row],[Country_Code]], Metadata_Country!$A:$A, Metadata_Country!$C:$C, "Unknown"), IF(OR(_xlpm.ig=0, _xlpm.ig=""), "Regional Aggregate", _xlpm.ig))</f>
        <v>Upper middle income</v>
      </c>
      <c r="H178" s="4">
        <f>Clean_Data[[#This Row],[Exports_TIV]] - Clean_Data[[#This Row],[Imports_TIV]]</f>
        <v>-1000000</v>
      </c>
      <c r="I178" s="4">
        <f>Clean_Data[[#This Row],[Exports_TIV]] + Clean_Data[[#This Row],[Imports_TIV]]</f>
        <v>5000000</v>
      </c>
    </row>
    <row r="179" spans="1:9">
      <c r="A179" s="4" t="s">
        <v>53</v>
      </c>
      <c r="B179" s="4" t="s">
        <v>54</v>
      </c>
      <c r="C179" s="5">
        <v>2023</v>
      </c>
      <c r="D179" s="4">
        <v>0</v>
      </c>
      <c r="E179" s="4">
        <v>294000000</v>
      </c>
      <c r="F179" s="4" t="str">
        <f>_xlfn.LET(_xlpm.r, _xlfn.XLOOKUP(Clean_Data[[#This Row],[Country_Code]], Metadata_Country!$A:$A, Metadata_Country!$B:$B, "Unknown"), IF(OR(_xlpm.r=0, _xlpm.r=""), "Regional Aggregate", _xlpm.r))</f>
        <v>Middle East &amp; North Africa</v>
      </c>
      <c r="G179" s="4" t="str">
        <f>_xlfn.LET(_xlpm.ig, _xlfn.XLOOKUP(Clean_Data[[#This Row],[Country_Code]], Metadata_Country!$A:$A, Metadata_Country!$C:$C, "Unknown"), IF(OR(_xlpm.ig=0, _xlpm.ig=""), "Regional Aggregate", _xlpm.ig))</f>
        <v>High income</v>
      </c>
      <c r="H179" s="4">
        <f>Clean_Data[[#This Row],[Exports_TIV]] - Clean_Data[[#This Row],[Imports_TIV]]</f>
        <v>-294000000</v>
      </c>
      <c r="I179" s="4">
        <f>Clean_Data[[#This Row],[Exports_TIV]] + Clean_Data[[#This Row],[Imports_TIV]]</f>
        <v>294000000</v>
      </c>
    </row>
    <row r="180" spans="1:9">
      <c r="A180" s="4" t="s">
        <v>49</v>
      </c>
      <c r="B180" s="4" t="s">
        <v>50</v>
      </c>
      <c r="C180" s="5">
        <v>2023</v>
      </c>
      <c r="D180" s="4">
        <v>0</v>
      </c>
      <c r="E180" s="4">
        <v>74000000</v>
      </c>
      <c r="F180" s="4" t="str">
        <f>_xlfn.LET(_xlpm.r, _xlfn.XLOOKUP(Clean_Data[[#This Row],[Country_Code]], Metadata_Country!$A:$A, Metadata_Country!$B:$B, "Unknown"), IF(OR(_xlpm.r=0, _xlpm.r=""), "Regional Aggregate", _xlpm.r))</f>
        <v>South Asia</v>
      </c>
      <c r="G180" s="4" t="str">
        <f>_xlfn.LET(_xlpm.ig, _xlfn.XLOOKUP(Clean_Data[[#This Row],[Country_Code]], Metadata_Country!$A:$A, Metadata_Country!$C:$C, "Unknown"), IF(OR(_xlpm.ig=0, _xlpm.ig=""), "Regional Aggregate", _xlpm.ig))</f>
        <v>Lower middle income</v>
      </c>
      <c r="H180" s="4">
        <f>Clean_Data[[#This Row],[Exports_TIV]] - Clean_Data[[#This Row],[Imports_TIV]]</f>
        <v>-74000000</v>
      </c>
      <c r="I180" s="4">
        <f>Clean_Data[[#This Row],[Exports_TIV]] + Clean_Data[[#This Row],[Imports_TIV]]</f>
        <v>74000000</v>
      </c>
    </row>
    <row r="181" spans="1:9">
      <c r="A181" s="4" t="s">
        <v>59</v>
      </c>
      <c r="B181" s="4" t="s">
        <v>60</v>
      </c>
      <c r="C181" s="5">
        <v>2023</v>
      </c>
      <c r="D181" s="4">
        <v>45000000</v>
      </c>
      <c r="E181" s="4">
        <v>178000000</v>
      </c>
      <c r="F181" s="4" t="str">
        <f>_xlfn.LET(_xlpm.r, _xlfn.XLOOKUP(Clean_Data[[#This Row],[Country_Code]], Metadata_Country!$A:$A, Metadata_Country!$B:$B, "Unknown"), IF(OR(_xlpm.r=0, _xlpm.r=""), "Regional Aggregate", _xlpm.r))</f>
        <v>Europe &amp; Central Asia</v>
      </c>
      <c r="G181" s="4" t="str">
        <f>_xlfn.LET(_xlpm.ig, _xlfn.XLOOKUP(Clean_Data[[#This Row],[Country_Code]], Metadata_Country!$A:$A, Metadata_Country!$C:$C, "Unknown"), IF(OR(_xlpm.ig=0, _xlpm.ig=""), "Regional Aggregate", _xlpm.ig))</f>
        <v>Upper middle income</v>
      </c>
      <c r="H181" s="4">
        <f>Clean_Data[[#This Row],[Exports_TIV]] - Clean_Data[[#This Row],[Imports_TIV]]</f>
        <v>-133000000</v>
      </c>
      <c r="I181" s="4">
        <f>Clean_Data[[#This Row],[Exports_TIV]] + Clean_Data[[#This Row],[Imports_TIV]]</f>
        <v>223000000</v>
      </c>
    </row>
    <row r="182" spans="1:9">
      <c r="A182" s="4" t="s">
        <v>43</v>
      </c>
      <c r="B182" s="4" t="s">
        <v>44</v>
      </c>
      <c r="C182" s="5">
        <v>2023</v>
      </c>
      <c r="D182" s="4">
        <v>41000000</v>
      </c>
      <c r="E182" s="4">
        <v>12000000</v>
      </c>
      <c r="F182" s="4" t="str">
        <f>_xlfn.LET(_xlpm.r, _xlfn.XLOOKUP(Clean_Data[[#This Row],[Country_Code]], Metadata_Country!$A:$A, Metadata_Country!$B:$B, "Unknown"), IF(OR(_xlpm.r=0, _xlpm.r=""), "Regional Aggregate", _xlpm.r))</f>
        <v>Europe &amp; Central Asia</v>
      </c>
      <c r="G182" s="4" t="str">
        <f>_xlfn.LET(_xlpm.ig, _xlfn.XLOOKUP(Clean_Data[[#This Row],[Country_Code]], Metadata_Country!$A:$A, Metadata_Country!$C:$C, "Unknown"), IF(OR(_xlpm.ig=0, _xlpm.ig=""), "Regional Aggregate", _xlpm.ig))</f>
        <v>High income</v>
      </c>
      <c r="H182" s="4">
        <f>Clean_Data[[#This Row],[Exports_TIV]] - Clean_Data[[#This Row],[Imports_TIV]]</f>
        <v>29000000</v>
      </c>
      <c r="I182" s="4">
        <f>Clean_Data[[#This Row],[Exports_TIV]] + Clean_Data[[#This Row],[Imports_TIV]]</f>
        <v>53000000</v>
      </c>
    </row>
    <row r="183" spans="1:9">
      <c r="A183" s="4" t="s">
        <v>61</v>
      </c>
      <c r="B183" s="4" t="s">
        <v>62</v>
      </c>
      <c r="C183" s="5">
        <v>2023</v>
      </c>
      <c r="D183" s="4">
        <v>0</v>
      </c>
      <c r="E183" s="4">
        <v>1000000</v>
      </c>
      <c r="F183" s="4" t="str">
        <f>_xlfn.LET(_xlpm.r, _xlfn.XLOOKUP(Clean_Data[[#This Row],[Country_Code]], Metadata_Country!$A:$A, Metadata_Country!$B:$B, "Unknown"), IF(OR(_xlpm.r=0, _xlpm.r=""), "Regional Aggregate", _xlpm.r))</f>
        <v>Latin America &amp; Caribbean</v>
      </c>
      <c r="G183" s="4" t="str">
        <f>_xlfn.LET(_xlpm.ig, _xlfn.XLOOKUP(Clean_Data[[#This Row],[Country_Code]], Metadata_Country!$A:$A, Metadata_Country!$C:$C, "Unknown"), IF(OR(_xlpm.ig=0, _xlpm.ig=""), "Regional Aggregate", _xlpm.ig))</f>
        <v>Upper middle income</v>
      </c>
      <c r="H183" s="4">
        <f>Clean_Data[[#This Row],[Exports_TIV]] - Clean_Data[[#This Row],[Imports_TIV]]</f>
        <v>-1000000</v>
      </c>
      <c r="I183" s="4">
        <f>Clean_Data[[#This Row],[Exports_TIV]] + Clean_Data[[#This Row],[Imports_TIV]]</f>
        <v>1000000</v>
      </c>
    </row>
    <row r="184" spans="1:9">
      <c r="A184" s="4" t="s">
        <v>45</v>
      </c>
      <c r="B184" s="4" t="s">
        <v>46</v>
      </c>
      <c r="C184" s="5">
        <v>2023</v>
      </c>
      <c r="D184" s="4">
        <v>0</v>
      </c>
      <c r="E184" s="4">
        <v>12000000</v>
      </c>
      <c r="F184" s="4" t="str">
        <f>_xlfn.LET(_xlpm.r, _xlfn.XLOOKUP(Clean_Data[[#This Row],[Country_Code]], Metadata_Country!$A:$A, Metadata_Country!$B:$B, "Unknown"), IF(OR(_xlpm.r=0, _xlpm.r=""), "Regional Aggregate", _xlpm.r))</f>
        <v>Sub-Saharan Africa</v>
      </c>
      <c r="G184" s="4" t="str">
        <f>_xlfn.LET(_xlpm.ig, _xlfn.XLOOKUP(Clean_Data[[#This Row],[Country_Code]], Metadata_Country!$A:$A, Metadata_Country!$C:$C, "Unknown"), IF(OR(_xlpm.ig=0, _xlpm.ig=""), "Regional Aggregate", _xlpm.ig))</f>
        <v>Lower middle income</v>
      </c>
      <c r="H184" s="4">
        <f>Clean_Data[[#This Row],[Exports_TIV]] - Clean_Data[[#This Row],[Imports_TIV]]</f>
        <v>-12000000</v>
      </c>
      <c r="I184" s="4">
        <f>Clean_Data[[#This Row],[Exports_TIV]] + Clean_Data[[#This Row],[Imports_TIV]]</f>
        <v>12000000</v>
      </c>
    </row>
    <row r="185" spans="1:9">
      <c r="A185" s="4" t="s">
        <v>57</v>
      </c>
      <c r="B185" s="4" t="s">
        <v>58</v>
      </c>
      <c r="C185" s="5">
        <v>2023</v>
      </c>
      <c r="D185" s="4">
        <v>7000000</v>
      </c>
      <c r="E185" s="4">
        <v>0</v>
      </c>
      <c r="F185" s="4" t="str">
        <f>_xlfn.LET(_xlpm.r, _xlfn.XLOOKUP(Clean_Data[[#This Row],[Country_Code]], Metadata_Country!$A:$A, Metadata_Country!$B:$B, "Unknown"), IF(OR(_xlpm.r=0, _xlpm.r=""), "Regional Aggregate", _xlpm.r))</f>
        <v>Europe &amp; Central Asia</v>
      </c>
      <c r="G185" s="4" t="str">
        <f>_xlfn.LET(_xlpm.ig, _xlfn.XLOOKUP(Clean_Data[[#This Row],[Country_Code]], Metadata_Country!$A:$A, Metadata_Country!$C:$C, "Unknown"), IF(OR(_xlpm.ig=0, _xlpm.ig=""), "Regional Aggregate", _xlpm.ig))</f>
        <v>Upper middle income</v>
      </c>
      <c r="H185" s="4">
        <f>Clean_Data[[#This Row],[Exports_TIV]] - Clean_Data[[#This Row],[Imports_TIV]]</f>
        <v>7000000</v>
      </c>
      <c r="I185" s="4">
        <f>Clean_Data[[#This Row],[Exports_TIV]] + Clean_Data[[#This Row],[Imports_TIV]]</f>
        <v>7000000</v>
      </c>
    </row>
    <row r="186" spans="1:9">
      <c r="A186" s="4" t="s">
        <v>75</v>
      </c>
      <c r="B186" s="4" t="s">
        <v>76</v>
      </c>
      <c r="C186" s="5">
        <v>2023</v>
      </c>
      <c r="D186" s="4">
        <v>0</v>
      </c>
      <c r="E186" s="4">
        <v>1000000</v>
      </c>
      <c r="F186" s="4" t="str">
        <f>_xlfn.LET(_xlpm.r, _xlfn.XLOOKUP(Clean_Data[[#This Row],[Country_Code]], Metadata_Country!$A:$A, Metadata_Country!$B:$B, "Unknown"), IF(OR(_xlpm.r=0, _xlpm.r=""), "Regional Aggregate", _xlpm.r))</f>
        <v>Sub-Saharan Africa</v>
      </c>
      <c r="G186" s="4" t="str">
        <f>_xlfn.LET(_xlpm.ig, _xlfn.XLOOKUP(Clean_Data[[#This Row],[Country_Code]], Metadata_Country!$A:$A, Metadata_Country!$C:$C, "Unknown"), IF(OR(_xlpm.ig=0, _xlpm.ig=""), "Regional Aggregate", _xlpm.ig))</f>
        <v>Upper middle income</v>
      </c>
      <c r="H186" s="4">
        <f>Clean_Data[[#This Row],[Exports_TIV]] - Clean_Data[[#This Row],[Imports_TIV]]</f>
        <v>-1000000</v>
      </c>
      <c r="I186" s="4">
        <f>Clean_Data[[#This Row],[Exports_TIV]] + Clean_Data[[#This Row],[Imports_TIV]]</f>
        <v>1000000</v>
      </c>
    </row>
    <row r="187" spans="1:9">
      <c r="A187" s="4" t="s">
        <v>67</v>
      </c>
      <c r="B187" s="4" t="s">
        <v>68</v>
      </c>
      <c r="C187" s="5">
        <v>2023</v>
      </c>
      <c r="D187" s="4">
        <v>54000000</v>
      </c>
      <c r="E187" s="4">
        <v>193000000</v>
      </c>
      <c r="F187" s="4" t="str">
        <f>_xlfn.LET(_xlpm.r, _xlfn.XLOOKUP(Clean_Data[[#This Row],[Country_Code]], Metadata_Country!$A:$A, Metadata_Country!$B:$B, "Unknown"), IF(OR(_xlpm.r=0, _xlpm.r=""), "Regional Aggregate", _xlpm.r))</f>
        <v>Latin America &amp; Caribbean</v>
      </c>
      <c r="G187" s="4" t="str">
        <f>_xlfn.LET(_xlpm.ig, _xlfn.XLOOKUP(Clean_Data[[#This Row],[Country_Code]], Metadata_Country!$A:$A, Metadata_Country!$C:$C, "Unknown"), IF(OR(_xlpm.ig=0, _xlpm.ig=""), "Regional Aggregate", _xlpm.ig))</f>
        <v>Upper middle income</v>
      </c>
      <c r="H187" s="4">
        <f>Clean_Data[[#This Row],[Exports_TIV]] - Clean_Data[[#This Row],[Imports_TIV]]</f>
        <v>-139000000</v>
      </c>
      <c r="I187" s="4">
        <f>Clean_Data[[#This Row],[Exports_TIV]] + Clean_Data[[#This Row],[Imports_TIV]]</f>
        <v>247000000</v>
      </c>
    </row>
    <row r="188" spans="1:9">
      <c r="A188" s="4" t="s">
        <v>71</v>
      </c>
      <c r="B188" s="4" t="s">
        <v>72</v>
      </c>
      <c r="C188" s="5">
        <v>2023</v>
      </c>
      <c r="D188" s="4">
        <v>0</v>
      </c>
      <c r="E188" s="4">
        <v>11000000</v>
      </c>
      <c r="F188" s="4" t="str">
        <f>_xlfn.LET(_xlpm.r, _xlfn.XLOOKUP(Clean_Data[[#This Row],[Country_Code]], Metadata_Country!$A:$A, Metadata_Country!$B:$B, "Unknown"), IF(OR(_xlpm.r=0, _xlpm.r=""), "Regional Aggregate", _xlpm.r))</f>
        <v>East Asia &amp; Pacific</v>
      </c>
      <c r="G188" s="4" t="str">
        <f>_xlfn.LET(_xlpm.ig, _xlfn.XLOOKUP(Clean_Data[[#This Row],[Country_Code]], Metadata_Country!$A:$A, Metadata_Country!$C:$C, "Unknown"), IF(OR(_xlpm.ig=0, _xlpm.ig=""), "Regional Aggregate", _xlpm.ig))</f>
        <v>High income</v>
      </c>
      <c r="H188" s="4">
        <f>Clean_Data[[#This Row],[Exports_TIV]] - Clean_Data[[#This Row],[Imports_TIV]]</f>
        <v>-11000000</v>
      </c>
      <c r="I188" s="4">
        <f>Clean_Data[[#This Row],[Exports_TIV]] + Clean_Data[[#This Row],[Imports_TIV]]</f>
        <v>11000000</v>
      </c>
    </row>
    <row r="189" spans="1:9">
      <c r="A189" s="4" t="s">
        <v>51</v>
      </c>
      <c r="B189" s="4" t="s">
        <v>52</v>
      </c>
      <c r="C189" s="5">
        <v>2023</v>
      </c>
      <c r="D189" s="4">
        <v>19000000</v>
      </c>
      <c r="E189" s="4">
        <v>0</v>
      </c>
      <c r="F189" s="4" t="str">
        <f>_xlfn.LET(_xlpm.r, _xlfn.XLOOKUP(Clean_Data[[#This Row],[Country_Code]], Metadata_Country!$A:$A, Metadata_Country!$B:$B, "Unknown"), IF(OR(_xlpm.r=0, _xlpm.r=""), "Regional Aggregate", _xlpm.r))</f>
        <v>Europe &amp; Central Asia</v>
      </c>
      <c r="G189" s="4" t="str">
        <f>_xlfn.LET(_xlpm.ig, _xlfn.XLOOKUP(Clean_Data[[#This Row],[Country_Code]], Metadata_Country!$A:$A, Metadata_Country!$C:$C, "Unknown"), IF(OR(_xlpm.ig=0, _xlpm.ig=""), "Regional Aggregate", _xlpm.ig))</f>
        <v>High income</v>
      </c>
      <c r="H189" s="4">
        <f>Clean_Data[[#This Row],[Exports_TIV]] - Clean_Data[[#This Row],[Imports_TIV]]</f>
        <v>19000000</v>
      </c>
      <c r="I189" s="4">
        <f>Clean_Data[[#This Row],[Exports_TIV]] + Clean_Data[[#This Row],[Imports_TIV]]</f>
        <v>19000000</v>
      </c>
    </row>
    <row r="190" spans="1:9">
      <c r="A190" s="4" t="s">
        <v>47</v>
      </c>
      <c r="B190" s="4" t="s">
        <v>48</v>
      </c>
      <c r="C190" s="5">
        <v>2023</v>
      </c>
      <c r="D190" s="4">
        <v>0</v>
      </c>
      <c r="E190" s="4">
        <v>19000000</v>
      </c>
      <c r="F190" s="4" t="str">
        <f>_xlfn.LET(_xlpm.r, _xlfn.XLOOKUP(Clean_Data[[#This Row],[Country_Code]], Metadata_Country!$A:$A, Metadata_Country!$B:$B, "Unknown"), IF(OR(_xlpm.r=0, _xlpm.r=""), "Regional Aggregate", _xlpm.r))</f>
        <v>Sub-Saharan Africa</v>
      </c>
      <c r="G190" s="4" t="str">
        <f>_xlfn.LET(_xlpm.ig, _xlfn.XLOOKUP(Clean_Data[[#This Row],[Country_Code]], Metadata_Country!$A:$A, Metadata_Country!$C:$C, "Unknown"), IF(OR(_xlpm.ig=0, _xlpm.ig=""), "Regional Aggregate", _xlpm.ig))</f>
        <v>Low income</v>
      </c>
      <c r="H190" s="4">
        <f>Clean_Data[[#This Row],[Exports_TIV]] - Clean_Data[[#This Row],[Imports_TIV]]</f>
        <v>-19000000</v>
      </c>
      <c r="I190" s="4">
        <f>Clean_Data[[#This Row],[Exports_TIV]] + Clean_Data[[#This Row],[Imports_TIV]]</f>
        <v>19000000</v>
      </c>
    </row>
    <row r="191" spans="1:9">
      <c r="A191" s="4" t="s">
        <v>255</v>
      </c>
      <c r="B191" s="4" t="s">
        <v>256</v>
      </c>
      <c r="C191" s="5">
        <v>2023</v>
      </c>
      <c r="D191" s="4">
        <v>0</v>
      </c>
      <c r="E191" s="4">
        <v>56000000</v>
      </c>
      <c r="F191" s="4" t="str">
        <f>_xlfn.LET(_xlpm.r, _xlfn.XLOOKUP(Clean_Data[[#This Row],[Country_Code]], Metadata_Country!$A:$A, Metadata_Country!$B:$B, "Unknown"), IF(OR(_xlpm.r=0, _xlpm.r=""), "Regional Aggregate", _xlpm.r))</f>
        <v>East Asia &amp; Pacific</v>
      </c>
      <c r="G191" s="4" t="str">
        <f>_xlfn.LET(_xlpm.ig, _xlfn.XLOOKUP(Clean_Data[[#This Row],[Country_Code]], Metadata_Country!$A:$A, Metadata_Country!$C:$C, "Unknown"), IF(OR(_xlpm.ig=0, _xlpm.ig=""), "Regional Aggregate", _xlpm.ig))</f>
        <v>Lower middle income</v>
      </c>
      <c r="H191" s="4">
        <f>Clean_Data[[#This Row],[Exports_TIV]] - Clean_Data[[#This Row],[Imports_TIV]]</f>
        <v>-56000000</v>
      </c>
      <c r="I191" s="4">
        <f>Clean_Data[[#This Row],[Exports_TIV]] + Clean_Data[[#This Row],[Imports_TIV]]</f>
        <v>56000000</v>
      </c>
    </row>
    <row r="192" spans="1:9">
      <c r="A192" s="4" t="s">
        <v>93</v>
      </c>
      <c r="B192" s="4" t="s">
        <v>94</v>
      </c>
      <c r="C192" s="5">
        <v>2023</v>
      </c>
      <c r="D192" s="4">
        <v>0</v>
      </c>
      <c r="E192" s="4">
        <v>2000000</v>
      </c>
      <c r="F192" s="4" t="str">
        <f>_xlfn.LET(_xlpm.r, _xlfn.XLOOKUP(Clean_Data[[#This Row],[Country_Code]], Metadata_Country!$A:$A, Metadata_Country!$B:$B, "Unknown"), IF(OR(_xlpm.r=0, _xlpm.r=""), "Regional Aggregate", _xlpm.r))</f>
        <v>Sub-Saharan Africa</v>
      </c>
      <c r="G192" s="4" t="str">
        <f>_xlfn.LET(_xlpm.ig, _xlfn.XLOOKUP(Clean_Data[[#This Row],[Country_Code]], Metadata_Country!$A:$A, Metadata_Country!$C:$C, "Unknown"), IF(OR(_xlpm.ig=0, _xlpm.ig=""), "Regional Aggregate", _xlpm.ig))</f>
        <v>Lower middle income</v>
      </c>
      <c r="H192" s="4">
        <f>Clean_Data[[#This Row],[Exports_TIV]] - Clean_Data[[#This Row],[Imports_TIV]]</f>
        <v>-2000000</v>
      </c>
      <c r="I192" s="4">
        <f>Clean_Data[[#This Row],[Exports_TIV]] + Clean_Data[[#This Row],[Imports_TIV]]</f>
        <v>2000000</v>
      </c>
    </row>
    <row r="193" spans="1:9">
      <c r="A193" s="4" t="s">
        <v>79</v>
      </c>
      <c r="B193" s="4" t="s">
        <v>80</v>
      </c>
      <c r="C193" s="5">
        <v>2023</v>
      </c>
      <c r="D193" s="4">
        <v>276000000</v>
      </c>
      <c r="E193" s="4">
        <v>73000000</v>
      </c>
      <c r="F193" s="4" t="str">
        <f>_xlfn.LET(_xlpm.r, _xlfn.XLOOKUP(Clean_Data[[#This Row],[Country_Code]], Metadata_Country!$A:$A, Metadata_Country!$B:$B, "Unknown"), IF(OR(_xlpm.r=0, _xlpm.r=""), "Regional Aggregate", _xlpm.r))</f>
        <v>North America</v>
      </c>
      <c r="G193" s="4" t="str">
        <f>_xlfn.LET(_xlpm.ig, _xlfn.XLOOKUP(Clean_Data[[#This Row],[Country_Code]], Metadata_Country!$A:$A, Metadata_Country!$C:$C, "Unknown"), IF(OR(_xlpm.ig=0, _xlpm.ig=""), "Regional Aggregate", _xlpm.ig))</f>
        <v>High income</v>
      </c>
      <c r="H193" s="4">
        <f>Clean_Data[[#This Row],[Exports_TIV]] - Clean_Data[[#This Row],[Imports_TIV]]</f>
        <v>203000000</v>
      </c>
      <c r="I193" s="4">
        <f>Clean_Data[[#This Row],[Exports_TIV]] + Clean_Data[[#This Row],[Imports_TIV]]</f>
        <v>349000000</v>
      </c>
    </row>
    <row r="194" spans="1:9">
      <c r="A194" s="4" t="s">
        <v>77</v>
      </c>
      <c r="B194" s="4" t="s">
        <v>78</v>
      </c>
      <c r="C194" s="5">
        <v>2023</v>
      </c>
      <c r="D194" s="4">
        <v>0</v>
      </c>
      <c r="E194" s="4">
        <v>43000000</v>
      </c>
      <c r="F194" s="4" t="str">
        <f>_xlfn.LET(_xlpm.r, _xlfn.XLOOKUP(Clean_Data[[#This Row],[Country_Code]], Metadata_Country!$A:$A, Metadata_Country!$B:$B, "Unknown"), IF(OR(_xlpm.r=0, _xlpm.r=""), "Regional Aggregate", _xlpm.r))</f>
        <v>Sub-Saharan Africa</v>
      </c>
      <c r="G194" s="4" t="str">
        <f>_xlfn.LET(_xlpm.ig, _xlfn.XLOOKUP(Clean_Data[[#This Row],[Country_Code]], Metadata_Country!$A:$A, Metadata_Country!$C:$C, "Unknown"), IF(OR(_xlpm.ig=0, _xlpm.ig=""), "Regional Aggregate", _xlpm.ig))</f>
        <v>Low income</v>
      </c>
      <c r="H194" s="4">
        <f>Clean_Data[[#This Row],[Exports_TIV]] - Clean_Data[[#This Row],[Imports_TIV]]</f>
        <v>-43000000</v>
      </c>
      <c r="I194" s="4">
        <f>Clean_Data[[#This Row],[Exports_TIV]] + Clean_Data[[#This Row],[Imports_TIV]]</f>
        <v>43000000</v>
      </c>
    </row>
    <row r="195" spans="1:9">
      <c r="A195" s="4" t="s">
        <v>81</v>
      </c>
      <c r="B195" s="4" t="s">
        <v>82</v>
      </c>
      <c r="C195" s="5">
        <v>2023</v>
      </c>
      <c r="D195" s="4">
        <v>932000000</v>
      </c>
      <c r="E195" s="4">
        <v>2461000000</v>
      </c>
      <c r="F195" s="4" t="str">
        <f>_xlfn.LET(_xlpm.r, _xlfn.XLOOKUP(Clean_Data[[#This Row],[Country_Code]], Metadata_Country!$A:$A, Metadata_Country!$B:$B, "Unknown"), IF(OR(_xlpm.r=0, _xlpm.r=""), "Regional Aggregate", _xlpm.r))</f>
        <v>Regional Aggregate</v>
      </c>
      <c r="G195" s="4" t="str">
        <f>_xlfn.LET(_xlpm.ig, _xlfn.XLOOKUP(Clean_Data[[#This Row],[Country_Code]], Metadata_Country!$A:$A, Metadata_Country!$C:$C, "Unknown"), IF(OR(_xlpm.ig=0, _xlpm.ig=""), "Regional Aggregate", _xlpm.ig))</f>
        <v>Regional Aggregate</v>
      </c>
      <c r="H195" s="4">
        <f>Clean_Data[[#This Row],[Exports_TIV]] - Clean_Data[[#This Row],[Imports_TIV]]</f>
        <v>-1529000000</v>
      </c>
      <c r="I195" s="4">
        <f>Clean_Data[[#This Row],[Exports_TIV]] + Clean_Data[[#This Row],[Imports_TIV]]</f>
        <v>3393000000</v>
      </c>
    </row>
    <row r="196" spans="1:9">
      <c r="A196" s="4" t="s">
        <v>467</v>
      </c>
      <c r="B196" s="4" t="s">
        <v>468</v>
      </c>
      <c r="C196" s="5">
        <v>2023</v>
      </c>
      <c r="D196" s="4">
        <v>0</v>
      </c>
      <c r="E196" s="4">
        <v>32000000</v>
      </c>
      <c r="F196" s="4" t="str">
        <f>_xlfn.LET(_xlpm.r, _xlfn.XLOOKUP(Clean_Data[[#This Row],[Country_Code]], Metadata_Country!$A:$A, Metadata_Country!$B:$B, "Unknown"), IF(OR(_xlpm.r=0, _xlpm.r=""), "Regional Aggregate", _xlpm.r))</f>
        <v>Sub-Saharan Africa</v>
      </c>
      <c r="G196" s="4" t="str">
        <f>_xlfn.LET(_xlpm.ig, _xlfn.XLOOKUP(Clean_Data[[#This Row],[Country_Code]], Metadata_Country!$A:$A, Metadata_Country!$C:$C, "Unknown"), IF(OR(_xlpm.ig=0, _xlpm.ig=""), "Regional Aggregate", _xlpm.ig))</f>
        <v>Low income</v>
      </c>
      <c r="H196" s="4">
        <f>Clean_Data[[#This Row],[Exports_TIV]] - Clean_Data[[#This Row],[Imports_TIV]]</f>
        <v>-32000000</v>
      </c>
      <c r="I196" s="4">
        <f>Clean_Data[[#This Row],[Exports_TIV]] + Clean_Data[[#This Row],[Imports_TIV]]</f>
        <v>32000000</v>
      </c>
    </row>
    <row r="197" spans="1:9">
      <c r="A197" s="4" t="s">
        <v>87</v>
      </c>
      <c r="B197" s="4" t="s">
        <v>88</v>
      </c>
      <c r="C197" s="5">
        <v>2023</v>
      </c>
      <c r="D197" s="4">
        <v>0</v>
      </c>
      <c r="E197" s="4">
        <v>9000000</v>
      </c>
      <c r="F197" s="4" t="str">
        <f>_xlfn.LET(_xlpm.r, _xlfn.XLOOKUP(Clean_Data[[#This Row],[Country_Code]], Metadata_Country!$A:$A, Metadata_Country!$B:$B, "Unknown"), IF(OR(_xlpm.r=0, _xlpm.r=""), "Regional Aggregate", _xlpm.r))</f>
        <v>Latin America &amp; Caribbean</v>
      </c>
      <c r="G197" s="4" t="str">
        <f>_xlfn.LET(_xlpm.ig, _xlfn.XLOOKUP(Clean_Data[[#This Row],[Country_Code]], Metadata_Country!$A:$A, Metadata_Country!$C:$C, "Unknown"), IF(OR(_xlpm.ig=0, _xlpm.ig=""), "Regional Aggregate", _xlpm.ig))</f>
        <v>High income</v>
      </c>
      <c r="H197" s="4">
        <f>Clean_Data[[#This Row],[Exports_TIV]] - Clean_Data[[#This Row],[Imports_TIV]]</f>
        <v>-9000000</v>
      </c>
      <c r="I197" s="4">
        <f>Clean_Data[[#This Row],[Exports_TIV]] + Clean_Data[[#This Row],[Imports_TIV]]</f>
        <v>9000000</v>
      </c>
    </row>
    <row r="198" spans="1:9">
      <c r="A198" s="4" t="s">
        <v>89</v>
      </c>
      <c r="B198" s="4" t="s">
        <v>90</v>
      </c>
      <c r="C198" s="5">
        <v>2023</v>
      </c>
      <c r="D198" s="4">
        <v>2745000000</v>
      </c>
      <c r="E198" s="4">
        <v>428000000</v>
      </c>
      <c r="F198" s="4" t="str">
        <f>_xlfn.LET(_xlpm.r, _xlfn.XLOOKUP(Clean_Data[[#This Row],[Country_Code]], Metadata_Country!$A:$A, Metadata_Country!$B:$B, "Unknown"), IF(OR(_xlpm.r=0, _xlpm.r=""), "Regional Aggregate", _xlpm.r))</f>
        <v>East Asia &amp; Pacific</v>
      </c>
      <c r="G198" s="4" t="str">
        <f>_xlfn.LET(_xlpm.ig, _xlfn.XLOOKUP(Clean_Data[[#This Row],[Country_Code]], Metadata_Country!$A:$A, Metadata_Country!$C:$C, "Unknown"), IF(OR(_xlpm.ig=0, _xlpm.ig=""), "Regional Aggregate", _xlpm.ig))</f>
        <v>Upper middle income</v>
      </c>
      <c r="H198" s="4">
        <f>Clean_Data[[#This Row],[Exports_TIV]] - Clean_Data[[#This Row],[Imports_TIV]]</f>
        <v>2317000000</v>
      </c>
      <c r="I198" s="4">
        <f>Clean_Data[[#This Row],[Exports_TIV]] + Clean_Data[[#This Row],[Imports_TIV]]</f>
        <v>3173000000</v>
      </c>
    </row>
    <row r="199" spans="1:9">
      <c r="A199" s="4" t="s">
        <v>99</v>
      </c>
      <c r="B199" s="4" t="s">
        <v>100</v>
      </c>
      <c r="C199" s="5">
        <v>2023</v>
      </c>
      <c r="D199" s="4">
        <v>0</v>
      </c>
      <c r="E199" s="4">
        <v>3000000</v>
      </c>
      <c r="F199" s="4" t="str">
        <f>_xlfn.LET(_xlpm.r, _xlfn.XLOOKUP(Clean_Data[[#This Row],[Country_Code]], Metadata_Country!$A:$A, Metadata_Country!$B:$B, "Unknown"), IF(OR(_xlpm.r=0, _xlpm.r=""), "Regional Aggregate", _xlpm.r))</f>
        <v>Latin America &amp; Caribbean</v>
      </c>
      <c r="G199" s="4" t="str">
        <f>_xlfn.LET(_xlpm.ig, _xlfn.XLOOKUP(Clean_Data[[#This Row],[Country_Code]], Metadata_Country!$A:$A, Metadata_Country!$C:$C, "Unknown"), IF(OR(_xlpm.ig=0, _xlpm.ig=""), "Regional Aggregate", _xlpm.ig))</f>
        <v>Upper middle income</v>
      </c>
      <c r="H199" s="4">
        <f>Clean_Data[[#This Row],[Exports_TIV]] - Clean_Data[[#This Row],[Imports_TIV]]</f>
        <v>-3000000</v>
      </c>
      <c r="I199" s="4">
        <f>Clean_Data[[#This Row],[Exports_TIV]] + Clean_Data[[#This Row],[Imports_TIV]]</f>
        <v>3000000</v>
      </c>
    </row>
    <row r="200" spans="1:9">
      <c r="A200" s="4" t="s">
        <v>95</v>
      </c>
      <c r="B200" s="4" t="s">
        <v>96</v>
      </c>
      <c r="C200" s="5">
        <v>2023</v>
      </c>
      <c r="D200" s="4">
        <v>0</v>
      </c>
      <c r="E200" s="4">
        <v>27000000</v>
      </c>
      <c r="F200" s="4" t="str">
        <f>_xlfn.LET(_xlpm.r, _xlfn.XLOOKUP(Clean_Data[[#This Row],[Country_Code]], Metadata_Country!$A:$A, Metadata_Country!$B:$B, "Unknown"), IF(OR(_xlpm.r=0, _xlpm.r=""), "Regional Aggregate", _xlpm.r))</f>
        <v>Sub-Saharan Africa</v>
      </c>
      <c r="G200" s="4" t="str">
        <f>_xlfn.LET(_xlpm.ig, _xlfn.XLOOKUP(Clean_Data[[#This Row],[Country_Code]], Metadata_Country!$A:$A, Metadata_Country!$C:$C, "Unknown"), IF(OR(_xlpm.ig=0, _xlpm.ig=""), "Regional Aggregate", _xlpm.ig))</f>
        <v>Low income</v>
      </c>
      <c r="H200" s="4">
        <f>Clean_Data[[#This Row],[Exports_TIV]] - Clean_Data[[#This Row],[Imports_TIV]]</f>
        <v>-27000000</v>
      </c>
      <c r="I200" s="4">
        <f>Clean_Data[[#This Row],[Exports_TIV]] + Clean_Data[[#This Row],[Imports_TIV]]</f>
        <v>27000000</v>
      </c>
    </row>
    <row r="201" spans="1:9">
      <c r="A201" s="4" t="s">
        <v>91</v>
      </c>
      <c r="B201" s="4" t="s">
        <v>92</v>
      </c>
      <c r="C201" s="5">
        <v>2023</v>
      </c>
      <c r="D201" s="4">
        <v>0</v>
      </c>
      <c r="E201" s="4">
        <v>70000000</v>
      </c>
      <c r="F201" s="4" t="str">
        <f>_xlfn.LET(_xlpm.r, _xlfn.XLOOKUP(Clean_Data[[#This Row],[Country_Code]], Metadata_Country!$A:$A, Metadata_Country!$B:$B, "Unknown"), IF(OR(_xlpm.r=0, _xlpm.r=""), "Regional Aggregate", _xlpm.r))</f>
        <v>Sub-Saharan Africa</v>
      </c>
      <c r="G201" s="4" t="str">
        <f>_xlfn.LET(_xlpm.ig, _xlfn.XLOOKUP(Clean_Data[[#This Row],[Country_Code]], Metadata_Country!$A:$A, Metadata_Country!$C:$C, "Unknown"), IF(OR(_xlpm.ig=0, _xlpm.ig=""), "Regional Aggregate", _xlpm.ig))</f>
        <v>Lower middle income</v>
      </c>
      <c r="H201" s="4">
        <f>Clean_Data[[#This Row],[Exports_TIV]] - Clean_Data[[#This Row],[Imports_TIV]]</f>
        <v>-70000000</v>
      </c>
      <c r="I201" s="4">
        <f>Clean_Data[[#This Row],[Exports_TIV]] + Clean_Data[[#This Row],[Imports_TIV]]</f>
        <v>70000000</v>
      </c>
    </row>
    <row r="202" spans="1:9">
      <c r="A202" s="4" t="s">
        <v>207</v>
      </c>
      <c r="B202" s="4" t="s">
        <v>208</v>
      </c>
      <c r="C202" s="5">
        <v>2023</v>
      </c>
      <c r="D202" s="4">
        <v>39000000</v>
      </c>
      <c r="E202" s="4">
        <v>89000000</v>
      </c>
      <c r="F202" s="4" t="str">
        <f>_xlfn.LET(_xlpm.r, _xlfn.XLOOKUP(Clean_Data[[#This Row],[Country_Code]], Metadata_Country!$A:$A, Metadata_Country!$B:$B, "Unknown"), IF(OR(_xlpm.r=0, _xlpm.r=""), "Regional Aggregate", _xlpm.r))</f>
        <v>Europe &amp; Central Asia</v>
      </c>
      <c r="G202" s="4" t="str">
        <f>_xlfn.LET(_xlpm.ig, _xlfn.XLOOKUP(Clean_Data[[#This Row],[Country_Code]], Metadata_Country!$A:$A, Metadata_Country!$C:$C, "Unknown"), IF(OR(_xlpm.ig=0, _xlpm.ig=""), "Regional Aggregate", _xlpm.ig))</f>
        <v>High income</v>
      </c>
      <c r="H202" s="4">
        <f>Clean_Data[[#This Row],[Exports_TIV]] - Clean_Data[[#This Row],[Imports_TIV]]</f>
        <v>-50000000</v>
      </c>
      <c r="I202" s="4">
        <f>Clean_Data[[#This Row],[Exports_TIV]] + Clean_Data[[#This Row],[Imports_TIV]]</f>
        <v>128000000</v>
      </c>
    </row>
    <row r="203" spans="1:9">
      <c r="A203" s="4" t="s">
        <v>115</v>
      </c>
      <c r="B203" s="4" t="s">
        <v>116</v>
      </c>
      <c r="C203" s="5">
        <v>2023</v>
      </c>
      <c r="D203" s="4">
        <v>40000000</v>
      </c>
      <c r="E203" s="4">
        <v>8000000</v>
      </c>
      <c r="F203" s="4" t="str">
        <f>_xlfn.LET(_xlpm.r, _xlfn.XLOOKUP(Clean_Data[[#This Row],[Country_Code]], Metadata_Country!$A:$A, Metadata_Country!$B:$B, "Unknown"), IF(OR(_xlpm.r=0, _xlpm.r=""), "Regional Aggregate", _xlpm.r))</f>
        <v>Europe &amp; Central Asia</v>
      </c>
      <c r="G203" s="4" t="str">
        <f>_xlfn.LET(_xlpm.ig, _xlfn.XLOOKUP(Clean_Data[[#This Row],[Country_Code]], Metadata_Country!$A:$A, Metadata_Country!$C:$C, "Unknown"), IF(OR(_xlpm.ig=0, _xlpm.ig=""), "Regional Aggregate", _xlpm.ig))</f>
        <v>High income</v>
      </c>
      <c r="H203" s="4">
        <f>Clean_Data[[#This Row],[Exports_TIV]] - Clean_Data[[#This Row],[Imports_TIV]]</f>
        <v>32000000</v>
      </c>
      <c r="I203" s="4">
        <f>Clean_Data[[#This Row],[Exports_TIV]] + Clean_Data[[#This Row],[Imports_TIV]]</f>
        <v>48000000</v>
      </c>
    </row>
    <row r="204" spans="1:9">
      <c r="A204" s="4" t="s">
        <v>117</v>
      </c>
      <c r="B204" s="4" t="s">
        <v>118</v>
      </c>
      <c r="C204" s="5">
        <v>2023</v>
      </c>
      <c r="D204" s="4">
        <v>113000000</v>
      </c>
      <c r="E204" s="4">
        <v>148000000</v>
      </c>
      <c r="F204" s="4" t="str">
        <f>_xlfn.LET(_xlpm.r, _xlfn.XLOOKUP(Clean_Data[[#This Row],[Country_Code]], Metadata_Country!$A:$A, Metadata_Country!$B:$B, "Unknown"), IF(OR(_xlpm.r=0, _xlpm.r=""), "Regional Aggregate", _xlpm.r))</f>
        <v>Europe &amp; Central Asia</v>
      </c>
      <c r="G204" s="4" t="str">
        <f>_xlfn.LET(_xlpm.ig, _xlfn.XLOOKUP(Clean_Data[[#This Row],[Country_Code]], Metadata_Country!$A:$A, Metadata_Country!$C:$C, "Unknown"), IF(OR(_xlpm.ig=0, _xlpm.ig=""), "Regional Aggregate", _xlpm.ig))</f>
        <v>High income</v>
      </c>
      <c r="H204" s="4">
        <f>Clean_Data[[#This Row],[Exports_TIV]] - Clean_Data[[#This Row],[Imports_TIV]]</f>
        <v>-35000000</v>
      </c>
      <c r="I204" s="4">
        <f>Clean_Data[[#This Row],[Exports_TIV]] + Clean_Data[[#This Row],[Imports_TIV]]</f>
        <v>261000000</v>
      </c>
    </row>
    <row r="205" spans="1:9">
      <c r="A205" s="4" t="s">
        <v>125</v>
      </c>
      <c r="B205" s="4" t="s">
        <v>126</v>
      </c>
      <c r="C205" s="5">
        <v>2023</v>
      </c>
      <c r="D205" s="4">
        <v>46000000</v>
      </c>
      <c r="E205" s="4">
        <v>280000000</v>
      </c>
      <c r="F205" s="4" t="str">
        <f>_xlfn.LET(_xlpm.r, _xlfn.XLOOKUP(Clean_Data[[#This Row],[Country_Code]], Metadata_Country!$A:$A, Metadata_Country!$B:$B, "Unknown"), IF(OR(_xlpm.r=0, _xlpm.r=""), "Regional Aggregate", _xlpm.r))</f>
        <v>Europe &amp; Central Asia</v>
      </c>
      <c r="G205" s="4" t="str">
        <f>_xlfn.LET(_xlpm.ig, _xlfn.XLOOKUP(Clean_Data[[#This Row],[Country_Code]], Metadata_Country!$A:$A, Metadata_Country!$C:$C, "Unknown"), IF(OR(_xlpm.ig=0, _xlpm.ig=""), "Regional Aggregate", _xlpm.ig))</f>
        <v>High income</v>
      </c>
      <c r="H205" s="4">
        <f>Clean_Data[[#This Row],[Exports_TIV]] - Clean_Data[[#This Row],[Imports_TIV]]</f>
        <v>-234000000</v>
      </c>
      <c r="I205" s="4">
        <f>Clean_Data[[#This Row],[Exports_TIV]] + Clean_Data[[#This Row],[Imports_TIV]]</f>
        <v>326000000</v>
      </c>
    </row>
    <row r="206" spans="1:9">
      <c r="A206" s="4" t="s">
        <v>121</v>
      </c>
      <c r="B206" s="4" t="s">
        <v>122</v>
      </c>
      <c r="C206" s="5">
        <v>2023</v>
      </c>
      <c r="D206" s="4">
        <v>0</v>
      </c>
      <c r="E206" s="4">
        <v>0</v>
      </c>
      <c r="F206" s="4" t="str">
        <f>_xlfn.LET(_xlpm.r, _xlfn.XLOOKUP(Clean_Data[[#This Row],[Country_Code]], Metadata_Country!$A:$A, Metadata_Country!$B:$B, "Unknown"), IF(OR(_xlpm.r=0, _xlpm.r=""), "Regional Aggregate", _xlpm.r))</f>
        <v>Middle East &amp; North Africa</v>
      </c>
      <c r="G206" s="4" t="str">
        <f>_xlfn.LET(_xlpm.ig, _xlfn.XLOOKUP(Clean_Data[[#This Row],[Country_Code]], Metadata_Country!$A:$A, Metadata_Country!$C:$C, "Unknown"), IF(OR(_xlpm.ig=0, _xlpm.ig=""), "Regional Aggregate", _xlpm.ig))</f>
        <v>Lower middle income</v>
      </c>
      <c r="H206" s="4">
        <f>Clean_Data[[#This Row],[Exports_TIV]] - Clean_Data[[#This Row],[Imports_TIV]]</f>
        <v>0</v>
      </c>
      <c r="I206" s="4">
        <f>Clean_Data[[#This Row],[Exports_TIV]] + Clean_Data[[#This Row],[Imports_TIV]]</f>
        <v>0</v>
      </c>
    </row>
    <row r="207" spans="1:9">
      <c r="A207" s="4" t="s">
        <v>127</v>
      </c>
      <c r="B207" s="4" t="s">
        <v>128</v>
      </c>
      <c r="C207" s="5">
        <v>2023</v>
      </c>
      <c r="D207" s="4">
        <v>0</v>
      </c>
      <c r="E207" s="4">
        <v>9000000</v>
      </c>
      <c r="F207" s="4" t="str">
        <f>_xlfn.LET(_xlpm.r, _xlfn.XLOOKUP(Clean_Data[[#This Row],[Country_Code]], Metadata_Country!$A:$A, Metadata_Country!$B:$B, "Unknown"), IF(OR(_xlpm.r=0, _xlpm.r=""), "Regional Aggregate", _xlpm.r))</f>
        <v>Latin America &amp; Caribbean</v>
      </c>
      <c r="G207" s="4" t="str">
        <f>_xlfn.LET(_xlpm.ig, _xlfn.XLOOKUP(Clean_Data[[#This Row],[Country_Code]], Metadata_Country!$A:$A, Metadata_Country!$C:$C, "Unknown"), IF(OR(_xlpm.ig=0, _xlpm.ig=""), "Regional Aggregate", _xlpm.ig))</f>
        <v>Upper middle income</v>
      </c>
      <c r="H207" s="4">
        <f>Clean_Data[[#This Row],[Exports_TIV]] - Clean_Data[[#This Row],[Imports_TIV]]</f>
        <v>-9000000</v>
      </c>
      <c r="I207" s="4">
        <f>Clean_Data[[#This Row],[Exports_TIV]] + Clean_Data[[#This Row],[Imports_TIV]]</f>
        <v>9000000</v>
      </c>
    </row>
    <row r="208" spans="1:9">
      <c r="A208" s="4" t="s">
        <v>133</v>
      </c>
      <c r="B208" s="4" t="s">
        <v>134</v>
      </c>
      <c r="C208" s="5">
        <v>2023</v>
      </c>
      <c r="D208" s="4">
        <v>0</v>
      </c>
      <c r="E208" s="4">
        <v>9609000000</v>
      </c>
      <c r="F208" s="4" t="str">
        <f>_xlfn.LET(_xlpm.r, _xlfn.XLOOKUP(Clean_Data[[#This Row],[Country_Code]], Metadata_Country!$A:$A, Metadata_Country!$B:$B, "Unknown"), IF(OR(_xlpm.r=0, _xlpm.r=""), "Regional Aggregate", _xlpm.r))</f>
        <v>Regional Aggregate</v>
      </c>
      <c r="G208" s="4" t="str">
        <f>_xlfn.LET(_xlpm.ig, _xlfn.XLOOKUP(Clean_Data[[#This Row],[Country_Code]], Metadata_Country!$A:$A, Metadata_Country!$C:$C, "Unknown"), IF(OR(_xlpm.ig=0, _xlpm.ig=""), "Regional Aggregate", _xlpm.ig))</f>
        <v>Regional Aggregate</v>
      </c>
      <c r="H208" s="4">
        <f>Clean_Data[[#This Row],[Exports_TIV]] - Clean_Data[[#This Row],[Imports_TIV]]</f>
        <v>-9609000000</v>
      </c>
      <c r="I208" s="4">
        <f>Clean_Data[[#This Row],[Exports_TIV]] + Clean_Data[[#This Row],[Imports_TIV]]</f>
        <v>9609000000</v>
      </c>
    </row>
    <row r="209" spans="1:9">
      <c r="A209" s="4" t="s">
        <v>135</v>
      </c>
      <c r="B209" s="4" t="s">
        <v>136</v>
      </c>
      <c r="C209" s="5">
        <v>2023</v>
      </c>
      <c r="D209" s="4">
        <v>3554000000</v>
      </c>
      <c r="E209" s="4">
        <v>4042000000</v>
      </c>
      <c r="F209" s="4" t="str">
        <f>_xlfn.LET(_xlpm.r, _xlfn.XLOOKUP(Clean_Data[[#This Row],[Country_Code]], Metadata_Country!$A:$A, Metadata_Country!$B:$B, "Unknown"), IF(OR(_xlpm.r=0, _xlpm.r=""), "Regional Aggregate", _xlpm.r))</f>
        <v>Regional Aggregate</v>
      </c>
      <c r="G209" s="4" t="str">
        <f>_xlfn.LET(_xlpm.ig, _xlfn.XLOOKUP(Clean_Data[[#This Row],[Country_Code]], Metadata_Country!$A:$A, Metadata_Country!$C:$C, "Unknown"), IF(OR(_xlpm.ig=0, _xlpm.ig=""), "Regional Aggregate", _xlpm.ig))</f>
        <v>Regional Aggregate</v>
      </c>
      <c r="H209" s="4">
        <f>Clean_Data[[#This Row],[Exports_TIV]] - Clean_Data[[#This Row],[Imports_TIV]]</f>
        <v>-488000000</v>
      </c>
      <c r="I209" s="4">
        <f>Clean_Data[[#This Row],[Exports_TIV]] + Clean_Data[[#This Row],[Imports_TIV]]</f>
        <v>7596000000</v>
      </c>
    </row>
    <row r="210" spans="1:9">
      <c r="A210" s="4" t="s">
        <v>131</v>
      </c>
      <c r="B210" s="4" t="s">
        <v>132</v>
      </c>
      <c r="C210" s="5">
        <v>2023</v>
      </c>
      <c r="D210" s="4">
        <v>2754000000</v>
      </c>
      <c r="E210" s="4">
        <v>1479000000</v>
      </c>
      <c r="F210" s="4" t="str">
        <f>_xlfn.LET(_xlpm.r, _xlfn.XLOOKUP(Clean_Data[[#This Row],[Country_Code]], Metadata_Country!$A:$A, Metadata_Country!$B:$B, "Unknown"), IF(OR(_xlpm.r=0, _xlpm.r=""), "Regional Aggregate", _xlpm.r))</f>
        <v>Regional Aggregate</v>
      </c>
      <c r="G210" s="4" t="str">
        <f>_xlfn.LET(_xlpm.ig, _xlfn.XLOOKUP(Clean_Data[[#This Row],[Country_Code]], Metadata_Country!$A:$A, Metadata_Country!$C:$C, "Unknown"), IF(OR(_xlpm.ig=0, _xlpm.ig=""), "Regional Aggregate", _xlpm.ig))</f>
        <v>Regional Aggregate</v>
      </c>
      <c r="H210" s="4">
        <f>Clean_Data[[#This Row],[Exports_TIV]] - Clean_Data[[#This Row],[Imports_TIV]]</f>
        <v>1275000000</v>
      </c>
      <c r="I210" s="4">
        <f>Clean_Data[[#This Row],[Exports_TIV]] + Clean_Data[[#This Row],[Imports_TIV]]</f>
        <v>4233000000</v>
      </c>
    </row>
    <row r="211" spans="1:9">
      <c r="A211" s="4" t="s">
        <v>469</v>
      </c>
      <c r="B211" s="4" t="s">
        <v>470</v>
      </c>
      <c r="C211" s="5">
        <v>2023</v>
      </c>
      <c r="D211" s="4">
        <v>2745000000</v>
      </c>
      <c r="E211" s="4">
        <v>1479000000</v>
      </c>
      <c r="F211" s="4" t="str">
        <f>_xlfn.LET(_xlpm.r, _xlfn.XLOOKUP(Clean_Data[[#This Row],[Country_Code]], Metadata_Country!$A:$A, Metadata_Country!$B:$B, "Unknown"), IF(OR(_xlpm.r=0, _xlpm.r=""), "Regional Aggregate", _xlpm.r))</f>
        <v>Regional Aggregate</v>
      </c>
      <c r="G211" s="4" t="str">
        <f>_xlfn.LET(_xlpm.ig, _xlfn.XLOOKUP(Clean_Data[[#This Row],[Country_Code]], Metadata_Country!$A:$A, Metadata_Country!$C:$C, "Unknown"), IF(OR(_xlpm.ig=0, _xlpm.ig=""), "Regional Aggregate", _xlpm.ig))</f>
        <v>Regional Aggregate</v>
      </c>
      <c r="H211" s="4">
        <f>Clean_Data[[#This Row],[Exports_TIV]] - Clean_Data[[#This Row],[Imports_TIV]]</f>
        <v>1266000000</v>
      </c>
      <c r="I211" s="4">
        <f>Clean_Data[[#This Row],[Exports_TIV]] + Clean_Data[[#This Row],[Imports_TIV]]</f>
        <v>4224000000</v>
      </c>
    </row>
    <row r="212" spans="1:9">
      <c r="A212" s="4" t="s">
        <v>141</v>
      </c>
      <c r="B212" s="4" t="s">
        <v>142</v>
      </c>
      <c r="C212" s="5">
        <v>2023</v>
      </c>
      <c r="D212" s="4">
        <v>0</v>
      </c>
      <c r="E212" s="4">
        <v>7000000</v>
      </c>
      <c r="F212" s="4" t="str">
        <f>_xlfn.LET(_xlpm.r, _xlfn.XLOOKUP(Clean_Data[[#This Row],[Country_Code]], Metadata_Country!$A:$A, Metadata_Country!$B:$B, "Unknown"), IF(OR(_xlpm.r=0, _xlpm.r=""), "Regional Aggregate", _xlpm.r))</f>
        <v>Latin America &amp; Caribbean</v>
      </c>
      <c r="G212" s="4" t="str">
        <f>_xlfn.LET(_xlpm.ig, _xlfn.XLOOKUP(Clean_Data[[#This Row],[Country_Code]], Metadata_Country!$A:$A, Metadata_Country!$C:$C, "Unknown"), IF(OR(_xlpm.ig=0, _xlpm.ig=""), "Regional Aggregate", _xlpm.ig))</f>
        <v>Upper middle income</v>
      </c>
      <c r="H212" s="4">
        <f>Clean_Data[[#This Row],[Exports_TIV]] - Clean_Data[[#This Row],[Imports_TIV]]</f>
        <v>-7000000</v>
      </c>
      <c r="I212" s="4">
        <f>Clean_Data[[#This Row],[Exports_TIV]] + Clean_Data[[#This Row],[Imports_TIV]]</f>
        <v>7000000</v>
      </c>
    </row>
    <row r="213" spans="1:9">
      <c r="A213" s="4" t="s">
        <v>143</v>
      </c>
      <c r="B213" s="4" t="s">
        <v>144</v>
      </c>
      <c r="C213" s="5">
        <v>2023</v>
      </c>
      <c r="D213" s="4">
        <v>4000000</v>
      </c>
      <c r="E213" s="4">
        <v>1152000000</v>
      </c>
      <c r="F213" s="4" t="str">
        <f>_xlfn.LET(_xlpm.r, _xlfn.XLOOKUP(Clean_Data[[#This Row],[Country_Code]], Metadata_Country!$A:$A, Metadata_Country!$B:$B, "Unknown"), IF(OR(_xlpm.r=0, _xlpm.r=""), "Regional Aggregate", _xlpm.r))</f>
        <v>Middle East &amp; North Africa</v>
      </c>
      <c r="G213" s="4" t="str">
        <f>_xlfn.LET(_xlpm.ig, _xlfn.XLOOKUP(Clean_Data[[#This Row],[Country_Code]], Metadata_Country!$A:$A, Metadata_Country!$C:$C, "Unknown"), IF(OR(_xlpm.ig=0, _xlpm.ig=""), "Regional Aggregate", _xlpm.ig))</f>
        <v>Lower middle income</v>
      </c>
      <c r="H213" s="4">
        <f>Clean_Data[[#This Row],[Exports_TIV]] - Clean_Data[[#This Row],[Imports_TIV]]</f>
        <v>-1148000000</v>
      </c>
      <c r="I213" s="4">
        <f>Clean_Data[[#This Row],[Exports_TIV]] + Clean_Data[[#This Row],[Imports_TIV]]</f>
        <v>1156000000</v>
      </c>
    </row>
    <row r="214" spans="1:9">
      <c r="A214" s="4" t="s">
        <v>431</v>
      </c>
      <c r="B214" s="4" t="s">
        <v>432</v>
      </c>
      <c r="C214" s="5">
        <v>2023</v>
      </c>
      <c r="D214" s="4">
        <v>0</v>
      </c>
      <c r="E214" s="4">
        <v>4000000</v>
      </c>
      <c r="F214" s="4" t="str">
        <f>_xlfn.LET(_xlpm.r, _xlfn.XLOOKUP(Clean_Data[[#This Row],[Country_Code]], Metadata_Country!$A:$A, Metadata_Country!$B:$B, "Unknown"), IF(OR(_xlpm.r=0, _xlpm.r=""), "Regional Aggregate", _xlpm.r))</f>
        <v>Latin America &amp; Caribbean</v>
      </c>
      <c r="G214" s="4" t="str">
        <f>_xlfn.LET(_xlpm.ig, _xlfn.XLOOKUP(Clean_Data[[#This Row],[Country_Code]], Metadata_Country!$A:$A, Metadata_Country!$C:$C, "Unknown"), IF(OR(_xlpm.ig=0, _xlpm.ig=""), "Regional Aggregate", _xlpm.ig))</f>
        <v>Upper middle income</v>
      </c>
      <c r="H214" s="4">
        <f>Clean_Data[[#This Row],[Exports_TIV]] - Clean_Data[[#This Row],[Imports_TIV]]</f>
        <v>-4000000</v>
      </c>
      <c r="I214" s="4">
        <f>Clean_Data[[#This Row],[Exports_TIV]] + Clean_Data[[#This Row],[Imports_TIV]]</f>
        <v>4000000</v>
      </c>
    </row>
    <row r="215" spans="1:9">
      <c r="A215" s="4" t="s">
        <v>151</v>
      </c>
      <c r="B215" s="4" t="s">
        <v>152</v>
      </c>
      <c r="C215" s="5">
        <v>2023</v>
      </c>
      <c r="D215" s="4">
        <v>13000000</v>
      </c>
      <c r="E215" s="4">
        <v>23000000</v>
      </c>
      <c r="F215" s="4" t="str">
        <f>_xlfn.LET(_xlpm.r, _xlfn.XLOOKUP(Clean_Data[[#This Row],[Country_Code]], Metadata_Country!$A:$A, Metadata_Country!$B:$B, "Unknown"), IF(OR(_xlpm.r=0, _xlpm.r=""), "Regional Aggregate", _xlpm.r))</f>
        <v>Europe &amp; Central Asia</v>
      </c>
      <c r="G215" s="4" t="str">
        <f>_xlfn.LET(_xlpm.ig, _xlfn.XLOOKUP(Clean_Data[[#This Row],[Country_Code]], Metadata_Country!$A:$A, Metadata_Country!$C:$C, "Unknown"), IF(OR(_xlpm.ig=0, _xlpm.ig=""), "Regional Aggregate", _xlpm.ig))</f>
        <v>High income</v>
      </c>
      <c r="H215" s="4">
        <f>Clean_Data[[#This Row],[Exports_TIV]] - Clean_Data[[#This Row],[Imports_TIV]]</f>
        <v>-10000000</v>
      </c>
      <c r="I215" s="4">
        <f>Clean_Data[[#This Row],[Exports_TIV]] + Clean_Data[[#This Row],[Imports_TIV]]</f>
        <v>36000000</v>
      </c>
    </row>
    <row r="216" spans="1:9">
      <c r="A216" s="4" t="s">
        <v>153</v>
      </c>
      <c r="B216" s="4" t="s">
        <v>154</v>
      </c>
      <c r="C216" s="5">
        <v>2023</v>
      </c>
      <c r="D216" s="4">
        <v>0</v>
      </c>
      <c r="E216" s="4">
        <v>2000000</v>
      </c>
      <c r="F216" s="4" t="str">
        <f>_xlfn.LET(_xlpm.r, _xlfn.XLOOKUP(Clean_Data[[#This Row],[Country_Code]], Metadata_Country!$A:$A, Metadata_Country!$B:$B, "Unknown"), IF(OR(_xlpm.r=0, _xlpm.r=""), "Regional Aggregate", _xlpm.r))</f>
        <v>Sub-Saharan Africa</v>
      </c>
      <c r="G216" s="4" t="str">
        <f>_xlfn.LET(_xlpm.ig, _xlfn.XLOOKUP(Clean_Data[[#This Row],[Country_Code]], Metadata_Country!$A:$A, Metadata_Country!$C:$C, "Unknown"), IF(OR(_xlpm.ig=0, _xlpm.ig=""), "Regional Aggregate", _xlpm.ig))</f>
        <v>Low income</v>
      </c>
      <c r="H216" s="4">
        <f>Clean_Data[[#This Row],[Exports_TIV]] - Clean_Data[[#This Row],[Imports_TIV]]</f>
        <v>-2000000</v>
      </c>
      <c r="I216" s="4">
        <f>Clean_Data[[#This Row],[Exports_TIV]] + Clean_Data[[#This Row],[Imports_TIV]]</f>
        <v>2000000</v>
      </c>
    </row>
    <row r="217" spans="1:9">
      <c r="A217" s="4" t="s">
        <v>145</v>
      </c>
      <c r="B217" s="4" t="s">
        <v>146</v>
      </c>
      <c r="C217" s="5">
        <v>2023</v>
      </c>
      <c r="D217" s="4">
        <v>7644000000</v>
      </c>
      <c r="E217" s="4">
        <v>2241000000</v>
      </c>
      <c r="F217" s="4" t="str">
        <f>_xlfn.LET(_xlpm.r, _xlfn.XLOOKUP(Clean_Data[[#This Row],[Country_Code]], Metadata_Country!$A:$A, Metadata_Country!$B:$B, "Unknown"), IF(OR(_xlpm.r=0, _xlpm.r=""), "Regional Aggregate", _xlpm.r))</f>
        <v>Regional Aggregate</v>
      </c>
      <c r="G217" s="4" t="str">
        <f>_xlfn.LET(_xlpm.ig, _xlfn.XLOOKUP(Clean_Data[[#This Row],[Country_Code]], Metadata_Country!$A:$A, Metadata_Country!$C:$C, "Unknown"), IF(OR(_xlpm.ig=0, _xlpm.ig=""), "Regional Aggregate", _xlpm.ig))</f>
        <v>Regional Aggregate</v>
      </c>
      <c r="H217" s="4">
        <f>Clean_Data[[#This Row],[Exports_TIV]] - Clean_Data[[#This Row],[Imports_TIV]]</f>
        <v>5403000000</v>
      </c>
      <c r="I217" s="4">
        <f>Clean_Data[[#This Row],[Exports_TIV]] + Clean_Data[[#This Row],[Imports_TIV]]</f>
        <v>9885000000</v>
      </c>
    </row>
    <row r="218" spans="1:9">
      <c r="A218" s="4" t="s">
        <v>139</v>
      </c>
      <c r="B218" s="4" t="s">
        <v>140</v>
      </c>
      <c r="C218" s="5">
        <v>2023</v>
      </c>
      <c r="D218" s="4">
        <v>12816000000</v>
      </c>
      <c r="E218" s="4">
        <v>11378000000</v>
      </c>
      <c r="F218" s="4" t="str">
        <f>_xlfn.LET(_xlpm.r, _xlfn.XLOOKUP(Clean_Data[[#This Row],[Country_Code]], Metadata_Country!$A:$A, Metadata_Country!$B:$B, "Unknown"), IF(OR(_xlpm.r=0, _xlpm.r=""), "Regional Aggregate", _xlpm.r))</f>
        <v>Regional Aggregate</v>
      </c>
      <c r="G218" s="4" t="str">
        <f>_xlfn.LET(_xlpm.ig, _xlfn.XLOOKUP(Clean_Data[[#This Row],[Country_Code]], Metadata_Country!$A:$A, Metadata_Country!$C:$C, "Unknown"), IF(OR(_xlpm.ig=0, _xlpm.ig=""), "Regional Aggregate", _xlpm.ig))</f>
        <v>Regional Aggregate</v>
      </c>
      <c r="H218" s="4">
        <f>Clean_Data[[#This Row],[Exports_TIV]] - Clean_Data[[#This Row],[Imports_TIV]]</f>
        <v>1438000000</v>
      </c>
      <c r="I218" s="4">
        <f>Clean_Data[[#This Row],[Exports_TIV]] + Clean_Data[[#This Row],[Imports_TIV]]</f>
        <v>24194000000</v>
      </c>
    </row>
    <row r="219" spans="1:9">
      <c r="A219" s="4" t="s">
        <v>137</v>
      </c>
      <c r="B219" s="4" t="s">
        <v>138</v>
      </c>
      <c r="C219" s="5">
        <v>2023</v>
      </c>
      <c r="D219" s="4">
        <v>840000000</v>
      </c>
      <c r="E219" s="4">
        <v>5858000000</v>
      </c>
      <c r="F219" s="4" t="str">
        <f>_xlfn.LET(_xlpm.r, _xlfn.XLOOKUP(Clean_Data[[#This Row],[Country_Code]], Metadata_Country!$A:$A, Metadata_Country!$B:$B, "Unknown"), IF(OR(_xlpm.r=0, _xlpm.r=""), "Regional Aggregate", _xlpm.r))</f>
        <v>Regional Aggregate</v>
      </c>
      <c r="G219" s="4" t="str">
        <f>_xlfn.LET(_xlpm.ig, _xlfn.XLOOKUP(Clean_Data[[#This Row],[Country_Code]], Metadata_Country!$A:$A, Metadata_Country!$C:$C, "Unknown"), IF(OR(_xlpm.ig=0, _xlpm.ig=""), "Regional Aggregate", _xlpm.ig))</f>
        <v>Regional Aggregate</v>
      </c>
      <c r="H219" s="4">
        <f>Clean_Data[[#This Row],[Exports_TIV]] - Clean_Data[[#This Row],[Imports_TIV]]</f>
        <v>-5018000000</v>
      </c>
      <c r="I219" s="4">
        <f>Clean_Data[[#This Row],[Exports_TIV]] + Clean_Data[[#This Row],[Imports_TIV]]</f>
        <v>6698000000</v>
      </c>
    </row>
    <row r="220" spans="1:9">
      <c r="A220" s="4" t="s">
        <v>471</v>
      </c>
      <c r="B220" s="4" t="s">
        <v>472</v>
      </c>
      <c r="C220" s="5">
        <v>2023</v>
      </c>
      <c r="D220" s="4">
        <v>2988000000</v>
      </c>
      <c r="E220" s="4">
        <v>7797000000</v>
      </c>
      <c r="F220" s="4" t="str">
        <f>_xlfn.LET(_xlpm.r, _xlfn.XLOOKUP(Clean_Data[[#This Row],[Country_Code]], Metadata_Country!$A:$A, Metadata_Country!$B:$B, "Unknown"), IF(OR(_xlpm.r=0, _xlpm.r=""), "Regional Aggregate", _xlpm.r))</f>
        <v>Regional Aggregate</v>
      </c>
      <c r="G220" s="4" t="str">
        <f>_xlfn.LET(_xlpm.ig, _xlfn.XLOOKUP(Clean_Data[[#This Row],[Country_Code]], Metadata_Country!$A:$A, Metadata_Country!$C:$C, "Unknown"), IF(OR(_xlpm.ig=0, _xlpm.ig=""), "Regional Aggregate", _xlpm.ig))</f>
        <v>Regional Aggregate</v>
      </c>
      <c r="H220" s="4">
        <f>Clean_Data[[#This Row],[Exports_TIV]] - Clean_Data[[#This Row],[Imports_TIV]]</f>
        <v>-4809000000</v>
      </c>
      <c r="I220" s="4">
        <f>Clean_Data[[#This Row],[Exports_TIV]] + Clean_Data[[#This Row],[Imports_TIV]]</f>
        <v>10785000000</v>
      </c>
    </row>
    <row r="221" spans="1:9">
      <c r="A221" s="4" t="s">
        <v>155</v>
      </c>
      <c r="B221" s="4" t="s">
        <v>156</v>
      </c>
      <c r="C221" s="5">
        <v>2023</v>
      </c>
      <c r="D221" s="4">
        <v>8753000000</v>
      </c>
      <c r="E221" s="4">
        <v>4768000000</v>
      </c>
      <c r="F221" s="4" t="str">
        <f>_xlfn.LET(_xlpm.r, _xlfn.XLOOKUP(Clean_Data[[#This Row],[Country_Code]], Metadata_Country!$A:$A, Metadata_Country!$B:$B, "Unknown"), IF(OR(_xlpm.r=0, _xlpm.r=""), "Regional Aggregate", _xlpm.r))</f>
        <v>Regional Aggregate</v>
      </c>
      <c r="G221" s="4" t="str">
        <f>_xlfn.LET(_xlpm.ig, _xlfn.XLOOKUP(Clean_Data[[#This Row],[Country_Code]], Metadata_Country!$A:$A, Metadata_Country!$C:$C, "Unknown"), IF(OR(_xlpm.ig=0, _xlpm.ig=""), "Regional Aggregate", _xlpm.ig))</f>
        <v>Regional Aggregate</v>
      </c>
      <c r="H221" s="4">
        <f>Clean_Data[[#This Row],[Exports_TIV]] - Clean_Data[[#This Row],[Imports_TIV]]</f>
        <v>3985000000</v>
      </c>
      <c r="I221" s="4">
        <f>Clean_Data[[#This Row],[Exports_TIV]] + Clean_Data[[#This Row],[Imports_TIV]]</f>
        <v>13521000000</v>
      </c>
    </row>
    <row r="222" spans="1:9">
      <c r="A222" s="4" t="s">
        <v>159</v>
      </c>
      <c r="B222" s="4" t="s">
        <v>160</v>
      </c>
      <c r="C222" s="5">
        <v>2023</v>
      </c>
      <c r="D222" s="4">
        <v>51000000</v>
      </c>
      <c r="E222" s="4">
        <v>37000000</v>
      </c>
      <c r="F222" s="4" t="str">
        <f>_xlfn.LET(_xlpm.r, _xlfn.XLOOKUP(Clean_Data[[#This Row],[Country_Code]], Metadata_Country!$A:$A, Metadata_Country!$B:$B, "Unknown"), IF(OR(_xlpm.r=0, _xlpm.r=""), "Regional Aggregate", _xlpm.r))</f>
        <v>Europe &amp; Central Asia</v>
      </c>
      <c r="G222" s="4" t="str">
        <f>_xlfn.LET(_xlpm.ig, _xlfn.XLOOKUP(Clean_Data[[#This Row],[Country_Code]], Metadata_Country!$A:$A, Metadata_Country!$C:$C, "Unknown"), IF(OR(_xlpm.ig=0, _xlpm.ig=""), "Regional Aggregate", _xlpm.ig))</f>
        <v>High income</v>
      </c>
      <c r="H222" s="4">
        <f>Clean_Data[[#This Row],[Exports_TIV]] - Clean_Data[[#This Row],[Imports_TIV]]</f>
        <v>14000000</v>
      </c>
      <c r="I222" s="4">
        <f>Clean_Data[[#This Row],[Exports_TIV]] + Clean_Data[[#This Row],[Imports_TIV]]</f>
        <v>88000000</v>
      </c>
    </row>
    <row r="223" spans="1:9">
      <c r="A223" s="4" t="s">
        <v>157</v>
      </c>
      <c r="B223" s="4" t="s">
        <v>158</v>
      </c>
      <c r="C223" s="5">
        <v>2023</v>
      </c>
      <c r="D223" s="4">
        <v>0</v>
      </c>
      <c r="E223" s="4">
        <v>4836000000</v>
      </c>
      <c r="F223" s="4" t="str">
        <f>_xlfn.LET(_xlpm.r, _xlfn.XLOOKUP(Clean_Data[[#This Row],[Country_Code]], Metadata_Country!$A:$A, Metadata_Country!$B:$B, "Unknown"), IF(OR(_xlpm.r=0, _xlpm.r=""), "Regional Aggregate", _xlpm.r))</f>
        <v>Regional Aggregate</v>
      </c>
      <c r="G223" s="4" t="str">
        <f>_xlfn.LET(_xlpm.ig, _xlfn.XLOOKUP(Clean_Data[[#This Row],[Country_Code]], Metadata_Country!$A:$A, Metadata_Country!$C:$C, "Unknown"), IF(OR(_xlpm.ig=0, _xlpm.ig=""), "Regional Aggregate", _xlpm.ig))</f>
        <v>Regional Aggregate</v>
      </c>
      <c r="H223" s="4">
        <f>Clean_Data[[#This Row],[Exports_TIV]] - Clean_Data[[#This Row],[Imports_TIV]]</f>
        <v>-4836000000</v>
      </c>
      <c r="I223" s="4">
        <f>Clean_Data[[#This Row],[Exports_TIV]] + Clean_Data[[#This Row],[Imports_TIV]]</f>
        <v>4836000000</v>
      </c>
    </row>
    <row r="224" spans="1:9">
      <c r="A224" s="4" t="s">
        <v>163</v>
      </c>
      <c r="B224" s="4" t="s">
        <v>164</v>
      </c>
      <c r="C224" s="5">
        <v>2023</v>
      </c>
      <c r="D224" s="4">
        <v>2175000000</v>
      </c>
      <c r="E224" s="4">
        <v>114000000</v>
      </c>
      <c r="F224" s="4" t="str">
        <f>_xlfn.LET(_xlpm.r, _xlfn.XLOOKUP(Clean_Data[[#This Row],[Country_Code]], Metadata_Country!$A:$A, Metadata_Country!$B:$B, "Unknown"), IF(OR(_xlpm.r=0, _xlpm.r=""), "Regional Aggregate", _xlpm.r))</f>
        <v>Europe &amp; Central Asia</v>
      </c>
      <c r="G224" s="4" t="str">
        <f>_xlfn.LET(_xlpm.ig, _xlfn.XLOOKUP(Clean_Data[[#This Row],[Country_Code]], Metadata_Country!$A:$A, Metadata_Country!$C:$C, "Unknown"), IF(OR(_xlpm.ig=0, _xlpm.ig=""), "Regional Aggregate", _xlpm.ig))</f>
        <v>High income</v>
      </c>
      <c r="H224" s="4">
        <f>Clean_Data[[#This Row],[Exports_TIV]] - Clean_Data[[#This Row],[Imports_TIV]]</f>
        <v>2061000000</v>
      </c>
      <c r="I224" s="4">
        <f>Clean_Data[[#This Row],[Exports_TIV]] + Clean_Data[[#This Row],[Imports_TIV]]</f>
        <v>2289000000</v>
      </c>
    </row>
    <row r="225" spans="1:9">
      <c r="A225" s="4" t="s">
        <v>169</v>
      </c>
      <c r="B225" s="4" t="s">
        <v>170</v>
      </c>
      <c r="C225" s="5">
        <v>2023</v>
      </c>
      <c r="D225" s="4">
        <v>0</v>
      </c>
      <c r="E225" s="4">
        <v>16000000</v>
      </c>
      <c r="F225" s="4" t="str">
        <f>_xlfn.LET(_xlpm.r, _xlfn.XLOOKUP(Clean_Data[[#This Row],[Country_Code]], Metadata_Country!$A:$A, Metadata_Country!$B:$B, "Unknown"), IF(OR(_xlpm.r=0, _xlpm.r=""), "Regional Aggregate", _xlpm.r))</f>
        <v>Sub-Saharan Africa</v>
      </c>
      <c r="G225" s="4" t="str">
        <f>_xlfn.LET(_xlpm.ig, _xlfn.XLOOKUP(Clean_Data[[#This Row],[Country_Code]], Metadata_Country!$A:$A, Metadata_Country!$C:$C, "Unknown"), IF(OR(_xlpm.ig=0, _xlpm.ig=""), "Regional Aggregate", _xlpm.ig))</f>
        <v>Upper middle income</v>
      </c>
      <c r="H225" s="4">
        <f>Clean_Data[[#This Row],[Exports_TIV]] - Clean_Data[[#This Row],[Imports_TIV]]</f>
        <v>-16000000</v>
      </c>
      <c r="I225" s="4">
        <f>Clean_Data[[#This Row],[Exports_TIV]] + Clean_Data[[#This Row],[Imports_TIV]]</f>
        <v>16000000</v>
      </c>
    </row>
    <row r="226" spans="1:9">
      <c r="A226" s="4" t="s">
        <v>181</v>
      </c>
      <c r="B226" s="4" t="s">
        <v>182</v>
      </c>
      <c r="C226" s="5">
        <v>2023</v>
      </c>
      <c r="D226" s="4">
        <v>0</v>
      </c>
      <c r="E226" s="4">
        <v>0</v>
      </c>
      <c r="F226" s="4" t="str">
        <f>_xlfn.LET(_xlpm.r, _xlfn.XLOOKUP(Clean_Data[[#This Row],[Country_Code]], Metadata_Country!$A:$A, Metadata_Country!$B:$B, "Unknown"), IF(OR(_xlpm.r=0, _xlpm.r=""), "Regional Aggregate", _xlpm.r))</f>
        <v>Sub-Saharan Africa</v>
      </c>
      <c r="G226" s="4" t="str">
        <f>_xlfn.LET(_xlpm.ig, _xlfn.XLOOKUP(Clean_Data[[#This Row],[Country_Code]], Metadata_Country!$A:$A, Metadata_Country!$C:$C, "Unknown"), IF(OR(_xlpm.ig=0, _xlpm.ig=""), "Regional Aggregate", _xlpm.ig))</f>
        <v>Low income</v>
      </c>
      <c r="H226" s="4">
        <f>Clean_Data[[#This Row],[Exports_TIV]] - Clean_Data[[#This Row],[Imports_TIV]]</f>
        <v>0</v>
      </c>
      <c r="I226" s="4">
        <f>Clean_Data[[#This Row],[Exports_TIV]] + Clean_Data[[#This Row],[Imports_TIV]]</f>
        <v>0</v>
      </c>
    </row>
    <row r="227" spans="1:9">
      <c r="A227" s="4" t="s">
        <v>173</v>
      </c>
      <c r="B227" s="4" t="s">
        <v>174</v>
      </c>
      <c r="C227" s="5">
        <v>2023</v>
      </c>
      <c r="D227" s="4">
        <v>0</v>
      </c>
      <c r="E227" s="4">
        <v>0</v>
      </c>
      <c r="F227" s="4" t="str">
        <f>_xlfn.LET(_xlpm.r, _xlfn.XLOOKUP(Clean_Data[[#This Row],[Country_Code]], Metadata_Country!$A:$A, Metadata_Country!$B:$B, "Unknown"), IF(OR(_xlpm.r=0, _xlpm.r=""), "Regional Aggregate", _xlpm.r))</f>
        <v>Europe &amp; Central Asia</v>
      </c>
      <c r="G227" s="4" t="str">
        <f>_xlfn.LET(_xlpm.ig, _xlfn.XLOOKUP(Clean_Data[[#This Row],[Country_Code]], Metadata_Country!$A:$A, Metadata_Country!$C:$C, "Unknown"), IF(OR(_xlpm.ig=0, _xlpm.ig=""), "Regional Aggregate", _xlpm.ig))</f>
        <v>Upper middle income</v>
      </c>
      <c r="H227" s="4">
        <f>Clean_Data[[#This Row],[Exports_TIV]] - Clean_Data[[#This Row],[Imports_TIV]]</f>
        <v>0</v>
      </c>
      <c r="I227" s="4">
        <f>Clean_Data[[#This Row],[Exports_TIV]] + Clean_Data[[#This Row],[Imports_TIV]]</f>
        <v>0</v>
      </c>
    </row>
    <row r="228" spans="1:9">
      <c r="A228" s="4" t="s">
        <v>119</v>
      </c>
      <c r="B228" s="4" t="s">
        <v>120</v>
      </c>
      <c r="C228" s="5">
        <v>2023</v>
      </c>
      <c r="D228" s="4">
        <v>2547000000</v>
      </c>
      <c r="E228" s="4">
        <v>203000000</v>
      </c>
      <c r="F228" s="4" t="str">
        <f>_xlfn.LET(_xlpm.r, _xlfn.XLOOKUP(Clean_Data[[#This Row],[Country_Code]], Metadata_Country!$A:$A, Metadata_Country!$B:$B, "Unknown"), IF(OR(_xlpm.r=0, _xlpm.r=""), "Regional Aggregate", _xlpm.r))</f>
        <v>Europe &amp; Central Asia</v>
      </c>
      <c r="G228" s="4" t="str">
        <f>_xlfn.LET(_xlpm.ig, _xlfn.XLOOKUP(Clean_Data[[#This Row],[Country_Code]], Metadata_Country!$A:$A, Metadata_Country!$C:$C, "Unknown"), IF(OR(_xlpm.ig=0, _xlpm.ig=""), "Regional Aggregate", _xlpm.ig))</f>
        <v>High income</v>
      </c>
      <c r="H228" s="4">
        <f>Clean_Data[[#This Row],[Exports_TIV]] - Clean_Data[[#This Row],[Imports_TIV]]</f>
        <v>2344000000</v>
      </c>
      <c r="I228" s="4">
        <f>Clean_Data[[#This Row],[Exports_TIV]] + Clean_Data[[#This Row],[Imports_TIV]]</f>
        <v>2750000000</v>
      </c>
    </row>
    <row r="229" spans="1:9">
      <c r="A229" s="4" t="s">
        <v>175</v>
      </c>
      <c r="B229" s="4" t="s">
        <v>176</v>
      </c>
      <c r="C229" s="5">
        <v>2023</v>
      </c>
      <c r="D229" s="4">
        <v>0</v>
      </c>
      <c r="E229" s="4">
        <v>8000000</v>
      </c>
      <c r="F229" s="4" t="str">
        <f>_xlfn.LET(_xlpm.r, _xlfn.XLOOKUP(Clean_Data[[#This Row],[Country_Code]], Metadata_Country!$A:$A, Metadata_Country!$B:$B, "Unknown"), IF(OR(_xlpm.r=0, _xlpm.r=""), "Regional Aggregate", _xlpm.r))</f>
        <v>Sub-Saharan Africa</v>
      </c>
      <c r="G229" s="4" t="str">
        <f>_xlfn.LET(_xlpm.ig, _xlfn.XLOOKUP(Clean_Data[[#This Row],[Country_Code]], Metadata_Country!$A:$A, Metadata_Country!$C:$C, "Unknown"), IF(OR(_xlpm.ig=0, _xlpm.ig=""), "Regional Aggregate", _xlpm.ig))</f>
        <v>Lower middle income</v>
      </c>
      <c r="H229" s="4">
        <f>Clean_Data[[#This Row],[Exports_TIV]] - Clean_Data[[#This Row],[Imports_TIV]]</f>
        <v>-8000000</v>
      </c>
      <c r="I229" s="4">
        <f>Clean_Data[[#This Row],[Exports_TIV]] + Clean_Data[[#This Row],[Imports_TIV]]</f>
        <v>8000000</v>
      </c>
    </row>
    <row r="230" spans="1:9">
      <c r="A230" s="4" t="s">
        <v>187</v>
      </c>
      <c r="B230" s="4" t="s">
        <v>188</v>
      </c>
      <c r="C230" s="5">
        <v>2023</v>
      </c>
      <c r="D230" s="4">
        <v>7000000</v>
      </c>
      <c r="E230" s="4">
        <v>404000000</v>
      </c>
      <c r="F230" s="4" t="str">
        <f>_xlfn.LET(_xlpm.r, _xlfn.XLOOKUP(Clean_Data[[#This Row],[Country_Code]], Metadata_Country!$A:$A, Metadata_Country!$B:$B, "Unknown"), IF(OR(_xlpm.r=0, _xlpm.r=""), "Regional Aggregate", _xlpm.r))</f>
        <v>Europe &amp; Central Asia</v>
      </c>
      <c r="G230" s="4" t="str">
        <f>_xlfn.LET(_xlpm.ig, _xlfn.XLOOKUP(Clean_Data[[#This Row],[Country_Code]], Metadata_Country!$A:$A, Metadata_Country!$C:$C, "Unknown"), IF(OR(_xlpm.ig=0, _xlpm.ig=""), "Regional Aggregate", _xlpm.ig))</f>
        <v>High income</v>
      </c>
      <c r="H230" s="4">
        <f>Clean_Data[[#This Row],[Exports_TIV]] - Clean_Data[[#This Row],[Imports_TIV]]</f>
        <v>-397000000</v>
      </c>
      <c r="I230" s="4">
        <f>Clean_Data[[#This Row],[Exports_TIV]] + Clean_Data[[#This Row],[Imports_TIV]]</f>
        <v>411000000</v>
      </c>
    </row>
    <row r="231" spans="1:9">
      <c r="A231" s="4" t="s">
        <v>193</v>
      </c>
      <c r="B231" s="4" t="s">
        <v>194</v>
      </c>
      <c r="C231" s="5">
        <v>2023</v>
      </c>
      <c r="D231" s="4">
        <v>0</v>
      </c>
      <c r="E231" s="4">
        <v>6000000</v>
      </c>
      <c r="F231" s="4" t="str">
        <f>_xlfn.LET(_xlpm.r, _xlfn.XLOOKUP(Clean_Data[[#This Row],[Country_Code]], Metadata_Country!$A:$A, Metadata_Country!$B:$B, "Unknown"), IF(OR(_xlpm.r=0, _xlpm.r=""), "Regional Aggregate", _xlpm.r))</f>
        <v>Latin America &amp; Caribbean</v>
      </c>
      <c r="G231" s="4" t="str">
        <f>_xlfn.LET(_xlpm.ig, _xlfn.XLOOKUP(Clean_Data[[#This Row],[Country_Code]], Metadata_Country!$A:$A, Metadata_Country!$C:$C, "Unknown"), IF(OR(_xlpm.ig=0, _xlpm.ig=""), "Regional Aggregate", _xlpm.ig))</f>
        <v>Upper middle income</v>
      </c>
      <c r="H231" s="4">
        <f>Clean_Data[[#This Row],[Exports_TIV]] - Clean_Data[[#This Row],[Imports_TIV]]</f>
        <v>-6000000</v>
      </c>
      <c r="I231" s="4">
        <f>Clean_Data[[#This Row],[Exports_TIV]] + Clean_Data[[#This Row],[Imports_TIV]]</f>
        <v>6000000</v>
      </c>
    </row>
    <row r="232" spans="1:9">
      <c r="A232" s="4" t="s">
        <v>179</v>
      </c>
      <c r="B232" s="4" t="s">
        <v>180</v>
      </c>
      <c r="C232" s="5">
        <v>2023</v>
      </c>
      <c r="D232" s="4">
        <v>0</v>
      </c>
      <c r="E232" s="4">
        <v>1000000</v>
      </c>
      <c r="F232" s="4" t="str">
        <f>_xlfn.LET(_xlpm.r, _xlfn.XLOOKUP(Clean_Data[[#This Row],[Country_Code]], Metadata_Country!$A:$A, Metadata_Country!$B:$B, "Unknown"), IF(OR(_xlpm.r=0, _xlpm.r=""), "Regional Aggregate", _xlpm.r))</f>
        <v>Sub-Saharan Africa</v>
      </c>
      <c r="G232" s="4" t="str">
        <f>_xlfn.LET(_xlpm.ig, _xlfn.XLOOKUP(Clean_Data[[#This Row],[Country_Code]], Metadata_Country!$A:$A, Metadata_Country!$C:$C, "Unknown"), IF(OR(_xlpm.ig=0, _xlpm.ig=""), "Regional Aggregate", _xlpm.ig))</f>
        <v>Lower middle income</v>
      </c>
      <c r="H232" s="4">
        <f>Clean_Data[[#This Row],[Exports_TIV]] - Clean_Data[[#This Row],[Imports_TIV]]</f>
        <v>-1000000</v>
      </c>
      <c r="I232" s="4">
        <f>Clean_Data[[#This Row],[Exports_TIV]] + Clean_Data[[#This Row],[Imports_TIV]]</f>
        <v>1000000</v>
      </c>
    </row>
    <row r="233" spans="1:9">
      <c r="A233" s="4" t="s">
        <v>197</v>
      </c>
      <c r="B233" s="4" t="s">
        <v>198</v>
      </c>
      <c r="C233" s="5">
        <v>2023</v>
      </c>
      <c r="D233" s="4">
        <v>0</v>
      </c>
      <c r="E233" s="4">
        <v>5000000</v>
      </c>
      <c r="F233" s="4" t="str">
        <f>_xlfn.LET(_xlpm.r, _xlfn.XLOOKUP(Clean_Data[[#This Row],[Country_Code]], Metadata_Country!$A:$A, Metadata_Country!$B:$B, "Unknown"), IF(OR(_xlpm.r=0, _xlpm.r=""), "Regional Aggregate", _xlpm.r))</f>
        <v>Latin America &amp; Caribbean</v>
      </c>
      <c r="G233" s="4" t="str">
        <f>_xlfn.LET(_xlpm.ig, _xlfn.XLOOKUP(Clean_Data[[#This Row],[Country_Code]], Metadata_Country!$A:$A, Metadata_Country!$C:$C, "Unknown"), IF(OR(_xlpm.ig=0, _xlpm.ig=""), "Regional Aggregate", _xlpm.ig))</f>
        <v>High income</v>
      </c>
      <c r="H233" s="4">
        <f>Clean_Data[[#This Row],[Exports_TIV]] - Clean_Data[[#This Row],[Imports_TIV]]</f>
        <v>-5000000</v>
      </c>
      <c r="I233" s="4">
        <f>Clean_Data[[#This Row],[Exports_TIV]] + Clean_Data[[#This Row],[Imports_TIV]]</f>
        <v>5000000</v>
      </c>
    </row>
    <row r="234" spans="1:9">
      <c r="A234" s="4" t="s">
        <v>205</v>
      </c>
      <c r="B234" s="4" t="s">
        <v>206</v>
      </c>
      <c r="C234" s="5">
        <v>2023</v>
      </c>
      <c r="D234" s="4">
        <v>0</v>
      </c>
      <c r="E234" s="4">
        <v>583000000</v>
      </c>
      <c r="F234" s="4" t="str">
        <f>_xlfn.LET(_xlpm.r, _xlfn.XLOOKUP(Clean_Data[[#This Row],[Country_Code]], Metadata_Country!$A:$A, Metadata_Country!$B:$B, "Unknown"), IF(OR(_xlpm.r=0, _xlpm.r=""), "Regional Aggregate", _xlpm.r))</f>
        <v>Regional Aggregate</v>
      </c>
      <c r="G234" s="4" t="str">
        <f>_xlfn.LET(_xlpm.ig, _xlfn.XLOOKUP(Clean_Data[[#This Row],[Country_Code]], Metadata_Country!$A:$A, Metadata_Country!$C:$C, "Unknown"), IF(OR(_xlpm.ig=0, _xlpm.ig=""), "Regional Aggregate", _xlpm.ig))</f>
        <v>Regional Aggregate</v>
      </c>
      <c r="H234" s="4">
        <f>Clean_Data[[#This Row],[Exports_TIV]] - Clean_Data[[#This Row],[Imports_TIV]]</f>
        <v>-583000000</v>
      </c>
      <c r="I234" s="4">
        <f>Clean_Data[[#This Row],[Exports_TIV]] + Clean_Data[[#This Row],[Imports_TIV]]</f>
        <v>583000000</v>
      </c>
    </row>
    <row r="235" spans="1:9">
      <c r="A235" s="4" t="s">
        <v>199</v>
      </c>
      <c r="B235" s="4" t="s">
        <v>200</v>
      </c>
      <c r="C235" s="5">
        <v>2023</v>
      </c>
      <c r="D235" s="4">
        <v>25365000000</v>
      </c>
      <c r="E235" s="4">
        <v>15014000000</v>
      </c>
      <c r="F235" s="4" t="str">
        <f>_xlfn.LET(_xlpm.r, _xlfn.XLOOKUP(Clean_Data[[#This Row],[Country_Code]], Metadata_Country!$A:$A, Metadata_Country!$B:$B, "Unknown"), IF(OR(_xlpm.r=0, _xlpm.r=""), "Regional Aggregate", _xlpm.r))</f>
        <v>Regional Aggregate</v>
      </c>
      <c r="G235" s="4" t="str">
        <f>_xlfn.LET(_xlpm.ig, _xlfn.XLOOKUP(Clean_Data[[#This Row],[Country_Code]], Metadata_Country!$A:$A, Metadata_Country!$C:$C, "Unknown"), IF(OR(_xlpm.ig=0, _xlpm.ig=""), "Regional Aggregate", _xlpm.ig))</f>
        <v>Regional Aggregate</v>
      </c>
      <c r="H235" s="4">
        <f>Clean_Data[[#This Row],[Exports_TIV]] - Clean_Data[[#This Row],[Imports_TIV]]</f>
        <v>10351000000</v>
      </c>
      <c r="I235" s="4">
        <f>Clean_Data[[#This Row],[Exports_TIV]] + Clean_Data[[#This Row],[Imports_TIV]]</f>
        <v>40379000000</v>
      </c>
    </row>
    <row r="236" spans="1:9">
      <c r="A236" s="4" t="s">
        <v>211</v>
      </c>
      <c r="B236" s="4" t="s">
        <v>212</v>
      </c>
      <c r="C236" s="5">
        <v>2023</v>
      </c>
      <c r="D236" s="4">
        <v>0</v>
      </c>
      <c r="E236" s="4">
        <v>246000000</v>
      </c>
      <c r="F236" s="4" t="str">
        <f>_xlfn.LET(_xlpm.r, _xlfn.XLOOKUP(Clean_Data[[#This Row],[Country_Code]], Metadata_Country!$A:$A, Metadata_Country!$B:$B, "Unknown"), IF(OR(_xlpm.r=0, _xlpm.r=""), "Regional Aggregate", _xlpm.r))</f>
        <v>Europe &amp; Central Asia</v>
      </c>
      <c r="G236" s="4" t="str">
        <f>_xlfn.LET(_xlpm.ig, _xlfn.XLOOKUP(Clean_Data[[#This Row],[Country_Code]], Metadata_Country!$A:$A, Metadata_Country!$C:$C, "Unknown"), IF(OR(_xlpm.ig=0, _xlpm.ig=""), "Regional Aggregate", _xlpm.ig))</f>
        <v>High income</v>
      </c>
      <c r="H236" s="4">
        <f>Clean_Data[[#This Row],[Exports_TIV]] - Clean_Data[[#This Row],[Imports_TIV]]</f>
        <v>-246000000</v>
      </c>
      <c r="I236" s="4">
        <f>Clean_Data[[#This Row],[Exports_TIV]] + Clean_Data[[#This Row],[Imports_TIV]]</f>
        <v>246000000</v>
      </c>
    </row>
    <row r="237" spans="1:9">
      <c r="A237" s="4" t="s">
        <v>213</v>
      </c>
      <c r="B237" s="4" t="s">
        <v>214</v>
      </c>
      <c r="C237" s="5">
        <v>2023</v>
      </c>
      <c r="D237" s="4">
        <v>6165000000</v>
      </c>
      <c r="E237" s="4">
        <v>13176000000</v>
      </c>
      <c r="F237" s="4" t="str">
        <f>_xlfn.LET(_xlpm.r, _xlfn.XLOOKUP(Clean_Data[[#This Row],[Country_Code]], Metadata_Country!$A:$A, Metadata_Country!$B:$B, "Unknown"), IF(OR(_xlpm.r=0, _xlpm.r=""), "Regional Aggregate", _xlpm.r))</f>
        <v>Regional Aggregate</v>
      </c>
      <c r="G237" s="4" t="str">
        <f>_xlfn.LET(_xlpm.ig, _xlfn.XLOOKUP(Clean_Data[[#This Row],[Country_Code]], Metadata_Country!$A:$A, Metadata_Country!$C:$C, "Unknown"), IF(OR(_xlpm.ig=0, _xlpm.ig=""), "Regional Aggregate", _xlpm.ig))</f>
        <v>Regional Aggregate</v>
      </c>
      <c r="H237" s="4">
        <f>Clean_Data[[#This Row],[Exports_TIV]] - Clean_Data[[#This Row],[Imports_TIV]]</f>
        <v>-7011000000</v>
      </c>
      <c r="I237" s="4">
        <f>Clean_Data[[#This Row],[Exports_TIV]] + Clean_Data[[#This Row],[Imports_TIV]]</f>
        <v>19341000000</v>
      </c>
    </row>
    <row r="238" spans="1:9">
      <c r="A238" s="4" t="s">
        <v>215</v>
      </c>
      <c r="B238" s="4" t="s">
        <v>216</v>
      </c>
      <c r="C238" s="5">
        <v>2023</v>
      </c>
      <c r="D238" s="4">
        <v>0</v>
      </c>
      <c r="E238" s="4">
        <v>16443000000</v>
      </c>
      <c r="F238" s="4" t="str">
        <f>_xlfn.LET(_xlpm.r, _xlfn.XLOOKUP(Clean_Data[[#This Row],[Country_Code]], Metadata_Country!$A:$A, Metadata_Country!$B:$B, "Unknown"), IF(OR(_xlpm.r=0, _xlpm.r=""), "Regional Aggregate", _xlpm.r))</f>
        <v>Regional Aggregate</v>
      </c>
      <c r="G238" s="4" t="str">
        <f>_xlfn.LET(_xlpm.ig, _xlfn.XLOOKUP(Clean_Data[[#This Row],[Country_Code]], Metadata_Country!$A:$A, Metadata_Country!$C:$C, "Unknown"), IF(OR(_xlpm.ig=0, _xlpm.ig=""), "Regional Aggregate", _xlpm.ig))</f>
        <v>Regional Aggregate</v>
      </c>
      <c r="H238" s="4">
        <f>Clean_Data[[#This Row],[Exports_TIV]] - Clean_Data[[#This Row],[Imports_TIV]]</f>
        <v>-16443000000</v>
      </c>
      <c r="I238" s="4">
        <f>Clean_Data[[#This Row],[Exports_TIV]] + Clean_Data[[#This Row],[Imports_TIV]]</f>
        <v>16443000000</v>
      </c>
    </row>
    <row r="239" spans="1:9">
      <c r="A239" s="4" t="s">
        <v>219</v>
      </c>
      <c r="B239" s="4" t="s">
        <v>220</v>
      </c>
      <c r="C239" s="5">
        <v>2023</v>
      </c>
      <c r="D239" s="4">
        <v>0</v>
      </c>
      <c r="E239" s="4">
        <v>2411000000</v>
      </c>
      <c r="F239" s="4" t="str">
        <f>_xlfn.LET(_xlpm.r, _xlfn.XLOOKUP(Clean_Data[[#This Row],[Country_Code]], Metadata_Country!$A:$A, Metadata_Country!$B:$B, "Unknown"), IF(OR(_xlpm.r=0, _xlpm.r=""), "Regional Aggregate", _xlpm.r))</f>
        <v>Regional Aggregate</v>
      </c>
      <c r="G239" s="4" t="str">
        <f>_xlfn.LET(_xlpm.ig, _xlfn.XLOOKUP(Clean_Data[[#This Row],[Country_Code]], Metadata_Country!$A:$A, Metadata_Country!$C:$C, "Unknown"), IF(OR(_xlpm.ig=0, _xlpm.ig=""), "Regional Aggregate", _xlpm.ig))</f>
        <v>Regional Aggregate</v>
      </c>
      <c r="H239" s="4">
        <f>Clean_Data[[#This Row],[Exports_TIV]] - Clean_Data[[#This Row],[Imports_TIV]]</f>
        <v>-2411000000</v>
      </c>
      <c r="I239" s="4">
        <f>Clean_Data[[#This Row],[Exports_TIV]] + Clean_Data[[#This Row],[Imports_TIV]]</f>
        <v>2411000000</v>
      </c>
    </row>
    <row r="240" spans="1:9">
      <c r="A240" s="4" t="s">
        <v>223</v>
      </c>
      <c r="B240" s="4" t="s">
        <v>224</v>
      </c>
      <c r="C240" s="5">
        <v>2023</v>
      </c>
      <c r="D240" s="4">
        <v>0</v>
      </c>
      <c r="E240" s="4">
        <v>856000000</v>
      </c>
      <c r="F240" s="4" t="str">
        <f>_xlfn.LET(_xlpm.r, _xlfn.XLOOKUP(Clean_Data[[#This Row],[Country_Code]], Metadata_Country!$A:$A, Metadata_Country!$B:$B, "Unknown"), IF(OR(_xlpm.r=0, _xlpm.r=""), "Regional Aggregate", _xlpm.r))</f>
        <v>Regional Aggregate</v>
      </c>
      <c r="G240" s="4" t="str">
        <f>_xlfn.LET(_xlpm.ig, _xlfn.XLOOKUP(Clean_Data[[#This Row],[Country_Code]], Metadata_Country!$A:$A, Metadata_Country!$C:$C, "Unknown"), IF(OR(_xlpm.ig=0, _xlpm.ig=""), "Regional Aggregate", _xlpm.ig))</f>
        <v>Regional Aggregate</v>
      </c>
      <c r="H240" s="4">
        <f>Clean_Data[[#This Row],[Exports_TIV]] - Clean_Data[[#This Row],[Imports_TIV]]</f>
        <v>-856000000</v>
      </c>
      <c r="I240" s="4">
        <f>Clean_Data[[#This Row],[Exports_TIV]] + Clean_Data[[#This Row],[Imports_TIV]]</f>
        <v>856000000</v>
      </c>
    </row>
    <row r="241" spans="1:9">
      <c r="A241" s="4" t="s">
        <v>217</v>
      </c>
      <c r="B241" s="4" t="s">
        <v>218</v>
      </c>
      <c r="C241" s="5">
        <v>2023</v>
      </c>
      <c r="D241" s="4">
        <v>0</v>
      </c>
      <c r="E241" s="4">
        <v>3267000000</v>
      </c>
      <c r="F241" s="4" t="str">
        <f>_xlfn.LET(_xlpm.r, _xlfn.XLOOKUP(Clean_Data[[#This Row],[Country_Code]], Metadata_Country!$A:$A, Metadata_Country!$B:$B, "Unknown"), IF(OR(_xlpm.r=0, _xlpm.r=""), "Regional Aggregate", _xlpm.r))</f>
        <v>Regional Aggregate</v>
      </c>
      <c r="G241" s="4" t="str">
        <f>_xlfn.LET(_xlpm.ig, _xlfn.XLOOKUP(Clean_Data[[#This Row],[Country_Code]], Metadata_Country!$A:$A, Metadata_Country!$C:$C, "Unknown"), IF(OR(_xlpm.ig=0, _xlpm.ig=""), "Regional Aggregate", _xlpm.ig))</f>
        <v>Regional Aggregate</v>
      </c>
      <c r="H241" s="4">
        <f>Clean_Data[[#This Row],[Exports_TIV]] - Clean_Data[[#This Row],[Imports_TIV]]</f>
        <v>-3267000000</v>
      </c>
      <c r="I241" s="4">
        <f>Clean_Data[[#This Row],[Exports_TIV]] + Clean_Data[[#This Row],[Imports_TIV]]</f>
        <v>3267000000</v>
      </c>
    </row>
    <row r="242" spans="1:9">
      <c r="A242" s="4" t="s">
        <v>227</v>
      </c>
      <c r="B242" s="4" t="s">
        <v>228</v>
      </c>
      <c r="C242" s="5">
        <v>2023</v>
      </c>
      <c r="D242" s="4">
        <v>41000000</v>
      </c>
      <c r="E242" s="4">
        <v>1540000000</v>
      </c>
      <c r="F242" s="4" t="str">
        <f>_xlfn.LET(_xlpm.r, _xlfn.XLOOKUP(Clean_Data[[#This Row],[Country_Code]], Metadata_Country!$A:$A, Metadata_Country!$B:$B, "Unknown"), IF(OR(_xlpm.r=0, _xlpm.r=""), "Regional Aggregate", _xlpm.r))</f>
        <v>South Asia</v>
      </c>
      <c r="G242" s="4" t="str">
        <f>_xlfn.LET(_xlpm.ig, _xlfn.XLOOKUP(Clean_Data[[#This Row],[Country_Code]], Metadata_Country!$A:$A, Metadata_Country!$C:$C, "Unknown"), IF(OR(_xlpm.ig=0, _xlpm.ig=""), "Regional Aggregate", _xlpm.ig))</f>
        <v>Lower middle income</v>
      </c>
      <c r="H242" s="4">
        <f>Clean_Data[[#This Row],[Exports_TIV]] - Clean_Data[[#This Row],[Imports_TIV]]</f>
        <v>-1499000000</v>
      </c>
      <c r="I242" s="4">
        <f>Clean_Data[[#This Row],[Exports_TIV]] + Clean_Data[[#This Row],[Imports_TIV]]</f>
        <v>1581000000</v>
      </c>
    </row>
    <row r="243" spans="1:9">
      <c r="A243" s="4" t="s">
        <v>221</v>
      </c>
      <c r="B243" s="4" t="s">
        <v>222</v>
      </c>
      <c r="C243" s="5">
        <v>2023</v>
      </c>
      <c r="D243" s="4">
        <v>0</v>
      </c>
      <c r="E243" s="4">
        <v>390000000</v>
      </c>
      <c r="F243" s="4" t="str">
        <f>_xlfn.LET(_xlpm.r, _xlfn.XLOOKUP(Clean_Data[[#This Row],[Country_Code]], Metadata_Country!$A:$A, Metadata_Country!$B:$B, "Unknown"), IF(OR(_xlpm.r=0, _xlpm.r=""), "Regional Aggregate", _xlpm.r))</f>
        <v>East Asia &amp; Pacific</v>
      </c>
      <c r="G243" s="4" t="str">
        <f>_xlfn.LET(_xlpm.ig, _xlfn.XLOOKUP(Clean_Data[[#This Row],[Country_Code]], Metadata_Country!$A:$A, Metadata_Country!$C:$C, "Unknown"), IF(OR(_xlpm.ig=0, _xlpm.ig=""), "Regional Aggregate", _xlpm.ig))</f>
        <v>Upper middle income</v>
      </c>
      <c r="H243" s="4">
        <f>Clean_Data[[#This Row],[Exports_TIV]] - Clean_Data[[#This Row],[Imports_TIV]]</f>
        <v>-390000000</v>
      </c>
      <c r="I243" s="4">
        <f>Clean_Data[[#This Row],[Exports_TIV]] + Clean_Data[[#This Row],[Imports_TIV]]</f>
        <v>390000000</v>
      </c>
    </row>
    <row r="244" spans="1:9">
      <c r="A244" s="4" t="s">
        <v>233</v>
      </c>
      <c r="B244" s="4" t="s">
        <v>234</v>
      </c>
      <c r="C244" s="5">
        <v>2023</v>
      </c>
      <c r="D244" s="4">
        <v>170000000</v>
      </c>
      <c r="E244" s="4">
        <v>21000000</v>
      </c>
      <c r="F244" s="4" t="str">
        <f>_xlfn.LET(_xlpm.r, _xlfn.XLOOKUP(Clean_Data[[#This Row],[Country_Code]], Metadata_Country!$A:$A, Metadata_Country!$B:$B, "Unknown"), IF(OR(_xlpm.r=0, _xlpm.r=""), "Regional Aggregate", _xlpm.r))</f>
        <v>Middle East &amp; North Africa</v>
      </c>
      <c r="G244" s="4" t="str">
        <f>_xlfn.LET(_xlpm.ig, _xlfn.XLOOKUP(Clean_Data[[#This Row],[Country_Code]], Metadata_Country!$A:$A, Metadata_Country!$C:$C, "Unknown"), IF(OR(_xlpm.ig=0, _xlpm.ig=""), "Regional Aggregate", _xlpm.ig))</f>
        <v>Upper middle income</v>
      </c>
      <c r="H244" s="4">
        <f>Clean_Data[[#This Row],[Exports_TIV]] - Clean_Data[[#This Row],[Imports_TIV]]</f>
        <v>149000000</v>
      </c>
      <c r="I244" s="4">
        <f>Clean_Data[[#This Row],[Exports_TIV]] + Clean_Data[[#This Row],[Imports_TIV]]</f>
        <v>191000000</v>
      </c>
    </row>
    <row r="245" spans="1:9">
      <c r="A245" s="4" t="s">
        <v>235</v>
      </c>
      <c r="B245" s="4" t="s">
        <v>236</v>
      </c>
      <c r="C245" s="5">
        <v>2023</v>
      </c>
      <c r="D245" s="4">
        <v>0</v>
      </c>
      <c r="E245" s="4">
        <v>30000000</v>
      </c>
      <c r="F245" s="4" t="str">
        <f>_xlfn.LET(_xlpm.r, _xlfn.XLOOKUP(Clean_Data[[#This Row],[Country_Code]], Metadata_Country!$A:$A, Metadata_Country!$B:$B, "Unknown"), IF(OR(_xlpm.r=0, _xlpm.r=""), "Regional Aggregate", _xlpm.r))</f>
        <v>Middle East &amp; North Africa</v>
      </c>
      <c r="G245" s="4" t="str">
        <f>_xlfn.LET(_xlpm.ig, _xlfn.XLOOKUP(Clean_Data[[#This Row],[Country_Code]], Metadata_Country!$A:$A, Metadata_Country!$C:$C, "Unknown"), IF(OR(_xlpm.ig=0, _xlpm.ig=""), "Regional Aggregate", _xlpm.ig))</f>
        <v>Upper middle income</v>
      </c>
      <c r="H245" s="4">
        <f>Clean_Data[[#This Row],[Exports_TIV]] - Clean_Data[[#This Row],[Imports_TIV]]</f>
        <v>-30000000</v>
      </c>
      <c r="I245" s="4">
        <f>Clean_Data[[#This Row],[Exports_TIV]] + Clean_Data[[#This Row],[Imports_TIV]]</f>
        <v>30000000</v>
      </c>
    </row>
    <row r="246" spans="1:9">
      <c r="A246" s="4" t="s">
        <v>231</v>
      </c>
      <c r="B246" s="4" t="s">
        <v>232</v>
      </c>
      <c r="C246" s="5">
        <v>2023</v>
      </c>
      <c r="D246" s="4">
        <v>0</v>
      </c>
      <c r="E246" s="4">
        <v>63000000</v>
      </c>
      <c r="F246" s="4" t="str">
        <f>_xlfn.LET(_xlpm.r, _xlfn.XLOOKUP(Clean_Data[[#This Row],[Country_Code]], Metadata_Country!$A:$A, Metadata_Country!$B:$B, "Unknown"), IF(OR(_xlpm.r=0, _xlpm.r=""), "Regional Aggregate", _xlpm.r))</f>
        <v>Europe &amp; Central Asia</v>
      </c>
      <c r="G246" s="4" t="str">
        <f>_xlfn.LET(_xlpm.ig, _xlfn.XLOOKUP(Clean_Data[[#This Row],[Country_Code]], Metadata_Country!$A:$A, Metadata_Country!$C:$C, "Unknown"), IF(OR(_xlpm.ig=0, _xlpm.ig=""), "Regional Aggregate", _xlpm.ig))</f>
        <v>High income</v>
      </c>
      <c r="H246" s="4">
        <f>Clean_Data[[#This Row],[Exports_TIV]] - Clean_Data[[#This Row],[Imports_TIV]]</f>
        <v>-63000000</v>
      </c>
      <c r="I246" s="4">
        <f>Clean_Data[[#This Row],[Exports_TIV]] + Clean_Data[[#This Row],[Imports_TIV]]</f>
        <v>63000000</v>
      </c>
    </row>
    <row r="247" spans="1:9">
      <c r="A247" s="4" t="s">
        <v>239</v>
      </c>
      <c r="B247" s="4" t="s">
        <v>240</v>
      </c>
      <c r="C247" s="5">
        <v>2023</v>
      </c>
      <c r="D247" s="4">
        <v>1272000000</v>
      </c>
      <c r="E247" s="4">
        <v>863000000</v>
      </c>
      <c r="F247" s="4" t="str">
        <f>_xlfn.LET(_xlpm.r, _xlfn.XLOOKUP(Clean_Data[[#This Row],[Country_Code]], Metadata_Country!$A:$A, Metadata_Country!$B:$B, "Unknown"), IF(OR(_xlpm.r=0, _xlpm.r=""), "Regional Aggregate", _xlpm.r))</f>
        <v>Middle East &amp; North Africa</v>
      </c>
      <c r="G247" s="4" t="str">
        <f>_xlfn.LET(_xlpm.ig, _xlfn.XLOOKUP(Clean_Data[[#This Row],[Country_Code]], Metadata_Country!$A:$A, Metadata_Country!$C:$C, "Unknown"), IF(OR(_xlpm.ig=0, _xlpm.ig=""), "Regional Aggregate", _xlpm.ig))</f>
        <v>High income</v>
      </c>
      <c r="H247" s="4">
        <f>Clean_Data[[#This Row],[Exports_TIV]] - Clean_Data[[#This Row],[Imports_TIV]]</f>
        <v>409000000</v>
      </c>
      <c r="I247" s="4">
        <f>Clean_Data[[#This Row],[Exports_TIV]] + Clean_Data[[#This Row],[Imports_TIV]]</f>
        <v>2135000000</v>
      </c>
    </row>
    <row r="248" spans="1:9">
      <c r="A248" s="4" t="s">
        <v>241</v>
      </c>
      <c r="B248" s="4" t="s">
        <v>242</v>
      </c>
      <c r="C248" s="5">
        <v>2023</v>
      </c>
      <c r="D248" s="4">
        <v>1367000000</v>
      </c>
      <c r="E248" s="4">
        <v>425000000</v>
      </c>
      <c r="F248" s="4" t="str">
        <f>_xlfn.LET(_xlpm.r, _xlfn.XLOOKUP(Clean_Data[[#This Row],[Country_Code]], Metadata_Country!$A:$A, Metadata_Country!$B:$B, "Unknown"), IF(OR(_xlpm.r=0, _xlpm.r=""), "Regional Aggregate", _xlpm.r))</f>
        <v>Europe &amp; Central Asia</v>
      </c>
      <c r="G248" s="4" t="str">
        <f>_xlfn.LET(_xlpm.ig, _xlfn.XLOOKUP(Clean_Data[[#This Row],[Country_Code]], Metadata_Country!$A:$A, Metadata_Country!$C:$C, "Unknown"), IF(OR(_xlpm.ig=0, _xlpm.ig=""), "Regional Aggregate", _xlpm.ig))</f>
        <v>High income</v>
      </c>
      <c r="H248" s="4">
        <f>Clean_Data[[#This Row],[Exports_TIV]] - Clean_Data[[#This Row],[Imports_TIV]]</f>
        <v>942000000</v>
      </c>
      <c r="I248" s="4">
        <f>Clean_Data[[#This Row],[Exports_TIV]] + Clean_Data[[#This Row],[Imports_TIV]]</f>
        <v>1792000000</v>
      </c>
    </row>
    <row r="249" spans="1:9">
      <c r="A249" s="4" t="s">
        <v>243</v>
      </c>
      <c r="B249" s="4" t="s">
        <v>244</v>
      </c>
      <c r="C249" s="5">
        <v>2023</v>
      </c>
      <c r="D249" s="4">
        <v>0</v>
      </c>
      <c r="E249" s="4">
        <v>10000000</v>
      </c>
      <c r="F249" s="4" t="str">
        <f>_xlfn.LET(_xlpm.r, _xlfn.XLOOKUP(Clean_Data[[#This Row],[Country_Code]], Metadata_Country!$A:$A, Metadata_Country!$B:$B, "Unknown"), IF(OR(_xlpm.r=0, _xlpm.r=""), "Regional Aggregate", _xlpm.r))</f>
        <v>Latin America &amp; Caribbean</v>
      </c>
      <c r="G249" s="4" t="str">
        <f>_xlfn.LET(_xlpm.ig, _xlfn.XLOOKUP(Clean_Data[[#This Row],[Country_Code]], Metadata_Country!$A:$A, Metadata_Country!$C:$C, "Unknown"), IF(OR(_xlpm.ig=0, _xlpm.ig=""), "Regional Aggregate", _xlpm.ig))</f>
        <v>Upper middle income</v>
      </c>
      <c r="H249" s="4">
        <f>Clean_Data[[#This Row],[Exports_TIV]] - Clean_Data[[#This Row],[Imports_TIV]]</f>
        <v>-10000000</v>
      </c>
      <c r="I249" s="4">
        <f>Clean_Data[[#This Row],[Exports_TIV]] + Clean_Data[[#This Row],[Imports_TIV]]</f>
        <v>10000000</v>
      </c>
    </row>
    <row r="250" spans="1:9">
      <c r="A250" s="4" t="s">
        <v>247</v>
      </c>
      <c r="B250" s="4" t="s">
        <v>248</v>
      </c>
      <c r="C250" s="5">
        <v>2023</v>
      </c>
      <c r="D250" s="4">
        <v>13000000</v>
      </c>
      <c r="E250" s="4">
        <v>852000000</v>
      </c>
      <c r="F250" s="4" t="str">
        <f>_xlfn.LET(_xlpm.r, _xlfn.XLOOKUP(Clean_Data[[#This Row],[Country_Code]], Metadata_Country!$A:$A, Metadata_Country!$B:$B, "Unknown"), IF(OR(_xlpm.r=0, _xlpm.r=""), "Regional Aggregate", _xlpm.r))</f>
        <v>East Asia &amp; Pacific</v>
      </c>
      <c r="G250" s="4" t="str">
        <f>_xlfn.LET(_xlpm.ig, _xlfn.XLOOKUP(Clean_Data[[#This Row],[Country_Code]], Metadata_Country!$A:$A, Metadata_Country!$C:$C, "Unknown"), IF(OR(_xlpm.ig=0, _xlpm.ig=""), "Regional Aggregate", _xlpm.ig))</f>
        <v>High income</v>
      </c>
      <c r="H250" s="4">
        <f>Clean_Data[[#This Row],[Exports_TIV]] - Clean_Data[[#This Row],[Imports_TIV]]</f>
        <v>-839000000</v>
      </c>
      <c r="I250" s="4">
        <f>Clean_Data[[#This Row],[Exports_TIV]] + Clean_Data[[#This Row],[Imports_TIV]]</f>
        <v>865000000</v>
      </c>
    </row>
    <row r="251" spans="1:9">
      <c r="A251" s="4" t="s">
        <v>245</v>
      </c>
      <c r="B251" s="4" t="s">
        <v>246</v>
      </c>
      <c r="C251" s="5">
        <v>2023</v>
      </c>
      <c r="D251" s="4">
        <v>11000000</v>
      </c>
      <c r="E251" s="4">
        <v>22000000</v>
      </c>
      <c r="F251" s="4" t="str">
        <f>_xlfn.LET(_xlpm.r, _xlfn.XLOOKUP(Clean_Data[[#This Row],[Country_Code]], Metadata_Country!$A:$A, Metadata_Country!$B:$B, "Unknown"), IF(OR(_xlpm.r=0, _xlpm.r=""), "Regional Aggregate", _xlpm.r))</f>
        <v>Middle East &amp; North Africa</v>
      </c>
      <c r="G251" s="4" t="str">
        <f>_xlfn.LET(_xlpm.ig, _xlfn.XLOOKUP(Clean_Data[[#This Row],[Country_Code]], Metadata_Country!$A:$A, Metadata_Country!$C:$C, "Unknown"), IF(OR(_xlpm.ig=0, _xlpm.ig=""), "Regional Aggregate", _xlpm.ig))</f>
        <v>Upper middle income</v>
      </c>
      <c r="H251" s="4">
        <f>Clean_Data[[#This Row],[Exports_TIV]] - Clean_Data[[#This Row],[Imports_TIV]]</f>
        <v>-11000000</v>
      </c>
      <c r="I251" s="4">
        <f>Clean_Data[[#This Row],[Exports_TIV]] + Clean_Data[[#This Row],[Imports_TIV]]</f>
        <v>33000000</v>
      </c>
    </row>
    <row r="252" spans="1:9">
      <c r="A252" s="4" t="s">
        <v>249</v>
      </c>
      <c r="B252" s="4" t="s">
        <v>250</v>
      </c>
      <c r="C252" s="5">
        <v>2023</v>
      </c>
      <c r="D252" s="4">
        <v>0</v>
      </c>
      <c r="E252" s="4">
        <v>223000000</v>
      </c>
      <c r="F252" s="4" t="str">
        <f>_xlfn.LET(_xlpm.r, _xlfn.XLOOKUP(Clean_Data[[#This Row],[Country_Code]], Metadata_Country!$A:$A, Metadata_Country!$B:$B, "Unknown"), IF(OR(_xlpm.r=0, _xlpm.r=""), "Regional Aggregate", _xlpm.r))</f>
        <v>Europe &amp; Central Asia</v>
      </c>
      <c r="G252" s="4" t="str">
        <f>_xlfn.LET(_xlpm.ig, _xlfn.XLOOKUP(Clean_Data[[#This Row],[Country_Code]], Metadata_Country!$A:$A, Metadata_Country!$C:$C, "Unknown"), IF(OR(_xlpm.ig=0, _xlpm.ig=""), "Regional Aggregate", _xlpm.ig))</f>
        <v>Upper middle income</v>
      </c>
      <c r="H252" s="4">
        <f>Clean_Data[[#This Row],[Exports_TIV]] - Clean_Data[[#This Row],[Imports_TIV]]</f>
        <v>-223000000</v>
      </c>
      <c r="I252" s="4">
        <f>Clean_Data[[#This Row],[Exports_TIV]] + Clean_Data[[#This Row],[Imports_TIV]]</f>
        <v>223000000</v>
      </c>
    </row>
    <row r="253" spans="1:9">
      <c r="A253" s="4" t="s">
        <v>395</v>
      </c>
      <c r="B253" s="4" t="s">
        <v>396</v>
      </c>
      <c r="C253" s="5">
        <v>2023</v>
      </c>
      <c r="D253" s="4">
        <v>9000000</v>
      </c>
      <c r="E253" s="4">
        <v>0</v>
      </c>
      <c r="F253" s="4" t="str">
        <f>_xlfn.LET(_xlpm.r, _xlfn.XLOOKUP(Clean_Data[[#This Row],[Country_Code]], Metadata_Country!$A:$A, Metadata_Country!$B:$B, "Unknown"), IF(OR(_xlpm.r=0, _xlpm.r=""), "Regional Aggregate", _xlpm.r))</f>
        <v>East Asia &amp; Pacific</v>
      </c>
      <c r="G253" s="4" t="str">
        <f>_xlfn.LET(_xlpm.ig, _xlfn.XLOOKUP(Clean_Data[[#This Row],[Country_Code]], Metadata_Country!$A:$A, Metadata_Country!$C:$C, "Unknown"), IF(OR(_xlpm.ig=0, _xlpm.ig=""), "Regional Aggregate", _xlpm.ig))</f>
        <v>Low income</v>
      </c>
      <c r="H253" s="4">
        <f>Clean_Data[[#This Row],[Exports_TIV]] - Clean_Data[[#This Row],[Imports_TIV]]</f>
        <v>9000000</v>
      </c>
      <c r="I253" s="4">
        <f>Clean_Data[[#This Row],[Exports_TIV]] + Clean_Data[[#This Row],[Imports_TIV]]</f>
        <v>9000000</v>
      </c>
    </row>
    <row r="254" spans="1:9">
      <c r="A254" s="4" t="s">
        <v>261</v>
      </c>
      <c r="B254" s="4" t="s">
        <v>262</v>
      </c>
      <c r="C254" s="5">
        <v>2023</v>
      </c>
      <c r="D254" s="4">
        <v>675000000</v>
      </c>
      <c r="E254" s="4">
        <v>218000000</v>
      </c>
      <c r="F254" s="4" t="str">
        <f>_xlfn.LET(_xlpm.r, _xlfn.XLOOKUP(Clean_Data[[#This Row],[Country_Code]], Metadata_Country!$A:$A, Metadata_Country!$B:$B, "Unknown"), IF(OR(_xlpm.r=0, _xlpm.r=""), "Regional Aggregate", _xlpm.r))</f>
        <v>East Asia &amp; Pacific</v>
      </c>
      <c r="G254" s="4" t="str">
        <f>_xlfn.LET(_xlpm.ig, _xlfn.XLOOKUP(Clean_Data[[#This Row],[Country_Code]], Metadata_Country!$A:$A, Metadata_Country!$C:$C, "Unknown"), IF(OR(_xlpm.ig=0, _xlpm.ig=""), "Regional Aggregate", _xlpm.ig))</f>
        <v>High income</v>
      </c>
      <c r="H254" s="4">
        <f>Clean_Data[[#This Row],[Exports_TIV]] - Clean_Data[[#This Row],[Imports_TIV]]</f>
        <v>457000000</v>
      </c>
      <c r="I254" s="4">
        <f>Clean_Data[[#This Row],[Exports_TIV]] + Clean_Data[[#This Row],[Imports_TIV]]</f>
        <v>893000000</v>
      </c>
    </row>
    <row r="255" spans="1:9">
      <c r="A255" s="4" t="s">
        <v>531</v>
      </c>
      <c r="B255" s="4" t="s">
        <v>532</v>
      </c>
      <c r="C255" s="5">
        <v>2023</v>
      </c>
      <c r="D255" s="4">
        <v>0</v>
      </c>
      <c r="E255" s="4">
        <v>14000000</v>
      </c>
      <c r="F255" s="4" t="str">
        <f>_xlfn.LET(_xlpm.r, _xlfn.XLOOKUP(Clean_Data[[#This Row],[Country_Code]], Metadata_Country!$A:$A, Metadata_Country!$B:$B, "Unknown"), IF(OR(_xlpm.r=0, _xlpm.r=""), "Regional Aggregate", _xlpm.r))</f>
        <v>Europe &amp; Central Asia</v>
      </c>
      <c r="G255" s="4" t="str">
        <f>_xlfn.LET(_xlpm.ig, _xlfn.XLOOKUP(Clean_Data[[#This Row],[Country_Code]], Metadata_Country!$A:$A, Metadata_Country!$C:$C, "Unknown"), IF(OR(_xlpm.ig=0, _xlpm.ig=""), "Regional Aggregate", _xlpm.ig))</f>
        <v>Upper middle income</v>
      </c>
      <c r="H255" s="4">
        <f>Clean_Data[[#This Row],[Exports_TIV]] - Clean_Data[[#This Row],[Imports_TIV]]</f>
        <v>-14000000</v>
      </c>
      <c r="I255" s="4">
        <f>Clean_Data[[#This Row],[Exports_TIV]] + Clean_Data[[#This Row],[Imports_TIV]]</f>
        <v>14000000</v>
      </c>
    </row>
    <row r="256" spans="1:9">
      <c r="A256" s="4" t="s">
        <v>263</v>
      </c>
      <c r="B256" s="4" t="s">
        <v>264</v>
      </c>
      <c r="C256" s="5">
        <v>2023</v>
      </c>
      <c r="D256" s="4">
        <v>0</v>
      </c>
      <c r="E256" s="4">
        <v>497000000</v>
      </c>
      <c r="F256" s="4" t="str">
        <f>_xlfn.LET(_xlpm.r, _xlfn.XLOOKUP(Clean_Data[[#This Row],[Country_Code]], Metadata_Country!$A:$A, Metadata_Country!$B:$B, "Unknown"), IF(OR(_xlpm.r=0, _xlpm.r=""), "Regional Aggregate", _xlpm.r))</f>
        <v>Middle East &amp; North Africa</v>
      </c>
      <c r="G256" s="4" t="str">
        <f>_xlfn.LET(_xlpm.ig, _xlfn.XLOOKUP(Clean_Data[[#This Row],[Country_Code]], Metadata_Country!$A:$A, Metadata_Country!$C:$C, "Unknown"), IF(OR(_xlpm.ig=0, _xlpm.ig=""), "Regional Aggregate", _xlpm.ig))</f>
        <v>High income</v>
      </c>
      <c r="H256" s="4">
        <f>Clean_Data[[#This Row],[Exports_TIV]] - Clean_Data[[#This Row],[Imports_TIV]]</f>
        <v>-497000000</v>
      </c>
      <c r="I256" s="4">
        <f>Clean_Data[[#This Row],[Exports_TIV]] + Clean_Data[[#This Row],[Imports_TIV]]</f>
        <v>497000000</v>
      </c>
    </row>
    <row r="257" spans="1:9">
      <c r="A257" s="4" t="s">
        <v>253</v>
      </c>
      <c r="B257" s="4" t="s">
        <v>254</v>
      </c>
      <c r="C257" s="5">
        <v>2023</v>
      </c>
      <c r="D257" s="4">
        <v>0</v>
      </c>
      <c r="E257" s="4">
        <v>54000000</v>
      </c>
      <c r="F257" s="4" t="str">
        <f>_xlfn.LET(_xlpm.r, _xlfn.XLOOKUP(Clean_Data[[#This Row],[Country_Code]], Metadata_Country!$A:$A, Metadata_Country!$B:$B, "Unknown"), IF(OR(_xlpm.r=0, _xlpm.r=""), "Regional Aggregate", _xlpm.r))</f>
        <v>Europe &amp; Central Asia</v>
      </c>
      <c r="G257" s="4" t="str">
        <f>_xlfn.LET(_xlpm.ig, _xlfn.XLOOKUP(Clean_Data[[#This Row],[Country_Code]], Metadata_Country!$A:$A, Metadata_Country!$C:$C, "Unknown"), IF(OR(_xlpm.ig=0, _xlpm.ig=""), "Regional Aggregate", _xlpm.ig))</f>
        <v>Lower middle income</v>
      </c>
      <c r="H257" s="4">
        <f>Clean_Data[[#This Row],[Exports_TIV]] - Clean_Data[[#This Row],[Imports_TIV]]</f>
        <v>-54000000</v>
      </c>
      <c r="I257" s="4">
        <f>Clean_Data[[#This Row],[Exports_TIV]] + Clean_Data[[#This Row],[Imports_TIV]]</f>
        <v>54000000</v>
      </c>
    </row>
    <row r="258" spans="1:9">
      <c r="A258" s="4" t="s">
        <v>267</v>
      </c>
      <c r="B258" s="4" t="s">
        <v>268</v>
      </c>
      <c r="C258" s="5">
        <v>2023</v>
      </c>
      <c r="D258" s="4">
        <v>0</v>
      </c>
      <c r="E258" s="4">
        <v>3000000</v>
      </c>
      <c r="F258" s="4" t="str">
        <f>_xlfn.LET(_xlpm.r, _xlfn.XLOOKUP(Clean_Data[[#This Row],[Country_Code]], Metadata_Country!$A:$A, Metadata_Country!$B:$B, "Unknown"), IF(OR(_xlpm.r=0, _xlpm.r=""), "Regional Aggregate", _xlpm.r))</f>
        <v>East Asia &amp; Pacific</v>
      </c>
      <c r="G258" s="4" t="str">
        <f>_xlfn.LET(_xlpm.ig, _xlfn.XLOOKUP(Clean_Data[[#This Row],[Country_Code]], Metadata_Country!$A:$A, Metadata_Country!$C:$C, "Unknown"), IF(OR(_xlpm.ig=0, _xlpm.ig=""), "Regional Aggregate", _xlpm.ig))</f>
        <v>Lower middle income</v>
      </c>
      <c r="H258" s="4">
        <f>Clean_Data[[#This Row],[Exports_TIV]] - Clean_Data[[#This Row],[Imports_TIV]]</f>
        <v>-3000000</v>
      </c>
      <c r="I258" s="4">
        <f>Clean_Data[[#This Row],[Exports_TIV]] + Clean_Data[[#This Row],[Imports_TIV]]</f>
        <v>3000000</v>
      </c>
    </row>
    <row r="259" spans="1:9">
      <c r="A259" s="4" t="s">
        <v>293</v>
      </c>
      <c r="B259" s="4" t="s">
        <v>294</v>
      </c>
      <c r="C259" s="5">
        <v>2023</v>
      </c>
      <c r="D259" s="4">
        <v>5338000000</v>
      </c>
      <c r="E259" s="4">
        <v>7682000000</v>
      </c>
      <c r="F259" s="4" t="str">
        <f>_xlfn.LET(_xlpm.r, _xlfn.XLOOKUP(Clean_Data[[#This Row],[Country_Code]], Metadata_Country!$A:$A, Metadata_Country!$B:$B, "Unknown"), IF(OR(_xlpm.r=0, _xlpm.r=""), "Regional Aggregate", _xlpm.r))</f>
        <v>Regional Aggregate</v>
      </c>
      <c r="G259" s="4" t="str">
        <f>_xlfn.LET(_xlpm.ig, _xlfn.XLOOKUP(Clean_Data[[#This Row],[Country_Code]], Metadata_Country!$A:$A, Metadata_Country!$C:$C, "Unknown"), IF(OR(_xlpm.ig=0, _xlpm.ig=""), "Regional Aggregate", _xlpm.ig))</f>
        <v>Regional Aggregate</v>
      </c>
      <c r="H259" s="4">
        <f>Clean_Data[[#This Row],[Exports_TIV]] - Clean_Data[[#This Row],[Imports_TIV]]</f>
        <v>-2344000000</v>
      </c>
      <c r="I259" s="4">
        <f>Clean_Data[[#This Row],[Exports_TIV]] + Clean_Data[[#This Row],[Imports_TIV]]</f>
        <v>13020000000</v>
      </c>
    </row>
    <row r="260" spans="1:9">
      <c r="A260" s="4" t="s">
        <v>277</v>
      </c>
      <c r="B260" s="4" t="s">
        <v>278</v>
      </c>
      <c r="C260" s="5">
        <v>2023</v>
      </c>
      <c r="D260" s="4">
        <v>0</v>
      </c>
      <c r="E260" s="4">
        <v>393000000</v>
      </c>
      <c r="F260" s="4" t="str">
        <f>_xlfn.LET(_xlpm.r, _xlfn.XLOOKUP(Clean_Data[[#This Row],[Country_Code]], Metadata_Country!$A:$A, Metadata_Country!$B:$B, "Unknown"), IF(OR(_xlpm.r=0, _xlpm.r=""), "Regional Aggregate", _xlpm.r))</f>
        <v>Regional Aggregate</v>
      </c>
      <c r="G260" s="4" t="str">
        <f>_xlfn.LET(_xlpm.ig, _xlfn.XLOOKUP(Clean_Data[[#This Row],[Country_Code]], Metadata_Country!$A:$A, Metadata_Country!$C:$C, "Unknown"), IF(OR(_xlpm.ig=0, _xlpm.ig=""), "Regional Aggregate", _xlpm.ig))</f>
        <v>Regional Aggregate</v>
      </c>
      <c r="H260" s="4">
        <f>Clean_Data[[#This Row],[Exports_TIV]] - Clean_Data[[#This Row],[Imports_TIV]]</f>
        <v>-393000000</v>
      </c>
      <c r="I260" s="4">
        <f>Clean_Data[[#This Row],[Exports_TIV]] + Clean_Data[[#This Row],[Imports_TIV]]</f>
        <v>393000000</v>
      </c>
    </row>
    <row r="261" spans="1:9">
      <c r="A261" s="4" t="s">
        <v>265</v>
      </c>
      <c r="B261" s="4" t="s">
        <v>266</v>
      </c>
      <c r="C261" s="5">
        <v>2023</v>
      </c>
      <c r="D261" s="4">
        <v>0</v>
      </c>
      <c r="E261" s="4">
        <v>379000000</v>
      </c>
      <c r="F261" s="4" t="str">
        <f>_xlfn.LET(_xlpm.r, _xlfn.XLOOKUP(Clean_Data[[#This Row],[Country_Code]], Metadata_Country!$A:$A, Metadata_Country!$B:$B, "Unknown"), IF(OR(_xlpm.r=0, _xlpm.r=""), "Regional Aggregate", _xlpm.r))</f>
        <v>Regional Aggregate</v>
      </c>
      <c r="G261" s="4" t="str">
        <f>_xlfn.LET(_xlpm.ig, _xlfn.XLOOKUP(Clean_Data[[#This Row],[Country_Code]], Metadata_Country!$A:$A, Metadata_Country!$C:$C, "Unknown"), IF(OR(_xlpm.ig=0, _xlpm.ig=""), "Regional Aggregate", _xlpm.ig))</f>
        <v>Regional Aggregate</v>
      </c>
      <c r="H261" s="4">
        <f>Clean_Data[[#This Row],[Exports_TIV]] - Clean_Data[[#This Row],[Imports_TIV]]</f>
        <v>-379000000</v>
      </c>
      <c r="I261" s="4">
        <f>Clean_Data[[#This Row],[Exports_TIV]] + Clean_Data[[#This Row],[Imports_TIV]]</f>
        <v>379000000</v>
      </c>
    </row>
    <row r="262" spans="1:9">
      <c r="A262" s="4" t="s">
        <v>481</v>
      </c>
      <c r="B262" s="4" t="s">
        <v>482</v>
      </c>
      <c r="C262" s="5">
        <v>2023</v>
      </c>
      <c r="D262" s="4">
        <v>0</v>
      </c>
      <c r="E262" s="4">
        <v>393000000</v>
      </c>
      <c r="F262" s="4" t="str">
        <f>_xlfn.LET(_xlpm.r, _xlfn.XLOOKUP(Clean_Data[[#This Row],[Country_Code]], Metadata_Country!$A:$A, Metadata_Country!$B:$B, "Unknown"), IF(OR(_xlpm.r=0, _xlpm.r=""), "Regional Aggregate", _xlpm.r))</f>
        <v>Regional Aggregate</v>
      </c>
      <c r="G262" s="4" t="str">
        <f>_xlfn.LET(_xlpm.ig, _xlfn.XLOOKUP(Clean_Data[[#This Row],[Country_Code]], Metadata_Country!$A:$A, Metadata_Country!$C:$C, "Unknown"), IF(OR(_xlpm.ig=0, _xlpm.ig=""), "Regional Aggregate", _xlpm.ig))</f>
        <v>Regional Aggregate</v>
      </c>
      <c r="H262" s="4">
        <f>Clean_Data[[#This Row],[Exports_TIV]] - Clean_Data[[#This Row],[Imports_TIV]]</f>
        <v>-393000000</v>
      </c>
      <c r="I262" s="4">
        <f>Clean_Data[[#This Row],[Exports_TIV]] + Clean_Data[[#This Row],[Imports_TIV]]</f>
        <v>393000000</v>
      </c>
    </row>
    <row r="263" spans="1:9">
      <c r="A263" s="4" t="s">
        <v>299</v>
      </c>
      <c r="B263" s="4" t="s">
        <v>300</v>
      </c>
      <c r="C263" s="5">
        <v>2023</v>
      </c>
      <c r="D263" s="4">
        <v>7000000</v>
      </c>
      <c r="E263" s="4">
        <v>47000000</v>
      </c>
      <c r="F263" s="4" t="str">
        <f>_xlfn.LET(_xlpm.r, _xlfn.XLOOKUP(Clean_Data[[#This Row],[Country_Code]], Metadata_Country!$A:$A, Metadata_Country!$B:$B, "Unknown"), IF(OR(_xlpm.r=0, _xlpm.r=""), "Regional Aggregate", _xlpm.r))</f>
        <v>Europe &amp; Central Asia</v>
      </c>
      <c r="G263" s="4" t="str">
        <f>_xlfn.LET(_xlpm.ig, _xlfn.XLOOKUP(Clean_Data[[#This Row],[Country_Code]], Metadata_Country!$A:$A, Metadata_Country!$C:$C, "Unknown"), IF(OR(_xlpm.ig=0, _xlpm.ig=""), "Regional Aggregate", _xlpm.ig))</f>
        <v>High income</v>
      </c>
      <c r="H263" s="4">
        <f>Clean_Data[[#This Row],[Exports_TIV]] - Clean_Data[[#This Row],[Imports_TIV]]</f>
        <v>-40000000</v>
      </c>
      <c r="I263" s="4">
        <f>Clean_Data[[#This Row],[Exports_TIV]] + Clean_Data[[#This Row],[Imports_TIV]]</f>
        <v>54000000</v>
      </c>
    </row>
    <row r="264" spans="1:9">
      <c r="A264" s="4" t="s">
        <v>279</v>
      </c>
      <c r="B264" s="4" t="s">
        <v>280</v>
      </c>
      <c r="C264" s="5">
        <v>2023</v>
      </c>
      <c r="D264" s="4">
        <v>0</v>
      </c>
      <c r="E264" s="4">
        <v>778000000</v>
      </c>
      <c r="F264" s="4" t="str">
        <f>_xlfn.LET(_xlpm.r, _xlfn.XLOOKUP(Clean_Data[[#This Row],[Country_Code]], Metadata_Country!$A:$A, Metadata_Country!$B:$B, "Unknown"), IF(OR(_xlpm.r=0, _xlpm.r=""), "Regional Aggregate", _xlpm.r))</f>
        <v>Regional Aggregate</v>
      </c>
      <c r="G264" s="4" t="str">
        <f>_xlfn.LET(_xlpm.ig, _xlfn.XLOOKUP(Clean_Data[[#This Row],[Country_Code]], Metadata_Country!$A:$A, Metadata_Country!$C:$C, "Unknown"), IF(OR(_xlpm.ig=0, _xlpm.ig=""), "Regional Aggregate", _xlpm.ig))</f>
        <v>Regional Aggregate</v>
      </c>
      <c r="H264" s="4">
        <f>Clean_Data[[#This Row],[Exports_TIV]] - Clean_Data[[#This Row],[Imports_TIV]]</f>
        <v>-778000000</v>
      </c>
      <c r="I264" s="4">
        <f>Clean_Data[[#This Row],[Exports_TIV]] + Clean_Data[[#This Row],[Imports_TIV]]</f>
        <v>778000000</v>
      </c>
    </row>
    <row r="265" spans="1:9">
      <c r="A265" s="4" t="s">
        <v>269</v>
      </c>
      <c r="B265" s="4" t="s">
        <v>270</v>
      </c>
      <c r="C265" s="5">
        <v>2023</v>
      </c>
      <c r="D265" s="4">
        <v>0</v>
      </c>
      <c r="E265" s="4">
        <v>14000000</v>
      </c>
      <c r="F265" s="4" t="str">
        <f>_xlfn.LET(_xlpm.r, _xlfn.XLOOKUP(Clean_Data[[#This Row],[Country_Code]], Metadata_Country!$A:$A, Metadata_Country!$B:$B, "Unknown"), IF(OR(_xlpm.r=0, _xlpm.r=""), "Regional Aggregate", _xlpm.r))</f>
        <v>Middle East &amp; North Africa</v>
      </c>
      <c r="G265" s="4" t="str">
        <f>_xlfn.LET(_xlpm.ig, _xlfn.XLOOKUP(Clean_Data[[#This Row],[Country_Code]], Metadata_Country!$A:$A, Metadata_Country!$C:$C, "Unknown"), IF(OR(_xlpm.ig=0, _xlpm.ig=""), "Regional Aggregate", _xlpm.ig))</f>
        <v>Lower middle income</v>
      </c>
      <c r="H265" s="4">
        <f>Clean_Data[[#This Row],[Exports_TIV]] - Clean_Data[[#This Row],[Imports_TIV]]</f>
        <v>-14000000</v>
      </c>
      <c r="I265" s="4">
        <f>Clean_Data[[#This Row],[Exports_TIV]] + Clean_Data[[#This Row],[Imports_TIV]]</f>
        <v>14000000</v>
      </c>
    </row>
    <row r="266" spans="1:9">
      <c r="A266" s="4" t="s">
        <v>271</v>
      </c>
      <c r="B266" s="4" t="s">
        <v>272</v>
      </c>
      <c r="C266" s="5">
        <v>2023</v>
      </c>
      <c r="D266" s="4">
        <v>0</v>
      </c>
      <c r="E266" s="4">
        <v>14000000</v>
      </c>
      <c r="F266" s="4" t="str">
        <f>_xlfn.LET(_xlpm.r, _xlfn.XLOOKUP(Clean_Data[[#This Row],[Country_Code]], Metadata_Country!$A:$A, Metadata_Country!$B:$B, "Unknown"), IF(OR(_xlpm.r=0, _xlpm.r=""), "Regional Aggregate", _xlpm.r))</f>
        <v>Sub-Saharan Africa</v>
      </c>
      <c r="G266" s="4" t="str">
        <f>_xlfn.LET(_xlpm.ig, _xlfn.XLOOKUP(Clean_Data[[#This Row],[Country_Code]], Metadata_Country!$A:$A, Metadata_Country!$C:$C, "Unknown"), IF(OR(_xlpm.ig=0, _xlpm.ig=""), "Regional Aggregate", _xlpm.ig))</f>
        <v>Low income</v>
      </c>
      <c r="H266" s="4">
        <f>Clean_Data[[#This Row],[Exports_TIV]] - Clean_Data[[#This Row],[Imports_TIV]]</f>
        <v>-14000000</v>
      </c>
      <c r="I266" s="4">
        <f>Clean_Data[[#This Row],[Exports_TIV]] + Clean_Data[[#This Row],[Imports_TIV]]</f>
        <v>14000000</v>
      </c>
    </row>
    <row r="267" spans="1:9">
      <c r="A267" s="4" t="s">
        <v>273</v>
      </c>
      <c r="B267" s="4" t="s">
        <v>274</v>
      </c>
      <c r="C267" s="5">
        <v>2023</v>
      </c>
      <c r="D267" s="4">
        <v>0</v>
      </c>
      <c r="E267" s="4">
        <v>34000000</v>
      </c>
      <c r="F267" s="4" t="str">
        <f>_xlfn.LET(_xlpm.r, _xlfn.XLOOKUP(Clean_Data[[#This Row],[Country_Code]], Metadata_Country!$A:$A, Metadata_Country!$B:$B, "Unknown"), IF(OR(_xlpm.r=0, _xlpm.r=""), "Regional Aggregate", _xlpm.r))</f>
        <v>Middle East &amp; North Africa</v>
      </c>
      <c r="G267" s="4" t="str">
        <f>_xlfn.LET(_xlpm.ig, _xlfn.XLOOKUP(Clean_Data[[#This Row],[Country_Code]], Metadata_Country!$A:$A, Metadata_Country!$C:$C, "Unknown"), IF(OR(_xlpm.ig=0, _xlpm.ig=""), "Regional Aggregate", _xlpm.ig))</f>
        <v>Upper middle income</v>
      </c>
      <c r="H267" s="4">
        <f>Clean_Data[[#This Row],[Exports_TIV]] - Clean_Data[[#This Row],[Imports_TIV]]</f>
        <v>-34000000</v>
      </c>
      <c r="I267" s="4">
        <f>Clean_Data[[#This Row],[Exports_TIV]] + Clean_Data[[#This Row],[Imports_TIV]]</f>
        <v>34000000</v>
      </c>
    </row>
    <row r="268" spans="1:9">
      <c r="A268" s="4" t="s">
        <v>295</v>
      </c>
      <c r="B268" s="4" t="s">
        <v>296</v>
      </c>
      <c r="C268" s="5">
        <v>2023</v>
      </c>
      <c r="D268" s="4">
        <v>8000000</v>
      </c>
      <c r="E268" s="4">
        <v>97000000</v>
      </c>
      <c r="F268" s="4" t="str">
        <f>_xlfn.LET(_xlpm.r, _xlfn.XLOOKUP(Clean_Data[[#This Row],[Country_Code]], Metadata_Country!$A:$A, Metadata_Country!$B:$B, "Unknown"), IF(OR(_xlpm.r=0, _xlpm.r=""), "Regional Aggregate", _xlpm.r))</f>
        <v>Europe &amp; Central Asia</v>
      </c>
      <c r="G268" s="4" t="str">
        <f>_xlfn.LET(_xlpm.ig, _xlfn.XLOOKUP(Clean_Data[[#This Row],[Country_Code]], Metadata_Country!$A:$A, Metadata_Country!$C:$C, "Unknown"), IF(OR(_xlpm.ig=0, _xlpm.ig=""), "Regional Aggregate", _xlpm.ig))</f>
        <v>High income</v>
      </c>
      <c r="H268" s="4">
        <f>Clean_Data[[#This Row],[Exports_TIV]] - Clean_Data[[#This Row],[Imports_TIV]]</f>
        <v>-89000000</v>
      </c>
      <c r="I268" s="4">
        <f>Clean_Data[[#This Row],[Exports_TIV]] + Clean_Data[[#This Row],[Imports_TIV]]</f>
        <v>105000000</v>
      </c>
    </row>
    <row r="269" spans="1:9">
      <c r="A269" s="4" t="s">
        <v>289</v>
      </c>
      <c r="B269" s="4" t="s">
        <v>290</v>
      </c>
      <c r="C269" s="5">
        <v>2023</v>
      </c>
      <c r="D269" s="4">
        <v>0</v>
      </c>
      <c r="E269" s="4">
        <v>14492000000</v>
      </c>
      <c r="F269" s="4" t="str">
        <f>_xlfn.LET(_xlpm.r, _xlfn.XLOOKUP(Clean_Data[[#This Row],[Country_Code]], Metadata_Country!$A:$A, Metadata_Country!$B:$B, "Unknown"), IF(OR(_xlpm.r=0, _xlpm.r=""), "Regional Aggregate", _xlpm.r))</f>
        <v>Regional Aggregate</v>
      </c>
      <c r="G269" s="4" t="str">
        <f>_xlfn.LET(_xlpm.ig, _xlfn.XLOOKUP(Clean_Data[[#This Row],[Country_Code]], Metadata_Country!$A:$A, Metadata_Country!$C:$C, "Unknown"), IF(OR(_xlpm.ig=0, _xlpm.ig=""), "Regional Aggregate", _xlpm.ig))</f>
        <v>Regional Aggregate</v>
      </c>
      <c r="H269" s="4">
        <f>Clean_Data[[#This Row],[Exports_TIV]] - Clean_Data[[#This Row],[Imports_TIV]]</f>
        <v>-14492000000</v>
      </c>
      <c r="I269" s="4">
        <f>Clean_Data[[#This Row],[Exports_TIV]] + Clean_Data[[#This Row],[Imports_TIV]]</f>
        <v>14492000000</v>
      </c>
    </row>
    <row r="270" spans="1:9">
      <c r="A270" s="4" t="s">
        <v>281</v>
      </c>
      <c r="B270" s="4" t="s">
        <v>282</v>
      </c>
      <c r="C270" s="5">
        <v>2023</v>
      </c>
      <c r="D270" s="4">
        <v>0</v>
      </c>
      <c r="E270" s="4">
        <v>304000000</v>
      </c>
      <c r="F270" s="4" t="str">
        <f>_xlfn.LET(_xlpm.r, _xlfn.XLOOKUP(Clean_Data[[#This Row],[Country_Code]], Metadata_Country!$A:$A, Metadata_Country!$B:$B, "Unknown"), IF(OR(_xlpm.r=0, _xlpm.r=""), "Regional Aggregate", _xlpm.r))</f>
        <v>Regional Aggregate</v>
      </c>
      <c r="G270" s="4" t="str">
        <f>_xlfn.LET(_xlpm.ig, _xlfn.XLOOKUP(Clean_Data[[#This Row],[Country_Code]], Metadata_Country!$A:$A, Metadata_Country!$C:$C, "Unknown"), IF(OR(_xlpm.ig=0, _xlpm.ig=""), "Regional Aggregate", _xlpm.ig))</f>
        <v>Regional Aggregate</v>
      </c>
      <c r="H270" s="4">
        <f>Clean_Data[[#This Row],[Exports_TIV]] - Clean_Data[[#This Row],[Imports_TIV]]</f>
        <v>-304000000</v>
      </c>
      <c r="I270" s="4">
        <f>Clean_Data[[#This Row],[Exports_TIV]] + Clean_Data[[#This Row],[Imports_TIV]]</f>
        <v>304000000</v>
      </c>
    </row>
    <row r="271" spans="1:9">
      <c r="A271" s="4" t="s">
        <v>287</v>
      </c>
      <c r="B271" s="4" t="s">
        <v>288</v>
      </c>
      <c r="C271" s="5">
        <v>2023</v>
      </c>
      <c r="D271" s="4">
        <v>0</v>
      </c>
      <c r="E271" s="4">
        <v>6288000000</v>
      </c>
      <c r="F271" s="4" t="str">
        <f>_xlfn.LET(_xlpm.r, _xlfn.XLOOKUP(Clean_Data[[#This Row],[Country_Code]], Metadata_Country!$A:$A, Metadata_Country!$B:$B, "Unknown"), IF(OR(_xlpm.r=0, _xlpm.r=""), "Regional Aggregate", _xlpm.r))</f>
        <v>Regional Aggregate</v>
      </c>
      <c r="G271" s="4" t="str">
        <f>_xlfn.LET(_xlpm.ig, _xlfn.XLOOKUP(Clean_Data[[#This Row],[Country_Code]], Metadata_Country!$A:$A, Metadata_Country!$C:$C, "Unknown"), IF(OR(_xlpm.ig=0, _xlpm.ig=""), "Regional Aggregate", _xlpm.ig))</f>
        <v>Regional Aggregate</v>
      </c>
      <c r="H271" s="4">
        <f>Clean_Data[[#This Row],[Exports_TIV]] - Clean_Data[[#This Row],[Imports_TIV]]</f>
        <v>-6288000000</v>
      </c>
      <c r="I271" s="4">
        <f>Clean_Data[[#This Row],[Exports_TIV]] + Clean_Data[[#This Row],[Imports_TIV]]</f>
        <v>6288000000</v>
      </c>
    </row>
    <row r="272" spans="1:9">
      <c r="A272" s="4" t="s">
        <v>297</v>
      </c>
      <c r="B272" s="4" t="s">
        <v>298</v>
      </c>
      <c r="C272" s="5">
        <v>2023</v>
      </c>
      <c r="D272" s="4">
        <v>0</v>
      </c>
      <c r="E272" s="4">
        <v>1000000</v>
      </c>
      <c r="F272" s="4" t="str">
        <f>_xlfn.LET(_xlpm.r, _xlfn.XLOOKUP(Clean_Data[[#This Row],[Country_Code]], Metadata_Country!$A:$A, Metadata_Country!$B:$B, "Unknown"), IF(OR(_xlpm.r=0, _xlpm.r=""), "Regional Aggregate", _xlpm.r))</f>
        <v>Europe &amp; Central Asia</v>
      </c>
      <c r="G272" s="4" t="str">
        <f>_xlfn.LET(_xlpm.ig, _xlfn.XLOOKUP(Clean_Data[[#This Row],[Country_Code]], Metadata_Country!$A:$A, Metadata_Country!$C:$C, "Unknown"), IF(OR(_xlpm.ig=0, _xlpm.ig=""), "Regional Aggregate", _xlpm.ig))</f>
        <v>High income</v>
      </c>
      <c r="H272" s="4">
        <f>Clean_Data[[#This Row],[Exports_TIV]] - Clean_Data[[#This Row],[Imports_TIV]]</f>
        <v>-1000000</v>
      </c>
      <c r="I272" s="4">
        <f>Clean_Data[[#This Row],[Exports_TIV]] + Clean_Data[[#This Row],[Imports_TIV]]</f>
        <v>1000000</v>
      </c>
    </row>
    <row r="273" spans="1:9">
      <c r="A273" s="4" t="s">
        <v>347</v>
      </c>
      <c r="B273" s="4" t="s">
        <v>348</v>
      </c>
      <c r="C273" s="5">
        <v>2023</v>
      </c>
      <c r="D273" s="4">
        <v>0</v>
      </c>
      <c r="E273" s="4">
        <v>11000000</v>
      </c>
      <c r="F273" s="4" t="str">
        <f>_xlfn.LET(_xlpm.r, _xlfn.XLOOKUP(Clean_Data[[#This Row],[Country_Code]], Metadata_Country!$A:$A, Metadata_Country!$B:$B, "Unknown"), IF(OR(_xlpm.r=0, _xlpm.r=""), "Regional Aggregate", _xlpm.r))</f>
        <v>East Asia &amp; Pacific</v>
      </c>
      <c r="G273" s="4" t="str">
        <f>_xlfn.LET(_xlpm.ig, _xlfn.XLOOKUP(Clean_Data[[#This Row],[Country_Code]], Metadata_Country!$A:$A, Metadata_Country!$C:$C, "Unknown"), IF(OR(_xlpm.ig=0, _xlpm.ig=""), "Regional Aggregate", _xlpm.ig))</f>
        <v>Upper middle income</v>
      </c>
      <c r="H273" s="4">
        <f>Clean_Data[[#This Row],[Exports_TIV]] - Clean_Data[[#This Row],[Imports_TIV]]</f>
        <v>-11000000</v>
      </c>
      <c r="I273" s="4">
        <f>Clean_Data[[#This Row],[Exports_TIV]] + Clean_Data[[#This Row],[Imports_TIV]]</f>
        <v>11000000</v>
      </c>
    </row>
    <row r="274" spans="1:9">
      <c r="A274" s="4" t="s">
        <v>325</v>
      </c>
      <c r="B274" s="4" t="s">
        <v>326</v>
      </c>
      <c r="C274" s="5">
        <v>2023</v>
      </c>
      <c r="D274" s="4">
        <v>0</v>
      </c>
      <c r="E274" s="4">
        <v>82000000</v>
      </c>
      <c r="F274" s="4" t="str">
        <f>_xlfn.LET(_xlpm.r, _xlfn.XLOOKUP(Clean_Data[[#This Row],[Country_Code]], Metadata_Country!$A:$A, Metadata_Country!$B:$B, "Unknown"), IF(OR(_xlpm.r=0, _xlpm.r=""), "Regional Aggregate", _xlpm.r))</f>
        <v>Sub-Saharan Africa</v>
      </c>
      <c r="G274" s="4" t="str">
        <f>_xlfn.LET(_xlpm.ig, _xlfn.XLOOKUP(Clean_Data[[#This Row],[Country_Code]], Metadata_Country!$A:$A, Metadata_Country!$C:$C, "Unknown"), IF(OR(_xlpm.ig=0, _xlpm.ig=""), "Regional Aggregate", _xlpm.ig))</f>
        <v>Low income</v>
      </c>
      <c r="H274" s="4">
        <f>Clean_Data[[#This Row],[Exports_TIV]] - Clean_Data[[#This Row],[Imports_TIV]]</f>
        <v>-82000000</v>
      </c>
      <c r="I274" s="4">
        <f>Clean_Data[[#This Row],[Exports_TIV]] + Clean_Data[[#This Row],[Imports_TIV]]</f>
        <v>82000000</v>
      </c>
    </row>
    <row r="275" spans="1:9">
      <c r="A275" s="4" t="s">
        <v>327</v>
      </c>
      <c r="B275" s="4" t="s">
        <v>328</v>
      </c>
      <c r="C275" s="5">
        <v>2023</v>
      </c>
      <c r="D275" s="4">
        <v>0</v>
      </c>
      <c r="E275" s="4">
        <v>45000000</v>
      </c>
      <c r="F275" s="4" t="str">
        <f>_xlfn.LET(_xlpm.r, _xlfn.XLOOKUP(Clean_Data[[#This Row],[Country_Code]], Metadata_Country!$A:$A, Metadata_Country!$B:$B, "Unknown"), IF(OR(_xlpm.r=0, _xlpm.r=""), "Regional Aggregate", _xlpm.r))</f>
        <v>Middle East &amp; North Africa</v>
      </c>
      <c r="G275" s="4" t="str">
        <f>_xlfn.LET(_xlpm.ig, _xlfn.XLOOKUP(Clean_Data[[#This Row],[Country_Code]], Metadata_Country!$A:$A, Metadata_Country!$C:$C, "Unknown"), IF(OR(_xlpm.ig=0, _xlpm.ig=""), "Regional Aggregate", _xlpm.ig))</f>
        <v>High income</v>
      </c>
      <c r="H275" s="4">
        <f>Clean_Data[[#This Row],[Exports_TIV]] - Clean_Data[[#This Row],[Imports_TIV]]</f>
        <v>-45000000</v>
      </c>
      <c r="I275" s="4">
        <f>Clean_Data[[#This Row],[Exports_TIV]] + Clean_Data[[#This Row],[Imports_TIV]]</f>
        <v>45000000</v>
      </c>
    </row>
    <row r="276" spans="1:9">
      <c r="A276" s="4" t="s">
        <v>341</v>
      </c>
      <c r="B276" s="4" t="s">
        <v>342</v>
      </c>
      <c r="C276" s="5">
        <v>2023</v>
      </c>
      <c r="D276" s="4">
        <v>0</v>
      </c>
      <c r="E276" s="4">
        <v>2000000</v>
      </c>
      <c r="F276" s="4" t="str">
        <f>_xlfn.LET(_xlpm.r, _xlfn.XLOOKUP(Clean_Data[[#This Row],[Country_Code]], Metadata_Country!$A:$A, Metadata_Country!$B:$B, "Unknown"), IF(OR(_xlpm.r=0, _xlpm.r=""), "Regional Aggregate", _xlpm.r))</f>
        <v>Sub-Saharan Africa</v>
      </c>
      <c r="G276" s="4" t="str">
        <f>_xlfn.LET(_xlpm.ig, _xlfn.XLOOKUP(Clean_Data[[#This Row],[Country_Code]], Metadata_Country!$A:$A, Metadata_Country!$C:$C, "Unknown"), IF(OR(_xlpm.ig=0, _xlpm.ig=""), "Regional Aggregate", _xlpm.ig))</f>
        <v>Lower middle income</v>
      </c>
      <c r="H276" s="4">
        <f>Clean_Data[[#This Row],[Exports_TIV]] - Clean_Data[[#This Row],[Imports_TIV]]</f>
        <v>-2000000</v>
      </c>
      <c r="I276" s="4">
        <f>Clean_Data[[#This Row],[Exports_TIV]] + Clean_Data[[#This Row],[Imports_TIV]]</f>
        <v>2000000</v>
      </c>
    </row>
    <row r="277" spans="1:9">
      <c r="A277" s="4" t="s">
        <v>317</v>
      </c>
      <c r="B277" s="4" t="s">
        <v>318</v>
      </c>
      <c r="C277" s="5">
        <v>2023</v>
      </c>
      <c r="D277" s="4">
        <v>0</v>
      </c>
      <c r="E277" s="4">
        <v>4000000</v>
      </c>
      <c r="F277" s="4" t="str">
        <f>_xlfn.LET(_xlpm.r, _xlfn.XLOOKUP(Clean_Data[[#This Row],[Country_Code]], Metadata_Country!$A:$A, Metadata_Country!$B:$B, "Unknown"), IF(OR(_xlpm.r=0, _xlpm.r=""), "Regional Aggregate", _xlpm.r))</f>
        <v>Latin America &amp; Caribbean</v>
      </c>
      <c r="G277" s="4" t="str">
        <f>_xlfn.LET(_xlpm.ig, _xlfn.XLOOKUP(Clean_Data[[#This Row],[Country_Code]], Metadata_Country!$A:$A, Metadata_Country!$C:$C, "Unknown"), IF(OR(_xlpm.ig=0, _xlpm.ig=""), "Regional Aggregate", _xlpm.ig))</f>
        <v>Upper middle income</v>
      </c>
      <c r="H277" s="4">
        <f>Clean_Data[[#This Row],[Exports_TIV]] - Clean_Data[[#This Row],[Imports_TIV]]</f>
        <v>-4000000</v>
      </c>
      <c r="I277" s="4">
        <f>Clean_Data[[#This Row],[Exports_TIV]] + Clean_Data[[#This Row],[Imports_TIV]]</f>
        <v>4000000</v>
      </c>
    </row>
    <row r="278" spans="1:9">
      <c r="A278" s="4" t="s">
        <v>167</v>
      </c>
      <c r="B278" s="4" t="s">
        <v>168</v>
      </c>
      <c r="C278" s="5">
        <v>2023</v>
      </c>
      <c r="D278" s="4">
        <v>0</v>
      </c>
      <c r="E278" s="4">
        <v>7000000</v>
      </c>
      <c r="F278" s="4" t="str">
        <f>_xlfn.LET(_xlpm.r, _xlfn.XLOOKUP(Clean_Data[[#This Row],[Country_Code]], Metadata_Country!$A:$A, Metadata_Country!$B:$B, "Unknown"), IF(OR(_xlpm.r=0, _xlpm.r=""), "Regional Aggregate", _xlpm.r))</f>
        <v>East Asia &amp; Pacific</v>
      </c>
      <c r="G278" s="4" t="str">
        <f>_xlfn.LET(_xlpm.ig, _xlfn.XLOOKUP(Clean_Data[[#This Row],[Country_Code]], Metadata_Country!$A:$A, Metadata_Country!$C:$C, "Unknown"), IF(OR(_xlpm.ig=0, _xlpm.ig=""), "Regional Aggregate", _xlpm.ig))</f>
        <v>Upper middle income</v>
      </c>
      <c r="H278" s="4">
        <f>Clean_Data[[#This Row],[Exports_TIV]] - Clean_Data[[#This Row],[Imports_TIV]]</f>
        <v>-7000000</v>
      </c>
      <c r="I278" s="4">
        <f>Clean_Data[[#This Row],[Exports_TIV]] + Clean_Data[[#This Row],[Imports_TIV]]</f>
        <v>7000000</v>
      </c>
    </row>
    <row r="279" spans="1:9">
      <c r="A279" s="4" t="s">
        <v>315</v>
      </c>
      <c r="B279" s="4" t="s">
        <v>316</v>
      </c>
      <c r="C279" s="5">
        <v>2023</v>
      </c>
      <c r="D279" s="4">
        <v>1630000000</v>
      </c>
      <c r="E279" s="4">
        <v>10357000000</v>
      </c>
      <c r="F279" s="4" t="str">
        <f>_xlfn.LET(_xlpm.r, _xlfn.XLOOKUP(Clean_Data[[#This Row],[Country_Code]], Metadata_Country!$A:$A, Metadata_Country!$B:$B, "Unknown"), IF(OR(_xlpm.r=0, _xlpm.r=""), "Regional Aggregate", _xlpm.r))</f>
        <v>Regional Aggregate</v>
      </c>
      <c r="G279" s="4" t="str">
        <f>_xlfn.LET(_xlpm.ig, _xlfn.XLOOKUP(Clean_Data[[#This Row],[Country_Code]], Metadata_Country!$A:$A, Metadata_Country!$C:$C, "Unknown"), IF(OR(_xlpm.ig=0, _xlpm.ig=""), "Regional Aggregate", _xlpm.ig))</f>
        <v>Regional Aggregate</v>
      </c>
      <c r="H279" s="4">
        <f>Clean_Data[[#This Row],[Exports_TIV]] - Clean_Data[[#This Row],[Imports_TIV]]</f>
        <v>-8727000000</v>
      </c>
      <c r="I279" s="4">
        <f>Clean_Data[[#This Row],[Exports_TIV]] + Clean_Data[[#This Row],[Imports_TIV]]</f>
        <v>11987000000</v>
      </c>
    </row>
    <row r="280" spans="1:9">
      <c r="A280" s="4" t="s">
        <v>331</v>
      </c>
      <c r="B280" s="4" t="s">
        <v>332</v>
      </c>
      <c r="C280" s="5">
        <v>2023</v>
      </c>
      <c r="D280" s="4">
        <v>0</v>
      </c>
      <c r="E280" s="4">
        <v>4404000000</v>
      </c>
      <c r="F280" s="4" t="str">
        <f>_xlfn.LET(_xlpm.r, _xlfn.XLOOKUP(Clean_Data[[#This Row],[Country_Code]], Metadata_Country!$A:$A, Metadata_Country!$B:$B, "Unknown"), IF(OR(_xlpm.r=0, _xlpm.r=""), "Regional Aggregate", _xlpm.r))</f>
        <v>Regional Aggregate</v>
      </c>
      <c r="G280" s="4" t="str">
        <f>_xlfn.LET(_xlpm.ig, _xlfn.XLOOKUP(Clean_Data[[#This Row],[Country_Code]], Metadata_Country!$A:$A, Metadata_Country!$C:$C, "Unknown"), IF(OR(_xlpm.ig=0, _xlpm.ig=""), "Regional Aggregate", _xlpm.ig))</f>
        <v>Regional Aggregate</v>
      </c>
      <c r="H280" s="4">
        <f>Clean_Data[[#This Row],[Exports_TIV]] - Clean_Data[[#This Row],[Imports_TIV]]</f>
        <v>-4404000000</v>
      </c>
      <c r="I280" s="4">
        <f>Clean_Data[[#This Row],[Exports_TIV]] + Clean_Data[[#This Row],[Imports_TIV]]</f>
        <v>4404000000</v>
      </c>
    </row>
    <row r="281" spans="1:9">
      <c r="A281" s="4" t="s">
        <v>485</v>
      </c>
      <c r="B281" s="4" t="s">
        <v>486</v>
      </c>
      <c r="C281" s="5">
        <v>2023</v>
      </c>
      <c r="D281" s="4">
        <v>0</v>
      </c>
      <c r="E281" s="4">
        <v>4402000000</v>
      </c>
      <c r="F281" s="4" t="str">
        <f>_xlfn.LET(_xlpm.r, _xlfn.XLOOKUP(Clean_Data[[#This Row],[Country_Code]], Metadata_Country!$A:$A, Metadata_Country!$B:$B, "Unknown"), IF(OR(_xlpm.r=0, _xlpm.r=""), "Regional Aggregate", _xlpm.r))</f>
        <v>Regional Aggregate</v>
      </c>
      <c r="G281" s="4" t="str">
        <f>_xlfn.LET(_xlpm.ig, _xlfn.XLOOKUP(Clean_Data[[#This Row],[Country_Code]], Metadata_Country!$A:$A, Metadata_Country!$C:$C, "Unknown"), IF(OR(_xlpm.ig=0, _xlpm.ig=""), "Regional Aggregate", _xlpm.ig))</f>
        <v>Regional Aggregate</v>
      </c>
      <c r="H281" s="4">
        <f>Clean_Data[[#This Row],[Exports_TIV]] - Clean_Data[[#This Row],[Imports_TIV]]</f>
        <v>-4402000000</v>
      </c>
      <c r="I281" s="4">
        <f>Clean_Data[[#This Row],[Exports_TIV]] + Clean_Data[[#This Row],[Imports_TIV]]</f>
        <v>4402000000</v>
      </c>
    </row>
    <row r="282" spans="1:9">
      <c r="A282" s="4" t="s">
        <v>321</v>
      </c>
      <c r="B282" s="4" t="s">
        <v>322</v>
      </c>
      <c r="C282" s="5">
        <v>2023</v>
      </c>
      <c r="D282" s="4">
        <v>0</v>
      </c>
      <c r="E282" s="4">
        <v>14188000000</v>
      </c>
      <c r="F282" s="4" t="str">
        <f>_xlfn.LET(_xlpm.r, _xlfn.XLOOKUP(Clean_Data[[#This Row],[Country_Code]], Metadata_Country!$A:$A, Metadata_Country!$B:$B, "Unknown"), IF(OR(_xlpm.r=0, _xlpm.r=""), "Regional Aggregate", _xlpm.r))</f>
        <v>Regional Aggregate</v>
      </c>
      <c r="G282" s="4" t="str">
        <f>_xlfn.LET(_xlpm.ig, _xlfn.XLOOKUP(Clean_Data[[#This Row],[Country_Code]], Metadata_Country!$A:$A, Metadata_Country!$C:$C, "Unknown"), IF(OR(_xlpm.ig=0, _xlpm.ig=""), "Regional Aggregate", _xlpm.ig))</f>
        <v>Regional Aggregate</v>
      </c>
      <c r="H282" s="4">
        <f>Clean_Data[[#This Row],[Exports_TIV]] - Clean_Data[[#This Row],[Imports_TIV]]</f>
        <v>-14188000000</v>
      </c>
      <c r="I282" s="4">
        <f>Clean_Data[[#This Row],[Exports_TIV]] + Clean_Data[[#This Row],[Imports_TIV]]</f>
        <v>14188000000</v>
      </c>
    </row>
    <row r="283" spans="1:9">
      <c r="A283" s="4" t="s">
        <v>309</v>
      </c>
      <c r="B283" s="4" t="s">
        <v>310</v>
      </c>
      <c r="C283" s="5">
        <v>2023</v>
      </c>
      <c r="D283" s="4">
        <v>0</v>
      </c>
      <c r="E283" s="4">
        <v>13000000</v>
      </c>
      <c r="F283" s="4" t="str">
        <f>_xlfn.LET(_xlpm.r, _xlfn.XLOOKUP(Clean_Data[[#This Row],[Country_Code]], Metadata_Country!$A:$A, Metadata_Country!$B:$B, "Unknown"), IF(OR(_xlpm.r=0, _xlpm.r=""), "Regional Aggregate", _xlpm.r))</f>
        <v>Europe &amp; Central Asia</v>
      </c>
      <c r="G283" s="4" t="str">
        <f>_xlfn.LET(_xlpm.ig, _xlfn.XLOOKUP(Clean_Data[[#This Row],[Country_Code]], Metadata_Country!$A:$A, Metadata_Country!$C:$C, "Unknown"), IF(OR(_xlpm.ig=0, _xlpm.ig=""), "Regional Aggregate", _xlpm.ig))</f>
        <v>Upper middle income</v>
      </c>
      <c r="H283" s="4">
        <f>Clean_Data[[#This Row],[Exports_TIV]] - Clean_Data[[#This Row],[Imports_TIV]]</f>
        <v>-13000000</v>
      </c>
      <c r="I283" s="4">
        <f>Clean_Data[[#This Row],[Exports_TIV]] + Clean_Data[[#This Row],[Imports_TIV]]</f>
        <v>13000000</v>
      </c>
    </row>
    <row r="284" spans="1:9">
      <c r="A284" s="4" t="s">
        <v>305</v>
      </c>
      <c r="B284" s="4" t="s">
        <v>306</v>
      </c>
      <c r="C284" s="5">
        <v>2023</v>
      </c>
      <c r="D284" s="4">
        <v>47000000</v>
      </c>
      <c r="E284" s="4">
        <v>501000000</v>
      </c>
      <c r="F284" s="4" t="str">
        <f>_xlfn.LET(_xlpm.r, _xlfn.XLOOKUP(Clean_Data[[#This Row],[Country_Code]], Metadata_Country!$A:$A, Metadata_Country!$B:$B, "Unknown"), IF(OR(_xlpm.r=0, _xlpm.r=""), "Regional Aggregate", _xlpm.r))</f>
        <v>Middle East &amp; North Africa</v>
      </c>
      <c r="G284" s="4" t="str">
        <f>_xlfn.LET(_xlpm.ig, _xlfn.XLOOKUP(Clean_Data[[#This Row],[Country_Code]], Metadata_Country!$A:$A, Metadata_Country!$C:$C, "Unknown"), IF(OR(_xlpm.ig=0, _xlpm.ig=""), "Regional Aggregate", _xlpm.ig))</f>
        <v>Lower middle income</v>
      </c>
      <c r="H284" s="4">
        <f>Clean_Data[[#This Row],[Exports_TIV]] - Clean_Data[[#This Row],[Imports_TIV]]</f>
        <v>-454000000</v>
      </c>
      <c r="I284" s="4">
        <f>Clean_Data[[#This Row],[Exports_TIV]] + Clean_Data[[#This Row],[Imports_TIV]]</f>
        <v>548000000</v>
      </c>
    </row>
    <row r="285" spans="1:9">
      <c r="A285" s="4" t="s">
        <v>339</v>
      </c>
      <c r="B285" s="4" t="s">
        <v>340</v>
      </c>
      <c r="C285" s="5">
        <v>2023</v>
      </c>
      <c r="D285" s="4">
        <v>0</v>
      </c>
      <c r="E285" s="4">
        <v>3000000</v>
      </c>
      <c r="F285" s="4" t="str">
        <f>_xlfn.LET(_xlpm.r, _xlfn.XLOOKUP(Clean_Data[[#This Row],[Country_Code]], Metadata_Country!$A:$A, Metadata_Country!$B:$B, "Unknown"), IF(OR(_xlpm.r=0, _xlpm.r=""), "Regional Aggregate", _xlpm.r))</f>
        <v>Sub-Saharan Africa</v>
      </c>
      <c r="G285" s="4" t="str">
        <f>_xlfn.LET(_xlpm.ig, _xlfn.XLOOKUP(Clean_Data[[#This Row],[Country_Code]], Metadata_Country!$A:$A, Metadata_Country!$C:$C, "Unknown"), IF(OR(_xlpm.ig=0, _xlpm.ig=""), "Regional Aggregate", _xlpm.ig))</f>
        <v>Low income</v>
      </c>
      <c r="H285" s="4">
        <f>Clean_Data[[#This Row],[Exports_TIV]] - Clean_Data[[#This Row],[Imports_TIV]]</f>
        <v>-3000000</v>
      </c>
      <c r="I285" s="4">
        <f>Clean_Data[[#This Row],[Exports_TIV]] + Clean_Data[[#This Row],[Imports_TIV]]</f>
        <v>3000000</v>
      </c>
    </row>
    <row r="286" spans="1:9">
      <c r="A286" s="4" t="s">
        <v>329</v>
      </c>
      <c r="B286" s="4" t="s">
        <v>330</v>
      </c>
      <c r="C286" s="5">
        <v>2023</v>
      </c>
      <c r="D286" s="4">
        <v>0</v>
      </c>
      <c r="E286" s="4">
        <v>132000000</v>
      </c>
      <c r="F286" s="4" t="str">
        <f>_xlfn.LET(_xlpm.r, _xlfn.XLOOKUP(Clean_Data[[#This Row],[Country_Code]], Metadata_Country!$A:$A, Metadata_Country!$B:$B, "Unknown"), IF(OR(_xlpm.r=0, _xlpm.r=""), "Regional Aggregate", _xlpm.r))</f>
        <v>East Asia &amp; Pacific</v>
      </c>
      <c r="G286" s="4" t="str">
        <f>_xlfn.LET(_xlpm.ig, _xlfn.XLOOKUP(Clean_Data[[#This Row],[Country_Code]], Metadata_Country!$A:$A, Metadata_Country!$C:$C, "Unknown"), IF(OR(_xlpm.ig=0, _xlpm.ig=""), "Regional Aggregate", _xlpm.ig))</f>
        <v>Lower middle income</v>
      </c>
      <c r="H286" s="4">
        <f>Clean_Data[[#This Row],[Exports_TIV]] - Clean_Data[[#This Row],[Imports_TIV]]</f>
        <v>-132000000</v>
      </c>
      <c r="I286" s="4">
        <f>Clean_Data[[#This Row],[Exports_TIV]] + Clean_Data[[#This Row],[Imports_TIV]]</f>
        <v>132000000</v>
      </c>
    </row>
    <row r="287" spans="1:9">
      <c r="A287" s="4" t="s">
        <v>361</v>
      </c>
      <c r="B287" s="4" t="s">
        <v>362</v>
      </c>
      <c r="C287" s="5">
        <v>2023</v>
      </c>
      <c r="D287" s="4">
        <v>250000000</v>
      </c>
      <c r="E287" s="4">
        <v>374000000</v>
      </c>
      <c r="F287" s="4" t="str">
        <f>_xlfn.LET(_xlpm.r, _xlfn.XLOOKUP(Clean_Data[[#This Row],[Country_Code]], Metadata_Country!$A:$A, Metadata_Country!$B:$B, "Unknown"), IF(OR(_xlpm.r=0, _xlpm.r=""), "Regional Aggregate", _xlpm.r))</f>
        <v>Europe &amp; Central Asia</v>
      </c>
      <c r="G287" s="4" t="str">
        <f>_xlfn.LET(_xlpm.ig, _xlfn.XLOOKUP(Clean_Data[[#This Row],[Country_Code]], Metadata_Country!$A:$A, Metadata_Country!$C:$C, "Unknown"), IF(OR(_xlpm.ig=0, _xlpm.ig=""), "Regional Aggregate", _xlpm.ig))</f>
        <v>High income</v>
      </c>
      <c r="H287" s="4">
        <f>Clean_Data[[#This Row],[Exports_TIV]] - Clean_Data[[#This Row],[Imports_TIV]]</f>
        <v>-124000000</v>
      </c>
      <c r="I287" s="4">
        <f>Clean_Data[[#This Row],[Exports_TIV]] + Clean_Data[[#This Row],[Imports_TIV]]</f>
        <v>624000000</v>
      </c>
    </row>
    <row r="288" spans="1:9">
      <c r="A288" s="4" t="s">
        <v>369</v>
      </c>
      <c r="B288" s="4" t="s">
        <v>370</v>
      </c>
      <c r="C288" s="5">
        <v>2023</v>
      </c>
      <c r="D288" s="4">
        <v>20000000</v>
      </c>
      <c r="E288" s="4">
        <v>406000000</v>
      </c>
      <c r="F288" s="4" t="str">
        <f>_xlfn.LET(_xlpm.r, _xlfn.XLOOKUP(Clean_Data[[#This Row],[Country_Code]], Metadata_Country!$A:$A, Metadata_Country!$B:$B, "Unknown"), IF(OR(_xlpm.r=0, _xlpm.r=""), "Regional Aggregate", _xlpm.r))</f>
        <v>East Asia &amp; Pacific</v>
      </c>
      <c r="G288" s="4" t="str">
        <f>_xlfn.LET(_xlpm.ig, _xlfn.XLOOKUP(Clean_Data[[#This Row],[Country_Code]], Metadata_Country!$A:$A, Metadata_Country!$C:$C, "Unknown"), IF(OR(_xlpm.ig=0, _xlpm.ig=""), "Regional Aggregate", _xlpm.ig))</f>
        <v>High income</v>
      </c>
      <c r="H288" s="4">
        <f>Clean_Data[[#This Row],[Exports_TIV]] - Clean_Data[[#This Row],[Imports_TIV]]</f>
        <v>-386000000</v>
      </c>
      <c r="I288" s="4">
        <f>Clean_Data[[#This Row],[Exports_TIV]] + Clean_Data[[#This Row],[Imports_TIV]]</f>
        <v>426000000</v>
      </c>
    </row>
    <row r="289" spans="1:9">
      <c r="A289" s="4" t="s">
        <v>355</v>
      </c>
      <c r="B289" s="4" t="s">
        <v>356</v>
      </c>
      <c r="C289" s="5">
        <v>2023</v>
      </c>
      <c r="D289" s="4">
        <v>0</v>
      </c>
      <c r="E289" s="4">
        <v>19000000</v>
      </c>
      <c r="F289" s="4" t="str">
        <f>_xlfn.LET(_xlpm.r, _xlfn.XLOOKUP(Clean_Data[[#This Row],[Country_Code]], Metadata_Country!$A:$A, Metadata_Country!$B:$B, "Unknown"), IF(OR(_xlpm.r=0, _xlpm.r=""), "Regional Aggregate", _xlpm.r))</f>
        <v>Sub-Saharan Africa</v>
      </c>
      <c r="G289" s="4" t="str">
        <f>_xlfn.LET(_xlpm.ig, _xlfn.XLOOKUP(Clean_Data[[#This Row],[Country_Code]], Metadata_Country!$A:$A, Metadata_Country!$C:$C, "Unknown"), IF(OR(_xlpm.ig=0, _xlpm.ig=""), "Regional Aggregate", _xlpm.ig))</f>
        <v>Low income</v>
      </c>
      <c r="H289" s="4">
        <f>Clean_Data[[#This Row],[Exports_TIV]] - Clean_Data[[#This Row],[Imports_TIV]]</f>
        <v>-19000000</v>
      </c>
      <c r="I289" s="4">
        <f>Clean_Data[[#This Row],[Exports_TIV]] + Clean_Data[[#This Row],[Imports_TIV]]</f>
        <v>19000000</v>
      </c>
    </row>
    <row r="290" spans="1:9">
      <c r="A290" s="4" t="s">
        <v>357</v>
      </c>
      <c r="B290" s="4" t="s">
        <v>358</v>
      </c>
      <c r="C290" s="5">
        <v>2023</v>
      </c>
      <c r="D290" s="4">
        <v>0</v>
      </c>
      <c r="E290" s="4">
        <v>93000000</v>
      </c>
      <c r="F290" s="4" t="str">
        <f>_xlfn.LET(_xlpm.r, _xlfn.XLOOKUP(Clean_Data[[#This Row],[Country_Code]], Metadata_Country!$A:$A, Metadata_Country!$B:$B, "Unknown"), IF(OR(_xlpm.r=0, _xlpm.r=""), "Regional Aggregate", _xlpm.r))</f>
        <v>Sub-Saharan Africa</v>
      </c>
      <c r="G290" s="4" t="str">
        <f>_xlfn.LET(_xlpm.ig, _xlfn.XLOOKUP(Clean_Data[[#This Row],[Country_Code]], Metadata_Country!$A:$A, Metadata_Country!$C:$C, "Unknown"), IF(OR(_xlpm.ig=0, _xlpm.ig=""), "Regional Aggregate", _xlpm.ig))</f>
        <v>Lower middle income</v>
      </c>
      <c r="H290" s="4">
        <f>Clean_Data[[#This Row],[Exports_TIV]] - Clean_Data[[#This Row],[Imports_TIV]]</f>
        <v>-93000000</v>
      </c>
      <c r="I290" s="4">
        <f>Clean_Data[[#This Row],[Exports_TIV]] + Clean_Data[[#This Row],[Imports_TIV]]</f>
        <v>93000000</v>
      </c>
    </row>
    <row r="291" spans="1:9">
      <c r="A291" s="4" t="s">
        <v>349</v>
      </c>
      <c r="B291" s="4" t="s">
        <v>350</v>
      </c>
      <c r="C291" s="5">
        <v>2023</v>
      </c>
      <c r="D291" s="4">
        <v>11196000000</v>
      </c>
      <c r="E291" s="4">
        <v>964000000</v>
      </c>
      <c r="F291" s="4" t="str">
        <f>_xlfn.LET(_xlpm.r, _xlfn.XLOOKUP(Clean_Data[[#This Row],[Country_Code]], Metadata_Country!$A:$A, Metadata_Country!$B:$B, "Unknown"), IF(OR(_xlpm.r=0, _xlpm.r=""), "Regional Aggregate", _xlpm.r))</f>
        <v>Regional Aggregate</v>
      </c>
      <c r="G291" s="4" t="str">
        <f>_xlfn.LET(_xlpm.ig, _xlfn.XLOOKUP(Clean_Data[[#This Row],[Country_Code]], Metadata_Country!$A:$A, Metadata_Country!$C:$C, "Unknown"), IF(OR(_xlpm.ig=0, _xlpm.ig=""), "Regional Aggregate", _xlpm.ig))</f>
        <v>Regional Aggregate</v>
      </c>
      <c r="H291" s="4">
        <f>Clean_Data[[#This Row],[Exports_TIV]] - Clean_Data[[#This Row],[Imports_TIV]]</f>
        <v>10232000000</v>
      </c>
      <c r="I291" s="4">
        <f>Clean_Data[[#This Row],[Exports_TIV]] + Clean_Data[[#This Row],[Imports_TIV]]</f>
        <v>12160000000</v>
      </c>
    </row>
    <row r="292" spans="1:9">
      <c r="A292" s="4" t="s">
        <v>323</v>
      </c>
      <c r="B292" s="4" t="s">
        <v>324</v>
      </c>
      <c r="C292" s="5">
        <v>2023</v>
      </c>
      <c r="D292" s="4">
        <v>59000000</v>
      </c>
      <c r="E292" s="4">
        <v>5000000</v>
      </c>
      <c r="F292" s="4" t="str">
        <f>_xlfn.LET(_xlpm.r, _xlfn.XLOOKUP(Clean_Data[[#This Row],[Country_Code]], Metadata_Country!$A:$A, Metadata_Country!$B:$B, "Unknown"), IF(OR(_xlpm.r=0, _xlpm.r=""), "Regional Aggregate", _xlpm.r))</f>
        <v>Europe &amp; Central Asia</v>
      </c>
      <c r="G292" s="4" t="str">
        <f>_xlfn.LET(_xlpm.ig, _xlfn.XLOOKUP(Clean_Data[[#This Row],[Country_Code]], Metadata_Country!$A:$A, Metadata_Country!$C:$C, "Unknown"), IF(OR(_xlpm.ig=0, _xlpm.ig=""), "Regional Aggregate", _xlpm.ig))</f>
        <v>Upper middle income</v>
      </c>
      <c r="H292" s="4">
        <f>Clean_Data[[#This Row],[Exports_TIV]] - Clean_Data[[#This Row],[Imports_TIV]]</f>
        <v>54000000</v>
      </c>
      <c r="I292" s="4">
        <f>Clean_Data[[#This Row],[Exports_TIV]] + Clean_Data[[#This Row],[Imports_TIV]]</f>
        <v>64000000</v>
      </c>
    </row>
    <row r="293" spans="1:9">
      <c r="A293" s="4" t="s">
        <v>363</v>
      </c>
      <c r="B293" s="4" t="s">
        <v>364</v>
      </c>
      <c r="C293" s="5">
        <v>2023</v>
      </c>
      <c r="D293" s="4">
        <v>327000000</v>
      </c>
      <c r="E293" s="4">
        <v>200000000</v>
      </c>
      <c r="F293" s="4" t="str">
        <f>_xlfn.LET(_xlpm.r, _xlfn.XLOOKUP(Clean_Data[[#This Row],[Country_Code]], Metadata_Country!$A:$A, Metadata_Country!$B:$B, "Unknown"), IF(OR(_xlpm.r=0, _xlpm.r=""), "Regional Aggregate", _xlpm.r))</f>
        <v>Europe &amp; Central Asia</v>
      </c>
      <c r="G293" s="4" t="str">
        <f>_xlfn.LET(_xlpm.ig, _xlfn.XLOOKUP(Clean_Data[[#This Row],[Country_Code]], Metadata_Country!$A:$A, Metadata_Country!$C:$C, "Unknown"), IF(OR(_xlpm.ig=0, _xlpm.ig=""), "Regional Aggregate", _xlpm.ig))</f>
        <v>High income</v>
      </c>
      <c r="H293" s="4">
        <f>Clean_Data[[#This Row],[Exports_TIV]] - Clean_Data[[#This Row],[Imports_TIV]]</f>
        <v>127000000</v>
      </c>
      <c r="I293" s="4">
        <f>Clean_Data[[#This Row],[Exports_TIV]] + Clean_Data[[#This Row],[Imports_TIV]]</f>
        <v>527000000</v>
      </c>
    </row>
    <row r="294" spans="1:9">
      <c r="A294" s="4" t="s">
        <v>371</v>
      </c>
      <c r="B294" s="4" t="s">
        <v>372</v>
      </c>
      <c r="C294" s="5">
        <v>2023</v>
      </c>
      <c r="D294" s="4">
        <v>24319000000</v>
      </c>
      <c r="E294" s="4">
        <v>9338000000</v>
      </c>
      <c r="F294" s="4" t="str">
        <f>_xlfn.LET(_xlpm.r, _xlfn.XLOOKUP(Clean_Data[[#This Row],[Country_Code]], Metadata_Country!$A:$A, Metadata_Country!$B:$B, "Unknown"), IF(OR(_xlpm.r=0, _xlpm.r=""), "Regional Aggregate", _xlpm.r))</f>
        <v>Regional Aggregate</v>
      </c>
      <c r="G294" s="4" t="str">
        <f>_xlfn.LET(_xlpm.ig, _xlfn.XLOOKUP(Clean_Data[[#This Row],[Country_Code]], Metadata_Country!$A:$A, Metadata_Country!$C:$C, "Unknown"), IF(OR(_xlpm.ig=0, _xlpm.ig=""), "Regional Aggregate", _xlpm.ig))</f>
        <v>Regional Aggregate</v>
      </c>
      <c r="H294" s="4">
        <f>Clean_Data[[#This Row],[Exports_TIV]] - Clean_Data[[#This Row],[Imports_TIV]]</f>
        <v>14981000000</v>
      </c>
      <c r="I294" s="4">
        <f>Clean_Data[[#This Row],[Exports_TIV]] + Clean_Data[[#This Row],[Imports_TIV]]</f>
        <v>33657000000</v>
      </c>
    </row>
    <row r="295" spans="1:9">
      <c r="A295" s="4" t="s">
        <v>373</v>
      </c>
      <c r="B295" s="4" t="s">
        <v>374</v>
      </c>
      <c r="C295" s="5">
        <v>2023</v>
      </c>
      <c r="D295" s="4">
        <v>0</v>
      </c>
      <c r="E295" s="4">
        <v>4000000</v>
      </c>
      <c r="F295" s="4" t="str">
        <f>_xlfn.LET(_xlpm.r, _xlfn.XLOOKUP(Clean_Data[[#This Row],[Country_Code]], Metadata_Country!$A:$A, Metadata_Country!$B:$B, "Unknown"), IF(OR(_xlpm.r=0, _xlpm.r=""), "Regional Aggregate", _xlpm.r))</f>
        <v>Middle East &amp; North Africa</v>
      </c>
      <c r="G295" s="4" t="str">
        <f>_xlfn.LET(_xlpm.ig, _xlfn.XLOOKUP(Clean_Data[[#This Row],[Country_Code]], Metadata_Country!$A:$A, Metadata_Country!$C:$C, "Unknown"), IF(OR(_xlpm.ig=0, _xlpm.ig=""), "Regional Aggregate", _xlpm.ig))</f>
        <v>High income</v>
      </c>
      <c r="H295" s="4">
        <f>Clean_Data[[#This Row],[Exports_TIV]] - Clean_Data[[#This Row],[Imports_TIV]]</f>
        <v>-4000000</v>
      </c>
      <c r="I295" s="4">
        <f>Clean_Data[[#This Row],[Exports_TIV]] + Clean_Data[[#This Row],[Imports_TIV]]</f>
        <v>4000000</v>
      </c>
    </row>
    <row r="296" spans="1:9">
      <c r="A296" s="4" t="s">
        <v>375</v>
      </c>
      <c r="B296" s="4" t="s">
        <v>376</v>
      </c>
      <c r="C296" s="5">
        <v>2023</v>
      </c>
      <c r="D296" s="4">
        <v>0</v>
      </c>
      <c r="E296" s="4">
        <v>87000000</v>
      </c>
      <c r="F296" s="4" t="str">
        <f>_xlfn.LET(_xlpm.r, _xlfn.XLOOKUP(Clean_Data[[#This Row],[Country_Code]], Metadata_Country!$A:$A, Metadata_Country!$B:$B, "Unknown"), IF(OR(_xlpm.r=0, _xlpm.r=""), "Regional Aggregate", _xlpm.r))</f>
        <v>Regional Aggregate</v>
      </c>
      <c r="G296" s="4" t="str">
        <f>_xlfn.LET(_xlpm.ig, _xlfn.XLOOKUP(Clean_Data[[#This Row],[Country_Code]], Metadata_Country!$A:$A, Metadata_Country!$C:$C, "Unknown"), IF(OR(_xlpm.ig=0, _xlpm.ig=""), "Regional Aggregate", _xlpm.ig))</f>
        <v>Regional Aggregate</v>
      </c>
      <c r="H296" s="4">
        <f>Clean_Data[[#This Row],[Exports_TIV]] - Clean_Data[[#This Row],[Imports_TIV]]</f>
        <v>-87000000</v>
      </c>
      <c r="I296" s="4">
        <f>Clean_Data[[#This Row],[Exports_TIV]] + Clean_Data[[#This Row],[Imports_TIV]]</f>
        <v>87000000</v>
      </c>
    </row>
    <row r="297" spans="1:9">
      <c r="A297" s="4" t="s">
        <v>377</v>
      </c>
      <c r="B297" s="4" t="s">
        <v>378</v>
      </c>
      <c r="C297" s="5">
        <v>2023</v>
      </c>
      <c r="D297" s="4">
        <v>5000000</v>
      </c>
      <c r="E297" s="4">
        <v>2199000000</v>
      </c>
      <c r="F297" s="4" t="str">
        <f>_xlfn.LET(_xlpm.r, _xlfn.XLOOKUP(Clean_Data[[#This Row],[Country_Code]], Metadata_Country!$A:$A, Metadata_Country!$B:$B, "Unknown"), IF(OR(_xlpm.r=0, _xlpm.r=""), "Regional Aggregate", _xlpm.r))</f>
        <v>Middle East &amp; North Africa</v>
      </c>
      <c r="G297" s="4" t="str">
        <f>_xlfn.LET(_xlpm.ig, _xlfn.XLOOKUP(Clean_Data[[#This Row],[Country_Code]], Metadata_Country!$A:$A, Metadata_Country!$C:$C, "Unknown"), IF(OR(_xlpm.ig=0, _xlpm.ig=""), "Regional Aggregate", _xlpm.ig))</f>
        <v>Lower middle income</v>
      </c>
      <c r="H297" s="4">
        <f>Clean_Data[[#This Row],[Exports_TIV]] - Clean_Data[[#This Row],[Imports_TIV]]</f>
        <v>-2194000000</v>
      </c>
      <c r="I297" s="4">
        <f>Clean_Data[[#This Row],[Exports_TIV]] + Clean_Data[[#This Row],[Imports_TIV]]</f>
        <v>2204000000</v>
      </c>
    </row>
    <row r="298" spans="1:9">
      <c r="A298" s="4" t="s">
        <v>387</v>
      </c>
      <c r="B298" s="4" t="s">
        <v>388</v>
      </c>
      <c r="C298" s="5">
        <v>2023</v>
      </c>
      <c r="D298" s="4">
        <v>0</v>
      </c>
      <c r="E298" s="4">
        <v>9000000</v>
      </c>
      <c r="F298" s="4" t="str">
        <f>_xlfn.LET(_xlpm.r, _xlfn.XLOOKUP(Clean_Data[[#This Row],[Country_Code]], Metadata_Country!$A:$A, Metadata_Country!$B:$B, "Unknown"), IF(OR(_xlpm.r=0, _xlpm.r=""), "Regional Aggregate", _xlpm.r))</f>
        <v>East Asia &amp; Pacific</v>
      </c>
      <c r="G298" s="4" t="str">
        <f>_xlfn.LET(_xlpm.ig, _xlfn.XLOOKUP(Clean_Data[[#This Row],[Country_Code]], Metadata_Country!$A:$A, Metadata_Country!$C:$C, "Unknown"), IF(OR(_xlpm.ig=0, _xlpm.ig=""), "Regional Aggregate", _xlpm.ig))</f>
        <v>Lower middle income</v>
      </c>
      <c r="H298" s="4">
        <f>Clean_Data[[#This Row],[Exports_TIV]] - Clean_Data[[#This Row],[Imports_TIV]]</f>
        <v>-9000000</v>
      </c>
      <c r="I298" s="4">
        <f>Clean_Data[[#This Row],[Exports_TIV]] + Clean_Data[[#This Row],[Imports_TIV]]</f>
        <v>9000000</v>
      </c>
    </row>
    <row r="299" spans="1:9">
      <c r="A299" s="4" t="s">
        <v>381</v>
      </c>
      <c r="B299" s="4" t="s">
        <v>382</v>
      </c>
      <c r="C299" s="5">
        <v>2023</v>
      </c>
      <c r="D299" s="4">
        <v>0</v>
      </c>
      <c r="E299" s="4">
        <v>22000000</v>
      </c>
      <c r="F299" s="4" t="str">
        <f>_xlfn.LET(_xlpm.r, _xlfn.XLOOKUP(Clean_Data[[#This Row],[Country_Code]], Metadata_Country!$A:$A, Metadata_Country!$B:$B, "Unknown"), IF(OR(_xlpm.r=0, _xlpm.r=""), "Regional Aggregate", _xlpm.r))</f>
        <v>Latin America &amp; Caribbean</v>
      </c>
      <c r="G299" s="4" t="str">
        <f>_xlfn.LET(_xlpm.ig, _xlfn.XLOOKUP(Clean_Data[[#This Row],[Country_Code]], Metadata_Country!$A:$A, Metadata_Country!$C:$C, "Unknown"), IF(OR(_xlpm.ig=0, _xlpm.ig=""), "Regional Aggregate", _xlpm.ig))</f>
        <v>Upper middle income</v>
      </c>
      <c r="H299" s="4">
        <f>Clean_Data[[#This Row],[Exports_TIV]] - Clean_Data[[#This Row],[Imports_TIV]]</f>
        <v>-22000000</v>
      </c>
      <c r="I299" s="4">
        <f>Clean_Data[[#This Row],[Exports_TIV]] + Clean_Data[[#This Row],[Imports_TIV]]</f>
        <v>22000000</v>
      </c>
    </row>
    <row r="300" spans="1:9">
      <c r="A300" s="4" t="s">
        <v>383</v>
      </c>
      <c r="B300" s="4" t="s">
        <v>384</v>
      </c>
      <c r="C300" s="5">
        <v>2023</v>
      </c>
      <c r="D300" s="4">
        <v>0</v>
      </c>
      <c r="E300" s="4">
        <v>108000000</v>
      </c>
      <c r="F300" s="4" t="str">
        <f>_xlfn.LET(_xlpm.r, _xlfn.XLOOKUP(Clean_Data[[#This Row],[Country_Code]], Metadata_Country!$A:$A, Metadata_Country!$B:$B, "Unknown"), IF(OR(_xlpm.r=0, _xlpm.r=""), "Regional Aggregate", _xlpm.r))</f>
        <v>East Asia &amp; Pacific</v>
      </c>
      <c r="G300" s="4" t="str">
        <f>_xlfn.LET(_xlpm.ig, _xlfn.XLOOKUP(Clean_Data[[#This Row],[Country_Code]], Metadata_Country!$A:$A, Metadata_Country!$C:$C, "Unknown"), IF(OR(_xlpm.ig=0, _xlpm.ig=""), "Regional Aggregate", _xlpm.ig))</f>
        <v>Upper middle income</v>
      </c>
      <c r="H300" s="4">
        <f>Clean_Data[[#This Row],[Exports_TIV]] - Clean_Data[[#This Row],[Imports_TIV]]</f>
        <v>-108000000</v>
      </c>
      <c r="I300" s="4">
        <f>Clean_Data[[#This Row],[Exports_TIV]] + Clean_Data[[#This Row],[Imports_TIV]]</f>
        <v>108000000</v>
      </c>
    </row>
    <row r="301" spans="1:9">
      <c r="A301" s="4" t="s">
        <v>389</v>
      </c>
      <c r="B301" s="4" t="s">
        <v>390</v>
      </c>
      <c r="C301" s="5">
        <v>2023</v>
      </c>
      <c r="D301" s="4">
        <v>576000000</v>
      </c>
      <c r="E301" s="4">
        <v>1391000000</v>
      </c>
      <c r="F301" s="4" t="str">
        <f>_xlfn.LET(_xlpm.r, _xlfn.XLOOKUP(Clean_Data[[#This Row],[Country_Code]], Metadata_Country!$A:$A, Metadata_Country!$B:$B, "Unknown"), IF(OR(_xlpm.r=0, _xlpm.r=""), "Regional Aggregate", _xlpm.r))</f>
        <v>Europe &amp; Central Asia</v>
      </c>
      <c r="G301" s="4" t="str">
        <f>_xlfn.LET(_xlpm.ig, _xlfn.XLOOKUP(Clean_Data[[#This Row],[Country_Code]], Metadata_Country!$A:$A, Metadata_Country!$C:$C, "Unknown"), IF(OR(_xlpm.ig=0, _xlpm.ig=""), "Regional Aggregate", _xlpm.ig))</f>
        <v>High income</v>
      </c>
      <c r="H301" s="4">
        <f>Clean_Data[[#This Row],[Exports_TIV]] - Clean_Data[[#This Row],[Imports_TIV]]</f>
        <v>-815000000</v>
      </c>
      <c r="I301" s="4">
        <f>Clean_Data[[#This Row],[Exports_TIV]] + Clean_Data[[#This Row],[Imports_TIV]]</f>
        <v>1967000000</v>
      </c>
    </row>
    <row r="302" spans="1:9">
      <c r="A302" s="4" t="s">
        <v>397</v>
      </c>
      <c r="B302" s="4" t="s">
        <v>398</v>
      </c>
      <c r="C302" s="5">
        <v>2023</v>
      </c>
      <c r="D302" s="4">
        <v>8000000</v>
      </c>
      <c r="E302" s="4">
        <v>67000000</v>
      </c>
      <c r="F302" s="4" t="str">
        <f>_xlfn.LET(_xlpm.r, _xlfn.XLOOKUP(Clean_Data[[#This Row],[Country_Code]], Metadata_Country!$A:$A, Metadata_Country!$B:$B, "Unknown"), IF(OR(_xlpm.r=0, _xlpm.r=""), "Regional Aggregate", _xlpm.r))</f>
        <v>Europe &amp; Central Asia</v>
      </c>
      <c r="G302" s="4" t="str">
        <f>_xlfn.LET(_xlpm.ig, _xlfn.XLOOKUP(Clean_Data[[#This Row],[Country_Code]], Metadata_Country!$A:$A, Metadata_Country!$C:$C, "Unknown"), IF(OR(_xlpm.ig=0, _xlpm.ig=""), "Regional Aggregate", _xlpm.ig))</f>
        <v>High income</v>
      </c>
      <c r="H302" s="4">
        <f>Clean_Data[[#This Row],[Exports_TIV]] - Clean_Data[[#This Row],[Imports_TIV]]</f>
        <v>-59000000</v>
      </c>
      <c r="I302" s="4">
        <f>Clean_Data[[#This Row],[Exports_TIV]] + Clean_Data[[#This Row],[Imports_TIV]]</f>
        <v>75000000</v>
      </c>
    </row>
    <row r="303" spans="1:9">
      <c r="A303" s="4" t="s">
        <v>405</v>
      </c>
      <c r="B303" s="4" t="s">
        <v>406</v>
      </c>
      <c r="C303" s="5">
        <v>2023</v>
      </c>
      <c r="D303" s="4">
        <v>21749000000</v>
      </c>
      <c r="E303" s="4">
        <v>11327000000</v>
      </c>
      <c r="F303" s="4" t="str">
        <f>_xlfn.LET(_xlpm.r, _xlfn.XLOOKUP(Clean_Data[[#This Row],[Country_Code]], Metadata_Country!$A:$A, Metadata_Country!$B:$B, "Unknown"), IF(OR(_xlpm.r=0, _xlpm.r=""), "Regional Aggregate", _xlpm.r))</f>
        <v>Regional Aggregate</v>
      </c>
      <c r="G303" s="4" t="str">
        <f>_xlfn.LET(_xlpm.ig, _xlfn.XLOOKUP(Clean_Data[[#This Row],[Country_Code]], Metadata_Country!$A:$A, Metadata_Country!$C:$C, "Unknown"), IF(OR(_xlpm.ig=0, _xlpm.ig=""), "Regional Aggregate", _xlpm.ig))</f>
        <v>Regional Aggregate</v>
      </c>
      <c r="H303" s="4">
        <f>Clean_Data[[#This Row],[Exports_TIV]] - Clean_Data[[#This Row],[Imports_TIV]]</f>
        <v>10422000000</v>
      </c>
      <c r="I303" s="4">
        <f>Clean_Data[[#This Row],[Exports_TIV]] + Clean_Data[[#This Row],[Imports_TIV]]</f>
        <v>33076000000</v>
      </c>
    </row>
    <row r="304" spans="1:9">
      <c r="A304" s="4" t="s">
        <v>391</v>
      </c>
      <c r="B304" s="4" t="s">
        <v>392</v>
      </c>
      <c r="C304" s="5">
        <v>2023</v>
      </c>
      <c r="D304" s="4">
        <v>0</v>
      </c>
      <c r="E304" s="4">
        <v>669000000</v>
      </c>
      <c r="F304" s="4" t="str">
        <f>_xlfn.LET(_xlpm.r, _xlfn.XLOOKUP(Clean_Data[[#This Row],[Country_Code]], Metadata_Country!$A:$A, Metadata_Country!$B:$B, "Unknown"), IF(OR(_xlpm.r=0, _xlpm.r=""), "Regional Aggregate", _xlpm.r))</f>
        <v>Regional Aggregate</v>
      </c>
      <c r="G304" s="4" t="str">
        <f>_xlfn.LET(_xlpm.ig, _xlfn.XLOOKUP(Clean_Data[[#This Row],[Country_Code]], Metadata_Country!$A:$A, Metadata_Country!$C:$C, "Unknown"), IF(OR(_xlpm.ig=0, _xlpm.ig=""), "Regional Aggregate", _xlpm.ig))</f>
        <v>Regional Aggregate</v>
      </c>
      <c r="H304" s="4">
        <f>Clean_Data[[#This Row],[Exports_TIV]] - Clean_Data[[#This Row],[Imports_TIV]]</f>
        <v>-669000000</v>
      </c>
      <c r="I304" s="4">
        <f>Clean_Data[[#This Row],[Exports_TIV]] + Clean_Data[[#This Row],[Imports_TIV]]</f>
        <v>669000000</v>
      </c>
    </row>
    <row r="305" spans="1:9">
      <c r="A305" s="4" t="s">
        <v>409</v>
      </c>
      <c r="B305" s="4" t="s">
        <v>410</v>
      </c>
      <c r="C305" s="5">
        <v>2023</v>
      </c>
      <c r="D305" s="4">
        <v>54000000</v>
      </c>
      <c r="E305" s="4">
        <v>2006000000</v>
      </c>
      <c r="F305" s="4" t="str">
        <f>_xlfn.LET(_xlpm.r, _xlfn.XLOOKUP(Clean_Data[[#This Row],[Country_Code]], Metadata_Country!$A:$A, Metadata_Country!$B:$B, "Unknown"), IF(OR(_xlpm.r=0, _xlpm.r=""), "Regional Aggregate", _xlpm.r))</f>
        <v>Middle East &amp; North Africa</v>
      </c>
      <c r="G305" s="4" t="str">
        <f>_xlfn.LET(_xlpm.ig, _xlfn.XLOOKUP(Clean_Data[[#This Row],[Country_Code]], Metadata_Country!$A:$A, Metadata_Country!$C:$C, "Unknown"), IF(OR(_xlpm.ig=0, _xlpm.ig=""), "Regional Aggregate", _xlpm.ig))</f>
        <v>High income</v>
      </c>
      <c r="H305" s="4">
        <f>Clean_Data[[#This Row],[Exports_TIV]] - Clean_Data[[#This Row],[Imports_TIV]]</f>
        <v>-1952000000</v>
      </c>
      <c r="I305" s="4">
        <f>Clean_Data[[#This Row],[Exports_TIV]] + Clean_Data[[#This Row],[Imports_TIV]]</f>
        <v>2060000000</v>
      </c>
    </row>
    <row r="306" spans="1:9">
      <c r="A306" s="4" t="s">
        <v>411</v>
      </c>
      <c r="B306" s="4" t="s">
        <v>412</v>
      </c>
      <c r="C306" s="5">
        <v>2023</v>
      </c>
      <c r="D306" s="4">
        <v>1000000</v>
      </c>
      <c r="E306" s="4">
        <v>364000000</v>
      </c>
      <c r="F306" s="4" t="str">
        <f>_xlfn.LET(_xlpm.r, _xlfn.XLOOKUP(Clean_Data[[#This Row],[Country_Code]], Metadata_Country!$A:$A, Metadata_Country!$B:$B, "Unknown"), IF(OR(_xlpm.r=0, _xlpm.r=""), "Regional Aggregate", _xlpm.r))</f>
        <v>Europe &amp; Central Asia</v>
      </c>
      <c r="G306" s="4" t="str">
        <f>_xlfn.LET(_xlpm.ig, _xlfn.XLOOKUP(Clean_Data[[#This Row],[Country_Code]], Metadata_Country!$A:$A, Metadata_Country!$C:$C, "Unknown"), IF(OR(_xlpm.ig=0, _xlpm.ig=""), "Regional Aggregate", _xlpm.ig))</f>
        <v>High income</v>
      </c>
      <c r="H306" s="4">
        <f>Clean_Data[[#This Row],[Exports_TIV]] - Clean_Data[[#This Row],[Imports_TIV]]</f>
        <v>-363000000</v>
      </c>
      <c r="I306" s="4">
        <f>Clean_Data[[#This Row],[Exports_TIV]] + Clean_Data[[#This Row],[Imports_TIV]]</f>
        <v>365000000</v>
      </c>
    </row>
    <row r="307" spans="1:9">
      <c r="A307" s="4" t="s">
        <v>413</v>
      </c>
      <c r="B307" s="4" t="s">
        <v>414</v>
      </c>
      <c r="C307" s="5">
        <v>2023</v>
      </c>
      <c r="D307" s="4">
        <v>1513000000</v>
      </c>
      <c r="E307" s="4">
        <v>95000000</v>
      </c>
      <c r="F307" s="4" t="str">
        <f>_xlfn.LET(_xlpm.r, _xlfn.XLOOKUP(Clean_Data[[#This Row],[Country_Code]], Metadata_Country!$A:$A, Metadata_Country!$B:$B, "Unknown"), IF(OR(_xlpm.r=0, _xlpm.r=""), "Regional Aggregate", _xlpm.r))</f>
        <v>Europe &amp; Central Asia</v>
      </c>
      <c r="G307" s="4" t="str">
        <f>_xlfn.LET(_xlpm.ig, _xlfn.XLOOKUP(Clean_Data[[#This Row],[Country_Code]], Metadata_Country!$A:$A, Metadata_Country!$C:$C, "Unknown"), IF(OR(_xlpm.ig=0, _xlpm.ig=""), "Regional Aggregate", _xlpm.ig))</f>
        <v>High income</v>
      </c>
      <c r="H307" s="4">
        <f>Clean_Data[[#This Row],[Exports_TIV]] - Clean_Data[[#This Row],[Imports_TIV]]</f>
        <v>1418000000</v>
      </c>
      <c r="I307" s="4">
        <f>Clean_Data[[#This Row],[Exports_TIV]] + Clean_Data[[#This Row],[Imports_TIV]]</f>
        <v>1608000000</v>
      </c>
    </row>
    <row r="308" spans="1:9">
      <c r="A308" s="4" t="s">
        <v>415</v>
      </c>
      <c r="B308" s="4" t="s">
        <v>416</v>
      </c>
      <c r="C308" s="5">
        <v>2023</v>
      </c>
      <c r="D308" s="4">
        <v>0</v>
      </c>
      <c r="E308" s="4">
        <v>37000000</v>
      </c>
      <c r="F308" s="4" t="str">
        <f>_xlfn.LET(_xlpm.r, _xlfn.XLOOKUP(Clean_Data[[#This Row],[Country_Code]], Metadata_Country!$A:$A, Metadata_Country!$B:$B, "Unknown"), IF(OR(_xlpm.r=0, _xlpm.r=""), "Regional Aggregate", _xlpm.r))</f>
        <v>Sub-Saharan Africa</v>
      </c>
      <c r="G308" s="4" t="str">
        <f>_xlfn.LET(_xlpm.ig, _xlfn.XLOOKUP(Clean_Data[[#This Row],[Country_Code]], Metadata_Country!$A:$A, Metadata_Country!$C:$C, "Unknown"), IF(OR(_xlpm.ig=0, _xlpm.ig=""), "Regional Aggregate", _xlpm.ig))</f>
        <v>Low income</v>
      </c>
      <c r="H308" s="4">
        <f>Clean_Data[[#This Row],[Exports_TIV]] - Clean_Data[[#This Row],[Imports_TIV]]</f>
        <v>-37000000</v>
      </c>
      <c r="I308" s="4">
        <f>Clean_Data[[#This Row],[Exports_TIV]] + Clean_Data[[#This Row],[Imports_TIV]]</f>
        <v>37000000</v>
      </c>
    </row>
    <row r="309" spans="1:9">
      <c r="A309" s="4" t="s">
        <v>419</v>
      </c>
      <c r="B309" s="4" t="s">
        <v>420</v>
      </c>
      <c r="C309" s="5">
        <v>2023</v>
      </c>
      <c r="D309" s="4">
        <v>3000000</v>
      </c>
      <c r="E309" s="4">
        <v>1326000000</v>
      </c>
      <c r="F309" s="4" t="str">
        <f>_xlfn.LET(_xlpm.r, _xlfn.XLOOKUP(Clean_Data[[#This Row],[Country_Code]], Metadata_Country!$A:$A, Metadata_Country!$B:$B, "Unknown"), IF(OR(_xlpm.r=0, _xlpm.r=""), "Regional Aggregate", _xlpm.r))</f>
        <v>Middle East &amp; North Africa</v>
      </c>
      <c r="G309" s="4" t="str">
        <f>_xlfn.LET(_xlpm.ig, _xlfn.XLOOKUP(Clean_Data[[#This Row],[Country_Code]], Metadata_Country!$A:$A, Metadata_Country!$C:$C, "Unknown"), IF(OR(_xlpm.ig=0, _xlpm.ig=""), "Regional Aggregate", _xlpm.ig))</f>
        <v>High income</v>
      </c>
      <c r="H309" s="4">
        <f>Clean_Data[[#This Row],[Exports_TIV]] - Clean_Data[[#This Row],[Imports_TIV]]</f>
        <v>-1323000000</v>
      </c>
      <c r="I309" s="4">
        <f>Clean_Data[[#This Row],[Exports_TIV]] + Clean_Data[[#This Row],[Imports_TIV]]</f>
        <v>1329000000</v>
      </c>
    </row>
    <row r="310" spans="1:9">
      <c r="A310" s="4" t="s">
        <v>423</v>
      </c>
      <c r="B310" s="4" t="s">
        <v>424</v>
      </c>
      <c r="C310" s="5">
        <v>2023</v>
      </c>
      <c r="D310" s="4">
        <v>0</v>
      </c>
      <c r="E310" s="4">
        <v>172000000</v>
      </c>
      <c r="F310" s="4" t="str">
        <f>_xlfn.LET(_xlpm.r, _xlfn.XLOOKUP(Clean_Data[[#This Row],[Country_Code]], Metadata_Country!$A:$A, Metadata_Country!$B:$B, "Unknown"), IF(OR(_xlpm.r=0, _xlpm.r=""), "Regional Aggregate", _xlpm.r))</f>
        <v>Sub-Saharan Africa</v>
      </c>
      <c r="G310" s="4" t="str">
        <f>_xlfn.LET(_xlpm.ig, _xlfn.XLOOKUP(Clean_Data[[#This Row],[Country_Code]], Metadata_Country!$A:$A, Metadata_Country!$C:$C, "Unknown"), IF(OR(_xlpm.ig=0, _xlpm.ig=""), "Regional Aggregate", _xlpm.ig))</f>
        <v>Lower middle income</v>
      </c>
      <c r="H310" s="4">
        <f>Clean_Data[[#This Row],[Exports_TIV]] - Clean_Data[[#This Row],[Imports_TIV]]</f>
        <v>-172000000</v>
      </c>
      <c r="I310" s="4">
        <f>Clean_Data[[#This Row],[Exports_TIV]] + Clean_Data[[#This Row],[Imports_TIV]]</f>
        <v>172000000</v>
      </c>
    </row>
    <row r="311" spans="1:9">
      <c r="A311" s="4" t="s">
        <v>437</v>
      </c>
      <c r="B311" s="4" t="s">
        <v>438</v>
      </c>
      <c r="C311" s="5">
        <v>2023</v>
      </c>
      <c r="D311" s="4">
        <v>0</v>
      </c>
      <c r="E311" s="4">
        <v>370000000</v>
      </c>
      <c r="F311" s="4" t="str">
        <f>_xlfn.LET(_xlpm.r, _xlfn.XLOOKUP(Clean_Data[[#This Row],[Country_Code]], Metadata_Country!$A:$A, Metadata_Country!$B:$B, "Unknown"), IF(OR(_xlpm.r=0, _xlpm.r=""), "Regional Aggregate", _xlpm.r))</f>
        <v>Europe &amp; Central Asia</v>
      </c>
      <c r="G311" s="4" t="str">
        <f>_xlfn.LET(_xlpm.ig, _xlfn.XLOOKUP(Clean_Data[[#This Row],[Country_Code]], Metadata_Country!$A:$A, Metadata_Country!$C:$C, "Unknown"), IF(OR(_xlpm.ig=0, _xlpm.ig=""), "Regional Aggregate", _xlpm.ig))</f>
        <v>Upper middle income</v>
      </c>
      <c r="H311" s="4">
        <f>Clean_Data[[#This Row],[Exports_TIV]] - Clean_Data[[#This Row],[Imports_TIV]]</f>
        <v>-370000000</v>
      </c>
      <c r="I311" s="4">
        <f>Clean_Data[[#This Row],[Exports_TIV]] + Clean_Data[[#This Row],[Imports_TIV]]</f>
        <v>370000000</v>
      </c>
    </row>
    <row r="312" spans="1:9">
      <c r="A312" s="4" t="s">
        <v>425</v>
      </c>
      <c r="B312" s="4" t="s">
        <v>426</v>
      </c>
      <c r="C312" s="5">
        <v>2023</v>
      </c>
      <c r="D312" s="4">
        <v>11000000</v>
      </c>
      <c r="E312" s="4">
        <v>495000000</v>
      </c>
      <c r="F312" s="4" t="str">
        <f>_xlfn.LET(_xlpm.r, _xlfn.XLOOKUP(Clean_Data[[#This Row],[Country_Code]], Metadata_Country!$A:$A, Metadata_Country!$B:$B, "Unknown"), IF(OR(_xlpm.r=0, _xlpm.r=""), "Regional Aggregate", _xlpm.r))</f>
        <v>East Asia &amp; Pacific</v>
      </c>
      <c r="G312" s="4" t="str">
        <f>_xlfn.LET(_xlpm.ig, _xlfn.XLOOKUP(Clean_Data[[#This Row],[Country_Code]], Metadata_Country!$A:$A, Metadata_Country!$C:$C, "Unknown"), IF(OR(_xlpm.ig=0, _xlpm.ig=""), "Regional Aggregate", _xlpm.ig))</f>
        <v>High income</v>
      </c>
      <c r="H312" s="4">
        <f>Clean_Data[[#This Row],[Exports_TIV]] - Clean_Data[[#This Row],[Imports_TIV]]</f>
        <v>-484000000</v>
      </c>
      <c r="I312" s="4">
        <f>Clean_Data[[#This Row],[Exports_TIV]] + Clean_Data[[#This Row],[Imports_TIV]]</f>
        <v>506000000</v>
      </c>
    </row>
    <row r="313" spans="1:9">
      <c r="A313" s="4" t="s">
        <v>451</v>
      </c>
      <c r="B313" s="4" t="s">
        <v>452</v>
      </c>
      <c r="C313" s="5">
        <v>2023</v>
      </c>
      <c r="D313" s="4">
        <v>154000000</v>
      </c>
      <c r="E313" s="4">
        <v>30000000</v>
      </c>
      <c r="F313" s="4" t="str">
        <f>_xlfn.LET(_xlpm.r, _xlfn.XLOOKUP(Clean_Data[[#This Row],[Country_Code]], Metadata_Country!$A:$A, Metadata_Country!$B:$B, "Unknown"), IF(OR(_xlpm.r=0, _xlpm.r=""), "Regional Aggregate", _xlpm.r))</f>
        <v>Europe &amp; Central Asia</v>
      </c>
      <c r="G313" s="4" t="str">
        <f>_xlfn.LET(_xlpm.ig, _xlfn.XLOOKUP(Clean_Data[[#This Row],[Country_Code]], Metadata_Country!$A:$A, Metadata_Country!$C:$C, "Unknown"), IF(OR(_xlpm.ig=0, _xlpm.ig=""), "Regional Aggregate", _xlpm.ig))</f>
        <v>High income</v>
      </c>
      <c r="H313" s="4">
        <f>Clean_Data[[#This Row],[Exports_TIV]] - Clean_Data[[#This Row],[Imports_TIV]]</f>
        <v>124000000</v>
      </c>
      <c r="I313" s="4">
        <f>Clean_Data[[#This Row],[Exports_TIV]] + Clean_Data[[#This Row],[Imports_TIV]]</f>
        <v>184000000</v>
      </c>
    </row>
    <row r="314" spans="1:9">
      <c r="A314" s="4" t="s">
        <v>453</v>
      </c>
      <c r="B314" s="4" t="s">
        <v>454</v>
      </c>
      <c r="C314" s="5">
        <v>2023</v>
      </c>
      <c r="D314" s="4">
        <v>2000000</v>
      </c>
      <c r="E314" s="4">
        <v>26000000</v>
      </c>
      <c r="F314" s="4" t="str">
        <f>_xlfn.LET(_xlpm.r, _xlfn.XLOOKUP(Clean_Data[[#This Row],[Country_Code]], Metadata_Country!$A:$A, Metadata_Country!$B:$B, "Unknown"), IF(OR(_xlpm.r=0, _xlpm.r=""), "Regional Aggregate", _xlpm.r))</f>
        <v>Europe &amp; Central Asia</v>
      </c>
      <c r="G314" s="4" t="str">
        <f>_xlfn.LET(_xlpm.ig, _xlfn.XLOOKUP(Clean_Data[[#This Row],[Country_Code]], Metadata_Country!$A:$A, Metadata_Country!$C:$C, "Unknown"), IF(OR(_xlpm.ig=0, _xlpm.ig=""), "Regional Aggregate", _xlpm.ig))</f>
        <v>High income</v>
      </c>
      <c r="H314" s="4">
        <f>Clean_Data[[#This Row],[Exports_TIV]] - Clean_Data[[#This Row],[Imports_TIV]]</f>
        <v>-24000000</v>
      </c>
      <c r="I314" s="4">
        <f>Clean_Data[[#This Row],[Exports_TIV]] + Clean_Data[[#This Row],[Imports_TIV]]</f>
        <v>28000000</v>
      </c>
    </row>
    <row r="315" spans="1:9">
      <c r="A315" s="4" t="s">
        <v>445</v>
      </c>
      <c r="B315" s="4" t="s">
        <v>446</v>
      </c>
      <c r="C315" s="5">
        <v>2023</v>
      </c>
      <c r="D315" s="4">
        <v>0</v>
      </c>
      <c r="E315" s="4">
        <v>100000000</v>
      </c>
      <c r="F315" s="4" t="str">
        <f>_xlfn.LET(_xlpm.r, _xlfn.XLOOKUP(Clean_Data[[#This Row],[Country_Code]], Metadata_Country!$A:$A, Metadata_Country!$B:$B, "Unknown"), IF(OR(_xlpm.r=0, _xlpm.r=""), "Regional Aggregate", _xlpm.r))</f>
        <v>Regional Aggregate</v>
      </c>
      <c r="G315" s="4" t="str">
        <f>_xlfn.LET(_xlpm.ig, _xlfn.XLOOKUP(Clean_Data[[#This Row],[Country_Code]], Metadata_Country!$A:$A, Metadata_Country!$C:$C, "Unknown"), IF(OR(_xlpm.ig=0, _xlpm.ig=""), "Regional Aggregate", _xlpm.ig))</f>
        <v>Regional Aggregate</v>
      </c>
      <c r="H315" s="4">
        <f>Clean_Data[[#This Row],[Exports_TIV]] - Clean_Data[[#This Row],[Imports_TIV]]</f>
        <v>-100000000</v>
      </c>
      <c r="I315" s="4">
        <f>Clean_Data[[#This Row],[Exports_TIV]] + Clean_Data[[#This Row],[Imports_TIV]]</f>
        <v>100000000</v>
      </c>
    </row>
    <row r="316" spans="1:9">
      <c r="A316" s="4" t="s">
        <v>435</v>
      </c>
      <c r="B316" s="4" t="s">
        <v>436</v>
      </c>
      <c r="C316" s="5">
        <v>2023</v>
      </c>
      <c r="D316" s="4">
        <v>0</v>
      </c>
      <c r="E316" s="4">
        <v>4000000</v>
      </c>
      <c r="F316" s="4" t="str">
        <f>_xlfn.LET(_xlpm.r, _xlfn.XLOOKUP(Clean_Data[[#This Row],[Country_Code]], Metadata_Country!$A:$A, Metadata_Country!$B:$B, "Unknown"), IF(OR(_xlpm.r=0, _xlpm.r=""), "Regional Aggregate", _xlpm.r))</f>
        <v>Sub-Saharan Africa</v>
      </c>
      <c r="G316" s="4" t="str">
        <f>_xlfn.LET(_xlpm.ig, _xlfn.XLOOKUP(Clean_Data[[#This Row],[Country_Code]], Metadata_Country!$A:$A, Metadata_Country!$C:$C, "Unknown"), IF(OR(_xlpm.ig=0, _xlpm.ig=""), "Regional Aggregate", _xlpm.ig))</f>
        <v>Low income</v>
      </c>
      <c r="H316" s="4">
        <f>Clean_Data[[#This Row],[Exports_TIV]] - Clean_Data[[#This Row],[Imports_TIV]]</f>
        <v>-4000000</v>
      </c>
      <c r="I316" s="4">
        <f>Clean_Data[[#This Row],[Exports_TIV]] + Clean_Data[[#This Row],[Imports_TIV]]</f>
        <v>4000000</v>
      </c>
    </row>
    <row r="317" spans="1:9">
      <c r="A317" s="4" t="s">
        <v>535</v>
      </c>
      <c r="B317" s="4" t="s">
        <v>536</v>
      </c>
      <c r="C317" s="5">
        <v>2023</v>
      </c>
      <c r="D317" s="4">
        <v>105000000</v>
      </c>
      <c r="E317" s="4">
        <v>30000000</v>
      </c>
      <c r="F317" s="4" t="str">
        <f>_xlfn.LET(_xlpm.r, _xlfn.XLOOKUP(Clean_Data[[#This Row],[Country_Code]], Metadata_Country!$A:$A, Metadata_Country!$B:$B, "Unknown"), IF(OR(_xlpm.r=0, _xlpm.r=""), "Regional Aggregate", _xlpm.r))</f>
        <v>Sub-Saharan Africa</v>
      </c>
      <c r="G317" s="4" t="str">
        <f>_xlfn.LET(_xlpm.ig, _xlfn.XLOOKUP(Clean_Data[[#This Row],[Country_Code]], Metadata_Country!$A:$A, Metadata_Country!$C:$C, "Unknown"), IF(OR(_xlpm.ig=0, _xlpm.ig=""), "Regional Aggregate", _xlpm.ig))</f>
        <v>Upper middle income</v>
      </c>
      <c r="H317" s="4">
        <f>Clean_Data[[#This Row],[Exports_TIV]] - Clean_Data[[#This Row],[Imports_TIV]]</f>
        <v>75000000</v>
      </c>
      <c r="I317" s="4">
        <f>Clean_Data[[#This Row],[Exports_TIV]] + Clean_Data[[#This Row],[Imports_TIV]]</f>
        <v>135000000</v>
      </c>
    </row>
    <row r="318" spans="1:9">
      <c r="A318" s="4" t="s">
        <v>417</v>
      </c>
      <c r="B318" s="4" t="s">
        <v>418</v>
      </c>
      <c r="C318" s="5">
        <v>2023</v>
      </c>
      <c r="D318" s="4">
        <v>41000000</v>
      </c>
      <c r="E318" s="4">
        <v>1619000000</v>
      </c>
      <c r="F318" s="4" t="str">
        <f>_xlfn.LET(_xlpm.r, _xlfn.XLOOKUP(Clean_Data[[#This Row],[Country_Code]], Metadata_Country!$A:$A, Metadata_Country!$B:$B, "Unknown"), IF(OR(_xlpm.r=0, _xlpm.r=""), "Regional Aggregate", _xlpm.r))</f>
        <v>Regional Aggregate</v>
      </c>
      <c r="G318" s="4" t="str">
        <f>_xlfn.LET(_xlpm.ig, _xlfn.XLOOKUP(Clean_Data[[#This Row],[Country_Code]], Metadata_Country!$A:$A, Metadata_Country!$C:$C, "Unknown"), IF(OR(_xlpm.ig=0, _xlpm.ig=""), "Regional Aggregate", _xlpm.ig))</f>
        <v>Regional Aggregate</v>
      </c>
      <c r="H318" s="4">
        <f>Clean_Data[[#This Row],[Exports_TIV]] - Clean_Data[[#This Row],[Imports_TIV]]</f>
        <v>-1578000000</v>
      </c>
      <c r="I318" s="4">
        <f>Clean_Data[[#This Row],[Exports_TIV]] + Clean_Data[[#This Row],[Imports_TIV]]</f>
        <v>1660000000</v>
      </c>
    </row>
    <row r="319" spans="1:9">
      <c r="A319" s="4" t="s">
        <v>489</v>
      </c>
      <c r="B319" s="4" t="s">
        <v>490</v>
      </c>
      <c r="C319" s="5">
        <v>2023</v>
      </c>
      <c r="D319" s="4">
        <v>41000000</v>
      </c>
      <c r="E319" s="4">
        <v>1619000000</v>
      </c>
      <c r="F319" s="4" t="str">
        <f>_xlfn.LET(_xlpm.r, _xlfn.XLOOKUP(Clean_Data[[#This Row],[Country_Code]], Metadata_Country!$A:$A, Metadata_Country!$B:$B, "Unknown"), IF(OR(_xlpm.r=0, _xlpm.r=""), "Regional Aggregate", _xlpm.r))</f>
        <v>Regional Aggregate</v>
      </c>
      <c r="G319" s="4" t="str">
        <f>_xlfn.LET(_xlpm.ig, _xlfn.XLOOKUP(Clean_Data[[#This Row],[Country_Code]], Metadata_Country!$A:$A, Metadata_Country!$C:$C, "Unknown"), IF(OR(_xlpm.ig=0, _xlpm.ig=""), "Regional Aggregate", _xlpm.ig))</f>
        <v>Regional Aggregate</v>
      </c>
      <c r="H319" s="4">
        <f>Clean_Data[[#This Row],[Exports_TIV]] - Clean_Data[[#This Row],[Imports_TIV]]</f>
        <v>-1578000000</v>
      </c>
      <c r="I319" s="4">
        <f>Clean_Data[[#This Row],[Exports_TIV]] + Clean_Data[[#This Row],[Imports_TIV]]</f>
        <v>1660000000</v>
      </c>
    </row>
    <row r="320" spans="1:9">
      <c r="A320" s="4" t="s">
        <v>149</v>
      </c>
      <c r="B320" s="4" t="s">
        <v>150</v>
      </c>
      <c r="C320" s="5">
        <v>2023</v>
      </c>
      <c r="D320" s="4">
        <v>912000000</v>
      </c>
      <c r="E320" s="4">
        <v>159000000</v>
      </c>
      <c r="F320" s="4" t="str">
        <f>_xlfn.LET(_xlpm.r, _xlfn.XLOOKUP(Clean_Data[[#This Row],[Country_Code]], Metadata_Country!$A:$A, Metadata_Country!$B:$B, "Unknown"), IF(OR(_xlpm.r=0, _xlpm.r=""), "Regional Aggregate", _xlpm.r))</f>
        <v>Europe &amp; Central Asia</v>
      </c>
      <c r="G320" s="4" t="str">
        <f>_xlfn.LET(_xlpm.ig, _xlfn.XLOOKUP(Clean_Data[[#This Row],[Country_Code]], Metadata_Country!$A:$A, Metadata_Country!$C:$C, "Unknown"), IF(OR(_xlpm.ig=0, _xlpm.ig=""), "Regional Aggregate", _xlpm.ig))</f>
        <v>High income</v>
      </c>
      <c r="H320" s="4">
        <f>Clean_Data[[#This Row],[Exports_TIV]] - Clean_Data[[#This Row],[Imports_TIV]]</f>
        <v>753000000</v>
      </c>
      <c r="I320" s="4">
        <f>Clean_Data[[#This Row],[Exports_TIV]] + Clean_Data[[#This Row],[Imports_TIV]]</f>
        <v>1071000000</v>
      </c>
    </row>
    <row r="321" spans="1:9">
      <c r="A321" s="4" t="s">
        <v>285</v>
      </c>
      <c r="B321" s="4" t="s">
        <v>286</v>
      </c>
      <c r="C321" s="5">
        <v>2023</v>
      </c>
      <c r="D321" s="4">
        <v>0</v>
      </c>
      <c r="E321" s="4">
        <v>5000000</v>
      </c>
      <c r="F321" s="4" t="str">
        <f>_xlfn.LET(_xlpm.r, _xlfn.XLOOKUP(Clean_Data[[#This Row],[Country_Code]], Metadata_Country!$A:$A, Metadata_Country!$B:$B, "Unknown"), IF(OR(_xlpm.r=0, _xlpm.r=""), "Regional Aggregate", _xlpm.r))</f>
        <v>South Asia</v>
      </c>
      <c r="G321" s="4" t="str">
        <f>_xlfn.LET(_xlpm.ig, _xlfn.XLOOKUP(Clean_Data[[#This Row],[Country_Code]], Metadata_Country!$A:$A, Metadata_Country!$C:$C, "Unknown"), IF(OR(_xlpm.ig=0, _xlpm.ig=""), "Regional Aggregate", _xlpm.ig))</f>
        <v>Upper middle income</v>
      </c>
      <c r="H321" s="4">
        <f>Clean_Data[[#This Row],[Exports_TIV]] - Clean_Data[[#This Row],[Imports_TIV]]</f>
        <v>-5000000</v>
      </c>
      <c r="I321" s="4">
        <f>Clean_Data[[#This Row],[Exports_TIV]] + Clean_Data[[#This Row],[Imports_TIV]]</f>
        <v>5000000</v>
      </c>
    </row>
    <row r="322" spans="1:9">
      <c r="A322" s="4" t="s">
        <v>443</v>
      </c>
      <c r="B322" s="4" t="s">
        <v>444</v>
      </c>
      <c r="C322" s="5">
        <v>2023</v>
      </c>
      <c r="D322" s="4">
        <v>0</v>
      </c>
      <c r="E322" s="4">
        <v>753000000</v>
      </c>
      <c r="F322" s="4" t="str">
        <f>_xlfn.LET(_xlpm.r, _xlfn.XLOOKUP(Clean_Data[[#This Row],[Country_Code]], Metadata_Country!$A:$A, Metadata_Country!$B:$B, "Unknown"), IF(OR(_xlpm.r=0, _xlpm.r=""), "Regional Aggregate", _xlpm.r))</f>
        <v>Regional Aggregate</v>
      </c>
      <c r="G322" s="4" t="str">
        <f>_xlfn.LET(_xlpm.ig, _xlfn.XLOOKUP(Clean_Data[[#This Row],[Country_Code]], Metadata_Country!$A:$A, Metadata_Country!$C:$C, "Unknown"), IF(OR(_xlpm.ig=0, _xlpm.ig=""), "Regional Aggregate", _xlpm.ig))</f>
        <v>Regional Aggregate</v>
      </c>
      <c r="H322" s="4">
        <f>Clean_Data[[#This Row],[Exports_TIV]] - Clean_Data[[#This Row],[Imports_TIV]]</f>
        <v>-753000000</v>
      </c>
      <c r="I322" s="4">
        <f>Clean_Data[[#This Row],[Exports_TIV]] + Clean_Data[[#This Row],[Imports_TIV]]</f>
        <v>753000000</v>
      </c>
    </row>
    <row r="323" spans="1:9">
      <c r="A323" s="4" t="s">
        <v>439</v>
      </c>
      <c r="B323" s="4" t="s">
        <v>440</v>
      </c>
      <c r="C323" s="5">
        <v>2023</v>
      </c>
      <c r="D323" s="4">
        <v>0</v>
      </c>
      <c r="E323" s="4">
        <v>753000000</v>
      </c>
      <c r="F323" s="4" t="str">
        <f>_xlfn.LET(_xlpm.r, _xlfn.XLOOKUP(Clean_Data[[#This Row],[Country_Code]], Metadata_Country!$A:$A, Metadata_Country!$B:$B, "Unknown"), IF(OR(_xlpm.r=0, _xlpm.r=""), "Regional Aggregate", _xlpm.r))</f>
        <v>Regional Aggregate</v>
      </c>
      <c r="G323" s="4" t="str">
        <f>_xlfn.LET(_xlpm.ig, _xlfn.XLOOKUP(Clean_Data[[#This Row],[Country_Code]], Metadata_Country!$A:$A, Metadata_Country!$C:$C, "Unknown"), IF(OR(_xlpm.ig=0, _xlpm.ig=""), "Regional Aggregate", _xlpm.ig))</f>
        <v>Regional Aggregate</v>
      </c>
      <c r="H323" s="4">
        <f>Clean_Data[[#This Row],[Exports_TIV]] - Clean_Data[[#This Row],[Imports_TIV]]</f>
        <v>-753000000</v>
      </c>
      <c r="I323" s="4">
        <f>Clean_Data[[#This Row],[Exports_TIV]] + Clean_Data[[#This Row],[Imports_TIV]]</f>
        <v>753000000</v>
      </c>
    </row>
    <row r="324" spans="1:9">
      <c r="A324" s="4" t="s">
        <v>491</v>
      </c>
      <c r="B324" s="4" t="s">
        <v>492</v>
      </c>
      <c r="C324" s="5">
        <v>2023</v>
      </c>
      <c r="D324" s="4">
        <v>0</v>
      </c>
      <c r="E324" s="4">
        <v>753000000</v>
      </c>
      <c r="F324" s="4" t="str">
        <f>_xlfn.LET(_xlpm.r, _xlfn.XLOOKUP(Clean_Data[[#This Row],[Country_Code]], Metadata_Country!$A:$A, Metadata_Country!$B:$B, "Unknown"), IF(OR(_xlpm.r=0, _xlpm.r=""), "Regional Aggregate", _xlpm.r))</f>
        <v>Regional Aggregate</v>
      </c>
      <c r="G324" s="4" t="str">
        <f>_xlfn.LET(_xlpm.ig, _xlfn.XLOOKUP(Clean_Data[[#This Row],[Country_Code]], Metadata_Country!$A:$A, Metadata_Country!$C:$C, "Unknown"), IF(OR(_xlpm.ig=0, _xlpm.ig=""), "Regional Aggregate", _xlpm.ig))</f>
        <v>Regional Aggregate</v>
      </c>
      <c r="H324" s="4">
        <f>Clean_Data[[#This Row],[Exports_TIV]] - Clean_Data[[#This Row],[Imports_TIV]]</f>
        <v>-753000000</v>
      </c>
      <c r="I324" s="4">
        <f>Clean_Data[[#This Row],[Exports_TIV]] + Clean_Data[[#This Row],[Imports_TIV]]</f>
        <v>753000000</v>
      </c>
    </row>
    <row r="325" spans="1:9">
      <c r="A325" s="4" t="s">
        <v>421</v>
      </c>
      <c r="B325" s="4" t="s">
        <v>422</v>
      </c>
      <c r="C325" s="5">
        <v>2023</v>
      </c>
      <c r="D325" s="4">
        <v>0</v>
      </c>
      <c r="E325" s="4">
        <v>6000000</v>
      </c>
      <c r="F325" s="4" t="str">
        <f>_xlfn.LET(_xlpm.r, _xlfn.XLOOKUP(Clean_Data[[#This Row],[Country_Code]], Metadata_Country!$A:$A, Metadata_Country!$B:$B, "Unknown"), IF(OR(_xlpm.r=0, _xlpm.r=""), "Regional Aggregate", _xlpm.r))</f>
        <v>Sub-Saharan Africa</v>
      </c>
      <c r="G325" s="4" t="str">
        <f>_xlfn.LET(_xlpm.ig, _xlfn.XLOOKUP(Clean_Data[[#This Row],[Country_Code]], Metadata_Country!$A:$A, Metadata_Country!$C:$C, "Unknown"), IF(OR(_xlpm.ig=0, _xlpm.ig=""), "Regional Aggregate", _xlpm.ig))</f>
        <v>Low income</v>
      </c>
      <c r="H325" s="4">
        <f>Clean_Data[[#This Row],[Exports_TIV]] - Clean_Data[[#This Row],[Imports_TIV]]</f>
        <v>-6000000</v>
      </c>
      <c r="I325" s="4">
        <f>Clean_Data[[#This Row],[Exports_TIV]] + Clean_Data[[#This Row],[Imports_TIV]]</f>
        <v>6000000</v>
      </c>
    </row>
    <row r="326" spans="1:9">
      <c r="A326" s="4" t="s">
        <v>455</v>
      </c>
      <c r="B326" s="4" t="s">
        <v>456</v>
      </c>
      <c r="C326" s="5">
        <v>2023</v>
      </c>
      <c r="D326" s="4">
        <v>373000000</v>
      </c>
      <c r="E326" s="4">
        <v>98000000</v>
      </c>
      <c r="F326" s="4" t="str">
        <f>_xlfn.LET(_xlpm.r, _xlfn.XLOOKUP(Clean_Data[[#This Row],[Country_Code]], Metadata_Country!$A:$A, Metadata_Country!$B:$B, "Unknown"), IF(OR(_xlpm.r=0, _xlpm.r=""), "Regional Aggregate", _xlpm.r))</f>
        <v>Europe &amp; Central Asia</v>
      </c>
      <c r="G326" s="4" t="str">
        <f>_xlfn.LET(_xlpm.ig, _xlfn.XLOOKUP(Clean_Data[[#This Row],[Country_Code]], Metadata_Country!$A:$A, Metadata_Country!$C:$C, "Unknown"), IF(OR(_xlpm.ig=0, _xlpm.ig=""), "Regional Aggregate", _xlpm.ig))</f>
        <v>High income</v>
      </c>
      <c r="H326" s="4">
        <f>Clean_Data[[#This Row],[Exports_TIV]] - Clean_Data[[#This Row],[Imports_TIV]]</f>
        <v>275000000</v>
      </c>
      <c r="I326" s="4">
        <f>Clean_Data[[#This Row],[Exports_TIV]] + Clean_Data[[#This Row],[Imports_TIV]]</f>
        <v>471000000</v>
      </c>
    </row>
    <row r="327" spans="1:9">
      <c r="A327" s="4" t="s">
        <v>83</v>
      </c>
      <c r="B327" s="4" t="s">
        <v>84</v>
      </c>
      <c r="C327" s="5">
        <v>2023</v>
      </c>
      <c r="D327" s="4">
        <v>63000000</v>
      </c>
      <c r="E327" s="4">
        <v>33000000</v>
      </c>
      <c r="F327" s="4" t="str">
        <f>_xlfn.LET(_xlpm.r, _xlfn.XLOOKUP(Clean_Data[[#This Row],[Country_Code]], Metadata_Country!$A:$A, Metadata_Country!$B:$B, "Unknown"), IF(OR(_xlpm.r=0, _xlpm.r=""), "Regional Aggregate", _xlpm.r))</f>
        <v>Europe &amp; Central Asia</v>
      </c>
      <c r="G327" s="4" t="str">
        <f>_xlfn.LET(_xlpm.ig, _xlfn.XLOOKUP(Clean_Data[[#This Row],[Country_Code]], Metadata_Country!$A:$A, Metadata_Country!$C:$C, "Unknown"), IF(OR(_xlpm.ig=0, _xlpm.ig=""), "Regional Aggregate", _xlpm.ig))</f>
        <v>High income</v>
      </c>
      <c r="H327" s="4">
        <f>Clean_Data[[#This Row],[Exports_TIV]] - Clean_Data[[#This Row],[Imports_TIV]]</f>
        <v>30000000</v>
      </c>
      <c r="I327" s="4">
        <f>Clean_Data[[#This Row],[Exports_TIV]] + Clean_Data[[#This Row],[Imports_TIV]]</f>
        <v>96000000</v>
      </c>
    </row>
    <row r="328" spans="1:9">
      <c r="A328" s="4" t="s">
        <v>477</v>
      </c>
      <c r="B328" s="4" t="s">
        <v>478</v>
      </c>
      <c r="C328" s="5">
        <v>2023</v>
      </c>
      <c r="D328" s="4">
        <v>0</v>
      </c>
      <c r="E328" s="4">
        <v>0</v>
      </c>
      <c r="F328" s="4" t="str">
        <f>_xlfn.LET(_xlpm.r, _xlfn.XLOOKUP(Clean_Data[[#This Row],[Country_Code]], Metadata_Country!$A:$A, Metadata_Country!$B:$B, "Unknown"), IF(OR(_xlpm.r=0, _xlpm.r=""), "Regional Aggregate", _xlpm.r))</f>
        <v>Europe &amp; Central Asia</v>
      </c>
      <c r="G328" s="4" t="str">
        <f>_xlfn.LET(_xlpm.ig, _xlfn.XLOOKUP(Clean_Data[[#This Row],[Country_Code]], Metadata_Country!$A:$A, Metadata_Country!$C:$C, "Unknown"), IF(OR(_xlpm.ig=0, _xlpm.ig=""), "Regional Aggregate", _xlpm.ig))</f>
        <v>Lower middle income</v>
      </c>
      <c r="H328" s="4">
        <f>Clean_Data[[#This Row],[Exports_TIV]] - Clean_Data[[#This Row],[Imports_TIV]]</f>
        <v>0</v>
      </c>
      <c r="I328" s="4">
        <f>Clean_Data[[#This Row],[Exports_TIV]] + Clean_Data[[#This Row],[Imports_TIV]]</f>
        <v>0</v>
      </c>
    </row>
    <row r="329" spans="1:9">
      <c r="A329" s="4" t="s">
        <v>475</v>
      </c>
      <c r="B329" s="4" t="s">
        <v>476</v>
      </c>
      <c r="C329" s="5">
        <v>2023</v>
      </c>
      <c r="D329" s="4">
        <v>0</v>
      </c>
      <c r="E329" s="4">
        <v>290000000</v>
      </c>
      <c r="F329" s="4" t="str">
        <f>_xlfn.LET(_xlpm.r, _xlfn.XLOOKUP(Clean_Data[[#This Row],[Country_Code]], Metadata_Country!$A:$A, Metadata_Country!$B:$B, "Unknown"), IF(OR(_xlpm.r=0, _xlpm.r=""), "Regional Aggregate", _xlpm.r))</f>
        <v>East Asia &amp; Pacific</v>
      </c>
      <c r="G329" s="4" t="str">
        <f>_xlfn.LET(_xlpm.ig, _xlfn.XLOOKUP(Clean_Data[[#This Row],[Country_Code]], Metadata_Country!$A:$A, Metadata_Country!$C:$C, "Unknown"), IF(OR(_xlpm.ig=0, _xlpm.ig=""), "Regional Aggregate", _xlpm.ig))</f>
        <v>Upper middle income</v>
      </c>
      <c r="H329" s="4">
        <f>Clean_Data[[#This Row],[Exports_TIV]] - Clean_Data[[#This Row],[Imports_TIV]]</f>
        <v>-290000000</v>
      </c>
      <c r="I329" s="4">
        <f>Clean_Data[[#This Row],[Exports_TIV]] + Clean_Data[[#This Row],[Imports_TIV]]</f>
        <v>290000000</v>
      </c>
    </row>
    <row r="330" spans="1:9">
      <c r="A330" s="4" t="s">
        <v>473</v>
      </c>
      <c r="B330" s="4" t="s">
        <v>474</v>
      </c>
      <c r="C330" s="5">
        <v>2023</v>
      </c>
      <c r="D330" s="4">
        <v>0</v>
      </c>
      <c r="E330" s="4">
        <v>2000000</v>
      </c>
      <c r="F330" s="4" t="str">
        <f>_xlfn.LET(_xlpm.r, _xlfn.XLOOKUP(Clean_Data[[#This Row],[Country_Code]], Metadata_Country!$A:$A, Metadata_Country!$B:$B, "Unknown"), IF(OR(_xlpm.r=0, _xlpm.r=""), "Regional Aggregate", _xlpm.r))</f>
        <v>Sub-Saharan Africa</v>
      </c>
      <c r="G330" s="4" t="str">
        <f>_xlfn.LET(_xlpm.ig, _xlfn.XLOOKUP(Clean_Data[[#This Row],[Country_Code]], Metadata_Country!$A:$A, Metadata_Country!$C:$C, "Unknown"), IF(OR(_xlpm.ig=0, _xlpm.ig=""), "Regional Aggregate", _xlpm.ig))</f>
        <v>Lower middle income</v>
      </c>
      <c r="H330" s="4">
        <f>Clean_Data[[#This Row],[Exports_TIV]] - Clean_Data[[#This Row],[Imports_TIV]]</f>
        <v>-2000000</v>
      </c>
      <c r="I330" s="4">
        <f>Clean_Data[[#This Row],[Exports_TIV]] + Clean_Data[[#This Row],[Imports_TIV]]</f>
        <v>2000000</v>
      </c>
    </row>
    <row r="331" spans="1:9">
      <c r="A331" s="4" t="s">
        <v>495</v>
      </c>
      <c r="B331" s="4" t="s">
        <v>496</v>
      </c>
      <c r="C331" s="5">
        <v>2023</v>
      </c>
      <c r="D331" s="4">
        <v>0</v>
      </c>
      <c r="E331" s="4">
        <v>35000000</v>
      </c>
      <c r="F331" s="4" t="str">
        <f>_xlfn.LET(_xlpm.r, _xlfn.XLOOKUP(Clean_Data[[#This Row],[Country_Code]], Metadata_Country!$A:$A, Metadata_Country!$B:$B, "Unknown"), IF(OR(_xlpm.r=0, _xlpm.r=""), "Regional Aggregate", _xlpm.r))</f>
        <v>Middle East &amp; North Africa</v>
      </c>
      <c r="G331" s="4" t="str">
        <f>_xlfn.LET(_xlpm.ig, _xlfn.XLOOKUP(Clean_Data[[#This Row],[Country_Code]], Metadata_Country!$A:$A, Metadata_Country!$C:$C, "Unknown"), IF(OR(_xlpm.ig=0, _xlpm.ig=""), "Regional Aggregate", _xlpm.ig))</f>
        <v>Lower middle income</v>
      </c>
      <c r="H331" s="4">
        <f>Clean_Data[[#This Row],[Exports_TIV]] - Clean_Data[[#This Row],[Imports_TIV]]</f>
        <v>-35000000</v>
      </c>
      <c r="I331" s="4">
        <f>Clean_Data[[#This Row],[Exports_TIV]] + Clean_Data[[#This Row],[Imports_TIV]]</f>
        <v>35000000</v>
      </c>
    </row>
    <row r="332" spans="1:9">
      <c r="A332" s="4" t="s">
        <v>497</v>
      </c>
      <c r="B332" s="4" t="s">
        <v>498</v>
      </c>
      <c r="C332" s="5">
        <v>2023</v>
      </c>
      <c r="D332" s="4">
        <v>698000000</v>
      </c>
      <c r="E332" s="4">
        <v>679000000</v>
      </c>
      <c r="F332" s="4" t="str">
        <f>_xlfn.LET(_xlpm.r, _xlfn.XLOOKUP(Clean_Data[[#This Row],[Country_Code]], Metadata_Country!$A:$A, Metadata_Country!$B:$B, "Unknown"), IF(OR(_xlpm.r=0, _xlpm.r=""), "Regional Aggregate", _xlpm.r))</f>
        <v>Europe &amp; Central Asia</v>
      </c>
      <c r="G332" s="4" t="str">
        <f>_xlfn.LET(_xlpm.ig, _xlfn.XLOOKUP(Clean_Data[[#This Row],[Country_Code]], Metadata_Country!$A:$A, Metadata_Country!$C:$C, "Unknown"), IF(OR(_xlpm.ig=0, _xlpm.ig=""), "Regional Aggregate", _xlpm.ig))</f>
        <v>Upper middle income</v>
      </c>
      <c r="H332" s="4">
        <f>Clean_Data[[#This Row],[Exports_TIV]] - Clean_Data[[#This Row],[Imports_TIV]]</f>
        <v>19000000</v>
      </c>
      <c r="I332" s="4">
        <f>Clean_Data[[#This Row],[Exports_TIV]] + Clean_Data[[#This Row],[Imports_TIV]]</f>
        <v>1377000000</v>
      </c>
    </row>
    <row r="333" spans="1:9">
      <c r="A333" s="4" t="s">
        <v>503</v>
      </c>
      <c r="B333" s="4" t="s">
        <v>504</v>
      </c>
      <c r="C333" s="5">
        <v>2023</v>
      </c>
      <c r="D333" s="4">
        <v>0</v>
      </c>
      <c r="E333" s="4">
        <v>16000000</v>
      </c>
      <c r="F333" s="4" t="str">
        <f>_xlfn.LET(_xlpm.r, _xlfn.XLOOKUP(Clean_Data[[#This Row],[Country_Code]], Metadata_Country!$A:$A, Metadata_Country!$B:$B, "Unknown"), IF(OR(_xlpm.r=0, _xlpm.r=""), "Regional Aggregate", _xlpm.r))</f>
        <v>Sub-Saharan Africa</v>
      </c>
      <c r="G333" s="4" t="str">
        <f>_xlfn.LET(_xlpm.ig, _xlfn.XLOOKUP(Clean_Data[[#This Row],[Country_Code]], Metadata_Country!$A:$A, Metadata_Country!$C:$C, "Unknown"), IF(OR(_xlpm.ig=0, _xlpm.ig=""), "Regional Aggregate", _xlpm.ig))</f>
        <v>Low income</v>
      </c>
      <c r="H333" s="4">
        <f>Clean_Data[[#This Row],[Exports_TIV]] - Clean_Data[[#This Row],[Imports_TIV]]</f>
        <v>-16000000</v>
      </c>
      <c r="I333" s="4">
        <f>Clean_Data[[#This Row],[Exports_TIV]] + Clean_Data[[#This Row],[Imports_TIV]]</f>
        <v>16000000</v>
      </c>
    </row>
    <row r="334" spans="1:9">
      <c r="A334" s="4" t="s">
        <v>505</v>
      </c>
      <c r="B334" s="4" t="s">
        <v>506</v>
      </c>
      <c r="C334" s="5">
        <v>2023</v>
      </c>
      <c r="D334" s="4">
        <v>29000000</v>
      </c>
      <c r="E334" s="4">
        <v>4294000000</v>
      </c>
      <c r="F334" s="4" t="str">
        <f>_xlfn.LET(_xlpm.r, _xlfn.XLOOKUP(Clean_Data[[#This Row],[Country_Code]], Metadata_Country!$A:$A, Metadata_Country!$B:$B, "Unknown"), IF(OR(_xlpm.r=0, _xlpm.r=""), "Regional Aggregate", _xlpm.r))</f>
        <v>Europe &amp; Central Asia</v>
      </c>
      <c r="G334" s="4" t="str">
        <f>_xlfn.LET(_xlpm.ig, _xlfn.XLOOKUP(Clean_Data[[#This Row],[Country_Code]], Metadata_Country!$A:$A, Metadata_Country!$C:$C, "Unknown"), IF(OR(_xlpm.ig=0, _xlpm.ig=""), "Regional Aggregate", _xlpm.ig))</f>
        <v>Upper middle income</v>
      </c>
      <c r="H334" s="4">
        <f>Clean_Data[[#This Row],[Exports_TIV]] - Clean_Data[[#This Row],[Imports_TIV]]</f>
        <v>-4265000000</v>
      </c>
      <c r="I334" s="4">
        <f>Clean_Data[[#This Row],[Exports_TIV]] + Clean_Data[[#This Row],[Imports_TIV]]</f>
        <v>4323000000</v>
      </c>
    </row>
    <row r="335" spans="1:9">
      <c r="A335" s="4" t="s">
        <v>25</v>
      </c>
      <c r="B335" s="4" t="s">
        <v>26</v>
      </c>
      <c r="C335" s="5">
        <v>2023</v>
      </c>
      <c r="D335" s="4">
        <v>64000000</v>
      </c>
      <c r="E335" s="4">
        <v>918000000</v>
      </c>
      <c r="F335" s="4" t="str">
        <f>_xlfn.LET(_xlpm.r, _xlfn.XLOOKUP(Clean_Data[[#This Row],[Country_Code]], Metadata_Country!$A:$A, Metadata_Country!$B:$B, "Unknown"), IF(OR(_xlpm.r=0, _xlpm.r=""), "Regional Aggregate", _xlpm.r))</f>
        <v>Middle East &amp; North Africa</v>
      </c>
      <c r="G335" s="4" t="str">
        <f>_xlfn.LET(_xlpm.ig, _xlfn.XLOOKUP(Clean_Data[[#This Row],[Country_Code]], Metadata_Country!$A:$A, Metadata_Country!$C:$C, "Unknown"), IF(OR(_xlpm.ig=0, _xlpm.ig=""), "Regional Aggregate", _xlpm.ig))</f>
        <v>High income</v>
      </c>
      <c r="H335" s="4">
        <f>Clean_Data[[#This Row],[Exports_TIV]] - Clean_Data[[#This Row],[Imports_TIV]]</f>
        <v>-854000000</v>
      </c>
      <c r="I335" s="4">
        <f>Clean_Data[[#This Row],[Exports_TIV]] + Clean_Data[[#This Row],[Imports_TIV]]</f>
        <v>982000000</v>
      </c>
    </row>
    <row r="336" spans="1:9">
      <c r="A336" s="4" t="s">
        <v>171</v>
      </c>
      <c r="B336" s="4" t="s">
        <v>172</v>
      </c>
      <c r="C336" s="5">
        <v>2023</v>
      </c>
      <c r="D336" s="4">
        <v>1320000000</v>
      </c>
      <c r="E336" s="4">
        <v>469000000</v>
      </c>
      <c r="F336" s="4" t="str">
        <f>_xlfn.LET(_xlpm.r, _xlfn.XLOOKUP(Clean_Data[[#This Row],[Country_Code]], Metadata_Country!$A:$A, Metadata_Country!$B:$B, "Unknown"), IF(OR(_xlpm.r=0, _xlpm.r=""), "Regional Aggregate", _xlpm.r))</f>
        <v>Europe &amp; Central Asia</v>
      </c>
      <c r="G336" s="4" t="str">
        <f>_xlfn.LET(_xlpm.ig, _xlfn.XLOOKUP(Clean_Data[[#This Row],[Country_Code]], Metadata_Country!$A:$A, Metadata_Country!$C:$C, "Unknown"), IF(OR(_xlpm.ig=0, _xlpm.ig=""), "Regional Aggregate", _xlpm.ig))</f>
        <v>High income</v>
      </c>
      <c r="H336" s="4">
        <f>Clean_Data[[#This Row],[Exports_TIV]] - Clean_Data[[#This Row],[Imports_TIV]]</f>
        <v>851000000</v>
      </c>
      <c r="I336" s="4">
        <f>Clean_Data[[#This Row],[Exports_TIV]] + Clean_Data[[#This Row],[Imports_TIV]]</f>
        <v>1789000000</v>
      </c>
    </row>
    <row r="337" spans="1:9">
      <c r="A337" s="4" t="s">
        <v>511</v>
      </c>
      <c r="B337" s="4" t="s">
        <v>512</v>
      </c>
      <c r="C337" s="5">
        <v>2023</v>
      </c>
      <c r="D337" s="4">
        <v>10920000000</v>
      </c>
      <c r="E337" s="4">
        <v>891000000</v>
      </c>
      <c r="F337" s="4" t="str">
        <f>_xlfn.LET(_xlpm.r, _xlfn.XLOOKUP(Clean_Data[[#This Row],[Country_Code]], Metadata_Country!$A:$A, Metadata_Country!$B:$B, "Unknown"), IF(OR(_xlpm.r=0, _xlpm.r=""), "Regional Aggregate", _xlpm.r))</f>
        <v>North America</v>
      </c>
      <c r="G337" s="4" t="str">
        <f>_xlfn.LET(_xlpm.ig, _xlfn.XLOOKUP(Clean_Data[[#This Row],[Country_Code]], Metadata_Country!$A:$A, Metadata_Country!$C:$C, "Unknown"), IF(OR(_xlpm.ig=0, _xlpm.ig=""), "Regional Aggregate", _xlpm.ig))</f>
        <v>High income</v>
      </c>
      <c r="H337" s="4">
        <f>Clean_Data[[#This Row],[Exports_TIV]] - Clean_Data[[#This Row],[Imports_TIV]]</f>
        <v>10029000000</v>
      </c>
      <c r="I337" s="4">
        <f>Clean_Data[[#This Row],[Exports_TIV]] + Clean_Data[[#This Row],[Imports_TIV]]</f>
        <v>11811000000</v>
      </c>
    </row>
    <row r="338" spans="1:9">
      <c r="A338" s="4" t="s">
        <v>507</v>
      </c>
      <c r="B338" s="4" t="s">
        <v>508</v>
      </c>
      <c r="C338" s="5">
        <v>2023</v>
      </c>
      <c r="D338" s="4">
        <v>0</v>
      </c>
      <c r="E338" s="4">
        <v>7900000000</v>
      </c>
      <c r="F338" s="4" t="str">
        <f>_xlfn.LET(_xlpm.r, _xlfn.XLOOKUP(Clean_Data[[#This Row],[Country_Code]], Metadata_Country!$A:$A, Metadata_Country!$B:$B, "Unknown"), IF(OR(_xlpm.r=0, _xlpm.r=""), "Regional Aggregate", _xlpm.r))</f>
        <v>Regional Aggregate</v>
      </c>
      <c r="G338" s="4" t="str">
        <f>_xlfn.LET(_xlpm.ig, _xlfn.XLOOKUP(Clean_Data[[#This Row],[Country_Code]], Metadata_Country!$A:$A, Metadata_Country!$C:$C, "Unknown"), IF(OR(_xlpm.ig=0, _xlpm.ig=""), "Regional Aggregate", _xlpm.ig))</f>
        <v>Regional Aggregate</v>
      </c>
      <c r="H338" s="4">
        <f>Clean_Data[[#This Row],[Exports_TIV]] - Clean_Data[[#This Row],[Imports_TIV]]</f>
        <v>-7900000000</v>
      </c>
      <c r="I338" s="4">
        <f>Clean_Data[[#This Row],[Exports_TIV]] + Clean_Data[[#This Row],[Imports_TIV]]</f>
        <v>7900000000</v>
      </c>
    </row>
    <row r="339" spans="1:9">
      <c r="A339" s="4" t="s">
        <v>513</v>
      </c>
      <c r="B339" s="4" t="s">
        <v>514</v>
      </c>
      <c r="C339" s="5">
        <v>2023</v>
      </c>
      <c r="D339" s="4">
        <v>0</v>
      </c>
      <c r="E339" s="4">
        <v>17000000</v>
      </c>
      <c r="F339" s="4" t="str">
        <f>_xlfn.LET(_xlpm.r, _xlfn.XLOOKUP(Clean_Data[[#This Row],[Country_Code]], Metadata_Country!$A:$A, Metadata_Country!$B:$B, "Unknown"), IF(OR(_xlpm.r=0, _xlpm.r=""), "Regional Aggregate", _xlpm.r))</f>
        <v>Europe &amp; Central Asia</v>
      </c>
      <c r="G339" s="4" t="str">
        <f>_xlfn.LET(_xlpm.ig, _xlfn.XLOOKUP(Clean_Data[[#This Row],[Country_Code]], Metadata_Country!$A:$A, Metadata_Country!$C:$C, "Unknown"), IF(OR(_xlpm.ig=0, _xlpm.ig=""), "Regional Aggregate", _xlpm.ig))</f>
        <v>Lower middle income</v>
      </c>
      <c r="H339" s="4">
        <f>Clean_Data[[#This Row],[Exports_TIV]] - Clean_Data[[#This Row],[Imports_TIV]]</f>
        <v>-17000000</v>
      </c>
      <c r="I339" s="4">
        <f>Clean_Data[[#This Row],[Exports_TIV]] + Clean_Data[[#This Row],[Imports_TIV]]</f>
        <v>17000000</v>
      </c>
    </row>
    <row r="340" spans="1:9">
      <c r="A340" s="4" t="s">
        <v>517</v>
      </c>
      <c r="B340" s="4" t="s">
        <v>518</v>
      </c>
      <c r="C340" s="5">
        <v>2023</v>
      </c>
      <c r="D340" s="4">
        <v>0</v>
      </c>
      <c r="E340" s="4">
        <v>98000000</v>
      </c>
      <c r="F340" s="4" t="str">
        <f>_xlfn.LET(_xlpm.r, _xlfn.XLOOKUP(Clean_Data[[#This Row],[Country_Code]], Metadata_Country!$A:$A, Metadata_Country!$B:$B, "Unknown"), IF(OR(_xlpm.r=0, _xlpm.r=""), "Regional Aggregate", _xlpm.r))</f>
        <v>Latin America &amp; Caribbean</v>
      </c>
      <c r="G340" s="4" t="str">
        <f>_xlfn.LET(_xlpm.ig, _xlfn.XLOOKUP(Clean_Data[[#This Row],[Country_Code]], Metadata_Country!$A:$A, Metadata_Country!$C:$C, "Unknown"), IF(OR(_xlpm.ig=0, _xlpm.ig=""), "Regional Aggregate", _xlpm.ig))</f>
        <v>Lower middle income</v>
      </c>
      <c r="H340" s="4">
        <f>Clean_Data[[#This Row],[Exports_TIV]] - Clean_Data[[#This Row],[Imports_TIV]]</f>
        <v>-98000000</v>
      </c>
      <c r="I340" s="4">
        <f>Clean_Data[[#This Row],[Exports_TIV]] + Clean_Data[[#This Row],[Imports_TIV]]</f>
        <v>98000000</v>
      </c>
    </row>
    <row r="341" spans="1:9">
      <c r="A341" s="4" t="s">
        <v>523</v>
      </c>
      <c r="B341" s="4" t="s">
        <v>524</v>
      </c>
      <c r="C341" s="5">
        <v>2023</v>
      </c>
      <c r="D341" s="4">
        <v>0</v>
      </c>
      <c r="E341" s="4">
        <v>45000000</v>
      </c>
      <c r="F341" s="4" t="str">
        <f>_xlfn.LET(_xlpm.r, _xlfn.XLOOKUP(Clean_Data[[#This Row],[Country_Code]], Metadata_Country!$A:$A, Metadata_Country!$B:$B, "Unknown"), IF(OR(_xlpm.r=0, _xlpm.r=""), "Regional Aggregate", _xlpm.r))</f>
        <v>East Asia &amp; Pacific</v>
      </c>
      <c r="G341" s="4" t="str">
        <f>_xlfn.LET(_xlpm.ig, _xlfn.XLOOKUP(Clean_Data[[#This Row],[Country_Code]], Metadata_Country!$A:$A, Metadata_Country!$C:$C, "Unknown"), IF(OR(_xlpm.ig=0, _xlpm.ig=""), "Regional Aggregate", _xlpm.ig))</f>
        <v>Upper middle income</v>
      </c>
      <c r="H341" s="4">
        <f>Clean_Data[[#This Row],[Exports_TIV]] - Clean_Data[[#This Row],[Imports_TIV]]</f>
        <v>-45000000</v>
      </c>
      <c r="I341" s="4">
        <f>Clean_Data[[#This Row],[Exports_TIV]] + Clean_Data[[#This Row],[Imports_TIV]]</f>
        <v>45000000</v>
      </c>
    </row>
    <row r="342" spans="1:9">
      <c r="A342" s="4" t="s">
        <v>401</v>
      </c>
      <c r="B342" s="4" t="s">
        <v>402</v>
      </c>
      <c r="C342" s="5">
        <v>2023</v>
      </c>
      <c r="D342" s="4">
        <v>0</v>
      </c>
      <c r="E342" s="4">
        <v>2000000</v>
      </c>
      <c r="F342" s="4" t="str">
        <f>_xlfn.LET(_xlpm.r, _xlfn.XLOOKUP(Clean_Data[[#This Row],[Country_Code]], Metadata_Country!$A:$A, Metadata_Country!$B:$B, "Unknown"), IF(OR(_xlpm.r=0, _xlpm.r=""), "Regional Aggregate", _xlpm.r))</f>
        <v>Middle East &amp; North Africa</v>
      </c>
      <c r="G342" s="4" t="str">
        <f>_xlfn.LET(_xlpm.ig, _xlfn.XLOOKUP(Clean_Data[[#This Row],[Country_Code]], Metadata_Country!$A:$A, Metadata_Country!$C:$C, "Unknown"), IF(OR(_xlpm.ig=0, _xlpm.ig=""), "Regional Aggregate", _xlpm.ig))</f>
        <v>Lower middle income</v>
      </c>
      <c r="H342" s="4">
        <f>Clean_Data[[#This Row],[Exports_TIV]] - Clean_Data[[#This Row],[Imports_TIV]]</f>
        <v>-2000000</v>
      </c>
      <c r="I342" s="4">
        <f>Clean_Data[[#This Row],[Exports_TIV]] + Clean_Data[[#This Row],[Imports_TIV]]</f>
        <v>2000000</v>
      </c>
    </row>
    <row r="343" spans="1:9">
      <c r="A343" s="4" t="s">
        <v>527</v>
      </c>
      <c r="B343" s="4" t="s">
        <v>528</v>
      </c>
      <c r="C343" s="5">
        <v>2023</v>
      </c>
      <c r="D343" s="4">
        <v>29527000000</v>
      </c>
      <c r="E343" s="4">
        <v>29506000000</v>
      </c>
      <c r="F343" s="4" t="str">
        <f>_xlfn.LET(_xlpm.r, _xlfn.XLOOKUP(Clean_Data[[#This Row],[Country_Code]], Metadata_Country!$A:$A, Metadata_Country!$B:$B, "Unknown"), IF(OR(_xlpm.r=0, _xlpm.r=""), "Regional Aggregate", _xlpm.r))</f>
        <v>Regional Aggregate</v>
      </c>
      <c r="G343" s="4" t="str">
        <f>_xlfn.LET(_xlpm.ig, _xlfn.XLOOKUP(Clean_Data[[#This Row],[Country_Code]], Metadata_Country!$A:$A, Metadata_Country!$C:$C, "Unknown"), IF(OR(_xlpm.ig=0, _xlpm.ig=""), "Regional Aggregate", _xlpm.ig))</f>
        <v>Regional Aggregate</v>
      </c>
      <c r="H343" s="4">
        <f>Clean_Data[[#This Row],[Exports_TIV]] - Clean_Data[[#This Row],[Imports_TIV]]</f>
        <v>21000000</v>
      </c>
      <c r="I343" s="4">
        <f>Clean_Data[[#This Row],[Exports_TIV]] + Clean_Data[[#This Row],[Imports_TIV]]</f>
        <v>59033000000</v>
      </c>
    </row>
    <row r="344" spans="1:9">
      <c r="A344" s="4" t="s">
        <v>537</v>
      </c>
      <c r="B344" s="4" t="s">
        <v>538</v>
      </c>
      <c r="C344" s="5">
        <v>2023</v>
      </c>
      <c r="D344" s="4">
        <v>0</v>
      </c>
      <c r="E344" s="4">
        <v>5000000</v>
      </c>
      <c r="F344" s="4" t="str">
        <f>_xlfn.LET(_xlpm.r, _xlfn.XLOOKUP(Clean_Data[[#This Row],[Country_Code]], Metadata_Country!$A:$A, Metadata_Country!$B:$B, "Unknown"), IF(OR(_xlpm.r=0, _xlpm.r=""), "Regional Aggregate", _xlpm.r))</f>
        <v>Sub-Saharan Africa</v>
      </c>
      <c r="G344" s="4" t="str">
        <f>_xlfn.LET(_xlpm.ig, _xlfn.XLOOKUP(Clean_Data[[#This Row],[Country_Code]], Metadata_Country!$A:$A, Metadata_Country!$C:$C, "Unknown"), IF(OR(_xlpm.ig=0, _xlpm.ig=""), "Regional Aggregate", _xlpm.ig))</f>
        <v>Lower middle income</v>
      </c>
      <c r="H344" s="4">
        <f>Clean_Data[[#This Row],[Exports_TIV]] - Clean_Data[[#This Row],[Imports_TIV]]</f>
        <v>-5000000</v>
      </c>
      <c r="I344" s="4">
        <f>Clean_Data[[#This Row],[Exports_TIV]] + Clean_Data[[#This Row],[Imports_TIV]]</f>
        <v>5000000</v>
      </c>
    </row>
    <row r="345" spans="1:9">
      <c r="A345" s="4" t="s">
        <v>539</v>
      </c>
      <c r="B345" s="4" t="s">
        <v>540</v>
      </c>
      <c r="C345" s="5">
        <v>2023</v>
      </c>
      <c r="D345" s="4">
        <v>0</v>
      </c>
      <c r="E345" s="4">
        <v>20000000</v>
      </c>
      <c r="F345" s="4" t="str">
        <f>_xlfn.LET(_xlpm.r, _xlfn.XLOOKUP(Clean_Data[[#This Row],[Country_Code]], Metadata_Country!$A:$A, Metadata_Country!$B:$B, "Unknown"), IF(OR(_xlpm.r=0, _xlpm.r=""), "Regional Aggregate", _xlpm.r))</f>
        <v>Sub-Saharan Africa</v>
      </c>
      <c r="G345" s="4" t="str">
        <f>_xlfn.LET(_xlpm.ig, _xlfn.XLOOKUP(Clean_Data[[#This Row],[Country_Code]], Metadata_Country!$A:$A, Metadata_Country!$C:$C, "Unknown"), IF(OR(_xlpm.ig=0, _xlpm.ig=""), "Regional Aggregate", _xlpm.ig))</f>
        <v>Lower middle income</v>
      </c>
      <c r="H345" s="4">
        <f>Clean_Data[[#This Row],[Exports_TIV]] - Clean_Data[[#This Row],[Imports_TIV]]</f>
        <v>-20000000</v>
      </c>
      <c r="I345" s="4">
        <f>Clean_Data[[#This Row],[Exports_TIV]] + Clean_Data[[#This Row],[Imports_TIV]]</f>
        <v>20000000</v>
      </c>
    </row>
    <row r="346" spans="1:9">
      <c r="A346" s="4" t="s">
        <v>11</v>
      </c>
      <c r="B346" s="4" t="s">
        <v>12</v>
      </c>
      <c r="C346" s="5">
        <v>2022</v>
      </c>
      <c r="D346" s="4">
        <v>0</v>
      </c>
      <c r="E346" s="4">
        <v>259000000</v>
      </c>
      <c r="F346" s="4" t="str">
        <f>_xlfn.LET(_xlpm.r, _xlfn.XLOOKUP(Clean_Data[[#This Row],[Country_Code]], Metadata_Country!$A:$A, Metadata_Country!$B:$B, "Unknown"), IF(OR(_xlpm.r=0, _xlpm.r=""), "Regional Aggregate", _xlpm.r))</f>
        <v>Regional Aggregate</v>
      </c>
      <c r="G346" s="4" t="str">
        <f>_xlfn.LET(_xlpm.ig, _xlfn.XLOOKUP(Clean_Data[[#This Row],[Country_Code]], Metadata_Country!$A:$A, Metadata_Country!$C:$C, "Unknown"), IF(OR(_xlpm.ig=0, _xlpm.ig=""), "Regional Aggregate", _xlpm.ig))</f>
        <v>Regional Aggregate</v>
      </c>
      <c r="H346" s="4">
        <f>Clean_Data[[#This Row],[Exports_TIV]] - Clean_Data[[#This Row],[Imports_TIV]]</f>
        <v>-259000000</v>
      </c>
      <c r="I346" s="4">
        <f>Clean_Data[[#This Row],[Exports_TIV]] + Clean_Data[[#This Row],[Imports_TIV]]</f>
        <v>259000000</v>
      </c>
    </row>
    <row r="347" spans="1:9">
      <c r="A347" s="4" t="s">
        <v>15</v>
      </c>
      <c r="B347" s="4" t="s">
        <v>16</v>
      </c>
      <c r="C347" s="5">
        <v>2022</v>
      </c>
      <c r="D347" s="4">
        <v>0</v>
      </c>
      <c r="E347" s="4">
        <v>324000000</v>
      </c>
      <c r="F347" s="4" t="str">
        <f>_xlfn.LET(_xlpm.r, _xlfn.XLOOKUP(Clean_Data[[#This Row],[Country_Code]], Metadata_Country!$A:$A, Metadata_Country!$B:$B, "Unknown"), IF(OR(_xlpm.r=0, _xlpm.r=""), "Regional Aggregate", _xlpm.r))</f>
        <v>Regional Aggregate</v>
      </c>
      <c r="G347" s="4" t="str">
        <f>_xlfn.LET(_xlpm.ig, _xlfn.XLOOKUP(Clean_Data[[#This Row],[Country_Code]], Metadata_Country!$A:$A, Metadata_Country!$C:$C, "Unknown"), IF(OR(_xlpm.ig=0, _xlpm.ig=""), "Regional Aggregate", _xlpm.ig))</f>
        <v>Regional Aggregate</v>
      </c>
      <c r="H347" s="4">
        <f>Clean_Data[[#This Row],[Exports_TIV]] - Clean_Data[[#This Row],[Imports_TIV]]</f>
        <v>-324000000</v>
      </c>
      <c r="I347" s="4">
        <f>Clean_Data[[#This Row],[Exports_TIV]] + Clean_Data[[#This Row],[Imports_TIV]]</f>
        <v>324000000</v>
      </c>
    </row>
    <row r="348" spans="1:9">
      <c r="A348" s="4" t="s">
        <v>129</v>
      </c>
      <c r="B348" s="4" t="s">
        <v>130</v>
      </c>
      <c r="C348" s="5">
        <v>2022</v>
      </c>
      <c r="D348" s="4">
        <v>0</v>
      </c>
      <c r="E348" s="4">
        <v>450000000</v>
      </c>
      <c r="F348" s="4" t="str">
        <f>_xlfn.LET(_xlpm.r, _xlfn.XLOOKUP(Clean_Data[[#This Row],[Country_Code]], Metadata_Country!$A:$A, Metadata_Country!$B:$B, "Unknown"), IF(OR(_xlpm.r=0, _xlpm.r=""), "Regional Aggregate", _xlpm.r))</f>
        <v>Middle East &amp; North Africa</v>
      </c>
      <c r="G348" s="4" t="str">
        <f>_xlfn.LET(_xlpm.ig, _xlfn.XLOOKUP(Clean_Data[[#This Row],[Country_Code]], Metadata_Country!$A:$A, Metadata_Country!$C:$C, "Unknown"), IF(OR(_xlpm.ig=0, _xlpm.ig=""), "Regional Aggregate", _xlpm.ig))</f>
        <v>Upper middle income</v>
      </c>
      <c r="H348" s="4">
        <f>Clean_Data[[#This Row],[Exports_TIV]] - Clean_Data[[#This Row],[Imports_TIV]]</f>
        <v>-450000000</v>
      </c>
      <c r="I348" s="4">
        <f>Clean_Data[[#This Row],[Exports_TIV]] + Clean_Data[[#This Row],[Imports_TIV]]</f>
        <v>450000000</v>
      </c>
    </row>
    <row r="349" spans="1:9">
      <c r="A349" s="4" t="s">
        <v>17</v>
      </c>
      <c r="B349" s="4" t="s">
        <v>18</v>
      </c>
      <c r="C349" s="5">
        <v>2022</v>
      </c>
      <c r="D349" s="4">
        <v>0</v>
      </c>
      <c r="E349" s="4">
        <v>46000000</v>
      </c>
      <c r="F349" s="4" t="str">
        <f>_xlfn.LET(_xlpm.r, _xlfn.XLOOKUP(Clean_Data[[#This Row],[Country_Code]], Metadata_Country!$A:$A, Metadata_Country!$B:$B, "Unknown"), IF(OR(_xlpm.r=0, _xlpm.r=""), "Regional Aggregate", _xlpm.r))</f>
        <v>Sub-Saharan Africa</v>
      </c>
      <c r="G349" s="4" t="str">
        <f>_xlfn.LET(_xlpm.ig, _xlfn.XLOOKUP(Clean_Data[[#This Row],[Country_Code]], Metadata_Country!$A:$A, Metadata_Country!$C:$C, "Unknown"), IF(OR(_xlpm.ig=0, _xlpm.ig=""), "Regional Aggregate", _xlpm.ig))</f>
        <v>Lower middle income</v>
      </c>
      <c r="H349" s="4">
        <f>Clean_Data[[#This Row],[Exports_TIV]] - Clean_Data[[#This Row],[Imports_TIV]]</f>
        <v>-46000000</v>
      </c>
      <c r="I349" s="4">
        <f>Clean_Data[[#This Row],[Exports_TIV]] + Clean_Data[[#This Row],[Imports_TIV]]</f>
        <v>46000000</v>
      </c>
    </row>
    <row r="350" spans="1:9">
      <c r="A350" s="4" t="s">
        <v>33</v>
      </c>
      <c r="B350" s="4" t="s">
        <v>34</v>
      </c>
      <c r="C350" s="5">
        <v>2022</v>
      </c>
      <c r="D350" s="4">
        <v>0</v>
      </c>
      <c r="E350" s="4">
        <v>0</v>
      </c>
      <c r="F350" s="4" t="str">
        <f>_xlfn.LET(_xlpm.r, _xlfn.XLOOKUP(Clean_Data[[#This Row],[Country_Code]], Metadata_Country!$A:$A, Metadata_Country!$B:$B, "Unknown"), IF(OR(_xlpm.r=0, _xlpm.r=""), "Regional Aggregate", _xlpm.r))</f>
        <v>Latin America &amp; Caribbean</v>
      </c>
      <c r="G350" s="4" t="str">
        <f>_xlfn.LET(_xlpm.ig, _xlfn.XLOOKUP(Clean_Data[[#This Row],[Country_Code]], Metadata_Country!$A:$A, Metadata_Country!$C:$C, "Unknown"), IF(OR(_xlpm.ig=0, _xlpm.ig=""), "Regional Aggregate", _xlpm.ig))</f>
        <v>High income</v>
      </c>
      <c r="H350" s="4">
        <f>Clean_Data[[#This Row],[Exports_TIV]] - Clean_Data[[#This Row],[Imports_TIV]]</f>
        <v>0</v>
      </c>
      <c r="I350" s="4">
        <f>Clean_Data[[#This Row],[Exports_TIV]] + Clean_Data[[#This Row],[Imports_TIV]]</f>
        <v>0</v>
      </c>
    </row>
    <row r="351" spans="1:9">
      <c r="A351" s="4" t="s">
        <v>23</v>
      </c>
      <c r="B351" s="4" t="s">
        <v>24</v>
      </c>
      <c r="C351" s="5">
        <v>2022</v>
      </c>
      <c r="D351" s="4">
        <v>0</v>
      </c>
      <c r="E351" s="4">
        <v>10869000000</v>
      </c>
      <c r="F351" s="4" t="str">
        <f>_xlfn.LET(_xlpm.r, _xlfn.XLOOKUP(Clean_Data[[#This Row],[Country_Code]], Metadata_Country!$A:$A, Metadata_Country!$B:$B, "Unknown"), IF(OR(_xlpm.r=0, _xlpm.r=""), "Regional Aggregate", _xlpm.r))</f>
        <v>Regional Aggregate</v>
      </c>
      <c r="G351" s="4" t="str">
        <f>_xlfn.LET(_xlpm.ig, _xlfn.XLOOKUP(Clean_Data[[#This Row],[Country_Code]], Metadata_Country!$A:$A, Metadata_Country!$C:$C, "Unknown"), IF(OR(_xlpm.ig=0, _xlpm.ig=""), "Regional Aggregate", _xlpm.ig))</f>
        <v>Regional Aggregate</v>
      </c>
      <c r="H351" s="4">
        <f>Clean_Data[[#This Row],[Exports_TIV]] - Clean_Data[[#This Row],[Imports_TIV]]</f>
        <v>-10869000000</v>
      </c>
      <c r="I351" s="4">
        <f>Clean_Data[[#This Row],[Exports_TIV]] + Clean_Data[[#This Row],[Imports_TIV]]</f>
        <v>10869000000</v>
      </c>
    </row>
    <row r="352" spans="1:9">
      <c r="A352" s="4" t="s">
        <v>27</v>
      </c>
      <c r="B352" s="4" t="s">
        <v>28</v>
      </c>
      <c r="C352" s="5">
        <v>2022</v>
      </c>
      <c r="D352" s="4">
        <v>0</v>
      </c>
      <c r="E352" s="4">
        <v>50000000</v>
      </c>
      <c r="F352" s="4" t="str">
        <f>_xlfn.LET(_xlpm.r, _xlfn.XLOOKUP(Clean_Data[[#This Row],[Country_Code]], Metadata_Country!$A:$A, Metadata_Country!$B:$B, "Unknown"), IF(OR(_xlpm.r=0, _xlpm.r=""), "Regional Aggregate", _xlpm.r))</f>
        <v>Latin America &amp; Caribbean</v>
      </c>
      <c r="G352" s="4" t="str">
        <f>_xlfn.LET(_xlpm.ig, _xlfn.XLOOKUP(Clean_Data[[#This Row],[Country_Code]], Metadata_Country!$A:$A, Metadata_Country!$C:$C, "Unknown"), IF(OR(_xlpm.ig=0, _xlpm.ig=""), "Regional Aggregate", _xlpm.ig))</f>
        <v>Upper middle income</v>
      </c>
      <c r="H352" s="4">
        <f>Clean_Data[[#This Row],[Exports_TIV]] - Clean_Data[[#This Row],[Imports_TIV]]</f>
        <v>-50000000</v>
      </c>
      <c r="I352" s="4">
        <f>Clean_Data[[#This Row],[Exports_TIV]] + Clean_Data[[#This Row],[Imports_TIV]]</f>
        <v>50000000</v>
      </c>
    </row>
    <row r="353" spans="1:9">
      <c r="A353" s="4" t="s">
        <v>29</v>
      </c>
      <c r="B353" s="4" t="s">
        <v>30</v>
      </c>
      <c r="C353" s="5">
        <v>2022</v>
      </c>
      <c r="D353" s="4">
        <v>0</v>
      </c>
      <c r="E353" s="4">
        <v>29000000</v>
      </c>
      <c r="F353" s="4" t="str">
        <f>_xlfn.LET(_xlpm.r, _xlfn.XLOOKUP(Clean_Data[[#This Row],[Country_Code]], Metadata_Country!$A:$A, Metadata_Country!$B:$B, "Unknown"), IF(OR(_xlpm.r=0, _xlpm.r=""), "Regional Aggregate", _xlpm.r))</f>
        <v>Europe &amp; Central Asia</v>
      </c>
      <c r="G353" s="4" t="str">
        <f>_xlfn.LET(_xlpm.ig, _xlfn.XLOOKUP(Clean_Data[[#This Row],[Country_Code]], Metadata_Country!$A:$A, Metadata_Country!$C:$C, "Unknown"), IF(OR(_xlpm.ig=0, _xlpm.ig=""), "Regional Aggregate", _xlpm.ig))</f>
        <v>Upper middle income</v>
      </c>
      <c r="H353" s="4">
        <f>Clean_Data[[#This Row],[Exports_TIV]] - Clean_Data[[#This Row],[Imports_TIV]]</f>
        <v>-29000000</v>
      </c>
      <c r="I353" s="4">
        <f>Clean_Data[[#This Row],[Exports_TIV]] + Clean_Data[[#This Row],[Imports_TIV]]</f>
        <v>29000000</v>
      </c>
    </row>
    <row r="354" spans="1:9">
      <c r="A354" s="4" t="s">
        <v>35</v>
      </c>
      <c r="B354" s="4" t="s">
        <v>36</v>
      </c>
      <c r="C354" s="5">
        <v>2022</v>
      </c>
      <c r="D354" s="4">
        <v>19000000</v>
      </c>
      <c r="E354" s="4">
        <v>809000000</v>
      </c>
      <c r="F354" s="4" t="str">
        <f>_xlfn.LET(_xlpm.r, _xlfn.XLOOKUP(Clean_Data[[#This Row],[Country_Code]], Metadata_Country!$A:$A, Metadata_Country!$B:$B, "Unknown"), IF(OR(_xlpm.r=0, _xlpm.r=""), "Regional Aggregate", _xlpm.r))</f>
        <v>East Asia &amp; Pacific</v>
      </c>
      <c r="G354" s="4" t="str">
        <f>_xlfn.LET(_xlpm.ig, _xlfn.XLOOKUP(Clean_Data[[#This Row],[Country_Code]], Metadata_Country!$A:$A, Metadata_Country!$C:$C, "Unknown"), IF(OR(_xlpm.ig=0, _xlpm.ig=""), "Regional Aggregate", _xlpm.ig))</f>
        <v>High income</v>
      </c>
      <c r="H354" s="4">
        <f>Clean_Data[[#This Row],[Exports_TIV]] - Clean_Data[[#This Row],[Imports_TIV]]</f>
        <v>-790000000</v>
      </c>
      <c r="I354" s="4">
        <f>Clean_Data[[#This Row],[Exports_TIV]] + Clean_Data[[#This Row],[Imports_TIV]]</f>
        <v>828000000</v>
      </c>
    </row>
    <row r="355" spans="1:9">
      <c r="A355" s="4" t="s">
        <v>37</v>
      </c>
      <c r="B355" s="4" t="s">
        <v>38</v>
      </c>
      <c r="C355" s="5">
        <v>2022</v>
      </c>
      <c r="D355" s="4">
        <v>3000000</v>
      </c>
      <c r="E355" s="4">
        <v>5000000</v>
      </c>
      <c r="F355" s="4" t="str">
        <f>_xlfn.LET(_xlpm.r, _xlfn.XLOOKUP(Clean_Data[[#This Row],[Country_Code]], Metadata_Country!$A:$A, Metadata_Country!$B:$B, "Unknown"), IF(OR(_xlpm.r=0, _xlpm.r=""), "Regional Aggregate", _xlpm.r))</f>
        <v>Europe &amp; Central Asia</v>
      </c>
      <c r="G355" s="4" t="str">
        <f>_xlfn.LET(_xlpm.ig, _xlfn.XLOOKUP(Clean_Data[[#This Row],[Country_Code]], Metadata_Country!$A:$A, Metadata_Country!$C:$C, "Unknown"), IF(OR(_xlpm.ig=0, _xlpm.ig=""), "Regional Aggregate", _xlpm.ig))</f>
        <v>High income</v>
      </c>
      <c r="H355" s="4">
        <f>Clean_Data[[#This Row],[Exports_TIV]] - Clean_Data[[#This Row],[Imports_TIV]]</f>
        <v>-2000000</v>
      </c>
      <c r="I355" s="4">
        <f>Clean_Data[[#This Row],[Exports_TIV]] + Clean_Data[[#This Row],[Imports_TIV]]</f>
        <v>8000000</v>
      </c>
    </row>
    <row r="356" spans="1:9">
      <c r="A356" s="4" t="s">
        <v>39</v>
      </c>
      <c r="B356" s="4" t="s">
        <v>40</v>
      </c>
      <c r="C356" s="5">
        <v>2022</v>
      </c>
      <c r="D356" s="4">
        <v>0</v>
      </c>
      <c r="E356" s="4">
        <v>9000000</v>
      </c>
      <c r="F356" s="4" t="str">
        <f>_xlfn.LET(_xlpm.r, _xlfn.XLOOKUP(Clean_Data[[#This Row],[Country_Code]], Metadata_Country!$A:$A, Metadata_Country!$B:$B, "Unknown"), IF(OR(_xlpm.r=0, _xlpm.r=""), "Regional Aggregate", _xlpm.r))</f>
        <v>Europe &amp; Central Asia</v>
      </c>
      <c r="G356" s="4" t="str">
        <f>_xlfn.LET(_xlpm.ig, _xlfn.XLOOKUP(Clean_Data[[#This Row],[Country_Code]], Metadata_Country!$A:$A, Metadata_Country!$C:$C, "Unknown"), IF(OR(_xlpm.ig=0, _xlpm.ig=""), "Regional Aggregate", _xlpm.ig))</f>
        <v>Upper middle income</v>
      </c>
      <c r="H356" s="4">
        <f>Clean_Data[[#This Row],[Exports_TIV]] - Clean_Data[[#This Row],[Imports_TIV]]</f>
        <v>-9000000</v>
      </c>
      <c r="I356" s="4">
        <f>Clean_Data[[#This Row],[Exports_TIV]] + Clean_Data[[#This Row],[Imports_TIV]]</f>
        <v>9000000</v>
      </c>
    </row>
    <row r="357" spans="1:9">
      <c r="A357" s="4" t="s">
        <v>53</v>
      </c>
      <c r="B357" s="4" t="s">
        <v>54</v>
      </c>
      <c r="C357" s="5">
        <v>2022</v>
      </c>
      <c r="D357" s="4">
        <v>0</v>
      </c>
      <c r="E357" s="4">
        <v>259000000</v>
      </c>
      <c r="F357" s="4" t="str">
        <f>_xlfn.LET(_xlpm.r, _xlfn.XLOOKUP(Clean_Data[[#This Row],[Country_Code]], Metadata_Country!$A:$A, Metadata_Country!$B:$B, "Unknown"), IF(OR(_xlpm.r=0, _xlpm.r=""), "Regional Aggregate", _xlpm.r))</f>
        <v>Middle East &amp; North Africa</v>
      </c>
      <c r="G357" s="4" t="str">
        <f>_xlfn.LET(_xlpm.ig, _xlfn.XLOOKUP(Clean_Data[[#This Row],[Country_Code]], Metadata_Country!$A:$A, Metadata_Country!$C:$C, "Unknown"), IF(OR(_xlpm.ig=0, _xlpm.ig=""), "Regional Aggregate", _xlpm.ig))</f>
        <v>High income</v>
      </c>
      <c r="H357" s="4">
        <f>Clean_Data[[#This Row],[Exports_TIV]] - Clean_Data[[#This Row],[Imports_TIV]]</f>
        <v>-259000000</v>
      </c>
      <c r="I357" s="4">
        <f>Clean_Data[[#This Row],[Exports_TIV]] + Clean_Data[[#This Row],[Imports_TIV]]</f>
        <v>259000000</v>
      </c>
    </row>
    <row r="358" spans="1:9">
      <c r="A358" s="4" t="s">
        <v>49</v>
      </c>
      <c r="B358" s="4" t="s">
        <v>50</v>
      </c>
      <c r="C358" s="5">
        <v>2022</v>
      </c>
      <c r="D358" s="4">
        <v>0</v>
      </c>
      <c r="E358" s="4">
        <v>331000000</v>
      </c>
      <c r="F358" s="4" t="str">
        <f>_xlfn.LET(_xlpm.r, _xlfn.XLOOKUP(Clean_Data[[#This Row],[Country_Code]], Metadata_Country!$A:$A, Metadata_Country!$B:$B, "Unknown"), IF(OR(_xlpm.r=0, _xlpm.r=""), "Regional Aggregate", _xlpm.r))</f>
        <v>South Asia</v>
      </c>
      <c r="G358" s="4" t="str">
        <f>_xlfn.LET(_xlpm.ig, _xlfn.XLOOKUP(Clean_Data[[#This Row],[Country_Code]], Metadata_Country!$A:$A, Metadata_Country!$C:$C, "Unknown"), IF(OR(_xlpm.ig=0, _xlpm.ig=""), "Regional Aggregate", _xlpm.ig))</f>
        <v>Lower middle income</v>
      </c>
      <c r="H358" s="4">
        <f>Clean_Data[[#This Row],[Exports_TIV]] - Clean_Data[[#This Row],[Imports_TIV]]</f>
        <v>-331000000</v>
      </c>
      <c r="I358" s="4">
        <f>Clean_Data[[#This Row],[Exports_TIV]] + Clean_Data[[#This Row],[Imports_TIV]]</f>
        <v>331000000</v>
      </c>
    </row>
    <row r="359" spans="1:9">
      <c r="A359" s="4" t="s">
        <v>59</v>
      </c>
      <c r="B359" s="4" t="s">
        <v>60</v>
      </c>
      <c r="C359" s="5">
        <v>2022</v>
      </c>
      <c r="D359" s="4">
        <v>58000000</v>
      </c>
      <c r="E359" s="4">
        <v>215000000</v>
      </c>
      <c r="F359" s="4" t="str">
        <f>_xlfn.LET(_xlpm.r, _xlfn.XLOOKUP(Clean_Data[[#This Row],[Country_Code]], Metadata_Country!$A:$A, Metadata_Country!$B:$B, "Unknown"), IF(OR(_xlpm.r=0, _xlpm.r=""), "Regional Aggregate", _xlpm.r))</f>
        <v>Europe &amp; Central Asia</v>
      </c>
      <c r="G359" s="4" t="str">
        <f>_xlfn.LET(_xlpm.ig, _xlfn.XLOOKUP(Clean_Data[[#This Row],[Country_Code]], Metadata_Country!$A:$A, Metadata_Country!$C:$C, "Unknown"), IF(OR(_xlpm.ig=0, _xlpm.ig=""), "Regional Aggregate", _xlpm.ig))</f>
        <v>Upper middle income</v>
      </c>
      <c r="H359" s="4">
        <f>Clean_Data[[#This Row],[Exports_TIV]] - Clean_Data[[#This Row],[Imports_TIV]]</f>
        <v>-157000000</v>
      </c>
      <c r="I359" s="4">
        <f>Clean_Data[[#This Row],[Exports_TIV]] + Clean_Data[[#This Row],[Imports_TIV]]</f>
        <v>273000000</v>
      </c>
    </row>
    <row r="360" spans="1:9">
      <c r="A360" s="4" t="s">
        <v>43</v>
      </c>
      <c r="B360" s="4" t="s">
        <v>44</v>
      </c>
      <c r="C360" s="5">
        <v>2022</v>
      </c>
      <c r="D360" s="4">
        <v>129000000</v>
      </c>
      <c r="E360" s="4">
        <v>170000000</v>
      </c>
      <c r="F360" s="4" t="str">
        <f>_xlfn.LET(_xlpm.r, _xlfn.XLOOKUP(Clean_Data[[#This Row],[Country_Code]], Metadata_Country!$A:$A, Metadata_Country!$B:$B, "Unknown"), IF(OR(_xlpm.r=0, _xlpm.r=""), "Regional Aggregate", _xlpm.r))</f>
        <v>Europe &amp; Central Asia</v>
      </c>
      <c r="G360" s="4" t="str">
        <f>_xlfn.LET(_xlpm.ig, _xlfn.XLOOKUP(Clean_Data[[#This Row],[Country_Code]], Metadata_Country!$A:$A, Metadata_Country!$C:$C, "Unknown"), IF(OR(_xlpm.ig=0, _xlpm.ig=""), "Regional Aggregate", _xlpm.ig))</f>
        <v>High income</v>
      </c>
      <c r="H360" s="4">
        <f>Clean_Data[[#This Row],[Exports_TIV]] - Clean_Data[[#This Row],[Imports_TIV]]</f>
        <v>-41000000</v>
      </c>
      <c r="I360" s="4">
        <f>Clean_Data[[#This Row],[Exports_TIV]] + Clean_Data[[#This Row],[Imports_TIV]]</f>
        <v>299000000</v>
      </c>
    </row>
    <row r="361" spans="1:9">
      <c r="A361" s="4" t="s">
        <v>45</v>
      </c>
      <c r="B361" s="4" t="s">
        <v>46</v>
      </c>
      <c r="C361" s="5">
        <v>2022</v>
      </c>
      <c r="D361" s="4">
        <v>0</v>
      </c>
      <c r="E361" s="4">
        <v>3000000</v>
      </c>
      <c r="F361" s="4" t="str">
        <f>_xlfn.LET(_xlpm.r, _xlfn.XLOOKUP(Clean_Data[[#This Row],[Country_Code]], Metadata_Country!$A:$A, Metadata_Country!$B:$B, "Unknown"), IF(OR(_xlpm.r=0, _xlpm.r=""), "Regional Aggregate", _xlpm.r))</f>
        <v>Sub-Saharan Africa</v>
      </c>
      <c r="G361" s="4" t="str">
        <f>_xlfn.LET(_xlpm.ig, _xlfn.XLOOKUP(Clean_Data[[#This Row],[Country_Code]], Metadata_Country!$A:$A, Metadata_Country!$C:$C, "Unknown"), IF(OR(_xlpm.ig=0, _xlpm.ig=""), "Regional Aggregate", _xlpm.ig))</f>
        <v>Lower middle income</v>
      </c>
      <c r="H361" s="4">
        <f>Clean_Data[[#This Row],[Exports_TIV]] - Clean_Data[[#This Row],[Imports_TIV]]</f>
        <v>-3000000</v>
      </c>
      <c r="I361" s="4">
        <f>Clean_Data[[#This Row],[Exports_TIV]] + Clean_Data[[#This Row],[Imports_TIV]]</f>
        <v>3000000</v>
      </c>
    </row>
    <row r="362" spans="1:9">
      <c r="A362" s="4" t="s">
        <v>57</v>
      </c>
      <c r="B362" s="4" t="s">
        <v>58</v>
      </c>
      <c r="C362" s="5">
        <v>2022</v>
      </c>
      <c r="D362" s="4">
        <v>2000000</v>
      </c>
      <c r="E362" s="4">
        <v>0</v>
      </c>
      <c r="F362" s="4" t="str">
        <f>_xlfn.LET(_xlpm.r, _xlfn.XLOOKUP(Clean_Data[[#This Row],[Country_Code]], Metadata_Country!$A:$A, Metadata_Country!$B:$B, "Unknown"), IF(OR(_xlpm.r=0, _xlpm.r=""), "Regional Aggregate", _xlpm.r))</f>
        <v>Europe &amp; Central Asia</v>
      </c>
      <c r="G362" s="4" t="str">
        <f>_xlfn.LET(_xlpm.ig, _xlfn.XLOOKUP(Clean_Data[[#This Row],[Country_Code]], Metadata_Country!$A:$A, Metadata_Country!$C:$C, "Unknown"), IF(OR(_xlpm.ig=0, _xlpm.ig=""), "Regional Aggregate", _xlpm.ig))</f>
        <v>Upper middle income</v>
      </c>
      <c r="H362" s="4">
        <f>Clean_Data[[#This Row],[Exports_TIV]] - Clean_Data[[#This Row],[Imports_TIV]]</f>
        <v>2000000</v>
      </c>
      <c r="I362" s="4">
        <f>Clean_Data[[#This Row],[Exports_TIV]] + Clean_Data[[#This Row],[Imports_TIV]]</f>
        <v>2000000</v>
      </c>
    </row>
    <row r="363" spans="1:9">
      <c r="A363" s="4" t="s">
        <v>75</v>
      </c>
      <c r="B363" s="4" t="s">
        <v>76</v>
      </c>
      <c r="C363" s="5">
        <v>2022</v>
      </c>
      <c r="D363" s="4">
        <v>0</v>
      </c>
      <c r="E363" s="4">
        <v>11000000</v>
      </c>
      <c r="F363" s="4" t="str">
        <f>_xlfn.LET(_xlpm.r, _xlfn.XLOOKUP(Clean_Data[[#This Row],[Country_Code]], Metadata_Country!$A:$A, Metadata_Country!$B:$B, "Unknown"), IF(OR(_xlpm.r=0, _xlpm.r=""), "Regional Aggregate", _xlpm.r))</f>
        <v>Sub-Saharan Africa</v>
      </c>
      <c r="G363" s="4" t="str">
        <f>_xlfn.LET(_xlpm.ig, _xlfn.XLOOKUP(Clean_Data[[#This Row],[Country_Code]], Metadata_Country!$A:$A, Metadata_Country!$C:$C, "Unknown"), IF(OR(_xlpm.ig=0, _xlpm.ig=""), "Regional Aggregate", _xlpm.ig))</f>
        <v>Upper middle income</v>
      </c>
      <c r="H363" s="4">
        <f>Clean_Data[[#This Row],[Exports_TIV]] - Clean_Data[[#This Row],[Imports_TIV]]</f>
        <v>-11000000</v>
      </c>
      <c r="I363" s="4">
        <f>Clean_Data[[#This Row],[Exports_TIV]] + Clean_Data[[#This Row],[Imports_TIV]]</f>
        <v>11000000</v>
      </c>
    </row>
    <row r="364" spans="1:9">
      <c r="A364" s="4" t="s">
        <v>67</v>
      </c>
      <c r="B364" s="4" t="s">
        <v>68</v>
      </c>
      <c r="C364" s="5">
        <v>2022</v>
      </c>
      <c r="D364" s="4">
        <v>10000000</v>
      </c>
      <c r="E364" s="4">
        <v>469000000</v>
      </c>
      <c r="F364" s="4" t="str">
        <f>_xlfn.LET(_xlpm.r, _xlfn.XLOOKUP(Clean_Data[[#This Row],[Country_Code]], Metadata_Country!$A:$A, Metadata_Country!$B:$B, "Unknown"), IF(OR(_xlpm.r=0, _xlpm.r=""), "Regional Aggregate", _xlpm.r))</f>
        <v>Latin America &amp; Caribbean</v>
      </c>
      <c r="G364" s="4" t="str">
        <f>_xlfn.LET(_xlpm.ig, _xlfn.XLOOKUP(Clean_Data[[#This Row],[Country_Code]], Metadata_Country!$A:$A, Metadata_Country!$C:$C, "Unknown"), IF(OR(_xlpm.ig=0, _xlpm.ig=""), "Regional Aggregate", _xlpm.ig))</f>
        <v>Upper middle income</v>
      </c>
      <c r="H364" s="4">
        <f>Clean_Data[[#This Row],[Exports_TIV]] - Clean_Data[[#This Row],[Imports_TIV]]</f>
        <v>-459000000</v>
      </c>
      <c r="I364" s="4">
        <f>Clean_Data[[#This Row],[Exports_TIV]] + Clean_Data[[#This Row],[Imports_TIV]]</f>
        <v>479000000</v>
      </c>
    </row>
    <row r="365" spans="1:9">
      <c r="A365" s="4" t="s">
        <v>51</v>
      </c>
      <c r="B365" s="4" t="s">
        <v>52</v>
      </c>
      <c r="C365" s="5">
        <v>2022</v>
      </c>
      <c r="D365" s="4">
        <v>34000000</v>
      </c>
      <c r="E365" s="4">
        <v>3000000</v>
      </c>
      <c r="F365" s="4" t="str">
        <f>_xlfn.LET(_xlpm.r, _xlfn.XLOOKUP(Clean_Data[[#This Row],[Country_Code]], Metadata_Country!$A:$A, Metadata_Country!$B:$B, "Unknown"), IF(OR(_xlpm.r=0, _xlpm.r=""), "Regional Aggregate", _xlpm.r))</f>
        <v>Europe &amp; Central Asia</v>
      </c>
      <c r="G365" s="4" t="str">
        <f>_xlfn.LET(_xlpm.ig, _xlfn.XLOOKUP(Clean_Data[[#This Row],[Country_Code]], Metadata_Country!$A:$A, Metadata_Country!$C:$C, "Unknown"), IF(OR(_xlpm.ig=0, _xlpm.ig=""), "Regional Aggregate", _xlpm.ig))</f>
        <v>High income</v>
      </c>
      <c r="H365" s="4">
        <f>Clean_Data[[#This Row],[Exports_TIV]] - Clean_Data[[#This Row],[Imports_TIV]]</f>
        <v>31000000</v>
      </c>
      <c r="I365" s="4">
        <f>Clean_Data[[#This Row],[Exports_TIV]] + Clean_Data[[#This Row],[Imports_TIV]]</f>
        <v>37000000</v>
      </c>
    </row>
    <row r="366" spans="1:9">
      <c r="A366" s="4" t="s">
        <v>47</v>
      </c>
      <c r="B366" s="4" t="s">
        <v>48</v>
      </c>
      <c r="C366" s="5">
        <v>2022</v>
      </c>
      <c r="D366" s="4">
        <v>0</v>
      </c>
      <c r="E366" s="4">
        <v>12000000</v>
      </c>
      <c r="F366" s="4" t="str">
        <f>_xlfn.LET(_xlpm.r, _xlfn.XLOOKUP(Clean_Data[[#This Row],[Country_Code]], Metadata_Country!$A:$A, Metadata_Country!$B:$B, "Unknown"), IF(OR(_xlpm.r=0, _xlpm.r=""), "Regional Aggregate", _xlpm.r))</f>
        <v>Sub-Saharan Africa</v>
      </c>
      <c r="G366" s="4" t="str">
        <f>_xlfn.LET(_xlpm.ig, _xlfn.XLOOKUP(Clean_Data[[#This Row],[Country_Code]], Metadata_Country!$A:$A, Metadata_Country!$C:$C, "Unknown"), IF(OR(_xlpm.ig=0, _xlpm.ig=""), "Regional Aggregate", _xlpm.ig))</f>
        <v>Low income</v>
      </c>
      <c r="H366" s="4">
        <f>Clean_Data[[#This Row],[Exports_TIV]] - Clean_Data[[#This Row],[Imports_TIV]]</f>
        <v>-12000000</v>
      </c>
      <c r="I366" s="4">
        <f>Clean_Data[[#This Row],[Exports_TIV]] + Clean_Data[[#This Row],[Imports_TIV]]</f>
        <v>12000000</v>
      </c>
    </row>
    <row r="367" spans="1:9">
      <c r="A367" s="4" t="s">
        <v>255</v>
      </c>
      <c r="B367" s="4" t="s">
        <v>256</v>
      </c>
      <c r="C367" s="5">
        <v>2022</v>
      </c>
      <c r="D367" s="4">
        <v>0</v>
      </c>
      <c r="E367" s="4">
        <v>38000000</v>
      </c>
      <c r="F367" s="4" t="str">
        <f>_xlfn.LET(_xlpm.r, _xlfn.XLOOKUP(Clean_Data[[#This Row],[Country_Code]], Metadata_Country!$A:$A, Metadata_Country!$B:$B, "Unknown"), IF(OR(_xlpm.r=0, _xlpm.r=""), "Regional Aggregate", _xlpm.r))</f>
        <v>East Asia &amp; Pacific</v>
      </c>
      <c r="G367" s="4" t="str">
        <f>_xlfn.LET(_xlpm.ig, _xlfn.XLOOKUP(Clean_Data[[#This Row],[Country_Code]], Metadata_Country!$A:$A, Metadata_Country!$C:$C, "Unknown"), IF(OR(_xlpm.ig=0, _xlpm.ig=""), "Regional Aggregate", _xlpm.ig))</f>
        <v>Lower middle income</v>
      </c>
      <c r="H367" s="4">
        <f>Clean_Data[[#This Row],[Exports_TIV]] - Clean_Data[[#This Row],[Imports_TIV]]</f>
        <v>-38000000</v>
      </c>
      <c r="I367" s="4">
        <f>Clean_Data[[#This Row],[Exports_TIV]] + Clean_Data[[#This Row],[Imports_TIV]]</f>
        <v>38000000</v>
      </c>
    </row>
    <row r="368" spans="1:9">
      <c r="A368" s="4" t="s">
        <v>93</v>
      </c>
      <c r="B368" s="4" t="s">
        <v>94</v>
      </c>
      <c r="C368" s="5">
        <v>2022</v>
      </c>
      <c r="D368" s="4">
        <v>0</v>
      </c>
      <c r="E368" s="4">
        <v>2000000</v>
      </c>
      <c r="F368" s="4" t="str">
        <f>_xlfn.LET(_xlpm.r, _xlfn.XLOOKUP(Clean_Data[[#This Row],[Country_Code]], Metadata_Country!$A:$A, Metadata_Country!$B:$B, "Unknown"), IF(OR(_xlpm.r=0, _xlpm.r=""), "Regional Aggregate", _xlpm.r))</f>
        <v>Sub-Saharan Africa</v>
      </c>
      <c r="G368" s="4" t="str">
        <f>_xlfn.LET(_xlpm.ig, _xlfn.XLOOKUP(Clean_Data[[#This Row],[Country_Code]], Metadata_Country!$A:$A, Metadata_Country!$C:$C, "Unknown"), IF(OR(_xlpm.ig=0, _xlpm.ig=""), "Regional Aggregate", _xlpm.ig))</f>
        <v>Lower middle income</v>
      </c>
      <c r="H368" s="4">
        <f>Clean_Data[[#This Row],[Exports_TIV]] - Clean_Data[[#This Row],[Imports_TIV]]</f>
        <v>-2000000</v>
      </c>
      <c r="I368" s="4">
        <f>Clean_Data[[#This Row],[Exports_TIV]] + Clean_Data[[#This Row],[Imports_TIV]]</f>
        <v>2000000</v>
      </c>
    </row>
    <row r="369" spans="1:9">
      <c r="A369" s="4" t="s">
        <v>79</v>
      </c>
      <c r="B369" s="4" t="s">
        <v>80</v>
      </c>
      <c r="C369" s="5">
        <v>2022</v>
      </c>
      <c r="D369" s="4">
        <v>147000000</v>
      </c>
      <c r="E369" s="4">
        <v>214000000</v>
      </c>
      <c r="F369" s="4" t="str">
        <f>_xlfn.LET(_xlpm.r, _xlfn.XLOOKUP(Clean_Data[[#This Row],[Country_Code]], Metadata_Country!$A:$A, Metadata_Country!$B:$B, "Unknown"), IF(OR(_xlpm.r=0, _xlpm.r=""), "Regional Aggregate", _xlpm.r))</f>
        <v>North America</v>
      </c>
      <c r="G369" s="4" t="str">
        <f>_xlfn.LET(_xlpm.ig, _xlfn.XLOOKUP(Clean_Data[[#This Row],[Country_Code]], Metadata_Country!$A:$A, Metadata_Country!$C:$C, "Unknown"), IF(OR(_xlpm.ig=0, _xlpm.ig=""), "Regional Aggregate", _xlpm.ig))</f>
        <v>High income</v>
      </c>
      <c r="H369" s="4">
        <f>Clean_Data[[#This Row],[Exports_TIV]] - Clean_Data[[#This Row],[Imports_TIV]]</f>
        <v>-67000000</v>
      </c>
      <c r="I369" s="4">
        <f>Clean_Data[[#This Row],[Exports_TIV]] + Clean_Data[[#This Row],[Imports_TIV]]</f>
        <v>361000000</v>
      </c>
    </row>
    <row r="370" spans="1:9">
      <c r="A370" s="4" t="s">
        <v>77</v>
      </c>
      <c r="B370" s="4" t="s">
        <v>78</v>
      </c>
      <c r="C370" s="5">
        <v>2022</v>
      </c>
      <c r="D370" s="4">
        <v>0</v>
      </c>
      <c r="E370" s="4">
        <v>2000000</v>
      </c>
      <c r="F370" s="4" t="str">
        <f>_xlfn.LET(_xlpm.r, _xlfn.XLOOKUP(Clean_Data[[#This Row],[Country_Code]], Metadata_Country!$A:$A, Metadata_Country!$B:$B, "Unknown"), IF(OR(_xlpm.r=0, _xlpm.r=""), "Regional Aggregate", _xlpm.r))</f>
        <v>Sub-Saharan Africa</v>
      </c>
      <c r="G370" s="4" t="str">
        <f>_xlfn.LET(_xlpm.ig, _xlfn.XLOOKUP(Clean_Data[[#This Row],[Country_Code]], Metadata_Country!$A:$A, Metadata_Country!$C:$C, "Unknown"), IF(OR(_xlpm.ig=0, _xlpm.ig=""), "Regional Aggregate", _xlpm.ig))</f>
        <v>Low income</v>
      </c>
      <c r="H370" s="4">
        <f>Clean_Data[[#This Row],[Exports_TIV]] - Clean_Data[[#This Row],[Imports_TIV]]</f>
        <v>-2000000</v>
      </c>
      <c r="I370" s="4">
        <f>Clean_Data[[#This Row],[Exports_TIV]] + Clean_Data[[#This Row],[Imports_TIV]]</f>
        <v>2000000</v>
      </c>
    </row>
    <row r="371" spans="1:9">
      <c r="A371" s="4" t="s">
        <v>81</v>
      </c>
      <c r="B371" s="4" t="s">
        <v>82</v>
      </c>
      <c r="C371" s="5">
        <v>2022</v>
      </c>
      <c r="D371" s="4">
        <v>1067000000</v>
      </c>
      <c r="E371" s="4">
        <v>868000000</v>
      </c>
      <c r="F371" s="4" t="str">
        <f>_xlfn.LET(_xlpm.r, _xlfn.XLOOKUP(Clean_Data[[#This Row],[Country_Code]], Metadata_Country!$A:$A, Metadata_Country!$B:$B, "Unknown"), IF(OR(_xlpm.r=0, _xlpm.r=""), "Regional Aggregate", _xlpm.r))</f>
        <v>Regional Aggregate</v>
      </c>
      <c r="G371" s="4" t="str">
        <f>_xlfn.LET(_xlpm.ig, _xlfn.XLOOKUP(Clean_Data[[#This Row],[Country_Code]], Metadata_Country!$A:$A, Metadata_Country!$C:$C, "Unknown"), IF(OR(_xlpm.ig=0, _xlpm.ig=""), "Regional Aggregate", _xlpm.ig))</f>
        <v>Regional Aggregate</v>
      </c>
      <c r="H371" s="4">
        <f>Clean_Data[[#This Row],[Exports_TIV]] - Clean_Data[[#This Row],[Imports_TIV]]</f>
        <v>199000000</v>
      </c>
      <c r="I371" s="4">
        <f>Clean_Data[[#This Row],[Exports_TIV]] + Clean_Data[[#This Row],[Imports_TIV]]</f>
        <v>1935000000</v>
      </c>
    </row>
    <row r="372" spans="1:9">
      <c r="A372" s="4" t="s">
        <v>467</v>
      </c>
      <c r="B372" s="4" t="s">
        <v>468</v>
      </c>
      <c r="C372" s="5">
        <v>2022</v>
      </c>
      <c r="D372" s="4">
        <v>0</v>
      </c>
      <c r="E372" s="4">
        <v>6000000</v>
      </c>
      <c r="F372" s="4" t="str">
        <f>_xlfn.LET(_xlpm.r, _xlfn.XLOOKUP(Clean_Data[[#This Row],[Country_Code]], Metadata_Country!$A:$A, Metadata_Country!$B:$B, "Unknown"), IF(OR(_xlpm.r=0, _xlpm.r=""), "Regional Aggregate", _xlpm.r))</f>
        <v>Sub-Saharan Africa</v>
      </c>
      <c r="G372" s="4" t="str">
        <f>_xlfn.LET(_xlpm.ig, _xlfn.XLOOKUP(Clean_Data[[#This Row],[Country_Code]], Metadata_Country!$A:$A, Metadata_Country!$C:$C, "Unknown"), IF(OR(_xlpm.ig=0, _xlpm.ig=""), "Regional Aggregate", _xlpm.ig))</f>
        <v>Low income</v>
      </c>
      <c r="H372" s="4">
        <f>Clean_Data[[#This Row],[Exports_TIV]] - Clean_Data[[#This Row],[Imports_TIV]]</f>
        <v>-6000000</v>
      </c>
      <c r="I372" s="4">
        <f>Clean_Data[[#This Row],[Exports_TIV]] + Clean_Data[[#This Row],[Imports_TIV]]</f>
        <v>6000000</v>
      </c>
    </row>
    <row r="373" spans="1:9">
      <c r="A373" s="4" t="s">
        <v>87</v>
      </c>
      <c r="B373" s="4" t="s">
        <v>88</v>
      </c>
      <c r="C373" s="5">
        <v>2022</v>
      </c>
      <c r="D373" s="4">
        <v>8000000</v>
      </c>
      <c r="E373" s="4">
        <v>207000000</v>
      </c>
      <c r="F373" s="4" t="str">
        <f>_xlfn.LET(_xlpm.r, _xlfn.XLOOKUP(Clean_Data[[#This Row],[Country_Code]], Metadata_Country!$A:$A, Metadata_Country!$B:$B, "Unknown"), IF(OR(_xlpm.r=0, _xlpm.r=""), "Regional Aggregate", _xlpm.r))</f>
        <v>Latin America &amp; Caribbean</v>
      </c>
      <c r="G373" s="4" t="str">
        <f>_xlfn.LET(_xlpm.ig, _xlfn.XLOOKUP(Clean_Data[[#This Row],[Country_Code]], Metadata_Country!$A:$A, Metadata_Country!$C:$C, "Unknown"), IF(OR(_xlpm.ig=0, _xlpm.ig=""), "Regional Aggregate", _xlpm.ig))</f>
        <v>High income</v>
      </c>
      <c r="H373" s="4">
        <f>Clean_Data[[#This Row],[Exports_TIV]] - Clean_Data[[#This Row],[Imports_TIV]]</f>
        <v>-199000000</v>
      </c>
      <c r="I373" s="4">
        <f>Clean_Data[[#This Row],[Exports_TIV]] + Clean_Data[[#This Row],[Imports_TIV]]</f>
        <v>215000000</v>
      </c>
    </row>
    <row r="374" spans="1:9">
      <c r="A374" s="4" t="s">
        <v>89</v>
      </c>
      <c r="B374" s="4" t="s">
        <v>90</v>
      </c>
      <c r="C374" s="5">
        <v>2022</v>
      </c>
      <c r="D374" s="4">
        <v>2323000000</v>
      </c>
      <c r="E374" s="4">
        <v>646000000</v>
      </c>
      <c r="F374" s="4" t="str">
        <f>_xlfn.LET(_xlpm.r, _xlfn.XLOOKUP(Clean_Data[[#This Row],[Country_Code]], Metadata_Country!$A:$A, Metadata_Country!$B:$B, "Unknown"), IF(OR(_xlpm.r=0, _xlpm.r=""), "Regional Aggregate", _xlpm.r))</f>
        <v>East Asia &amp; Pacific</v>
      </c>
      <c r="G374" s="4" t="str">
        <f>_xlfn.LET(_xlpm.ig, _xlfn.XLOOKUP(Clean_Data[[#This Row],[Country_Code]], Metadata_Country!$A:$A, Metadata_Country!$C:$C, "Unknown"), IF(OR(_xlpm.ig=0, _xlpm.ig=""), "Regional Aggregate", _xlpm.ig))</f>
        <v>Upper middle income</v>
      </c>
      <c r="H374" s="4">
        <f>Clean_Data[[#This Row],[Exports_TIV]] - Clean_Data[[#This Row],[Imports_TIV]]</f>
        <v>1677000000</v>
      </c>
      <c r="I374" s="4">
        <f>Clean_Data[[#This Row],[Exports_TIV]] + Clean_Data[[#This Row],[Imports_TIV]]</f>
        <v>2969000000</v>
      </c>
    </row>
    <row r="375" spans="1:9">
      <c r="A375" s="4" t="s">
        <v>99</v>
      </c>
      <c r="B375" s="4" t="s">
        <v>100</v>
      </c>
      <c r="C375" s="5">
        <v>2022</v>
      </c>
      <c r="D375" s="4">
        <v>0</v>
      </c>
      <c r="E375" s="4">
        <v>50000000</v>
      </c>
      <c r="F375" s="4" t="str">
        <f>_xlfn.LET(_xlpm.r, _xlfn.XLOOKUP(Clean_Data[[#This Row],[Country_Code]], Metadata_Country!$A:$A, Metadata_Country!$B:$B, "Unknown"), IF(OR(_xlpm.r=0, _xlpm.r=""), "Regional Aggregate", _xlpm.r))</f>
        <v>Latin America &amp; Caribbean</v>
      </c>
      <c r="G375" s="4" t="str">
        <f>_xlfn.LET(_xlpm.ig, _xlfn.XLOOKUP(Clean_Data[[#This Row],[Country_Code]], Metadata_Country!$A:$A, Metadata_Country!$C:$C, "Unknown"), IF(OR(_xlpm.ig=0, _xlpm.ig=""), "Regional Aggregate", _xlpm.ig))</f>
        <v>Upper middle income</v>
      </c>
      <c r="H375" s="4">
        <f>Clean_Data[[#This Row],[Exports_TIV]] - Clean_Data[[#This Row],[Imports_TIV]]</f>
        <v>-50000000</v>
      </c>
      <c r="I375" s="4">
        <f>Clean_Data[[#This Row],[Exports_TIV]] + Clean_Data[[#This Row],[Imports_TIV]]</f>
        <v>50000000</v>
      </c>
    </row>
    <row r="376" spans="1:9">
      <c r="A376" s="4" t="s">
        <v>91</v>
      </c>
      <c r="B376" s="4" t="s">
        <v>92</v>
      </c>
      <c r="C376" s="5">
        <v>2022</v>
      </c>
      <c r="D376" s="4">
        <v>0</v>
      </c>
      <c r="E376" s="4">
        <v>22000000</v>
      </c>
      <c r="F376" s="4" t="str">
        <f>_xlfn.LET(_xlpm.r, _xlfn.XLOOKUP(Clean_Data[[#This Row],[Country_Code]], Metadata_Country!$A:$A, Metadata_Country!$B:$B, "Unknown"), IF(OR(_xlpm.r=0, _xlpm.r=""), "Regional Aggregate", _xlpm.r))</f>
        <v>Sub-Saharan Africa</v>
      </c>
      <c r="G376" s="4" t="str">
        <f>_xlfn.LET(_xlpm.ig, _xlfn.XLOOKUP(Clean_Data[[#This Row],[Country_Code]], Metadata_Country!$A:$A, Metadata_Country!$C:$C, "Unknown"), IF(OR(_xlpm.ig=0, _xlpm.ig=""), "Regional Aggregate", _xlpm.ig))</f>
        <v>Lower middle income</v>
      </c>
      <c r="H376" s="4">
        <f>Clean_Data[[#This Row],[Exports_TIV]] - Clean_Data[[#This Row],[Imports_TIV]]</f>
        <v>-22000000</v>
      </c>
      <c r="I376" s="4">
        <f>Clean_Data[[#This Row],[Exports_TIV]] + Clean_Data[[#This Row],[Imports_TIV]]</f>
        <v>22000000</v>
      </c>
    </row>
    <row r="377" spans="1:9">
      <c r="A377" s="4" t="s">
        <v>207</v>
      </c>
      <c r="B377" s="4" t="s">
        <v>208</v>
      </c>
      <c r="C377" s="5">
        <v>2022</v>
      </c>
      <c r="D377" s="4">
        <v>4000000</v>
      </c>
      <c r="E377" s="4">
        <v>29000000</v>
      </c>
      <c r="F377" s="4" t="str">
        <f>_xlfn.LET(_xlpm.r, _xlfn.XLOOKUP(Clean_Data[[#This Row],[Country_Code]], Metadata_Country!$A:$A, Metadata_Country!$B:$B, "Unknown"), IF(OR(_xlpm.r=0, _xlpm.r=""), "Regional Aggregate", _xlpm.r))</f>
        <v>Europe &amp; Central Asia</v>
      </c>
      <c r="G377" s="4" t="str">
        <f>_xlfn.LET(_xlpm.ig, _xlfn.XLOOKUP(Clean_Data[[#This Row],[Country_Code]], Metadata_Country!$A:$A, Metadata_Country!$C:$C, "Unknown"), IF(OR(_xlpm.ig=0, _xlpm.ig=""), "Regional Aggregate", _xlpm.ig))</f>
        <v>High income</v>
      </c>
      <c r="H377" s="4">
        <f>Clean_Data[[#This Row],[Exports_TIV]] - Clean_Data[[#This Row],[Imports_TIV]]</f>
        <v>-25000000</v>
      </c>
      <c r="I377" s="4">
        <f>Clean_Data[[#This Row],[Exports_TIV]] + Clean_Data[[#This Row],[Imports_TIV]]</f>
        <v>33000000</v>
      </c>
    </row>
    <row r="378" spans="1:9">
      <c r="A378" s="4" t="s">
        <v>117</v>
      </c>
      <c r="B378" s="4" t="s">
        <v>118</v>
      </c>
      <c r="C378" s="5">
        <v>2022</v>
      </c>
      <c r="D378" s="4">
        <v>168000000</v>
      </c>
      <c r="E378" s="4">
        <v>69000000</v>
      </c>
      <c r="F378" s="4" t="str">
        <f>_xlfn.LET(_xlpm.r, _xlfn.XLOOKUP(Clean_Data[[#This Row],[Country_Code]], Metadata_Country!$A:$A, Metadata_Country!$B:$B, "Unknown"), IF(OR(_xlpm.r=0, _xlpm.r=""), "Regional Aggregate", _xlpm.r))</f>
        <v>Europe &amp; Central Asia</v>
      </c>
      <c r="G378" s="4" t="str">
        <f>_xlfn.LET(_xlpm.ig, _xlfn.XLOOKUP(Clean_Data[[#This Row],[Country_Code]], Metadata_Country!$A:$A, Metadata_Country!$C:$C, "Unknown"), IF(OR(_xlpm.ig=0, _xlpm.ig=""), "Regional Aggregate", _xlpm.ig))</f>
        <v>High income</v>
      </c>
      <c r="H378" s="4">
        <f>Clean_Data[[#This Row],[Exports_TIV]] - Clean_Data[[#This Row],[Imports_TIV]]</f>
        <v>99000000</v>
      </c>
      <c r="I378" s="4">
        <f>Clean_Data[[#This Row],[Exports_TIV]] + Clean_Data[[#This Row],[Imports_TIV]]</f>
        <v>237000000</v>
      </c>
    </row>
    <row r="379" spans="1:9">
      <c r="A379" s="4" t="s">
        <v>125</v>
      </c>
      <c r="B379" s="4" t="s">
        <v>126</v>
      </c>
      <c r="C379" s="5">
        <v>2022</v>
      </c>
      <c r="D379" s="4">
        <v>83000000</v>
      </c>
      <c r="E379" s="4">
        <v>214000000</v>
      </c>
      <c r="F379" s="4" t="str">
        <f>_xlfn.LET(_xlpm.r, _xlfn.XLOOKUP(Clean_Data[[#This Row],[Country_Code]], Metadata_Country!$A:$A, Metadata_Country!$B:$B, "Unknown"), IF(OR(_xlpm.r=0, _xlpm.r=""), "Regional Aggregate", _xlpm.r))</f>
        <v>Europe &amp; Central Asia</v>
      </c>
      <c r="G379" s="4" t="str">
        <f>_xlfn.LET(_xlpm.ig, _xlfn.XLOOKUP(Clean_Data[[#This Row],[Country_Code]], Metadata_Country!$A:$A, Metadata_Country!$C:$C, "Unknown"), IF(OR(_xlpm.ig=0, _xlpm.ig=""), "Regional Aggregate", _xlpm.ig))</f>
        <v>High income</v>
      </c>
      <c r="H379" s="4">
        <f>Clean_Data[[#This Row],[Exports_TIV]] - Clean_Data[[#This Row],[Imports_TIV]]</f>
        <v>-131000000</v>
      </c>
      <c r="I379" s="4">
        <f>Clean_Data[[#This Row],[Exports_TIV]] + Clean_Data[[#This Row],[Imports_TIV]]</f>
        <v>297000000</v>
      </c>
    </row>
    <row r="380" spans="1:9">
      <c r="A380" s="4" t="s">
        <v>121</v>
      </c>
      <c r="B380" s="4" t="s">
        <v>122</v>
      </c>
      <c r="C380" s="5">
        <v>2022</v>
      </c>
      <c r="D380" s="4">
        <v>0</v>
      </c>
      <c r="E380" s="4">
        <v>19000000</v>
      </c>
      <c r="F380" s="4" t="str">
        <f>_xlfn.LET(_xlpm.r, _xlfn.XLOOKUP(Clean_Data[[#This Row],[Country_Code]], Metadata_Country!$A:$A, Metadata_Country!$B:$B, "Unknown"), IF(OR(_xlpm.r=0, _xlpm.r=""), "Regional Aggregate", _xlpm.r))</f>
        <v>Middle East &amp; North Africa</v>
      </c>
      <c r="G380" s="4" t="str">
        <f>_xlfn.LET(_xlpm.ig, _xlfn.XLOOKUP(Clean_Data[[#This Row],[Country_Code]], Metadata_Country!$A:$A, Metadata_Country!$C:$C, "Unknown"), IF(OR(_xlpm.ig=0, _xlpm.ig=""), "Regional Aggregate", _xlpm.ig))</f>
        <v>Lower middle income</v>
      </c>
      <c r="H380" s="4">
        <f>Clean_Data[[#This Row],[Exports_TIV]] - Clean_Data[[#This Row],[Imports_TIV]]</f>
        <v>-19000000</v>
      </c>
      <c r="I380" s="4">
        <f>Clean_Data[[#This Row],[Exports_TIV]] + Clean_Data[[#This Row],[Imports_TIV]]</f>
        <v>19000000</v>
      </c>
    </row>
    <row r="381" spans="1:9">
      <c r="A381" s="4" t="s">
        <v>127</v>
      </c>
      <c r="B381" s="4" t="s">
        <v>128</v>
      </c>
      <c r="C381" s="5">
        <v>2022</v>
      </c>
      <c r="D381" s="4">
        <v>0</v>
      </c>
      <c r="E381" s="4">
        <v>5000000</v>
      </c>
      <c r="F381" s="4" t="str">
        <f>_xlfn.LET(_xlpm.r, _xlfn.XLOOKUP(Clean_Data[[#This Row],[Country_Code]], Metadata_Country!$A:$A, Metadata_Country!$B:$B, "Unknown"), IF(OR(_xlpm.r=0, _xlpm.r=""), "Regional Aggregate", _xlpm.r))</f>
        <v>Latin America &amp; Caribbean</v>
      </c>
      <c r="G381" s="4" t="str">
        <f>_xlfn.LET(_xlpm.ig, _xlfn.XLOOKUP(Clean_Data[[#This Row],[Country_Code]], Metadata_Country!$A:$A, Metadata_Country!$C:$C, "Unknown"), IF(OR(_xlpm.ig=0, _xlpm.ig=""), "Regional Aggregate", _xlpm.ig))</f>
        <v>Upper middle income</v>
      </c>
      <c r="H381" s="4">
        <f>Clean_Data[[#This Row],[Exports_TIV]] - Clean_Data[[#This Row],[Imports_TIV]]</f>
        <v>-5000000</v>
      </c>
      <c r="I381" s="4">
        <f>Clean_Data[[#This Row],[Exports_TIV]] + Clean_Data[[#This Row],[Imports_TIV]]</f>
        <v>5000000</v>
      </c>
    </row>
    <row r="382" spans="1:9">
      <c r="A382" s="4" t="s">
        <v>133</v>
      </c>
      <c r="B382" s="4" t="s">
        <v>134</v>
      </c>
      <c r="C382" s="5">
        <v>2022</v>
      </c>
      <c r="D382" s="4">
        <v>0</v>
      </c>
      <c r="E382" s="4">
        <v>11082000000</v>
      </c>
      <c r="F382" s="4" t="str">
        <f>_xlfn.LET(_xlpm.r, _xlfn.XLOOKUP(Clean_Data[[#This Row],[Country_Code]], Metadata_Country!$A:$A, Metadata_Country!$B:$B, "Unknown"), IF(OR(_xlpm.r=0, _xlpm.r=""), "Regional Aggregate", _xlpm.r))</f>
        <v>Regional Aggregate</v>
      </c>
      <c r="G382" s="4" t="str">
        <f>_xlfn.LET(_xlpm.ig, _xlfn.XLOOKUP(Clean_Data[[#This Row],[Country_Code]], Metadata_Country!$A:$A, Metadata_Country!$C:$C, "Unknown"), IF(OR(_xlpm.ig=0, _xlpm.ig=""), "Regional Aggregate", _xlpm.ig))</f>
        <v>Regional Aggregate</v>
      </c>
      <c r="H382" s="4">
        <f>Clean_Data[[#This Row],[Exports_TIV]] - Clean_Data[[#This Row],[Imports_TIV]]</f>
        <v>-11082000000</v>
      </c>
      <c r="I382" s="4">
        <f>Clean_Data[[#This Row],[Exports_TIV]] + Clean_Data[[#This Row],[Imports_TIV]]</f>
        <v>11082000000</v>
      </c>
    </row>
    <row r="383" spans="1:9">
      <c r="A383" s="4" t="s">
        <v>135</v>
      </c>
      <c r="B383" s="4" t="s">
        <v>136</v>
      </c>
      <c r="C383" s="5">
        <v>2022</v>
      </c>
      <c r="D383" s="4">
        <v>0</v>
      </c>
      <c r="E383" s="4">
        <v>5264000000</v>
      </c>
      <c r="F383" s="4" t="str">
        <f>_xlfn.LET(_xlpm.r, _xlfn.XLOOKUP(Clean_Data[[#This Row],[Country_Code]], Metadata_Country!$A:$A, Metadata_Country!$B:$B, "Unknown"), IF(OR(_xlpm.r=0, _xlpm.r=""), "Regional Aggregate", _xlpm.r))</f>
        <v>Regional Aggregate</v>
      </c>
      <c r="G383" s="4" t="str">
        <f>_xlfn.LET(_xlpm.ig, _xlfn.XLOOKUP(Clean_Data[[#This Row],[Country_Code]], Metadata_Country!$A:$A, Metadata_Country!$C:$C, "Unknown"), IF(OR(_xlpm.ig=0, _xlpm.ig=""), "Regional Aggregate", _xlpm.ig))</f>
        <v>Regional Aggregate</v>
      </c>
      <c r="H383" s="4">
        <f>Clean_Data[[#This Row],[Exports_TIV]] - Clean_Data[[#This Row],[Imports_TIV]]</f>
        <v>-5264000000</v>
      </c>
      <c r="I383" s="4">
        <f>Clean_Data[[#This Row],[Exports_TIV]] + Clean_Data[[#This Row],[Imports_TIV]]</f>
        <v>5264000000</v>
      </c>
    </row>
    <row r="384" spans="1:9">
      <c r="A384" s="4" t="s">
        <v>131</v>
      </c>
      <c r="B384" s="4" t="s">
        <v>132</v>
      </c>
      <c r="C384" s="5">
        <v>2022</v>
      </c>
      <c r="D384" s="4">
        <v>2323000000</v>
      </c>
      <c r="E384" s="4">
        <v>1717000000</v>
      </c>
      <c r="F384" s="4" t="str">
        <f>_xlfn.LET(_xlpm.r, _xlfn.XLOOKUP(Clean_Data[[#This Row],[Country_Code]], Metadata_Country!$A:$A, Metadata_Country!$B:$B, "Unknown"), IF(OR(_xlpm.r=0, _xlpm.r=""), "Regional Aggregate", _xlpm.r))</f>
        <v>Regional Aggregate</v>
      </c>
      <c r="G384" s="4" t="str">
        <f>_xlfn.LET(_xlpm.ig, _xlfn.XLOOKUP(Clean_Data[[#This Row],[Country_Code]], Metadata_Country!$A:$A, Metadata_Country!$C:$C, "Unknown"), IF(OR(_xlpm.ig=0, _xlpm.ig=""), "Regional Aggregate", _xlpm.ig))</f>
        <v>Regional Aggregate</v>
      </c>
      <c r="H384" s="4">
        <f>Clean_Data[[#This Row],[Exports_TIV]] - Clean_Data[[#This Row],[Imports_TIV]]</f>
        <v>606000000</v>
      </c>
      <c r="I384" s="4">
        <f>Clean_Data[[#This Row],[Exports_TIV]] + Clean_Data[[#This Row],[Imports_TIV]]</f>
        <v>4040000000</v>
      </c>
    </row>
    <row r="385" spans="1:9">
      <c r="A385" s="4" t="s">
        <v>469</v>
      </c>
      <c r="B385" s="4" t="s">
        <v>470</v>
      </c>
      <c r="C385" s="5">
        <v>2022</v>
      </c>
      <c r="D385" s="4">
        <v>2323000000</v>
      </c>
      <c r="E385" s="4">
        <v>1717000000</v>
      </c>
      <c r="F385" s="4" t="str">
        <f>_xlfn.LET(_xlpm.r, _xlfn.XLOOKUP(Clean_Data[[#This Row],[Country_Code]], Metadata_Country!$A:$A, Metadata_Country!$B:$B, "Unknown"), IF(OR(_xlpm.r=0, _xlpm.r=""), "Regional Aggregate", _xlpm.r))</f>
        <v>Regional Aggregate</v>
      </c>
      <c r="G385" s="4" t="str">
        <f>_xlfn.LET(_xlpm.ig, _xlfn.XLOOKUP(Clean_Data[[#This Row],[Country_Code]], Metadata_Country!$A:$A, Metadata_Country!$C:$C, "Unknown"), IF(OR(_xlpm.ig=0, _xlpm.ig=""), "Regional Aggregate", _xlpm.ig))</f>
        <v>Regional Aggregate</v>
      </c>
      <c r="H385" s="4">
        <f>Clean_Data[[#This Row],[Exports_TIV]] - Clean_Data[[#This Row],[Imports_TIV]]</f>
        <v>606000000</v>
      </c>
      <c r="I385" s="4">
        <f>Clean_Data[[#This Row],[Exports_TIV]] + Clean_Data[[#This Row],[Imports_TIV]]</f>
        <v>4040000000</v>
      </c>
    </row>
    <row r="386" spans="1:9">
      <c r="A386" s="4" t="s">
        <v>141</v>
      </c>
      <c r="B386" s="4" t="s">
        <v>142</v>
      </c>
      <c r="C386" s="5">
        <v>2022</v>
      </c>
      <c r="D386" s="4">
        <v>0</v>
      </c>
      <c r="E386" s="4">
        <v>9000000</v>
      </c>
      <c r="F386" s="4" t="str">
        <f>_xlfn.LET(_xlpm.r, _xlfn.XLOOKUP(Clean_Data[[#This Row],[Country_Code]], Metadata_Country!$A:$A, Metadata_Country!$B:$B, "Unknown"), IF(OR(_xlpm.r=0, _xlpm.r=""), "Regional Aggregate", _xlpm.r))</f>
        <v>Latin America &amp; Caribbean</v>
      </c>
      <c r="G386" s="4" t="str">
        <f>_xlfn.LET(_xlpm.ig, _xlfn.XLOOKUP(Clean_Data[[#This Row],[Country_Code]], Metadata_Country!$A:$A, Metadata_Country!$C:$C, "Unknown"), IF(OR(_xlpm.ig=0, _xlpm.ig=""), "Regional Aggregate", _xlpm.ig))</f>
        <v>Upper middle income</v>
      </c>
      <c r="H386" s="4">
        <f>Clean_Data[[#This Row],[Exports_TIV]] - Clean_Data[[#This Row],[Imports_TIV]]</f>
        <v>-9000000</v>
      </c>
      <c r="I386" s="4">
        <f>Clean_Data[[#This Row],[Exports_TIV]] + Clean_Data[[#This Row],[Imports_TIV]]</f>
        <v>9000000</v>
      </c>
    </row>
    <row r="387" spans="1:9">
      <c r="A387" s="4" t="s">
        <v>143</v>
      </c>
      <c r="B387" s="4" t="s">
        <v>144</v>
      </c>
      <c r="C387" s="5">
        <v>2022</v>
      </c>
      <c r="D387" s="4">
        <v>41000000</v>
      </c>
      <c r="E387" s="4">
        <v>742000000</v>
      </c>
      <c r="F387" s="4" t="str">
        <f>_xlfn.LET(_xlpm.r, _xlfn.XLOOKUP(Clean_Data[[#This Row],[Country_Code]], Metadata_Country!$A:$A, Metadata_Country!$B:$B, "Unknown"), IF(OR(_xlpm.r=0, _xlpm.r=""), "Regional Aggregate", _xlpm.r))</f>
        <v>Middle East &amp; North Africa</v>
      </c>
      <c r="G387" s="4" t="str">
        <f>_xlfn.LET(_xlpm.ig, _xlfn.XLOOKUP(Clean_Data[[#This Row],[Country_Code]], Metadata_Country!$A:$A, Metadata_Country!$C:$C, "Unknown"), IF(OR(_xlpm.ig=0, _xlpm.ig=""), "Regional Aggregate", _xlpm.ig))</f>
        <v>Lower middle income</v>
      </c>
      <c r="H387" s="4">
        <f>Clean_Data[[#This Row],[Exports_TIV]] - Clean_Data[[#This Row],[Imports_TIV]]</f>
        <v>-701000000</v>
      </c>
      <c r="I387" s="4">
        <f>Clean_Data[[#This Row],[Exports_TIV]] + Clean_Data[[#This Row],[Imports_TIV]]</f>
        <v>783000000</v>
      </c>
    </row>
    <row r="388" spans="1:9">
      <c r="A388" s="4" t="s">
        <v>431</v>
      </c>
      <c r="B388" s="4" t="s">
        <v>432</v>
      </c>
      <c r="C388" s="5">
        <v>2022</v>
      </c>
      <c r="D388" s="4">
        <v>0</v>
      </c>
      <c r="E388" s="4">
        <v>7000000</v>
      </c>
      <c r="F388" s="4" t="str">
        <f>_xlfn.LET(_xlpm.r, _xlfn.XLOOKUP(Clean_Data[[#This Row],[Country_Code]], Metadata_Country!$A:$A, Metadata_Country!$B:$B, "Unknown"), IF(OR(_xlpm.r=0, _xlpm.r=""), "Regional Aggregate", _xlpm.r))</f>
        <v>Latin America &amp; Caribbean</v>
      </c>
      <c r="G388" s="4" t="str">
        <f>_xlfn.LET(_xlpm.ig, _xlfn.XLOOKUP(Clean_Data[[#This Row],[Country_Code]], Metadata_Country!$A:$A, Metadata_Country!$C:$C, "Unknown"), IF(OR(_xlpm.ig=0, _xlpm.ig=""), "Regional Aggregate", _xlpm.ig))</f>
        <v>Upper middle income</v>
      </c>
      <c r="H388" s="4">
        <f>Clean_Data[[#This Row],[Exports_TIV]] - Clean_Data[[#This Row],[Imports_TIV]]</f>
        <v>-7000000</v>
      </c>
      <c r="I388" s="4">
        <f>Clean_Data[[#This Row],[Exports_TIV]] + Clean_Data[[#This Row],[Imports_TIV]]</f>
        <v>7000000</v>
      </c>
    </row>
    <row r="389" spans="1:9">
      <c r="A389" s="4" t="s">
        <v>151</v>
      </c>
      <c r="B389" s="4" t="s">
        <v>152</v>
      </c>
      <c r="C389" s="5">
        <v>2022</v>
      </c>
      <c r="D389" s="4">
        <v>9000000</v>
      </c>
      <c r="E389" s="4">
        <v>15000000</v>
      </c>
      <c r="F389" s="4" t="str">
        <f>_xlfn.LET(_xlpm.r, _xlfn.XLOOKUP(Clean_Data[[#This Row],[Country_Code]], Metadata_Country!$A:$A, Metadata_Country!$B:$B, "Unknown"), IF(OR(_xlpm.r=0, _xlpm.r=""), "Regional Aggregate", _xlpm.r))</f>
        <v>Europe &amp; Central Asia</v>
      </c>
      <c r="G389" s="4" t="str">
        <f>_xlfn.LET(_xlpm.ig, _xlfn.XLOOKUP(Clean_Data[[#This Row],[Country_Code]], Metadata_Country!$A:$A, Metadata_Country!$C:$C, "Unknown"), IF(OR(_xlpm.ig=0, _xlpm.ig=""), "Regional Aggregate", _xlpm.ig))</f>
        <v>High income</v>
      </c>
      <c r="H389" s="4">
        <f>Clean_Data[[#This Row],[Exports_TIV]] - Clean_Data[[#This Row],[Imports_TIV]]</f>
        <v>-6000000</v>
      </c>
      <c r="I389" s="4">
        <f>Clean_Data[[#This Row],[Exports_TIV]] + Clean_Data[[#This Row],[Imports_TIV]]</f>
        <v>24000000</v>
      </c>
    </row>
    <row r="390" spans="1:9">
      <c r="A390" s="4" t="s">
        <v>153</v>
      </c>
      <c r="B390" s="4" t="s">
        <v>154</v>
      </c>
      <c r="C390" s="5">
        <v>2022</v>
      </c>
      <c r="D390" s="4">
        <v>0</v>
      </c>
      <c r="E390" s="4">
        <v>45000000</v>
      </c>
      <c r="F390" s="4" t="str">
        <f>_xlfn.LET(_xlpm.r, _xlfn.XLOOKUP(Clean_Data[[#This Row],[Country_Code]], Metadata_Country!$A:$A, Metadata_Country!$B:$B, "Unknown"), IF(OR(_xlpm.r=0, _xlpm.r=""), "Regional Aggregate", _xlpm.r))</f>
        <v>Sub-Saharan Africa</v>
      </c>
      <c r="G390" s="4" t="str">
        <f>_xlfn.LET(_xlpm.ig, _xlfn.XLOOKUP(Clean_Data[[#This Row],[Country_Code]], Metadata_Country!$A:$A, Metadata_Country!$C:$C, "Unknown"), IF(OR(_xlpm.ig=0, _xlpm.ig=""), "Regional Aggregate", _xlpm.ig))</f>
        <v>Low income</v>
      </c>
      <c r="H390" s="4">
        <f>Clean_Data[[#This Row],[Exports_TIV]] - Clean_Data[[#This Row],[Imports_TIV]]</f>
        <v>-45000000</v>
      </c>
      <c r="I390" s="4">
        <f>Clean_Data[[#This Row],[Exports_TIV]] + Clean_Data[[#This Row],[Imports_TIV]]</f>
        <v>45000000</v>
      </c>
    </row>
    <row r="391" spans="1:9">
      <c r="A391" s="4" t="s">
        <v>145</v>
      </c>
      <c r="B391" s="4" t="s">
        <v>146</v>
      </c>
      <c r="C391" s="5">
        <v>2022</v>
      </c>
      <c r="D391" s="4">
        <v>8135000000</v>
      </c>
      <c r="E391" s="4">
        <v>2347000000</v>
      </c>
      <c r="F391" s="4" t="str">
        <f>_xlfn.LET(_xlpm.r, _xlfn.XLOOKUP(Clean_Data[[#This Row],[Country_Code]], Metadata_Country!$A:$A, Metadata_Country!$B:$B, "Unknown"), IF(OR(_xlpm.r=0, _xlpm.r=""), "Regional Aggregate", _xlpm.r))</f>
        <v>Regional Aggregate</v>
      </c>
      <c r="G391" s="4" t="str">
        <f>_xlfn.LET(_xlpm.ig, _xlfn.XLOOKUP(Clean_Data[[#This Row],[Country_Code]], Metadata_Country!$A:$A, Metadata_Country!$C:$C, "Unknown"), IF(OR(_xlpm.ig=0, _xlpm.ig=""), "Regional Aggregate", _xlpm.ig))</f>
        <v>Regional Aggregate</v>
      </c>
      <c r="H391" s="4">
        <f>Clean_Data[[#This Row],[Exports_TIV]] - Clean_Data[[#This Row],[Imports_TIV]]</f>
        <v>5788000000</v>
      </c>
      <c r="I391" s="4">
        <f>Clean_Data[[#This Row],[Exports_TIV]] + Clean_Data[[#This Row],[Imports_TIV]]</f>
        <v>10482000000</v>
      </c>
    </row>
    <row r="392" spans="1:9">
      <c r="A392" s="4" t="s">
        <v>139</v>
      </c>
      <c r="B392" s="4" t="s">
        <v>140</v>
      </c>
      <c r="C392" s="5">
        <v>2022</v>
      </c>
      <c r="D392" s="4">
        <v>14609000000</v>
      </c>
      <c r="E392" s="4">
        <v>9008000000</v>
      </c>
      <c r="F392" s="4" t="str">
        <f>_xlfn.LET(_xlpm.r, _xlfn.XLOOKUP(Clean_Data[[#This Row],[Country_Code]], Metadata_Country!$A:$A, Metadata_Country!$B:$B, "Unknown"), IF(OR(_xlpm.r=0, _xlpm.r=""), "Regional Aggregate", _xlpm.r))</f>
        <v>Regional Aggregate</v>
      </c>
      <c r="G392" s="4" t="str">
        <f>_xlfn.LET(_xlpm.ig, _xlfn.XLOOKUP(Clean_Data[[#This Row],[Country_Code]], Metadata_Country!$A:$A, Metadata_Country!$C:$C, "Unknown"), IF(OR(_xlpm.ig=0, _xlpm.ig=""), "Regional Aggregate", _xlpm.ig))</f>
        <v>Regional Aggregate</v>
      </c>
      <c r="H392" s="4">
        <f>Clean_Data[[#This Row],[Exports_TIV]] - Clean_Data[[#This Row],[Imports_TIV]]</f>
        <v>5601000000</v>
      </c>
      <c r="I392" s="4">
        <f>Clean_Data[[#This Row],[Exports_TIV]] + Clean_Data[[#This Row],[Imports_TIV]]</f>
        <v>23617000000</v>
      </c>
    </row>
    <row r="393" spans="1:9">
      <c r="A393" s="4" t="s">
        <v>137</v>
      </c>
      <c r="B393" s="4" t="s">
        <v>138</v>
      </c>
      <c r="C393" s="5">
        <v>2022</v>
      </c>
      <c r="D393" s="4">
        <v>0</v>
      </c>
      <c r="E393" s="4">
        <v>3807000000</v>
      </c>
      <c r="F393" s="4" t="str">
        <f>_xlfn.LET(_xlpm.r, _xlfn.XLOOKUP(Clean_Data[[#This Row],[Country_Code]], Metadata_Country!$A:$A, Metadata_Country!$B:$B, "Unknown"), IF(OR(_xlpm.r=0, _xlpm.r=""), "Regional Aggregate", _xlpm.r))</f>
        <v>Regional Aggregate</v>
      </c>
      <c r="G393" s="4" t="str">
        <f>_xlfn.LET(_xlpm.ig, _xlfn.XLOOKUP(Clean_Data[[#This Row],[Country_Code]], Metadata_Country!$A:$A, Metadata_Country!$C:$C, "Unknown"), IF(OR(_xlpm.ig=0, _xlpm.ig=""), "Regional Aggregate", _xlpm.ig))</f>
        <v>Regional Aggregate</v>
      </c>
      <c r="H393" s="4">
        <f>Clean_Data[[#This Row],[Exports_TIV]] - Clean_Data[[#This Row],[Imports_TIV]]</f>
        <v>-3807000000</v>
      </c>
      <c r="I393" s="4">
        <f>Clean_Data[[#This Row],[Exports_TIV]] + Clean_Data[[#This Row],[Imports_TIV]]</f>
        <v>3807000000</v>
      </c>
    </row>
    <row r="394" spans="1:9">
      <c r="A394" s="4" t="s">
        <v>471</v>
      </c>
      <c r="B394" s="4" t="s">
        <v>472</v>
      </c>
      <c r="C394" s="5">
        <v>2022</v>
      </c>
      <c r="D394" s="4">
        <v>4137000000</v>
      </c>
      <c r="E394" s="4">
        <v>4478000000</v>
      </c>
      <c r="F394" s="4" t="str">
        <f>_xlfn.LET(_xlpm.r, _xlfn.XLOOKUP(Clean_Data[[#This Row],[Country_Code]], Metadata_Country!$A:$A, Metadata_Country!$B:$B, "Unknown"), IF(OR(_xlpm.r=0, _xlpm.r=""), "Regional Aggregate", _xlpm.r))</f>
        <v>Regional Aggregate</v>
      </c>
      <c r="G394" s="4" t="str">
        <f>_xlfn.LET(_xlpm.ig, _xlfn.XLOOKUP(Clean_Data[[#This Row],[Country_Code]], Metadata_Country!$A:$A, Metadata_Country!$C:$C, "Unknown"), IF(OR(_xlpm.ig=0, _xlpm.ig=""), "Regional Aggregate", _xlpm.ig))</f>
        <v>Regional Aggregate</v>
      </c>
      <c r="H394" s="4">
        <f>Clean_Data[[#This Row],[Exports_TIV]] - Clean_Data[[#This Row],[Imports_TIV]]</f>
        <v>-341000000</v>
      </c>
      <c r="I394" s="4">
        <f>Clean_Data[[#This Row],[Exports_TIV]] + Clean_Data[[#This Row],[Imports_TIV]]</f>
        <v>8615000000</v>
      </c>
    </row>
    <row r="395" spans="1:9">
      <c r="A395" s="4" t="s">
        <v>155</v>
      </c>
      <c r="B395" s="4" t="s">
        <v>156</v>
      </c>
      <c r="C395" s="5">
        <v>2022</v>
      </c>
      <c r="D395" s="4">
        <v>9177000000</v>
      </c>
      <c r="E395" s="4">
        <v>3588000000</v>
      </c>
      <c r="F395" s="4" t="str">
        <f>_xlfn.LET(_xlpm.r, _xlfn.XLOOKUP(Clean_Data[[#This Row],[Country_Code]], Metadata_Country!$A:$A, Metadata_Country!$B:$B, "Unknown"), IF(OR(_xlpm.r=0, _xlpm.r=""), "Regional Aggregate", _xlpm.r))</f>
        <v>Regional Aggregate</v>
      </c>
      <c r="G395" s="4" t="str">
        <f>_xlfn.LET(_xlpm.ig, _xlfn.XLOOKUP(Clean_Data[[#This Row],[Country_Code]], Metadata_Country!$A:$A, Metadata_Country!$C:$C, "Unknown"), IF(OR(_xlpm.ig=0, _xlpm.ig=""), "Regional Aggregate", _xlpm.ig))</f>
        <v>Regional Aggregate</v>
      </c>
      <c r="H395" s="4">
        <f>Clean_Data[[#This Row],[Exports_TIV]] - Clean_Data[[#This Row],[Imports_TIV]]</f>
        <v>5589000000</v>
      </c>
      <c r="I395" s="4">
        <f>Clean_Data[[#This Row],[Exports_TIV]] + Clean_Data[[#This Row],[Imports_TIV]]</f>
        <v>12765000000</v>
      </c>
    </row>
    <row r="396" spans="1:9">
      <c r="A396" s="4" t="s">
        <v>159</v>
      </c>
      <c r="B396" s="4" t="s">
        <v>160</v>
      </c>
      <c r="C396" s="5">
        <v>2022</v>
      </c>
      <c r="D396" s="4">
        <v>42000000</v>
      </c>
      <c r="E396" s="4">
        <v>12000000</v>
      </c>
      <c r="F396" s="4" t="str">
        <f>_xlfn.LET(_xlpm.r, _xlfn.XLOOKUP(Clean_Data[[#This Row],[Country_Code]], Metadata_Country!$A:$A, Metadata_Country!$B:$B, "Unknown"), IF(OR(_xlpm.r=0, _xlpm.r=""), "Regional Aggregate", _xlpm.r))</f>
        <v>Europe &amp; Central Asia</v>
      </c>
      <c r="G396" s="4" t="str">
        <f>_xlfn.LET(_xlpm.ig, _xlfn.XLOOKUP(Clean_Data[[#This Row],[Country_Code]], Metadata_Country!$A:$A, Metadata_Country!$C:$C, "Unknown"), IF(OR(_xlpm.ig=0, _xlpm.ig=""), "Regional Aggregate", _xlpm.ig))</f>
        <v>High income</v>
      </c>
      <c r="H396" s="4">
        <f>Clean_Data[[#This Row],[Exports_TIV]] - Clean_Data[[#This Row],[Imports_TIV]]</f>
        <v>30000000</v>
      </c>
      <c r="I396" s="4">
        <f>Clean_Data[[#This Row],[Exports_TIV]] + Clean_Data[[#This Row],[Imports_TIV]]</f>
        <v>54000000</v>
      </c>
    </row>
    <row r="397" spans="1:9">
      <c r="A397" s="4" t="s">
        <v>157</v>
      </c>
      <c r="B397" s="4" t="s">
        <v>158</v>
      </c>
      <c r="C397" s="5">
        <v>2022</v>
      </c>
      <c r="D397" s="4">
        <v>0</v>
      </c>
      <c r="E397" s="4">
        <v>3510000000</v>
      </c>
      <c r="F397" s="4" t="str">
        <f>_xlfn.LET(_xlpm.r, _xlfn.XLOOKUP(Clean_Data[[#This Row],[Country_Code]], Metadata_Country!$A:$A, Metadata_Country!$B:$B, "Unknown"), IF(OR(_xlpm.r=0, _xlpm.r=""), "Regional Aggregate", _xlpm.r))</f>
        <v>Regional Aggregate</v>
      </c>
      <c r="G397" s="4" t="str">
        <f>_xlfn.LET(_xlpm.ig, _xlfn.XLOOKUP(Clean_Data[[#This Row],[Country_Code]], Metadata_Country!$A:$A, Metadata_Country!$C:$C, "Unknown"), IF(OR(_xlpm.ig=0, _xlpm.ig=""), "Regional Aggregate", _xlpm.ig))</f>
        <v>Regional Aggregate</v>
      </c>
      <c r="H397" s="4">
        <f>Clean_Data[[#This Row],[Exports_TIV]] - Clean_Data[[#This Row],[Imports_TIV]]</f>
        <v>-3510000000</v>
      </c>
      <c r="I397" s="4">
        <f>Clean_Data[[#This Row],[Exports_TIV]] + Clean_Data[[#This Row],[Imports_TIV]]</f>
        <v>3510000000</v>
      </c>
    </row>
    <row r="398" spans="1:9">
      <c r="A398" s="4" t="s">
        <v>163</v>
      </c>
      <c r="B398" s="4" t="s">
        <v>164</v>
      </c>
      <c r="C398" s="5">
        <v>2022</v>
      </c>
      <c r="D398" s="4">
        <v>3156000000</v>
      </c>
      <c r="E398" s="4">
        <v>130000000</v>
      </c>
      <c r="F398" s="4" t="str">
        <f>_xlfn.LET(_xlpm.r, _xlfn.XLOOKUP(Clean_Data[[#This Row],[Country_Code]], Metadata_Country!$A:$A, Metadata_Country!$B:$B, "Unknown"), IF(OR(_xlpm.r=0, _xlpm.r=""), "Regional Aggregate", _xlpm.r))</f>
        <v>Europe &amp; Central Asia</v>
      </c>
      <c r="G398" s="4" t="str">
        <f>_xlfn.LET(_xlpm.ig, _xlfn.XLOOKUP(Clean_Data[[#This Row],[Country_Code]], Metadata_Country!$A:$A, Metadata_Country!$C:$C, "Unknown"), IF(OR(_xlpm.ig=0, _xlpm.ig=""), "Regional Aggregate", _xlpm.ig))</f>
        <v>High income</v>
      </c>
      <c r="H398" s="4">
        <f>Clean_Data[[#This Row],[Exports_TIV]] - Clean_Data[[#This Row],[Imports_TIV]]</f>
        <v>3026000000</v>
      </c>
      <c r="I398" s="4">
        <f>Clean_Data[[#This Row],[Exports_TIV]] + Clean_Data[[#This Row],[Imports_TIV]]</f>
        <v>3286000000</v>
      </c>
    </row>
    <row r="399" spans="1:9">
      <c r="A399" s="4" t="s">
        <v>181</v>
      </c>
      <c r="B399" s="4" t="s">
        <v>182</v>
      </c>
      <c r="C399" s="5">
        <v>2022</v>
      </c>
      <c r="D399" s="4">
        <v>0</v>
      </c>
      <c r="E399" s="4">
        <v>1000000</v>
      </c>
      <c r="F399" s="4" t="str">
        <f>_xlfn.LET(_xlpm.r, _xlfn.XLOOKUP(Clean_Data[[#This Row],[Country_Code]], Metadata_Country!$A:$A, Metadata_Country!$B:$B, "Unknown"), IF(OR(_xlpm.r=0, _xlpm.r=""), "Regional Aggregate", _xlpm.r))</f>
        <v>Sub-Saharan Africa</v>
      </c>
      <c r="G399" s="4" t="str">
        <f>_xlfn.LET(_xlpm.ig, _xlfn.XLOOKUP(Clean_Data[[#This Row],[Country_Code]], Metadata_Country!$A:$A, Metadata_Country!$C:$C, "Unknown"), IF(OR(_xlpm.ig=0, _xlpm.ig=""), "Regional Aggregate", _xlpm.ig))</f>
        <v>Low income</v>
      </c>
      <c r="H399" s="4">
        <f>Clean_Data[[#This Row],[Exports_TIV]] - Clean_Data[[#This Row],[Imports_TIV]]</f>
        <v>-1000000</v>
      </c>
      <c r="I399" s="4">
        <f>Clean_Data[[#This Row],[Exports_TIV]] + Clean_Data[[#This Row],[Imports_TIV]]</f>
        <v>1000000</v>
      </c>
    </row>
    <row r="400" spans="1:9">
      <c r="A400" s="4" t="s">
        <v>173</v>
      </c>
      <c r="B400" s="4" t="s">
        <v>174</v>
      </c>
      <c r="C400" s="5">
        <v>2022</v>
      </c>
      <c r="D400" s="4">
        <v>0</v>
      </c>
      <c r="E400" s="4">
        <v>2000000</v>
      </c>
      <c r="F400" s="4" t="str">
        <f>_xlfn.LET(_xlpm.r, _xlfn.XLOOKUP(Clean_Data[[#This Row],[Country_Code]], Metadata_Country!$A:$A, Metadata_Country!$B:$B, "Unknown"), IF(OR(_xlpm.r=0, _xlpm.r=""), "Regional Aggregate", _xlpm.r))</f>
        <v>Europe &amp; Central Asia</v>
      </c>
      <c r="G400" s="4" t="str">
        <f>_xlfn.LET(_xlpm.ig, _xlfn.XLOOKUP(Clean_Data[[#This Row],[Country_Code]], Metadata_Country!$A:$A, Metadata_Country!$C:$C, "Unknown"), IF(OR(_xlpm.ig=0, _xlpm.ig=""), "Regional Aggregate", _xlpm.ig))</f>
        <v>Upper middle income</v>
      </c>
      <c r="H400" s="4">
        <f>Clean_Data[[#This Row],[Exports_TIV]] - Clean_Data[[#This Row],[Imports_TIV]]</f>
        <v>-2000000</v>
      </c>
      <c r="I400" s="4">
        <f>Clean_Data[[#This Row],[Exports_TIV]] + Clean_Data[[#This Row],[Imports_TIV]]</f>
        <v>2000000</v>
      </c>
    </row>
    <row r="401" spans="1:9">
      <c r="A401" s="4" t="s">
        <v>119</v>
      </c>
      <c r="B401" s="4" t="s">
        <v>120</v>
      </c>
      <c r="C401" s="5">
        <v>2022</v>
      </c>
      <c r="D401" s="4">
        <v>1508000000</v>
      </c>
      <c r="E401" s="4">
        <v>269000000</v>
      </c>
      <c r="F401" s="4" t="str">
        <f>_xlfn.LET(_xlpm.r, _xlfn.XLOOKUP(Clean_Data[[#This Row],[Country_Code]], Metadata_Country!$A:$A, Metadata_Country!$B:$B, "Unknown"), IF(OR(_xlpm.r=0, _xlpm.r=""), "Regional Aggregate", _xlpm.r))</f>
        <v>Europe &amp; Central Asia</v>
      </c>
      <c r="G401" s="4" t="str">
        <f>_xlfn.LET(_xlpm.ig, _xlfn.XLOOKUP(Clean_Data[[#This Row],[Country_Code]], Metadata_Country!$A:$A, Metadata_Country!$C:$C, "Unknown"), IF(OR(_xlpm.ig=0, _xlpm.ig=""), "Regional Aggregate", _xlpm.ig))</f>
        <v>High income</v>
      </c>
      <c r="H401" s="4">
        <f>Clean_Data[[#This Row],[Exports_TIV]] - Clean_Data[[#This Row],[Imports_TIV]]</f>
        <v>1239000000</v>
      </c>
      <c r="I401" s="4">
        <f>Clean_Data[[#This Row],[Exports_TIV]] + Clean_Data[[#This Row],[Imports_TIV]]</f>
        <v>1777000000</v>
      </c>
    </row>
    <row r="402" spans="1:9">
      <c r="A402" s="4" t="s">
        <v>175</v>
      </c>
      <c r="B402" s="4" t="s">
        <v>176</v>
      </c>
      <c r="C402" s="5">
        <v>2022</v>
      </c>
      <c r="D402" s="4">
        <v>0</v>
      </c>
      <c r="E402" s="4">
        <v>40000000</v>
      </c>
      <c r="F402" s="4" t="str">
        <f>_xlfn.LET(_xlpm.r, _xlfn.XLOOKUP(Clean_Data[[#This Row],[Country_Code]], Metadata_Country!$A:$A, Metadata_Country!$B:$B, "Unknown"), IF(OR(_xlpm.r=0, _xlpm.r=""), "Regional Aggregate", _xlpm.r))</f>
        <v>Sub-Saharan Africa</v>
      </c>
      <c r="G402" s="4" t="str">
        <f>_xlfn.LET(_xlpm.ig, _xlfn.XLOOKUP(Clean_Data[[#This Row],[Country_Code]], Metadata_Country!$A:$A, Metadata_Country!$C:$C, "Unknown"), IF(OR(_xlpm.ig=0, _xlpm.ig=""), "Regional Aggregate", _xlpm.ig))</f>
        <v>Lower middle income</v>
      </c>
      <c r="H402" s="4">
        <f>Clean_Data[[#This Row],[Exports_TIV]] - Clean_Data[[#This Row],[Imports_TIV]]</f>
        <v>-40000000</v>
      </c>
      <c r="I402" s="4">
        <f>Clean_Data[[#This Row],[Exports_TIV]] + Clean_Data[[#This Row],[Imports_TIV]]</f>
        <v>40000000</v>
      </c>
    </row>
    <row r="403" spans="1:9">
      <c r="A403" s="4" t="s">
        <v>187</v>
      </c>
      <c r="B403" s="4" t="s">
        <v>188</v>
      </c>
      <c r="C403" s="5">
        <v>2022</v>
      </c>
      <c r="D403" s="4">
        <v>7000000</v>
      </c>
      <c r="E403" s="4">
        <v>441000000</v>
      </c>
      <c r="F403" s="4" t="str">
        <f>_xlfn.LET(_xlpm.r, _xlfn.XLOOKUP(Clean_Data[[#This Row],[Country_Code]], Metadata_Country!$A:$A, Metadata_Country!$B:$B, "Unknown"), IF(OR(_xlpm.r=0, _xlpm.r=""), "Regional Aggregate", _xlpm.r))</f>
        <v>Europe &amp; Central Asia</v>
      </c>
      <c r="G403" s="4" t="str">
        <f>_xlfn.LET(_xlpm.ig, _xlfn.XLOOKUP(Clean_Data[[#This Row],[Country_Code]], Metadata_Country!$A:$A, Metadata_Country!$C:$C, "Unknown"), IF(OR(_xlpm.ig=0, _xlpm.ig=""), "Regional Aggregate", _xlpm.ig))</f>
        <v>High income</v>
      </c>
      <c r="H403" s="4">
        <f>Clean_Data[[#This Row],[Exports_TIV]] - Clean_Data[[#This Row],[Imports_TIV]]</f>
        <v>-434000000</v>
      </c>
      <c r="I403" s="4">
        <f>Clean_Data[[#This Row],[Exports_TIV]] + Clean_Data[[#This Row],[Imports_TIV]]</f>
        <v>448000000</v>
      </c>
    </row>
    <row r="404" spans="1:9">
      <c r="A404" s="4" t="s">
        <v>193</v>
      </c>
      <c r="B404" s="4" t="s">
        <v>194</v>
      </c>
      <c r="C404" s="5">
        <v>2022</v>
      </c>
      <c r="D404" s="4">
        <v>0</v>
      </c>
      <c r="E404" s="4">
        <v>10000000</v>
      </c>
      <c r="F404" s="4" t="str">
        <f>_xlfn.LET(_xlpm.r, _xlfn.XLOOKUP(Clean_Data[[#This Row],[Country_Code]], Metadata_Country!$A:$A, Metadata_Country!$B:$B, "Unknown"), IF(OR(_xlpm.r=0, _xlpm.r=""), "Regional Aggregate", _xlpm.r))</f>
        <v>Latin America &amp; Caribbean</v>
      </c>
      <c r="G404" s="4" t="str">
        <f>_xlfn.LET(_xlpm.ig, _xlfn.XLOOKUP(Clean_Data[[#This Row],[Country_Code]], Metadata_Country!$A:$A, Metadata_Country!$C:$C, "Unknown"), IF(OR(_xlpm.ig=0, _xlpm.ig=""), "Regional Aggregate", _xlpm.ig))</f>
        <v>Upper middle income</v>
      </c>
      <c r="H404" s="4">
        <f>Clean_Data[[#This Row],[Exports_TIV]] - Clean_Data[[#This Row],[Imports_TIV]]</f>
        <v>-10000000</v>
      </c>
      <c r="I404" s="4">
        <f>Clean_Data[[#This Row],[Exports_TIV]] + Clean_Data[[#This Row],[Imports_TIV]]</f>
        <v>10000000</v>
      </c>
    </row>
    <row r="405" spans="1:9">
      <c r="A405" s="4" t="s">
        <v>199</v>
      </c>
      <c r="B405" s="4" t="s">
        <v>200</v>
      </c>
      <c r="C405" s="5">
        <v>2022</v>
      </c>
      <c r="D405" s="4">
        <v>29811000000</v>
      </c>
      <c r="E405" s="4">
        <v>19835000000</v>
      </c>
      <c r="F405" s="4" t="str">
        <f>_xlfn.LET(_xlpm.r, _xlfn.XLOOKUP(Clean_Data[[#This Row],[Country_Code]], Metadata_Country!$A:$A, Metadata_Country!$B:$B, "Unknown"), IF(OR(_xlpm.r=0, _xlpm.r=""), "Regional Aggregate", _xlpm.r))</f>
        <v>Regional Aggregate</v>
      </c>
      <c r="G405" s="4" t="str">
        <f>_xlfn.LET(_xlpm.ig, _xlfn.XLOOKUP(Clean_Data[[#This Row],[Country_Code]], Metadata_Country!$A:$A, Metadata_Country!$C:$C, "Unknown"), IF(OR(_xlpm.ig=0, _xlpm.ig=""), "Regional Aggregate", _xlpm.ig))</f>
        <v>Regional Aggregate</v>
      </c>
      <c r="H405" s="4">
        <f>Clean_Data[[#This Row],[Exports_TIV]] - Clean_Data[[#This Row],[Imports_TIV]]</f>
        <v>9976000000</v>
      </c>
      <c r="I405" s="4">
        <f>Clean_Data[[#This Row],[Exports_TIV]] + Clean_Data[[#This Row],[Imports_TIV]]</f>
        <v>49646000000</v>
      </c>
    </row>
    <row r="406" spans="1:9">
      <c r="A406" s="4" t="s">
        <v>211</v>
      </c>
      <c r="B406" s="4" t="s">
        <v>212</v>
      </c>
      <c r="C406" s="5">
        <v>2022</v>
      </c>
      <c r="D406" s="4">
        <v>0</v>
      </c>
      <c r="E406" s="4">
        <v>40000000</v>
      </c>
      <c r="F406" s="4" t="str">
        <f>_xlfn.LET(_xlpm.r, _xlfn.XLOOKUP(Clean_Data[[#This Row],[Country_Code]], Metadata_Country!$A:$A, Metadata_Country!$B:$B, "Unknown"), IF(OR(_xlpm.r=0, _xlpm.r=""), "Regional Aggregate", _xlpm.r))</f>
        <v>Europe &amp; Central Asia</v>
      </c>
      <c r="G406" s="4" t="str">
        <f>_xlfn.LET(_xlpm.ig, _xlfn.XLOOKUP(Clean_Data[[#This Row],[Country_Code]], Metadata_Country!$A:$A, Metadata_Country!$C:$C, "Unknown"), IF(OR(_xlpm.ig=0, _xlpm.ig=""), "Regional Aggregate", _xlpm.ig))</f>
        <v>High income</v>
      </c>
      <c r="H406" s="4">
        <f>Clean_Data[[#This Row],[Exports_TIV]] - Clean_Data[[#This Row],[Imports_TIV]]</f>
        <v>-40000000</v>
      </c>
      <c r="I406" s="4">
        <f>Clean_Data[[#This Row],[Exports_TIV]] + Clean_Data[[#This Row],[Imports_TIV]]</f>
        <v>40000000</v>
      </c>
    </row>
    <row r="407" spans="1:9">
      <c r="A407" s="4" t="s">
        <v>213</v>
      </c>
      <c r="B407" s="4" t="s">
        <v>214</v>
      </c>
      <c r="C407" s="5">
        <v>2022</v>
      </c>
      <c r="D407" s="4">
        <v>6761000000</v>
      </c>
      <c r="E407" s="4">
        <v>11397000000</v>
      </c>
      <c r="F407" s="4" t="str">
        <f>_xlfn.LET(_xlpm.r, _xlfn.XLOOKUP(Clean_Data[[#This Row],[Country_Code]], Metadata_Country!$A:$A, Metadata_Country!$B:$B, "Unknown"), IF(OR(_xlpm.r=0, _xlpm.r=""), "Regional Aggregate", _xlpm.r))</f>
        <v>Regional Aggregate</v>
      </c>
      <c r="G407" s="4" t="str">
        <f>_xlfn.LET(_xlpm.ig, _xlfn.XLOOKUP(Clean_Data[[#This Row],[Country_Code]], Metadata_Country!$A:$A, Metadata_Country!$C:$C, "Unknown"), IF(OR(_xlpm.ig=0, _xlpm.ig=""), "Regional Aggregate", _xlpm.ig))</f>
        <v>Regional Aggregate</v>
      </c>
      <c r="H407" s="4">
        <f>Clean_Data[[#This Row],[Exports_TIV]] - Clean_Data[[#This Row],[Imports_TIV]]</f>
        <v>-4636000000</v>
      </c>
      <c r="I407" s="4">
        <f>Clean_Data[[#This Row],[Exports_TIV]] + Clean_Data[[#This Row],[Imports_TIV]]</f>
        <v>18158000000</v>
      </c>
    </row>
    <row r="408" spans="1:9">
      <c r="A408" s="4" t="s">
        <v>215</v>
      </c>
      <c r="B408" s="4" t="s">
        <v>216</v>
      </c>
      <c r="C408" s="5">
        <v>2022</v>
      </c>
      <c r="D408" s="4">
        <v>6766000000</v>
      </c>
      <c r="E408" s="4">
        <v>14086000000</v>
      </c>
      <c r="F408" s="4" t="str">
        <f>_xlfn.LET(_xlpm.r, _xlfn.XLOOKUP(Clean_Data[[#This Row],[Country_Code]], Metadata_Country!$A:$A, Metadata_Country!$B:$B, "Unknown"), IF(OR(_xlpm.r=0, _xlpm.r=""), "Regional Aggregate", _xlpm.r))</f>
        <v>Regional Aggregate</v>
      </c>
      <c r="G408" s="4" t="str">
        <f>_xlfn.LET(_xlpm.ig, _xlfn.XLOOKUP(Clean_Data[[#This Row],[Country_Code]], Metadata_Country!$A:$A, Metadata_Country!$C:$C, "Unknown"), IF(OR(_xlpm.ig=0, _xlpm.ig=""), "Regional Aggregate", _xlpm.ig))</f>
        <v>Regional Aggregate</v>
      </c>
      <c r="H408" s="4">
        <f>Clean_Data[[#This Row],[Exports_TIV]] - Clean_Data[[#This Row],[Imports_TIV]]</f>
        <v>-7320000000</v>
      </c>
      <c r="I408" s="4">
        <f>Clean_Data[[#This Row],[Exports_TIV]] + Clean_Data[[#This Row],[Imports_TIV]]</f>
        <v>20852000000</v>
      </c>
    </row>
    <row r="409" spans="1:9">
      <c r="A409" s="4" t="s">
        <v>219</v>
      </c>
      <c r="B409" s="4" t="s">
        <v>220</v>
      </c>
      <c r="C409" s="5">
        <v>2022</v>
      </c>
      <c r="D409" s="4">
        <v>0</v>
      </c>
      <c r="E409" s="4">
        <v>1629000000</v>
      </c>
      <c r="F409" s="4" t="str">
        <f>_xlfn.LET(_xlpm.r, _xlfn.XLOOKUP(Clean_Data[[#This Row],[Country_Code]], Metadata_Country!$A:$A, Metadata_Country!$B:$B, "Unknown"), IF(OR(_xlpm.r=0, _xlpm.r=""), "Regional Aggregate", _xlpm.r))</f>
        <v>Regional Aggregate</v>
      </c>
      <c r="G409" s="4" t="str">
        <f>_xlfn.LET(_xlpm.ig, _xlfn.XLOOKUP(Clean_Data[[#This Row],[Country_Code]], Metadata_Country!$A:$A, Metadata_Country!$C:$C, "Unknown"), IF(OR(_xlpm.ig=0, _xlpm.ig=""), "Regional Aggregate", _xlpm.ig))</f>
        <v>Regional Aggregate</v>
      </c>
      <c r="H409" s="4">
        <f>Clean_Data[[#This Row],[Exports_TIV]] - Clean_Data[[#This Row],[Imports_TIV]]</f>
        <v>-1629000000</v>
      </c>
      <c r="I409" s="4">
        <f>Clean_Data[[#This Row],[Exports_TIV]] + Clean_Data[[#This Row],[Imports_TIV]]</f>
        <v>1629000000</v>
      </c>
    </row>
    <row r="410" spans="1:9">
      <c r="A410" s="4" t="s">
        <v>223</v>
      </c>
      <c r="B410" s="4" t="s">
        <v>224</v>
      </c>
      <c r="C410" s="5">
        <v>2022</v>
      </c>
      <c r="D410" s="4">
        <v>0</v>
      </c>
      <c r="E410" s="4">
        <v>1060000000</v>
      </c>
      <c r="F410" s="4" t="str">
        <f>_xlfn.LET(_xlpm.r, _xlfn.XLOOKUP(Clean_Data[[#This Row],[Country_Code]], Metadata_Country!$A:$A, Metadata_Country!$B:$B, "Unknown"), IF(OR(_xlpm.r=0, _xlpm.r=""), "Regional Aggregate", _xlpm.r))</f>
        <v>Regional Aggregate</v>
      </c>
      <c r="G410" s="4" t="str">
        <f>_xlfn.LET(_xlpm.ig, _xlfn.XLOOKUP(Clean_Data[[#This Row],[Country_Code]], Metadata_Country!$A:$A, Metadata_Country!$C:$C, "Unknown"), IF(OR(_xlpm.ig=0, _xlpm.ig=""), "Regional Aggregate", _xlpm.ig))</f>
        <v>Regional Aggregate</v>
      </c>
      <c r="H410" s="4">
        <f>Clean_Data[[#This Row],[Exports_TIV]] - Clean_Data[[#This Row],[Imports_TIV]]</f>
        <v>-1060000000</v>
      </c>
      <c r="I410" s="4">
        <f>Clean_Data[[#This Row],[Exports_TIV]] + Clean_Data[[#This Row],[Imports_TIV]]</f>
        <v>1060000000</v>
      </c>
    </row>
    <row r="411" spans="1:9">
      <c r="A411" s="4" t="s">
        <v>217</v>
      </c>
      <c r="B411" s="4" t="s">
        <v>218</v>
      </c>
      <c r="C411" s="5">
        <v>2022</v>
      </c>
      <c r="D411" s="4">
        <v>0</v>
      </c>
      <c r="E411" s="4">
        <v>2689000000</v>
      </c>
      <c r="F411" s="4" t="str">
        <f>_xlfn.LET(_xlpm.r, _xlfn.XLOOKUP(Clean_Data[[#This Row],[Country_Code]], Metadata_Country!$A:$A, Metadata_Country!$B:$B, "Unknown"), IF(OR(_xlpm.r=0, _xlpm.r=""), "Regional Aggregate", _xlpm.r))</f>
        <v>Regional Aggregate</v>
      </c>
      <c r="G411" s="4" t="str">
        <f>_xlfn.LET(_xlpm.ig, _xlfn.XLOOKUP(Clean_Data[[#This Row],[Country_Code]], Metadata_Country!$A:$A, Metadata_Country!$C:$C, "Unknown"), IF(OR(_xlpm.ig=0, _xlpm.ig=""), "Regional Aggregate", _xlpm.ig))</f>
        <v>Regional Aggregate</v>
      </c>
      <c r="H411" s="4">
        <f>Clean_Data[[#This Row],[Exports_TIV]] - Clean_Data[[#This Row],[Imports_TIV]]</f>
        <v>-2689000000</v>
      </c>
      <c r="I411" s="4">
        <f>Clean_Data[[#This Row],[Exports_TIV]] + Clean_Data[[#This Row],[Imports_TIV]]</f>
        <v>2689000000</v>
      </c>
    </row>
    <row r="412" spans="1:9">
      <c r="A412" s="4" t="s">
        <v>227</v>
      </c>
      <c r="B412" s="4" t="s">
        <v>228</v>
      </c>
      <c r="C412" s="5">
        <v>2022</v>
      </c>
      <c r="D412" s="4">
        <v>7000000</v>
      </c>
      <c r="E412" s="4">
        <v>2701000000</v>
      </c>
      <c r="F412" s="4" t="str">
        <f>_xlfn.LET(_xlpm.r, _xlfn.XLOOKUP(Clean_Data[[#This Row],[Country_Code]], Metadata_Country!$A:$A, Metadata_Country!$B:$B, "Unknown"), IF(OR(_xlpm.r=0, _xlpm.r=""), "Regional Aggregate", _xlpm.r))</f>
        <v>South Asia</v>
      </c>
      <c r="G412" s="4" t="str">
        <f>_xlfn.LET(_xlpm.ig, _xlfn.XLOOKUP(Clean_Data[[#This Row],[Country_Code]], Metadata_Country!$A:$A, Metadata_Country!$C:$C, "Unknown"), IF(OR(_xlpm.ig=0, _xlpm.ig=""), "Regional Aggregate", _xlpm.ig))</f>
        <v>Lower middle income</v>
      </c>
      <c r="H412" s="4">
        <f>Clean_Data[[#This Row],[Exports_TIV]] - Clean_Data[[#This Row],[Imports_TIV]]</f>
        <v>-2694000000</v>
      </c>
      <c r="I412" s="4">
        <f>Clean_Data[[#This Row],[Exports_TIV]] + Clean_Data[[#This Row],[Imports_TIV]]</f>
        <v>2708000000</v>
      </c>
    </row>
    <row r="413" spans="1:9">
      <c r="A413" s="4" t="s">
        <v>221</v>
      </c>
      <c r="B413" s="4" t="s">
        <v>222</v>
      </c>
      <c r="C413" s="5">
        <v>2022</v>
      </c>
      <c r="D413" s="4">
        <v>0</v>
      </c>
      <c r="E413" s="4">
        <v>86000000</v>
      </c>
      <c r="F413" s="4" t="str">
        <f>_xlfn.LET(_xlpm.r, _xlfn.XLOOKUP(Clean_Data[[#This Row],[Country_Code]], Metadata_Country!$A:$A, Metadata_Country!$B:$B, "Unknown"), IF(OR(_xlpm.r=0, _xlpm.r=""), "Regional Aggregate", _xlpm.r))</f>
        <v>East Asia &amp; Pacific</v>
      </c>
      <c r="G413" s="4" t="str">
        <f>_xlfn.LET(_xlpm.ig, _xlfn.XLOOKUP(Clean_Data[[#This Row],[Country_Code]], Metadata_Country!$A:$A, Metadata_Country!$C:$C, "Unknown"), IF(OR(_xlpm.ig=0, _xlpm.ig=""), "Regional Aggregate", _xlpm.ig))</f>
        <v>Upper middle income</v>
      </c>
      <c r="H413" s="4">
        <f>Clean_Data[[#This Row],[Exports_TIV]] - Clean_Data[[#This Row],[Imports_TIV]]</f>
        <v>-86000000</v>
      </c>
      <c r="I413" s="4">
        <f>Clean_Data[[#This Row],[Exports_TIV]] + Clean_Data[[#This Row],[Imports_TIV]]</f>
        <v>86000000</v>
      </c>
    </row>
    <row r="414" spans="1:9">
      <c r="A414" s="4" t="s">
        <v>233</v>
      </c>
      <c r="B414" s="4" t="s">
        <v>234</v>
      </c>
      <c r="C414" s="5">
        <v>2022</v>
      </c>
      <c r="D414" s="4">
        <v>48000000</v>
      </c>
      <c r="E414" s="4">
        <v>0</v>
      </c>
      <c r="F414" s="4" t="str">
        <f>_xlfn.LET(_xlpm.r, _xlfn.XLOOKUP(Clean_Data[[#This Row],[Country_Code]], Metadata_Country!$A:$A, Metadata_Country!$B:$B, "Unknown"), IF(OR(_xlpm.r=0, _xlpm.r=""), "Regional Aggregate", _xlpm.r))</f>
        <v>Middle East &amp; North Africa</v>
      </c>
      <c r="G414" s="4" t="str">
        <f>_xlfn.LET(_xlpm.ig, _xlfn.XLOOKUP(Clean_Data[[#This Row],[Country_Code]], Metadata_Country!$A:$A, Metadata_Country!$C:$C, "Unknown"), IF(OR(_xlpm.ig=0, _xlpm.ig=""), "Regional Aggregate", _xlpm.ig))</f>
        <v>Upper middle income</v>
      </c>
      <c r="H414" s="4">
        <f>Clean_Data[[#This Row],[Exports_TIV]] - Clean_Data[[#This Row],[Imports_TIV]]</f>
        <v>48000000</v>
      </c>
      <c r="I414" s="4">
        <f>Clean_Data[[#This Row],[Exports_TIV]] + Clean_Data[[#This Row],[Imports_TIV]]</f>
        <v>48000000</v>
      </c>
    </row>
    <row r="415" spans="1:9">
      <c r="A415" s="4" t="s">
        <v>235</v>
      </c>
      <c r="B415" s="4" t="s">
        <v>236</v>
      </c>
      <c r="C415" s="5">
        <v>2022</v>
      </c>
      <c r="D415" s="4">
        <v>0</v>
      </c>
      <c r="E415" s="4">
        <v>55000000</v>
      </c>
      <c r="F415" s="4" t="str">
        <f>_xlfn.LET(_xlpm.r, _xlfn.XLOOKUP(Clean_Data[[#This Row],[Country_Code]], Metadata_Country!$A:$A, Metadata_Country!$B:$B, "Unknown"), IF(OR(_xlpm.r=0, _xlpm.r=""), "Regional Aggregate", _xlpm.r))</f>
        <v>Middle East &amp; North Africa</v>
      </c>
      <c r="G415" s="4" t="str">
        <f>_xlfn.LET(_xlpm.ig, _xlfn.XLOOKUP(Clean_Data[[#This Row],[Country_Code]], Metadata_Country!$A:$A, Metadata_Country!$C:$C, "Unknown"), IF(OR(_xlpm.ig=0, _xlpm.ig=""), "Regional Aggregate", _xlpm.ig))</f>
        <v>Upper middle income</v>
      </c>
      <c r="H415" s="4">
        <f>Clean_Data[[#This Row],[Exports_TIV]] - Clean_Data[[#This Row],[Imports_TIV]]</f>
        <v>-55000000</v>
      </c>
      <c r="I415" s="4">
        <f>Clean_Data[[#This Row],[Exports_TIV]] + Clean_Data[[#This Row],[Imports_TIV]]</f>
        <v>55000000</v>
      </c>
    </row>
    <row r="416" spans="1:9">
      <c r="A416" s="4" t="s">
        <v>231</v>
      </c>
      <c r="B416" s="4" t="s">
        <v>232</v>
      </c>
      <c r="C416" s="5">
        <v>2022</v>
      </c>
      <c r="D416" s="4">
        <v>46000000</v>
      </c>
      <c r="E416" s="4">
        <v>1000000</v>
      </c>
      <c r="F416" s="4" t="str">
        <f>_xlfn.LET(_xlpm.r, _xlfn.XLOOKUP(Clean_Data[[#This Row],[Country_Code]], Metadata_Country!$A:$A, Metadata_Country!$B:$B, "Unknown"), IF(OR(_xlpm.r=0, _xlpm.r=""), "Regional Aggregate", _xlpm.r))</f>
        <v>Europe &amp; Central Asia</v>
      </c>
      <c r="G416" s="4" t="str">
        <f>_xlfn.LET(_xlpm.ig, _xlfn.XLOOKUP(Clean_Data[[#This Row],[Country_Code]], Metadata_Country!$A:$A, Metadata_Country!$C:$C, "Unknown"), IF(OR(_xlpm.ig=0, _xlpm.ig=""), "Regional Aggregate", _xlpm.ig))</f>
        <v>High income</v>
      </c>
      <c r="H416" s="4">
        <f>Clean_Data[[#This Row],[Exports_TIV]] - Clean_Data[[#This Row],[Imports_TIV]]</f>
        <v>45000000</v>
      </c>
      <c r="I416" s="4">
        <f>Clean_Data[[#This Row],[Exports_TIV]] + Clean_Data[[#This Row],[Imports_TIV]]</f>
        <v>47000000</v>
      </c>
    </row>
    <row r="417" spans="1:9">
      <c r="A417" s="4" t="s">
        <v>239</v>
      </c>
      <c r="B417" s="4" t="s">
        <v>240</v>
      </c>
      <c r="C417" s="5">
        <v>2022</v>
      </c>
      <c r="D417" s="4">
        <v>1034000000</v>
      </c>
      <c r="E417" s="4">
        <v>833000000</v>
      </c>
      <c r="F417" s="4" t="str">
        <f>_xlfn.LET(_xlpm.r, _xlfn.XLOOKUP(Clean_Data[[#This Row],[Country_Code]], Metadata_Country!$A:$A, Metadata_Country!$B:$B, "Unknown"), IF(OR(_xlpm.r=0, _xlpm.r=""), "Regional Aggregate", _xlpm.r))</f>
        <v>Middle East &amp; North Africa</v>
      </c>
      <c r="G417" s="4" t="str">
        <f>_xlfn.LET(_xlpm.ig, _xlfn.XLOOKUP(Clean_Data[[#This Row],[Country_Code]], Metadata_Country!$A:$A, Metadata_Country!$C:$C, "Unknown"), IF(OR(_xlpm.ig=0, _xlpm.ig=""), "Regional Aggregate", _xlpm.ig))</f>
        <v>High income</v>
      </c>
      <c r="H417" s="4">
        <f>Clean_Data[[#This Row],[Exports_TIV]] - Clean_Data[[#This Row],[Imports_TIV]]</f>
        <v>201000000</v>
      </c>
      <c r="I417" s="4">
        <f>Clean_Data[[#This Row],[Exports_TIV]] + Clean_Data[[#This Row],[Imports_TIV]]</f>
        <v>1867000000</v>
      </c>
    </row>
    <row r="418" spans="1:9">
      <c r="A418" s="4" t="s">
        <v>241</v>
      </c>
      <c r="B418" s="4" t="s">
        <v>242</v>
      </c>
      <c r="C418" s="5">
        <v>2022</v>
      </c>
      <c r="D418" s="4">
        <v>1713000000</v>
      </c>
      <c r="E418" s="4">
        <v>237000000</v>
      </c>
      <c r="F418" s="4" t="str">
        <f>_xlfn.LET(_xlpm.r, _xlfn.XLOOKUP(Clean_Data[[#This Row],[Country_Code]], Metadata_Country!$A:$A, Metadata_Country!$B:$B, "Unknown"), IF(OR(_xlpm.r=0, _xlpm.r=""), "Regional Aggregate", _xlpm.r))</f>
        <v>Europe &amp; Central Asia</v>
      </c>
      <c r="G418" s="4" t="str">
        <f>_xlfn.LET(_xlpm.ig, _xlfn.XLOOKUP(Clean_Data[[#This Row],[Country_Code]], Metadata_Country!$A:$A, Metadata_Country!$C:$C, "Unknown"), IF(OR(_xlpm.ig=0, _xlpm.ig=""), "Regional Aggregate", _xlpm.ig))</f>
        <v>High income</v>
      </c>
      <c r="H418" s="4">
        <f>Clean_Data[[#This Row],[Exports_TIV]] - Clean_Data[[#This Row],[Imports_TIV]]</f>
        <v>1476000000</v>
      </c>
      <c r="I418" s="4">
        <f>Clean_Data[[#This Row],[Exports_TIV]] + Clean_Data[[#This Row],[Imports_TIV]]</f>
        <v>1950000000</v>
      </c>
    </row>
    <row r="419" spans="1:9">
      <c r="A419" s="4" t="s">
        <v>247</v>
      </c>
      <c r="B419" s="4" t="s">
        <v>248</v>
      </c>
      <c r="C419" s="5">
        <v>2022</v>
      </c>
      <c r="D419" s="4">
        <v>0</v>
      </c>
      <c r="E419" s="4">
        <v>1466000000</v>
      </c>
      <c r="F419" s="4" t="str">
        <f>_xlfn.LET(_xlpm.r, _xlfn.XLOOKUP(Clean_Data[[#This Row],[Country_Code]], Metadata_Country!$A:$A, Metadata_Country!$B:$B, "Unknown"), IF(OR(_xlpm.r=0, _xlpm.r=""), "Regional Aggregate", _xlpm.r))</f>
        <v>East Asia &amp; Pacific</v>
      </c>
      <c r="G419" s="4" t="str">
        <f>_xlfn.LET(_xlpm.ig, _xlfn.XLOOKUP(Clean_Data[[#This Row],[Country_Code]], Metadata_Country!$A:$A, Metadata_Country!$C:$C, "Unknown"), IF(OR(_xlpm.ig=0, _xlpm.ig=""), "Regional Aggregate", _xlpm.ig))</f>
        <v>High income</v>
      </c>
      <c r="H419" s="4">
        <f>Clean_Data[[#This Row],[Exports_TIV]] - Clean_Data[[#This Row],[Imports_TIV]]</f>
        <v>-1466000000</v>
      </c>
      <c r="I419" s="4">
        <f>Clean_Data[[#This Row],[Exports_TIV]] + Clean_Data[[#This Row],[Imports_TIV]]</f>
        <v>1466000000</v>
      </c>
    </row>
    <row r="420" spans="1:9">
      <c r="A420" s="4" t="s">
        <v>245</v>
      </c>
      <c r="B420" s="4" t="s">
        <v>246</v>
      </c>
      <c r="C420" s="5">
        <v>2022</v>
      </c>
      <c r="D420" s="4">
        <v>53000000</v>
      </c>
      <c r="E420" s="4">
        <v>50000000</v>
      </c>
      <c r="F420" s="4" t="str">
        <f>_xlfn.LET(_xlpm.r, _xlfn.XLOOKUP(Clean_Data[[#This Row],[Country_Code]], Metadata_Country!$A:$A, Metadata_Country!$B:$B, "Unknown"), IF(OR(_xlpm.r=0, _xlpm.r=""), "Regional Aggregate", _xlpm.r))</f>
        <v>Middle East &amp; North Africa</v>
      </c>
      <c r="G420" s="4" t="str">
        <f>_xlfn.LET(_xlpm.ig, _xlfn.XLOOKUP(Clean_Data[[#This Row],[Country_Code]], Metadata_Country!$A:$A, Metadata_Country!$C:$C, "Unknown"), IF(OR(_xlpm.ig=0, _xlpm.ig=""), "Regional Aggregate", _xlpm.ig))</f>
        <v>Upper middle income</v>
      </c>
      <c r="H420" s="4">
        <f>Clean_Data[[#This Row],[Exports_TIV]] - Clean_Data[[#This Row],[Imports_TIV]]</f>
        <v>3000000</v>
      </c>
      <c r="I420" s="4">
        <f>Clean_Data[[#This Row],[Exports_TIV]] + Clean_Data[[#This Row],[Imports_TIV]]</f>
        <v>103000000</v>
      </c>
    </row>
    <row r="421" spans="1:9">
      <c r="A421" s="4" t="s">
        <v>249</v>
      </c>
      <c r="B421" s="4" t="s">
        <v>250</v>
      </c>
      <c r="C421" s="5">
        <v>2022</v>
      </c>
      <c r="D421" s="4">
        <v>0</v>
      </c>
      <c r="E421" s="4">
        <v>191000000</v>
      </c>
      <c r="F421" s="4" t="str">
        <f>_xlfn.LET(_xlpm.r, _xlfn.XLOOKUP(Clean_Data[[#This Row],[Country_Code]], Metadata_Country!$A:$A, Metadata_Country!$B:$B, "Unknown"), IF(OR(_xlpm.r=0, _xlpm.r=""), "Regional Aggregate", _xlpm.r))</f>
        <v>Europe &amp; Central Asia</v>
      </c>
      <c r="G421" s="4" t="str">
        <f>_xlfn.LET(_xlpm.ig, _xlfn.XLOOKUP(Clean_Data[[#This Row],[Country_Code]], Metadata_Country!$A:$A, Metadata_Country!$C:$C, "Unknown"), IF(OR(_xlpm.ig=0, _xlpm.ig=""), "Regional Aggregate", _xlpm.ig))</f>
        <v>Upper middle income</v>
      </c>
      <c r="H421" s="4">
        <f>Clean_Data[[#This Row],[Exports_TIV]] - Clean_Data[[#This Row],[Imports_TIV]]</f>
        <v>-191000000</v>
      </c>
      <c r="I421" s="4">
        <f>Clean_Data[[#This Row],[Exports_TIV]] + Clean_Data[[#This Row],[Imports_TIV]]</f>
        <v>191000000</v>
      </c>
    </row>
    <row r="422" spans="1:9">
      <c r="A422" s="4" t="s">
        <v>251</v>
      </c>
      <c r="B422" s="4" t="s">
        <v>252</v>
      </c>
      <c r="C422" s="5">
        <v>2022</v>
      </c>
      <c r="D422" s="4">
        <v>0</v>
      </c>
      <c r="E422" s="4">
        <v>1000000</v>
      </c>
      <c r="F422" s="4" t="str">
        <f>_xlfn.LET(_xlpm.r, _xlfn.XLOOKUP(Clean_Data[[#This Row],[Country_Code]], Metadata_Country!$A:$A, Metadata_Country!$B:$B, "Unknown"), IF(OR(_xlpm.r=0, _xlpm.r=""), "Regional Aggregate", _xlpm.r))</f>
        <v>Sub-Saharan Africa</v>
      </c>
      <c r="G422" s="4" t="str">
        <f>_xlfn.LET(_xlpm.ig, _xlfn.XLOOKUP(Clean_Data[[#This Row],[Country_Code]], Metadata_Country!$A:$A, Metadata_Country!$C:$C, "Unknown"), IF(OR(_xlpm.ig=0, _xlpm.ig=""), "Regional Aggregate", _xlpm.ig))</f>
        <v>Lower middle income</v>
      </c>
      <c r="H422" s="4">
        <f>Clean_Data[[#This Row],[Exports_TIV]] - Clean_Data[[#This Row],[Imports_TIV]]</f>
        <v>-1000000</v>
      </c>
      <c r="I422" s="4">
        <f>Clean_Data[[#This Row],[Exports_TIV]] + Clean_Data[[#This Row],[Imports_TIV]]</f>
        <v>1000000</v>
      </c>
    </row>
    <row r="423" spans="1:9">
      <c r="A423" s="4" t="s">
        <v>261</v>
      </c>
      <c r="B423" s="4" t="s">
        <v>262</v>
      </c>
      <c r="C423" s="5">
        <v>2022</v>
      </c>
      <c r="D423" s="4">
        <v>231000000</v>
      </c>
      <c r="E423" s="4">
        <v>423000000</v>
      </c>
      <c r="F423" s="4" t="str">
        <f>_xlfn.LET(_xlpm.r, _xlfn.XLOOKUP(Clean_Data[[#This Row],[Country_Code]], Metadata_Country!$A:$A, Metadata_Country!$B:$B, "Unknown"), IF(OR(_xlpm.r=0, _xlpm.r=""), "Regional Aggregate", _xlpm.r))</f>
        <v>East Asia &amp; Pacific</v>
      </c>
      <c r="G423" s="4" t="str">
        <f>_xlfn.LET(_xlpm.ig, _xlfn.XLOOKUP(Clean_Data[[#This Row],[Country_Code]], Metadata_Country!$A:$A, Metadata_Country!$C:$C, "Unknown"), IF(OR(_xlpm.ig=0, _xlpm.ig=""), "Regional Aggregate", _xlpm.ig))</f>
        <v>High income</v>
      </c>
      <c r="H423" s="4">
        <f>Clean_Data[[#This Row],[Exports_TIV]] - Clean_Data[[#This Row],[Imports_TIV]]</f>
        <v>-192000000</v>
      </c>
      <c r="I423" s="4">
        <f>Clean_Data[[#This Row],[Exports_TIV]] + Clean_Data[[#This Row],[Imports_TIV]]</f>
        <v>654000000</v>
      </c>
    </row>
    <row r="424" spans="1:9">
      <c r="A424" s="4" t="s">
        <v>531</v>
      </c>
      <c r="B424" s="4" t="s">
        <v>532</v>
      </c>
      <c r="C424" s="5">
        <v>2022</v>
      </c>
      <c r="D424" s="4">
        <v>0</v>
      </c>
      <c r="E424" s="4">
        <v>1000000</v>
      </c>
      <c r="F424" s="4" t="str">
        <f>_xlfn.LET(_xlpm.r, _xlfn.XLOOKUP(Clean_Data[[#This Row],[Country_Code]], Metadata_Country!$A:$A, Metadata_Country!$B:$B, "Unknown"), IF(OR(_xlpm.r=0, _xlpm.r=""), "Regional Aggregate", _xlpm.r))</f>
        <v>Europe &amp; Central Asia</v>
      </c>
      <c r="G424" s="4" t="str">
        <f>_xlfn.LET(_xlpm.ig, _xlfn.XLOOKUP(Clean_Data[[#This Row],[Country_Code]], Metadata_Country!$A:$A, Metadata_Country!$C:$C, "Unknown"), IF(OR(_xlpm.ig=0, _xlpm.ig=""), "Regional Aggregate", _xlpm.ig))</f>
        <v>Upper middle income</v>
      </c>
      <c r="H424" s="4">
        <f>Clean_Data[[#This Row],[Exports_TIV]] - Clean_Data[[#This Row],[Imports_TIV]]</f>
        <v>-1000000</v>
      </c>
      <c r="I424" s="4">
        <f>Clean_Data[[#This Row],[Exports_TIV]] + Clean_Data[[#This Row],[Imports_TIV]]</f>
        <v>1000000</v>
      </c>
    </row>
    <row r="425" spans="1:9">
      <c r="A425" s="4" t="s">
        <v>263</v>
      </c>
      <c r="B425" s="4" t="s">
        <v>264</v>
      </c>
      <c r="C425" s="5">
        <v>2022</v>
      </c>
      <c r="D425" s="4">
        <v>0</v>
      </c>
      <c r="E425" s="4">
        <v>1569000000</v>
      </c>
      <c r="F425" s="4" t="str">
        <f>_xlfn.LET(_xlpm.r, _xlfn.XLOOKUP(Clean_Data[[#This Row],[Country_Code]], Metadata_Country!$A:$A, Metadata_Country!$B:$B, "Unknown"), IF(OR(_xlpm.r=0, _xlpm.r=""), "Regional Aggregate", _xlpm.r))</f>
        <v>Middle East &amp; North Africa</v>
      </c>
      <c r="G425" s="4" t="str">
        <f>_xlfn.LET(_xlpm.ig, _xlfn.XLOOKUP(Clean_Data[[#This Row],[Country_Code]], Metadata_Country!$A:$A, Metadata_Country!$C:$C, "Unknown"), IF(OR(_xlpm.ig=0, _xlpm.ig=""), "Regional Aggregate", _xlpm.ig))</f>
        <v>High income</v>
      </c>
      <c r="H425" s="4">
        <f>Clean_Data[[#This Row],[Exports_TIV]] - Clean_Data[[#This Row],[Imports_TIV]]</f>
        <v>-1569000000</v>
      </c>
      <c r="I425" s="4">
        <f>Clean_Data[[#This Row],[Exports_TIV]] + Clean_Data[[#This Row],[Imports_TIV]]</f>
        <v>1569000000</v>
      </c>
    </row>
    <row r="426" spans="1:9">
      <c r="A426" s="4" t="s">
        <v>253</v>
      </c>
      <c r="B426" s="4" t="s">
        <v>254</v>
      </c>
      <c r="C426" s="5">
        <v>2022</v>
      </c>
      <c r="D426" s="4">
        <v>0</v>
      </c>
      <c r="E426" s="4">
        <v>14000000</v>
      </c>
      <c r="F426" s="4" t="str">
        <f>_xlfn.LET(_xlpm.r, _xlfn.XLOOKUP(Clean_Data[[#This Row],[Country_Code]], Metadata_Country!$A:$A, Metadata_Country!$B:$B, "Unknown"), IF(OR(_xlpm.r=0, _xlpm.r=""), "Regional Aggregate", _xlpm.r))</f>
        <v>Europe &amp; Central Asia</v>
      </c>
      <c r="G426" s="4" t="str">
        <f>_xlfn.LET(_xlpm.ig, _xlfn.XLOOKUP(Clean_Data[[#This Row],[Country_Code]], Metadata_Country!$A:$A, Metadata_Country!$C:$C, "Unknown"), IF(OR(_xlpm.ig=0, _xlpm.ig=""), "Regional Aggregate", _xlpm.ig))</f>
        <v>Lower middle income</v>
      </c>
      <c r="H426" s="4">
        <f>Clean_Data[[#This Row],[Exports_TIV]] - Clean_Data[[#This Row],[Imports_TIV]]</f>
        <v>-14000000</v>
      </c>
      <c r="I426" s="4">
        <f>Clean_Data[[#This Row],[Exports_TIV]] + Clean_Data[[#This Row],[Imports_TIV]]</f>
        <v>14000000</v>
      </c>
    </row>
    <row r="427" spans="1:9">
      <c r="A427" s="4" t="s">
        <v>293</v>
      </c>
      <c r="B427" s="4" t="s">
        <v>294</v>
      </c>
      <c r="C427" s="5">
        <v>2022</v>
      </c>
      <c r="D427" s="4">
        <v>5825000000</v>
      </c>
      <c r="E427" s="4">
        <v>9161000000</v>
      </c>
      <c r="F427" s="4" t="str">
        <f>_xlfn.LET(_xlpm.r, _xlfn.XLOOKUP(Clean_Data[[#This Row],[Country_Code]], Metadata_Country!$A:$A, Metadata_Country!$B:$B, "Unknown"), IF(OR(_xlpm.r=0, _xlpm.r=""), "Regional Aggregate", _xlpm.r))</f>
        <v>Regional Aggregate</v>
      </c>
      <c r="G427" s="4" t="str">
        <f>_xlfn.LET(_xlpm.ig, _xlfn.XLOOKUP(Clean_Data[[#This Row],[Country_Code]], Metadata_Country!$A:$A, Metadata_Country!$C:$C, "Unknown"), IF(OR(_xlpm.ig=0, _xlpm.ig=""), "Regional Aggregate", _xlpm.ig))</f>
        <v>Regional Aggregate</v>
      </c>
      <c r="H427" s="4">
        <f>Clean_Data[[#This Row],[Exports_TIV]] - Clean_Data[[#This Row],[Imports_TIV]]</f>
        <v>-3336000000</v>
      </c>
      <c r="I427" s="4">
        <f>Clean_Data[[#This Row],[Exports_TIV]] + Clean_Data[[#This Row],[Imports_TIV]]</f>
        <v>14986000000</v>
      </c>
    </row>
    <row r="428" spans="1:9">
      <c r="A428" s="4" t="s">
        <v>299</v>
      </c>
      <c r="B428" s="4" t="s">
        <v>300</v>
      </c>
      <c r="C428" s="5">
        <v>2022</v>
      </c>
      <c r="D428" s="4">
        <v>10000000</v>
      </c>
      <c r="E428" s="4">
        <v>34000000</v>
      </c>
      <c r="F428" s="4" t="str">
        <f>_xlfn.LET(_xlpm.r, _xlfn.XLOOKUP(Clean_Data[[#This Row],[Country_Code]], Metadata_Country!$A:$A, Metadata_Country!$B:$B, "Unknown"), IF(OR(_xlpm.r=0, _xlpm.r=""), "Regional Aggregate", _xlpm.r))</f>
        <v>Europe &amp; Central Asia</v>
      </c>
      <c r="G428" s="4" t="str">
        <f>_xlfn.LET(_xlpm.ig, _xlfn.XLOOKUP(Clean_Data[[#This Row],[Country_Code]], Metadata_Country!$A:$A, Metadata_Country!$C:$C, "Unknown"), IF(OR(_xlpm.ig=0, _xlpm.ig=""), "Regional Aggregate", _xlpm.ig))</f>
        <v>High income</v>
      </c>
      <c r="H428" s="4">
        <f>Clean_Data[[#This Row],[Exports_TIV]] - Clean_Data[[#This Row],[Imports_TIV]]</f>
        <v>-24000000</v>
      </c>
      <c r="I428" s="4">
        <f>Clean_Data[[#This Row],[Exports_TIV]] + Clean_Data[[#This Row],[Imports_TIV]]</f>
        <v>44000000</v>
      </c>
    </row>
    <row r="429" spans="1:9">
      <c r="A429" s="4" t="s">
        <v>279</v>
      </c>
      <c r="B429" s="4" t="s">
        <v>280</v>
      </c>
      <c r="C429" s="5">
        <v>2022</v>
      </c>
      <c r="D429" s="4">
        <v>0</v>
      </c>
      <c r="E429" s="4">
        <v>1038000000</v>
      </c>
      <c r="F429" s="4" t="str">
        <f>_xlfn.LET(_xlpm.r, _xlfn.XLOOKUP(Clean_Data[[#This Row],[Country_Code]], Metadata_Country!$A:$A, Metadata_Country!$B:$B, "Unknown"), IF(OR(_xlpm.r=0, _xlpm.r=""), "Regional Aggregate", _xlpm.r))</f>
        <v>Regional Aggregate</v>
      </c>
      <c r="G429" s="4" t="str">
        <f>_xlfn.LET(_xlpm.ig, _xlfn.XLOOKUP(Clean_Data[[#This Row],[Country_Code]], Metadata_Country!$A:$A, Metadata_Country!$C:$C, "Unknown"), IF(OR(_xlpm.ig=0, _xlpm.ig=""), "Regional Aggregate", _xlpm.ig))</f>
        <v>Regional Aggregate</v>
      </c>
      <c r="H429" s="4">
        <f>Clean_Data[[#This Row],[Exports_TIV]] - Clean_Data[[#This Row],[Imports_TIV]]</f>
        <v>-1038000000</v>
      </c>
      <c r="I429" s="4">
        <f>Clean_Data[[#This Row],[Exports_TIV]] + Clean_Data[[#This Row],[Imports_TIV]]</f>
        <v>1038000000</v>
      </c>
    </row>
    <row r="430" spans="1:9">
      <c r="A430" s="4" t="s">
        <v>269</v>
      </c>
      <c r="B430" s="4" t="s">
        <v>270</v>
      </c>
      <c r="C430" s="5">
        <v>2022</v>
      </c>
      <c r="D430" s="4">
        <v>0</v>
      </c>
      <c r="E430" s="4">
        <v>30000000</v>
      </c>
      <c r="F430" s="4" t="str">
        <f>_xlfn.LET(_xlpm.r, _xlfn.XLOOKUP(Clean_Data[[#This Row],[Country_Code]], Metadata_Country!$A:$A, Metadata_Country!$B:$B, "Unknown"), IF(OR(_xlpm.r=0, _xlpm.r=""), "Regional Aggregate", _xlpm.r))</f>
        <v>Middle East &amp; North Africa</v>
      </c>
      <c r="G430" s="4" t="str">
        <f>_xlfn.LET(_xlpm.ig, _xlfn.XLOOKUP(Clean_Data[[#This Row],[Country_Code]], Metadata_Country!$A:$A, Metadata_Country!$C:$C, "Unknown"), IF(OR(_xlpm.ig=0, _xlpm.ig=""), "Regional Aggregate", _xlpm.ig))</f>
        <v>Lower middle income</v>
      </c>
      <c r="H430" s="4">
        <f>Clean_Data[[#This Row],[Exports_TIV]] - Clean_Data[[#This Row],[Imports_TIV]]</f>
        <v>-30000000</v>
      </c>
      <c r="I430" s="4">
        <f>Clean_Data[[#This Row],[Exports_TIV]] + Clean_Data[[#This Row],[Imports_TIV]]</f>
        <v>30000000</v>
      </c>
    </row>
    <row r="431" spans="1:9">
      <c r="A431" s="4" t="s">
        <v>295</v>
      </c>
      <c r="B431" s="4" t="s">
        <v>296</v>
      </c>
      <c r="C431" s="5">
        <v>2022</v>
      </c>
      <c r="D431" s="4">
        <v>25000000</v>
      </c>
      <c r="E431" s="4">
        <v>75000000</v>
      </c>
      <c r="F431" s="4" t="str">
        <f>_xlfn.LET(_xlpm.r, _xlfn.XLOOKUP(Clean_Data[[#This Row],[Country_Code]], Metadata_Country!$A:$A, Metadata_Country!$B:$B, "Unknown"), IF(OR(_xlpm.r=0, _xlpm.r=""), "Regional Aggregate", _xlpm.r))</f>
        <v>Europe &amp; Central Asia</v>
      </c>
      <c r="G431" s="4" t="str">
        <f>_xlfn.LET(_xlpm.ig, _xlfn.XLOOKUP(Clean_Data[[#This Row],[Country_Code]], Metadata_Country!$A:$A, Metadata_Country!$C:$C, "Unknown"), IF(OR(_xlpm.ig=0, _xlpm.ig=""), "Regional Aggregate", _xlpm.ig))</f>
        <v>High income</v>
      </c>
      <c r="H431" s="4">
        <f>Clean_Data[[#This Row],[Exports_TIV]] - Clean_Data[[#This Row],[Imports_TIV]]</f>
        <v>-50000000</v>
      </c>
      <c r="I431" s="4">
        <f>Clean_Data[[#This Row],[Exports_TIV]] + Clean_Data[[#This Row],[Imports_TIV]]</f>
        <v>100000000</v>
      </c>
    </row>
    <row r="432" spans="1:9">
      <c r="A432" s="4" t="s">
        <v>289</v>
      </c>
      <c r="B432" s="4" t="s">
        <v>290</v>
      </c>
      <c r="C432" s="5">
        <v>2022</v>
      </c>
      <c r="D432" s="4">
        <v>0</v>
      </c>
      <c r="E432" s="4">
        <v>13198000000</v>
      </c>
      <c r="F432" s="4" t="str">
        <f>_xlfn.LET(_xlpm.r, _xlfn.XLOOKUP(Clean_Data[[#This Row],[Country_Code]], Metadata_Country!$A:$A, Metadata_Country!$B:$B, "Unknown"), IF(OR(_xlpm.r=0, _xlpm.r=""), "Regional Aggregate", _xlpm.r))</f>
        <v>Regional Aggregate</v>
      </c>
      <c r="G432" s="4" t="str">
        <f>_xlfn.LET(_xlpm.ig, _xlfn.XLOOKUP(Clean_Data[[#This Row],[Country_Code]], Metadata_Country!$A:$A, Metadata_Country!$C:$C, "Unknown"), IF(OR(_xlpm.ig=0, _xlpm.ig=""), "Regional Aggregate", _xlpm.ig))</f>
        <v>Regional Aggregate</v>
      </c>
      <c r="H432" s="4">
        <f>Clean_Data[[#This Row],[Exports_TIV]] - Clean_Data[[#This Row],[Imports_TIV]]</f>
        <v>-13198000000</v>
      </c>
      <c r="I432" s="4">
        <f>Clean_Data[[#This Row],[Exports_TIV]] + Clean_Data[[#This Row],[Imports_TIV]]</f>
        <v>13198000000</v>
      </c>
    </row>
    <row r="433" spans="1:9">
      <c r="A433" s="4" t="s">
        <v>281</v>
      </c>
      <c r="B433" s="4" t="s">
        <v>282</v>
      </c>
      <c r="C433" s="5">
        <v>2022</v>
      </c>
      <c r="D433" s="4">
        <v>0</v>
      </c>
      <c r="E433" s="4">
        <v>283000000</v>
      </c>
      <c r="F433" s="4" t="str">
        <f>_xlfn.LET(_xlpm.r, _xlfn.XLOOKUP(Clean_Data[[#This Row],[Country_Code]], Metadata_Country!$A:$A, Metadata_Country!$B:$B, "Unknown"), IF(OR(_xlpm.r=0, _xlpm.r=""), "Regional Aggregate", _xlpm.r))</f>
        <v>Regional Aggregate</v>
      </c>
      <c r="G433" s="4" t="str">
        <f>_xlfn.LET(_xlpm.ig, _xlfn.XLOOKUP(Clean_Data[[#This Row],[Country_Code]], Metadata_Country!$A:$A, Metadata_Country!$C:$C, "Unknown"), IF(OR(_xlpm.ig=0, _xlpm.ig=""), "Regional Aggregate", _xlpm.ig))</f>
        <v>Regional Aggregate</v>
      </c>
      <c r="H433" s="4">
        <f>Clean_Data[[#This Row],[Exports_TIV]] - Clean_Data[[#This Row],[Imports_TIV]]</f>
        <v>-283000000</v>
      </c>
      <c r="I433" s="4">
        <f>Clean_Data[[#This Row],[Exports_TIV]] + Clean_Data[[#This Row],[Imports_TIV]]</f>
        <v>283000000</v>
      </c>
    </row>
    <row r="434" spans="1:9">
      <c r="A434" s="4" t="s">
        <v>287</v>
      </c>
      <c r="B434" s="4" t="s">
        <v>288</v>
      </c>
      <c r="C434" s="5">
        <v>2022</v>
      </c>
      <c r="D434" s="4">
        <v>74000000</v>
      </c>
      <c r="E434" s="4">
        <v>6456000000</v>
      </c>
      <c r="F434" s="4" t="str">
        <f>_xlfn.LET(_xlpm.r, _xlfn.XLOOKUP(Clean_Data[[#This Row],[Country_Code]], Metadata_Country!$A:$A, Metadata_Country!$B:$B, "Unknown"), IF(OR(_xlpm.r=0, _xlpm.r=""), "Regional Aggregate", _xlpm.r))</f>
        <v>Regional Aggregate</v>
      </c>
      <c r="G434" s="4" t="str">
        <f>_xlfn.LET(_xlpm.ig, _xlfn.XLOOKUP(Clean_Data[[#This Row],[Country_Code]], Metadata_Country!$A:$A, Metadata_Country!$C:$C, "Unknown"), IF(OR(_xlpm.ig=0, _xlpm.ig=""), "Regional Aggregate", _xlpm.ig))</f>
        <v>Regional Aggregate</v>
      </c>
      <c r="H434" s="4">
        <f>Clean_Data[[#This Row],[Exports_TIV]] - Clean_Data[[#This Row],[Imports_TIV]]</f>
        <v>-6382000000</v>
      </c>
      <c r="I434" s="4">
        <f>Clean_Data[[#This Row],[Exports_TIV]] + Clean_Data[[#This Row],[Imports_TIV]]</f>
        <v>6530000000</v>
      </c>
    </row>
    <row r="435" spans="1:9">
      <c r="A435" s="4" t="s">
        <v>345</v>
      </c>
      <c r="B435" s="4" t="s">
        <v>346</v>
      </c>
      <c r="C435" s="5">
        <v>2022</v>
      </c>
      <c r="D435" s="4">
        <v>0</v>
      </c>
      <c r="E435" s="4">
        <v>19000000</v>
      </c>
      <c r="F435" s="4" t="str">
        <f>_xlfn.LET(_xlpm.r, _xlfn.XLOOKUP(Clean_Data[[#This Row],[Country_Code]], Metadata_Country!$A:$A, Metadata_Country!$B:$B, "Unknown"), IF(OR(_xlpm.r=0, _xlpm.r=""), "Regional Aggregate", _xlpm.r))</f>
        <v>Sub-Saharan Africa</v>
      </c>
      <c r="G435" s="4" t="str">
        <f>_xlfn.LET(_xlpm.ig, _xlfn.XLOOKUP(Clean_Data[[#This Row],[Country_Code]], Metadata_Country!$A:$A, Metadata_Country!$C:$C, "Unknown"), IF(OR(_xlpm.ig=0, _xlpm.ig=""), "Regional Aggregate", _xlpm.ig))</f>
        <v>Low income</v>
      </c>
      <c r="H435" s="4">
        <f>Clean_Data[[#This Row],[Exports_TIV]] - Clean_Data[[#This Row],[Imports_TIV]]</f>
        <v>-19000000</v>
      </c>
      <c r="I435" s="4">
        <f>Clean_Data[[#This Row],[Exports_TIV]] + Clean_Data[[#This Row],[Imports_TIV]]</f>
        <v>19000000</v>
      </c>
    </row>
    <row r="436" spans="1:9">
      <c r="A436" s="4" t="s">
        <v>347</v>
      </c>
      <c r="B436" s="4" t="s">
        <v>348</v>
      </c>
      <c r="C436" s="5">
        <v>2022</v>
      </c>
      <c r="D436" s="4">
        <v>0</v>
      </c>
      <c r="E436" s="4">
        <v>71000000</v>
      </c>
      <c r="F436" s="4" t="str">
        <f>_xlfn.LET(_xlpm.r, _xlfn.XLOOKUP(Clean_Data[[#This Row],[Country_Code]], Metadata_Country!$A:$A, Metadata_Country!$B:$B, "Unknown"), IF(OR(_xlpm.r=0, _xlpm.r=""), "Regional Aggregate", _xlpm.r))</f>
        <v>East Asia &amp; Pacific</v>
      </c>
      <c r="G436" s="4" t="str">
        <f>_xlfn.LET(_xlpm.ig, _xlfn.XLOOKUP(Clean_Data[[#This Row],[Country_Code]], Metadata_Country!$A:$A, Metadata_Country!$C:$C, "Unknown"), IF(OR(_xlpm.ig=0, _xlpm.ig=""), "Regional Aggregate", _xlpm.ig))</f>
        <v>Upper middle income</v>
      </c>
      <c r="H436" s="4">
        <f>Clean_Data[[#This Row],[Exports_TIV]] - Clean_Data[[#This Row],[Imports_TIV]]</f>
        <v>-71000000</v>
      </c>
      <c r="I436" s="4">
        <f>Clean_Data[[#This Row],[Exports_TIV]] + Clean_Data[[#This Row],[Imports_TIV]]</f>
        <v>71000000</v>
      </c>
    </row>
    <row r="437" spans="1:9">
      <c r="A437" s="4" t="s">
        <v>325</v>
      </c>
      <c r="B437" s="4" t="s">
        <v>326</v>
      </c>
      <c r="C437" s="5">
        <v>2022</v>
      </c>
      <c r="D437" s="4">
        <v>0</v>
      </c>
      <c r="E437" s="4">
        <v>62000000</v>
      </c>
      <c r="F437" s="4" t="str">
        <f>_xlfn.LET(_xlpm.r, _xlfn.XLOOKUP(Clean_Data[[#This Row],[Country_Code]], Metadata_Country!$A:$A, Metadata_Country!$B:$B, "Unknown"), IF(OR(_xlpm.r=0, _xlpm.r=""), "Regional Aggregate", _xlpm.r))</f>
        <v>Sub-Saharan Africa</v>
      </c>
      <c r="G437" s="4" t="str">
        <f>_xlfn.LET(_xlpm.ig, _xlfn.XLOOKUP(Clean_Data[[#This Row],[Country_Code]], Metadata_Country!$A:$A, Metadata_Country!$C:$C, "Unknown"), IF(OR(_xlpm.ig=0, _xlpm.ig=""), "Regional Aggregate", _xlpm.ig))</f>
        <v>Low income</v>
      </c>
      <c r="H437" s="4">
        <f>Clean_Data[[#This Row],[Exports_TIV]] - Clean_Data[[#This Row],[Imports_TIV]]</f>
        <v>-62000000</v>
      </c>
      <c r="I437" s="4">
        <f>Clean_Data[[#This Row],[Exports_TIV]] + Clean_Data[[#This Row],[Imports_TIV]]</f>
        <v>62000000</v>
      </c>
    </row>
    <row r="438" spans="1:9">
      <c r="A438" s="4" t="s">
        <v>343</v>
      </c>
      <c r="B438" s="4" t="s">
        <v>344</v>
      </c>
      <c r="C438" s="5">
        <v>2022</v>
      </c>
      <c r="D438" s="4">
        <v>0</v>
      </c>
      <c r="E438" s="4">
        <v>4000000</v>
      </c>
      <c r="F438" s="4" t="str">
        <f>_xlfn.LET(_xlpm.r, _xlfn.XLOOKUP(Clean_Data[[#This Row],[Country_Code]], Metadata_Country!$A:$A, Metadata_Country!$B:$B, "Unknown"), IF(OR(_xlpm.r=0, _xlpm.r=""), "Regional Aggregate", _xlpm.r))</f>
        <v>Sub-Saharan Africa</v>
      </c>
      <c r="G438" s="4" t="str">
        <f>_xlfn.LET(_xlpm.ig, _xlfn.XLOOKUP(Clean_Data[[#This Row],[Country_Code]], Metadata_Country!$A:$A, Metadata_Country!$C:$C, "Unknown"), IF(OR(_xlpm.ig=0, _xlpm.ig=""), "Regional Aggregate", _xlpm.ig))</f>
        <v>Upper middle income</v>
      </c>
      <c r="H438" s="4">
        <f>Clean_Data[[#This Row],[Exports_TIV]] - Clean_Data[[#This Row],[Imports_TIV]]</f>
        <v>-4000000</v>
      </c>
      <c r="I438" s="4">
        <f>Clean_Data[[#This Row],[Exports_TIV]] + Clean_Data[[#This Row],[Imports_TIV]]</f>
        <v>4000000</v>
      </c>
    </row>
    <row r="439" spans="1:9">
      <c r="A439" s="4" t="s">
        <v>167</v>
      </c>
      <c r="B439" s="4" t="s">
        <v>168</v>
      </c>
      <c r="C439" s="5">
        <v>2022</v>
      </c>
      <c r="D439" s="4">
        <v>0</v>
      </c>
      <c r="E439" s="4">
        <v>7000000</v>
      </c>
      <c r="F439" s="4" t="str">
        <f>_xlfn.LET(_xlpm.r, _xlfn.XLOOKUP(Clean_Data[[#This Row],[Country_Code]], Metadata_Country!$A:$A, Metadata_Country!$B:$B, "Unknown"), IF(OR(_xlpm.r=0, _xlpm.r=""), "Regional Aggregate", _xlpm.r))</f>
        <v>East Asia &amp; Pacific</v>
      </c>
      <c r="G439" s="4" t="str">
        <f>_xlfn.LET(_xlpm.ig, _xlfn.XLOOKUP(Clean_Data[[#This Row],[Country_Code]], Metadata_Country!$A:$A, Metadata_Country!$C:$C, "Unknown"), IF(OR(_xlpm.ig=0, _xlpm.ig=""), "Regional Aggregate", _xlpm.ig))</f>
        <v>Upper middle income</v>
      </c>
      <c r="H439" s="4">
        <f>Clean_Data[[#This Row],[Exports_TIV]] - Clean_Data[[#This Row],[Imports_TIV]]</f>
        <v>-7000000</v>
      </c>
      <c r="I439" s="4">
        <f>Clean_Data[[#This Row],[Exports_TIV]] + Clean_Data[[#This Row],[Imports_TIV]]</f>
        <v>7000000</v>
      </c>
    </row>
    <row r="440" spans="1:9">
      <c r="A440" s="4" t="s">
        <v>315</v>
      </c>
      <c r="B440" s="4" t="s">
        <v>316</v>
      </c>
      <c r="C440" s="5">
        <v>2022</v>
      </c>
      <c r="D440" s="4">
        <v>0</v>
      </c>
      <c r="E440" s="4">
        <v>13228000000</v>
      </c>
      <c r="F440" s="4" t="str">
        <f>_xlfn.LET(_xlpm.r, _xlfn.XLOOKUP(Clean_Data[[#This Row],[Country_Code]], Metadata_Country!$A:$A, Metadata_Country!$B:$B, "Unknown"), IF(OR(_xlpm.r=0, _xlpm.r=""), "Regional Aggregate", _xlpm.r))</f>
        <v>Regional Aggregate</v>
      </c>
      <c r="G440" s="4" t="str">
        <f>_xlfn.LET(_xlpm.ig, _xlfn.XLOOKUP(Clean_Data[[#This Row],[Country_Code]], Metadata_Country!$A:$A, Metadata_Country!$C:$C, "Unknown"), IF(OR(_xlpm.ig=0, _xlpm.ig=""), "Regional Aggregate", _xlpm.ig))</f>
        <v>Regional Aggregate</v>
      </c>
      <c r="H440" s="4">
        <f>Clean_Data[[#This Row],[Exports_TIV]] - Clean_Data[[#This Row],[Imports_TIV]]</f>
        <v>-13228000000</v>
      </c>
      <c r="I440" s="4">
        <f>Clean_Data[[#This Row],[Exports_TIV]] + Clean_Data[[#This Row],[Imports_TIV]]</f>
        <v>13228000000</v>
      </c>
    </row>
    <row r="441" spans="1:9">
      <c r="A441" s="4" t="s">
        <v>331</v>
      </c>
      <c r="B441" s="4" t="s">
        <v>332</v>
      </c>
      <c r="C441" s="5">
        <v>2022</v>
      </c>
      <c r="D441" s="4">
        <v>0</v>
      </c>
      <c r="E441" s="4">
        <v>3418000000</v>
      </c>
      <c r="F441" s="4" t="str">
        <f>_xlfn.LET(_xlpm.r, _xlfn.XLOOKUP(Clean_Data[[#This Row],[Country_Code]], Metadata_Country!$A:$A, Metadata_Country!$B:$B, "Unknown"), IF(OR(_xlpm.r=0, _xlpm.r=""), "Regional Aggregate", _xlpm.r))</f>
        <v>Regional Aggregate</v>
      </c>
      <c r="G441" s="4" t="str">
        <f>_xlfn.LET(_xlpm.ig, _xlfn.XLOOKUP(Clean_Data[[#This Row],[Country_Code]], Metadata_Country!$A:$A, Metadata_Country!$C:$C, "Unknown"), IF(OR(_xlpm.ig=0, _xlpm.ig=""), "Regional Aggregate", _xlpm.ig))</f>
        <v>Regional Aggregate</v>
      </c>
      <c r="H441" s="4">
        <f>Clean_Data[[#This Row],[Exports_TIV]] - Clean_Data[[#This Row],[Imports_TIV]]</f>
        <v>-3418000000</v>
      </c>
      <c r="I441" s="4">
        <f>Clean_Data[[#This Row],[Exports_TIV]] + Clean_Data[[#This Row],[Imports_TIV]]</f>
        <v>3418000000</v>
      </c>
    </row>
    <row r="442" spans="1:9">
      <c r="A442" s="4" t="s">
        <v>485</v>
      </c>
      <c r="B442" s="4" t="s">
        <v>486</v>
      </c>
      <c r="C442" s="5">
        <v>2022</v>
      </c>
      <c r="D442" s="4">
        <v>0</v>
      </c>
      <c r="E442" s="4">
        <v>3418000000</v>
      </c>
      <c r="F442" s="4" t="str">
        <f>_xlfn.LET(_xlpm.r, _xlfn.XLOOKUP(Clean_Data[[#This Row],[Country_Code]], Metadata_Country!$A:$A, Metadata_Country!$B:$B, "Unknown"), IF(OR(_xlpm.r=0, _xlpm.r=""), "Regional Aggregate", _xlpm.r))</f>
        <v>Regional Aggregate</v>
      </c>
      <c r="G442" s="4" t="str">
        <f>_xlfn.LET(_xlpm.ig, _xlfn.XLOOKUP(Clean_Data[[#This Row],[Country_Code]], Metadata_Country!$A:$A, Metadata_Country!$C:$C, "Unknown"), IF(OR(_xlpm.ig=0, _xlpm.ig=""), "Regional Aggregate", _xlpm.ig))</f>
        <v>Regional Aggregate</v>
      </c>
      <c r="H442" s="4">
        <f>Clean_Data[[#This Row],[Exports_TIV]] - Clean_Data[[#This Row],[Imports_TIV]]</f>
        <v>-3418000000</v>
      </c>
      <c r="I442" s="4">
        <f>Clean_Data[[#This Row],[Exports_TIV]] + Clean_Data[[#This Row],[Imports_TIV]]</f>
        <v>3418000000</v>
      </c>
    </row>
    <row r="443" spans="1:9">
      <c r="A443" s="4" t="s">
        <v>321</v>
      </c>
      <c r="B443" s="4" t="s">
        <v>322</v>
      </c>
      <c r="C443" s="5">
        <v>2022</v>
      </c>
      <c r="D443" s="4">
        <v>0</v>
      </c>
      <c r="E443" s="4">
        <v>12915000000</v>
      </c>
      <c r="F443" s="4" t="str">
        <f>_xlfn.LET(_xlpm.r, _xlfn.XLOOKUP(Clean_Data[[#This Row],[Country_Code]], Metadata_Country!$A:$A, Metadata_Country!$B:$B, "Unknown"), IF(OR(_xlpm.r=0, _xlpm.r=""), "Regional Aggregate", _xlpm.r))</f>
        <v>Regional Aggregate</v>
      </c>
      <c r="G443" s="4" t="str">
        <f>_xlfn.LET(_xlpm.ig, _xlfn.XLOOKUP(Clean_Data[[#This Row],[Country_Code]], Metadata_Country!$A:$A, Metadata_Country!$C:$C, "Unknown"), IF(OR(_xlpm.ig=0, _xlpm.ig=""), "Regional Aggregate", _xlpm.ig))</f>
        <v>Regional Aggregate</v>
      </c>
      <c r="H443" s="4">
        <f>Clean_Data[[#This Row],[Exports_TIV]] - Clean_Data[[#This Row],[Imports_TIV]]</f>
        <v>-12915000000</v>
      </c>
      <c r="I443" s="4">
        <f>Clean_Data[[#This Row],[Exports_TIV]] + Clean_Data[[#This Row],[Imports_TIV]]</f>
        <v>12915000000</v>
      </c>
    </row>
    <row r="444" spans="1:9">
      <c r="A444" s="4" t="s">
        <v>335</v>
      </c>
      <c r="B444" s="4" t="s">
        <v>336</v>
      </c>
      <c r="C444" s="5">
        <v>2022</v>
      </c>
      <c r="D444" s="4">
        <v>0</v>
      </c>
      <c r="E444" s="4">
        <v>3000000</v>
      </c>
      <c r="F444" s="4" t="str">
        <f>_xlfn.LET(_xlpm.r, _xlfn.XLOOKUP(Clean_Data[[#This Row],[Country_Code]], Metadata_Country!$A:$A, Metadata_Country!$B:$B, "Unknown"), IF(OR(_xlpm.r=0, _xlpm.r=""), "Regional Aggregate", _xlpm.r))</f>
        <v>East Asia &amp; Pacific</v>
      </c>
      <c r="G444" s="4" t="str">
        <f>_xlfn.LET(_xlpm.ig, _xlfn.XLOOKUP(Clean_Data[[#This Row],[Country_Code]], Metadata_Country!$A:$A, Metadata_Country!$C:$C, "Unknown"), IF(OR(_xlpm.ig=0, _xlpm.ig=""), "Regional Aggregate", _xlpm.ig))</f>
        <v>Upper middle income</v>
      </c>
      <c r="H444" s="4">
        <f>Clean_Data[[#This Row],[Exports_TIV]] - Clean_Data[[#This Row],[Imports_TIV]]</f>
        <v>-3000000</v>
      </c>
      <c r="I444" s="4">
        <f>Clean_Data[[#This Row],[Exports_TIV]] + Clean_Data[[#This Row],[Imports_TIV]]</f>
        <v>3000000</v>
      </c>
    </row>
    <row r="445" spans="1:9">
      <c r="A445" s="4" t="s">
        <v>333</v>
      </c>
      <c r="B445" s="4" t="s">
        <v>334</v>
      </c>
      <c r="C445" s="5">
        <v>2022</v>
      </c>
      <c r="D445" s="4">
        <v>4000000</v>
      </c>
      <c r="E445" s="4">
        <v>2000000</v>
      </c>
      <c r="F445" s="4" t="str">
        <f>_xlfn.LET(_xlpm.r, _xlfn.XLOOKUP(Clean_Data[[#This Row],[Country_Code]], Metadata_Country!$A:$A, Metadata_Country!$B:$B, "Unknown"), IF(OR(_xlpm.r=0, _xlpm.r=""), "Regional Aggregate", _xlpm.r))</f>
        <v>Europe &amp; Central Asia</v>
      </c>
      <c r="G445" s="4" t="str">
        <f>_xlfn.LET(_xlpm.ig, _xlfn.XLOOKUP(Clean_Data[[#This Row],[Country_Code]], Metadata_Country!$A:$A, Metadata_Country!$C:$C, "Unknown"), IF(OR(_xlpm.ig=0, _xlpm.ig=""), "Regional Aggregate", _xlpm.ig))</f>
        <v>Upper middle income</v>
      </c>
      <c r="H445" s="4">
        <f>Clean_Data[[#This Row],[Exports_TIV]] - Clean_Data[[#This Row],[Imports_TIV]]</f>
        <v>2000000</v>
      </c>
      <c r="I445" s="4">
        <f>Clean_Data[[#This Row],[Exports_TIV]] + Clean_Data[[#This Row],[Imports_TIV]]</f>
        <v>6000000</v>
      </c>
    </row>
    <row r="446" spans="1:9">
      <c r="A446" s="4" t="s">
        <v>305</v>
      </c>
      <c r="B446" s="4" t="s">
        <v>306</v>
      </c>
      <c r="C446" s="5">
        <v>2022</v>
      </c>
      <c r="D446" s="4">
        <v>21000000</v>
      </c>
      <c r="E446" s="4">
        <v>507000000</v>
      </c>
      <c r="F446" s="4" t="str">
        <f>_xlfn.LET(_xlpm.r, _xlfn.XLOOKUP(Clean_Data[[#This Row],[Country_Code]], Metadata_Country!$A:$A, Metadata_Country!$B:$B, "Unknown"), IF(OR(_xlpm.r=0, _xlpm.r=""), "Regional Aggregate", _xlpm.r))</f>
        <v>Middle East &amp; North Africa</v>
      </c>
      <c r="G446" s="4" t="str">
        <f>_xlfn.LET(_xlpm.ig, _xlfn.XLOOKUP(Clean_Data[[#This Row],[Country_Code]], Metadata_Country!$A:$A, Metadata_Country!$C:$C, "Unknown"), IF(OR(_xlpm.ig=0, _xlpm.ig=""), "Regional Aggregate", _xlpm.ig))</f>
        <v>Lower middle income</v>
      </c>
      <c r="H446" s="4">
        <f>Clean_Data[[#This Row],[Exports_TIV]] - Clean_Data[[#This Row],[Imports_TIV]]</f>
        <v>-486000000</v>
      </c>
      <c r="I446" s="4">
        <f>Clean_Data[[#This Row],[Exports_TIV]] + Clean_Data[[#This Row],[Imports_TIV]]</f>
        <v>528000000</v>
      </c>
    </row>
    <row r="447" spans="1:9">
      <c r="A447" s="4" t="s">
        <v>339</v>
      </c>
      <c r="B447" s="4" t="s">
        <v>340</v>
      </c>
      <c r="C447" s="5">
        <v>2022</v>
      </c>
      <c r="D447" s="4">
        <v>0</v>
      </c>
      <c r="E447" s="4">
        <v>5000000</v>
      </c>
      <c r="F447" s="4" t="str">
        <f>_xlfn.LET(_xlpm.r, _xlfn.XLOOKUP(Clean_Data[[#This Row],[Country_Code]], Metadata_Country!$A:$A, Metadata_Country!$B:$B, "Unknown"), IF(OR(_xlpm.r=0, _xlpm.r=""), "Regional Aggregate", _xlpm.r))</f>
        <v>Sub-Saharan Africa</v>
      </c>
      <c r="G447" s="4" t="str">
        <f>_xlfn.LET(_xlpm.ig, _xlfn.XLOOKUP(Clean_Data[[#This Row],[Country_Code]], Metadata_Country!$A:$A, Metadata_Country!$C:$C, "Unknown"), IF(OR(_xlpm.ig=0, _xlpm.ig=""), "Regional Aggregate", _xlpm.ig))</f>
        <v>Low income</v>
      </c>
      <c r="H447" s="4">
        <f>Clean_Data[[#This Row],[Exports_TIV]] - Clean_Data[[#This Row],[Imports_TIV]]</f>
        <v>-5000000</v>
      </c>
      <c r="I447" s="4">
        <f>Clean_Data[[#This Row],[Exports_TIV]] + Clean_Data[[#This Row],[Imports_TIV]]</f>
        <v>5000000</v>
      </c>
    </row>
    <row r="448" spans="1:9">
      <c r="A448" s="4" t="s">
        <v>329</v>
      </c>
      <c r="B448" s="4" t="s">
        <v>330</v>
      </c>
      <c r="C448" s="5">
        <v>2022</v>
      </c>
      <c r="D448" s="4">
        <v>0</v>
      </c>
      <c r="E448" s="4">
        <v>229000000</v>
      </c>
      <c r="F448" s="4" t="str">
        <f>_xlfn.LET(_xlpm.r, _xlfn.XLOOKUP(Clean_Data[[#This Row],[Country_Code]], Metadata_Country!$A:$A, Metadata_Country!$B:$B, "Unknown"), IF(OR(_xlpm.r=0, _xlpm.r=""), "Regional Aggregate", _xlpm.r))</f>
        <v>East Asia &amp; Pacific</v>
      </c>
      <c r="G448" s="4" t="str">
        <f>_xlfn.LET(_xlpm.ig, _xlfn.XLOOKUP(Clean_Data[[#This Row],[Country_Code]], Metadata_Country!$A:$A, Metadata_Country!$C:$C, "Unknown"), IF(OR(_xlpm.ig=0, _xlpm.ig=""), "Regional Aggregate", _xlpm.ig))</f>
        <v>Lower middle income</v>
      </c>
      <c r="H448" s="4">
        <f>Clean_Data[[#This Row],[Exports_TIV]] - Clean_Data[[#This Row],[Imports_TIV]]</f>
        <v>-229000000</v>
      </c>
      <c r="I448" s="4">
        <f>Clean_Data[[#This Row],[Exports_TIV]] + Clean_Data[[#This Row],[Imports_TIV]]</f>
        <v>229000000</v>
      </c>
    </row>
    <row r="449" spans="1:9">
      <c r="A449" s="4" t="s">
        <v>361</v>
      </c>
      <c r="B449" s="4" t="s">
        <v>362</v>
      </c>
      <c r="C449" s="5">
        <v>2022</v>
      </c>
      <c r="D449" s="4">
        <v>324000000</v>
      </c>
      <c r="E449" s="4">
        <v>725000000</v>
      </c>
      <c r="F449" s="4" t="str">
        <f>_xlfn.LET(_xlpm.r, _xlfn.XLOOKUP(Clean_Data[[#This Row],[Country_Code]], Metadata_Country!$A:$A, Metadata_Country!$B:$B, "Unknown"), IF(OR(_xlpm.r=0, _xlpm.r=""), "Regional Aggregate", _xlpm.r))</f>
        <v>Europe &amp; Central Asia</v>
      </c>
      <c r="G449" s="4" t="str">
        <f>_xlfn.LET(_xlpm.ig, _xlfn.XLOOKUP(Clean_Data[[#This Row],[Country_Code]], Metadata_Country!$A:$A, Metadata_Country!$C:$C, "Unknown"), IF(OR(_xlpm.ig=0, _xlpm.ig=""), "Regional Aggregate", _xlpm.ig))</f>
        <v>High income</v>
      </c>
      <c r="H449" s="4">
        <f>Clean_Data[[#This Row],[Exports_TIV]] - Clean_Data[[#This Row],[Imports_TIV]]</f>
        <v>-401000000</v>
      </c>
      <c r="I449" s="4">
        <f>Clean_Data[[#This Row],[Exports_TIV]] + Clean_Data[[#This Row],[Imports_TIV]]</f>
        <v>1049000000</v>
      </c>
    </row>
    <row r="450" spans="1:9">
      <c r="A450" s="4" t="s">
        <v>369</v>
      </c>
      <c r="B450" s="4" t="s">
        <v>370</v>
      </c>
      <c r="C450" s="5">
        <v>2022</v>
      </c>
      <c r="D450" s="4">
        <v>29000000</v>
      </c>
      <c r="E450" s="4">
        <v>171000000</v>
      </c>
      <c r="F450" s="4" t="str">
        <f>_xlfn.LET(_xlpm.r, _xlfn.XLOOKUP(Clean_Data[[#This Row],[Country_Code]], Metadata_Country!$A:$A, Metadata_Country!$B:$B, "Unknown"), IF(OR(_xlpm.r=0, _xlpm.r=""), "Regional Aggregate", _xlpm.r))</f>
        <v>East Asia &amp; Pacific</v>
      </c>
      <c r="G450" s="4" t="str">
        <f>_xlfn.LET(_xlpm.ig, _xlfn.XLOOKUP(Clean_Data[[#This Row],[Country_Code]], Metadata_Country!$A:$A, Metadata_Country!$C:$C, "Unknown"), IF(OR(_xlpm.ig=0, _xlpm.ig=""), "Regional Aggregate", _xlpm.ig))</f>
        <v>High income</v>
      </c>
      <c r="H450" s="4">
        <f>Clean_Data[[#This Row],[Exports_TIV]] - Clean_Data[[#This Row],[Imports_TIV]]</f>
        <v>-142000000</v>
      </c>
      <c r="I450" s="4">
        <f>Clean_Data[[#This Row],[Exports_TIV]] + Clean_Data[[#This Row],[Imports_TIV]]</f>
        <v>200000000</v>
      </c>
    </row>
    <row r="451" spans="1:9">
      <c r="A451" s="4" t="s">
        <v>355</v>
      </c>
      <c r="B451" s="4" t="s">
        <v>356</v>
      </c>
      <c r="C451" s="5">
        <v>2022</v>
      </c>
      <c r="D451" s="4">
        <v>0</v>
      </c>
      <c r="E451" s="4">
        <v>34000000</v>
      </c>
      <c r="F451" s="4" t="str">
        <f>_xlfn.LET(_xlpm.r, _xlfn.XLOOKUP(Clean_Data[[#This Row],[Country_Code]], Metadata_Country!$A:$A, Metadata_Country!$B:$B, "Unknown"), IF(OR(_xlpm.r=0, _xlpm.r=""), "Regional Aggregate", _xlpm.r))</f>
        <v>Sub-Saharan Africa</v>
      </c>
      <c r="G451" s="4" t="str">
        <f>_xlfn.LET(_xlpm.ig, _xlfn.XLOOKUP(Clean_Data[[#This Row],[Country_Code]], Metadata_Country!$A:$A, Metadata_Country!$C:$C, "Unknown"), IF(OR(_xlpm.ig=0, _xlpm.ig=""), "Regional Aggregate", _xlpm.ig))</f>
        <v>Low income</v>
      </c>
      <c r="H451" s="4">
        <f>Clean_Data[[#This Row],[Exports_TIV]] - Clean_Data[[#This Row],[Imports_TIV]]</f>
        <v>-34000000</v>
      </c>
      <c r="I451" s="4">
        <f>Clean_Data[[#This Row],[Exports_TIV]] + Clean_Data[[#This Row],[Imports_TIV]]</f>
        <v>34000000</v>
      </c>
    </row>
    <row r="452" spans="1:9">
      <c r="A452" s="4" t="s">
        <v>357</v>
      </c>
      <c r="B452" s="4" t="s">
        <v>358</v>
      </c>
      <c r="C452" s="5">
        <v>2022</v>
      </c>
      <c r="D452" s="4">
        <v>4000000</v>
      </c>
      <c r="E452" s="4">
        <v>53000000</v>
      </c>
      <c r="F452" s="4" t="str">
        <f>_xlfn.LET(_xlpm.r, _xlfn.XLOOKUP(Clean_Data[[#This Row],[Country_Code]], Metadata_Country!$A:$A, Metadata_Country!$B:$B, "Unknown"), IF(OR(_xlpm.r=0, _xlpm.r=""), "Regional Aggregate", _xlpm.r))</f>
        <v>Sub-Saharan Africa</v>
      </c>
      <c r="G452" s="4" t="str">
        <f>_xlfn.LET(_xlpm.ig, _xlfn.XLOOKUP(Clean_Data[[#This Row],[Country_Code]], Metadata_Country!$A:$A, Metadata_Country!$C:$C, "Unknown"), IF(OR(_xlpm.ig=0, _xlpm.ig=""), "Regional Aggregate", _xlpm.ig))</f>
        <v>Lower middle income</v>
      </c>
      <c r="H452" s="4">
        <f>Clean_Data[[#This Row],[Exports_TIV]] - Clean_Data[[#This Row],[Imports_TIV]]</f>
        <v>-49000000</v>
      </c>
      <c r="I452" s="4">
        <f>Clean_Data[[#This Row],[Exports_TIV]] + Clean_Data[[#This Row],[Imports_TIV]]</f>
        <v>57000000</v>
      </c>
    </row>
    <row r="453" spans="1:9">
      <c r="A453" s="4" t="s">
        <v>349</v>
      </c>
      <c r="B453" s="4" t="s">
        <v>350</v>
      </c>
      <c r="C453" s="5">
        <v>2022</v>
      </c>
      <c r="D453" s="4">
        <v>14652000000</v>
      </c>
      <c r="E453" s="4">
        <v>1060000000</v>
      </c>
      <c r="F453" s="4" t="str">
        <f>_xlfn.LET(_xlpm.r, _xlfn.XLOOKUP(Clean_Data[[#This Row],[Country_Code]], Metadata_Country!$A:$A, Metadata_Country!$B:$B, "Unknown"), IF(OR(_xlpm.r=0, _xlpm.r=""), "Regional Aggregate", _xlpm.r))</f>
        <v>Regional Aggregate</v>
      </c>
      <c r="G453" s="4" t="str">
        <f>_xlfn.LET(_xlpm.ig, _xlfn.XLOOKUP(Clean_Data[[#This Row],[Country_Code]], Metadata_Country!$A:$A, Metadata_Country!$C:$C, "Unknown"), IF(OR(_xlpm.ig=0, _xlpm.ig=""), "Regional Aggregate", _xlpm.ig))</f>
        <v>Regional Aggregate</v>
      </c>
      <c r="H453" s="4">
        <f>Clean_Data[[#This Row],[Exports_TIV]] - Clean_Data[[#This Row],[Imports_TIV]]</f>
        <v>13592000000</v>
      </c>
      <c r="I453" s="4">
        <f>Clean_Data[[#This Row],[Exports_TIV]] + Clean_Data[[#This Row],[Imports_TIV]]</f>
        <v>15712000000</v>
      </c>
    </row>
    <row r="454" spans="1:9">
      <c r="A454" s="4" t="s">
        <v>323</v>
      </c>
      <c r="B454" s="4" t="s">
        <v>324</v>
      </c>
      <c r="C454" s="5">
        <v>2022</v>
      </c>
      <c r="D454" s="4">
        <v>31000000</v>
      </c>
      <c r="E454" s="4">
        <v>1000000</v>
      </c>
      <c r="F454" s="4" t="str">
        <f>_xlfn.LET(_xlpm.r, _xlfn.XLOOKUP(Clean_Data[[#This Row],[Country_Code]], Metadata_Country!$A:$A, Metadata_Country!$B:$B, "Unknown"), IF(OR(_xlpm.r=0, _xlpm.r=""), "Regional Aggregate", _xlpm.r))</f>
        <v>Europe &amp; Central Asia</v>
      </c>
      <c r="G454" s="4" t="str">
        <f>_xlfn.LET(_xlpm.ig, _xlfn.XLOOKUP(Clean_Data[[#This Row],[Country_Code]], Metadata_Country!$A:$A, Metadata_Country!$C:$C, "Unknown"), IF(OR(_xlpm.ig=0, _xlpm.ig=""), "Regional Aggregate", _xlpm.ig))</f>
        <v>Upper middle income</v>
      </c>
      <c r="H454" s="4">
        <f>Clean_Data[[#This Row],[Exports_TIV]] - Clean_Data[[#This Row],[Imports_TIV]]</f>
        <v>30000000</v>
      </c>
      <c r="I454" s="4">
        <f>Clean_Data[[#This Row],[Exports_TIV]] + Clean_Data[[#This Row],[Imports_TIV]]</f>
        <v>32000000</v>
      </c>
    </row>
    <row r="455" spans="1:9">
      <c r="A455" s="4" t="s">
        <v>363</v>
      </c>
      <c r="B455" s="4" t="s">
        <v>364</v>
      </c>
      <c r="C455" s="5">
        <v>2022</v>
      </c>
      <c r="D455" s="4">
        <v>120000000</v>
      </c>
      <c r="E455" s="4">
        <v>700000000</v>
      </c>
      <c r="F455" s="4" t="str">
        <f>_xlfn.LET(_xlpm.r, _xlfn.XLOOKUP(Clean_Data[[#This Row],[Country_Code]], Metadata_Country!$A:$A, Metadata_Country!$B:$B, "Unknown"), IF(OR(_xlpm.r=0, _xlpm.r=""), "Regional Aggregate", _xlpm.r))</f>
        <v>Europe &amp; Central Asia</v>
      </c>
      <c r="G455" s="4" t="str">
        <f>_xlfn.LET(_xlpm.ig, _xlfn.XLOOKUP(Clean_Data[[#This Row],[Country_Code]], Metadata_Country!$A:$A, Metadata_Country!$C:$C, "Unknown"), IF(OR(_xlpm.ig=0, _xlpm.ig=""), "Regional Aggregate", _xlpm.ig))</f>
        <v>High income</v>
      </c>
      <c r="H455" s="4">
        <f>Clean_Data[[#This Row],[Exports_TIV]] - Clean_Data[[#This Row],[Imports_TIV]]</f>
        <v>-580000000</v>
      </c>
      <c r="I455" s="4">
        <f>Clean_Data[[#This Row],[Exports_TIV]] + Clean_Data[[#This Row],[Imports_TIV]]</f>
        <v>820000000</v>
      </c>
    </row>
    <row r="456" spans="1:9">
      <c r="A456" s="4" t="s">
        <v>371</v>
      </c>
      <c r="B456" s="4" t="s">
        <v>372</v>
      </c>
      <c r="C456" s="5">
        <v>2022</v>
      </c>
      <c r="D456" s="4">
        <v>27780000000</v>
      </c>
      <c r="E456" s="4">
        <v>10150000000</v>
      </c>
      <c r="F456" s="4" t="str">
        <f>_xlfn.LET(_xlpm.r, _xlfn.XLOOKUP(Clean_Data[[#This Row],[Country_Code]], Metadata_Country!$A:$A, Metadata_Country!$B:$B, "Unknown"), IF(OR(_xlpm.r=0, _xlpm.r=""), "Regional Aggregate", _xlpm.r))</f>
        <v>Regional Aggregate</v>
      </c>
      <c r="G456" s="4" t="str">
        <f>_xlfn.LET(_xlpm.ig, _xlfn.XLOOKUP(Clean_Data[[#This Row],[Country_Code]], Metadata_Country!$A:$A, Metadata_Country!$C:$C, "Unknown"), IF(OR(_xlpm.ig=0, _xlpm.ig=""), "Regional Aggregate", _xlpm.ig))</f>
        <v>Regional Aggregate</v>
      </c>
      <c r="H456" s="4">
        <f>Clean_Data[[#This Row],[Exports_TIV]] - Clean_Data[[#This Row],[Imports_TIV]]</f>
        <v>17630000000</v>
      </c>
      <c r="I456" s="4">
        <f>Clean_Data[[#This Row],[Exports_TIV]] + Clean_Data[[#This Row],[Imports_TIV]]</f>
        <v>37930000000</v>
      </c>
    </row>
    <row r="457" spans="1:9">
      <c r="A457" s="4" t="s">
        <v>373</v>
      </c>
      <c r="B457" s="4" t="s">
        <v>374</v>
      </c>
      <c r="C457" s="5">
        <v>2022</v>
      </c>
      <c r="D457" s="4">
        <v>0</v>
      </c>
      <c r="E457" s="4">
        <v>4000000</v>
      </c>
      <c r="F457" s="4" t="str">
        <f>_xlfn.LET(_xlpm.r, _xlfn.XLOOKUP(Clean_Data[[#This Row],[Country_Code]], Metadata_Country!$A:$A, Metadata_Country!$B:$B, "Unknown"), IF(OR(_xlpm.r=0, _xlpm.r=""), "Regional Aggregate", _xlpm.r))</f>
        <v>Middle East &amp; North Africa</v>
      </c>
      <c r="G457" s="4" t="str">
        <f>_xlfn.LET(_xlpm.ig, _xlfn.XLOOKUP(Clean_Data[[#This Row],[Country_Code]], Metadata_Country!$A:$A, Metadata_Country!$C:$C, "Unknown"), IF(OR(_xlpm.ig=0, _xlpm.ig=""), "Regional Aggregate", _xlpm.ig))</f>
        <v>High income</v>
      </c>
      <c r="H457" s="4">
        <f>Clean_Data[[#This Row],[Exports_TIV]] - Clean_Data[[#This Row],[Imports_TIV]]</f>
        <v>-4000000</v>
      </c>
      <c r="I457" s="4">
        <f>Clean_Data[[#This Row],[Exports_TIV]] + Clean_Data[[#This Row],[Imports_TIV]]</f>
        <v>4000000</v>
      </c>
    </row>
    <row r="458" spans="1:9">
      <c r="A458" s="4" t="s">
        <v>377</v>
      </c>
      <c r="B458" s="4" t="s">
        <v>378</v>
      </c>
      <c r="C458" s="5">
        <v>2022</v>
      </c>
      <c r="D458" s="4">
        <v>1000000</v>
      </c>
      <c r="E458" s="4">
        <v>1529000000</v>
      </c>
      <c r="F458" s="4" t="str">
        <f>_xlfn.LET(_xlpm.r, _xlfn.XLOOKUP(Clean_Data[[#This Row],[Country_Code]], Metadata_Country!$A:$A, Metadata_Country!$B:$B, "Unknown"), IF(OR(_xlpm.r=0, _xlpm.r=""), "Regional Aggregate", _xlpm.r))</f>
        <v>Middle East &amp; North Africa</v>
      </c>
      <c r="G458" s="4" t="str">
        <f>_xlfn.LET(_xlpm.ig, _xlfn.XLOOKUP(Clean_Data[[#This Row],[Country_Code]], Metadata_Country!$A:$A, Metadata_Country!$C:$C, "Unknown"), IF(OR(_xlpm.ig=0, _xlpm.ig=""), "Regional Aggregate", _xlpm.ig))</f>
        <v>Lower middle income</v>
      </c>
      <c r="H458" s="4">
        <f>Clean_Data[[#This Row],[Exports_TIV]] - Clean_Data[[#This Row],[Imports_TIV]]</f>
        <v>-1528000000</v>
      </c>
      <c r="I458" s="4">
        <f>Clean_Data[[#This Row],[Exports_TIV]] + Clean_Data[[#This Row],[Imports_TIV]]</f>
        <v>1530000000</v>
      </c>
    </row>
    <row r="459" spans="1:9">
      <c r="A459" s="4" t="s">
        <v>381</v>
      </c>
      <c r="B459" s="4" t="s">
        <v>382</v>
      </c>
      <c r="C459" s="5">
        <v>2022</v>
      </c>
      <c r="D459" s="4">
        <v>0</v>
      </c>
      <c r="E459" s="4">
        <v>38000000</v>
      </c>
      <c r="F459" s="4" t="str">
        <f>_xlfn.LET(_xlpm.r, _xlfn.XLOOKUP(Clean_Data[[#This Row],[Country_Code]], Metadata_Country!$A:$A, Metadata_Country!$B:$B, "Unknown"), IF(OR(_xlpm.r=0, _xlpm.r=""), "Regional Aggregate", _xlpm.r))</f>
        <v>Latin America &amp; Caribbean</v>
      </c>
      <c r="G459" s="4" t="str">
        <f>_xlfn.LET(_xlpm.ig, _xlfn.XLOOKUP(Clean_Data[[#This Row],[Country_Code]], Metadata_Country!$A:$A, Metadata_Country!$C:$C, "Unknown"), IF(OR(_xlpm.ig=0, _xlpm.ig=""), "Regional Aggregate", _xlpm.ig))</f>
        <v>Upper middle income</v>
      </c>
      <c r="H459" s="4">
        <f>Clean_Data[[#This Row],[Exports_TIV]] - Clean_Data[[#This Row],[Imports_TIV]]</f>
        <v>-38000000</v>
      </c>
      <c r="I459" s="4">
        <f>Clean_Data[[#This Row],[Exports_TIV]] + Clean_Data[[#This Row],[Imports_TIV]]</f>
        <v>38000000</v>
      </c>
    </row>
    <row r="460" spans="1:9">
      <c r="A460" s="4" t="s">
        <v>383</v>
      </c>
      <c r="B460" s="4" t="s">
        <v>384</v>
      </c>
      <c r="C460" s="5">
        <v>2022</v>
      </c>
      <c r="D460" s="4">
        <v>0</v>
      </c>
      <c r="E460" s="4">
        <v>280000000</v>
      </c>
      <c r="F460" s="4" t="str">
        <f>_xlfn.LET(_xlpm.r, _xlfn.XLOOKUP(Clean_Data[[#This Row],[Country_Code]], Metadata_Country!$A:$A, Metadata_Country!$B:$B, "Unknown"), IF(OR(_xlpm.r=0, _xlpm.r=""), "Regional Aggregate", _xlpm.r))</f>
        <v>East Asia &amp; Pacific</v>
      </c>
      <c r="G460" s="4" t="str">
        <f>_xlfn.LET(_xlpm.ig, _xlfn.XLOOKUP(Clean_Data[[#This Row],[Country_Code]], Metadata_Country!$A:$A, Metadata_Country!$C:$C, "Unknown"), IF(OR(_xlpm.ig=0, _xlpm.ig=""), "Regional Aggregate", _xlpm.ig))</f>
        <v>Upper middle income</v>
      </c>
      <c r="H460" s="4">
        <f>Clean_Data[[#This Row],[Exports_TIV]] - Clean_Data[[#This Row],[Imports_TIV]]</f>
        <v>-280000000</v>
      </c>
      <c r="I460" s="4">
        <f>Clean_Data[[#This Row],[Exports_TIV]] + Clean_Data[[#This Row],[Imports_TIV]]</f>
        <v>280000000</v>
      </c>
    </row>
    <row r="461" spans="1:9">
      <c r="A461" s="4" t="s">
        <v>389</v>
      </c>
      <c r="B461" s="4" t="s">
        <v>390</v>
      </c>
      <c r="C461" s="5">
        <v>2022</v>
      </c>
      <c r="D461" s="4">
        <v>707000000</v>
      </c>
      <c r="E461" s="4">
        <v>414000000</v>
      </c>
      <c r="F461" s="4" t="str">
        <f>_xlfn.LET(_xlpm.r, _xlfn.XLOOKUP(Clean_Data[[#This Row],[Country_Code]], Metadata_Country!$A:$A, Metadata_Country!$B:$B, "Unknown"), IF(OR(_xlpm.r=0, _xlpm.r=""), "Regional Aggregate", _xlpm.r))</f>
        <v>Europe &amp; Central Asia</v>
      </c>
      <c r="G461" s="4" t="str">
        <f>_xlfn.LET(_xlpm.ig, _xlfn.XLOOKUP(Clean_Data[[#This Row],[Country_Code]], Metadata_Country!$A:$A, Metadata_Country!$C:$C, "Unknown"), IF(OR(_xlpm.ig=0, _xlpm.ig=""), "Regional Aggregate", _xlpm.ig))</f>
        <v>High income</v>
      </c>
      <c r="H461" s="4">
        <f>Clean_Data[[#This Row],[Exports_TIV]] - Clean_Data[[#This Row],[Imports_TIV]]</f>
        <v>293000000</v>
      </c>
      <c r="I461" s="4">
        <f>Clean_Data[[#This Row],[Exports_TIV]] + Clean_Data[[#This Row],[Imports_TIV]]</f>
        <v>1121000000</v>
      </c>
    </row>
    <row r="462" spans="1:9">
      <c r="A462" s="4" t="s">
        <v>397</v>
      </c>
      <c r="B462" s="4" t="s">
        <v>398</v>
      </c>
      <c r="C462" s="5">
        <v>2022</v>
      </c>
      <c r="D462" s="4">
        <v>2000000</v>
      </c>
      <c r="E462" s="4">
        <v>0</v>
      </c>
      <c r="F462" s="4" t="str">
        <f>_xlfn.LET(_xlpm.r, _xlfn.XLOOKUP(Clean_Data[[#This Row],[Country_Code]], Metadata_Country!$A:$A, Metadata_Country!$B:$B, "Unknown"), IF(OR(_xlpm.r=0, _xlpm.r=""), "Regional Aggregate", _xlpm.r))</f>
        <v>Europe &amp; Central Asia</v>
      </c>
      <c r="G462" s="4" t="str">
        <f>_xlfn.LET(_xlpm.ig, _xlfn.XLOOKUP(Clean_Data[[#This Row],[Country_Code]], Metadata_Country!$A:$A, Metadata_Country!$C:$C, "Unknown"), IF(OR(_xlpm.ig=0, _xlpm.ig=""), "Regional Aggregate", _xlpm.ig))</f>
        <v>High income</v>
      </c>
      <c r="H462" s="4">
        <f>Clean_Data[[#This Row],[Exports_TIV]] - Clean_Data[[#This Row],[Imports_TIV]]</f>
        <v>2000000</v>
      </c>
      <c r="I462" s="4">
        <f>Clean_Data[[#This Row],[Exports_TIV]] + Clean_Data[[#This Row],[Imports_TIV]]</f>
        <v>2000000</v>
      </c>
    </row>
    <row r="463" spans="1:9">
      <c r="A463" s="4" t="s">
        <v>405</v>
      </c>
      <c r="B463" s="4" t="s">
        <v>406</v>
      </c>
      <c r="C463" s="5">
        <v>2022</v>
      </c>
      <c r="D463" s="4">
        <v>25503000000</v>
      </c>
      <c r="E463" s="4">
        <v>12136000000</v>
      </c>
      <c r="F463" s="4" t="str">
        <f>_xlfn.LET(_xlpm.r, _xlfn.XLOOKUP(Clean_Data[[#This Row],[Country_Code]], Metadata_Country!$A:$A, Metadata_Country!$B:$B, "Unknown"), IF(OR(_xlpm.r=0, _xlpm.r=""), "Regional Aggregate", _xlpm.r))</f>
        <v>Regional Aggregate</v>
      </c>
      <c r="G463" s="4" t="str">
        <f>_xlfn.LET(_xlpm.ig, _xlfn.XLOOKUP(Clean_Data[[#This Row],[Country_Code]], Metadata_Country!$A:$A, Metadata_Country!$C:$C, "Unknown"), IF(OR(_xlpm.ig=0, _xlpm.ig=""), "Regional Aggregate", _xlpm.ig))</f>
        <v>Regional Aggregate</v>
      </c>
      <c r="H463" s="4">
        <f>Clean_Data[[#This Row],[Exports_TIV]] - Clean_Data[[#This Row],[Imports_TIV]]</f>
        <v>13367000000</v>
      </c>
      <c r="I463" s="4">
        <f>Clean_Data[[#This Row],[Exports_TIV]] + Clean_Data[[#This Row],[Imports_TIV]]</f>
        <v>37639000000</v>
      </c>
    </row>
    <row r="464" spans="1:9">
      <c r="A464" s="4" t="s">
        <v>391</v>
      </c>
      <c r="B464" s="4" t="s">
        <v>392</v>
      </c>
      <c r="C464" s="5">
        <v>2022</v>
      </c>
      <c r="D464" s="4">
        <v>0</v>
      </c>
      <c r="E464" s="4">
        <v>491000000</v>
      </c>
      <c r="F464" s="4" t="str">
        <f>_xlfn.LET(_xlpm.r, _xlfn.XLOOKUP(Clean_Data[[#This Row],[Country_Code]], Metadata_Country!$A:$A, Metadata_Country!$B:$B, "Unknown"), IF(OR(_xlpm.r=0, _xlpm.r=""), "Regional Aggregate", _xlpm.r))</f>
        <v>Regional Aggregate</v>
      </c>
      <c r="G464" s="4" t="str">
        <f>_xlfn.LET(_xlpm.ig, _xlfn.XLOOKUP(Clean_Data[[#This Row],[Country_Code]], Metadata_Country!$A:$A, Metadata_Country!$C:$C, "Unknown"), IF(OR(_xlpm.ig=0, _xlpm.ig=""), "Regional Aggregate", _xlpm.ig))</f>
        <v>Regional Aggregate</v>
      </c>
      <c r="H464" s="4">
        <f>Clean_Data[[#This Row],[Exports_TIV]] - Clean_Data[[#This Row],[Imports_TIV]]</f>
        <v>-491000000</v>
      </c>
      <c r="I464" s="4">
        <f>Clean_Data[[#This Row],[Exports_TIV]] + Clean_Data[[#This Row],[Imports_TIV]]</f>
        <v>491000000</v>
      </c>
    </row>
    <row r="465" spans="1:9">
      <c r="A465" s="4" t="s">
        <v>409</v>
      </c>
      <c r="B465" s="4" t="s">
        <v>410</v>
      </c>
      <c r="C465" s="5">
        <v>2022</v>
      </c>
      <c r="D465" s="4">
        <v>1000000</v>
      </c>
      <c r="E465" s="4">
        <v>3336000000</v>
      </c>
      <c r="F465" s="4" t="str">
        <f>_xlfn.LET(_xlpm.r, _xlfn.XLOOKUP(Clean_Data[[#This Row],[Country_Code]], Metadata_Country!$A:$A, Metadata_Country!$B:$B, "Unknown"), IF(OR(_xlpm.r=0, _xlpm.r=""), "Regional Aggregate", _xlpm.r))</f>
        <v>Middle East &amp; North Africa</v>
      </c>
      <c r="G465" s="4" t="str">
        <f>_xlfn.LET(_xlpm.ig, _xlfn.XLOOKUP(Clean_Data[[#This Row],[Country_Code]], Metadata_Country!$A:$A, Metadata_Country!$C:$C, "Unknown"), IF(OR(_xlpm.ig=0, _xlpm.ig=""), "Regional Aggregate", _xlpm.ig))</f>
        <v>High income</v>
      </c>
      <c r="H465" s="4">
        <f>Clean_Data[[#This Row],[Exports_TIV]] - Clean_Data[[#This Row],[Imports_TIV]]</f>
        <v>-3335000000</v>
      </c>
      <c r="I465" s="4">
        <f>Clean_Data[[#This Row],[Exports_TIV]] + Clean_Data[[#This Row],[Imports_TIV]]</f>
        <v>3337000000</v>
      </c>
    </row>
    <row r="466" spans="1:9">
      <c r="A466" s="4" t="s">
        <v>411</v>
      </c>
      <c r="B466" s="4" t="s">
        <v>412</v>
      </c>
      <c r="C466" s="5">
        <v>2022</v>
      </c>
      <c r="D466" s="4">
        <v>1000000</v>
      </c>
      <c r="E466" s="4">
        <v>186000000</v>
      </c>
      <c r="F466" s="4" t="str">
        <f>_xlfn.LET(_xlpm.r, _xlfn.XLOOKUP(Clean_Data[[#This Row],[Country_Code]], Metadata_Country!$A:$A, Metadata_Country!$B:$B, "Unknown"), IF(OR(_xlpm.r=0, _xlpm.r=""), "Regional Aggregate", _xlpm.r))</f>
        <v>Europe &amp; Central Asia</v>
      </c>
      <c r="G466" s="4" t="str">
        <f>_xlfn.LET(_xlpm.ig, _xlfn.XLOOKUP(Clean_Data[[#This Row],[Country_Code]], Metadata_Country!$A:$A, Metadata_Country!$C:$C, "Unknown"), IF(OR(_xlpm.ig=0, _xlpm.ig=""), "Regional Aggregate", _xlpm.ig))</f>
        <v>High income</v>
      </c>
      <c r="H466" s="4">
        <f>Clean_Data[[#This Row],[Exports_TIV]] - Clean_Data[[#This Row],[Imports_TIV]]</f>
        <v>-185000000</v>
      </c>
      <c r="I466" s="4">
        <f>Clean_Data[[#This Row],[Exports_TIV]] + Clean_Data[[#This Row],[Imports_TIV]]</f>
        <v>187000000</v>
      </c>
    </row>
    <row r="467" spans="1:9">
      <c r="A467" s="4" t="s">
        <v>413</v>
      </c>
      <c r="B467" s="4" t="s">
        <v>414</v>
      </c>
      <c r="C467" s="5">
        <v>2022</v>
      </c>
      <c r="D467" s="4">
        <v>2566000000</v>
      </c>
      <c r="E467" s="4">
        <v>39000000</v>
      </c>
      <c r="F467" s="4" t="str">
        <f>_xlfn.LET(_xlpm.r, _xlfn.XLOOKUP(Clean_Data[[#This Row],[Country_Code]], Metadata_Country!$A:$A, Metadata_Country!$B:$B, "Unknown"), IF(OR(_xlpm.r=0, _xlpm.r=""), "Regional Aggregate", _xlpm.r))</f>
        <v>Europe &amp; Central Asia</v>
      </c>
      <c r="G467" s="4" t="str">
        <f>_xlfn.LET(_xlpm.ig, _xlfn.XLOOKUP(Clean_Data[[#This Row],[Country_Code]], Metadata_Country!$A:$A, Metadata_Country!$C:$C, "Unknown"), IF(OR(_xlpm.ig=0, _xlpm.ig=""), "Regional Aggregate", _xlpm.ig))</f>
        <v>High income</v>
      </c>
      <c r="H467" s="4">
        <f>Clean_Data[[#This Row],[Exports_TIV]] - Clean_Data[[#This Row],[Imports_TIV]]</f>
        <v>2527000000</v>
      </c>
      <c r="I467" s="4">
        <f>Clean_Data[[#This Row],[Exports_TIV]] + Clean_Data[[#This Row],[Imports_TIV]]</f>
        <v>2605000000</v>
      </c>
    </row>
    <row r="468" spans="1:9">
      <c r="A468" s="4" t="s">
        <v>415</v>
      </c>
      <c r="B468" s="4" t="s">
        <v>416</v>
      </c>
      <c r="C468" s="5">
        <v>2022</v>
      </c>
      <c r="D468" s="4">
        <v>0</v>
      </c>
      <c r="E468" s="4">
        <v>17000000</v>
      </c>
      <c r="F468" s="4" t="str">
        <f>_xlfn.LET(_xlpm.r, _xlfn.XLOOKUP(Clean_Data[[#This Row],[Country_Code]], Metadata_Country!$A:$A, Metadata_Country!$B:$B, "Unknown"), IF(OR(_xlpm.r=0, _xlpm.r=""), "Regional Aggregate", _xlpm.r))</f>
        <v>Sub-Saharan Africa</v>
      </c>
      <c r="G468" s="4" t="str">
        <f>_xlfn.LET(_xlpm.ig, _xlfn.XLOOKUP(Clean_Data[[#This Row],[Country_Code]], Metadata_Country!$A:$A, Metadata_Country!$C:$C, "Unknown"), IF(OR(_xlpm.ig=0, _xlpm.ig=""), "Regional Aggregate", _xlpm.ig))</f>
        <v>Low income</v>
      </c>
      <c r="H468" s="4">
        <f>Clean_Data[[#This Row],[Exports_TIV]] - Clean_Data[[#This Row],[Imports_TIV]]</f>
        <v>-17000000</v>
      </c>
      <c r="I468" s="4">
        <f>Clean_Data[[#This Row],[Exports_TIV]] + Clean_Data[[#This Row],[Imports_TIV]]</f>
        <v>17000000</v>
      </c>
    </row>
    <row r="469" spans="1:9">
      <c r="A469" s="4" t="s">
        <v>419</v>
      </c>
      <c r="B469" s="4" t="s">
        <v>420</v>
      </c>
      <c r="C469" s="5">
        <v>2022</v>
      </c>
      <c r="D469" s="4">
        <v>0</v>
      </c>
      <c r="E469" s="4">
        <v>3053000000</v>
      </c>
      <c r="F469" s="4" t="str">
        <f>_xlfn.LET(_xlpm.r, _xlfn.XLOOKUP(Clean_Data[[#This Row],[Country_Code]], Metadata_Country!$A:$A, Metadata_Country!$B:$B, "Unknown"), IF(OR(_xlpm.r=0, _xlpm.r=""), "Regional Aggregate", _xlpm.r))</f>
        <v>Middle East &amp; North Africa</v>
      </c>
      <c r="G469" s="4" t="str">
        <f>_xlfn.LET(_xlpm.ig, _xlfn.XLOOKUP(Clean_Data[[#This Row],[Country_Code]], Metadata_Country!$A:$A, Metadata_Country!$C:$C, "Unknown"), IF(OR(_xlpm.ig=0, _xlpm.ig=""), "Regional Aggregate", _xlpm.ig))</f>
        <v>High income</v>
      </c>
      <c r="H469" s="4">
        <f>Clean_Data[[#This Row],[Exports_TIV]] - Clean_Data[[#This Row],[Imports_TIV]]</f>
        <v>-3053000000</v>
      </c>
      <c r="I469" s="4">
        <f>Clean_Data[[#This Row],[Exports_TIV]] + Clean_Data[[#This Row],[Imports_TIV]]</f>
        <v>3053000000</v>
      </c>
    </row>
    <row r="470" spans="1:9">
      <c r="A470" s="4" t="s">
        <v>423</v>
      </c>
      <c r="B470" s="4" t="s">
        <v>424</v>
      </c>
      <c r="C470" s="5">
        <v>2022</v>
      </c>
      <c r="D470" s="4">
        <v>0</v>
      </c>
      <c r="E470" s="4">
        <v>28000000</v>
      </c>
      <c r="F470" s="4" t="str">
        <f>_xlfn.LET(_xlpm.r, _xlfn.XLOOKUP(Clean_Data[[#This Row],[Country_Code]], Metadata_Country!$A:$A, Metadata_Country!$B:$B, "Unknown"), IF(OR(_xlpm.r=0, _xlpm.r=""), "Regional Aggregate", _xlpm.r))</f>
        <v>Sub-Saharan Africa</v>
      </c>
      <c r="G470" s="4" t="str">
        <f>_xlfn.LET(_xlpm.ig, _xlfn.XLOOKUP(Clean_Data[[#This Row],[Country_Code]], Metadata_Country!$A:$A, Metadata_Country!$C:$C, "Unknown"), IF(OR(_xlpm.ig=0, _xlpm.ig=""), "Regional Aggregate", _xlpm.ig))</f>
        <v>Lower middle income</v>
      </c>
      <c r="H470" s="4">
        <f>Clean_Data[[#This Row],[Exports_TIV]] - Clean_Data[[#This Row],[Imports_TIV]]</f>
        <v>-28000000</v>
      </c>
      <c r="I470" s="4">
        <f>Clean_Data[[#This Row],[Exports_TIV]] + Clean_Data[[#This Row],[Imports_TIV]]</f>
        <v>28000000</v>
      </c>
    </row>
    <row r="471" spans="1:9">
      <c r="A471" s="4" t="s">
        <v>437</v>
      </c>
      <c r="B471" s="4" t="s">
        <v>438</v>
      </c>
      <c r="C471" s="5">
        <v>2022</v>
      </c>
      <c r="D471" s="4">
        <v>0</v>
      </c>
      <c r="E471" s="4">
        <v>164000000</v>
      </c>
      <c r="F471" s="4" t="str">
        <f>_xlfn.LET(_xlpm.r, _xlfn.XLOOKUP(Clean_Data[[#This Row],[Country_Code]], Metadata_Country!$A:$A, Metadata_Country!$B:$B, "Unknown"), IF(OR(_xlpm.r=0, _xlpm.r=""), "Regional Aggregate", _xlpm.r))</f>
        <v>Europe &amp; Central Asia</v>
      </c>
      <c r="G471" s="4" t="str">
        <f>_xlfn.LET(_xlpm.ig, _xlfn.XLOOKUP(Clean_Data[[#This Row],[Country_Code]], Metadata_Country!$A:$A, Metadata_Country!$C:$C, "Unknown"), IF(OR(_xlpm.ig=0, _xlpm.ig=""), "Regional Aggregate", _xlpm.ig))</f>
        <v>Upper middle income</v>
      </c>
      <c r="H471" s="4">
        <f>Clean_Data[[#This Row],[Exports_TIV]] - Clean_Data[[#This Row],[Imports_TIV]]</f>
        <v>-164000000</v>
      </c>
      <c r="I471" s="4">
        <f>Clean_Data[[#This Row],[Exports_TIV]] + Clean_Data[[#This Row],[Imports_TIV]]</f>
        <v>164000000</v>
      </c>
    </row>
    <row r="472" spans="1:9">
      <c r="A472" s="4" t="s">
        <v>425</v>
      </c>
      <c r="B472" s="4" t="s">
        <v>426</v>
      </c>
      <c r="C472" s="5">
        <v>2022</v>
      </c>
      <c r="D472" s="4">
        <v>36000000</v>
      </c>
      <c r="E472" s="4">
        <v>516000000</v>
      </c>
      <c r="F472" s="4" t="str">
        <f>_xlfn.LET(_xlpm.r, _xlfn.XLOOKUP(Clean_Data[[#This Row],[Country_Code]], Metadata_Country!$A:$A, Metadata_Country!$B:$B, "Unknown"), IF(OR(_xlpm.r=0, _xlpm.r=""), "Regional Aggregate", _xlpm.r))</f>
        <v>East Asia &amp; Pacific</v>
      </c>
      <c r="G472" s="4" t="str">
        <f>_xlfn.LET(_xlpm.ig, _xlfn.XLOOKUP(Clean_Data[[#This Row],[Country_Code]], Metadata_Country!$A:$A, Metadata_Country!$C:$C, "Unknown"), IF(OR(_xlpm.ig=0, _xlpm.ig=""), "Regional Aggregate", _xlpm.ig))</f>
        <v>High income</v>
      </c>
      <c r="H472" s="4">
        <f>Clean_Data[[#This Row],[Exports_TIV]] - Clean_Data[[#This Row],[Imports_TIV]]</f>
        <v>-480000000</v>
      </c>
      <c r="I472" s="4">
        <f>Clean_Data[[#This Row],[Exports_TIV]] + Clean_Data[[#This Row],[Imports_TIV]]</f>
        <v>552000000</v>
      </c>
    </row>
    <row r="473" spans="1:9">
      <c r="A473" s="4" t="s">
        <v>451</v>
      </c>
      <c r="B473" s="4" t="s">
        <v>452</v>
      </c>
      <c r="C473" s="5">
        <v>2022</v>
      </c>
      <c r="D473" s="4">
        <v>71000000</v>
      </c>
      <c r="E473" s="4">
        <v>3000000</v>
      </c>
      <c r="F473" s="4" t="str">
        <f>_xlfn.LET(_xlpm.r, _xlfn.XLOOKUP(Clean_Data[[#This Row],[Country_Code]], Metadata_Country!$A:$A, Metadata_Country!$B:$B, "Unknown"), IF(OR(_xlpm.r=0, _xlpm.r=""), "Regional Aggregate", _xlpm.r))</f>
        <v>Europe &amp; Central Asia</v>
      </c>
      <c r="G473" s="4" t="str">
        <f>_xlfn.LET(_xlpm.ig, _xlfn.XLOOKUP(Clean_Data[[#This Row],[Country_Code]], Metadata_Country!$A:$A, Metadata_Country!$C:$C, "Unknown"), IF(OR(_xlpm.ig=0, _xlpm.ig=""), "Regional Aggregate", _xlpm.ig))</f>
        <v>High income</v>
      </c>
      <c r="H473" s="4">
        <f>Clean_Data[[#This Row],[Exports_TIV]] - Clean_Data[[#This Row],[Imports_TIV]]</f>
        <v>68000000</v>
      </c>
      <c r="I473" s="4">
        <f>Clean_Data[[#This Row],[Exports_TIV]] + Clean_Data[[#This Row],[Imports_TIV]]</f>
        <v>74000000</v>
      </c>
    </row>
    <row r="474" spans="1:9">
      <c r="A474" s="4" t="s">
        <v>453</v>
      </c>
      <c r="B474" s="4" t="s">
        <v>454</v>
      </c>
      <c r="C474" s="5">
        <v>2022</v>
      </c>
      <c r="D474" s="4">
        <v>38000000</v>
      </c>
      <c r="E474" s="4">
        <v>0</v>
      </c>
      <c r="F474" s="4" t="str">
        <f>_xlfn.LET(_xlpm.r, _xlfn.XLOOKUP(Clean_Data[[#This Row],[Country_Code]], Metadata_Country!$A:$A, Metadata_Country!$B:$B, "Unknown"), IF(OR(_xlpm.r=0, _xlpm.r=""), "Regional Aggregate", _xlpm.r))</f>
        <v>Europe &amp; Central Asia</v>
      </c>
      <c r="G474" s="4" t="str">
        <f>_xlfn.LET(_xlpm.ig, _xlfn.XLOOKUP(Clean_Data[[#This Row],[Country_Code]], Metadata_Country!$A:$A, Metadata_Country!$C:$C, "Unknown"), IF(OR(_xlpm.ig=0, _xlpm.ig=""), "Regional Aggregate", _xlpm.ig))</f>
        <v>High income</v>
      </c>
      <c r="H474" s="4">
        <f>Clean_Data[[#This Row],[Exports_TIV]] - Clean_Data[[#This Row],[Imports_TIV]]</f>
        <v>38000000</v>
      </c>
      <c r="I474" s="4">
        <f>Clean_Data[[#This Row],[Exports_TIV]] + Clean_Data[[#This Row],[Imports_TIV]]</f>
        <v>38000000</v>
      </c>
    </row>
    <row r="475" spans="1:9">
      <c r="A475" s="4" t="s">
        <v>535</v>
      </c>
      <c r="B475" s="4" t="s">
        <v>536</v>
      </c>
      <c r="C475" s="5">
        <v>2022</v>
      </c>
      <c r="D475" s="4">
        <v>113000000</v>
      </c>
      <c r="E475" s="4">
        <v>30000000</v>
      </c>
      <c r="F475" s="4" t="str">
        <f>_xlfn.LET(_xlpm.r, _xlfn.XLOOKUP(Clean_Data[[#This Row],[Country_Code]], Metadata_Country!$A:$A, Metadata_Country!$B:$B, "Unknown"), IF(OR(_xlpm.r=0, _xlpm.r=""), "Regional Aggregate", _xlpm.r))</f>
        <v>Sub-Saharan Africa</v>
      </c>
      <c r="G475" s="4" t="str">
        <f>_xlfn.LET(_xlpm.ig, _xlfn.XLOOKUP(Clean_Data[[#This Row],[Country_Code]], Metadata_Country!$A:$A, Metadata_Country!$C:$C, "Unknown"), IF(OR(_xlpm.ig=0, _xlpm.ig=""), "Regional Aggregate", _xlpm.ig))</f>
        <v>Upper middle income</v>
      </c>
      <c r="H475" s="4">
        <f>Clean_Data[[#This Row],[Exports_TIV]] - Clean_Data[[#This Row],[Imports_TIV]]</f>
        <v>83000000</v>
      </c>
      <c r="I475" s="4">
        <f>Clean_Data[[#This Row],[Exports_TIV]] + Clean_Data[[#This Row],[Imports_TIV]]</f>
        <v>143000000</v>
      </c>
    </row>
    <row r="476" spans="1:9">
      <c r="A476" s="4" t="s">
        <v>417</v>
      </c>
      <c r="B476" s="4" t="s">
        <v>418</v>
      </c>
      <c r="C476" s="5">
        <v>2022</v>
      </c>
      <c r="D476" s="4">
        <v>7000000</v>
      </c>
      <c r="E476" s="4">
        <v>3035000000</v>
      </c>
      <c r="F476" s="4" t="str">
        <f>_xlfn.LET(_xlpm.r, _xlfn.XLOOKUP(Clean_Data[[#This Row],[Country_Code]], Metadata_Country!$A:$A, Metadata_Country!$B:$B, "Unknown"), IF(OR(_xlpm.r=0, _xlpm.r=""), "Regional Aggregate", _xlpm.r))</f>
        <v>Regional Aggregate</v>
      </c>
      <c r="G476" s="4" t="str">
        <f>_xlfn.LET(_xlpm.ig, _xlfn.XLOOKUP(Clean_Data[[#This Row],[Country_Code]], Metadata_Country!$A:$A, Metadata_Country!$C:$C, "Unknown"), IF(OR(_xlpm.ig=0, _xlpm.ig=""), "Regional Aggregate", _xlpm.ig))</f>
        <v>Regional Aggregate</v>
      </c>
      <c r="H476" s="4">
        <f>Clean_Data[[#This Row],[Exports_TIV]] - Clean_Data[[#This Row],[Imports_TIV]]</f>
        <v>-3028000000</v>
      </c>
      <c r="I476" s="4">
        <f>Clean_Data[[#This Row],[Exports_TIV]] + Clean_Data[[#This Row],[Imports_TIV]]</f>
        <v>3042000000</v>
      </c>
    </row>
    <row r="477" spans="1:9">
      <c r="A477" s="4" t="s">
        <v>489</v>
      </c>
      <c r="B477" s="4" t="s">
        <v>490</v>
      </c>
      <c r="C477" s="5">
        <v>2022</v>
      </c>
      <c r="D477" s="4">
        <v>7000000</v>
      </c>
      <c r="E477" s="4">
        <v>3035000000</v>
      </c>
      <c r="F477" s="4" t="str">
        <f>_xlfn.LET(_xlpm.r, _xlfn.XLOOKUP(Clean_Data[[#This Row],[Country_Code]], Metadata_Country!$A:$A, Metadata_Country!$B:$B, "Unknown"), IF(OR(_xlpm.r=0, _xlpm.r=""), "Regional Aggregate", _xlpm.r))</f>
        <v>Regional Aggregate</v>
      </c>
      <c r="G477" s="4" t="str">
        <f>_xlfn.LET(_xlpm.ig, _xlfn.XLOOKUP(Clean_Data[[#This Row],[Country_Code]], Metadata_Country!$A:$A, Metadata_Country!$C:$C, "Unknown"), IF(OR(_xlpm.ig=0, _xlpm.ig=""), "Regional Aggregate", _xlpm.ig))</f>
        <v>Regional Aggregate</v>
      </c>
      <c r="H477" s="4">
        <f>Clean_Data[[#This Row],[Exports_TIV]] - Clean_Data[[#This Row],[Imports_TIV]]</f>
        <v>-3028000000</v>
      </c>
      <c r="I477" s="4">
        <f>Clean_Data[[#This Row],[Exports_TIV]] + Clean_Data[[#This Row],[Imports_TIV]]</f>
        <v>3042000000</v>
      </c>
    </row>
    <row r="478" spans="1:9">
      <c r="A478" s="4" t="s">
        <v>441</v>
      </c>
      <c r="B478" s="4" t="s">
        <v>442</v>
      </c>
      <c r="C478" s="5">
        <v>2022</v>
      </c>
      <c r="D478" s="4">
        <v>0</v>
      </c>
      <c r="E478" s="4">
        <v>10000000</v>
      </c>
      <c r="F478" s="4" t="str">
        <f>_xlfn.LET(_xlpm.r, _xlfn.XLOOKUP(Clean_Data[[#This Row],[Country_Code]], Metadata_Country!$A:$A, Metadata_Country!$B:$B, "Unknown"), IF(OR(_xlpm.r=0, _xlpm.r=""), "Regional Aggregate", _xlpm.r))</f>
        <v>Sub-Saharan Africa</v>
      </c>
      <c r="G478" s="4" t="str">
        <f>_xlfn.LET(_xlpm.ig, _xlfn.XLOOKUP(Clean_Data[[#This Row],[Country_Code]], Metadata_Country!$A:$A, Metadata_Country!$C:$C, "Unknown"), IF(OR(_xlpm.ig=0, _xlpm.ig=""), "Regional Aggregate", _xlpm.ig))</f>
        <v>Low income</v>
      </c>
      <c r="H478" s="4">
        <f>Clean_Data[[#This Row],[Exports_TIV]] - Clean_Data[[#This Row],[Imports_TIV]]</f>
        <v>-10000000</v>
      </c>
      <c r="I478" s="4">
        <f>Clean_Data[[#This Row],[Exports_TIV]] + Clean_Data[[#This Row],[Imports_TIV]]</f>
        <v>10000000</v>
      </c>
    </row>
    <row r="479" spans="1:9">
      <c r="A479" s="4" t="s">
        <v>149</v>
      </c>
      <c r="B479" s="4" t="s">
        <v>150</v>
      </c>
      <c r="C479" s="5">
        <v>2022</v>
      </c>
      <c r="D479" s="4">
        <v>1014000000</v>
      </c>
      <c r="E479" s="4">
        <v>198000000</v>
      </c>
      <c r="F479" s="4" t="str">
        <f>_xlfn.LET(_xlpm.r, _xlfn.XLOOKUP(Clean_Data[[#This Row],[Country_Code]], Metadata_Country!$A:$A, Metadata_Country!$B:$B, "Unknown"), IF(OR(_xlpm.r=0, _xlpm.r=""), "Regional Aggregate", _xlpm.r))</f>
        <v>Europe &amp; Central Asia</v>
      </c>
      <c r="G479" s="4" t="str">
        <f>_xlfn.LET(_xlpm.ig, _xlfn.XLOOKUP(Clean_Data[[#This Row],[Country_Code]], Metadata_Country!$A:$A, Metadata_Country!$C:$C, "Unknown"), IF(OR(_xlpm.ig=0, _xlpm.ig=""), "Regional Aggregate", _xlpm.ig))</f>
        <v>High income</v>
      </c>
      <c r="H479" s="4">
        <f>Clean_Data[[#This Row],[Exports_TIV]] - Clean_Data[[#This Row],[Imports_TIV]]</f>
        <v>816000000</v>
      </c>
      <c r="I479" s="4">
        <f>Clean_Data[[#This Row],[Exports_TIV]] + Clean_Data[[#This Row],[Imports_TIV]]</f>
        <v>1212000000</v>
      </c>
    </row>
    <row r="480" spans="1:9">
      <c r="A480" s="4" t="s">
        <v>285</v>
      </c>
      <c r="B480" s="4" t="s">
        <v>286</v>
      </c>
      <c r="C480" s="5">
        <v>2022</v>
      </c>
      <c r="D480" s="4">
        <v>0</v>
      </c>
      <c r="E480" s="4">
        <v>3000000</v>
      </c>
      <c r="F480" s="4" t="str">
        <f>_xlfn.LET(_xlpm.r, _xlfn.XLOOKUP(Clean_Data[[#This Row],[Country_Code]], Metadata_Country!$A:$A, Metadata_Country!$B:$B, "Unknown"), IF(OR(_xlpm.r=0, _xlpm.r=""), "Regional Aggregate", _xlpm.r))</f>
        <v>South Asia</v>
      </c>
      <c r="G480" s="4" t="str">
        <f>_xlfn.LET(_xlpm.ig, _xlfn.XLOOKUP(Clean_Data[[#This Row],[Country_Code]], Metadata_Country!$A:$A, Metadata_Country!$C:$C, "Unknown"), IF(OR(_xlpm.ig=0, _xlpm.ig=""), "Regional Aggregate", _xlpm.ig))</f>
        <v>Upper middle income</v>
      </c>
      <c r="H480" s="4">
        <f>Clean_Data[[#This Row],[Exports_TIV]] - Clean_Data[[#This Row],[Imports_TIV]]</f>
        <v>-3000000</v>
      </c>
      <c r="I480" s="4">
        <f>Clean_Data[[#This Row],[Exports_TIV]] + Clean_Data[[#This Row],[Imports_TIV]]</f>
        <v>3000000</v>
      </c>
    </row>
    <row r="481" spans="1:9">
      <c r="A481" s="4" t="s">
        <v>443</v>
      </c>
      <c r="B481" s="4" t="s">
        <v>444</v>
      </c>
      <c r="C481" s="5">
        <v>2022</v>
      </c>
      <c r="D481" s="4">
        <v>0</v>
      </c>
      <c r="E481" s="4">
        <v>583000000</v>
      </c>
      <c r="F481" s="4" t="str">
        <f>_xlfn.LET(_xlpm.r, _xlfn.XLOOKUP(Clean_Data[[#This Row],[Country_Code]], Metadata_Country!$A:$A, Metadata_Country!$B:$B, "Unknown"), IF(OR(_xlpm.r=0, _xlpm.r=""), "Regional Aggregate", _xlpm.r))</f>
        <v>Regional Aggregate</v>
      </c>
      <c r="G481" s="4" t="str">
        <f>_xlfn.LET(_xlpm.ig, _xlfn.XLOOKUP(Clean_Data[[#This Row],[Country_Code]], Metadata_Country!$A:$A, Metadata_Country!$C:$C, "Unknown"), IF(OR(_xlpm.ig=0, _xlpm.ig=""), "Regional Aggregate", _xlpm.ig))</f>
        <v>Regional Aggregate</v>
      </c>
      <c r="H481" s="4">
        <f>Clean_Data[[#This Row],[Exports_TIV]] - Clean_Data[[#This Row],[Imports_TIV]]</f>
        <v>-583000000</v>
      </c>
      <c r="I481" s="4">
        <f>Clean_Data[[#This Row],[Exports_TIV]] + Clean_Data[[#This Row],[Imports_TIV]]</f>
        <v>583000000</v>
      </c>
    </row>
    <row r="482" spans="1:9">
      <c r="A482" s="4" t="s">
        <v>439</v>
      </c>
      <c r="B482" s="4" t="s">
        <v>440</v>
      </c>
      <c r="C482" s="5">
        <v>2022</v>
      </c>
      <c r="D482" s="4">
        <v>0</v>
      </c>
      <c r="E482" s="4">
        <v>583000000</v>
      </c>
      <c r="F482" s="4" t="str">
        <f>_xlfn.LET(_xlpm.r, _xlfn.XLOOKUP(Clean_Data[[#This Row],[Country_Code]], Metadata_Country!$A:$A, Metadata_Country!$B:$B, "Unknown"), IF(OR(_xlpm.r=0, _xlpm.r=""), "Regional Aggregate", _xlpm.r))</f>
        <v>Regional Aggregate</v>
      </c>
      <c r="G482" s="4" t="str">
        <f>_xlfn.LET(_xlpm.ig, _xlfn.XLOOKUP(Clean_Data[[#This Row],[Country_Code]], Metadata_Country!$A:$A, Metadata_Country!$C:$C, "Unknown"), IF(OR(_xlpm.ig=0, _xlpm.ig=""), "Regional Aggregate", _xlpm.ig))</f>
        <v>Regional Aggregate</v>
      </c>
      <c r="H482" s="4">
        <f>Clean_Data[[#This Row],[Exports_TIV]] - Clean_Data[[#This Row],[Imports_TIV]]</f>
        <v>-583000000</v>
      </c>
      <c r="I482" s="4">
        <f>Clean_Data[[#This Row],[Exports_TIV]] + Clean_Data[[#This Row],[Imports_TIV]]</f>
        <v>583000000</v>
      </c>
    </row>
    <row r="483" spans="1:9">
      <c r="A483" s="4" t="s">
        <v>491</v>
      </c>
      <c r="B483" s="4" t="s">
        <v>492</v>
      </c>
      <c r="C483" s="5">
        <v>2022</v>
      </c>
      <c r="D483" s="4">
        <v>0</v>
      </c>
      <c r="E483" s="4">
        <v>583000000</v>
      </c>
      <c r="F483" s="4" t="str">
        <f>_xlfn.LET(_xlpm.r, _xlfn.XLOOKUP(Clean_Data[[#This Row],[Country_Code]], Metadata_Country!$A:$A, Metadata_Country!$B:$B, "Unknown"), IF(OR(_xlpm.r=0, _xlpm.r=""), "Regional Aggregate", _xlpm.r))</f>
        <v>Regional Aggregate</v>
      </c>
      <c r="G483" s="4" t="str">
        <f>_xlfn.LET(_xlpm.ig, _xlfn.XLOOKUP(Clean_Data[[#This Row],[Country_Code]], Metadata_Country!$A:$A, Metadata_Country!$C:$C, "Unknown"), IF(OR(_xlpm.ig=0, _xlpm.ig=""), "Regional Aggregate", _xlpm.ig))</f>
        <v>Regional Aggregate</v>
      </c>
      <c r="H483" s="4">
        <f>Clean_Data[[#This Row],[Exports_TIV]] - Clean_Data[[#This Row],[Imports_TIV]]</f>
        <v>-583000000</v>
      </c>
      <c r="I483" s="4">
        <f>Clean_Data[[#This Row],[Exports_TIV]] + Clean_Data[[#This Row],[Imports_TIV]]</f>
        <v>583000000</v>
      </c>
    </row>
    <row r="484" spans="1:9">
      <c r="A484" s="4" t="s">
        <v>421</v>
      </c>
      <c r="B484" s="4" t="s">
        <v>422</v>
      </c>
      <c r="C484" s="5">
        <v>2022</v>
      </c>
      <c r="D484" s="4">
        <v>0</v>
      </c>
      <c r="E484" s="4">
        <v>3000000</v>
      </c>
      <c r="F484" s="4" t="str">
        <f>_xlfn.LET(_xlpm.r, _xlfn.XLOOKUP(Clean_Data[[#This Row],[Country_Code]], Metadata_Country!$A:$A, Metadata_Country!$B:$B, "Unknown"), IF(OR(_xlpm.r=0, _xlpm.r=""), "Regional Aggregate", _xlpm.r))</f>
        <v>Sub-Saharan Africa</v>
      </c>
      <c r="G484" s="4" t="str">
        <f>_xlfn.LET(_xlpm.ig, _xlfn.XLOOKUP(Clean_Data[[#This Row],[Country_Code]], Metadata_Country!$A:$A, Metadata_Country!$C:$C, "Unknown"), IF(OR(_xlpm.ig=0, _xlpm.ig=""), "Regional Aggregate", _xlpm.ig))</f>
        <v>Low income</v>
      </c>
      <c r="H484" s="4">
        <f>Clean_Data[[#This Row],[Exports_TIV]] - Clean_Data[[#This Row],[Imports_TIV]]</f>
        <v>-3000000</v>
      </c>
      <c r="I484" s="4">
        <f>Clean_Data[[#This Row],[Exports_TIV]] + Clean_Data[[#This Row],[Imports_TIV]]</f>
        <v>3000000</v>
      </c>
    </row>
    <row r="485" spans="1:9">
      <c r="A485" s="4" t="s">
        <v>455</v>
      </c>
      <c r="B485" s="4" t="s">
        <v>456</v>
      </c>
      <c r="C485" s="5">
        <v>2022</v>
      </c>
      <c r="D485" s="4">
        <v>83000000</v>
      </c>
      <c r="E485" s="4">
        <v>318000000</v>
      </c>
      <c r="F485" s="4" t="str">
        <f>_xlfn.LET(_xlpm.r, _xlfn.XLOOKUP(Clean_Data[[#This Row],[Country_Code]], Metadata_Country!$A:$A, Metadata_Country!$B:$B, "Unknown"), IF(OR(_xlpm.r=0, _xlpm.r=""), "Regional Aggregate", _xlpm.r))</f>
        <v>Europe &amp; Central Asia</v>
      </c>
      <c r="G485" s="4" t="str">
        <f>_xlfn.LET(_xlpm.ig, _xlfn.XLOOKUP(Clean_Data[[#This Row],[Country_Code]], Metadata_Country!$A:$A, Metadata_Country!$C:$C, "Unknown"), IF(OR(_xlpm.ig=0, _xlpm.ig=""), "Regional Aggregate", _xlpm.ig))</f>
        <v>High income</v>
      </c>
      <c r="H485" s="4">
        <f>Clean_Data[[#This Row],[Exports_TIV]] - Clean_Data[[#This Row],[Imports_TIV]]</f>
        <v>-235000000</v>
      </c>
      <c r="I485" s="4">
        <f>Clean_Data[[#This Row],[Exports_TIV]] + Clean_Data[[#This Row],[Imports_TIV]]</f>
        <v>401000000</v>
      </c>
    </row>
    <row r="486" spans="1:9">
      <c r="A486" s="4" t="s">
        <v>83</v>
      </c>
      <c r="B486" s="4" t="s">
        <v>84</v>
      </c>
      <c r="C486" s="5">
        <v>2022</v>
      </c>
      <c r="D486" s="4">
        <v>181000000</v>
      </c>
      <c r="E486" s="4">
        <v>15000000</v>
      </c>
      <c r="F486" s="4" t="str">
        <f>_xlfn.LET(_xlpm.r, _xlfn.XLOOKUP(Clean_Data[[#This Row],[Country_Code]], Metadata_Country!$A:$A, Metadata_Country!$B:$B, "Unknown"), IF(OR(_xlpm.r=0, _xlpm.r=""), "Regional Aggregate", _xlpm.r))</f>
        <v>Europe &amp; Central Asia</v>
      </c>
      <c r="G486" s="4" t="str">
        <f>_xlfn.LET(_xlpm.ig, _xlfn.XLOOKUP(Clean_Data[[#This Row],[Country_Code]], Metadata_Country!$A:$A, Metadata_Country!$C:$C, "Unknown"), IF(OR(_xlpm.ig=0, _xlpm.ig=""), "Regional Aggregate", _xlpm.ig))</f>
        <v>High income</v>
      </c>
      <c r="H486" s="4">
        <f>Clean_Data[[#This Row],[Exports_TIV]] - Clean_Data[[#This Row],[Imports_TIV]]</f>
        <v>166000000</v>
      </c>
      <c r="I486" s="4">
        <f>Clean_Data[[#This Row],[Exports_TIV]] + Clean_Data[[#This Row],[Imports_TIV]]</f>
        <v>196000000</v>
      </c>
    </row>
    <row r="487" spans="1:9">
      <c r="A487" s="4" t="s">
        <v>477</v>
      </c>
      <c r="B487" s="4" t="s">
        <v>478</v>
      </c>
      <c r="C487" s="5">
        <v>2022</v>
      </c>
      <c r="D487" s="4">
        <v>0</v>
      </c>
      <c r="E487" s="4">
        <v>3000000</v>
      </c>
      <c r="F487" s="4" t="str">
        <f>_xlfn.LET(_xlpm.r, _xlfn.XLOOKUP(Clean_Data[[#This Row],[Country_Code]], Metadata_Country!$A:$A, Metadata_Country!$B:$B, "Unknown"), IF(OR(_xlpm.r=0, _xlpm.r=""), "Regional Aggregate", _xlpm.r))</f>
        <v>Europe &amp; Central Asia</v>
      </c>
      <c r="G487" s="4" t="str">
        <f>_xlfn.LET(_xlpm.ig, _xlfn.XLOOKUP(Clean_Data[[#This Row],[Country_Code]], Metadata_Country!$A:$A, Metadata_Country!$C:$C, "Unknown"), IF(OR(_xlpm.ig=0, _xlpm.ig=""), "Regional Aggregate", _xlpm.ig))</f>
        <v>Lower middle income</v>
      </c>
      <c r="H487" s="4">
        <f>Clean_Data[[#This Row],[Exports_TIV]] - Clean_Data[[#This Row],[Imports_TIV]]</f>
        <v>-3000000</v>
      </c>
      <c r="I487" s="4">
        <f>Clean_Data[[#This Row],[Exports_TIV]] + Clean_Data[[#This Row],[Imports_TIV]]</f>
        <v>3000000</v>
      </c>
    </row>
    <row r="488" spans="1:9">
      <c r="A488" s="4" t="s">
        <v>475</v>
      </c>
      <c r="B488" s="4" t="s">
        <v>476</v>
      </c>
      <c r="C488" s="5">
        <v>2022</v>
      </c>
      <c r="D488" s="4">
        <v>0</v>
      </c>
      <c r="E488" s="4">
        <v>271000000</v>
      </c>
      <c r="F488" s="4" t="str">
        <f>_xlfn.LET(_xlpm.r, _xlfn.XLOOKUP(Clean_Data[[#This Row],[Country_Code]], Metadata_Country!$A:$A, Metadata_Country!$B:$B, "Unknown"), IF(OR(_xlpm.r=0, _xlpm.r=""), "Regional Aggregate", _xlpm.r))</f>
        <v>East Asia &amp; Pacific</v>
      </c>
      <c r="G488" s="4" t="str">
        <f>_xlfn.LET(_xlpm.ig, _xlfn.XLOOKUP(Clean_Data[[#This Row],[Country_Code]], Metadata_Country!$A:$A, Metadata_Country!$C:$C, "Unknown"), IF(OR(_xlpm.ig=0, _xlpm.ig=""), "Regional Aggregate", _xlpm.ig))</f>
        <v>Upper middle income</v>
      </c>
      <c r="H488" s="4">
        <f>Clean_Data[[#This Row],[Exports_TIV]] - Clean_Data[[#This Row],[Imports_TIV]]</f>
        <v>-271000000</v>
      </c>
      <c r="I488" s="4">
        <f>Clean_Data[[#This Row],[Exports_TIV]] + Clean_Data[[#This Row],[Imports_TIV]]</f>
        <v>271000000</v>
      </c>
    </row>
    <row r="489" spans="1:9">
      <c r="A489" s="4" t="s">
        <v>473</v>
      </c>
      <c r="B489" s="4" t="s">
        <v>474</v>
      </c>
      <c r="C489" s="5">
        <v>2022</v>
      </c>
      <c r="D489" s="4">
        <v>0</v>
      </c>
      <c r="E489" s="4">
        <v>59000000</v>
      </c>
      <c r="F489" s="4" t="str">
        <f>_xlfn.LET(_xlpm.r, _xlfn.XLOOKUP(Clean_Data[[#This Row],[Country_Code]], Metadata_Country!$A:$A, Metadata_Country!$B:$B, "Unknown"), IF(OR(_xlpm.r=0, _xlpm.r=""), "Regional Aggregate", _xlpm.r))</f>
        <v>Sub-Saharan Africa</v>
      </c>
      <c r="G489" s="4" t="str">
        <f>_xlfn.LET(_xlpm.ig, _xlfn.XLOOKUP(Clean_Data[[#This Row],[Country_Code]], Metadata_Country!$A:$A, Metadata_Country!$C:$C, "Unknown"), IF(OR(_xlpm.ig=0, _xlpm.ig=""), "Regional Aggregate", _xlpm.ig))</f>
        <v>Lower middle income</v>
      </c>
      <c r="H489" s="4">
        <f>Clean_Data[[#This Row],[Exports_TIV]] - Clean_Data[[#This Row],[Imports_TIV]]</f>
        <v>-59000000</v>
      </c>
      <c r="I489" s="4">
        <f>Clean_Data[[#This Row],[Exports_TIV]] + Clean_Data[[#This Row],[Imports_TIV]]</f>
        <v>59000000</v>
      </c>
    </row>
    <row r="490" spans="1:9">
      <c r="A490" s="4" t="s">
        <v>495</v>
      </c>
      <c r="B490" s="4" t="s">
        <v>496</v>
      </c>
      <c r="C490" s="5">
        <v>2022</v>
      </c>
      <c r="D490" s="4">
        <v>0</v>
      </c>
      <c r="E490" s="4">
        <v>35000000</v>
      </c>
      <c r="F490" s="4" t="str">
        <f>_xlfn.LET(_xlpm.r, _xlfn.XLOOKUP(Clean_Data[[#This Row],[Country_Code]], Metadata_Country!$A:$A, Metadata_Country!$B:$B, "Unknown"), IF(OR(_xlpm.r=0, _xlpm.r=""), "Regional Aggregate", _xlpm.r))</f>
        <v>Middle East &amp; North Africa</v>
      </c>
      <c r="G490" s="4" t="str">
        <f>_xlfn.LET(_xlpm.ig, _xlfn.XLOOKUP(Clean_Data[[#This Row],[Country_Code]], Metadata_Country!$A:$A, Metadata_Country!$C:$C, "Unknown"), IF(OR(_xlpm.ig=0, _xlpm.ig=""), "Regional Aggregate", _xlpm.ig))</f>
        <v>Lower middle income</v>
      </c>
      <c r="H490" s="4">
        <f>Clean_Data[[#This Row],[Exports_TIV]] - Clean_Data[[#This Row],[Imports_TIV]]</f>
        <v>-35000000</v>
      </c>
      <c r="I490" s="4">
        <f>Clean_Data[[#This Row],[Exports_TIV]] + Clean_Data[[#This Row],[Imports_TIV]]</f>
        <v>35000000</v>
      </c>
    </row>
    <row r="491" spans="1:9">
      <c r="A491" s="4" t="s">
        <v>497</v>
      </c>
      <c r="B491" s="4" t="s">
        <v>498</v>
      </c>
      <c r="C491" s="5">
        <v>2022</v>
      </c>
      <c r="D491" s="4">
        <v>628000000</v>
      </c>
      <c r="E491" s="4">
        <v>187000000</v>
      </c>
      <c r="F491" s="4" t="str">
        <f>_xlfn.LET(_xlpm.r, _xlfn.XLOOKUP(Clean_Data[[#This Row],[Country_Code]], Metadata_Country!$A:$A, Metadata_Country!$B:$B, "Unknown"), IF(OR(_xlpm.r=0, _xlpm.r=""), "Regional Aggregate", _xlpm.r))</f>
        <v>Europe &amp; Central Asia</v>
      </c>
      <c r="G491" s="4" t="str">
        <f>_xlfn.LET(_xlpm.ig, _xlfn.XLOOKUP(Clean_Data[[#This Row],[Country_Code]], Metadata_Country!$A:$A, Metadata_Country!$C:$C, "Unknown"), IF(OR(_xlpm.ig=0, _xlpm.ig=""), "Regional Aggregate", _xlpm.ig))</f>
        <v>Upper middle income</v>
      </c>
      <c r="H491" s="4">
        <f>Clean_Data[[#This Row],[Exports_TIV]] - Clean_Data[[#This Row],[Imports_TIV]]</f>
        <v>441000000</v>
      </c>
      <c r="I491" s="4">
        <f>Clean_Data[[#This Row],[Exports_TIV]] + Clean_Data[[#This Row],[Imports_TIV]]</f>
        <v>815000000</v>
      </c>
    </row>
    <row r="492" spans="1:9">
      <c r="A492" s="4" t="s">
        <v>503</v>
      </c>
      <c r="B492" s="4" t="s">
        <v>504</v>
      </c>
      <c r="C492" s="5">
        <v>2022</v>
      </c>
      <c r="D492" s="4">
        <v>0</v>
      </c>
      <c r="E492" s="4">
        <v>66000000</v>
      </c>
      <c r="F492" s="4" t="str">
        <f>_xlfn.LET(_xlpm.r, _xlfn.XLOOKUP(Clean_Data[[#This Row],[Country_Code]], Metadata_Country!$A:$A, Metadata_Country!$B:$B, "Unknown"), IF(OR(_xlpm.r=0, _xlpm.r=""), "Regional Aggregate", _xlpm.r))</f>
        <v>Sub-Saharan Africa</v>
      </c>
      <c r="G492" s="4" t="str">
        <f>_xlfn.LET(_xlpm.ig, _xlfn.XLOOKUP(Clean_Data[[#This Row],[Country_Code]], Metadata_Country!$A:$A, Metadata_Country!$C:$C, "Unknown"), IF(OR(_xlpm.ig=0, _xlpm.ig=""), "Regional Aggregate", _xlpm.ig))</f>
        <v>Low income</v>
      </c>
      <c r="H492" s="4">
        <f>Clean_Data[[#This Row],[Exports_TIV]] - Clean_Data[[#This Row],[Imports_TIV]]</f>
        <v>-66000000</v>
      </c>
      <c r="I492" s="4">
        <f>Clean_Data[[#This Row],[Exports_TIV]] + Clean_Data[[#This Row],[Imports_TIV]]</f>
        <v>66000000</v>
      </c>
    </row>
    <row r="493" spans="1:9">
      <c r="A493" s="4" t="s">
        <v>505</v>
      </c>
      <c r="B493" s="4" t="s">
        <v>506</v>
      </c>
      <c r="C493" s="5">
        <v>2022</v>
      </c>
      <c r="D493" s="4">
        <v>102000000</v>
      </c>
      <c r="E493" s="4">
        <v>2967000000</v>
      </c>
      <c r="F493" s="4" t="str">
        <f>_xlfn.LET(_xlpm.r, _xlfn.XLOOKUP(Clean_Data[[#This Row],[Country_Code]], Metadata_Country!$A:$A, Metadata_Country!$B:$B, "Unknown"), IF(OR(_xlpm.r=0, _xlpm.r=""), "Regional Aggregate", _xlpm.r))</f>
        <v>Europe &amp; Central Asia</v>
      </c>
      <c r="G493" s="4" t="str">
        <f>_xlfn.LET(_xlpm.ig, _xlfn.XLOOKUP(Clean_Data[[#This Row],[Country_Code]], Metadata_Country!$A:$A, Metadata_Country!$C:$C, "Unknown"), IF(OR(_xlpm.ig=0, _xlpm.ig=""), "Regional Aggregate", _xlpm.ig))</f>
        <v>Upper middle income</v>
      </c>
      <c r="H493" s="4">
        <f>Clean_Data[[#This Row],[Exports_TIV]] - Clean_Data[[#This Row],[Imports_TIV]]</f>
        <v>-2865000000</v>
      </c>
      <c r="I493" s="4">
        <f>Clean_Data[[#This Row],[Exports_TIV]] + Clean_Data[[#This Row],[Imports_TIV]]</f>
        <v>3069000000</v>
      </c>
    </row>
    <row r="494" spans="1:9">
      <c r="A494" s="4" t="s">
        <v>25</v>
      </c>
      <c r="B494" s="4" t="s">
        <v>26</v>
      </c>
      <c r="C494" s="5">
        <v>2022</v>
      </c>
      <c r="D494" s="4">
        <v>17000000</v>
      </c>
      <c r="E494" s="4">
        <v>756000000</v>
      </c>
      <c r="F494" s="4" t="str">
        <f>_xlfn.LET(_xlpm.r, _xlfn.XLOOKUP(Clean_Data[[#This Row],[Country_Code]], Metadata_Country!$A:$A, Metadata_Country!$B:$B, "Unknown"), IF(OR(_xlpm.r=0, _xlpm.r=""), "Regional Aggregate", _xlpm.r))</f>
        <v>Middle East &amp; North Africa</v>
      </c>
      <c r="G494" s="4" t="str">
        <f>_xlfn.LET(_xlpm.ig, _xlfn.XLOOKUP(Clean_Data[[#This Row],[Country_Code]], Metadata_Country!$A:$A, Metadata_Country!$C:$C, "Unknown"), IF(OR(_xlpm.ig=0, _xlpm.ig=""), "Regional Aggregate", _xlpm.ig))</f>
        <v>High income</v>
      </c>
      <c r="H494" s="4">
        <f>Clean_Data[[#This Row],[Exports_TIV]] - Clean_Data[[#This Row],[Imports_TIV]]</f>
        <v>-739000000</v>
      </c>
      <c r="I494" s="4">
        <f>Clean_Data[[#This Row],[Exports_TIV]] + Clean_Data[[#This Row],[Imports_TIV]]</f>
        <v>773000000</v>
      </c>
    </row>
    <row r="495" spans="1:9">
      <c r="A495" s="4" t="s">
        <v>171</v>
      </c>
      <c r="B495" s="4" t="s">
        <v>172</v>
      </c>
      <c r="C495" s="5">
        <v>2022</v>
      </c>
      <c r="D495" s="4">
        <v>1740000000</v>
      </c>
      <c r="E495" s="4">
        <v>859000000</v>
      </c>
      <c r="F495" s="4" t="str">
        <f>_xlfn.LET(_xlpm.r, _xlfn.XLOOKUP(Clean_Data[[#This Row],[Country_Code]], Metadata_Country!$A:$A, Metadata_Country!$B:$B, "Unknown"), IF(OR(_xlpm.r=0, _xlpm.r=""), "Regional Aggregate", _xlpm.r))</f>
        <v>Europe &amp; Central Asia</v>
      </c>
      <c r="G495" s="4" t="str">
        <f>_xlfn.LET(_xlpm.ig, _xlfn.XLOOKUP(Clean_Data[[#This Row],[Country_Code]], Metadata_Country!$A:$A, Metadata_Country!$C:$C, "Unknown"), IF(OR(_xlpm.ig=0, _xlpm.ig=""), "Regional Aggregate", _xlpm.ig))</f>
        <v>High income</v>
      </c>
      <c r="H495" s="4">
        <f>Clean_Data[[#This Row],[Exports_TIV]] - Clean_Data[[#This Row],[Imports_TIV]]</f>
        <v>881000000</v>
      </c>
      <c r="I495" s="4">
        <f>Clean_Data[[#This Row],[Exports_TIV]] + Clean_Data[[#This Row],[Imports_TIV]]</f>
        <v>2599000000</v>
      </c>
    </row>
    <row r="496" spans="1:9">
      <c r="A496" s="4" t="s">
        <v>511</v>
      </c>
      <c r="B496" s="4" t="s">
        <v>512</v>
      </c>
      <c r="C496" s="5">
        <v>2022</v>
      </c>
      <c r="D496" s="4">
        <v>14505000000</v>
      </c>
      <c r="E496" s="4">
        <v>846000000</v>
      </c>
      <c r="F496" s="4" t="str">
        <f>_xlfn.LET(_xlpm.r, _xlfn.XLOOKUP(Clean_Data[[#This Row],[Country_Code]], Metadata_Country!$A:$A, Metadata_Country!$B:$B, "Unknown"), IF(OR(_xlpm.r=0, _xlpm.r=""), "Regional Aggregate", _xlpm.r))</f>
        <v>North America</v>
      </c>
      <c r="G496" s="4" t="str">
        <f>_xlfn.LET(_xlpm.ig, _xlfn.XLOOKUP(Clean_Data[[#This Row],[Country_Code]], Metadata_Country!$A:$A, Metadata_Country!$C:$C, "Unknown"), IF(OR(_xlpm.ig=0, _xlpm.ig=""), "Regional Aggregate", _xlpm.ig))</f>
        <v>High income</v>
      </c>
      <c r="H496" s="4">
        <f>Clean_Data[[#This Row],[Exports_TIV]] - Clean_Data[[#This Row],[Imports_TIV]]</f>
        <v>13659000000</v>
      </c>
      <c r="I496" s="4">
        <f>Clean_Data[[#This Row],[Exports_TIV]] + Clean_Data[[#This Row],[Imports_TIV]]</f>
        <v>15351000000</v>
      </c>
    </row>
    <row r="497" spans="1:9">
      <c r="A497" s="4" t="s">
        <v>507</v>
      </c>
      <c r="B497" s="4" t="s">
        <v>508</v>
      </c>
      <c r="C497" s="5">
        <v>2022</v>
      </c>
      <c r="D497" s="4">
        <v>0</v>
      </c>
      <c r="E497" s="4">
        <v>6459000000</v>
      </c>
      <c r="F497" s="4" t="str">
        <f>_xlfn.LET(_xlpm.r, _xlfn.XLOOKUP(Clean_Data[[#This Row],[Country_Code]], Metadata_Country!$A:$A, Metadata_Country!$B:$B, "Unknown"), IF(OR(_xlpm.r=0, _xlpm.r=""), "Regional Aggregate", _xlpm.r))</f>
        <v>Regional Aggregate</v>
      </c>
      <c r="G497" s="4" t="str">
        <f>_xlfn.LET(_xlpm.ig, _xlfn.XLOOKUP(Clean_Data[[#This Row],[Country_Code]], Metadata_Country!$A:$A, Metadata_Country!$C:$C, "Unknown"), IF(OR(_xlpm.ig=0, _xlpm.ig=""), "Regional Aggregate", _xlpm.ig))</f>
        <v>Regional Aggregate</v>
      </c>
      <c r="H497" s="4">
        <f>Clean_Data[[#This Row],[Exports_TIV]] - Clean_Data[[#This Row],[Imports_TIV]]</f>
        <v>-6459000000</v>
      </c>
      <c r="I497" s="4">
        <f>Clean_Data[[#This Row],[Exports_TIV]] + Clean_Data[[#This Row],[Imports_TIV]]</f>
        <v>6459000000</v>
      </c>
    </row>
    <row r="498" spans="1:9">
      <c r="A498" s="4" t="s">
        <v>509</v>
      </c>
      <c r="B498" s="4" t="s">
        <v>510</v>
      </c>
      <c r="C498" s="5">
        <v>2022</v>
      </c>
      <c r="D498" s="4">
        <v>0</v>
      </c>
      <c r="E498" s="4">
        <v>10000000</v>
      </c>
      <c r="F498" s="4" t="str">
        <f>_xlfn.LET(_xlpm.r, _xlfn.XLOOKUP(Clean_Data[[#This Row],[Country_Code]], Metadata_Country!$A:$A, Metadata_Country!$B:$B, "Unknown"), IF(OR(_xlpm.r=0, _xlpm.r=""), "Regional Aggregate", _xlpm.r))</f>
        <v>Latin America &amp; Caribbean</v>
      </c>
      <c r="G498" s="4" t="str">
        <f>_xlfn.LET(_xlpm.ig, _xlfn.XLOOKUP(Clean_Data[[#This Row],[Country_Code]], Metadata_Country!$A:$A, Metadata_Country!$C:$C, "Unknown"), IF(OR(_xlpm.ig=0, _xlpm.ig=""), "Regional Aggregate", _xlpm.ig))</f>
        <v>High income</v>
      </c>
      <c r="H498" s="4">
        <f>Clean_Data[[#This Row],[Exports_TIV]] - Clean_Data[[#This Row],[Imports_TIV]]</f>
        <v>-10000000</v>
      </c>
      <c r="I498" s="4">
        <f>Clean_Data[[#This Row],[Exports_TIV]] + Clean_Data[[#This Row],[Imports_TIV]]</f>
        <v>10000000</v>
      </c>
    </row>
    <row r="499" spans="1:9">
      <c r="A499" s="4" t="s">
        <v>513</v>
      </c>
      <c r="B499" s="4" t="s">
        <v>514</v>
      </c>
      <c r="C499" s="5">
        <v>2022</v>
      </c>
      <c r="D499" s="4">
        <v>0</v>
      </c>
      <c r="E499" s="4">
        <v>22000000</v>
      </c>
      <c r="F499" s="4" t="str">
        <f>_xlfn.LET(_xlpm.r, _xlfn.XLOOKUP(Clean_Data[[#This Row],[Country_Code]], Metadata_Country!$A:$A, Metadata_Country!$B:$B, "Unknown"), IF(OR(_xlpm.r=0, _xlpm.r=""), "Regional Aggregate", _xlpm.r))</f>
        <v>Europe &amp; Central Asia</v>
      </c>
      <c r="G499" s="4" t="str">
        <f>_xlfn.LET(_xlpm.ig, _xlfn.XLOOKUP(Clean_Data[[#This Row],[Country_Code]], Metadata_Country!$A:$A, Metadata_Country!$C:$C, "Unknown"), IF(OR(_xlpm.ig=0, _xlpm.ig=""), "Regional Aggregate", _xlpm.ig))</f>
        <v>Lower middle income</v>
      </c>
      <c r="H499" s="4">
        <f>Clean_Data[[#This Row],[Exports_TIV]] - Clean_Data[[#This Row],[Imports_TIV]]</f>
        <v>-22000000</v>
      </c>
      <c r="I499" s="4">
        <f>Clean_Data[[#This Row],[Exports_TIV]] + Clean_Data[[#This Row],[Imports_TIV]]</f>
        <v>22000000</v>
      </c>
    </row>
    <row r="500" spans="1:9">
      <c r="A500" s="4" t="s">
        <v>523</v>
      </c>
      <c r="B500" s="4" t="s">
        <v>524</v>
      </c>
      <c r="C500" s="5">
        <v>2022</v>
      </c>
      <c r="D500" s="4">
        <v>0</v>
      </c>
      <c r="E500" s="4">
        <v>86000000</v>
      </c>
      <c r="F500" s="4" t="str">
        <f>_xlfn.LET(_xlpm.r, _xlfn.XLOOKUP(Clean_Data[[#This Row],[Country_Code]], Metadata_Country!$A:$A, Metadata_Country!$B:$B, "Unknown"), IF(OR(_xlpm.r=0, _xlpm.r=""), "Regional Aggregate", _xlpm.r))</f>
        <v>East Asia &amp; Pacific</v>
      </c>
      <c r="G500" s="4" t="str">
        <f>_xlfn.LET(_xlpm.ig, _xlfn.XLOOKUP(Clean_Data[[#This Row],[Country_Code]], Metadata_Country!$A:$A, Metadata_Country!$C:$C, "Unknown"), IF(OR(_xlpm.ig=0, _xlpm.ig=""), "Regional Aggregate", _xlpm.ig))</f>
        <v>Upper middle income</v>
      </c>
      <c r="H500" s="4">
        <f>Clean_Data[[#This Row],[Exports_TIV]] - Clean_Data[[#This Row],[Imports_TIV]]</f>
        <v>-86000000</v>
      </c>
      <c r="I500" s="4">
        <f>Clean_Data[[#This Row],[Exports_TIV]] + Clean_Data[[#This Row],[Imports_TIV]]</f>
        <v>86000000</v>
      </c>
    </row>
    <row r="501" spans="1:9">
      <c r="A501" s="4" t="s">
        <v>527</v>
      </c>
      <c r="B501" s="4" t="s">
        <v>528</v>
      </c>
      <c r="C501" s="5">
        <v>2022</v>
      </c>
      <c r="D501" s="4">
        <v>33297000000</v>
      </c>
      <c r="E501" s="4">
        <v>33033000000</v>
      </c>
      <c r="F501" s="4" t="str">
        <f>_xlfn.LET(_xlpm.r, _xlfn.XLOOKUP(Clean_Data[[#This Row],[Country_Code]], Metadata_Country!$A:$A, Metadata_Country!$B:$B, "Unknown"), IF(OR(_xlpm.r=0, _xlpm.r=""), "Regional Aggregate", _xlpm.r))</f>
        <v>Regional Aggregate</v>
      </c>
      <c r="G501" s="4" t="str">
        <f>_xlfn.LET(_xlpm.ig, _xlfn.XLOOKUP(Clean_Data[[#This Row],[Country_Code]], Metadata_Country!$A:$A, Metadata_Country!$C:$C, "Unknown"), IF(OR(_xlpm.ig=0, _xlpm.ig=""), "Regional Aggregate", _xlpm.ig))</f>
        <v>Regional Aggregate</v>
      </c>
      <c r="H501" s="4">
        <f>Clean_Data[[#This Row],[Exports_TIV]] - Clean_Data[[#This Row],[Imports_TIV]]</f>
        <v>264000000</v>
      </c>
      <c r="I501" s="4">
        <f>Clean_Data[[#This Row],[Exports_TIV]] + Clean_Data[[#This Row],[Imports_TIV]]</f>
        <v>66330000000</v>
      </c>
    </row>
    <row r="502" spans="1:9">
      <c r="A502" s="4" t="s">
        <v>533</v>
      </c>
      <c r="B502" s="4" t="s">
        <v>534</v>
      </c>
      <c r="C502" s="5">
        <v>2022</v>
      </c>
      <c r="D502" s="4">
        <v>0</v>
      </c>
      <c r="E502" s="4">
        <v>1000000</v>
      </c>
      <c r="F502" s="4" t="str">
        <f>_xlfn.LET(_xlpm.r, _xlfn.XLOOKUP(Clean_Data[[#This Row],[Country_Code]], Metadata_Country!$A:$A, Metadata_Country!$B:$B, "Unknown"), IF(OR(_xlpm.r=0, _xlpm.r=""), "Regional Aggregate", _xlpm.r))</f>
        <v>Middle East &amp; North Africa</v>
      </c>
      <c r="G502" s="4" t="str">
        <f>_xlfn.LET(_xlpm.ig, _xlfn.XLOOKUP(Clean_Data[[#This Row],[Country_Code]], Metadata_Country!$A:$A, Metadata_Country!$C:$C, "Unknown"), IF(OR(_xlpm.ig=0, _xlpm.ig=""), "Regional Aggregate", _xlpm.ig))</f>
        <v>Low income</v>
      </c>
      <c r="H502" s="4">
        <f>Clean_Data[[#This Row],[Exports_TIV]] - Clean_Data[[#This Row],[Imports_TIV]]</f>
        <v>-1000000</v>
      </c>
      <c r="I502" s="4">
        <f>Clean_Data[[#This Row],[Exports_TIV]] + Clean_Data[[#This Row],[Imports_TIV]]</f>
        <v>1000000</v>
      </c>
    </row>
    <row r="503" spans="1:9">
      <c r="A503" s="4" t="s">
        <v>537</v>
      </c>
      <c r="B503" s="4" t="s">
        <v>538</v>
      </c>
      <c r="C503" s="5">
        <v>2022</v>
      </c>
      <c r="D503" s="4">
        <v>0</v>
      </c>
      <c r="E503" s="4">
        <v>2000000</v>
      </c>
      <c r="F503" s="4" t="str">
        <f>_xlfn.LET(_xlpm.r, _xlfn.XLOOKUP(Clean_Data[[#This Row],[Country_Code]], Metadata_Country!$A:$A, Metadata_Country!$B:$B, "Unknown"), IF(OR(_xlpm.r=0, _xlpm.r=""), "Regional Aggregate", _xlpm.r))</f>
        <v>Sub-Saharan Africa</v>
      </c>
      <c r="G503" s="4" t="str">
        <f>_xlfn.LET(_xlpm.ig, _xlfn.XLOOKUP(Clean_Data[[#This Row],[Country_Code]], Metadata_Country!$A:$A, Metadata_Country!$C:$C, "Unknown"), IF(OR(_xlpm.ig=0, _xlpm.ig=""), "Regional Aggregate", _xlpm.ig))</f>
        <v>Lower middle income</v>
      </c>
      <c r="H503" s="4">
        <f>Clean_Data[[#This Row],[Exports_TIV]] - Clean_Data[[#This Row],[Imports_TIV]]</f>
        <v>-2000000</v>
      </c>
      <c r="I503" s="4">
        <f>Clean_Data[[#This Row],[Exports_TIV]] + Clean_Data[[#This Row],[Imports_TIV]]</f>
        <v>2000000</v>
      </c>
    </row>
    <row r="504" spans="1:9">
      <c r="A504" s="4" t="s">
        <v>13</v>
      </c>
      <c r="B504" s="4" t="s">
        <v>14</v>
      </c>
      <c r="C504" s="5">
        <v>2021</v>
      </c>
      <c r="D504" s="4">
        <v>0</v>
      </c>
      <c r="E504" s="4">
        <v>65000000</v>
      </c>
      <c r="F504" s="4" t="str">
        <f>_xlfn.LET(_xlpm.r, _xlfn.XLOOKUP(Clean_Data[[#This Row],[Country_Code]], Metadata_Country!$A:$A, Metadata_Country!$B:$B, "Unknown"), IF(OR(_xlpm.r=0, _xlpm.r=""), "Regional Aggregate", _xlpm.r))</f>
        <v>Middle East &amp; North Africa</v>
      </c>
      <c r="G504" s="4" t="str">
        <f>_xlfn.LET(_xlpm.ig, _xlfn.XLOOKUP(Clean_Data[[#This Row],[Country_Code]], Metadata_Country!$A:$A, Metadata_Country!$C:$C, "Unknown"), IF(OR(_xlpm.ig=0, _xlpm.ig=""), "Regional Aggregate", _xlpm.ig))</f>
        <v>Low income</v>
      </c>
      <c r="H504" s="4">
        <f>Clean_Data[[#This Row],[Exports_TIV]] - Clean_Data[[#This Row],[Imports_TIV]]</f>
        <v>-65000000</v>
      </c>
      <c r="I504" s="4">
        <f>Clean_Data[[#This Row],[Exports_TIV]] + Clean_Data[[#This Row],[Imports_TIV]]</f>
        <v>65000000</v>
      </c>
    </row>
    <row r="505" spans="1:9">
      <c r="A505" s="4" t="s">
        <v>15</v>
      </c>
      <c r="B505" s="4" t="s">
        <v>16</v>
      </c>
      <c r="C505" s="5">
        <v>2021</v>
      </c>
      <c r="D505" s="4">
        <v>0</v>
      </c>
      <c r="E505" s="4">
        <v>499000000</v>
      </c>
      <c r="F505" s="4" t="str">
        <f>_xlfn.LET(_xlpm.r, _xlfn.XLOOKUP(Clean_Data[[#This Row],[Country_Code]], Metadata_Country!$A:$A, Metadata_Country!$B:$B, "Unknown"), IF(OR(_xlpm.r=0, _xlpm.r=""), "Regional Aggregate", _xlpm.r))</f>
        <v>Regional Aggregate</v>
      </c>
      <c r="G505" s="4" t="str">
        <f>_xlfn.LET(_xlpm.ig, _xlfn.XLOOKUP(Clean_Data[[#This Row],[Country_Code]], Metadata_Country!$A:$A, Metadata_Country!$C:$C, "Unknown"), IF(OR(_xlpm.ig=0, _xlpm.ig=""), "Regional Aggregate", _xlpm.ig))</f>
        <v>Regional Aggregate</v>
      </c>
      <c r="H505" s="4">
        <f>Clean_Data[[#This Row],[Exports_TIV]] - Clean_Data[[#This Row],[Imports_TIV]]</f>
        <v>-499000000</v>
      </c>
      <c r="I505" s="4">
        <f>Clean_Data[[#This Row],[Exports_TIV]] + Clean_Data[[#This Row],[Imports_TIV]]</f>
        <v>499000000</v>
      </c>
    </row>
    <row r="506" spans="1:9">
      <c r="A506" s="4" t="s">
        <v>19</v>
      </c>
      <c r="B506" s="4" t="s">
        <v>20</v>
      </c>
      <c r="C506" s="5">
        <v>2021</v>
      </c>
      <c r="D506" s="4">
        <v>0</v>
      </c>
      <c r="E506" s="4">
        <v>1000000</v>
      </c>
      <c r="F506" s="4" t="str">
        <f>_xlfn.LET(_xlpm.r, _xlfn.XLOOKUP(Clean_Data[[#This Row],[Country_Code]], Metadata_Country!$A:$A, Metadata_Country!$B:$B, "Unknown"), IF(OR(_xlpm.r=0, _xlpm.r=""), "Regional Aggregate", _xlpm.r))</f>
        <v>Europe &amp; Central Asia</v>
      </c>
      <c r="G506" s="4" t="str">
        <f>_xlfn.LET(_xlpm.ig, _xlfn.XLOOKUP(Clean_Data[[#This Row],[Country_Code]], Metadata_Country!$A:$A, Metadata_Country!$C:$C, "Unknown"), IF(OR(_xlpm.ig=0, _xlpm.ig=""), "Regional Aggregate", _xlpm.ig))</f>
        <v>Upper middle income</v>
      </c>
      <c r="H506" s="4">
        <f>Clean_Data[[#This Row],[Exports_TIV]] - Clean_Data[[#This Row],[Imports_TIV]]</f>
        <v>-1000000</v>
      </c>
      <c r="I506" s="4">
        <f>Clean_Data[[#This Row],[Exports_TIV]] + Clean_Data[[#This Row],[Imports_TIV]]</f>
        <v>1000000</v>
      </c>
    </row>
    <row r="507" spans="1:9">
      <c r="A507" s="4" t="s">
        <v>129</v>
      </c>
      <c r="B507" s="4" t="s">
        <v>130</v>
      </c>
      <c r="C507" s="5">
        <v>2021</v>
      </c>
      <c r="D507" s="4">
        <v>0</v>
      </c>
      <c r="E507" s="4">
        <v>164000000</v>
      </c>
      <c r="F507" s="4" t="str">
        <f>_xlfn.LET(_xlpm.r, _xlfn.XLOOKUP(Clean_Data[[#This Row],[Country_Code]], Metadata_Country!$A:$A, Metadata_Country!$B:$B, "Unknown"), IF(OR(_xlpm.r=0, _xlpm.r=""), "Regional Aggregate", _xlpm.r))</f>
        <v>Middle East &amp; North Africa</v>
      </c>
      <c r="G507" s="4" t="str">
        <f>_xlfn.LET(_xlpm.ig, _xlfn.XLOOKUP(Clean_Data[[#This Row],[Country_Code]], Metadata_Country!$A:$A, Metadata_Country!$C:$C, "Unknown"), IF(OR(_xlpm.ig=0, _xlpm.ig=""), "Regional Aggregate", _xlpm.ig))</f>
        <v>Upper middle income</v>
      </c>
      <c r="H507" s="4">
        <f>Clean_Data[[#This Row],[Exports_TIV]] - Clean_Data[[#This Row],[Imports_TIV]]</f>
        <v>-164000000</v>
      </c>
      <c r="I507" s="4">
        <f>Clean_Data[[#This Row],[Exports_TIV]] + Clean_Data[[#This Row],[Imports_TIV]]</f>
        <v>164000000</v>
      </c>
    </row>
    <row r="508" spans="1:9">
      <c r="A508" s="4" t="s">
        <v>23</v>
      </c>
      <c r="B508" s="4" t="s">
        <v>24</v>
      </c>
      <c r="C508" s="5">
        <v>2021</v>
      </c>
      <c r="D508" s="4">
        <v>0</v>
      </c>
      <c r="E508" s="4">
        <v>8071000000</v>
      </c>
      <c r="F508" s="4" t="str">
        <f>_xlfn.LET(_xlpm.r, _xlfn.XLOOKUP(Clean_Data[[#This Row],[Country_Code]], Metadata_Country!$A:$A, Metadata_Country!$B:$B, "Unknown"), IF(OR(_xlpm.r=0, _xlpm.r=""), "Regional Aggregate", _xlpm.r))</f>
        <v>Regional Aggregate</v>
      </c>
      <c r="G508" s="4" t="str">
        <f>_xlfn.LET(_xlpm.ig, _xlfn.XLOOKUP(Clean_Data[[#This Row],[Country_Code]], Metadata_Country!$A:$A, Metadata_Country!$C:$C, "Unknown"), IF(OR(_xlpm.ig=0, _xlpm.ig=""), "Regional Aggregate", _xlpm.ig))</f>
        <v>Regional Aggregate</v>
      </c>
      <c r="H508" s="4">
        <f>Clean_Data[[#This Row],[Exports_TIV]] - Clean_Data[[#This Row],[Imports_TIV]]</f>
        <v>-8071000000</v>
      </c>
      <c r="I508" s="4">
        <f>Clean_Data[[#This Row],[Exports_TIV]] + Clean_Data[[#This Row],[Imports_TIV]]</f>
        <v>8071000000</v>
      </c>
    </row>
    <row r="509" spans="1:9">
      <c r="A509" s="4" t="s">
        <v>27</v>
      </c>
      <c r="B509" s="4" t="s">
        <v>28</v>
      </c>
      <c r="C509" s="5">
        <v>2021</v>
      </c>
      <c r="D509" s="4">
        <v>0</v>
      </c>
      <c r="E509" s="4">
        <v>77000000</v>
      </c>
      <c r="F509" s="4" t="str">
        <f>_xlfn.LET(_xlpm.r, _xlfn.XLOOKUP(Clean_Data[[#This Row],[Country_Code]], Metadata_Country!$A:$A, Metadata_Country!$B:$B, "Unknown"), IF(OR(_xlpm.r=0, _xlpm.r=""), "Regional Aggregate", _xlpm.r))</f>
        <v>Latin America &amp; Caribbean</v>
      </c>
      <c r="G509" s="4" t="str">
        <f>_xlfn.LET(_xlpm.ig, _xlfn.XLOOKUP(Clean_Data[[#This Row],[Country_Code]], Metadata_Country!$A:$A, Metadata_Country!$C:$C, "Unknown"), IF(OR(_xlpm.ig=0, _xlpm.ig=""), "Regional Aggregate", _xlpm.ig))</f>
        <v>Upper middle income</v>
      </c>
      <c r="H509" s="4">
        <f>Clean_Data[[#This Row],[Exports_TIV]] - Clean_Data[[#This Row],[Imports_TIV]]</f>
        <v>-77000000</v>
      </c>
      <c r="I509" s="4">
        <f>Clean_Data[[#This Row],[Exports_TIV]] + Clean_Data[[#This Row],[Imports_TIV]]</f>
        <v>77000000</v>
      </c>
    </row>
    <row r="510" spans="1:9">
      <c r="A510" s="4" t="s">
        <v>29</v>
      </c>
      <c r="B510" s="4" t="s">
        <v>30</v>
      </c>
      <c r="C510" s="5">
        <v>2021</v>
      </c>
      <c r="D510" s="4">
        <v>0</v>
      </c>
      <c r="E510" s="4">
        <v>32000000</v>
      </c>
      <c r="F510" s="4" t="str">
        <f>_xlfn.LET(_xlpm.r, _xlfn.XLOOKUP(Clean_Data[[#This Row],[Country_Code]], Metadata_Country!$A:$A, Metadata_Country!$B:$B, "Unknown"), IF(OR(_xlpm.r=0, _xlpm.r=""), "Regional Aggregate", _xlpm.r))</f>
        <v>Europe &amp; Central Asia</v>
      </c>
      <c r="G510" s="4" t="str">
        <f>_xlfn.LET(_xlpm.ig, _xlfn.XLOOKUP(Clean_Data[[#This Row],[Country_Code]], Metadata_Country!$A:$A, Metadata_Country!$C:$C, "Unknown"), IF(OR(_xlpm.ig=0, _xlpm.ig=""), "Regional Aggregate", _xlpm.ig))</f>
        <v>Upper middle income</v>
      </c>
      <c r="H510" s="4">
        <f>Clean_Data[[#This Row],[Exports_TIV]] - Clean_Data[[#This Row],[Imports_TIV]]</f>
        <v>-32000000</v>
      </c>
      <c r="I510" s="4">
        <f>Clean_Data[[#This Row],[Exports_TIV]] + Clean_Data[[#This Row],[Imports_TIV]]</f>
        <v>32000000</v>
      </c>
    </row>
    <row r="511" spans="1:9">
      <c r="A511" s="4" t="s">
        <v>35</v>
      </c>
      <c r="B511" s="4" t="s">
        <v>36</v>
      </c>
      <c r="C511" s="5">
        <v>2021</v>
      </c>
      <c r="D511" s="4">
        <v>175000000</v>
      </c>
      <c r="E511" s="4">
        <v>1218000000</v>
      </c>
      <c r="F511" s="4" t="str">
        <f>_xlfn.LET(_xlpm.r, _xlfn.XLOOKUP(Clean_Data[[#This Row],[Country_Code]], Metadata_Country!$A:$A, Metadata_Country!$B:$B, "Unknown"), IF(OR(_xlpm.r=0, _xlpm.r=""), "Regional Aggregate", _xlpm.r))</f>
        <v>East Asia &amp; Pacific</v>
      </c>
      <c r="G511" s="4" t="str">
        <f>_xlfn.LET(_xlpm.ig, _xlfn.XLOOKUP(Clean_Data[[#This Row],[Country_Code]], Metadata_Country!$A:$A, Metadata_Country!$C:$C, "Unknown"), IF(OR(_xlpm.ig=0, _xlpm.ig=""), "Regional Aggregate", _xlpm.ig))</f>
        <v>High income</v>
      </c>
      <c r="H511" s="4">
        <f>Clean_Data[[#This Row],[Exports_TIV]] - Clean_Data[[#This Row],[Imports_TIV]]</f>
        <v>-1043000000</v>
      </c>
      <c r="I511" s="4">
        <f>Clean_Data[[#This Row],[Exports_TIV]] + Clean_Data[[#This Row],[Imports_TIV]]</f>
        <v>1393000000</v>
      </c>
    </row>
    <row r="512" spans="1:9">
      <c r="A512" s="4" t="s">
        <v>37</v>
      </c>
      <c r="B512" s="4" t="s">
        <v>38</v>
      </c>
      <c r="C512" s="5">
        <v>2021</v>
      </c>
      <c r="D512" s="4">
        <v>3000000</v>
      </c>
      <c r="E512" s="4">
        <v>34000000</v>
      </c>
      <c r="F512" s="4" t="str">
        <f>_xlfn.LET(_xlpm.r, _xlfn.XLOOKUP(Clean_Data[[#This Row],[Country_Code]], Metadata_Country!$A:$A, Metadata_Country!$B:$B, "Unknown"), IF(OR(_xlpm.r=0, _xlpm.r=""), "Regional Aggregate", _xlpm.r))</f>
        <v>Europe &amp; Central Asia</v>
      </c>
      <c r="G512" s="4" t="str">
        <f>_xlfn.LET(_xlpm.ig, _xlfn.XLOOKUP(Clean_Data[[#This Row],[Country_Code]], Metadata_Country!$A:$A, Metadata_Country!$C:$C, "Unknown"), IF(OR(_xlpm.ig=0, _xlpm.ig=""), "Regional Aggregate", _xlpm.ig))</f>
        <v>High income</v>
      </c>
      <c r="H512" s="4">
        <f>Clean_Data[[#This Row],[Exports_TIV]] - Clean_Data[[#This Row],[Imports_TIV]]</f>
        <v>-31000000</v>
      </c>
      <c r="I512" s="4">
        <f>Clean_Data[[#This Row],[Exports_TIV]] + Clean_Data[[#This Row],[Imports_TIV]]</f>
        <v>37000000</v>
      </c>
    </row>
    <row r="513" spans="1:9">
      <c r="A513" s="4" t="s">
        <v>53</v>
      </c>
      <c r="B513" s="4" t="s">
        <v>54</v>
      </c>
      <c r="C513" s="5">
        <v>2021</v>
      </c>
      <c r="D513" s="4">
        <v>0</v>
      </c>
      <c r="E513" s="4">
        <v>184000000</v>
      </c>
      <c r="F513" s="4" t="str">
        <f>_xlfn.LET(_xlpm.r, _xlfn.XLOOKUP(Clean_Data[[#This Row],[Country_Code]], Metadata_Country!$A:$A, Metadata_Country!$B:$B, "Unknown"), IF(OR(_xlpm.r=0, _xlpm.r=""), "Regional Aggregate", _xlpm.r))</f>
        <v>Middle East &amp; North Africa</v>
      </c>
      <c r="G513" s="4" t="str">
        <f>_xlfn.LET(_xlpm.ig, _xlfn.XLOOKUP(Clean_Data[[#This Row],[Country_Code]], Metadata_Country!$A:$A, Metadata_Country!$C:$C, "Unknown"), IF(OR(_xlpm.ig=0, _xlpm.ig=""), "Regional Aggregate", _xlpm.ig))</f>
        <v>High income</v>
      </c>
      <c r="H513" s="4">
        <f>Clean_Data[[#This Row],[Exports_TIV]] - Clean_Data[[#This Row],[Imports_TIV]]</f>
        <v>-184000000</v>
      </c>
      <c r="I513" s="4">
        <f>Clean_Data[[#This Row],[Exports_TIV]] + Clean_Data[[#This Row],[Imports_TIV]]</f>
        <v>184000000</v>
      </c>
    </row>
    <row r="514" spans="1:9">
      <c r="A514" s="4" t="s">
        <v>49</v>
      </c>
      <c r="B514" s="4" t="s">
        <v>50</v>
      </c>
      <c r="C514" s="5">
        <v>2021</v>
      </c>
      <c r="D514" s="4">
        <v>0</v>
      </c>
      <c r="E514" s="4">
        <v>60000000</v>
      </c>
      <c r="F514" s="4" t="str">
        <f>_xlfn.LET(_xlpm.r, _xlfn.XLOOKUP(Clean_Data[[#This Row],[Country_Code]], Metadata_Country!$A:$A, Metadata_Country!$B:$B, "Unknown"), IF(OR(_xlpm.r=0, _xlpm.r=""), "Regional Aggregate", _xlpm.r))</f>
        <v>South Asia</v>
      </c>
      <c r="G514" s="4" t="str">
        <f>_xlfn.LET(_xlpm.ig, _xlfn.XLOOKUP(Clean_Data[[#This Row],[Country_Code]], Metadata_Country!$A:$A, Metadata_Country!$C:$C, "Unknown"), IF(OR(_xlpm.ig=0, _xlpm.ig=""), "Regional Aggregate", _xlpm.ig))</f>
        <v>Lower middle income</v>
      </c>
      <c r="H514" s="4">
        <f>Clean_Data[[#This Row],[Exports_TIV]] - Clean_Data[[#This Row],[Imports_TIV]]</f>
        <v>-60000000</v>
      </c>
      <c r="I514" s="4">
        <f>Clean_Data[[#This Row],[Exports_TIV]] + Clean_Data[[#This Row],[Imports_TIV]]</f>
        <v>60000000</v>
      </c>
    </row>
    <row r="515" spans="1:9">
      <c r="A515" s="4" t="s">
        <v>59</v>
      </c>
      <c r="B515" s="4" t="s">
        <v>60</v>
      </c>
      <c r="C515" s="5">
        <v>2021</v>
      </c>
      <c r="D515" s="4">
        <v>111000000</v>
      </c>
      <c r="E515" s="4">
        <v>69000000</v>
      </c>
      <c r="F515" s="4" t="str">
        <f>_xlfn.LET(_xlpm.r, _xlfn.XLOOKUP(Clean_Data[[#This Row],[Country_Code]], Metadata_Country!$A:$A, Metadata_Country!$B:$B, "Unknown"), IF(OR(_xlpm.r=0, _xlpm.r=""), "Regional Aggregate", _xlpm.r))</f>
        <v>Europe &amp; Central Asia</v>
      </c>
      <c r="G515" s="4" t="str">
        <f>_xlfn.LET(_xlpm.ig, _xlfn.XLOOKUP(Clean_Data[[#This Row],[Country_Code]], Metadata_Country!$A:$A, Metadata_Country!$C:$C, "Unknown"), IF(OR(_xlpm.ig=0, _xlpm.ig=""), "Regional Aggregate", _xlpm.ig))</f>
        <v>Upper middle income</v>
      </c>
      <c r="H515" s="4">
        <f>Clean_Data[[#This Row],[Exports_TIV]] - Clean_Data[[#This Row],[Imports_TIV]]</f>
        <v>42000000</v>
      </c>
      <c r="I515" s="4">
        <f>Clean_Data[[#This Row],[Exports_TIV]] + Clean_Data[[#This Row],[Imports_TIV]]</f>
        <v>180000000</v>
      </c>
    </row>
    <row r="516" spans="1:9">
      <c r="A516" s="4" t="s">
        <v>43</v>
      </c>
      <c r="B516" s="4" t="s">
        <v>44</v>
      </c>
      <c r="C516" s="5">
        <v>2021</v>
      </c>
      <c r="D516" s="4">
        <v>99000000</v>
      </c>
      <c r="E516" s="4">
        <v>255000000</v>
      </c>
      <c r="F516" s="4" t="str">
        <f>_xlfn.LET(_xlpm.r, _xlfn.XLOOKUP(Clean_Data[[#This Row],[Country_Code]], Metadata_Country!$A:$A, Metadata_Country!$B:$B, "Unknown"), IF(OR(_xlpm.r=0, _xlpm.r=""), "Regional Aggregate", _xlpm.r))</f>
        <v>Europe &amp; Central Asia</v>
      </c>
      <c r="G516" s="4" t="str">
        <f>_xlfn.LET(_xlpm.ig, _xlfn.XLOOKUP(Clean_Data[[#This Row],[Country_Code]], Metadata_Country!$A:$A, Metadata_Country!$C:$C, "Unknown"), IF(OR(_xlpm.ig=0, _xlpm.ig=""), "Regional Aggregate", _xlpm.ig))</f>
        <v>High income</v>
      </c>
      <c r="H516" s="4">
        <f>Clean_Data[[#This Row],[Exports_TIV]] - Clean_Data[[#This Row],[Imports_TIV]]</f>
        <v>-156000000</v>
      </c>
      <c r="I516" s="4">
        <f>Clean_Data[[#This Row],[Exports_TIV]] + Clean_Data[[#This Row],[Imports_TIV]]</f>
        <v>354000000</v>
      </c>
    </row>
    <row r="517" spans="1:9">
      <c r="A517" s="4" t="s">
        <v>73</v>
      </c>
      <c r="B517" s="4" t="s">
        <v>74</v>
      </c>
      <c r="C517" s="5">
        <v>2021</v>
      </c>
      <c r="D517" s="4">
        <v>0</v>
      </c>
      <c r="E517" s="4">
        <v>5000000</v>
      </c>
      <c r="F517" s="4" t="str">
        <f>_xlfn.LET(_xlpm.r, _xlfn.XLOOKUP(Clean_Data[[#This Row],[Country_Code]], Metadata_Country!$A:$A, Metadata_Country!$B:$B, "Unknown"), IF(OR(_xlpm.r=0, _xlpm.r=""), "Regional Aggregate", _xlpm.r))</f>
        <v>South Asia</v>
      </c>
      <c r="G517" s="4" t="str">
        <f>_xlfn.LET(_xlpm.ig, _xlfn.XLOOKUP(Clean_Data[[#This Row],[Country_Code]], Metadata_Country!$A:$A, Metadata_Country!$C:$C, "Unknown"), IF(OR(_xlpm.ig=0, _xlpm.ig=""), "Regional Aggregate", _xlpm.ig))</f>
        <v>Lower middle income</v>
      </c>
      <c r="H517" s="4">
        <f>Clean_Data[[#This Row],[Exports_TIV]] - Clean_Data[[#This Row],[Imports_TIV]]</f>
        <v>-5000000</v>
      </c>
      <c r="I517" s="4">
        <f>Clean_Data[[#This Row],[Exports_TIV]] + Clean_Data[[#This Row],[Imports_TIV]]</f>
        <v>5000000</v>
      </c>
    </row>
    <row r="518" spans="1:9">
      <c r="A518" s="4" t="s">
        <v>57</v>
      </c>
      <c r="B518" s="4" t="s">
        <v>58</v>
      </c>
      <c r="C518" s="5">
        <v>2021</v>
      </c>
      <c r="D518" s="4">
        <v>0</v>
      </c>
      <c r="E518" s="4">
        <v>12000000</v>
      </c>
      <c r="F518" s="4" t="str">
        <f>_xlfn.LET(_xlpm.r, _xlfn.XLOOKUP(Clean_Data[[#This Row],[Country_Code]], Metadata_Country!$A:$A, Metadata_Country!$B:$B, "Unknown"), IF(OR(_xlpm.r=0, _xlpm.r=""), "Regional Aggregate", _xlpm.r))</f>
        <v>Europe &amp; Central Asia</v>
      </c>
      <c r="G518" s="4" t="str">
        <f>_xlfn.LET(_xlpm.ig, _xlfn.XLOOKUP(Clean_Data[[#This Row],[Country_Code]], Metadata_Country!$A:$A, Metadata_Country!$C:$C, "Unknown"), IF(OR(_xlpm.ig=0, _xlpm.ig=""), "Regional Aggregate", _xlpm.ig))</f>
        <v>Upper middle income</v>
      </c>
      <c r="H518" s="4">
        <f>Clean_Data[[#This Row],[Exports_TIV]] - Clean_Data[[#This Row],[Imports_TIV]]</f>
        <v>-12000000</v>
      </c>
      <c r="I518" s="4">
        <f>Clean_Data[[#This Row],[Exports_TIV]] + Clean_Data[[#This Row],[Imports_TIV]]</f>
        <v>12000000</v>
      </c>
    </row>
    <row r="519" spans="1:9">
      <c r="A519" s="4" t="s">
        <v>75</v>
      </c>
      <c r="B519" s="4" t="s">
        <v>76</v>
      </c>
      <c r="C519" s="5">
        <v>2021</v>
      </c>
      <c r="D519" s="4">
        <v>0</v>
      </c>
      <c r="E519" s="4">
        <v>16000000</v>
      </c>
      <c r="F519" s="4" t="str">
        <f>_xlfn.LET(_xlpm.r, _xlfn.XLOOKUP(Clean_Data[[#This Row],[Country_Code]], Metadata_Country!$A:$A, Metadata_Country!$B:$B, "Unknown"), IF(OR(_xlpm.r=0, _xlpm.r=""), "Regional Aggregate", _xlpm.r))</f>
        <v>Sub-Saharan Africa</v>
      </c>
      <c r="G519" s="4" t="str">
        <f>_xlfn.LET(_xlpm.ig, _xlfn.XLOOKUP(Clean_Data[[#This Row],[Country_Code]], Metadata_Country!$A:$A, Metadata_Country!$C:$C, "Unknown"), IF(OR(_xlpm.ig=0, _xlpm.ig=""), "Regional Aggregate", _xlpm.ig))</f>
        <v>Upper middle income</v>
      </c>
      <c r="H519" s="4">
        <f>Clean_Data[[#This Row],[Exports_TIV]] - Clean_Data[[#This Row],[Imports_TIV]]</f>
        <v>-16000000</v>
      </c>
      <c r="I519" s="4">
        <f>Clean_Data[[#This Row],[Exports_TIV]] + Clean_Data[[#This Row],[Imports_TIV]]</f>
        <v>16000000</v>
      </c>
    </row>
    <row r="520" spans="1:9">
      <c r="A520" s="4" t="s">
        <v>67</v>
      </c>
      <c r="B520" s="4" t="s">
        <v>68</v>
      </c>
      <c r="C520" s="5">
        <v>2021</v>
      </c>
      <c r="D520" s="4">
        <v>86000000</v>
      </c>
      <c r="E520" s="4">
        <v>240000000</v>
      </c>
      <c r="F520" s="4" t="str">
        <f>_xlfn.LET(_xlpm.r, _xlfn.XLOOKUP(Clean_Data[[#This Row],[Country_Code]], Metadata_Country!$A:$A, Metadata_Country!$B:$B, "Unknown"), IF(OR(_xlpm.r=0, _xlpm.r=""), "Regional Aggregate", _xlpm.r))</f>
        <v>Latin America &amp; Caribbean</v>
      </c>
      <c r="G520" s="4" t="str">
        <f>_xlfn.LET(_xlpm.ig, _xlfn.XLOOKUP(Clean_Data[[#This Row],[Country_Code]], Metadata_Country!$A:$A, Metadata_Country!$C:$C, "Unknown"), IF(OR(_xlpm.ig=0, _xlpm.ig=""), "Regional Aggregate", _xlpm.ig))</f>
        <v>Upper middle income</v>
      </c>
      <c r="H520" s="4">
        <f>Clean_Data[[#This Row],[Exports_TIV]] - Clean_Data[[#This Row],[Imports_TIV]]</f>
        <v>-154000000</v>
      </c>
      <c r="I520" s="4">
        <f>Clean_Data[[#This Row],[Exports_TIV]] + Clean_Data[[#This Row],[Imports_TIV]]</f>
        <v>326000000</v>
      </c>
    </row>
    <row r="521" spans="1:9">
      <c r="A521" s="4" t="s">
        <v>51</v>
      </c>
      <c r="B521" s="4" t="s">
        <v>52</v>
      </c>
      <c r="C521" s="5">
        <v>2021</v>
      </c>
      <c r="D521" s="4">
        <v>7000000</v>
      </c>
      <c r="E521" s="4">
        <v>1000000</v>
      </c>
      <c r="F521" s="4" t="str">
        <f>_xlfn.LET(_xlpm.r, _xlfn.XLOOKUP(Clean_Data[[#This Row],[Country_Code]], Metadata_Country!$A:$A, Metadata_Country!$B:$B, "Unknown"), IF(OR(_xlpm.r=0, _xlpm.r=""), "Regional Aggregate", _xlpm.r))</f>
        <v>Europe &amp; Central Asia</v>
      </c>
      <c r="G521" s="4" t="str">
        <f>_xlfn.LET(_xlpm.ig, _xlfn.XLOOKUP(Clean_Data[[#This Row],[Country_Code]], Metadata_Country!$A:$A, Metadata_Country!$C:$C, "Unknown"), IF(OR(_xlpm.ig=0, _xlpm.ig=""), "Regional Aggregate", _xlpm.ig))</f>
        <v>High income</v>
      </c>
      <c r="H521" s="4">
        <f>Clean_Data[[#This Row],[Exports_TIV]] - Clean_Data[[#This Row],[Imports_TIV]]</f>
        <v>6000000</v>
      </c>
      <c r="I521" s="4">
        <f>Clean_Data[[#This Row],[Exports_TIV]] + Clean_Data[[#This Row],[Imports_TIV]]</f>
        <v>8000000</v>
      </c>
    </row>
    <row r="522" spans="1:9">
      <c r="A522" s="4" t="s">
        <v>47</v>
      </c>
      <c r="B522" s="4" t="s">
        <v>48</v>
      </c>
      <c r="C522" s="5">
        <v>2021</v>
      </c>
      <c r="D522" s="4">
        <v>0</v>
      </c>
      <c r="E522" s="4">
        <v>26000000</v>
      </c>
      <c r="F522" s="4" t="str">
        <f>_xlfn.LET(_xlpm.r, _xlfn.XLOOKUP(Clean_Data[[#This Row],[Country_Code]], Metadata_Country!$A:$A, Metadata_Country!$B:$B, "Unknown"), IF(OR(_xlpm.r=0, _xlpm.r=""), "Regional Aggregate", _xlpm.r))</f>
        <v>Sub-Saharan Africa</v>
      </c>
      <c r="G522" s="4" t="str">
        <f>_xlfn.LET(_xlpm.ig, _xlfn.XLOOKUP(Clean_Data[[#This Row],[Country_Code]], Metadata_Country!$A:$A, Metadata_Country!$C:$C, "Unknown"), IF(OR(_xlpm.ig=0, _xlpm.ig=""), "Regional Aggregate", _xlpm.ig))</f>
        <v>Low income</v>
      </c>
      <c r="H522" s="4">
        <f>Clean_Data[[#This Row],[Exports_TIV]] - Clean_Data[[#This Row],[Imports_TIV]]</f>
        <v>-26000000</v>
      </c>
      <c r="I522" s="4">
        <f>Clean_Data[[#This Row],[Exports_TIV]] + Clean_Data[[#This Row],[Imports_TIV]]</f>
        <v>26000000</v>
      </c>
    </row>
    <row r="523" spans="1:9">
      <c r="A523" s="4" t="s">
        <v>255</v>
      </c>
      <c r="B523" s="4" t="s">
        <v>256</v>
      </c>
      <c r="C523" s="5">
        <v>2021</v>
      </c>
      <c r="D523" s="4">
        <v>0</v>
      </c>
      <c r="E523" s="4">
        <v>35000000</v>
      </c>
      <c r="F523" s="4" t="str">
        <f>_xlfn.LET(_xlpm.r, _xlfn.XLOOKUP(Clean_Data[[#This Row],[Country_Code]], Metadata_Country!$A:$A, Metadata_Country!$B:$B, "Unknown"), IF(OR(_xlpm.r=0, _xlpm.r=""), "Regional Aggregate", _xlpm.r))</f>
        <v>East Asia &amp; Pacific</v>
      </c>
      <c r="G523" s="4" t="str">
        <f>_xlfn.LET(_xlpm.ig, _xlfn.XLOOKUP(Clean_Data[[#This Row],[Country_Code]], Metadata_Country!$A:$A, Metadata_Country!$C:$C, "Unknown"), IF(OR(_xlpm.ig=0, _xlpm.ig=""), "Regional Aggregate", _xlpm.ig))</f>
        <v>Lower middle income</v>
      </c>
      <c r="H523" s="4">
        <f>Clean_Data[[#This Row],[Exports_TIV]] - Clean_Data[[#This Row],[Imports_TIV]]</f>
        <v>-35000000</v>
      </c>
      <c r="I523" s="4">
        <f>Clean_Data[[#This Row],[Exports_TIV]] + Clean_Data[[#This Row],[Imports_TIV]]</f>
        <v>35000000</v>
      </c>
    </row>
    <row r="524" spans="1:9">
      <c r="A524" s="4" t="s">
        <v>93</v>
      </c>
      <c r="B524" s="4" t="s">
        <v>94</v>
      </c>
      <c r="C524" s="5">
        <v>2021</v>
      </c>
      <c r="D524" s="4">
        <v>0</v>
      </c>
      <c r="E524" s="4">
        <v>4000000</v>
      </c>
      <c r="F524" s="4" t="str">
        <f>_xlfn.LET(_xlpm.r, _xlfn.XLOOKUP(Clean_Data[[#This Row],[Country_Code]], Metadata_Country!$A:$A, Metadata_Country!$B:$B, "Unknown"), IF(OR(_xlpm.r=0, _xlpm.r=""), "Regional Aggregate", _xlpm.r))</f>
        <v>Sub-Saharan Africa</v>
      </c>
      <c r="G524" s="4" t="str">
        <f>_xlfn.LET(_xlpm.ig, _xlfn.XLOOKUP(Clean_Data[[#This Row],[Country_Code]], Metadata_Country!$A:$A, Metadata_Country!$C:$C, "Unknown"), IF(OR(_xlpm.ig=0, _xlpm.ig=""), "Regional Aggregate", _xlpm.ig))</f>
        <v>Lower middle income</v>
      </c>
      <c r="H524" s="4">
        <f>Clean_Data[[#This Row],[Exports_TIV]] - Clean_Data[[#This Row],[Imports_TIV]]</f>
        <v>-4000000</v>
      </c>
      <c r="I524" s="4">
        <f>Clean_Data[[#This Row],[Exports_TIV]] + Clean_Data[[#This Row],[Imports_TIV]]</f>
        <v>4000000</v>
      </c>
    </row>
    <row r="525" spans="1:9">
      <c r="A525" s="4" t="s">
        <v>79</v>
      </c>
      <c r="B525" s="4" t="s">
        <v>80</v>
      </c>
      <c r="C525" s="5">
        <v>2021</v>
      </c>
      <c r="D525" s="4">
        <v>144000000</v>
      </c>
      <c r="E525" s="4">
        <v>357000000</v>
      </c>
      <c r="F525" s="4" t="str">
        <f>_xlfn.LET(_xlpm.r, _xlfn.XLOOKUP(Clean_Data[[#This Row],[Country_Code]], Metadata_Country!$A:$A, Metadata_Country!$B:$B, "Unknown"), IF(OR(_xlpm.r=0, _xlpm.r=""), "Regional Aggregate", _xlpm.r))</f>
        <v>North America</v>
      </c>
      <c r="G525" s="4" t="str">
        <f>_xlfn.LET(_xlpm.ig, _xlfn.XLOOKUP(Clean_Data[[#This Row],[Country_Code]], Metadata_Country!$A:$A, Metadata_Country!$C:$C, "Unknown"), IF(OR(_xlpm.ig=0, _xlpm.ig=""), "Regional Aggregate", _xlpm.ig))</f>
        <v>High income</v>
      </c>
      <c r="H525" s="4">
        <f>Clean_Data[[#This Row],[Exports_TIV]] - Clean_Data[[#This Row],[Imports_TIV]]</f>
        <v>-213000000</v>
      </c>
      <c r="I525" s="4">
        <f>Clean_Data[[#This Row],[Exports_TIV]] + Clean_Data[[#This Row],[Imports_TIV]]</f>
        <v>501000000</v>
      </c>
    </row>
    <row r="526" spans="1:9">
      <c r="A526" s="4" t="s">
        <v>77</v>
      </c>
      <c r="B526" s="4" t="s">
        <v>78</v>
      </c>
      <c r="C526" s="5">
        <v>2021</v>
      </c>
      <c r="D526" s="4">
        <v>0</v>
      </c>
      <c r="E526" s="4">
        <v>44000000</v>
      </c>
      <c r="F526" s="4" t="str">
        <f>_xlfn.LET(_xlpm.r, _xlfn.XLOOKUP(Clean_Data[[#This Row],[Country_Code]], Metadata_Country!$A:$A, Metadata_Country!$B:$B, "Unknown"), IF(OR(_xlpm.r=0, _xlpm.r=""), "Regional Aggregate", _xlpm.r))</f>
        <v>Sub-Saharan Africa</v>
      </c>
      <c r="G526" s="4" t="str">
        <f>_xlfn.LET(_xlpm.ig, _xlfn.XLOOKUP(Clean_Data[[#This Row],[Country_Code]], Metadata_Country!$A:$A, Metadata_Country!$C:$C, "Unknown"), IF(OR(_xlpm.ig=0, _xlpm.ig=""), "Regional Aggregate", _xlpm.ig))</f>
        <v>Low income</v>
      </c>
      <c r="H526" s="4">
        <f>Clean_Data[[#This Row],[Exports_TIV]] - Clean_Data[[#This Row],[Imports_TIV]]</f>
        <v>-44000000</v>
      </c>
      <c r="I526" s="4">
        <f>Clean_Data[[#This Row],[Exports_TIV]] + Clean_Data[[#This Row],[Imports_TIV]]</f>
        <v>44000000</v>
      </c>
    </row>
    <row r="527" spans="1:9">
      <c r="A527" s="4" t="s">
        <v>81</v>
      </c>
      <c r="B527" s="4" t="s">
        <v>82</v>
      </c>
      <c r="C527" s="5">
        <v>2021</v>
      </c>
      <c r="D527" s="4">
        <v>0</v>
      </c>
      <c r="E527" s="4">
        <v>378000000</v>
      </c>
      <c r="F527" s="4" t="str">
        <f>_xlfn.LET(_xlpm.r, _xlfn.XLOOKUP(Clean_Data[[#This Row],[Country_Code]], Metadata_Country!$A:$A, Metadata_Country!$B:$B, "Unknown"), IF(OR(_xlpm.r=0, _xlpm.r=""), "Regional Aggregate", _xlpm.r))</f>
        <v>Regional Aggregate</v>
      </c>
      <c r="G527" s="4" t="str">
        <f>_xlfn.LET(_xlpm.ig, _xlfn.XLOOKUP(Clean_Data[[#This Row],[Country_Code]], Metadata_Country!$A:$A, Metadata_Country!$C:$C, "Unknown"), IF(OR(_xlpm.ig=0, _xlpm.ig=""), "Regional Aggregate", _xlpm.ig))</f>
        <v>Regional Aggregate</v>
      </c>
      <c r="H527" s="4">
        <f>Clean_Data[[#This Row],[Exports_TIV]] - Clean_Data[[#This Row],[Imports_TIV]]</f>
        <v>-378000000</v>
      </c>
      <c r="I527" s="4">
        <f>Clean_Data[[#This Row],[Exports_TIV]] + Clean_Data[[#This Row],[Imports_TIV]]</f>
        <v>378000000</v>
      </c>
    </row>
    <row r="528" spans="1:9">
      <c r="A528" s="4" t="s">
        <v>467</v>
      </c>
      <c r="B528" s="4" t="s">
        <v>468</v>
      </c>
      <c r="C528" s="5">
        <v>2021</v>
      </c>
      <c r="D528" s="4">
        <v>0</v>
      </c>
      <c r="E528" s="4">
        <v>47000000</v>
      </c>
      <c r="F528" s="4" t="str">
        <f>_xlfn.LET(_xlpm.r, _xlfn.XLOOKUP(Clean_Data[[#This Row],[Country_Code]], Metadata_Country!$A:$A, Metadata_Country!$B:$B, "Unknown"), IF(OR(_xlpm.r=0, _xlpm.r=""), "Regional Aggregate", _xlpm.r))</f>
        <v>Sub-Saharan Africa</v>
      </c>
      <c r="G528" s="4" t="str">
        <f>_xlfn.LET(_xlpm.ig, _xlfn.XLOOKUP(Clean_Data[[#This Row],[Country_Code]], Metadata_Country!$A:$A, Metadata_Country!$C:$C, "Unknown"), IF(OR(_xlpm.ig=0, _xlpm.ig=""), "Regional Aggregate", _xlpm.ig))</f>
        <v>Low income</v>
      </c>
      <c r="H528" s="4">
        <f>Clean_Data[[#This Row],[Exports_TIV]] - Clean_Data[[#This Row],[Imports_TIV]]</f>
        <v>-47000000</v>
      </c>
      <c r="I528" s="4">
        <f>Clean_Data[[#This Row],[Exports_TIV]] + Clean_Data[[#This Row],[Imports_TIV]]</f>
        <v>47000000</v>
      </c>
    </row>
    <row r="529" spans="1:9">
      <c r="A529" s="4" t="s">
        <v>87</v>
      </c>
      <c r="B529" s="4" t="s">
        <v>88</v>
      </c>
      <c r="C529" s="5">
        <v>2021</v>
      </c>
      <c r="D529" s="4">
        <v>0</v>
      </c>
      <c r="E529" s="4">
        <v>66000000</v>
      </c>
      <c r="F529" s="4" t="str">
        <f>_xlfn.LET(_xlpm.r, _xlfn.XLOOKUP(Clean_Data[[#This Row],[Country_Code]], Metadata_Country!$A:$A, Metadata_Country!$B:$B, "Unknown"), IF(OR(_xlpm.r=0, _xlpm.r=""), "Regional Aggregate", _xlpm.r))</f>
        <v>Latin America &amp; Caribbean</v>
      </c>
      <c r="G529" s="4" t="str">
        <f>_xlfn.LET(_xlpm.ig, _xlfn.XLOOKUP(Clean_Data[[#This Row],[Country_Code]], Metadata_Country!$A:$A, Metadata_Country!$C:$C, "Unknown"), IF(OR(_xlpm.ig=0, _xlpm.ig=""), "Regional Aggregate", _xlpm.ig))</f>
        <v>High income</v>
      </c>
      <c r="H529" s="4">
        <f>Clean_Data[[#This Row],[Exports_TIV]] - Clean_Data[[#This Row],[Imports_TIV]]</f>
        <v>-66000000</v>
      </c>
      <c r="I529" s="4">
        <f>Clean_Data[[#This Row],[Exports_TIV]] + Clean_Data[[#This Row],[Imports_TIV]]</f>
        <v>66000000</v>
      </c>
    </row>
    <row r="530" spans="1:9">
      <c r="A530" s="4" t="s">
        <v>89</v>
      </c>
      <c r="B530" s="4" t="s">
        <v>90</v>
      </c>
      <c r="C530" s="5">
        <v>2021</v>
      </c>
      <c r="D530" s="4">
        <v>1342000000</v>
      </c>
      <c r="E530" s="4">
        <v>685000000</v>
      </c>
      <c r="F530" s="4" t="str">
        <f>_xlfn.LET(_xlpm.r, _xlfn.XLOOKUP(Clean_Data[[#This Row],[Country_Code]], Metadata_Country!$A:$A, Metadata_Country!$B:$B, "Unknown"), IF(OR(_xlpm.r=0, _xlpm.r=""), "Regional Aggregate", _xlpm.r))</f>
        <v>East Asia &amp; Pacific</v>
      </c>
      <c r="G530" s="4" t="str">
        <f>_xlfn.LET(_xlpm.ig, _xlfn.XLOOKUP(Clean_Data[[#This Row],[Country_Code]], Metadata_Country!$A:$A, Metadata_Country!$C:$C, "Unknown"), IF(OR(_xlpm.ig=0, _xlpm.ig=""), "Regional Aggregate", _xlpm.ig))</f>
        <v>Upper middle income</v>
      </c>
      <c r="H530" s="4">
        <f>Clean_Data[[#This Row],[Exports_TIV]] - Clean_Data[[#This Row],[Imports_TIV]]</f>
        <v>657000000</v>
      </c>
      <c r="I530" s="4">
        <f>Clean_Data[[#This Row],[Exports_TIV]] + Clean_Data[[#This Row],[Imports_TIV]]</f>
        <v>2027000000</v>
      </c>
    </row>
    <row r="531" spans="1:9">
      <c r="A531" s="4" t="s">
        <v>99</v>
      </c>
      <c r="B531" s="4" t="s">
        <v>100</v>
      </c>
      <c r="C531" s="5">
        <v>2021</v>
      </c>
      <c r="D531" s="4">
        <v>0</v>
      </c>
      <c r="E531" s="4">
        <v>45000000</v>
      </c>
      <c r="F531" s="4" t="str">
        <f>_xlfn.LET(_xlpm.r, _xlfn.XLOOKUP(Clean_Data[[#This Row],[Country_Code]], Metadata_Country!$A:$A, Metadata_Country!$B:$B, "Unknown"), IF(OR(_xlpm.r=0, _xlpm.r=""), "Regional Aggregate", _xlpm.r))</f>
        <v>Latin America &amp; Caribbean</v>
      </c>
      <c r="G531" s="4" t="str">
        <f>_xlfn.LET(_xlpm.ig, _xlfn.XLOOKUP(Clean_Data[[#This Row],[Country_Code]], Metadata_Country!$A:$A, Metadata_Country!$C:$C, "Unknown"), IF(OR(_xlpm.ig=0, _xlpm.ig=""), "Regional Aggregate", _xlpm.ig))</f>
        <v>Upper middle income</v>
      </c>
      <c r="H531" s="4">
        <f>Clean_Data[[#This Row],[Exports_TIV]] - Clean_Data[[#This Row],[Imports_TIV]]</f>
        <v>-45000000</v>
      </c>
      <c r="I531" s="4">
        <f>Clean_Data[[#This Row],[Exports_TIV]] + Clean_Data[[#This Row],[Imports_TIV]]</f>
        <v>45000000</v>
      </c>
    </row>
    <row r="532" spans="1:9">
      <c r="A532" s="4" t="s">
        <v>97</v>
      </c>
      <c r="B532" s="4" t="s">
        <v>98</v>
      </c>
      <c r="C532" s="5">
        <v>2021</v>
      </c>
      <c r="D532" s="4">
        <v>0</v>
      </c>
      <c r="E532" s="4">
        <v>3000000</v>
      </c>
      <c r="F532" s="4" t="str">
        <f>_xlfn.LET(_xlpm.r, _xlfn.XLOOKUP(Clean_Data[[#This Row],[Country_Code]], Metadata_Country!$A:$A, Metadata_Country!$B:$B, "Unknown"), IF(OR(_xlpm.r=0, _xlpm.r=""), "Regional Aggregate", _xlpm.r))</f>
        <v>Sub-Saharan Africa</v>
      </c>
      <c r="G532" s="4" t="str">
        <f>_xlfn.LET(_xlpm.ig, _xlfn.XLOOKUP(Clean_Data[[#This Row],[Country_Code]], Metadata_Country!$A:$A, Metadata_Country!$C:$C, "Unknown"), IF(OR(_xlpm.ig=0, _xlpm.ig=""), "Regional Aggregate", _xlpm.ig))</f>
        <v>Lower middle income</v>
      </c>
      <c r="H532" s="4">
        <f>Clean_Data[[#This Row],[Exports_TIV]] - Clean_Data[[#This Row],[Imports_TIV]]</f>
        <v>-3000000</v>
      </c>
      <c r="I532" s="4">
        <f>Clean_Data[[#This Row],[Exports_TIV]] + Clean_Data[[#This Row],[Imports_TIV]]</f>
        <v>3000000</v>
      </c>
    </row>
    <row r="533" spans="1:9">
      <c r="A533" s="4" t="s">
        <v>91</v>
      </c>
      <c r="B533" s="4" t="s">
        <v>92</v>
      </c>
      <c r="C533" s="5">
        <v>2021</v>
      </c>
      <c r="D533" s="4">
        <v>0</v>
      </c>
      <c r="E533" s="4">
        <v>7000000</v>
      </c>
      <c r="F533" s="4" t="str">
        <f>_xlfn.LET(_xlpm.r, _xlfn.XLOOKUP(Clean_Data[[#This Row],[Country_Code]], Metadata_Country!$A:$A, Metadata_Country!$B:$B, "Unknown"), IF(OR(_xlpm.r=0, _xlpm.r=""), "Regional Aggregate", _xlpm.r))</f>
        <v>Sub-Saharan Africa</v>
      </c>
      <c r="G533" s="4" t="str">
        <f>_xlfn.LET(_xlpm.ig, _xlfn.XLOOKUP(Clean_Data[[#This Row],[Country_Code]], Metadata_Country!$A:$A, Metadata_Country!$C:$C, "Unknown"), IF(OR(_xlpm.ig=0, _xlpm.ig=""), "Regional Aggregate", _xlpm.ig))</f>
        <v>Lower middle income</v>
      </c>
      <c r="H533" s="4">
        <f>Clean_Data[[#This Row],[Exports_TIV]] - Clean_Data[[#This Row],[Imports_TIV]]</f>
        <v>-7000000</v>
      </c>
      <c r="I533" s="4">
        <f>Clean_Data[[#This Row],[Exports_TIV]] + Clean_Data[[#This Row],[Imports_TIV]]</f>
        <v>7000000</v>
      </c>
    </row>
    <row r="534" spans="1:9">
      <c r="A534" s="4" t="s">
        <v>115</v>
      </c>
      <c r="B534" s="4" t="s">
        <v>116</v>
      </c>
      <c r="C534" s="5">
        <v>2021</v>
      </c>
      <c r="D534" s="4">
        <v>0</v>
      </c>
      <c r="E534" s="4">
        <v>12000000</v>
      </c>
      <c r="F534" s="4" t="str">
        <f>_xlfn.LET(_xlpm.r, _xlfn.XLOOKUP(Clean_Data[[#This Row],[Country_Code]], Metadata_Country!$A:$A, Metadata_Country!$B:$B, "Unknown"), IF(OR(_xlpm.r=0, _xlpm.r=""), "Regional Aggregate", _xlpm.r))</f>
        <v>Europe &amp; Central Asia</v>
      </c>
      <c r="G534" s="4" t="str">
        <f>_xlfn.LET(_xlpm.ig, _xlfn.XLOOKUP(Clean_Data[[#This Row],[Country_Code]], Metadata_Country!$A:$A, Metadata_Country!$C:$C, "Unknown"), IF(OR(_xlpm.ig=0, _xlpm.ig=""), "Regional Aggregate", _xlpm.ig))</f>
        <v>High income</v>
      </c>
      <c r="H534" s="4">
        <f>Clean_Data[[#This Row],[Exports_TIV]] - Clean_Data[[#This Row],[Imports_TIV]]</f>
        <v>-12000000</v>
      </c>
      <c r="I534" s="4">
        <f>Clean_Data[[#This Row],[Exports_TIV]] + Clean_Data[[#This Row],[Imports_TIV]]</f>
        <v>12000000</v>
      </c>
    </row>
    <row r="535" spans="1:9">
      <c r="A535" s="4" t="s">
        <v>117</v>
      </c>
      <c r="B535" s="4" t="s">
        <v>118</v>
      </c>
      <c r="C535" s="5">
        <v>2021</v>
      </c>
      <c r="D535" s="4">
        <v>6000000</v>
      </c>
      <c r="E535" s="4">
        <v>32000000</v>
      </c>
      <c r="F535" s="4" t="str">
        <f>_xlfn.LET(_xlpm.r, _xlfn.XLOOKUP(Clean_Data[[#This Row],[Country_Code]], Metadata_Country!$A:$A, Metadata_Country!$B:$B, "Unknown"), IF(OR(_xlpm.r=0, _xlpm.r=""), "Regional Aggregate", _xlpm.r))</f>
        <v>Europe &amp; Central Asia</v>
      </c>
      <c r="G535" s="4" t="str">
        <f>_xlfn.LET(_xlpm.ig, _xlfn.XLOOKUP(Clean_Data[[#This Row],[Country_Code]], Metadata_Country!$A:$A, Metadata_Country!$C:$C, "Unknown"), IF(OR(_xlpm.ig=0, _xlpm.ig=""), "Regional Aggregate", _xlpm.ig))</f>
        <v>High income</v>
      </c>
      <c r="H535" s="4">
        <f>Clean_Data[[#This Row],[Exports_TIV]] - Clean_Data[[#This Row],[Imports_TIV]]</f>
        <v>-26000000</v>
      </c>
      <c r="I535" s="4">
        <f>Clean_Data[[#This Row],[Exports_TIV]] + Clean_Data[[#This Row],[Imports_TIV]]</f>
        <v>38000000</v>
      </c>
    </row>
    <row r="536" spans="1:9">
      <c r="A536" s="4" t="s">
        <v>125</v>
      </c>
      <c r="B536" s="4" t="s">
        <v>126</v>
      </c>
      <c r="C536" s="5">
        <v>2021</v>
      </c>
      <c r="D536" s="4">
        <v>29000000</v>
      </c>
      <c r="E536" s="4">
        <v>264000000</v>
      </c>
      <c r="F536" s="4" t="str">
        <f>_xlfn.LET(_xlpm.r, _xlfn.XLOOKUP(Clean_Data[[#This Row],[Country_Code]], Metadata_Country!$A:$A, Metadata_Country!$B:$B, "Unknown"), IF(OR(_xlpm.r=0, _xlpm.r=""), "Regional Aggregate", _xlpm.r))</f>
        <v>Europe &amp; Central Asia</v>
      </c>
      <c r="G536" s="4" t="str">
        <f>_xlfn.LET(_xlpm.ig, _xlfn.XLOOKUP(Clean_Data[[#This Row],[Country_Code]], Metadata_Country!$A:$A, Metadata_Country!$C:$C, "Unknown"), IF(OR(_xlpm.ig=0, _xlpm.ig=""), "Regional Aggregate", _xlpm.ig))</f>
        <v>High income</v>
      </c>
      <c r="H536" s="4">
        <f>Clean_Data[[#This Row],[Exports_TIV]] - Clean_Data[[#This Row],[Imports_TIV]]</f>
        <v>-235000000</v>
      </c>
      <c r="I536" s="4">
        <f>Clean_Data[[#This Row],[Exports_TIV]] + Clean_Data[[#This Row],[Imports_TIV]]</f>
        <v>293000000</v>
      </c>
    </row>
    <row r="537" spans="1:9">
      <c r="A537" s="4" t="s">
        <v>121</v>
      </c>
      <c r="B537" s="4" t="s">
        <v>122</v>
      </c>
      <c r="C537" s="5">
        <v>2021</v>
      </c>
      <c r="D537" s="4">
        <v>0</v>
      </c>
      <c r="E537" s="4">
        <v>46000000</v>
      </c>
      <c r="F537" s="4" t="str">
        <f>_xlfn.LET(_xlpm.r, _xlfn.XLOOKUP(Clean_Data[[#This Row],[Country_Code]], Metadata_Country!$A:$A, Metadata_Country!$B:$B, "Unknown"), IF(OR(_xlpm.r=0, _xlpm.r=""), "Regional Aggregate", _xlpm.r))</f>
        <v>Middle East &amp; North Africa</v>
      </c>
      <c r="G537" s="4" t="str">
        <f>_xlfn.LET(_xlpm.ig, _xlfn.XLOOKUP(Clean_Data[[#This Row],[Country_Code]], Metadata_Country!$A:$A, Metadata_Country!$C:$C, "Unknown"), IF(OR(_xlpm.ig=0, _xlpm.ig=""), "Regional Aggregate", _xlpm.ig))</f>
        <v>Lower middle income</v>
      </c>
      <c r="H537" s="4">
        <f>Clean_Data[[#This Row],[Exports_TIV]] - Clean_Data[[#This Row],[Imports_TIV]]</f>
        <v>-46000000</v>
      </c>
      <c r="I537" s="4">
        <f>Clean_Data[[#This Row],[Exports_TIV]] + Clean_Data[[#This Row],[Imports_TIV]]</f>
        <v>46000000</v>
      </c>
    </row>
    <row r="538" spans="1:9">
      <c r="A538" s="4" t="s">
        <v>133</v>
      </c>
      <c r="B538" s="4" t="s">
        <v>134</v>
      </c>
      <c r="C538" s="5">
        <v>2021</v>
      </c>
      <c r="D538" s="4">
        <v>0</v>
      </c>
      <c r="E538" s="4">
        <v>10767000000</v>
      </c>
      <c r="F538" s="4" t="str">
        <f>_xlfn.LET(_xlpm.r, _xlfn.XLOOKUP(Clean_Data[[#This Row],[Country_Code]], Metadata_Country!$A:$A, Metadata_Country!$B:$B, "Unknown"), IF(OR(_xlpm.r=0, _xlpm.r=""), "Regional Aggregate", _xlpm.r))</f>
        <v>Regional Aggregate</v>
      </c>
      <c r="G538" s="4" t="str">
        <f>_xlfn.LET(_xlpm.ig, _xlfn.XLOOKUP(Clean_Data[[#This Row],[Country_Code]], Metadata_Country!$A:$A, Metadata_Country!$C:$C, "Unknown"), IF(OR(_xlpm.ig=0, _xlpm.ig=""), "Regional Aggregate", _xlpm.ig))</f>
        <v>Regional Aggregate</v>
      </c>
      <c r="H538" s="4">
        <f>Clean_Data[[#This Row],[Exports_TIV]] - Clean_Data[[#This Row],[Imports_TIV]]</f>
        <v>-10767000000</v>
      </c>
      <c r="I538" s="4">
        <f>Clean_Data[[#This Row],[Exports_TIV]] + Clean_Data[[#This Row],[Imports_TIV]]</f>
        <v>10767000000</v>
      </c>
    </row>
    <row r="539" spans="1:9">
      <c r="A539" s="4" t="s">
        <v>135</v>
      </c>
      <c r="B539" s="4" t="s">
        <v>136</v>
      </c>
      <c r="C539" s="5">
        <v>2021</v>
      </c>
      <c r="D539" s="4">
        <v>2150000000</v>
      </c>
      <c r="E539" s="4">
        <v>5559000000</v>
      </c>
      <c r="F539" s="4" t="str">
        <f>_xlfn.LET(_xlpm.r, _xlfn.XLOOKUP(Clean_Data[[#This Row],[Country_Code]], Metadata_Country!$A:$A, Metadata_Country!$B:$B, "Unknown"), IF(OR(_xlpm.r=0, _xlpm.r=""), "Regional Aggregate", _xlpm.r))</f>
        <v>Regional Aggregate</v>
      </c>
      <c r="G539" s="4" t="str">
        <f>_xlfn.LET(_xlpm.ig, _xlfn.XLOOKUP(Clean_Data[[#This Row],[Country_Code]], Metadata_Country!$A:$A, Metadata_Country!$C:$C, "Unknown"), IF(OR(_xlpm.ig=0, _xlpm.ig=""), "Regional Aggregate", _xlpm.ig))</f>
        <v>Regional Aggregate</v>
      </c>
      <c r="H539" s="4">
        <f>Clean_Data[[#This Row],[Exports_TIV]] - Clean_Data[[#This Row],[Imports_TIV]]</f>
        <v>-3409000000</v>
      </c>
      <c r="I539" s="4">
        <f>Clean_Data[[#This Row],[Exports_TIV]] + Clean_Data[[#This Row],[Imports_TIV]]</f>
        <v>7709000000</v>
      </c>
    </row>
    <row r="540" spans="1:9">
      <c r="A540" s="4" t="s">
        <v>131</v>
      </c>
      <c r="B540" s="4" t="s">
        <v>132</v>
      </c>
      <c r="C540" s="5">
        <v>2021</v>
      </c>
      <c r="D540" s="4">
        <v>1364000000</v>
      </c>
      <c r="E540" s="4">
        <v>2100000000</v>
      </c>
      <c r="F540" s="4" t="str">
        <f>_xlfn.LET(_xlpm.r, _xlfn.XLOOKUP(Clean_Data[[#This Row],[Country_Code]], Metadata_Country!$A:$A, Metadata_Country!$B:$B, "Unknown"), IF(OR(_xlpm.r=0, _xlpm.r=""), "Regional Aggregate", _xlpm.r))</f>
        <v>Regional Aggregate</v>
      </c>
      <c r="G540" s="4" t="str">
        <f>_xlfn.LET(_xlpm.ig, _xlfn.XLOOKUP(Clean_Data[[#This Row],[Country_Code]], Metadata_Country!$A:$A, Metadata_Country!$C:$C, "Unknown"), IF(OR(_xlpm.ig=0, _xlpm.ig=""), "Regional Aggregate", _xlpm.ig))</f>
        <v>Regional Aggregate</v>
      </c>
      <c r="H540" s="4">
        <f>Clean_Data[[#This Row],[Exports_TIV]] - Clean_Data[[#This Row],[Imports_TIV]]</f>
        <v>-736000000</v>
      </c>
      <c r="I540" s="4">
        <f>Clean_Data[[#This Row],[Exports_TIV]] + Clean_Data[[#This Row],[Imports_TIV]]</f>
        <v>3464000000</v>
      </c>
    </row>
    <row r="541" spans="1:9">
      <c r="A541" s="4" t="s">
        <v>469</v>
      </c>
      <c r="B541" s="4" t="s">
        <v>470</v>
      </c>
      <c r="C541" s="5">
        <v>2021</v>
      </c>
      <c r="D541" s="4">
        <v>1364000000</v>
      </c>
      <c r="E541" s="4">
        <v>2100000000</v>
      </c>
      <c r="F541" s="4" t="str">
        <f>_xlfn.LET(_xlpm.r, _xlfn.XLOOKUP(Clean_Data[[#This Row],[Country_Code]], Metadata_Country!$A:$A, Metadata_Country!$B:$B, "Unknown"), IF(OR(_xlpm.r=0, _xlpm.r=""), "Regional Aggregate", _xlpm.r))</f>
        <v>Regional Aggregate</v>
      </c>
      <c r="G541" s="4" t="str">
        <f>_xlfn.LET(_xlpm.ig, _xlfn.XLOOKUP(Clean_Data[[#This Row],[Country_Code]], Metadata_Country!$A:$A, Metadata_Country!$C:$C, "Unknown"), IF(OR(_xlpm.ig=0, _xlpm.ig=""), "Regional Aggregate", _xlpm.ig))</f>
        <v>Regional Aggregate</v>
      </c>
      <c r="H541" s="4">
        <f>Clean_Data[[#This Row],[Exports_TIV]] - Clean_Data[[#This Row],[Imports_TIV]]</f>
        <v>-736000000</v>
      </c>
      <c r="I541" s="4">
        <f>Clean_Data[[#This Row],[Exports_TIV]] + Clean_Data[[#This Row],[Imports_TIV]]</f>
        <v>3464000000</v>
      </c>
    </row>
    <row r="542" spans="1:9">
      <c r="A542" s="4" t="s">
        <v>141</v>
      </c>
      <c r="B542" s="4" t="s">
        <v>142</v>
      </c>
      <c r="C542" s="5">
        <v>2021</v>
      </c>
      <c r="D542" s="4">
        <v>0</v>
      </c>
      <c r="E542" s="4">
        <v>16000000</v>
      </c>
      <c r="F542" s="4" t="str">
        <f>_xlfn.LET(_xlpm.r, _xlfn.XLOOKUP(Clean_Data[[#This Row],[Country_Code]], Metadata_Country!$A:$A, Metadata_Country!$B:$B, "Unknown"), IF(OR(_xlpm.r=0, _xlpm.r=""), "Regional Aggregate", _xlpm.r))</f>
        <v>Latin America &amp; Caribbean</v>
      </c>
      <c r="G542" s="4" t="str">
        <f>_xlfn.LET(_xlpm.ig, _xlfn.XLOOKUP(Clean_Data[[#This Row],[Country_Code]], Metadata_Country!$A:$A, Metadata_Country!$C:$C, "Unknown"), IF(OR(_xlpm.ig=0, _xlpm.ig=""), "Regional Aggregate", _xlpm.ig))</f>
        <v>Upper middle income</v>
      </c>
      <c r="H542" s="4">
        <f>Clean_Data[[#This Row],[Exports_TIV]] - Clean_Data[[#This Row],[Imports_TIV]]</f>
        <v>-16000000</v>
      </c>
      <c r="I542" s="4">
        <f>Clean_Data[[#This Row],[Exports_TIV]] + Clean_Data[[#This Row],[Imports_TIV]]</f>
        <v>16000000</v>
      </c>
    </row>
    <row r="543" spans="1:9">
      <c r="A543" s="4" t="s">
        <v>143</v>
      </c>
      <c r="B543" s="4" t="s">
        <v>144</v>
      </c>
      <c r="C543" s="5">
        <v>2021</v>
      </c>
      <c r="D543" s="4">
        <v>41000000</v>
      </c>
      <c r="E543" s="4">
        <v>1299000000</v>
      </c>
      <c r="F543" s="4" t="str">
        <f>_xlfn.LET(_xlpm.r, _xlfn.XLOOKUP(Clean_Data[[#This Row],[Country_Code]], Metadata_Country!$A:$A, Metadata_Country!$B:$B, "Unknown"), IF(OR(_xlpm.r=0, _xlpm.r=""), "Regional Aggregate", _xlpm.r))</f>
        <v>Middle East &amp; North Africa</v>
      </c>
      <c r="G543" s="4" t="str">
        <f>_xlfn.LET(_xlpm.ig, _xlfn.XLOOKUP(Clean_Data[[#This Row],[Country_Code]], Metadata_Country!$A:$A, Metadata_Country!$C:$C, "Unknown"), IF(OR(_xlpm.ig=0, _xlpm.ig=""), "Regional Aggregate", _xlpm.ig))</f>
        <v>Lower middle income</v>
      </c>
      <c r="H543" s="4">
        <f>Clean_Data[[#This Row],[Exports_TIV]] - Clean_Data[[#This Row],[Imports_TIV]]</f>
        <v>-1258000000</v>
      </c>
      <c r="I543" s="4">
        <f>Clean_Data[[#This Row],[Exports_TIV]] + Clean_Data[[#This Row],[Imports_TIV]]</f>
        <v>1340000000</v>
      </c>
    </row>
    <row r="544" spans="1:9">
      <c r="A544" s="4" t="s">
        <v>431</v>
      </c>
      <c r="B544" s="4" t="s">
        <v>432</v>
      </c>
      <c r="C544" s="5">
        <v>2021</v>
      </c>
      <c r="D544" s="4">
        <v>0</v>
      </c>
      <c r="E544" s="4">
        <v>4000000</v>
      </c>
      <c r="F544" s="4" t="str">
        <f>_xlfn.LET(_xlpm.r, _xlfn.XLOOKUP(Clean_Data[[#This Row],[Country_Code]], Metadata_Country!$A:$A, Metadata_Country!$B:$B, "Unknown"), IF(OR(_xlpm.r=0, _xlpm.r=""), "Regional Aggregate", _xlpm.r))</f>
        <v>Latin America &amp; Caribbean</v>
      </c>
      <c r="G544" s="4" t="str">
        <f>_xlfn.LET(_xlpm.ig, _xlfn.XLOOKUP(Clean_Data[[#This Row],[Country_Code]], Metadata_Country!$A:$A, Metadata_Country!$C:$C, "Unknown"), IF(OR(_xlpm.ig=0, _xlpm.ig=""), "Regional Aggregate", _xlpm.ig))</f>
        <v>Upper middle income</v>
      </c>
      <c r="H544" s="4">
        <f>Clean_Data[[#This Row],[Exports_TIV]] - Clean_Data[[#This Row],[Imports_TIV]]</f>
        <v>-4000000</v>
      </c>
      <c r="I544" s="4">
        <f>Clean_Data[[#This Row],[Exports_TIV]] + Clean_Data[[#This Row],[Imports_TIV]]</f>
        <v>4000000</v>
      </c>
    </row>
    <row r="545" spans="1:9">
      <c r="A545" s="4" t="s">
        <v>185</v>
      </c>
      <c r="B545" s="4" t="s">
        <v>186</v>
      </c>
      <c r="C545" s="5">
        <v>2021</v>
      </c>
      <c r="D545" s="4">
        <v>0</v>
      </c>
      <c r="E545" s="4">
        <v>0</v>
      </c>
      <c r="F545" s="4" t="str">
        <f>_xlfn.LET(_xlpm.r, _xlfn.XLOOKUP(Clean_Data[[#This Row],[Country_Code]], Metadata_Country!$A:$A, Metadata_Country!$B:$B, "Unknown"), IF(OR(_xlpm.r=0, _xlpm.r=""), "Regional Aggregate", _xlpm.r))</f>
        <v>Sub-Saharan Africa</v>
      </c>
      <c r="G545" s="4" t="str">
        <f>_xlfn.LET(_xlpm.ig, _xlfn.XLOOKUP(Clean_Data[[#This Row],[Country_Code]], Metadata_Country!$A:$A, Metadata_Country!$C:$C, "Unknown"), IF(OR(_xlpm.ig=0, _xlpm.ig=""), "Regional Aggregate", _xlpm.ig))</f>
        <v>Upper middle income</v>
      </c>
      <c r="H545" s="4">
        <f>Clean_Data[[#This Row],[Exports_TIV]] - Clean_Data[[#This Row],[Imports_TIV]]</f>
        <v>0</v>
      </c>
      <c r="I545" s="4">
        <f>Clean_Data[[#This Row],[Exports_TIV]] + Clean_Data[[#This Row],[Imports_TIV]]</f>
        <v>0</v>
      </c>
    </row>
    <row r="546" spans="1:9">
      <c r="A546" s="4" t="s">
        <v>151</v>
      </c>
      <c r="B546" s="4" t="s">
        <v>152</v>
      </c>
      <c r="C546" s="5">
        <v>2021</v>
      </c>
      <c r="D546" s="4">
        <v>0</v>
      </c>
      <c r="E546" s="4">
        <v>20000000</v>
      </c>
      <c r="F546" s="4" t="str">
        <f>_xlfn.LET(_xlpm.r, _xlfn.XLOOKUP(Clean_Data[[#This Row],[Country_Code]], Metadata_Country!$A:$A, Metadata_Country!$B:$B, "Unknown"), IF(OR(_xlpm.r=0, _xlpm.r=""), "Regional Aggregate", _xlpm.r))</f>
        <v>Europe &amp; Central Asia</v>
      </c>
      <c r="G546" s="4" t="str">
        <f>_xlfn.LET(_xlpm.ig, _xlfn.XLOOKUP(Clean_Data[[#This Row],[Country_Code]], Metadata_Country!$A:$A, Metadata_Country!$C:$C, "Unknown"), IF(OR(_xlpm.ig=0, _xlpm.ig=""), "Regional Aggregate", _xlpm.ig))</f>
        <v>High income</v>
      </c>
      <c r="H546" s="4">
        <f>Clean_Data[[#This Row],[Exports_TIV]] - Clean_Data[[#This Row],[Imports_TIV]]</f>
        <v>-20000000</v>
      </c>
      <c r="I546" s="4">
        <f>Clean_Data[[#This Row],[Exports_TIV]] + Clean_Data[[#This Row],[Imports_TIV]]</f>
        <v>20000000</v>
      </c>
    </row>
    <row r="547" spans="1:9">
      <c r="A547" s="4" t="s">
        <v>153</v>
      </c>
      <c r="B547" s="4" t="s">
        <v>154</v>
      </c>
      <c r="C547" s="5">
        <v>2021</v>
      </c>
      <c r="D547" s="4">
        <v>0</v>
      </c>
      <c r="E547" s="4">
        <v>16000000</v>
      </c>
      <c r="F547" s="4" t="str">
        <f>_xlfn.LET(_xlpm.r, _xlfn.XLOOKUP(Clean_Data[[#This Row],[Country_Code]], Metadata_Country!$A:$A, Metadata_Country!$B:$B, "Unknown"), IF(OR(_xlpm.r=0, _xlpm.r=""), "Regional Aggregate", _xlpm.r))</f>
        <v>Sub-Saharan Africa</v>
      </c>
      <c r="G547" s="4" t="str">
        <f>_xlfn.LET(_xlpm.ig, _xlfn.XLOOKUP(Clean_Data[[#This Row],[Country_Code]], Metadata_Country!$A:$A, Metadata_Country!$C:$C, "Unknown"), IF(OR(_xlpm.ig=0, _xlpm.ig=""), "Regional Aggregate", _xlpm.ig))</f>
        <v>Low income</v>
      </c>
      <c r="H547" s="4">
        <f>Clean_Data[[#This Row],[Exports_TIV]] - Clean_Data[[#This Row],[Imports_TIV]]</f>
        <v>-16000000</v>
      </c>
      <c r="I547" s="4">
        <f>Clean_Data[[#This Row],[Exports_TIV]] + Clean_Data[[#This Row],[Imports_TIV]]</f>
        <v>16000000</v>
      </c>
    </row>
    <row r="548" spans="1:9">
      <c r="A548" s="4" t="s">
        <v>145</v>
      </c>
      <c r="B548" s="4" t="s">
        <v>146</v>
      </c>
      <c r="C548" s="5">
        <v>2021</v>
      </c>
      <c r="D548" s="4">
        <v>7567000000</v>
      </c>
      <c r="E548" s="4">
        <v>1908000000</v>
      </c>
      <c r="F548" s="4" t="str">
        <f>_xlfn.LET(_xlpm.r, _xlfn.XLOOKUP(Clean_Data[[#This Row],[Country_Code]], Metadata_Country!$A:$A, Metadata_Country!$B:$B, "Unknown"), IF(OR(_xlpm.r=0, _xlpm.r=""), "Regional Aggregate", _xlpm.r))</f>
        <v>Regional Aggregate</v>
      </c>
      <c r="G548" s="4" t="str">
        <f>_xlfn.LET(_xlpm.ig, _xlfn.XLOOKUP(Clean_Data[[#This Row],[Country_Code]], Metadata_Country!$A:$A, Metadata_Country!$C:$C, "Unknown"), IF(OR(_xlpm.ig=0, _xlpm.ig=""), "Regional Aggregate", _xlpm.ig))</f>
        <v>Regional Aggregate</v>
      </c>
      <c r="H548" s="4">
        <f>Clean_Data[[#This Row],[Exports_TIV]] - Clean_Data[[#This Row],[Imports_TIV]]</f>
        <v>5659000000</v>
      </c>
      <c r="I548" s="4">
        <f>Clean_Data[[#This Row],[Exports_TIV]] + Clean_Data[[#This Row],[Imports_TIV]]</f>
        <v>9475000000</v>
      </c>
    </row>
    <row r="549" spans="1:9">
      <c r="A549" s="4" t="s">
        <v>139</v>
      </c>
      <c r="B549" s="4" t="s">
        <v>140</v>
      </c>
      <c r="C549" s="5">
        <v>2021</v>
      </c>
      <c r="D549" s="4">
        <v>11929000000</v>
      </c>
      <c r="E549" s="4">
        <v>5032000000</v>
      </c>
      <c r="F549" s="4" t="str">
        <f>_xlfn.LET(_xlpm.r, _xlfn.XLOOKUP(Clean_Data[[#This Row],[Country_Code]], Metadata_Country!$A:$A, Metadata_Country!$B:$B, "Unknown"), IF(OR(_xlpm.r=0, _xlpm.r=""), "Regional Aggregate", _xlpm.r))</f>
        <v>Regional Aggregate</v>
      </c>
      <c r="G549" s="4" t="str">
        <f>_xlfn.LET(_xlpm.ig, _xlfn.XLOOKUP(Clean_Data[[#This Row],[Country_Code]], Metadata_Country!$A:$A, Metadata_Country!$C:$C, "Unknown"), IF(OR(_xlpm.ig=0, _xlpm.ig=""), "Regional Aggregate", _xlpm.ig))</f>
        <v>Regional Aggregate</v>
      </c>
      <c r="H549" s="4">
        <f>Clean_Data[[#This Row],[Exports_TIV]] - Clean_Data[[#This Row],[Imports_TIV]]</f>
        <v>6897000000</v>
      </c>
      <c r="I549" s="4">
        <f>Clean_Data[[#This Row],[Exports_TIV]] + Clean_Data[[#This Row],[Imports_TIV]]</f>
        <v>16961000000</v>
      </c>
    </row>
    <row r="550" spans="1:9">
      <c r="A550" s="4" t="s">
        <v>137</v>
      </c>
      <c r="B550" s="4" t="s">
        <v>138</v>
      </c>
      <c r="C550" s="5">
        <v>2021</v>
      </c>
      <c r="D550" s="4">
        <v>841000000</v>
      </c>
      <c r="E550" s="4">
        <v>1130000000</v>
      </c>
      <c r="F550" s="4" t="str">
        <f>_xlfn.LET(_xlpm.r, _xlfn.XLOOKUP(Clean_Data[[#This Row],[Country_Code]], Metadata_Country!$A:$A, Metadata_Country!$B:$B, "Unknown"), IF(OR(_xlpm.r=0, _xlpm.r=""), "Regional Aggregate", _xlpm.r))</f>
        <v>Regional Aggregate</v>
      </c>
      <c r="G550" s="4" t="str">
        <f>_xlfn.LET(_xlpm.ig, _xlfn.XLOOKUP(Clean_Data[[#This Row],[Country_Code]], Metadata_Country!$A:$A, Metadata_Country!$C:$C, "Unknown"), IF(OR(_xlpm.ig=0, _xlpm.ig=""), "Regional Aggregate", _xlpm.ig))</f>
        <v>Regional Aggregate</v>
      </c>
      <c r="H550" s="4">
        <f>Clean_Data[[#This Row],[Exports_TIV]] - Clean_Data[[#This Row],[Imports_TIV]]</f>
        <v>-289000000</v>
      </c>
      <c r="I550" s="4">
        <f>Clean_Data[[#This Row],[Exports_TIV]] + Clean_Data[[#This Row],[Imports_TIV]]</f>
        <v>1971000000</v>
      </c>
    </row>
    <row r="551" spans="1:9">
      <c r="A551" s="4" t="s">
        <v>471</v>
      </c>
      <c r="B551" s="4" t="s">
        <v>472</v>
      </c>
      <c r="C551" s="5">
        <v>2021</v>
      </c>
      <c r="D551" s="4">
        <v>3248000000</v>
      </c>
      <c r="E551" s="4">
        <v>1310000000</v>
      </c>
      <c r="F551" s="4" t="str">
        <f>_xlfn.LET(_xlpm.r, _xlfn.XLOOKUP(Clean_Data[[#This Row],[Country_Code]], Metadata_Country!$A:$A, Metadata_Country!$B:$B, "Unknown"), IF(OR(_xlpm.r=0, _xlpm.r=""), "Regional Aggregate", _xlpm.r))</f>
        <v>Regional Aggregate</v>
      </c>
      <c r="G551" s="4" t="str">
        <f>_xlfn.LET(_xlpm.ig, _xlfn.XLOOKUP(Clean_Data[[#This Row],[Country_Code]], Metadata_Country!$A:$A, Metadata_Country!$C:$C, "Unknown"), IF(OR(_xlpm.ig=0, _xlpm.ig=""), "Regional Aggregate", _xlpm.ig))</f>
        <v>Regional Aggregate</v>
      </c>
      <c r="H551" s="4">
        <f>Clean_Data[[#This Row],[Exports_TIV]] - Clean_Data[[#This Row],[Imports_TIV]]</f>
        <v>1938000000</v>
      </c>
      <c r="I551" s="4">
        <f>Clean_Data[[#This Row],[Exports_TIV]] + Clean_Data[[#This Row],[Imports_TIV]]</f>
        <v>4558000000</v>
      </c>
    </row>
    <row r="552" spans="1:9">
      <c r="A552" s="4" t="s">
        <v>155</v>
      </c>
      <c r="B552" s="4" t="s">
        <v>156</v>
      </c>
      <c r="C552" s="5">
        <v>2021</v>
      </c>
      <c r="D552" s="4">
        <v>7843000000</v>
      </c>
      <c r="E552" s="4">
        <v>2507000000</v>
      </c>
      <c r="F552" s="4" t="str">
        <f>_xlfn.LET(_xlpm.r, _xlfn.XLOOKUP(Clean_Data[[#This Row],[Country_Code]], Metadata_Country!$A:$A, Metadata_Country!$B:$B, "Unknown"), IF(OR(_xlpm.r=0, _xlpm.r=""), "Regional Aggregate", _xlpm.r))</f>
        <v>Regional Aggregate</v>
      </c>
      <c r="G552" s="4" t="str">
        <f>_xlfn.LET(_xlpm.ig, _xlfn.XLOOKUP(Clean_Data[[#This Row],[Country_Code]], Metadata_Country!$A:$A, Metadata_Country!$C:$C, "Unknown"), IF(OR(_xlpm.ig=0, _xlpm.ig=""), "Regional Aggregate", _xlpm.ig))</f>
        <v>Regional Aggregate</v>
      </c>
      <c r="H552" s="4">
        <f>Clean_Data[[#This Row],[Exports_TIV]] - Clean_Data[[#This Row],[Imports_TIV]]</f>
        <v>5336000000</v>
      </c>
      <c r="I552" s="4">
        <f>Clean_Data[[#This Row],[Exports_TIV]] + Clean_Data[[#This Row],[Imports_TIV]]</f>
        <v>10350000000</v>
      </c>
    </row>
    <row r="553" spans="1:9">
      <c r="A553" s="4" t="s">
        <v>159</v>
      </c>
      <c r="B553" s="4" t="s">
        <v>160</v>
      </c>
      <c r="C553" s="5">
        <v>2021</v>
      </c>
      <c r="D553" s="4">
        <v>18000000</v>
      </c>
      <c r="E553" s="4">
        <v>20000000</v>
      </c>
      <c r="F553" s="4" t="str">
        <f>_xlfn.LET(_xlpm.r, _xlfn.XLOOKUP(Clean_Data[[#This Row],[Country_Code]], Metadata_Country!$A:$A, Metadata_Country!$B:$B, "Unknown"), IF(OR(_xlpm.r=0, _xlpm.r=""), "Regional Aggregate", _xlpm.r))</f>
        <v>Europe &amp; Central Asia</v>
      </c>
      <c r="G553" s="4" t="str">
        <f>_xlfn.LET(_xlpm.ig, _xlfn.XLOOKUP(Clean_Data[[#This Row],[Country_Code]], Metadata_Country!$A:$A, Metadata_Country!$C:$C, "Unknown"), IF(OR(_xlpm.ig=0, _xlpm.ig=""), "Regional Aggregate", _xlpm.ig))</f>
        <v>High income</v>
      </c>
      <c r="H553" s="4">
        <f>Clean_Data[[#This Row],[Exports_TIV]] - Clean_Data[[#This Row],[Imports_TIV]]</f>
        <v>-2000000</v>
      </c>
      <c r="I553" s="4">
        <f>Clean_Data[[#This Row],[Exports_TIV]] + Clean_Data[[#This Row],[Imports_TIV]]</f>
        <v>38000000</v>
      </c>
    </row>
    <row r="554" spans="1:9">
      <c r="A554" s="4" t="s">
        <v>157</v>
      </c>
      <c r="B554" s="4" t="s">
        <v>158</v>
      </c>
      <c r="C554" s="5">
        <v>2021</v>
      </c>
      <c r="D554" s="4">
        <v>0</v>
      </c>
      <c r="E554" s="4">
        <v>687000000</v>
      </c>
      <c r="F554" s="4" t="str">
        <f>_xlfn.LET(_xlpm.r, _xlfn.XLOOKUP(Clean_Data[[#This Row],[Country_Code]], Metadata_Country!$A:$A, Metadata_Country!$B:$B, "Unknown"), IF(OR(_xlpm.r=0, _xlpm.r=""), "Regional Aggregate", _xlpm.r))</f>
        <v>Regional Aggregate</v>
      </c>
      <c r="G554" s="4" t="str">
        <f>_xlfn.LET(_xlpm.ig, _xlfn.XLOOKUP(Clean_Data[[#This Row],[Country_Code]], Metadata_Country!$A:$A, Metadata_Country!$C:$C, "Unknown"), IF(OR(_xlpm.ig=0, _xlpm.ig=""), "Regional Aggregate", _xlpm.ig))</f>
        <v>Regional Aggregate</v>
      </c>
      <c r="H554" s="4">
        <f>Clean_Data[[#This Row],[Exports_TIV]] - Clean_Data[[#This Row],[Imports_TIV]]</f>
        <v>-687000000</v>
      </c>
      <c r="I554" s="4">
        <f>Clean_Data[[#This Row],[Exports_TIV]] + Clean_Data[[#This Row],[Imports_TIV]]</f>
        <v>687000000</v>
      </c>
    </row>
    <row r="555" spans="1:9">
      <c r="A555" s="4" t="s">
        <v>163</v>
      </c>
      <c r="B555" s="4" t="s">
        <v>164</v>
      </c>
      <c r="C555" s="5">
        <v>2021</v>
      </c>
      <c r="D555" s="4">
        <v>3904000000</v>
      </c>
      <c r="E555" s="4">
        <v>105000000</v>
      </c>
      <c r="F555" s="4" t="str">
        <f>_xlfn.LET(_xlpm.r, _xlfn.XLOOKUP(Clean_Data[[#This Row],[Country_Code]], Metadata_Country!$A:$A, Metadata_Country!$B:$B, "Unknown"), IF(OR(_xlpm.r=0, _xlpm.r=""), "Regional Aggregate", _xlpm.r))</f>
        <v>Europe &amp; Central Asia</v>
      </c>
      <c r="G555" s="4" t="str">
        <f>_xlfn.LET(_xlpm.ig, _xlfn.XLOOKUP(Clean_Data[[#This Row],[Country_Code]], Metadata_Country!$A:$A, Metadata_Country!$C:$C, "Unknown"), IF(OR(_xlpm.ig=0, _xlpm.ig=""), "Regional Aggregate", _xlpm.ig))</f>
        <v>High income</v>
      </c>
      <c r="H555" s="4">
        <f>Clean_Data[[#This Row],[Exports_TIV]] - Clean_Data[[#This Row],[Imports_TIV]]</f>
        <v>3799000000</v>
      </c>
      <c r="I555" s="4">
        <f>Clean_Data[[#This Row],[Exports_TIV]] + Clean_Data[[#This Row],[Imports_TIV]]</f>
        <v>4009000000</v>
      </c>
    </row>
    <row r="556" spans="1:9">
      <c r="A556" s="4" t="s">
        <v>169</v>
      </c>
      <c r="B556" s="4" t="s">
        <v>170</v>
      </c>
      <c r="C556" s="5">
        <v>2021</v>
      </c>
      <c r="D556" s="4">
        <v>0</v>
      </c>
      <c r="E556" s="4">
        <v>2000000</v>
      </c>
      <c r="F556" s="4" t="str">
        <f>_xlfn.LET(_xlpm.r, _xlfn.XLOOKUP(Clean_Data[[#This Row],[Country_Code]], Metadata_Country!$A:$A, Metadata_Country!$B:$B, "Unknown"), IF(OR(_xlpm.r=0, _xlpm.r=""), "Regional Aggregate", _xlpm.r))</f>
        <v>Sub-Saharan Africa</v>
      </c>
      <c r="G556" s="4" t="str">
        <f>_xlfn.LET(_xlpm.ig, _xlfn.XLOOKUP(Clean_Data[[#This Row],[Country_Code]], Metadata_Country!$A:$A, Metadata_Country!$C:$C, "Unknown"), IF(OR(_xlpm.ig=0, _xlpm.ig=""), "Regional Aggregate", _xlpm.ig))</f>
        <v>Upper middle income</v>
      </c>
      <c r="H556" s="4">
        <f>Clean_Data[[#This Row],[Exports_TIV]] - Clean_Data[[#This Row],[Imports_TIV]]</f>
        <v>-2000000</v>
      </c>
      <c r="I556" s="4">
        <f>Clean_Data[[#This Row],[Exports_TIV]] + Clean_Data[[#This Row],[Imports_TIV]]</f>
        <v>2000000</v>
      </c>
    </row>
    <row r="557" spans="1:9">
      <c r="A557" s="4" t="s">
        <v>119</v>
      </c>
      <c r="B557" s="4" t="s">
        <v>120</v>
      </c>
      <c r="C557" s="5">
        <v>2021</v>
      </c>
      <c r="D557" s="4">
        <v>852000000</v>
      </c>
      <c r="E557" s="4">
        <v>235000000</v>
      </c>
      <c r="F557" s="4" t="str">
        <f>_xlfn.LET(_xlpm.r, _xlfn.XLOOKUP(Clean_Data[[#This Row],[Country_Code]], Metadata_Country!$A:$A, Metadata_Country!$B:$B, "Unknown"), IF(OR(_xlpm.r=0, _xlpm.r=""), "Regional Aggregate", _xlpm.r))</f>
        <v>Europe &amp; Central Asia</v>
      </c>
      <c r="G557" s="4" t="str">
        <f>_xlfn.LET(_xlpm.ig, _xlfn.XLOOKUP(Clean_Data[[#This Row],[Country_Code]], Metadata_Country!$A:$A, Metadata_Country!$C:$C, "Unknown"), IF(OR(_xlpm.ig=0, _xlpm.ig=""), "Regional Aggregate", _xlpm.ig))</f>
        <v>High income</v>
      </c>
      <c r="H557" s="4">
        <f>Clean_Data[[#This Row],[Exports_TIV]] - Clean_Data[[#This Row],[Imports_TIV]]</f>
        <v>617000000</v>
      </c>
      <c r="I557" s="4">
        <f>Clean_Data[[#This Row],[Exports_TIV]] + Clean_Data[[#This Row],[Imports_TIV]]</f>
        <v>1087000000</v>
      </c>
    </row>
    <row r="558" spans="1:9">
      <c r="A558" s="4" t="s">
        <v>187</v>
      </c>
      <c r="B558" s="4" t="s">
        <v>188</v>
      </c>
      <c r="C558" s="5">
        <v>2021</v>
      </c>
      <c r="D558" s="4">
        <v>0</v>
      </c>
      <c r="E558" s="4">
        <v>231000000</v>
      </c>
      <c r="F558" s="4" t="str">
        <f>_xlfn.LET(_xlpm.r, _xlfn.XLOOKUP(Clean_Data[[#This Row],[Country_Code]], Metadata_Country!$A:$A, Metadata_Country!$B:$B, "Unknown"), IF(OR(_xlpm.r=0, _xlpm.r=""), "Regional Aggregate", _xlpm.r))</f>
        <v>Europe &amp; Central Asia</v>
      </c>
      <c r="G558" s="4" t="str">
        <f>_xlfn.LET(_xlpm.ig, _xlfn.XLOOKUP(Clean_Data[[#This Row],[Country_Code]], Metadata_Country!$A:$A, Metadata_Country!$C:$C, "Unknown"), IF(OR(_xlpm.ig=0, _xlpm.ig=""), "Regional Aggregate", _xlpm.ig))</f>
        <v>High income</v>
      </c>
      <c r="H558" s="4">
        <f>Clean_Data[[#This Row],[Exports_TIV]] - Clean_Data[[#This Row],[Imports_TIV]]</f>
        <v>-231000000</v>
      </c>
      <c r="I558" s="4">
        <f>Clean_Data[[#This Row],[Exports_TIV]] + Clean_Data[[#This Row],[Imports_TIV]]</f>
        <v>231000000</v>
      </c>
    </row>
    <row r="559" spans="1:9">
      <c r="A559" s="4" t="s">
        <v>179</v>
      </c>
      <c r="B559" s="4" t="s">
        <v>180</v>
      </c>
      <c r="C559" s="5">
        <v>2021</v>
      </c>
      <c r="D559" s="4">
        <v>0</v>
      </c>
      <c r="E559" s="4">
        <v>1000000</v>
      </c>
      <c r="F559" s="4" t="str">
        <f>_xlfn.LET(_xlpm.r, _xlfn.XLOOKUP(Clean_Data[[#This Row],[Country_Code]], Metadata_Country!$A:$A, Metadata_Country!$B:$B, "Unknown"), IF(OR(_xlpm.r=0, _xlpm.r=""), "Regional Aggregate", _xlpm.r))</f>
        <v>Sub-Saharan Africa</v>
      </c>
      <c r="G559" s="4" t="str">
        <f>_xlfn.LET(_xlpm.ig, _xlfn.XLOOKUP(Clean_Data[[#This Row],[Country_Code]], Metadata_Country!$A:$A, Metadata_Country!$C:$C, "Unknown"), IF(OR(_xlpm.ig=0, _xlpm.ig=""), "Regional Aggregate", _xlpm.ig))</f>
        <v>Lower middle income</v>
      </c>
      <c r="H559" s="4">
        <f>Clean_Data[[#This Row],[Exports_TIV]] - Clean_Data[[#This Row],[Imports_TIV]]</f>
        <v>-1000000</v>
      </c>
      <c r="I559" s="4">
        <f>Clean_Data[[#This Row],[Exports_TIV]] + Clean_Data[[#This Row],[Imports_TIV]]</f>
        <v>1000000</v>
      </c>
    </row>
    <row r="560" spans="1:9">
      <c r="A560" s="4" t="s">
        <v>197</v>
      </c>
      <c r="B560" s="4" t="s">
        <v>198</v>
      </c>
      <c r="C560" s="5">
        <v>2021</v>
      </c>
      <c r="D560" s="4">
        <v>0</v>
      </c>
      <c r="E560" s="4">
        <v>5000000</v>
      </c>
      <c r="F560" s="4" t="str">
        <f>_xlfn.LET(_xlpm.r, _xlfn.XLOOKUP(Clean_Data[[#This Row],[Country_Code]], Metadata_Country!$A:$A, Metadata_Country!$B:$B, "Unknown"), IF(OR(_xlpm.r=0, _xlpm.r=""), "Regional Aggregate", _xlpm.r))</f>
        <v>Latin America &amp; Caribbean</v>
      </c>
      <c r="G560" s="4" t="str">
        <f>_xlfn.LET(_xlpm.ig, _xlfn.XLOOKUP(Clean_Data[[#This Row],[Country_Code]], Metadata_Country!$A:$A, Metadata_Country!$C:$C, "Unknown"), IF(OR(_xlpm.ig=0, _xlpm.ig=""), "Regional Aggregate", _xlpm.ig))</f>
        <v>High income</v>
      </c>
      <c r="H560" s="4">
        <f>Clean_Data[[#This Row],[Exports_TIV]] - Clean_Data[[#This Row],[Imports_TIV]]</f>
        <v>-5000000</v>
      </c>
      <c r="I560" s="4">
        <f>Clean_Data[[#This Row],[Exports_TIV]] + Clean_Data[[#This Row],[Imports_TIV]]</f>
        <v>5000000</v>
      </c>
    </row>
    <row r="561" spans="1:9">
      <c r="A561" s="4" t="s">
        <v>199</v>
      </c>
      <c r="B561" s="4" t="s">
        <v>200</v>
      </c>
      <c r="C561" s="5">
        <v>2021</v>
      </c>
      <c r="D561" s="4">
        <v>24375000000</v>
      </c>
      <c r="E561" s="4">
        <v>15588000000</v>
      </c>
      <c r="F561" s="4" t="str">
        <f>_xlfn.LET(_xlpm.r, _xlfn.XLOOKUP(Clean_Data[[#This Row],[Country_Code]], Metadata_Country!$A:$A, Metadata_Country!$B:$B, "Unknown"), IF(OR(_xlpm.r=0, _xlpm.r=""), "Regional Aggregate", _xlpm.r))</f>
        <v>Regional Aggregate</v>
      </c>
      <c r="G561" s="4" t="str">
        <f>_xlfn.LET(_xlpm.ig, _xlfn.XLOOKUP(Clean_Data[[#This Row],[Country_Code]], Metadata_Country!$A:$A, Metadata_Country!$C:$C, "Unknown"), IF(OR(_xlpm.ig=0, _xlpm.ig=""), "Regional Aggregate", _xlpm.ig))</f>
        <v>Regional Aggregate</v>
      </c>
      <c r="H561" s="4">
        <f>Clean_Data[[#This Row],[Exports_TIV]] - Clean_Data[[#This Row],[Imports_TIV]]</f>
        <v>8787000000</v>
      </c>
      <c r="I561" s="4">
        <f>Clean_Data[[#This Row],[Exports_TIV]] + Clean_Data[[#This Row],[Imports_TIV]]</f>
        <v>39963000000</v>
      </c>
    </row>
    <row r="562" spans="1:9">
      <c r="A562" s="4" t="s">
        <v>203</v>
      </c>
      <c r="B562" s="4" t="s">
        <v>204</v>
      </c>
      <c r="C562" s="5">
        <v>2021</v>
      </c>
      <c r="D562" s="4">
        <v>0</v>
      </c>
      <c r="E562" s="4">
        <v>4000000</v>
      </c>
      <c r="F562" s="4" t="str">
        <f>_xlfn.LET(_xlpm.r, _xlfn.XLOOKUP(Clean_Data[[#This Row],[Country_Code]], Metadata_Country!$A:$A, Metadata_Country!$B:$B, "Unknown"), IF(OR(_xlpm.r=0, _xlpm.r=""), "Regional Aggregate", _xlpm.r))</f>
        <v>Latin America &amp; Caribbean</v>
      </c>
      <c r="G562" s="4" t="str">
        <f>_xlfn.LET(_xlpm.ig, _xlfn.XLOOKUP(Clean_Data[[#This Row],[Country_Code]], Metadata_Country!$A:$A, Metadata_Country!$C:$C, "Unknown"), IF(OR(_xlpm.ig=0, _xlpm.ig=""), "Regional Aggregate", _xlpm.ig))</f>
        <v>Lower middle income</v>
      </c>
      <c r="H562" s="4">
        <f>Clean_Data[[#This Row],[Exports_TIV]] - Clean_Data[[#This Row],[Imports_TIV]]</f>
        <v>-4000000</v>
      </c>
      <c r="I562" s="4">
        <f>Clean_Data[[#This Row],[Exports_TIV]] + Clean_Data[[#This Row],[Imports_TIV]]</f>
        <v>4000000</v>
      </c>
    </row>
    <row r="563" spans="1:9">
      <c r="A563" s="4" t="s">
        <v>211</v>
      </c>
      <c r="B563" s="4" t="s">
        <v>212</v>
      </c>
      <c r="C563" s="5">
        <v>2021</v>
      </c>
      <c r="D563" s="4">
        <v>2000000</v>
      </c>
      <c r="E563" s="4">
        <v>20000000</v>
      </c>
      <c r="F563" s="4" t="str">
        <f>_xlfn.LET(_xlpm.r, _xlfn.XLOOKUP(Clean_Data[[#This Row],[Country_Code]], Metadata_Country!$A:$A, Metadata_Country!$B:$B, "Unknown"), IF(OR(_xlpm.r=0, _xlpm.r=""), "Regional Aggregate", _xlpm.r))</f>
        <v>Europe &amp; Central Asia</v>
      </c>
      <c r="G563" s="4" t="str">
        <f>_xlfn.LET(_xlpm.ig, _xlfn.XLOOKUP(Clean_Data[[#This Row],[Country_Code]], Metadata_Country!$A:$A, Metadata_Country!$C:$C, "Unknown"), IF(OR(_xlpm.ig=0, _xlpm.ig=""), "Regional Aggregate", _xlpm.ig))</f>
        <v>High income</v>
      </c>
      <c r="H563" s="4">
        <f>Clean_Data[[#This Row],[Exports_TIV]] - Clean_Data[[#This Row],[Imports_TIV]]</f>
        <v>-18000000</v>
      </c>
      <c r="I563" s="4">
        <f>Clean_Data[[#This Row],[Exports_TIV]] + Clean_Data[[#This Row],[Imports_TIV]]</f>
        <v>22000000</v>
      </c>
    </row>
    <row r="564" spans="1:9">
      <c r="A564" s="4" t="s">
        <v>213</v>
      </c>
      <c r="B564" s="4" t="s">
        <v>214</v>
      </c>
      <c r="C564" s="5">
        <v>2021</v>
      </c>
      <c r="D564" s="4">
        <v>5012000000</v>
      </c>
      <c r="E564" s="4">
        <v>9465000000</v>
      </c>
      <c r="F564" s="4" t="str">
        <f>_xlfn.LET(_xlpm.r, _xlfn.XLOOKUP(Clean_Data[[#This Row],[Country_Code]], Metadata_Country!$A:$A, Metadata_Country!$B:$B, "Unknown"), IF(OR(_xlpm.r=0, _xlpm.r=""), "Regional Aggregate", _xlpm.r))</f>
        <v>Regional Aggregate</v>
      </c>
      <c r="G564" s="4" t="str">
        <f>_xlfn.LET(_xlpm.ig, _xlfn.XLOOKUP(Clean_Data[[#This Row],[Country_Code]], Metadata_Country!$A:$A, Metadata_Country!$C:$C, "Unknown"), IF(OR(_xlpm.ig=0, _xlpm.ig=""), "Regional Aggregate", _xlpm.ig))</f>
        <v>Regional Aggregate</v>
      </c>
      <c r="H564" s="4">
        <f>Clean_Data[[#This Row],[Exports_TIV]] - Clean_Data[[#This Row],[Imports_TIV]]</f>
        <v>-4453000000</v>
      </c>
      <c r="I564" s="4">
        <f>Clean_Data[[#This Row],[Exports_TIV]] + Clean_Data[[#This Row],[Imports_TIV]]</f>
        <v>14477000000</v>
      </c>
    </row>
    <row r="565" spans="1:9">
      <c r="A565" s="4" t="s">
        <v>215</v>
      </c>
      <c r="B565" s="4" t="s">
        <v>216</v>
      </c>
      <c r="C565" s="5">
        <v>2021</v>
      </c>
      <c r="D565" s="4">
        <v>5087000000</v>
      </c>
      <c r="E565" s="4">
        <v>11557000000</v>
      </c>
      <c r="F565" s="4" t="str">
        <f>_xlfn.LET(_xlpm.r, _xlfn.XLOOKUP(Clean_Data[[#This Row],[Country_Code]], Metadata_Country!$A:$A, Metadata_Country!$B:$B, "Unknown"), IF(OR(_xlpm.r=0, _xlpm.r=""), "Regional Aggregate", _xlpm.r))</f>
        <v>Regional Aggregate</v>
      </c>
      <c r="G565" s="4" t="str">
        <f>_xlfn.LET(_xlpm.ig, _xlfn.XLOOKUP(Clean_Data[[#This Row],[Country_Code]], Metadata_Country!$A:$A, Metadata_Country!$C:$C, "Unknown"), IF(OR(_xlpm.ig=0, _xlpm.ig=""), "Regional Aggregate", _xlpm.ig))</f>
        <v>Regional Aggregate</v>
      </c>
      <c r="H565" s="4">
        <f>Clean_Data[[#This Row],[Exports_TIV]] - Clean_Data[[#This Row],[Imports_TIV]]</f>
        <v>-6470000000</v>
      </c>
      <c r="I565" s="4">
        <f>Clean_Data[[#This Row],[Exports_TIV]] + Clean_Data[[#This Row],[Imports_TIV]]</f>
        <v>16644000000</v>
      </c>
    </row>
    <row r="566" spans="1:9">
      <c r="A566" s="4" t="s">
        <v>219</v>
      </c>
      <c r="B566" s="4" t="s">
        <v>220</v>
      </c>
      <c r="C566" s="5">
        <v>2021</v>
      </c>
      <c r="D566" s="4">
        <v>0</v>
      </c>
      <c r="E566" s="4">
        <v>1303000000</v>
      </c>
      <c r="F566" s="4" t="str">
        <f>_xlfn.LET(_xlpm.r, _xlfn.XLOOKUP(Clean_Data[[#This Row],[Country_Code]], Metadata_Country!$A:$A, Metadata_Country!$B:$B, "Unknown"), IF(OR(_xlpm.r=0, _xlpm.r=""), "Regional Aggregate", _xlpm.r))</f>
        <v>Regional Aggregate</v>
      </c>
      <c r="G566" s="4" t="str">
        <f>_xlfn.LET(_xlpm.ig, _xlfn.XLOOKUP(Clean_Data[[#This Row],[Country_Code]], Metadata_Country!$A:$A, Metadata_Country!$C:$C, "Unknown"), IF(OR(_xlpm.ig=0, _xlpm.ig=""), "Regional Aggregate", _xlpm.ig))</f>
        <v>Regional Aggregate</v>
      </c>
      <c r="H566" s="4">
        <f>Clean_Data[[#This Row],[Exports_TIV]] - Clean_Data[[#This Row],[Imports_TIV]]</f>
        <v>-1303000000</v>
      </c>
      <c r="I566" s="4">
        <f>Clean_Data[[#This Row],[Exports_TIV]] + Clean_Data[[#This Row],[Imports_TIV]]</f>
        <v>1303000000</v>
      </c>
    </row>
    <row r="567" spans="1:9">
      <c r="A567" s="4" t="s">
        <v>223</v>
      </c>
      <c r="B567" s="4" t="s">
        <v>224</v>
      </c>
      <c r="C567" s="5">
        <v>2021</v>
      </c>
      <c r="D567" s="4">
        <v>0</v>
      </c>
      <c r="E567" s="4">
        <v>789000000</v>
      </c>
      <c r="F567" s="4" t="str">
        <f>_xlfn.LET(_xlpm.r, _xlfn.XLOOKUP(Clean_Data[[#This Row],[Country_Code]], Metadata_Country!$A:$A, Metadata_Country!$B:$B, "Unknown"), IF(OR(_xlpm.r=0, _xlpm.r=""), "Regional Aggregate", _xlpm.r))</f>
        <v>Regional Aggregate</v>
      </c>
      <c r="G567" s="4" t="str">
        <f>_xlfn.LET(_xlpm.ig, _xlfn.XLOOKUP(Clean_Data[[#This Row],[Country_Code]], Metadata_Country!$A:$A, Metadata_Country!$C:$C, "Unknown"), IF(OR(_xlpm.ig=0, _xlpm.ig=""), "Regional Aggregate", _xlpm.ig))</f>
        <v>Regional Aggregate</v>
      </c>
      <c r="H567" s="4">
        <f>Clean_Data[[#This Row],[Exports_TIV]] - Clean_Data[[#This Row],[Imports_TIV]]</f>
        <v>-789000000</v>
      </c>
      <c r="I567" s="4">
        <f>Clean_Data[[#This Row],[Exports_TIV]] + Clean_Data[[#This Row],[Imports_TIV]]</f>
        <v>789000000</v>
      </c>
    </row>
    <row r="568" spans="1:9">
      <c r="A568" s="4" t="s">
        <v>217</v>
      </c>
      <c r="B568" s="4" t="s">
        <v>218</v>
      </c>
      <c r="C568" s="5">
        <v>2021</v>
      </c>
      <c r="D568" s="4">
        <v>0</v>
      </c>
      <c r="E568" s="4">
        <v>2092000000</v>
      </c>
      <c r="F568" s="4" t="str">
        <f>_xlfn.LET(_xlpm.r, _xlfn.XLOOKUP(Clean_Data[[#This Row],[Country_Code]], Metadata_Country!$A:$A, Metadata_Country!$B:$B, "Unknown"), IF(OR(_xlpm.r=0, _xlpm.r=""), "Regional Aggregate", _xlpm.r))</f>
        <v>Regional Aggregate</v>
      </c>
      <c r="G568" s="4" t="str">
        <f>_xlfn.LET(_xlpm.ig, _xlfn.XLOOKUP(Clean_Data[[#This Row],[Country_Code]], Metadata_Country!$A:$A, Metadata_Country!$C:$C, "Unknown"), IF(OR(_xlpm.ig=0, _xlpm.ig=""), "Regional Aggregate", _xlpm.ig))</f>
        <v>Regional Aggregate</v>
      </c>
      <c r="H568" s="4">
        <f>Clean_Data[[#This Row],[Exports_TIV]] - Clean_Data[[#This Row],[Imports_TIV]]</f>
        <v>-2092000000</v>
      </c>
      <c r="I568" s="4">
        <f>Clean_Data[[#This Row],[Exports_TIV]] + Clean_Data[[#This Row],[Imports_TIV]]</f>
        <v>2092000000</v>
      </c>
    </row>
    <row r="569" spans="1:9">
      <c r="A569" s="4" t="s">
        <v>227</v>
      </c>
      <c r="B569" s="4" t="s">
        <v>228</v>
      </c>
      <c r="C569" s="5">
        <v>2021</v>
      </c>
      <c r="D569" s="4">
        <v>54000000</v>
      </c>
      <c r="E569" s="4">
        <v>3958000000</v>
      </c>
      <c r="F569" s="4" t="str">
        <f>_xlfn.LET(_xlpm.r, _xlfn.XLOOKUP(Clean_Data[[#This Row],[Country_Code]], Metadata_Country!$A:$A, Metadata_Country!$B:$B, "Unknown"), IF(OR(_xlpm.r=0, _xlpm.r=""), "Regional Aggregate", _xlpm.r))</f>
        <v>South Asia</v>
      </c>
      <c r="G569" s="4" t="str">
        <f>_xlfn.LET(_xlpm.ig, _xlfn.XLOOKUP(Clean_Data[[#This Row],[Country_Code]], Metadata_Country!$A:$A, Metadata_Country!$C:$C, "Unknown"), IF(OR(_xlpm.ig=0, _xlpm.ig=""), "Regional Aggregate", _xlpm.ig))</f>
        <v>Lower middle income</v>
      </c>
      <c r="H569" s="4">
        <f>Clean_Data[[#This Row],[Exports_TIV]] - Clean_Data[[#This Row],[Imports_TIV]]</f>
        <v>-3904000000</v>
      </c>
      <c r="I569" s="4">
        <f>Clean_Data[[#This Row],[Exports_TIV]] + Clean_Data[[#This Row],[Imports_TIV]]</f>
        <v>4012000000</v>
      </c>
    </row>
    <row r="570" spans="1:9">
      <c r="A570" s="4" t="s">
        <v>221</v>
      </c>
      <c r="B570" s="4" t="s">
        <v>222</v>
      </c>
      <c r="C570" s="5">
        <v>2021</v>
      </c>
      <c r="D570" s="4">
        <v>17000000</v>
      </c>
      <c r="E570" s="4">
        <v>366000000</v>
      </c>
      <c r="F570" s="4" t="str">
        <f>_xlfn.LET(_xlpm.r, _xlfn.XLOOKUP(Clean_Data[[#This Row],[Country_Code]], Metadata_Country!$A:$A, Metadata_Country!$B:$B, "Unknown"), IF(OR(_xlpm.r=0, _xlpm.r=""), "Regional Aggregate", _xlpm.r))</f>
        <v>East Asia &amp; Pacific</v>
      </c>
      <c r="G570" s="4" t="str">
        <f>_xlfn.LET(_xlpm.ig, _xlfn.XLOOKUP(Clean_Data[[#This Row],[Country_Code]], Metadata_Country!$A:$A, Metadata_Country!$C:$C, "Unknown"), IF(OR(_xlpm.ig=0, _xlpm.ig=""), "Regional Aggregate", _xlpm.ig))</f>
        <v>Upper middle income</v>
      </c>
      <c r="H570" s="4">
        <f>Clean_Data[[#This Row],[Exports_TIV]] - Clean_Data[[#This Row],[Imports_TIV]]</f>
        <v>-349000000</v>
      </c>
      <c r="I570" s="4">
        <f>Clean_Data[[#This Row],[Exports_TIV]] + Clean_Data[[#This Row],[Imports_TIV]]</f>
        <v>383000000</v>
      </c>
    </row>
    <row r="571" spans="1:9">
      <c r="A571" s="4" t="s">
        <v>233</v>
      </c>
      <c r="B571" s="4" t="s">
        <v>234</v>
      </c>
      <c r="C571" s="5">
        <v>2021</v>
      </c>
      <c r="D571" s="4">
        <v>2000000</v>
      </c>
      <c r="E571" s="4">
        <v>0</v>
      </c>
      <c r="F571" s="4" t="str">
        <f>_xlfn.LET(_xlpm.r, _xlfn.XLOOKUP(Clean_Data[[#This Row],[Country_Code]], Metadata_Country!$A:$A, Metadata_Country!$B:$B, "Unknown"), IF(OR(_xlpm.r=0, _xlpm.r=""), "Regional Aggregate", _xlpm.r))</f>
        <v>Middle East &amp; North Africa</v>
      </c>
      <c r="G571" s="4" t="str">
        <f>_xlfn.LET(_xlpm.ig, _xlfn.XLOOKUP(Clean_Data[[#This Row],[Country_Code]], Metadata_Country!$A:$A, Metadata_Country!$C:$C, "Unknown"), IF(OR(_xlpm.ig=0, _xlpm.ig=""), "Regional Aggregate", _xlpm.ig))</f>
        <v>Upper middle income</v>
      </c>
      <c r="H571" s="4">
        <f>Clean_Data[[#This Row],[Exports_TIV]] - Clean_Data[[#This Row],[Imports_TIV]]</f>
        <v>2000000</v>
      </c>
      <c r="I571" s="4">
        <f>Clean_Data[[#This Row],[Exports_TIV]] + Clean_Data[[#This Row],[Imports_TIV]]</f>
        <v>2000000</v>
      </c>
    </row>
    <row r="572" spans="1:9">
      <c r="A572" s="4" t="s">
        <v>231</v>
      </c>
      <c r="B572" s="4" t="s">
        <v>232</v>
      </c>
      <c r="C572" s="5">
        <v>2021</v>
      </c>
      <c r="D572" s="4">
        <v>13000000</v>
      </c>
      <c r="E572" s="4">
        <v>0</v>
      </c>
      <c r="F572" s="4" t="str">
        <f>_xlfn.LET(_xlpm.r, _xlfn.XLOOKUP(Clean_Data[[#This Row],[Country_Code]], Metadata_Country!$A:$A, Metadata_Country!$B:$B, "Unknown"), IF(OR(_xlpm.r=0, _xlpm.r=""), "Regional Aggregate", _xlpm.r))</f>
        <v>Europe &amp; Central Asia</v>
      </c>
      <c r="G572" s="4" t="str">
        <f>_xlfn.LET(_xlpm.ig, _xlfn.XLOOKUP(Clean_Data[[#This Row],[Country_Code]], Metadata_Country!$A:$A, Metadata_Country!$C:$C, "Unknown"), IF(OR(_xlpm.ig=0, _xlpm.ig=""), "Regional Aggregate", _xlpm.ig))</f>
        <v>High income</v>
      </c>
      <c r="H572" s="4">
        <f>Clean_Data[[#This Row],[Exports_TIV]] - Clean_Data[[#This Row],[Imports_TIV]]</f>
        <v>13000000</v>
      </c>
      <c r="I572" s="4">
        <f>Clean_Data[[#This Row],[Exports_TIV]] + Clean_Data[[#This Row],[Imports_TIV]]</f>
        <v>13000000</v>
      </c>
    </row>
    <row r="573" spans="1:9">
      <c r="A573" s="4" t="s">
        <v>239</v>
      </c>
      <c r="B573" s="4" t="s">
        <v>240</v>
      </c>
      <c r="C573" s="5">
        <v>2021</v>
      </c>
      <c r="D573" s="4">
        <v>687000000</v>
      </c>
      <c r="E573" s="4">
        <v>458000000</v>
      </c>
      <c r="F573" s="4" t="str">
        <f>_xlfn.LET(_xlpm.r, _xlfn.XLOOKUP(Clean_Data[[#This Row],[Country_Code]], Metadata_Country!$A:$A, Metadata_Country!$B:$B, "Unknown"), IF(OR(_xlpm.r=0, _xlpm.r=""), "Regional Aggregate", _xlpm.r))</f>
        <v>Middle East &amp; North Africa</v>
      </c>
      <c r="G573" s="4" t="str">
        <f>_xlfn.LET(_xlpm.ig, _xlfn.XLOOKUP(Clean_Data[[#This Row],[Country_Code]], Metadata_Country!$A:$A, Metadata_Country!$C:$C, "Unknown"), IF(OR(_xlpm.ig=0, _xlpm.ig=""), "Regional Aggregate", _xlpm.ig))</f>
        <v>High income</v>
      </c>
      <c r="H573" s="4">
        <f>Clean_Data[[#This Row],[Exports_TIV]] - Clean_Data[[#This Row],[Imports_TIV]]</f>
        <v>229000000</v>
      </c>
      <c r="I573" s="4">
        <f>Clean_Data[[#This Row],[Exports_TIV]] + Clean_Data[[#This Row],[Imports_TIV]]</f>
        <v>1145000000</v>
      </c>
    </row>
    <row r="574" spans="1:9">
      <c r="A574" s="4" t="s">
        <v>241</v>
      </c>
      <c r="B574" s="4" t="s">
        <v>242</v>
      </c>
      <c r="C574" s="5">
        <v>2021</v>
      </c>
      <c r="D574" s="4">
        <v>1627000000</v>
      </c>
      <c r="E574" s="4">
        <v>211000000</v>
      </c>
      <c r="F574" s="4" t="str">
        <f>_xlfn.LET(_xlpm.r, _xlfn.XLOOKUP(Clean_Data[[#This Row],[Country_Code]], Metadata_Country!$A:$A, Metadata_Country!$B:$B, "Unknown"), IF(OR(_xlpm.r=0, _xlpm.r=""), "Regional Aggregate", _xlpm.r))</f>
        <v>Europe &amp; Central Asia</v>
      </c>
      <c r="G574" s="4" t="str">
        <f>_xlfn.LET(_xlpm.ig, _xlfn.XLOOKUP(Clean_Data[[#This Row],[Country_Code]], Metadata_Country!$A:$A, Metadata_Country!$C:$C, "Unknown"), IF(OR(_xlpm.ig=0, _xlpm.ig=""), "Regional Aggregate", _xlpm.ig))</f>
        <v>High income</v>
      </c>
      <c r="H574" s="4">
        <f>Clean_Data[[#This Row],[Exports_TIV]] - Clean_Data[[#This Row],[Imports_TIV]]</f>
        <v>1416000000</v>
      </c>
      <c r="I574" s="4">
        <f>Clean_Data[[#This Row],[Exports_TIV]] + Clean_Data[[#This Row],[Imports_TIV]]</f>
        <v>1838000000</v>
      </c>
    </row>
    <row r="575" spans="1:9">
      <c r="A575" s="4" t="s">
        <v>243</v>
      </c>
      <c r="B575" s="4" t="s">
        <v>244</v>
      </c>
      <c r="C575" s="5">
        <v>2021</v>
      </c>
      <c r="D575" s="4">
        <v>0</v>
      </c>
      <c r="E575" s="4">
        <v>29000000</v>
      </c>
      <c r="F575" s="4" t="str">
        <f>_xlfn.LET(_xlpm.r, _xlfn.XLOOKUP(Clean_Data[[#This Row],[Country_Code]], Metadata_Country!$A:$A, Metadata_Country!$B:$B, "Unknown"), IF(OR(_xlpm.r=0, _xlpm.r=""), "Regional Aggregate", _xlpm.r))</f>
        <v>Latin America &amp; Caribbean</v>
      </c>
      <c r="G575" s="4" t="str">
        <f>_xlfn.LET(_xlpm.ig, _xlfn.XLOOKUP(Clean_Data[[#This Row],[Country_Code]], Metadata_Country!$A:$A, Metadata_Country!$C:$C, "Unknown"), IF(OR(_xlpm.ig=0, _xlpm.ig=""), "Regional Aggregate", _xlpm.ig))</f>
        <v>Upper middle income</v>
      </c>
      <c r="H575" s="4">
        <f>Clean_Data[[#This Row],[Exports_TIV]] - Clean_Data[[#This Row],[Imports_TIV]]</f>
        <v>-29000000</v>
      </c>
      <c r="I575" s="4">
        <f>Clean_Data[[#This Row],[Exports_TIV]] + Clean_Data[[#This Row],[Imports_TIV]]</f>
        <v>29000000</v>
      </c>
    </row>
    <row r="576" spans="1:9">
      <c r="A576" s="4" t="s">
        <v>247</v>
      </c>
      <c r="B576" s="4" t="s">
        <v>248</v>
      </c>
      <c r="C576" s="5">
        <v>2021</v>
      </c>
      <c r="D576" s="4">
        <v>0</v>
      </c>
      <c r="E576" s="4">
        <v>1009000000</v>
      </c>
      <c r="F576" s="4" t="str">
        <f>_xlfn.LET(_xlpm.r, _xlfn.XLOOKUP(Clean_Data[[#This Row],[Country_Code]], Metadata_Country!$A:$A, Metadata_Country!$B:$B, "Unknown"), IF(OR(_xlpm.r=0, _xlpm.r=""), "Regional Aggregate", _xlpm.r))</f>
        <v>East Asia &amp; Pacific</v>
      </c>
      <c r="G576" s="4" t="str">
        <f>_xlfn.LET(_xlpm.ig, _xlfn.XLOOKUP(Clean_Data[[#This Row],[Country_Code]], Metadata_Country!$A:$A, Metadata_Country!$C:$C, "Unknown"), IF(OR(_xlpm.ig=0, _xlpm.ig=""), "Regional Aggregate", _xlpm.ig))</f>
        <v>High income</v>
      </c>
      <c r="H576" s="4">
        <f>Clean_Data[[#This Row],[Exports_TIV]] - Clean_Data[[#This Row],[Imports_TIV]]</f>
        <v>-1009000000</v>
      </c>
      <c r="I576" s="4">
        <f>Clean_Data[[#This Row],[Exports_TIV]] + Clean_Data[[#This Row],[Imports_TIV]]</f>
        <v>1009000000</v>
      </c>
    </row>
    <row r="577" spans="1:9">
      <c r="A577" s="4" t="s">
        <v>245</v>
      </c>
      <c r="B577" s="4" t="s">
        <v>246</v>
      </c>
      <c r="C577" s="5">
        <v>2021</v>
      </c>
      <c r="D577" s="4">
        <v>74000000</v>
      </c>
      <c r="E577" s="4">
        <v>67000000</v>
      </c>
      <c r="F577" s="4" t="str">
        <f>_xlfn.LET(_xlpm.r, _xlfn.XLOOKUP(Clean_Data[[#This Row],[Country_Code]], Metadata_Country!$A:$A, Metadata_Country!$B:$B, "Unknown"), IF(OR(_xlpm.r=0, _xlpm.r=""), "Regional Aggregate", _xlpm.r))</f>
        <v>Middle East &amp; North Africa</v>
      </c>
      <c r="G577" s="4" t="str">
        <f>_xlfn.LET(_xlpm.ig, _xlfn.XLOOKUP(Clean_Data[[#This Row],[Country_Code]], Metadata_Country!$A:$A, Metadata_Country!$C:$C, "Unknown"), IF(OR(_xlpm.ig=0, _xlpm.ig=""), "Regional Aggregate", _xlpm.ig))</f>
        <v>Upper middle income</v>
      </c>
      <c r="H577" s="4">
        <f>Clean_Data[[#This Row],[Exports_TIV]] - Clean_Data[[#This Row],[Imports_TIV]]</f>
        <v>7000000</v>
      </c>
      <c r="I577" s="4">
        <f>Clean_Data[[#This Row],[Exports_TIV]] + Clean_Data[[#This Row],[Imports_TIV]]</f>
        <v>141000000</v>
      </c>
    </row>
    <row r="578" spans="1:9">
      <c r="A578" s="4" t="s">
        <v>249</v>
      </c>
      <c r="B578" s="4" t="s">
        <v>250</v>
      </c>
      <c r="C578" s="5">
        <v>2021</v>
      </c>
      <c r="D578" s="4">
        <v>0</v>
      </c>
      <c r="E578" s="4">
        <v>195000000</v>
      </c>
      <c r="F578" s="4" t="str">
        <f>_xlfn.LET(_xlpm.r, _xlfn.XLOOKUP(Clean_Data[[#This Row],[Country_Code]], Metadata_Country!$A:$A, Metadata_Country!$B:$B, "Unknown"), IF(OR(_xlpm.r=0, _xlpm.r=""), "Regional Aggregate", _xlpm.r))</f>
        <v>Europe &amp; Central Asia</v>
      </c>
      <c r="G578" s="4" t="str">
        <f>_xlfn.LET(_xlpm.ig, _xlfn.XLOOKUP(Clean_Data[[#This Row],[Country_Code]], Metadata_Country!$A:$A, Metadata_Country!$C:$C, "Unknown"), IF(OR(_xlpm.ig=0, _xlpm.ig=""), "Regional Aggregate", _xlpm.ig))</f>
        <v>Upper middle income</v>
      </c>
      <c r="H578" s="4">
        <f>Clean_Data[[#This Row],[Exports_TIV]] - Clean_Data[[#This Row],[Imports_TIV]]</f>
        <v>-195000000</v>
      </c>
      <c r="I578" s="4">
        <f>Clean_Data[[#This Row],[Exports_TIV]] + Clean_Data[[#This Row],[Imports_TIV]]</f>
        <v>195000000</v>
      </c>
    </row>
    <row r="579" spans="1:9">
      <c r="A579" s="4" t="s">
        <v>251</v>
      </c>
      <c r="B579" s="4" t="s">
        <v>252</v>
      </c>
      <c r="C579" s="5">
        <v>2021</v>
      </c>
      <c r="D579" s="4">
        <v>0</v>
      </c>
      <c r="E579" s="4">
        <v>4000000</v>
      </c>
      <c r="F579" s="4" t="str">
        <f>_xlfn.LET(_xlpm.r, _xlfn.XLOOKUP(Clean_Data[[#This Row],[Country_Code]], Metadata_Country!$A:$A, Metadata_Country!$B:$B, "Unknown"), IF(OR(_xlpm.r=0, _xlpm.r=""), "Regional Aggregate", _xlpm.r))</f>
        <v>Sub-Saharan Africa</v>
      </c>
      <c r="G579" s="4" t="str">
        <f>_xlfn.LET(_xlpm.ig, _xlfn.XLOOKUP(Clean_Data[[#This Row],[Country_Code]], Metadata_Country!$A:$A, Metadata_Country!$C:$C, "Unknown"), IF(OR(_xlpm.ig=0, _xlpm.ig=""), "Regional Aggregate", _xlpm.ig))</f>
        <v>Lower middle income</v>
      </c>
      <c r="H579" s="4">
        <f>Clean_Data[[#This Row],[Exports_TIV]] - Clean_Data[[#This Row],[Imports_TIV]]</f>
        <v>-4000000</v>
      </c>
      <c r="I579" s="4">
        <f>Clean_Data[[#This Row],[Exports_TIV]] + Clean_Data[[#This Row],[Imports_TIV]]</f>
        <v>4000000</v>
      </c>
    </row>
    <row r="580" spans="1:9">
      <c r="A580" s="4" t="s">
        <v>257</v>
      </c>
      <c r="B580" s="4" t="s">
        <v>258</v>
      </c>
      <c r="C580" s="5">
        <v>2021</v>
      </c>
      <c r="D580" s="4">
        <v>0</v>
      </c>
      <c r="E580" s="4">
        <v>7000000</v>
      </c>
      <c r="F580" s="4" t="str">
        <f>_xlfn.LET(_xlpm.r, _xlfn.XLOOKUP(Clean_Data[[#This Row],[Country_Code]], Metadata_Country!$A:$A, Metadata_Country!$B:$B, "Unknown"), IF(OR(_xlpm.r=0, _xlpm.r=""), "Regional Aggregate", _xlpm.r))</f>
        <v>East Asia &amp; Pacific</v>
      </c>
      <c r="G580" s="4" t="str">
        <f>_xlfn.LET(_xlpm.ig, _xlfn.XLOOKUP(Clean_Data[[#This Row],[Country_Code]], Metadata_Country!$A:$A, Metadata_Country!$C:$C, "Unknown"), IF(OR(_xlpm.ig=0, _xlpm.ig=""), "Regional Aggregate", _xlpm.ig))</f>
        <v>Lower middle income</v>
      </c>
      <c r="H580" s="4">
        <f>Clean_Data[[#This Row],[Exports_TIV]] - Clean_Data[[#This Row],[Imports_TIV]]</f>
        <v>-7000000</v>
      </c>
      <c r="I580" s="4">
        <f>Clean_Data[[#This Row],[Exports_TIV]] + Clean_Data[[#This Row],[Imports_TIV]]</f>
        <v>7000000</v>
      </c>
    </row>
    <row r="581" spans="1:9">
      <c r="A581" s="4" t="s">
        <v>261</v>
      </c>
      <c r="B581" s="4" t="s">
        <v>262</v>
      </c>
      <c r="C581" s="5">
        <v>2021</v>
      </c>
      <c r="D581" s="4">
        <v>536000000</v>
      </c>
      <c r="E581" s="4">
        <v>812000000</v>
      </c>
      <c r="F581" s="4" t="str">
        <f>_xlfn.LET(_xlpm.r, _xlfn.XLOOKUP(Clean_Data[[#This Row],[Country_Code]], Metadata_Country!$A:$A, Metadata_Country!$B:$B, "Unknown"), IF(OR(_xlpm.r=0, _xlpm.r=""), "Regional Aggregate", _xlpm.r))</f>
        <v>East Asia &amp; Pacific</v>
      </c>
      <c r="G581" s="4" t="str">
        <f>_xlfn.LET(_xlpm.ig, _xlfn.XLOOKUP(Clean_Data[[#This Row],[Country_Code]], Metadata_Country!$A:$A, Metadata_Country!$C:$C, "Unknown"), IF(OR(_xlpm.ig=0, _xlpm.ig=""), "Regional Aggregate", _xlpm.ig))</f>
        <v>High income</v>
      </c>
      <c r="H581" s="4">
        <f>Clean_Data[[#This Row],[Exports_TIV]] - Clean_Data[[#This Row],[Imports_TIV]]</f>
        <v>-276000000</v>
      </c>
      <c r="I581" s="4">
        <f>Clean_Data[[#This Row],[Exports_TIV]] + Clean_Data[[#This Row],[Imports_TIV]]</f>
        <v>1348000000</v>
      </c>
    </row>
    <row r="582" spans="1:9">
      <c r="A582" s="4" t="s">
        <v>531</v>
      </c>
      <c r="B582" s="4" t="s">
        <v>532</v>
      </c>
      <c r="C582" s="5">
        <v>2021</v>
      </c>
      <c r="D582" s="4">
        <v>0</v>
      </c>
      <c r="E582" s="4">
        <v>9000000</v>
      </c>
      <c r="F582" s="4" t="str">
        <f>_xlfn.LET(_xlpm.r, _xlfn.XLOOKUP(Clean_Data[[#This Row],[Country_Code]], Metadata_Country!$A:$A, Metadata_Country!$B:$B, "Unknown"), IF(OR(_xlpm.r=0, _xlpm.r=""), "Regional Aggregate", _xlpm.r))</f>
        <v>Europe &amp; Central Asia</v>
      </c>
      <c r="G582" s="4" t="str">
        <f>_xlfn.LET(_xlpm.ig, _xlfn.XLOOKUP(Clean_Data[[#This Row],[Country_Code]], Metadata_Country!$A:$A, Metadata_Country!$C:$C, "Unknown"), IF(OR(_xlpm.ig=0, _xlpm.ig=""), "Regional Aggregate", _xlpm.ig))</f>
        <v>Upper middle income</v>
      </c>
      <c r="H582" s="4">
        <f>Clean_Data[[#This Row],[Exports_TIV]] - Clean_Data[[#This Row],[Imports_TIV]]</f>
        <v>-9000000</v>
      </c>
      <c r="I582" s="4">
        <f>Clean_Data[[#This Row],[Exports_TIV]] + Clean_Data[[#This Row],[Imports_TIV]]</f>
        <v>9000000</v>
      </c>
    </row>
    <row r="583" spans="1:9">
      <c r="A583" s="4" t="s">
        <v>263</v>
      </c>
      <c r="B583" s="4" t="s">
        <v>264</v>
      </c>
      <c r="C583" s="5">
        <v>2021</v>
      </c>
      <c r="D583" s="4">
        <v>0</v>
      </c>
      <c r="E583" s="4">
        <v>1565000000</v>
      </c>
      <c r="F583" s="4" t="str">
        <f>_xlfn.LET(_xlpm.r, _xlfn.XLOOKUP(Clean_Data[[#This Row],[Country_Code]], Metadata_Country!$A:$A, Metadata_Country!$B:$B, "Unknown"), IF(OR(_xlpm.r=0, _xlpm.r=""), "Regional Aggregate", _xlpm.r))</f>
        <v>Middle East &amp; North Africa</v>
      </c>
      <c r="G583" s="4" t="str">
        <f>_xlfn.LET(_xlpm.ig, _xlfn.XLOOKUP(Clean_Data[[#This Row],[Country_Code]], Metadata_Country!$A:$A, Metadata_Country!$C:$C, "Unknown"), IF(OR(_xlpm.ig=0, _xlpm.ig=""), "Regional Aggregate", _xlpm.ig))</f>
        <v>High income</v>
      </c>
      <c r="H583" s="4">
        <f>Clean_Data[[#This Row],[Exports_TIV]] - Clean_Data[[#This Row],[Imports_TIV]]</f>
        <v>-1565000000</v>
      </c>
      <c r="I583" s="4">
        <f>Clean_Data[[#This Row],[Exports_TIV]] + Clean_Data[[#This Row],[Imports_TIV]]</f>
        <v>1565000000</v>
      </c>
    </row>
    <row r="584" spans="1:9">
      <c r="A584" s="4" t="s">
        <v>253</v>
      </c>
      <c r="B584" s="4" t="s">
        <v>254</v>
      </c>
      <c r="C584" s="5">
        <v>2021</v>
      </c>
      <c r="D584" s="4">
        <v>0</v>
      </c>
      <c r="E584" s="4">
        <v>5000000</v>
      </c>
      <c r="F584" s="4" t="str">
        <f>_xlfn.LET(_xlpm.r, _xlfn.XLOOKUP(Clean_Data[[#This Row],[Country_Code]], Metadata_Country!$A:$A, Metadata_Country!$B:$B, "Unknown"), IF(OR(_xlpm.r=0, _xlpm.r=""), "Regional Aggregate", _xlpm.r))</f>
        <v>Europe &amp; Central Asia</v>
      </c>
      <c r="G584" s="4" t="str">
        <f>_xlfn.LET(_xlpm.ig, _xlfn.XLOOKUP(Clean_Data[[#This Row],[Country_Code]], Metadata_Country!$A:$A, Metadata_Country!$C:$C, "Unknown"), IF(OR(_xlpm.ig=0, _xlpm.ig=""), "Regional Aggregate", _xlpm.ig))</f>
        <v>Lower middle income</v>
      </c>
      <c r="H584" s="4">
        <f>Clean_Data[[#This Row],[Exports_TIV]] - Clean_Data[[#This Row],[Imports_TIV]]</f>
        <v>-5000000</v>
      </c>
      <c r="I584" s="4">
        <f>Clean_Data[[#This Row],[Exports_TIV]] + Clean_Data[[#This Row],[Imports_TIV]]</f>
        <v>5000000</v>
      </c>
    </row>
    <row r="585" spans="1:9">
      <c r="A585" s="4" t="s">
        <v>267</v>
      </c>
      <c r="B585" s="4" t="s">
        <v>268</v>
      </c>
      <c r="C585" s="5">
        <v>2021</v>
      </c>
      <c r="D585" s="4">
        <v>0</v>
      </c>
      <c r="E585" s="4">
        <v>3000000</v>
      </c>
      <c r="F585" s="4" t="str">
        <f>_xlfn.LET(_xlpm.r, _xlfn.XLOOKUP(Clean_Data[[#This Row],[Country_Code]], Metadata_Country!$A:$A, Metadata_Country!$B:$B, "Unknown"), IF(OR(_xlpm.r=0, _xlpm.r=""), "Regional Aggregate", _xlpm.r))</f>
        <v>East Asia &amp; Pacific</v>
      </c>
      <c r="G585" s="4" t="str">
        <f>_xlfn.LET(_xlpm.ig, _xlfn.XLOOKUP(Clean_Data[[#This Row],[Country_Code]], Metadata_Country!$A:$A, Metadata_Country!$C:$C, "Unknown"), IF(OR(_xlpm.ig=0, _xlpm.ig=""), "Regional Aggregate", _xlpm.ig))</f>
        <v>Lower middle income</v>
      </c>
      <c r="H585" s="4">
        <f>Clean_Data[[#This Row],[Exports_TIV]] - Clean_Data[[#This Row],[Imports_TIV]]</f>
        <v>-3000000</v>
      </c>
      <c r="I585" s="4">
        <f>Clean_Data[[#This Row],[Exports_TIV]] + Clean_Data[[#This Row],[Imports_TIV]]</f>
        <v>3000000</v>
      </c>
    </row>
    <row r="586" spans="1:9">
      <c r="A586" s="4" t="s">
        <v>293</v>
      </c>
      <c r="B586" s="4" t="s">
        <v>294</v>
      </c>
      <c r="C586" s="5">
        <v>2021</v>
      </c>
      <c r="D586" s="4">
        <v>3918000000</v>
      </c>
      <c r="E586" s="4">
        <v>6850000000</v>
      </c>
      <c r="F586" s="4" t="str">
        <f>_xlfn.LET(_xlpm.r, _xlfn.XLOOKUP(Clean_Data[[#This Row],[Country_Code]], Metadata_Country!$A:$A, Metadata_Country!$B:$B, "Unknown"), IF(OR(_xlpm.r=0, _xlpm.r=""), "Regional Aggregate", _xlpm.r))</f>
        <v>Regional Aggregate</v>
      </c>
      <c r="G586" s="4" t="str">
        <f>_xlfn.LET(_xlpm.ig, _xlfn.XLOOKUP(Clean_Data[[#This Row],[Country_Code]], Metadata_Country!$A:$A, Metadata_Country!$C:$C, "Unknown"), IF(OR(_xlpm.ig=0, _xlpm.ig=""), "Regional Aggregate", _xlpm.ig))</f>
        <v>Regional Aggregate</v>
      </c>
      <c r="H586" s="4">
        <f>Clean_Data[[#This Row],[Exports_TIV]] - Clean_Data[[#This Row],[Imports_TIV]]</f>
        <v>-2932000000</v>
      </c>
      <c r="I586" s="4">
        <f>Clean_Data[[#This Row],[Exports_TIV]] + Clean_Data[[#This Row],[Imports_TIV]]</f>
        <v>10768000000</v>
      </c>
    </row>
    <row r="587" spans="1:9">
      <c r="A587" s="4" t="s">
        <v>277</v>
      </c>
      <c r="B587" s="4" t="s">
        <v>278</v>
      </c>
      <c r="C587" s="5">
        <v>2021</v>
      </c>
      <c r="D587" s="4">
        <v>0</v>
      </c>
      <c r="E587" s="4">
        <v>591000000</v>
      </c>
      <c r="F587" s="4" t="str">
        <f>_xlfn.LET(_xlpm.r, _xlfn.XLOOKUP(Clean_Data[[#This Row],[Country_Code]], Metadata_Country!$A:$A, Metadata_Country!$B:$B, "Unknown"), IF(OR(_xlpm.r=0, _xlpm.r=""), "Regional Aggregate", _xlpm.r))</f>
        <v>Regional Aggregate</v>
      </c>
      <c r="G587" s="4" t="str">
        <f>_xlfn.LET(_xlpm.ig, _xlfn.XLOOKUP(Clean_Data[[#This Row],[Country_Code]], Metadata_Country!$A:$A, Metadata_Country!$C:$C, "Unknown"), IF(OR(_xlpm.ig=0, _xlpm.ig=""), "Regional Aggregate", _xlpm.ig))</f>
        <v>Regional Aggregate</v>
      </c>
      <c r="H587" s="4">
        <f>Clean_Data[[#This Row],[Exports_TIV]] - Clean_Data[[#This Row],[Imports_TIV]]</f>
        <v>-591000000</v>
      </c>
      <c r="I587" s="4">
        <f>Clean_Data[[#This Row],[Exports_TIV]] + Clean_Data[[#This Row],[Imports_TIV]]</f>
        <v>591000000</v>
      </c>
    </row>
    <row r="588" spans="1:9">
      <c r="A588" s="4" t="s">
        <v>265</v>
      </c>
      <c r="B588" s="4" t="s">
        <v>266</v>
      </c>
      <c r="C588" s="5">
        <v>2021</v>
      </c>
      <c r="D588" s="4">
        <v>0</v>
      </c>
      <c r="E588" s="4">
        <v>485000000</v>
      </c>
      <c r="F588" s="4" t="str">
        <f>_xlfn.LET(_xlpm.r, _xlfn.XLOOKUP(Clean_Data[[#This Row],[Country_Code]], Metadata_Country!$A:$A, Metadata_Country!$B:$B, "Unknown"), IF(OR(_xlpm.r=0, _xlpm.r=""), "Regional Aggregate", _xlpm.r))</f>
        <v>Regional Aggregate</v>
      </c>
      <c r="G588" s="4" t="str">
        <f>_xlfn.LET(_xlpm.ig, _xlfn.XLOOKUP(Clean_Data[[#This Row],[Country_Code]], Metadata_Country!$A:$A, Metadata_Country!$C:$C, "Unknown"), IF(OR(_xlpm.ig=0, _xlpm.ig=""), "Regional Aggregate", _xlpm.ig))</f>
        <v>Regional Aggregate</v>
      </c>
      <c r="H588" s="4">
        <f>Clean_Data[[#This Row],[Exports_TIV]] - Clean_Data[[#This Row],[Imports_TIV]]</f>
        <v>-485000000</v>
      </c>
      <c r="I588" s="4">
        <f>Clean_Data[[#This Row],[Exports_TIV]] + Clean_Data[[#This Row],[Imports_TIV]]</f>
        <v>485000000</v>
      </c>
    </row>
    <row r="589" spans="1:9">
      <c r="A589" s="4" t="s">
        <v>481</v>
      </c>
      <c r="B589" s="4" t="s">
        <v>482</v>
      </c>
      <c r="C589" s="5">
        <v>2021</v>
      </c>
      <c r="D589" s="4">
        <v>0</v>
      </c>
      <c r="E589" s="4">
        <v>591000000</v>
      </c>
      <c r="F589" s="4" t="str">
        <f>_xlfn.LET(_xlpm.r, _xlfn.XLOOKUP(Clean_Data[[#This Row],[Country_Code]], Metadata_Country!$A:$A, Metadata_Country!$B:$B, "Unknown"), IF(OR(_xlpm.r=0, _xlpm.r=""), "Regional Aggregate", _xlpm.r))</f>
        <v>Regional Aggregate</v>
      </c>
      <c r="G589" s="4" t="str">
        <f>_xlfn.LET(_xlpm.ig, _xlfn.XLOOKUP(Clean_Data[[#This Row],[Country_Code]], Metadata_Country!$A:$A, Metadata_Country!$C:$C, "Unknown"), IF(OR(_xlpm.ig=0, _xlpm.ig=""), "Regional Aggregate", _xlpm.ig))</f>
        <v>Regional Aggregate</v>
      </c>
      <c r="H589" s="4">
        <f>Clean_Data[[#This Row],[Exports_TIV]] - Clean_Data[[#This Row],[Imports_TIV]]</f>
        <v>-591000000</v>
      </c>
      <c r="I589" s="4">
        <f>Clean_Data[[#This Row],[Exports_TIV]] + Clean_Data[[#This Row],[Imports_TIV]]</f>
        <v>591000000</v>
      </c>
    </row>
    <row r="590" spans="1:9">
      <c r="A590" s="4" t="s">
        <v>299</v>
      </c>
      <c r="B590" s="4" t="s">
        <v>300</v>
      </c>
      <c r="C590" s="5">
        <v>2021</v>
      </c>
      <c r="D590" s="4">
        <v>0</v>
      </c>
      <c r="E590" s="4">
        <v>15000000</v>
      </c>
      <c r="F590" s="4" t="str">
        <f>_xlfn.LET(_xlpm.r, _xlfn.XLOOKUP(Clean_Data[[#This Row],[Country_Code]], Metadata_Country!$A:$A, Metadata_Country!$B:$B, "Unknown"), IF(OR(_xlpm.r=0, _xlpm.r=""), "Regional Aggregate", _xlpm.r))</f>
        <v>Europe &amp; Central Asia</v>
      </c>
      <c r="G590" s="4" t="str">
        <f>_xlfn.LET(_xlpm.ig, _xlfn.XLOOKUP(Clean_Data[[#This Row],[Country_Code]], Metadata_Country!$A:$A, Metadata_Country!$C:$C, "Unknown"), IF(OR(_xlpm.ig=0, _xlpm.ig=""), "Regional Aggregate", _xlpm.ig))</f>
        <v>High income</v>
      </c>
      <c r="H590" s="4">
        <f>Clean_Data[[#This Row],[Exports_TIV]] - Clean_Data[[#This Row],[Imports_TIV]]</f>
        <v>-15000000</v>
      </c>
      <c r="I590" s="4">
        <f>Clean_Data[[#This Row],[Exports_TIV]] + Clean_Data[[#This Row],[Imports_TIV]]</f>
        <v>15000000</v>
      </c>
    </row>
    <row r="591" spans="1:9">
      <c r="A591" s="4" t="s">
        <v>279</v>
      </c>
      <c r="B591" s="4" t="s">
        <v>280</v>
      </c>
      <c r="C591" s="5">
        <v>2021</v>
      </c>
      <c r="D591" s="4">
        <v>0</v>
      </c>
      <c r="E591" s="4">
        <v>691000000</v>
      </c>
      <c r="F591" s="4" t="str">
        <f>_xlfn.LET(_xlpm.r, _xlfn.XLOOKUP(Clean_Data[[#This Row],[Country_Code]], Metadata_Country!$A:$A, Metadata_Country!$B:$B, "Unknown"), IF(OR(_xlpm.r=0, _xlpm.r=""), "Regional Aggregate", _xlpm.r))</f>
        <v>Regional Aggregate</v>
      </c>
      <c r="G591" s="4" t="str">
        <f>_xlfn.LET(_xlpm.ig, _xlfn.XLOOKUP(Clean_Data[[#This Row],[Country_Code]], Metadata_Country!$A:$A, Metadata_Country!$C:$C, "Unknown"), IF(OR(_xlpm.ig=0, _xlpm.ig=""), "Regional Aggregate", _xlpm.ig))</f>
        <v>Regional Aggregate</v>
      </c>
      <c r="H591" s="4">
        <f>Clean_Data[[#This Row],[Exports_TIV]] - Clean_Data[[#This Row],[Imports_TIV]]</f>
        <v>-691000000</v>
      </c>
      <c r="I591" s="4">
        <f>Clean_Data[[#This Row],[Exports_TIV]] + Clean_Data[[#This Row],[Imports_TIV]]</f>
        <v>691000000</v>
      </c>
    </row>
    <row r="592" spans="1:9">
      <c r="A592" s="4" t="s">
        <v>269</v>
      </c>
      <c r="B592" s="4" t="s">
        <v>270</v>
      </c>
      <c r="C592" s="5">
        <v>2021</v>
      </c>
      <c r="D592" s="4">
        <v>0</v>
      </c>
      <c r="E592" s="4">
        <v>43000000</v>
      </c>
      <c r="F592" s="4" t="str">
        <f>_xlfn.LET(_xlpm.r, _xlfn.XLOOKUP(Clean_Data[[#This Row],[Country_Code]], Metadata_Country!$A:$A, Metadata_Country!$B:$B, "Unknown"), IF(OR(_xlpm.r=0, _xlpm.r=""), "Regional Aggregate", _xlpm.r))</f>
        <v>Middle East &amp; North Africa</v>
      </c>
      <c r="G592" s="4" t="str">
        <f>_xlfn.LET(_xlpm.ig, _xlfn.XLOOKUP(Clean_Data[[#This Row],[Country_Code]], Metadata_Country!$A:$A, Metadata_Country!$C:$C, "Unknown"), IF(OR(_xlpm.ig=0, _xlpm.ig=""), "Regional Aggregate", _xlpm.ig))</f>
        <v>Lower middle income</v>
      </c>
      <c r="H592" s="4">
        <f>Clean_Data[[#This Row],[Exports_TIV]] - Clean_Data[[#This Row],[Imports_TIV]]</f>
        <v>-43000000</v>
      </c>
      <c r="I592" s="4">
        <f>Clean_Data[[#This Row],[Exports_TIV]] + Clean_Data[[#This Row],[Imports_TIV]]</f>
        <v>43000000</v>
      </c>
    </row>
    <row r="593" spans="1:9">
      <c r="A593" s="4" t="s">
        <v>295</v>
      </c>
      <c r="B593" s="4" t="s">
        <v>296</v>
      </c>
      <c r="C593" s="5">
        <v>2021</v>
      </c>
      <c r="D593" s="4">
        <v>0</v>
      </c>
      <c r="E593" s="4">
        <v>109000000</v>
      </c>
      <c r="F593" s="4" t="str">
        <f>_xlfn.LET(_xlpm.r, _xlfn.XLOOKUP(Clean_Data[[#This Row],[Country_Code]], Metadata_Country!$A:$A, Metadata_Country!$B:$B, "Unknown"), IF(OR(_xlpm.r=0, _xlpm.r=""), "Regional Aggregate", _xlpm.r))</f>
        <v>Europe &amp; Central Asia</v>
      </c>
      <c r="G593" s="4" t="str">
        <f>_xlfn.LET(_xlpm.ig, _xlfn.XLOOKUP(Clean_Data[[#This Row],[Country_Code]], Metadata_Country!$A:$A, Metadata_Country!$C:$C, "Unknown"), IF(OR(_xlpm.ig=0, _xlpm.ig=""), "Regional Aggregate", _xlpm.ig))</f>
        <v>High income</v>
      </c>
      <c r="H593" s="4">
        <f>Clean_Data[[#This Row],[Exports_TIV]] - Clean_Data[[#This Row],[Imports_TIV]]</f>
        <v>-109000000</v>
      </c>
      <c r="I593" s="4">
        <f>Clean_Data[[#This Row],[Exports_TIV]] + Clean_Data[[#This Row],[Imports_TIV]]</f>
        <v>109000000</v>
      </c>
    </row>
    <row r="594" spans="1:9">
      <c r="A594" s="4" t="s">
        <v>289</v>
      </c>
      <c r="B594" s="4" t="s">
        <v>290</v>
      </c>
      <c r="C594" s="5">
        <v>2021</v>
      </c>
      <c r="D594" s="4">
        <v>2680000000</v>
      </c>
      <c r="E594" s="4">
        <v>11252000000</v>
      </c>
      <c r="F594" s="4" t="str">
        <f>_xlfn.LET(_xlpm.r, _xlfn.XLOOKUP(Clean_Data[[#This Row],[Country_Code]], Metadata_Country!$A:$A, Metadata_Country!$B:$B, "Unknown"), IF(OR(_xlpm.r=0, _xlpm.r=""), "Regional Aggregate", _xlpm.r))</f>
        <v>Regional Aggregate</v>
      </c>
      <c r="G594" s="4" t="str">
        <f>_xlfn.LET(_xlpm.ig, _xlfn.XLOOKUP(Clean_Data[[#This Row],[Country_Code]], Metadata_Country!$A:$A, Metadata_Country!$C:$C, "Unknown"), IF(OR(_xlpm.ig=0, _xlpm.ig=""), "Regional Aggregate", _xlpm.ig))</f>
        <v>Regional Aggregate</v>
      </c>
      <c r="H594" s="4">
        <f>Clean_Data[[#This Row],[Exports_TIV]] - Clean_Data[[#This Row],[Imports_TIV]]</f>
        <v>-8572000000</v>
      </c>
      <c r="I594" s="4">
        <f>Clean_Data[[#This Row],[Exports_TIV]] + Clean_Data[[#This Row],[Imports_TIV]]</f>
        <v>13932000000</v>
      </c>
    </row>
    <row r="595" spans="1:9">
      <c r="A595" s="4" t="s">
        <v>287</v>
      </c>
      <c r="B595" s="4" t="s">
        <v>288</v>
      </c>
      <c r="C595" s="5">
        <v>2021</v>
      </c>
      <c r="D595" s="4">
        <v>0</v>
      </c>
      <c r="E595" s="4">
        <v>7032000000</v>
      </c>
      <c r="F595" s="4" t="str">
        <f>_xlfn.LET(_xlpm.r, _xlfn.XLOOKUP(Clean_Data[[#This Row],[Country_Code]], Metadata_Country!$A:$A, Metadata_Country!$B:$B, "Unknown"), IF(OR(_xlpm.r=0, _xlpm.r=""), "Regional Aggregate", _xlpm.r))</f>
        <v>Regional Aggregate</v>
      </c>
      <c r="G595" s="4" t="str">
        <f>_xlfn.LET(_xlpm.ig, _xlfn.XLOOKUP(Clean_Data[[#This Row],[Country_Code]], Metadata_Country!$A:$A, Metadata_Country!$C:$C, "Unknown"), IF(OR(_xlpm.ig=0, _xlpm.ig=""), "Regional Aggregate", _xlpm.ig))</f>
        <v>Regional Aggregate</v>
      </c>
      <c r="H595" s="4">
        <f>Clean_Data[[#This Row],[Exports_TIV]] - Clean_Data[[#This Row],[Imports_TIV]]</f>
        <v>-7032000000</v>
      </c>
      <c r="I595" s="4">
        <f>Clean_Data[[#This Row],[Exports_TIV]] + Clean_Data[[#This Row],[Imports_TIV]]</f>
        <v>7032000000</v>
      </c>
    </row>
    <row r="596" spans="1:9">
      <c r="A596" s="4" t="s">
        <v>347</v>
      </c>
      <c r="B596" s="4" t="s">
        <v>348</v>
      </c>
      <c r="C596" s="5">
        <v>2021</v>
      </c>
      <c r="D596" s="4">
        <v>0</v>
      </c>
      <c r="E596" s="4">
        <v>133000000</v>
      </c>
      <c r="F596" s="4" t="str">
        <f>_xlfn.LET(_xlpm.r, _xlfn.XLOOKUP(Clean_Data[[#This Row],[Country_Code]], Metadata_Country!$A:$A, Metadata_Country!$B:$B, "Unknown"), IF(OR(_xlpm.r=0, _xlpm.r=""), "Regional Aggregate", _xlpm.r))</f>
        <v>East Asia &amp; Pacific</v>
      </c>
      <c r="G596" s="4" t="str">
        <f>_xlfn.LET(_xlpm.ig, _xlfn.XLOOKUP(Clean_Data[[#This Row],[Country_Code]], Metadata_Country!$A:$A, Metadata_Country!$C:$C, "Unknown"), IF(OR(_xlpm.ig=0, _xlpm.ig=""), "Regional Aggregate", _xlpm.ig))</f>
        <v>Upper middle income</v>
      </c>
      <c r="H596" s="4">
        <f>Clean_Data[[#This Row],[Exports_TIV]] - Clean_Data[[#This Row],[Imports_TIV]]</f>
        <v>-133000000</v>
      </c>
      <c r="I596" s="4">
        <f>Clean_Data[[#This Row],[Exports_TIV]] + Clean_Data[[#This Row],[Imports_TIV]]</f>
        <v>133000000</v>
      </c>
    </row>
    <row r="597" spans="1:9">
      <c r="A597" s="4" t="s">
        <v>313</v>
      </c>
      <c r="B597" s="4" t="s">
        <v>314</v>
      </c>
      <c r="C597" s="5">
        <v>2021</v>
      </c>
      <c r="D597" s="4">
        <v>0</v>
      </c>
      <c r="E597" s="4">
        <v>2000000</v>
      </c>
      <c r="F597" s="4" t="str">
        <f>_xlfn.LET(_xlpm.r, _xlfn.XLOOKUP(Clean_Data[[#This Row],[Country_Code]], Metadata_Country!$A:$A, Metadata_Country!$B:$B, "Unknown"), IF(OR(_xlpm.r=0, _xlpm.r=""), "Regional Aggregate", _xlpm.r))</f>
        <v>South Asia</v>
      </c>
      <c r="G597" s="4" t="str">
        <f>_xlfn.LET(_xlpm.ig, _xlfn.XLOOKUP(Clean_Data[[#This Row],[Country_Code]], Metadata_Country!$A:$A, Metadata_Country!$C:$C, "Unknown"), IF(OR(_xlpm.ig=0, _xlpm.ig=""), "Regional Aggregate", _xlpm.ig))</f>
        <v>Upper middle income</v>
      </c>
      <c r="H597" s="4">
        <f>Clean_Data[[#This Row],[Exports_TIV]] - Clean_Data[[#This Row],[Imports_TIV]]</f>
        <v>-2000000</v>
      </c>
      <c r="I597" s="4">
        <f>Clean_Data[[#This Row],[Exports_TIV]] + Clean_Data[[#This Row],[Imports_TIV]]</f>
        <v>2000000</v>
      </c>
    </row>
    <row r="598" spans="1:9">
      <c r="A598" s="4" t="s">
        <v>325</v>
      </c>
      <c r="B598" s="4" t="s">
        <v>326</v>
      </c>
      <c r="C598" s="5">
        <v>2021</v>
      </c>
      <c r="D598" s="4">
        <v>0</v>
      </c>
      <c r="E598" s="4">
        <v>39000000</v>
      </c>
      <c r="F598" s="4" t="str">
        <f>_xlfn.LET(_xlpm.r, _xlfn.XLOOKUP(Clean_Data[[#This Row],[Country_Code]], Metadata_Country!$A:$A, Metadata_Country!$B:$B, "Unknown"), IF(OR(_xlpm.r=0, _xlpm.r=""), "Regional Aggregate", _xlpm.r))</f>
        <v>Sub-Saharan Africa</v>
      </c>
      <c r="G598" s="4" t="str">
        <f>_xlfn.LET(_xlpm.ig, _xlfn.XLOOKUP(Clean_Data[[#This Row],[Country_Code]], Metadata_Country!$A:$A, Metadata_Country!$C:$C, "Unknown"), IF(OR(_xlpm.ig=0, _xlpm.ig=""), "Regional Aggregate", _xlpm.ig))</f>
        <v>Low income</v>
      </c>
      <c r="H598" s="4">
        <f>Clean_Data[[#This Row],[Exports_TIV]] - Clean_Data[[#This Row],[Imports_TIV]]</f>
        <v>-39000000</v>
      </c>
      <c r="I598" s="4">
        <f>Clean_Data[[#This Row],[Exports_TIV]] + Clean_Data[[#This Row],[Imports_TIV]]</f>
        <v>39000000</v>
      </c>
    </row>
    <row r="599" spans="1:9">
      <c r="A599" s="4" t="s">
        <v>341</v>
      </c>
      <c r="B599" s="4" t="s">
        <v>342</v>
      </c>
      <c r="C599" s="5">
        <v>2021</v>
      </c>
      <c r="D599" s="4">
        <v>0</v>
      </c>
      <c r="E599" s="4">
        <v>6000000</v>
      </c>
      <c r="F599" s="4" t="str">
        <f>_xlfn.LET(_xlpm.r, _xlfn.XLOOKUP(Clean_Data[[#This Row],[Country_Code]], Metadata_Country!$A:$A, Metadata_Country!$B:$B, "Unknown"), IF(OR(_xlpm.r=0, _xlpm.r=""), "Regional Aggregate", _xlpm.r))</f>
        <v>Sub-Saharan Africa</v>
      </c>
      <c r="G599" s="4" t="str">
        <f>_xlfn.LET(_xlpm.ig, _xlfn.XLOOKUP(Clean_Data[[#This Row],[Country_Code]], Metadata_Country!$A:$A, Metadata_Country!$C:$C, "Unknown"), IF(OR(_xlpm.ig=0, _xlpm.ig=""), "Regional Aggregate", _xlpm.ig))</f>
        <v>Lower middle income</v>
      </c>
      <c r="H599" s="4">
        <f>Clean_Data[[#This Row],[Exports_TIV]] - Clean_Data[[#This Row],[Imports_TIV]]</f>
        <v>-6000000</v>
      </c>
      <c r="I599" s="4">
        <f>Clean_Data[[#This Row],[Exports_TIV]] + Clean_Data[[#This Row],[Imports_TIV]]</f>
        <v>6000000</v>
      </c>
    </row>
    <row r="600" spans="1:9">
      <c r="A600" s="4" t="s">
        <v>343</v>
      </c>
      <c r="B600" s="4" t="s">
        <v>344</v>
      </c>
      <c r="C600" s="5">
        <v>2021</v>
      </c>
      <c r="D600" s="4">
        <v>0</v>
      </c>
      <c r="E600" s="4">
        <v>1000000</v>
      </c>
      <c r="F600" s="4" t="str">
        <f>_xlfn.LET(_xlpm.r, _xlfn.XLOOKUP(Clean_Data[[#This Row],[Country_Code]], Metadata_Country!$A:$A, Metadata_Country!$B:$B, "Unknown"), IF(OR(_xlpm.r=0, _xlpm.r=""), "Regional Aggregate", _xlpm.r))</f>
        <v>Sub-Saharan Africa</v>
      </c>
      <c r="G600" s="4" t="str">
        <f>_xlfn.LET(_xlpm.ig, _xlfn.XLOOKUP(Clean_Data[[#This Row],[Country_Code]], Metadata_Country!$A:$A, Metadata_Country!$C:$C, "Unknown"), IF(OR(_xlpm.ig=0, _xlpm.ig=""), "Regional Aggregate", _xlpm.ig))</f>
        <v>Upper middle income</v>
      </c>
      <c r="H600" s="4">
        <f>Clean_Data[[#This Row],[Exports_TIV]] - Clean_Data[[#This Row],[Imports_TIV]]</f>
        <v>-1000000</v>
      </c>
      <c r="I600" s="4">
        <f>Clean_Data[[#This Row],[Exports_TIV]] + Clean_Data[[#This Row],[Imports_TIV]]</f>
        <v>1000000</v>
      </c>
    </row>
    <row r="601" spans="1:9">
      <c r="A601" s="4" t="s">
        <v>317</v>
      </c>
      <c r="B601" s="4" t="s">
        <v>318</v>
      </c>
      <c r="C601" s="5">
        <v>2021</v>
      </c>
      <c r="D601" s="4">
        <v>0</v>
      </c>
      <c r="E601" s="4">
        <v>3000000</v>
      </c>
      <c r="F601" s="4" t="str">
        <f>_xlfn.LET(_xlpm.r, _xlfn.XLOOKUP(Clean_Data[[#This Row],[Country_Code]], Metadata_Country!$A:$A, Metadata_Country!$B:$B, "Unknown"), IF(OR(_xlpm.r=0, _xlpm.r=""), "Regional Aggregate", _xlpm.r))</f>
        <v>Latin America &amp; Caribbean</v>
      </c>
      <c r="G601" s="4" t="str">
        <f>_xlfn.LET(_xlpm.ig, _xlfn.XLOOKUP(Clean_Data[[#This Row],[Country_Code]], Metadata_Country!$A:$A, Metadata_Country!$C:$C, "Unknown"), IF(OR(_xlpm.ig=0, _xlpm.ig=""), "Regional Aggregate", _xlpm.ig))</f>
        <v>Upper middle income</v>
      </c>
      <c r="H601" s="4">
        <f>Clean_Data[[#This Row],[Exports_TIV]] - Clean_Data[[#This Row],[Imports_TIV]]</f>
        <v>-3000000</v>
      </c>
      <c r="I601" s="4">
        <f>Clean_Data[[#This Row],[Exports_TIV]] + Clean_Data[[#This Row],[Imports_TIV]]</f>
        <v>3000000</v>
      </c>
    </row>
    <row r="602" spans="1:9">
      <c r="A602" s="4" t="s">
        <v>315</v>
      </c>
      <c r="B602" s="4" t="s">
        <v>316</v>
      </c>
      <c r="C602" s="5">
        <v>2021</v>
      </c>
      <c r="D602" s="4">
        <v>0</v>
      </c>
      <c r="E602" s="4">
        <v>9570000000</v>
      </c>
      <c r="F602" s="4" t="str">
        <f>_xlfn.LET(_xlpm.r, _xlfn.XLOOKUP(Clean_Data[[#This Row],[Country_Code]], Metadata_Country!$A:$A, Metadata_Country!$B:$B, "Unknown"), IF(OR(_xlpm.r=0, _xlpm.r=""), "Regional Aggregate", _xlpm.r))</f>
        <v>Regional Aggregate</v>
      </c>
      <c r="G602" s="4" t="str">
        <f>_xlfn.LET(_xlpm.ig, _xlfn.XLOOKUP(Clean_Data[[#This Row],[Country_Code]], Metadata_Country!$A:$A, Metadata_Country!$C:$C, "Unknown"), IF(OR(_xlpm.ig=0, _xlpm.ig=""), "Regional Aggregate", _xlpm.ig))</f>
        <v>Regional Aggregate</v>
      </c>
      <c r="H602" s="4">
        <f>Clean_Data[[#This Row],[Exports_TIV]] - Clean_Data[[#This Row],[Imports_TIV]]</f>
        <v>-9570000000</v>
      </c>
      <c r="I602" s="4">
        <f>Clean_Data[[#This Row],[Exports_TIV]] + Clean_Data[[#This Row],[Imports_TIV]]</f>
        <v>9570000000</v>
      </c>
    </row>
    <row r="603" spans="1:9">
      <c r="A603" s="4" t="s">
        <v>331</v>
      </c>
      <c r="B603" s="4" t="s">
        <v>332</v>
      </c>
      <c r="C603" s="5">
        <v>2021</v>
      </c>
      <c r="D603" s="4">
        <v>0</v>
      </c>
      <c r="E603" s="4">
        <v>2747000000</v>
      </c>
      <c r="F603" s="4" t="str">
        <f>_xlfn.LET(_xlpm.r, _xlfn.XLOOKUP(Clean_Data[[#This Row],[Country_Code]], Metadata_Country!$A:$A, Metadata_Country!$B:$B, "Unknown"), IF(OR(_xlpm.r=0, _xlpm.r=""), "Regional Aggregate", _xlpm.r))</f>
        <v>Regional Aggregate</v>
      </c>
      <c r="G603" s="4" t="str">
        <f>_xlfn.LET(_xlpm.ig, _xlfn.XLOOKUP(Clean_Data[[#This Row],[Country_Code]], Metadata_Country!$A:$A, Metadata_Country!$C:$C, "Unknown"), IF(OR(_xlpm.ig=0, _xlpm.ig=""), "Regional Aggregate", _xlpm.ig))</f>
        <v>Regional Aggregate</v>
      </c>
      <c r="H603" s="4">
        <f>Clean_Data[[#This Row],[Exports_TIV]] - Clean_Data[[#This Row],[Imports_TIV]]</f>
        <v>-2747000000</v>
      </c>
      <c r="I603" s="4">
        <f>Clean_Data[[#This Row],[Exports_TIV]] + Clean_Data[[#This Row],[Imports_TIV]]</f>
        <v>2747000000</v>
      </c>
    </row>
    <row r="604" spans="1:9">
      <c r="A604" s="4" t="s">
        <v>485</v>
      </c>
      <c r="B604" s="4" t="s">
        <v>486</v>
      </c>
      <c r="C604" s="5">
        <v>2021</v>
      </c>
      <c r="D604" s="4">
        <v>0</v>
      </c>
      <c r="E604" s="4">
        <v>2747000000</v>
      </c>
      <c r="F604" s="4" t="str">
        <f>_xlfn.LET(_xlpm.r, _xlfn.XLOOKUP(Clean_Data[[#This Row],[Country_Code]], Metadata_Country!$A:$A, Metadata_Country!$B:$B, "Unknown"), IF(OR(_xlpm.r=0, _xlpm.r=""), "Regional Aggregate", _xlpm.r))</f>
        <v>Regional Aggregate</v>
      </c>
      <c r="G604" s="4" t="str">
        <f>_xlfn.LET(_xlpm.ig, _xlfn.XLOOKUP(Clean_Data[[#This Row],[Country_Code]], Metadata_Country!$A:$A, Metadata_Country!$C:$C, "Unknown"), IF(OR(_xlpm.ig=0, _xlpm.ig=""), "Regional Aggregate", _xlpm.ig))</f>
        <v>Regional Aggregate</v>
      </c>
      <c r="H604" s="4">
        <f>Clean_Data[[#This Row],[Exports_TIV]] - Clean_Data[[#This Row],[Imports_TIV]]</f>
        <v>-2747000000</v>
      </c>
      <c r="I604" s="4">
        <f>Clean_Data[[#This Row],[Exports_TIV]] + Clean_Data[[#This Row],[Imports_TIV]]</f>
        <v>2747000000</v>
      </c>
    </row>
    <row r="605" spans="1:9">
      <c r="A605" s="4" t="s">
        <v>321</v>
      </c>
      <c r="B605" s="4" t="s">
        <v>322</v>
      </c>
      <c r="C605" s="5">
        <v>2021</v>
      </c>
      <c r="D605" s="4">
        <v>2680000000</v>
      </c>
      <c r="E605" s="4">
        <v>10890000000</v>
      </c>
      <c r="F605" s="4" t="str">
        <f>_xlfn.LET(_xlpm.r, _xlfn.XLOOKUP(Clean_Data[[#This Row],[Country_Code]], Metadata_Country!$A:$A, Metadata_Country!$B:$B, "Unknown"), IF(OR(_xlpm.r=0, _xlpm.r=""), "Regional Aggregate", _xlpm.r))</f>
        <v>Regional Aggregate</v>
      </c>
      <c r="G605" s="4" t="str">
        <f>_xlfn.LET(_xlpm.ig, _xlfn.XLOOKUP(Clean_Data[[#This Row],[Country_Code]], Metadata_Country!$A:$A, Metadata_Country!$C:$C, "Unknown"), IF(OR(_xlpm.ig=0, _xlpm.ig=""), "Regional Aggregate", _xlpm.ig))</f>
        <v>Regional Aggregate</v>
      </c>
      <c r="H605" s="4">
        <f>Clean_Data[[#This Row],[Exports_TIV]] - Clean_Data[[#This Row],[Imports_TIV]]</f>
        <v>-8210000000</v>
      </c>
      <c r="I605" s="4">
        <f>Clean_Data[[#This Row],[Exports_TIV]] + Clean_Data[[#This Row],[Imports_TIV]]</f>
        <v>13570000000</v>
      </c>
    </row>
    <row r="606" spans="1:9">
      <c r="A606" s="4" t="s">
        <v>335</v>
      </c>
      <c r="B606" s="4" t="s">
        <v>336</v>
      </c>
      <c r="C606" s="5">
        <v>2021</v>
      </c>
      <c r="D606" s="4">
        <v>0</v>
      </c>
      <c r="E606" s="4">
        <v>25000000</v>
      </c>
      <c r="F606" s="4" t="str">
        <f>_xlfn.LET(_xlpm.r, _xlfn.XLOOKUP(Clean_Data[[#This Row],[Country_Code]], Metadata_Country!$A:$A, Metadata_Country!$B:$B, "Unknown"), IF(OR(_xlpm.r=0, _xlpm.r=""), "Regional Aggregate", _xlpm.r))</f>
        <v>East Asia &amp; Pacific</v>
      </c>
      <c r="G606" s="4" t="str">
        <f>_xlfn.LET(_xlpm.ig, _xlfn.XLOOKUP(Clean_Data[[#This Row],[Country_Code]], Metadata_Country!$A:$A, Metadata_Country!$C:$C, "Unknown"), IF(OR(_xlpm.ig=0, _xlpm.ig=""), "Regional Aggregate", _xlpm.ig))</f>
        <v>Upper middle income</v>
      </c>
      <c r="H606" s="4">
        <f>Clean_Data[[#This Row],[Exports_TIV]] - Clean_Data[[#This Row],[Imports_TIV]]</f>
        <v>-25000000</v>
      </c>
      <c r="I606" s="4">
        <f>Clean_Data[[#This Row],[Exports_TIV]] + Clean_Data[[#This Row],[Imports_TIV]]</f>
        <v>25000000</v>
      </c>
    </row>
    <row r="607" spans="1:9">
      <c r="A607" s="4" t="s">
        <v>333</v>
      </c>
      <c r="B607" s="4" t="s">
        <v>334</v>
      </c>
      <c r="C607" s="5">
        <v>2021</v>
      </c>
      <c r="D607" s="4">
        <v>0</v>
      </c>
      <c r="E607" s="4">
        <v>1000000</v>
      </c>
      <c r="F607" s="4" t="str">
        <f>_xlfn.LET(_xlpm.r, _xlfn.XLOOKUP(Clean_Data[[#This Row],[Country_Code]], Metadata_Country!$A:$A, Metadata_Country!$B:$B, "Unknown"), IF(OR(_xlpm.r=0, _xlpm.r=""), "Regional Aggregate", _xlpm.r))</f>
        <v>Europe &amp; Central Asia</v>
      </c>
      <c r="G607" s="4" t="str">
        <f>_xlfn.LET(_xlpm.ig, _xlfn.XLOOKUP(Clean_Data[[#This Row],[Country_Code]], Metadata_Country!$A:$A, Metadata_Country!$C:$C, "Unknown"), IF(OR(_xlpm.ig=0, _xlpm.ig=""), "Regional Aggregate", _xlpm.ig))</f>
        <v>Upper middle income</v>
      </c>
      <c r="H607" s="4">
        <f>Clean_Data[[#This Row],[Exports_TIV]] - Clean_Data[[#This Row],[Imports_TIV]]</f>
        <v>-1000000</v>
      </c>
      <c r="I607" s="4">
        <f>Clean_Data[[#This Row],[Exports_TIV]] + Clean_Data[[#This Row],[Imports_TIV]]</f>
        <v>1000000</v>
      </c>
    </row>
    <row r="608" spans="1:9">
      <c r="A608" s="4" t="s">
        <v>305</v>
      </c>
      <c r="B608" s="4" t="s">
        <v>306</v>
      </c>
      <c r="C608" s="5">
        <v>2021</v>
      </c>
      <c r="D608" s="4">
        <v>0</v>
      </c>
      <c r="E608" s="4">
        <v>53000000</v>
      </c>
      <c r="F608" s="4" t="str">
        <f>_xlfn.LET(_xlpm.r, _xlfn.XLOOKUP(Clean_Data[[#This Row],[Country_Code]], Metadata_Country!$A:$A, Metadata_Country!$B:$B, "Unknown"), IF(OR(_xlpm.r=0, _xlpm.r=""), "Regional Aggregate", _xlpm.r))</f>
        <v>Middle East &amp; North Africa</v>
      </c>
      <c r="G608" s="4" t="str">
        <f>_xlfn.LET(_xlpm.ig, _xlfn.XLOOKUP(Clean_Data[[#This Row],[Country_Code]], Metadata_Country!$A:$A, Metadata_Country!$C:$C, "Unknown"), IF(OR(_xlpm.ig=0, _xlpm.ig=""), "Regional Aggregate", _xlpm.ig))</f>
        <v>Lower middle income</v>
      </c>
      <c r="H608" s="4">
        <f>Clean_Data[[#This Row],[Exports_TIV]] - Clean_Data[[#This Row],[Imports_TIV]]</f>
        <v>-53000000</v>
      </c>
      <c r="I608" s="4">
        <f>Clean_Data[[#This Row],[Exports_TIV]] + Clean_Data[[#This Row],[Imports_TIV]]</f>
        <v>53000000</v>
      </c>
    </row>
    <row r="609" spans="1:9">
      <c r="A609" s="4" t="s">
        <v>339</v>
      </c>
      <c r="B609" s="4" t="s">
        <v>340</v>
      </c>
      <c r="C609" s="5">
        <v>2021</v>
      </c>
      <c r="D609" s="4">
        <v>0</v>
      </c>
      <c r="E609" s="4">
        <v>19000000</v>
      </c>
      <c r="F609" s="4" t="str">
        <f>_xlfn.LET(_xlpm.r, _xlfn.XLOOKUP(Clean_Data[[#This Row],[Country_Code]], Metadata_Country!$A:$A, Metadata_Country!$B:$B, "Unknown"), IF(OR(_xlpm.r=0, _xlpm.r=""), "Regional Aggregate", _xlpm.r))</f>
        <v>Sub-Saharan Africa</v>
      </c>
      <c r="G609" s="4" t="str">
        <f>_xlfn.LET(_xlpm.ig, _xlfn.XLOOKUP(Clean_Data[[#This Row],[Country_Code]], Metadata_Country!$A:$A, Metadata_Country!$C:$C, "Unknown"), IF(OR(_xlpm.ig=0, _xlpm.ig=""), "Regional Aggregate", _xlpm.ig))</f>
        <v>Low income</v>
      </c>
      <c r="H609" s="4">
        <f>Clean_Data[[#This Row],[Exports_TIV]] - Clean_Data[[#This Row],[Imports_TIV]]</f>
        <v>-19000000</v>
      </c>
      <c r="I609" s="4">
        <f>Clean_Data[[#This Row],[Exports_TIV]] + Clean_Data[[#This Row],[Imports_TIV]]</f>
        <v>19000000</v>
      </c>
    </row>
    <row r="610" spans="1:9">
      <c r="A610" s="4" t="s">
        <v>329</v>
      </c>
      <c r="B610" s="4" t="s">
        <v>330</v>
      </c>
      <c r="C610" s="5">
        <v>2021</v>
      </c>
      <c r="D610" s="4">
        <v>0</v>
      </c>
      <c r="E610" s="4">
        <v>67000000</v>
      </c>
      <c r="F610" s="4" t="str">
        <f>_xlfn.LET(_xlpm.r, _xlfn.XLOOKUP(Clean_Data[[#This Row],[Country_Code]], Metadata_Country!$A:$A, Metadata_Country!$B:$B, "Unknown"), IF(OR(_xlpm.r=0, _xlpm.r=""), "Regional Aggregate", _xlpm.r))</f>
        <v>East Asia &amp; Pacific</v>
      </c>
      <c r="G610" s="4" t="str">
        <f>_xlfn.LET(_xlpm.ig, _xlfn.XLOOKUP(Clean_Data[[#This Row],[Country_Code]], Metadata_Country!$A:$A, Metadata_Country!$C:$C, "Unknown"), IF(OR(_xlpm.ig=0, _xlpm.ig=""), "Regional Aggregate", _xlpm.ig))</f>
        <v>Lower middle income</v>
      </c>
      <c r="H610" s="4">
        <f>Clean_Data[[#This Row],[Exports_TIV]] - Clean_Data[[#This Row],[Imports_TIV]]</f>
        <v>-67000000</v>
      </c>
      <c r="I610" s="4">
        <f>Clean_Data[[#This Row],[Exports_TIV]] + Clean_Data[[#This Row],[Imports_TIV]]</f>
        <v>67000000</v>
      </c>
    </row>
    <row r="611" spans="1:9">
      <c r="A611" s="4" t="s">
        <v>365</v>
      </c>
      <c r="B611" s="4" t="s">
        <v>366</v>
      </c>
      <c r="C611" s="5">
        <v>2021</v>
      </c>
      <c r="D611" s="4">
        <v>0</v>
      </c>
      <c r="E611" s="4">
        <v>0</v>
      </c>
      <c r="F611" s="4" t="str">
        <f>_xlfn.LET(_xlpm.r, _xlfn.XLOOKUP(Clean_Data[[#This Row],[Country_Code]], Metadata_Country!$A:$A, Metadata_Country!$B:$B, "Unknown"), IF(OR(_xlpm.r=0, _xlpm.r=""), "Regional Aggregate", _xlpm.r))</f>
        <v>South Asia</v>
      </c>
      <c r="G611" s="4" t="str">
        <f>_xlfn.LET(_xlpm.ig, _xlfn.XLOOKUP(Clean_Data[[#This Row],[Country_Code]], Metadata_Country!$A:$A, Metadata_Country!$C:$C, "Unknown"), IF(OR(_xlpm.ig=0, _xlpm.ig=""), "Regional Aggregate", _xlpm.ig))</f>
        <v>Lower middle income</v>
      </c>
      <c r="H611" s="4">
        <f>Clean_Data[[#This Row],[Exports_TIV]] - Clean_Data[[#This Row],[Imports_TIV]]</f>
        <v>0</v>
      </c>
      <c r="I611" s="4">
        <f>Clean_Data[[#This Row],[Exports_TIV]] + Clean_Data[[#This Row],[Imports_TIV]]</f>
        <v>0</v>
      </c>
    </row>
    <row r="612" spans="1:9">
      <c r="A612" s="4" t="s">
        <v>361</v>
      </c>
      <c r="B612" s="4" t="s">
        <v>362</v>
      </c>
      <c r="C612" s="5">
        <v>2021</v>
      </c>
      <c r="D612" s="4">
        <v>357000000</v>
      </c>
      <c r="E612" s="4">
        <v>512000000</v>
      </c>
      <c r="F612" s="4" t="str">
        <f>_xlfn.LET(_xlpm.r, _xlfn.XLOOKUP(Clean_Data[[#This Row],[Country_Code]], Metadata_Country!$A:$A, Metadata_Country!$B:$B, "Unknown"), IF(OR(_xlpm.r=0, _xlpm.r=""), "Regional Aggregate", _xlpm.r))</f>
        <v>Europe &amp; Central Asia</v>
      </c>
      <c r="G612" s="4" t="str">
        <f>_xlfn.LET(_xlpm.ig, _xlfn.XLOOKUP(Clean_Data[[#This Row],[Country_Code]], Metadata_Country!$A:$A, Metadata_Country!$C:$C, "Unknown"), IF(OR(_xlpm.ig=0, _xlpm.ig=""), "Regional Aggregate", _xlpm.ig))</f>
        <v>High income</v>
      </c>
      <c r="H612" s="4">
        <f>Clean_Data[[#This Row],[Exports_TIV]] - Clean_Data[[#This Row],[Imports_TIV]]</f>
        <v>-155000000</v>
      </c>
      <c r="I612" s="4">
        <f>Clean_Data[[#This Row],[Exports_TIV]] + Clean_Data[[#This Row],[Imports_TIV]]</f>
        <v>869000000</v>
      </c>
    </row>
    <row r="613" spans="1:9">
      <c r="A613" s="4" t="s">
        <v>369</v>
      </c>
      <c r="B613" s="4" t="s">
        <v>370</v>
      </c>
      <c r="C613" s="5">
        <v>2021</v>
      </c>
      <c r="D613" s="4">
        <v>0</v>
      </c>
      <c r="E613" s="4">
        <v>36000000</v>
      </c>
      <c r="F613" s="4" t="str">
        <f>_xlfn.LET(_xlpm.r, _xlfn.XLOOKUP(Clean_Data[[#This Row],[Country_Code]], Metadata_Country!$A:$A, Metadata_Country!$B:$B, "Unknown"), IF(OR(_xlpm.r=0, _xlpm.r=""), "Regional Aggregate", _xlpm.r))</f>
        <v>East Asia &amp; Pacific</v>
      </c>
      <c r="G613" s="4" t="str">
        <f>_xlfn.LET(_xlpm.ig, _xlfn.XLOOKUP(Clean_Data[[#This Row],[Country_Code]], Metadata_Country!$A:$A, Metadata_Country!$C:$C, "Unknown"), IF(OR(_xlpm.ig=0, _xlpm.ig=""), "Regional Aggregate", _xlpm.ig))</f>
        <v>High income</v>
      </c>
      <c r="H613" s="4">
        <f>Clean_Data[[#This Row],[Exports_TIV]] - Clean_Data[[#This Row],[Imports_TIV]]</f>
        <v>-36000000</v>
      </c>
      <c r="I613" s="4">
        <f>Clean_Data[[#This Row],[Exports_TIV]] + Clean_Data[[#This Row],[Imports_TIV]]</f>
        <v>36000000</v>
      </c>
    </row>
    <row r="614" spans="1:9">
      <c r="A614" s="4" t="s">
        <v>355</v>
      </c>
      <c r="B614" s="4" t="s">
        <v>356</v>
      </c>
      <c r="C614" s="5">
        <v>2021</v>
      </c>
      <c r="D614" s="4">
        <v>0</v>
      </c>
      <c r="E614" s="4">
        <v>16000000</v>
      </c>
      <c r="F614" s="4" t="str">
        <f>_xlfn.LET(_xlpm.r, _xlfn.XLOOKUP(Clean_Data[[#This Row],[Country_Code]], Metadata_Country!$A:$A, Metadata_Country!$B:$B, "Unknown"), IF(OR(_xlpm.r=0, _xlpm.r=""), "Regional Aggregate", _xlpm.r))</f>
        <v>Sub-Saharan Africa</v>
      </c>
      <c r="G614" s="4" t="str">
        <f>_xlfn.LET(_xlpm.ig, _xlfn.XLOOKUP(Clean_Data[[#This Row],[Country_Code]], Metadata_Country!$A:$A, Metadata_Country!$C:$C, "Unknown"), IF(OR(_xlpm.ig=0, _xlpm.ig=""), "Regional Aggregate", _xlpm.ig))</f>
        <v>Low income</v>
      </c>
      <c r="H614" s="4">
        <f>Clean_Data[[#This Row],[Exports_TIV]] - Clean_Data[[#This Row],[Imports_TIV]]</f>
        <v>-16000000</v>
      </c>
      <c r="I614" s="4">
        <f>Clean_Data[[#This Row],[Exports_TIV]] + Clean_Data[[#This Row],[Imports_TIV]]</f>
        <v>16000000</v>
      </c>
    </row>
    <row r="615" spans="1:9">
      <c r="A615" s="4" t="s">
        <v>357</v>
      </c>
      <c r="B615" s="4" t="s">
        <v>358</v>
      </c>
      <c r="C615" s="5">
        <v>2021</v>
      </c>
      <c r="D615" s="4">
        <v>3000000</v>
      </c>
      <c r="E615" s="4">
        <v>273000000</v>
      </c>
      <c r="F615" s="4" t="str">
        <f>_xlfn.LET(_xlpm.r, _xlfn.XLOOKUP(Clean_Data[[#This Row],[Country_Code]], Metadata_Country!$A:$A, Metadata_Country!$B:$B, "Unknown"), IF(OR(_xlpm.r=0, _xlpm.r=""), "Regional Aggregate", _xlpm.r))</f>
        <v>Sub-Saharan Africa</v>
      </c>
      <c r="G615" s="4" t="str">
        <f>_xlfn.LET(_xlpm.ig, _xlfn.XLOOKUP(Clean_Data[[#This Row],[Country_Code]], Metadata_Country!$A:$A, Metadata_Country!$C:$C, "Unknown"), IF(OR(_xlpm.ig=0, _xlpm.ig=""), "Regional Aggregate", _xlpm.ig))</f>
        <v>Lower middle income</v>
      </c>
      <c r="H615" s="4">
        <f>Clean_Data[[#This Row],[Exports_TIV]] - Clean_Data[[#This Row],[Imports_TIV]]</f>
        <v>-270000000</v>
      </c>
      <c r="I615" s="4">
        <f>Clean_Data[[#This Row],[Exports_TIV]] + Clean_Data[[#This Row],[Imports_TIV]]</f>
        <v>276000000</v>
      </c>
    </row>
    <row r="616" spans="1:9">
      <c r="A616" s="4" t="s">
        <v>349</v>
      </c>
      <c r="B616" s="4" t="s">
        <v>350</v>
      </c>
      <c r="C616" s="5">
        <v>2021</v>
      </c>
      <c r="D616" s="4">
        <v>11745000000</v>
      </c>
      <c r="E616" s="4">
        <v>1279000000</v>
      </c>
      <c r="F616" s="4" t="str">
        <f>_xlfn.LET(_xlpm.r, _xlfn.XLOOKUP(Clean_Data[[#This Row],[Country_Code]], Metadata_Country!$A:$A, Metadata_Country!$B:$B, "Unknown"), IF(OR(_xlpm.r=0, _xlpm.r=""), "Regional Aggregate", _xlpm.r))</f>
        <v>Regional Aggregate</v>
      </c>
      <c r="G616" s="4" t="str">
        <f>_xlfn.LET(_xlpm.ig, _xlfn.XLOOKUP(Clean_Data[[#This Row],[Country_Code]], Metadata_Country!$A:$A, Metadata_Country!$C:$C, "Unknown"), IF(OR(_xlpm.ig=0, _xlpm.ig=""), "Regional Aggregate", _xlpm.ig))</f>
        <v>Regional Aggregate</v>
      </c>
      <c r="H616" s="4">
        <f>Clean_Data[[#This Row],[Exports_TIV]] - Clean_Data[[#This Row],[Imports_TIV]]</f>
        <v>10466000000</v>
      </c>
      <c r="I616" s="4">
        <f>Clean_Data[[#This Row],[Exports_TIV]] + Clean_Data[[#This Row],[Imports_TIV]]</f>
        <v>13024000000</v>
      </c>
    </row>
    <row r="617" spans="1:9">
      <c r="A617" s="4" t="s">
        <v>363</v>
      </c>
      <c r="B617" s="4" t="s">
        <v>364</v>
      </c>
      <c r="C617" s="5">
        <v>2021</v>
      </c>
      <c r="D617" s="4">
        <v>102000000</v>
      </c>
      <c r="E617" s="4">
        <v>503000000</v>
      </c>
      <c r="F617" s="4" t="str">
        <f>_xlfn.LET(_xlpm.r, _xlfn.XLOOKUP(Clean_Data[[#This Row],[Country_Code]], Metadata_Country!$A:$A, Metadata_Country!$B:$B, "Unknown"), IF(OR(_xlpm.r=0, _xlpm.r=""), "Regional Aggregate", _xlpm.r))</f>
        <v>Europe &amp; Central Asia</v>
      </c>
      <c r="G617" s="4" t="str">
        <f>_xlfn.LET(_xlpm.ig, _xlfn.XLOOKUP(Clean_Data[[#This Row],[Country_Code]], Metadata_Country!$A:$A, Metadata_Country!$C:$C, "Unknown"), IF(OR(_xlpm.ig=0, _xlpm.ig=""), "Regional Aggregate", _xlpm.ig))</f>
        <v>High income</v>
      </c>
      <c r="H617" s="4">
        <f>Clean_Data[[#This Row],[Exports_TIV]] - Clean_Data[[#This Row],[Imports_TIV]]</f>
        <v>-401000000</v>
      </c>
      <c r="I617" s="4">
        <f>Clean_Data[[#This Row],[Exports_TIV]] + Clean_Data[[#This Row],[Imports_TIV]]</f>
        <v>605000000</v>
      </c>
    </row>
    <row r="618" spans="1:9">
      <c r="A618" s="4" t="s">
        <v>371</v>
      </c>
      <c r="B618" s="4" t="s">
        <v>372</v>
      </c>
      <c r="C618" s="5">
        <v>2021</v>
      </c>
      <c r="D618" s="4">
        <v>22353000000</v>
      </c>
      <c r="E618" s="4">
        <v>8953000000</v>
      </c>
      <c r="F618" s="4" t="str">
        <f>_xlfn.LET(_xlpm.r, _xlfn.XLOOKUP(Clean_Data[[#This Row],[Country_Code]], Metadata_Country!$A:$A, Metadata_Country!$B:$B, "Unknown"), IF(OR(_xlpm.r=0, _xlpm.r=""), "Regional Aggregate", _xlpm.r))</f>
        <v>Regional Aggregate</v>
      </c>
      <c r="G618" s="4" t="str">
        <f>_xlfn.LET(_xlpm.ig, _xlfn.XLOOKUP(Clean_Data[[#This Row],[Country_Code]], Metadata_Country!$A:$A, Metadata_Country!$C:$C, "Unknown"), IF(OR(_xlpm.ig=0, _xlpm.ig=""), "Regional Aggregate", _xlpm.ig))</f>
        <v>Regional Aggregate</v>
      </c>
      <c r="H618" s="4">
        <f>Clean_Data[[#This Row],[Exports_TIV]] - Clean_Data[[#This Row],[Imports_TIV]]</f>
        <v>13400000000</v>
      </c>
      <c r="I618" s="4">
        <f>Clean_Data[[#This Row],[Exports_TIV]] + Clean_Data[[#This Row],[Imports_TIV]]</f>
        <v>31306000000</v>
      </c>
    </row>
    <row r="619" spans="1:9">
      <c r="A619" s="4" t="s">
        <v>373</v>
      </c>
      <c r="B619" s="4" t="s">
        <v>374</v>
      </c>
      <c r="C619" s="5">
        <v>2021</v>
      </c>
      <c r="D619" s="4">
        <v>0</v>
      </c>
      <c r="E619" s="4">
        <v>4000000</v>
      </c>
      <c r="F619" s="4" t="str">
        <f>_xlfn.LET(_xlpm.r, _xlfn.XLOOKUP(Clean_Data[[#This Row],[Country_Code]], Metadata_Country!$A:$A, Metadata_Country!$B:$B, "Unknown"), IF(OR(_xlpm.r=0, _xlpm.r=""), "Regional Aggregate", _xlpm.r))</f>
        <v>Middle East &amp; North Africa</v>
      </c>
      <c r="G619" s="4" t="str">
        <f>_xlfn.LET(_xlpm.ig, _xlfn.XLOOKUP(Clean_Data[[#This Row],[Country_Code]], Metadata_Country!$A:$A, Metadata_Country!$C:$C, "Unknown"), IF(OR(_xlpm.ig=0, _xlpm.ig=""), "Regional Aggregate", _xlpm.ig))</f>
        <v>High income</v>
      </c>
      <c r="H619" s="4">
        <f>Clean_Data[[#This Row],[Exports_TIV]] - Clean_Data[[#This Row],[Imports_TIV]]</f>
        <v>-4000000</v>
      </c>
      <c r="I619" s="4">
        <f>Clean_Data[[#This Row],[Exports_TIV]] + Clean_Data[[#This Row],[Imports_TIV]]</f>
        <v>4000000</v>
      </c>
    </row>
    <row r="620" spans="1:9">
      <c r="A620" s="4" t="s">
        <v>375</v>
      </c>
      <c r="B620" s="4" t="s">
        <v>376</v>
      </c>
      <c r="C620" s="5">
        <v>2021</v>
      </c>
      <c r="D620" s="4">
        <v>0</v>
      </c>
      <c r="E620" s="4">
        <v>106000000</v>
      </c>
      <c r="F620" s="4" t="str">
        <f>_xlfn.LET(_xlpm.r, _xlfn.XLOOKUP(Clean_Data[[#This Row],[Country_Code]], Metadata_Country!$A:$A, Metadata_Country!$B:$B, "Unknown"), IF(OR(_xlpm.r=0, _xlpm.r=""), "Regional Aggregate", _xlpm.r))</f>
        <v>Regional Aggregate</v>
      </c>
      <c r="G620" s="4" t="str">
        <f>_xlfn.LET(_xlpm.ig, _xlfn.XLOOKUP(Clean_Data[[#This Row],[Country_Code]], Metadata_Country!$A:$A, Metadata_Country!$C:$C, "Unknown"), IF(OR(_xlpm.ig=0, _xlpm.ig=""), "Regional Aggregate", _xlpm.ig))</f>
        <v>Regional Aggregate</v>
      </c>
      <c r="H620" s="4">
        <f>Clean_Data[[#This Row],[Exports_TIV]] - Clean_Data[[#This Row],[Imports_TIV]]</f>
        <v>-106000000</v>
      </c>
      <c r="I620" s="4">
        <f>Clean_Data[[#This Row],[Exports_TIV]] + Clean_Data[[#This Row],[Imports_TIV]]</f>
        <v>106000000</v>
      </c>
    </row>
    <row r="621" spans="1:9">
      <c r="A621" s="4" t="s">
        <v>377</v>
      </c>
      <c r="B621" s="4" t="s">
        <v>378</v>
      </c>
      <c r="C621" s="5">
        <v>2021</v>
      </c>
      <c r="D621" s="4">
        <v>72000000</v>
      </c>
      <c r="E621" s="4">
        <v>984000000</v>
      </c>
      <c r="F621" s="4" t="str">
        <f>_xlfn.LET(_xlpm.r, _xlfn.XLOOKUP(Clean_Data[[#This Row],[Country_Code]], Metadata_Country!$A:$A, Metadata_Country!$B:$B, "Unknown"), IF(OR(_xlpm.r=0, _xlpm.r=""), "Regional Aggregate", _xlpm.r))</f>
        <v>Middle East &amp; North Africa</v>
      </c>
      <c r="G621" s="4" t="str">
        <f>_xlfn.LET(_xlpm.ig, _xlfn.XLOOKUP(Clean_Data[[#This Row],[Country_Code]], Metadata_Country!$A:$A, Metadata_Country!$C:$C, "Unknown"), IF(OR(_xlpm.ig=0, _xlpm.ig=""), "Regional Aggregate", _xlpm.ig))</f>
        <v>Lower middle income</v>
      </c>
      <c r="H621" s="4">
        <f>Clean_Data[[#This Row],[Exports_TIV]] - Clean_Data[[#This Row],[Imports_TIV]]</f>
        <v>-912000000</v>
      </c>
      <c r="I621" s="4">
        <f>Clean_Data[[#This Row],[Exports_TIV]] + Clean_Data[[#This Row],[Imports_TIV]]</f>
        <v>1056000000</v>
      </c>
    </row>
    <row r="622" spans="1:9">
      <c r="A622" s="4" t="s">
        <v>387</v>
      </c>
      <c r="B622" s="4" t="s">
        <v>388</v>
      </c>
      <c r="C622" s="5">
        <v>2021</v>
      </c>
      <c r="D622" s="4">
        <v>0</v>
      </c>
      <c r="E622" s="4">
        <v>14000000</v>
      </c>
      <c r="F622" s="4" t="str">
        <f>_xlfn.LET(_xlpm.r, _xlfn.XLOOKUP(Clean_Data[[#This Row],[Country_Code]], Metadata_Country!$A:$A, Metadata_Country!$B:$B, "Unknown"), IF(OR(_xlpm.r=0, _xlpm.r=""), "Regional Aggregate", _xlpm.r))</f>
        <v>East Asia &amp; Pacific</v>
      </c>
      <c r="G622" s="4" t="str">
        <f>_xlfn.LET(_xlpm.ig, _xlfn.XLOOKUP(Clean_Data[[#This Row],[Country_Code]], Metadata_Country!$A:$A, Metadata_Country!$C:$C, "Unknown"), IF(OR(_xlpm.ig=0, _xlpm.ig=""), "Regional Aggregate", _xlpm.ig))</f>
        <v>Lower middle income</v>
      </c>
      <c r="H622" s="4">
        <f>Clean_Data[[#This Row],[Exports_TIV]] - Clean_Data[[#This Row],[Imports_TIV]]</f>
        <v>-14000000</v>
      </c>
      <c r="I622" s="4">
        <f>Clean_Data[[#This Row],[Exports_TIV]] + Clean_Data[[#This Row],[Imports_TIV]]</f>
        <v>14000000</v>
      </c>
    </row>
    <row r="623" spans="1:9">
      <c r="A623" s="4" t="s">
        <v>399</v>
      </c>
      <c r="B623" s="4" t="s">
        <v>400</v>
      </c>
      <c r="C623" s="5">
        <v>2021</v>
      </c>
      <c r="D623" s="4">
        <v>0</v>
      </c>
      <c r="E623" s="4">
        <v>5000000</v>
      </c>
      <c r="F623" s="4" t="str">
        <f>_xlfn.LET(_xlpm.r, _xlfn.XLOOKUP(Clean_Data[[#This Row],[Country_Code]], Metadata_Country!$A:$A, Metadata_Country!$B:$B, "Unknown"), IF(OR(_xlpm.r=0, _xlpm.r=""), "Regional Aggregate", _xlpm.r))</f>
        <v>Latin America &amp; Caribbean</v>
      </c>
      <c r="G623" s="4" t="str">
        <f>_xlfn.LET(_xlpm.ig, _xlfn.XLOOKUP(Clean_Data[[#This Row],[Country_Code]], Metadata_Country!$A:$A, Metadata_Country!$C:$C, "Unknown"), IF(OR(_xlpm.ig=0, _xlpm.ig=""), "Regional Aggregate", _xlpm.ig))</f>
        <v>Upper middle income</v>
      </c>
      <c r="H623" s="4">
        <f>Clean_Data[[#This Row],[Exports_TIV]] - Clean_Data[[#This Row],[Imports_TIV]]</f>
        <v>-5000000</v>
      </c>
      <c r="I623" s="4">
        <f>Clean_Data[[#This Row],[Exports_TIV]] + Clean_Data[[#This Row],[Imports_TIV]]</f>
        <v>5000000</v>
      </c>
    </row>
    <row r="624" spans="1:9">
      <c r="A624" s="4" t="s">
        <v>381</v>
      </c>
      <c r="B624" s="4" t="s">
        <v>382</v>
      </c>
      <c r="C624" s="5">
        <v>2021</v>
      </c>
      <c r="D624" s="4">
        <v>0</v>
      </c>
      <c r="E624" s="4">
        <v>62000000</v>
      </c>
      <c r="F624" s="4" t="str">
        <f>_xlfn.LET(_xlpm.r, _xlfn.XLOOKUP(Clean_Data[[#This Row],[Country_Code]], Metadata_Country!$A:$A, Metadata_Country!$B:$B, "Unknown"), IF(OR(_xlpm.r=0, _xlpm.r=""), "Regional Aggregate", _xlpm.r))</f>
        <v>Latin America &amp; Caribbean</v>
      </c>
      <c r="G624" s="4" t="str">
        <f>_xlfn.LET(_xlpm.ig, _xlfn.XLOOKUP(Clean_Data[[#This Row],[Country_Code]], Metadata_Country!$A:$A, Metadata_Country!$C:$C, "Unknown"), IF(OR(_xlpm.ig=0, _xlpm.ig=""), "Regional Aggregate", _xlpm.ig))</f>
        <v>Upper middle income</v>
      </c>
      <c r="H624" s="4">
        <f>Clean_Data[[#This Row],[Exports_TIV]] - Clean_Data[[#This Row],[Imports_TIV]]</f>
        <v>-62000000</v>
      </c>
      <c r="I624" s="4">
        <f>Clean_Data[[#This Row],[Exports_TIV]] + Clean_Data[[#This Row],[Imports_TIV]]</f>
        <v>62000000</v>
      </c>
    </row>
    <row r="625" spans="1:9">
      <c r="A625" s="4" t="s">
        <v>383</v>
      </c>
      <c r="B625" s="4" t="s">
        <v>384</v>
      </c>
      <c r="C625" s="5">
        <v>2021</v>
      </c>
      <c r="D625" s="4">
        <v>0</v>
      </c>
      <c r="E625" s="4">
        <v>365000000</v>
      </c>
      <c r="F625" s="4" t="str">
        <f>_xlfn.LET(_xlpm.r, _xlfn.XLOOKUP(Clean_Data[[#This Row],[Country_Code]], Metadata_Country!$A:$A, Metadata_Country!$B:$B, "Unknown"), IF(OR(_xlpm.r=0, _xlpm.r=""), "Regional Aggregate", _xlpm.r))</f>
        <v>East Asia &amp; Pacific</v>
      </c>
      <c r="G625" s="4" t="str">
        <f>_xlfn.LET(_xlpm.ig, _xlfn.XLOOKUP(Clean_Data[[#This Row],[Country_Code]], Metadata_Country!$A:$A, Metadata_Country!$C:$C, "Unknown"), IF(OR(_xlpm.ig=0, _xlpm.ig=""), "Regional Aggregate", _xlpm.ig))</f>
        <v>Upper middle income</v>
      </c>
      <c r="H625" s="4">
        <f>Clean_Data[[#This Row],[Exports_TIV]] - Clean_Data[[#This Row],[Imports_TIV]]</f>
        <v>-365000000</v>
      </c>
      <c r="I625" s="4">
        <f>Clean_Data[[#This Row],[Exports_TIV]] + Clean_Data[[#This Row],[Imports_TIV]]</f>
        <v>365000000</v>
      </c>
    </row>
    <row r="626" spans="1:9">
      <c r="A626" s="4" t="s">
        <v>389</v>
      </c>
      <c r="B626" s="4" t="s">
        <v>390</v>
      </c>
      <c r="C626" s="5">
        <v>2021</v>
      </c>
      <c r="D626" s="4">
        <v>3000000</v>
      </c>
      <c r="E626" s="4">
        <v>68000000</v>
      </c>
      <c r="F626" s="4" t="str">
        <f>_xlfn.LET(_xlpm.r, _xlfn.XLOOKUP(Clean_Data[[#This Row],[Country_Code]], Metadata_Country!$A:$A, Metadata_Country!$B:$B, "Unknown"), IF(OR(_xlpm.r=0, _xlpm.r=""), "Regional Aggregate", _xlpm.r))</f>
        <v>Europe &amp; Central Asia</v>
      </c>
      <c r="G626" s="4" t="str">
        <f>_xlfn.LET(_xlpm.ig, _xlfn.XLOOKUP(Clean_Data[[#This Row],[Country_Code]], Metadata_Country!$A:$A, Metadata_Country!$C:$C, "Unknown"), IF(OR(_xlpm.ig=0, _xlpm.ig=""), "Regional Aggregate", _xlpm.ig))</f>
        <v>High income</v>
      </c>
      <c r="H626" s="4">
        <f>Clean_Data[[#This Row],[Exports_TIV]] - Clean_Data[[#This Row],[Imports_TIV]]</f>
        <v>-65000000</v>
      </c>
      <c r="I626" s="4">
        <f>Clean_Data[[#This Row],[Exports_TIV]] + Clean_Data[[#This Row],[Imports_TIV]]</f>
        <v>71000000</v>
      </c>
    </row>
    <row r="627" spans="1:9">
      <c r="A627" s="4" t="s">
        <v>397</v>
      </c>
      <c r="B627" s="4" t="s">
        <v>398</v>
      </c>
      <c r="C627" s="5">
        <v>2021</v>
      </c>
      <c r="D627" s="4">
        <v>11000000</v>
      </c>
      <c r="E627" s="4">
        <v>6000000</v>
      </c>
      <c r="F627" s="4" t="str">
        <f>_xlfn.LET(_xlpm.r, _xlfn.XLOOKUP(Clean_Data[[#This Row],[Country_Code]], Metadata_Country!$A:$A, Metadata_Country!$B:$B, "Unknown"), IF(OR(_xlpm.r=0, _xlpm.r=""), "Regional Aggregate", _xlpm.r))</f>
        <v>Europe &amp; Central Asia</v>
      </c>
      <c r="G627" s="4" t="str">
        <f>_xlfn.LET(_xlpm.ig, _xlfn.XLOOKUP(Clean_Data[[#This Row],[Country_Code]], Metadata_Country!$A:$A, Metadata_Country!$C:$C, "Unknown"), IF(OR(_xlpm.ig=0, _xlpm.ig=""), "Regional Aggregate", _xlpm.ig))</f>
        <v>High income</v>
      </c>
      <c r="H627" s="4">
        <f>Clean_Data[[#This Row],[Exports_TIV]] - Clean_Data[[#This Row],[Imports_TIV]]</f>
        <v>5000000</v>
      </c>
      <c r="I627" s="4">
        <f>Clean_Data[[#This Row],[Exports_TIV]] + Clean_Data[[#This Row],[Imports_TIV]]</f>
        <v>17000000</v>
      </c>
    </row>
    <row r="628" spans="1:9">
      <c r="A628" s="4" t="s">
        <v>405</v>
      </c>
      <c r="B628" s="4" t="s">
        <v>406</v>
      </c>
      <c r="C628" s="5">
        <v>2021</v>
      </c>
      <c r="D628" s="4">
        <v>21515000000</v>
      </c>
      <c r="E628" s="4">
        <v>8380000000</v>
      </c>
      <c r="F628" s="4" t="str">
        <f>_xlfn.LET(_xlpm.r, _xlfn.XLOOKUP(Clean_Data[[#This Row],[Country_Code]], Metadata_Country!$A:$A, Metadata_Country!$B:$B, "Unknown"), IF(OR(_xlpm.r=0, _xlpm.r=""), "Regional Aggregate", _xlpm.r))</f>
        <v>Regional Aggregate</v>
      </c>
      <c r="G628" s="4" t="str">
        <f>_xlfn.LET(_xlpm.ig, _xlfn.XLOOKUP(Clean_Data[[#This Row],[Country_Code]], Metadata_Country!$A:$A, Metadata_Country!$C:$C, "Unknown"), IF(OR(_xlpm.ig=0, _xlpm.ig=""), "Regional Aggregate", _xlpm.ig))</f>
        <v>Regional Aggregate</v>
      </c>
      <c r="H628" s="4">
        <f>Clean_Data[[#This Row],[Exports_TIV]] - Clean_Data[[#This Row],[Imports_TIV]]</f>
        <v>13135000000</v>
      </c>
      <c r="I628" s="4">
        <f>Clean_Data[[#This Row],[Exports_TIV]] + Clean_Data[[#This Row],[Imports_TIV]]</f>
        <v>29895000000</v>
      </c>
    </row>
    <row r="629" spans="1:9">
      <c r="A629" s="4" t="s">
        <v>409</v>
      </c>
      <c r="B629" s="4" t="s">
        <v>410</v>
      </c>
      <c r="C629" s="5">
        <v>2021</v>
      </c>
      <c r="D629" s="4">
        <v>12000000</v>
      </c>
      <c r="E629" s="4">
        <v>2288000000</v>
      </c>
      <c r="F629" s="4" t="str">
        <f>_xlfn.LET(_xlpm.r, _xlfn.XLOOKUP(Clean_Data[[#This Row],[Country_Code]], Metadata_Country!$A:$A, Metadata_Country!$B:$B, "Unknown"), IF(OR(_xlpm.r=0, _xlpm.r=""), "Regional Aggregate", _xlpm.r))</f>
        <v>Middle East &amp; North Africa</v>
      </c>
      <c r="G629" s="4" t="str">
        <f>_xlfn.LET(_xlpm.ig, _xlfn.XLOOKUP(Clean_Data[[#This Row],[Country_Code]], Metadata_Country!$A:$A, Metadata_Country!$C:$C, "Unknown"), IF(OR(_xlpm.ig=0, _xlpm.ig=""), "Regional Aggregate", _xlpm.ig))</f>
        <v>High income</v>
      </c>
      <c r="H629" s="4">
        <f>Clean_Data[[#This Row],[Exports_TIV]] - Clean_Data[[#This Row],[Imports_TIV]]</f>
        <v>-2276000000</v>
      </c>
      <c r="I629" s="4">
        <f>Clean_Data[[#This Row],[Exports_TIV]] + Clean_Data[[#This Row],[Imports_TIV]]</f>
        <v>2300000000</v>
      </c>
    </row>
    <row r="630" spans="1:9">
      <c r="A630" s="4" t="s">
        <v>411</v>
      </c>
      <c r="B630" s="4" t="s">
        <v>412</v>
      </c>
      <c r="C630" s="5">
        <v>2021</v>
      </c>
      <c r="D630" s="4">
        <v>0</v>
      </c>
      <c r="E630" s="4">
        <v>105000000</v>
      </c>
      <c r="F630" s="4" t="str">
        <f>_xlfn.LET(_xlpm.r, _xlfn.XLOOKUP(Clean_Data[[#This Row],[Country_Code]], Metadata_Country!$A:$A, Metadata_Country!$B:$B, "Unknown"), IF(OR(_xlpm.r=0, _xlpm.r=""), "Regional Aggregate", _xlpm.r))</f>
        <v>Europe &amp; Central Asia</v>
      </c>
      <c r="G630" s="4" t="str">
        <f>_xlfn.LET(_xlpm.ig, _xlfn.XLOOKUP(Clean_Data[[#This Row],[Country_Code]], Metadata_Country!$A:$A, Metadata_Country!$C:$C, "Unknown"), IF(OR(_xlpm.ig=0, _xlpm.ig=""), "Regional Aggregate", _xlpm.ig))</f>
        <v>High income</v>
      </c>
      <c r="H630" s="4">
        <f>Clean_Data[[#This Row],[Exports_TIV]] - Clean_Data[[#This Row],[Imports_TIV]]</f>
        <v>-105000000</v>
      </c>
      <c r="I630" s="4">
        <f>Clean_Data[[#This Row],[Exports_TIV]] + Clean_Data[[#This Row],[Imports_TIV]]</f>
        <v>105000000</v>
      </c>
    </row>
    <row r="631" spans="1:9">
      <c r="A631" s="4" t="s">
        <v>413</v>
      </c>
      <c r="B631" s="4" t="s">
        <v>414</v>
      </c>
      <c r="C631" s="5">
        <v>2021</v>
      </c>
      <c r="D631" s="4">
        <v>2397000000</v>
      </c>
      <c r="E631" s="4">
        <v>6000000</v>
      </c>
      <c r="F631" s="4" t="str">
        <f>_xlfn.LET(_xlpm.r, _xlfn.XLOOKUP(Clean_Data[[#This Row],[Country_Code]], Metadata_Country!$A:$A, Metadata_Country!$B:$B, "Unknown"), IF(OR(_xlpm.r=0, _xlpm.r=""), "Regional Aggregate", _xlpm.r))</f>
        <v>Europe &amp; Central Asia</v>
      </c>
      <c r="G631" s="4" t="str">
        <f>_xlfn.LET(_xlpm.ig, _xlfn.XLOOKUP(Clean_Data[[#This Row],[Country_Code]], Metadata_Country!$A:$A, Metadata_Country!$C:$C, "Unknown"), IF(OR(_xlpm.ig=0, _xlpm.ig=""), "Regional Aggregate", _xlpm.ig))</f>
        <v>High income</v>
      </c>
      <c r="H631" s="4">
        <f>Clean_Data[[#This Row],[Exports_TIV]] - Clean_Data[[#This Row],[Imports_TIV]]</f>
        <v>2391000000</v>
      </c>
      <c r="I631" s="4">
        <f>Clean_Data[[#This Row],[Exports_TIV]] + Clean_Data[[#This Row],[Imports_TIV]]</f>
        <v>2403000000</v>
      </c>
    </row>
    <row r="632" spans="1:9">
      <c r="A632" s="4" t="s">
        <v>415</v>
      </c>
      <c r="B632" s="4" t="s">
        <v>416</v>
      </c>
      <c r="C632" s="5">
        <v>2021</v>
      </c>
      <c r="D632" s="4">
        <v>0</v>
      </c>
      <c r="E632" s="4">
        <v>65000000</v>
      </c>
      <c r="F632" s="4" t="str">
        <f>_xlfn.LET(_xlpm.r, _xlfn.XLOOKUP(Clean_Data[[#This Row],[Country_Code]], Metadata_Country!$A:$A, Metadata_Country!$B:$B, "Unknown"), IF(OR(_xlpm.r=0, _xlpm.r=""), "Regional Aggregate", _xlpm.r))</f>
        <v>Sub-Saharan Africa</v>
      </c>
      <c r="G632" s="4" t="str">
        <f>_xlfn.LET(_xlpm.ig, _xlfn.XLOOKUP(Clean_Data[[#This Row],[Country_Code]], Metadata_Country!$A:$A, Metadata_Country!$C:$C, "Unknown"), IF(OR(_xlpm.ig=0, _xlpm.ig=""), "Regional Aggregate", _xlpm.ig))</f>
        <v>Low income</v>
      </c>
      <c r="H632" s="4">
        <f>Clean_Data[[#This Row],[Exports_TIV]] - Clean_Data[[#This Row],[Imports_TIV]]</f>
        <v>-65000000</v>
      </c>
      <c r="I632" s="4">
        <f>Clean_Data[[#This Row],[Exports_TIV]] + Clean_Data[[#This Row],[Imports_TIV]]</f>
        <v>65000000</v>
      </c>
    </row>
    <row r="633" spans="1:9">
      <c r="A633" s="4" t="s">
        <v>419</v>
      </c>
      <c r="B633" s="4" t="s">
        <v>420</v>
      </c>
      <c r="C633" s="5">
        <v>2021</v>
      </c>
      <c r="D633" s="4">
        <v>0</v>
      </c>
      <c r="E633" s="4">
        <v>1747000000</v>
      </c>
      <c r="F633" s="4" t="str">
        <f>_xlfn.LET(_xlpm.r, _xlfn.XLOOKUP(Clean_Data[[#This Row],[Country_Code]], Metadata_Country!$A:$A, Metadata_Country!$B:$B, "Unknown"), IF(OR(_xlpm.r=0, _xlpm.r=""), "Regional Aggregate", _xlpm.r))</f>
        <v>Middle East &amp; North Africa</v>
      </c>
      <c r="G633" s="4" t="str">
        <f>_xlfn.LET(_xlpm.ig, _xlfn.XLOOKUP(Clean_Data[[#This Row],[Country_Code]], Metadata_Country!$A:$A, Metadata_Country!$C:$C, "Unknown"), IF(OR(_xlpm.ig=0, _xlpm.ig=""), "Regional Aggregate", _xlpm.ig))</f>
        <v>High income</v>
      </c>
      <c r="H633" s="4">
        <f>Clean_Data[[#This Row],[Exports_TIV]] - Clean_Data[[#This Row],[Imports_TIV]]</f>
        <v>-1747000000</v>
      </c>
      <c r="I633" s="4">
        <f>Clean_Data[[#This Row],[Exports_TIV]] + Clean_Data[[#This Row],[Imports_TIV]]</f>
        <v>1747000000</v>
      </c>
    </row>
    <row r="634" spans="1:9">
      <c r="A634" s="4" t="s">
        <v>423</v>
      </c>
      <c r="B634" s="4" t="s">
        <v>424</v>
      </c>
      <c r="C634" s="5">
        <v>2021</v>
      </c>
      <c r="D634" s="4">
        <v>0</v>
      </c>
      <c r="E634" s="4">
        <v>21000000</v>
      </c>
      <c r="F634" s="4" t="str">
        <f>_xlfn.LET(_xlpm.r, _xlfn.XLOOKUP(Clean_Data[[#This Row],[Country_Code]], Metadata_Country!$A:$A, Metadata_Country!$B:$B, "Unknown"), IF(OR(_xlpm.r=0, _xlpm.r=""), "Regional Aggregate", _xlpm.r))</f>
        <v>Sub-Saharan Africa</v>
      </c>
      <c r="G634" s="4" t="str">
        <f>_xlfn.LET(_xlpm.ig, _xlfn.XLOOKUP(Clean_Data[[#This Row],[Country_Code]], Metadata_Country!$A:$A, Metadata_Country!$C:$C, "Unknown"), IF(OR(_xlpm.ig=0, _xlpm.ig=""), "Regional Aggregate", _xlpm.ig))</f>
        <v>Lower middle income</v>
      </c>
      <c r="H634" s="4">
        <f>Clean_Data[[#This Row],[Exports_TIV]] - Clean_Data[[#This Row],[Imports_TIV]]</f>
        <v>-21000000</v>
      </c>
      <c r="I634" s="4">
        <f>Clean_Data[[#This Row],[Exports_TIV]] + Clean_Data[[#This Row],[Imports_TIV]]</f>
        <v>21000000</v>
      </c>
    </row>
    <row r="635" spans="1:9">
      <c r="A635" s="4" t="s">
        <v>437</v>
      </c>
      <c r="B635" s="4" t="s">
        <v>438</v>
      </c>
      <c r="C635" s="5">
        <v>2021</v>
      </c>
      <c r="D635" s="4">
        <v>3000000</v>
      </c>
      <c r="E635" s="4">
        <v>117000000</v>
      </c>
      <c r="F635" s="4" t="str">
        <f>_xlfn.LET(_xlpm.r, _xlfn.XLOOKUP(Clean_Data[[#This Row],[Country_Code]], Metadata_Country!$A:$A, Metadata_Country!$B:$B, "Unknown"), IF(OR(_xlpm.r=0, _xlpm.r=""), "Regional Aggregate", _xlpm.r))</f>
        <v>Europe &amp; Central Asia</v>
      </c>
      <c r="G635" s="4" t="str">
        <f>_xlfn.LET(_xlpm.ig, _xlfn.XLOOKUP(Clean_Data[[#This Row],[Country_Code]], Metadata_Country!$A:$A, Metadata_Country!$C:$C, "Unknown"), IF(OR(_xlpm.ig=0, _xlpm.ig=""), "Regional Aggregate", _xlpm.ig))</f>
        <v>Upper middle income</v>
      </c>
      <c r="H635" s="4">
        <f>Clean_Data[[#This Row],[Exports_TIV]] - Clean_Data[[#This Row],[Imports_TIV]]</f>
        <v>-114000000</v>
      </c>
      <c r="I635" s="4">
        <f>Clean_Data[[#This Row],[Exports_TIV]] + Clean_Data[[#This Row],[Imports_TIV]]</f>
        <v>120000000</v>
      </c>
    </row>
    <row r="636" spans="1:9">
      <c r="A636" s="4" t="s">
        <v>461</v>
      </c>
      <c r="B636" s="4" t="s">
        <v>462</v>
      </c>
      <c r="C636" s="5">
        <v>2021</v>
      </c>
      <c r="D636" s="4">
        <v>0</v>
      </c>
      <c r="E636" s="4">
        <v>19000000</v>
      </c>
      <c r="F636" s="4" t="str">
        <f>_xlfn.LET(_xlpm.r, _xlfn.XLOOKUP(Clean_Data[[#This Row],[Country_Code]], Metadata_Country!$A:$A, Metadata_Country!$B:$B, "Unknown"), IF(OR(_xlpm.r=0, _xlpm.r=""), "Regional Aggregate", _xlpm.r))</f>
        <v>Sub-Saharan Africa</v>
      </c>
      <c r="G636" s="4" t="str">
        <f>_xlfn.LET(_xlpm.ig, _xlfn.XLOOKUP(Clean_Data[[#This Row],[Country_Code]], Metadata_Country!$A:$A, Metadata_Country!$C:$C, "Unknown"), IF(OR(_xlpm.ig=0, _xlpm.ig=""), "Regional Aggregate", _xlpm.ig))</f>
        <v>High income</v>
      </c>
      <c r="H636" s="4">
        <f>Clean_Data[[#This Row],[Exports_TIV]] - Clean_Data[[#This Row],[Imports_TIV]]</f>
        <v>-19000000</v>
      </c>
      <c r="I636" s="4">
        <f>Clean_Data[[#This Row],[Exports_TIV]] + Clean_Data[[#This Row],[Imports_TIV]]</f>
        <v>19000000</v>
      </c>
    </row>
    <row r="637" spans="1:9">
      <c r="A637" s="4" t="s">
        <v>425</v>
      </c>
      <c r="B637" s="4" t="s">
        <v>426</v>
      </c>
      <c r="C637" s="5">
        <v>2021</v>
      </c>
      <c r="D637" s="4">
        <v>72000000</v>
      </c>
      <c r="E637" s="4">
        <v>226000000</v>
      </c>
      <c r="F637" s="4" t="str">
        <f>_xlfn.LET(_xlpm.r, _xlfn.XLOOKUP(Clean_Data[[#This Row],[Country_Code]], Metadata_Country!$A:$A, Metadata_Country!$B:$B, "Unknown"), IF(OR(_xlpm.r=0, _xlpm.r=""), "Regional Aggregate", _xlpm.r))</f>
        <v>East Asia &amp; Pacific</v>
      </c>
      <c r="G637" s="4" t="str">
        <f>_xlfn.LET(_xlpm.ig, _xlfn.XLOOKUP(Clean_Data[[#This Row],[Country_Code]], Metadata_Country!$A:$A, Metadata_Country!$C:$C, "Unknown"), IF(OR(_xlpm.ig=0, _xlpm.ig=""), "Regional Aggregate", _xlpm.ig))</f>
        <v>High income</v>
      </c>
      <c r="H637" s="4">
        <f>Clean_Data[[#This Row],[Exports_TIV]] - Clean_Data[[#This Row],[Imports_TIV]]</f>
        <v>-154000000</v>
      </c>
      <c r="I637" s="4">
        <f>Clean_Data[[#This Row],[Exports_TIV]] + Clean_Data[[#This Row],[Imports_TIV]]</f>
        <v>298000000</v>
      </c>
    </row>
    <row r="638" spans="1:9">
      <c r="A638" s="4" t="s">
        <v>451</v>
      </c>
      <c r="B638" s="4" t="s">
        <v>452</v>
      </c>
      <c r="C638" s="5">
        <v>2021</v>
      </c>
      <c r="D638" s="4">
        <v>0</v>
      </c>
      <c r="E638" s="4">
        <v>1000000</v>
      </c>
      <c r="F638" s="4" t="str">
        <f>_xlfn.LET(_xlpm.r, _xlfn.XLOOKUP(Clean_Data[[#This Row],[Country_Code]], Metadata_Country!$A:$A, Metadata_Country!$B:$B, "Unknown"), IF(OR(_xlpm.r=0, _xlpm.r=""), "Regional Aggregate", _xlpm.r))</f>
        <v>Europe &amp; Central Asia</v>
      </c>
      <c r="G638" s="4" t="str">
        <f>_xlfn.LET(_xlpm.ig, _xlfn.XLOOKUP(Clean_Data[[#This Row],[Country_Code]], Metadata_Country!$A:$A, Metadata_Country!$C:$C, "Unknown"), IF(OR(_xlpm.ig=0, _xlpm.ig=""), "Regional Aggregate", _xlpm.ig))</f>
        <v>High income</v>
      </c>
      <c r="H638" s="4">
        <f>Clean_Data[[#This Row],[Exports_TIV]] - Clean_Data[[#This Row],[Imports_TIV]]</f>
        <v>-1000000</v>
      </c>
      <c r="I638" s="4">
        <f>Clean_Data[[#This Row],[Exports_TIV]] + Clean_Data[[#This Row],[Imports_TIV]]</f>
        <v>1000000</v>
      </c>
    </row>
    <row r="639" spans="1:9">
      <c r="A639" s="4" t="s">
        <v>453</v>
      </c>
      <c r="B639" s="4" t="s">
        <v>454</v>
      </c>
      <c r="C639" s="5">
        <v>2021</v>
      </c>
      <c r="D639" s="4">
        <v>0</v>
      </c>
      <c r="E639" s="4">
        <v>7000000</v>
      </c>
      <c r="F639" s="4" t="str">
        <f>_xlfn.LET(_xlpm.r, _xlfn.XLOOKUP(Clean_Data[[#This Row],[Country_Code]], Metadata_Country!$A:$A, Metadata_Country!$B:$B, "Unknown"), IF(OR(_xlpm.r=0, _xlpm.r=""), "Regional Aggregate", _xlpm.r))</f>
        <v>Europe &amp; Central Asia</v>
      </c>
      <c r="G639" s="4" t="str">
        <f>_xlfn.LET(_xlpm.ig, _xlfn.XLOOKUP(Clean_Data[[#This Row],[Country_Code]], Metadata_Country!$A:$A, Metadata_Country!$C:$C, "Unknown"), IF(OR(_xlpm.ig=0, _xlpm.ig=""), "Regional Aggregate", _xlpm.ig))</f>
        <v>High income</v>
      </c>
      <c r="H639" s="4">
        <f>Clean_Data[[#This Row],[Exports_TIV]] - Clean_Data[[#This Row],[Imports_TIV]]</f>
        <v>-7000000</v>
      </c>
      <c r="I639" s="4">
        <f>Clean_Data[[#This Row],[Exports_TIV]] + Clean_Data[[#This Row],[Imports_TIV]]</f>
        <v>7000000</v>
      </c>
    </row>
    <row r="640" spans="1:9">
      <c r="A640" s="4" t="s">
        <v>427</v>
      </c>
      <c r="B640" s="4" t="s">
        <v>428</v>
      </c>
      <c r="C640" s="5">
        <v>2021</v>
      </c>
      <c r="D640" s="4">
        <v>0</v>
      </c>
      <c r="E640" s="4">
        <v>7000000</v>
      </c>
      <c r="F640" s="4" t="str">
        <f>_xlfn.LET(_xlpm.r, _xlfn.XLOOKUP(Clean_Data[[#This Row],[Country_Code]], Metadata_Country!$A:$A, Metadata_Country!$B:$B, "Unknown"), IF(OR(_xlpm.r=0, _xlpm.r=""), "Regional Aggregate", _xlpm.r))</f>
        <v>East Asia &amp; Pacific</v>
      </c>
      <c r="G640" s="4" t="str">
        <f>_xlfn.LET(_xlpm.ig, _xlfn.XLOOKUP(Clean_Data[[#This Row],[Country_Code]], Metadata_Country!$A:$A, Metadata_Country!$C:$C, "Unknown"), IF(OR(_xlpm.ig=0, _xlpm.ig=""), "Regional Aggregate", _xlpm.ig))</f>
        <v>Lower middle income</v>
      </c>
      <c r="H640" s="4">
        <f>Clean_Data[[#This Row],[Exports_TIV]] - Clean_Data[[#This Row],[Imports_TIV]]</f>
        <v>-7000000</v>
      </c>
      <c r="I640" s="4">
        <f>Clean_Data[[#This Row],[Exports_TIV]] + Clean_Data[[#This Row],[Imports_TIV]]</f>
        <v>7000000</v>
      </c>
    </row>
    <row r="641" spans="1:9">
      <c r="A641" s="4" t="s">
        <v>435</v>
      </c>
      <c r="B641" s="4" t="s">
        <v>436</v>
      </c>
      <c r="C641" s="5">
        <v>2021</v>
      </c>
      <c r="D641" s="4">
        <v>0</v>
      </c>
      <c r="E641" s="4">
        <v>2000000</v>
      </c>
      <c r="F641" s="4" t="str">
        <f>_xlfn.LET(_xlpm.r, _xlfn.XLOOKUP(Clean_Data[[#This Row],[Country_Code]], Metadata_Country!$A:$A, Metadata_Country!$B:$B, "Unknown"), IF(OR(_xlpm.r=0, _xlpm.r=""), "Regional Aggregate", _xlpm.r))</f>
        <v>Sub-Saharan Africa</v>
      </c>
      <c r="G641" s="4" t="str">
        <f>_xlfn.LET(_xlpm.ig, _xlfn.XLOOKUP(Clean_Data[[#This Row],[Country_Code]], Metadata_Country!$A:$A, Metadata_Country!$C:$C, "Unknown"), IF(OR(_xlpm.ig=0, _xlpm.ig=""), "Regional Aggregate", _xlpm.ig))</f>
        <v>Low income</v>
      </c>
      <c r="H641" s="4">
        <f>Clean_Data[[#This Row],[Exports_TIV]] - Clean_Data[[#This Row],[Imports_TIV]]</f>
        <v>-2000000</v>
      </c>
      <c r="I641" s="4">
        <f>Clean_Data[[#This Row],[Exports_TIV]] + Clean_Data[[#This Row],[Imports_TIV]]</f>
        <v>2000000</v>
      </c>
    </row>
    <row r="642" spans="1:9">
      <c r="A642" s="4" t="s">
        <v>535</v>
      </c>
      <c r="B642" s="4" t="s">
        <v>536</v>
      </c>
      <c r="C642" s="5">
        <v>2021</v>
      </c>
      <c r="D642" s="4">
        <v>143000000</v>
      </c>
      <c r="E642" s="4">
        <v>0</v>
      </c>
      <c r="F642" s="4" t="str">
        <f>_xlfn.LET(_xlpm.r, _xlfn.XLOOKUP(Clean_Data[[#This Row],[Country_Code]], Metadata_Country!$A:$A, Metadata_Country!$B:$B, "Unknown"), IF(OR(_xlpm.r=0, _xlpm.r=""), "Regional Aggregate", _xlpm.r))</f>
        <v>Sub-Saharan Africa</v>
      </c>
      <c r="G642" s="4" t="str">
        <f>_xlfn.LET(_xlpm.ig, _xlfn.XLOOKUP(Clean_Data[[#This Row],[Country_Code]], Metadata_Country!$A:$A, Metadata_Country!$C:$C, "Unknown"), IF(OR(_xlpm.ig=0, _xlpm.ig=""), "Regional Aggregate", _xlpm.ig))</f>
        <v>Upper middle income</v>
      </c>
      <c r="H642" s="4">
        <f>Clean_Data[[#This Row],[Exports_TIV]] - Clean_Data[[#This Row],[Imports_TIV]]</f>
        <v>143000000</v>
      </c>
      <c r="I642" s="4">
        <f>Clean_Data[[#This Row],[Exports_TIV]] + Clean_Data[[#This Row],[Imports_TIV]]</f>
        <v>143000000</v>
      </c>
    </row>
    <row r="643" spans="1:9">
      <c r="A643" s="4" t="s">
        <v>417</v>
      </c>
      <c r="B643" s="4" t="s">
        <v>418</v>
      </c>
      <c r="C643" s="5">
        <v>2021</v>
      </c>
      <c r="D643" s="4">
        <v>54000000</v>
      </c>
      <c r="E643" s="4">
        <v>4079000000</v>
      </c>
      <c r="F643" s="4" t="str">
        <f>_xlfn.LET(_xlpm.r, _xlfn.XLOOKUP(Clean_Data[[#This Row],[Country_Code]], Metadata_Country!$A:$A, Metadata_Country!$B:$B, "Unknown"), IF(OR(_xlpm.r=0, _xlpm.r=""), "Regional Aggregate", _xlpm.r))</f>
        <v>Regional Aggregate</v>
      </c>
      <c r="G643" s="4" t="str">
        <f>_xlfn.LET(_xlpm.ig, _xlfn.XLOOKUP(Clean_Data[[#This Row],[Country_Code]], Metadata_Country!$A:$A, Metadata_Country!$C:$C, "Unknown"), IF(OR(_xlpm.ig=0, _xlpm.ig=""), "Regional Aggregate", _xlpm.ig))</f>
        <v>Regional Aggregate</v>
      </c>
      <c r="H643" s="4">
        <f>Clean_Data[[#This Row],[Exports_TIV]] - Clean_Data[[#This Row],[Imports_TIV]]</f>
        <v>-4025000000</v>
      </c>
      <c r="I643" s="4">
        <f>Clean_Data[[#This Row],[Exports_TIV]] + Clean_Data[[#This Row],[Imports_TIV]]</f>
        <v>4133000000</v>
      </c>
    </row>
    <row r="644" spans="1:9">
      <c r="A644" s="4" t="s">
        <v>489</v>
      </c>
      <c r="B644" s="4" t="s">
        <v>490</v>
      </c>
      <c r="C644" s="5">
        <v>2021</v>
      </c>
      <c r="D644" s="4">
        <v>54000000</v>
      </c>
      <c r="E644" s="4">
        <v>4079000000</v>
      </c>
      <c r="F644" s="4" t="str">
        <f>_xlfn.LET(_xlpm.r, _xlfn.XLOOKUP(Clean_Data[[#This Row],[Country_Code]], Metadata_Country!$A:$A, Metadata_Country!$B:$B, "Unknown"), IF(OR(_xlpm.r=0, _xlpm.r=""), "Regional Aggregate", _xlpm.r))</f>
        <v>Regional Aggregate</v>
      </c>
      <c r="G644" s="4" t="str">
        <f>_xlfn.LET(_xlpm.ig, _xlfn.XLOOKUP(Clean_Data[[#This Row],[Country_Code]], Metadata_Country!$A:$A, Metadata_Country!$C:$C, "Unknown"), IF(OR(_xlpm.ig=0, _xlpm.ig=""), "Regional Aggregate", _xlpm.ig))</f>
        <v>Regional Aggregate</v>
      </c>
      <c r="H644" s="4">
        <f>Clean_Data[[#This Row],[Exports_TIV]] - Clean_Data[[#This Row],[Imports_TIV]]</f>
        <v>-4025000000</v>
      </c>
      <c r="I644" s="4">
        <f>Clean_Data[[#This Row],[Exports_TIV]] + Clean_Data[[#This Row],[Imports_TIV]]</f>
        <v>4133000000</v>
      </c>
    </row>
    <row r="645" spans="1:9">
      <c r="A645" s="4" t="s">
        <v>441</v>
      </c>
      <c r="B645" s="4" t="s">
        <v>442</v>
      </c>
      <c r="C645" s="5">
        <v>2021</v>
      </c>
      <c r="D645" s="4">
        <v>0</v>
      </c>
      <c r="E645" s="4">
        <v>8000000</v>
      </c>
      <c r="F645" s="4" t="str">
        <f>_xlfn.LET(_xlpm.r, _xlfn.XLOOKUP(Clean_Data[[#This Row],[Country_Code]], Metadata_Country!$A:$A, Metadata_Country!$B:$B, "Unknown"), IF(OR(_xlpm.r=0, _xlpm.r=""), "Regional Aggregate", _xlpm.r))</f>
        <v>Sub-Saharan Africa</v>
      </c>
      <c r="G645" s="4" t="str">
        <f>_xlfn.LET(_xlpm.ig, _xlfn.XLOOKUP(Clean_Data[[#This Row],[Country_Code]], Metadata_Country!$A:$A, Metadata_Country!$C:$C, "Unknown"), IF(OR(_xlpm.ig=0, _xlpm.ig=""), "Regional Aggregate", _xlpm.ig))</f>
        <v>Low income</v>
      </c>
      <c r="H645" s="4">
        <f>Clean_Data[[#This Row],[Exports_TIV]] - Clean_Data[[#This Row],[Imports_TIV]]</f>
        <v>-8000000</v>
      </c>
      <c r="I645" s="4">
        <f>Clean_Data[[#This Row],[Exports_TIV]] + Clean_Data[[#This Row],[Imports_TIV]]</f>
        <v>8000000</v>
      </c>
    </row>
    <row r="646" spans="1:9">
      <c r="A646" s="4" t="s">
        <v>149</v>
      </c>
      <c r="B646" s="4" t="s">
        <v>150</v>
      </c>
      <c r="C646" s="5">
        <v>2021</v>
      </c>
      <c r="D646" s="4">
        <v>676000000</v>
      </c>
      <c r="E646" s="4">
        <v>134000000</v>
      </c>
      <c r="F646" s="4" t="str">
        <f>_xlfn.LET(_xlpm.r, _xlfn.XLOOKUP(Clean_Data[[#This Row],[Country_Code]], Metadata_Country!$A:$A, Metadata_Country!$B:$B, "Unknown"), IF(OR(_xlpm.r=0, _xlpm.r=""), "Regional Aggregate", _xlpm.r))</f>
        <v>Europe &amp; Central Asia</v>
      </c>
      <c r="G646" s="4" t="str">
        <f>_xlfn.LET(_xlpm.ig, _xlfn.XLOOKUP(Clean_Data[[#This Row],[Country_Code]], Metadata_Country!$A:$A, Metadata_Country!$C:$C, "Unknown"), IF(OR(_xlpm.ig=0, _xlpm.ig=""), "Regional Aggregate", _xlpm.ig))</f>
        <v>High income</v>
      </c>
      <c r="H646" s="4">
        <f>Clean_Data[[#This Row],[Exports_TIV]] - Clean_Data[[#This Row],[Imports_TIV]]</f>
        <v>542000000</v>
      </c>
      <c r="I646" s="4">
        <f>Clean_Data[[#This Row],[Exports_TIV]] + Clean_Data[[#This Row],[Imports_TIV]]</f>
        <v>810000000</v>
      </c>
    </row>
    <row r="647" spans="1:9">
      <c r="A647" s="4" t="s">
        <v>285</v>
      </c>
      <c r="B647" s="4" t="s">
        <v>286</v>
      </c>
      <c r="C647" s="5">
        <v>2021</v>
      </c>
      <c r="D647" s="4">
        <v>0</v>
      </c>
      <c r="E647" s="4">
        <v>54000000</v>
      </c>
      <c r="F647" s="4" t="str">
        <f>_xlfn.LET(_xlpm.r, _xlfn.XLOOKUP(Clean_Data[[#This Row],[Country_Code]], Metadata_Country!$A:$A, Metadata_Country!$B:$B, "Unknown"), IF(OR(_xlpm.r=0, _xlpm.r=""), "Regional Aggregate", _xlpm.r))</f>
        <v>South Asia</v>
      </c>
      <c r="G647" s="4" t="str">
        <f>_xlfn.LET(_xlpm.ig, _xlfn.XLOOKUP(Clean_Data[[#This Row],[Country_Code]], Metadata_Country!$A:$A, Metadata_Country!$C:$C, "Unknown"), IF(OR(_xlpm.ig=0, _xlpm.ig=""), "Regional Aggregate", _xlpm.ig))</f>
        <v>Upper middle income</v>
      </c>
      <c r="H647" s="4">
        <f>Clean_Data[[#This Row],[Exports_TIV]] - Clean_Data[[#This Row],[Imports_TIV]]</f>
        <v>-54000000</v>
      </c>
      <c r="I647" s="4">
        <f>Clean_Data[[#This Row],[Exports_TIV]] + Clean_Data[[#This Row],[Imports_TIV]]</f>
        <v>54000000</v>
      </c>
    </row>
    <row r="648" spans="1:9">
      <c r="A648" s="4" t="s">
        <v>455</v>
      </c>
      <c r="B648" s="4" t="s">
        <v>456</v>
      </c>
      <c r="C648" s="5">
        <v>2021</v>
      </c>
      <c r="D648" s="4">
        <v>236000000</v>
      </c>
      <c r="E648" s="4">
        <v>110000000</v>
      </c>
      <c r="F648" s="4" t="str">
        <f>_xlfn.LET(_xlpm.r, _xlfn.XLOOKUP(Clean_Data[[#This Row],[Country_Code]], Metadata_Country!$A:$A, Metadata_Country!$B:$B, "Unknown"), IF(OR(_xlpm.r=0, _xlpm.r=""), "Regional Aggregate", _xlpm.r))</f>
        <v>Europe &amp; Central Asia</v>
      </c>
      <c r="G648" s="4" t="str">
        <f>_xlfn.LET(_xlpm.ig, _xlfn.XLOOKUP(Clean_Data[[#This Row],[Country_Code]], Metadata_Country!$A:$A, Metadata_Country!$C:$C, "Unknown"), IF(OR(_xlpm.ig=0, _xlpm.ig=""), "Regional Aggregate", _xlpm.ig))</f>
        <v>High income</v>
      </c>
      <c r="H648" s="4">
        <f>Clean_Data[[#This Row],[Exports_TIV]] - Clean_Data[[#This Row],[Imports_TIV]]</f>
        <v>126000000</v>
      </c>
      <c r="I648" s="4">
        <f>Clean_Data[[#This Row],[Exports_TIV]] + Clean_Data[[#This Row],[Imports_TIV]]</f>
        <v>346000000</v>
      </c>
    </row>
    <row r="649" spans="1:9">
      <c r="A649" s="4" t="s">
        <v>83</v>
      </c>
      <c r="B649" s="4" t="s">
        <v>84</v>
      </c>
      <c r="C649" s="5">
        <v>2021</v>
      </c>
      <c r="D649" s="4">
        <v>107000000</v>
      </c>
      <c r="E649" s="4">
        <v>0</v>
      </c>
      <c r="F649" s="4" t="str">
        <f>_xlfn.LET(_xlpm.r, _xlfn.XLOOKUP(Clean_Data[[#This Row],[Country_Code]], Metadata_Country!$A:$A, Metadata_Country!$B:$B, "Unknown"), IF(OR(_xlpm.r=0, _xlpm.r=""), "Regional Aggregate", _xlpm.r))</f>
        <v>Europe &amp; Central Asia</v>
      </c>
      <c r="G649" s="4" t="str">
        <f>_xlfn.LET(_xlpm.ig, _xlfn.XLOOKUP(Clean_Data[[#This Row],[Country_Code]], Metadata_Country!$A:$A, Metadata_Country!$C:$C, "Unknown"), IF(OR(_xlpm.ig=0, _xlpm.ig=""), "Regional Aggregate", _xlpm.ig))</f>
        <v>High income</v>
      </c>
      <c r="H649" s="4">
        <f>Clean_Data[[#This Row],[Exports_TIV]] - Clean_Data[[#This Row],[Imports_TIV]]</f>
        <v>107000000</v>
      </c>
      <c r="I649" s="4">
        <f>Clean_Data[[#This Row],[Exports_TIV]] + Clean_Data[[#This Row],[Imports_TIV]]</f>
        <v>107000000</v>
      </c>
    </row>
    <row r="650" spans="1:9">
      <c r="A650" s="4" t="s">
        <v>463</v>
      </c>
      <c r="B650" s="4" t="s">
        <v>464</v>
      </c>
      <c r="C650" s="5">
        <v>2021</v>
      </c>
      <c r="D650" s="4">
        <v>0</v>
      </c>
      <c r="E650" s="4">
        <v>7000000</v>
      </c>
      <c r="F650" s="4" t="str">
        <f>_xlfn.LET(_xlpm.r, _xlfn.XLOOKUP(Clean_Data[[#This Row],[Country_Code]], Metadata_Country!$A:$A, Metadata_Country!$B:$B, "Unknown"), IF(OR(_xlpm.r=0, _xlpm.r=""), "Regional Aggregate", _xlpm.r))</f>
        <v>Middle East &amp; North Africa</v>
      </c>
      <c r="G650" s="4" t="str">
        <f>_xlfn.LET(_xlpm.ig, _xlfn.XLOOKUP(Clean_Data[[#This Row],[Country_Code]], Metadata_Country!$A:$A, Metadata_Country!$C:$C, "Unknown"), IF(OR(_xlpm.ig=0, _xlpm.ig=""), "Regional Aggregate", _xlpm.ig))</f>
        <v>Low income</v>
      </c>
      <c r="H650" s="4">
        <f>Clean_Data[[#This Row],[Exports_TIV]] - Clean_Data[[#This Row],[Imports_TIV]]</f>
        <v>-7000000</v>
      </c>
      <c r="I650" s="4">
        <f>Clean_Data[[#This Row],[Exports_TIV]] + Clean_Data[[#This Row],[Imports_TIV]]</f>
        <v>7000000</v>
      </c>
    </row>
    <row r="651" spans="1:9">
      <c r="A651" s="4" t="s">
        <v>501</v>
      </c>
      <c r="B651" s="4" t="s">
        <v>502</v>
      </c>
      <c r="C651" s="5">
        <v>2021</v>
      </c>
      <c r="D651" s="4">
        <v>0</v>
      </c>
      <c r="E651" s="4">
        <v>53000000</v>
      </c>
      <c r="F651" s="4" t="str">
        <f>_xlfn.LET(_xlpm.r, _xlfn.XLOOKUP(Clean_Data[[#This Row],[Country_Code]], Metadata_Country!$A:$A, Metadata_Country!$B:$B, "Unknown"), IF(OR(_xlpm.r=0, _xlpm.r=""), "Regional Aggregate", _xlpm.r))</f>
        <v>Sub-Saharan Africa</v>
      </c>
      <c r="G651" s="4" t="str">
        <f>_xlfn.LET(_xlpm.ig, _xlfn.XLOOKUP(Clean_Data[[#This Row],[Country_Code]], Metadata_Country!$A:$A, Metadata_Country!$C:$C, "Unknown"), IF(OR(_xlpm.ig=0, _xlpm.ig=""), "Regional Aggregate", _xlpm.ig))</f>
        <v>Lower middle income</v>
      </c>
      <c r="H651" s="4">
        <f>Clean_Data[[#This Row],[Exports_TIV]] - Clean_Data[[#This Row],[Imports_TIV]]</f>
        <v>-53000000</v>
      </c>
      <c r="I651" s="4">
        <f>Clean_Data[[#This Row],[Exports_TIV]] + Clean_Data[[#This Row],[Imports_TIV]]</f>
        <v>53000000</v>
      </c>
    </row>
    <row r="652" spans="1:9">
      <c r="A652" s="4" t="s">
        <v>475</v>
      </c>
      <c r="B652" s="4" t="s">
        <v>476</v>
      </c>
      <c r="C652" s="5">
        <v>2021</v>
      </c>
      <c r="D652" s="4">
        <v>5000000</v>
      </c>
      <c r="E652" s="4">
        <v>151000000</v>
      </c>
      <c r="F652" s="4" t="str">
        <f>_xlfn.LET(_xlpm.r, _xlfn.XLOOKUP(Clean_Data[[#This Row],[Country_Code]], Metadata_Country!$A:$A, Metadata_Country!$B:$B, "Unknown"), IF(OR(_xlpm.r=0, _xlpm.r=""), "Regional Aggregate", _xlpm.r))</f>
        <v>East Asia &amp; Pacific</v>
      </c>
      <c r="G652" s="4" t="str">
        <f>_xlfn.LET(_xlpm.ig, _xlfn.XLOOKUP(Clean_Data[[#This Row],[Country_Code]], Metadata_Country!$A:$A, Metadata_Country!$C:$C, "Unknown"), IF(OR(_xlpm.ig=0, _xlpm.ig=""), "Regional Aggregate", _xlpm.ig))</f>
        <v>Upper middle income</v>
      </c>
      <c r="H652" s="4">
        <f>Clean_Data[[#This Row],[Exports_TIV]] - Clean_Data[[#This Row],[Imports_TIV]]</f>
        <v>-146000000</v>
      </c>
      <c r="I652" s="4">
        <f>Clean_Data[[#This Row],[Exports_TIV]] + Clean_Data[[#This Row],[Imports_TIV]]</f>
        <v>156000000</v>
      </c>
    </row>
    <row r="653" spans="1:9">
      <c r="A653" s="4" t="s">
        <v>473</v>
      </c>
      <c r="B653" s="4" t="s">
        <v>474</v>
      </c>
      <c r="C653" s="5">
        <v>2021</v>
      </c>
      <c r="D653" s="4">
        <v>0</v>
      </c>
      <c r="E653" s="4">
        <v>10000000</v>
      </c>
      <c r="F653" s="4" t="str">
        <f>_xlfn.LET(_xlpm.r, _xlfn.XLOOKUP(Clean_Data[[#This Row],[Country_Code]], Metadata_Country!$A:$A, Metadata_Country!$B:$B, "Unknown"), IF(OR(_xlpm.r=0, _xlpm.r=""), "Regional Aggregate", _xlpm.r))</f>
        <v>Sub-Saharan Africa</v>
      </c>
      <c r="G653" s="4" t="str">
        <f>_xlfn.LET(_xlpm.ig, _xlfn.XLOOKUP(Clean_Data[[#This Row],[Country_Code]], Metadata_Country!$A:$A, Metadata_Country!$C:$C, "Unknown"), IF(OR(_xlpm.ig=0, _xlpm.ig=""), "Regional Aggregate", _xlpm.ig))</f>
        <v>Lower middle income</v>
      </c>
      <c r="H653" s="4">
        <f>Clean_Data[[#This Row],[Exports_TIV]] - Clean_Data[[#This Row],[Imports_TIV]]</f>
        <v>-10000000</v>
      </c>
      <c r="I653" s="4">
        <f>Clean_Data[[#This Row],[Exports_TIV]] + Clean_Data[[#This Row],[Imports_TIV]]</f>
        <v>10000000</v>
      </c>
    </row>
    <row r="654" spans="1:9">
      <c r="A654" s="4" t="s">
        <v>493</v>
      </c>
      <c r="B654" s="4" t="s">
        <v>494</v>
      </c>
      <c r="C654" s="5">
        <v>2021</v>
      </c>
      <c r="D654" s="4">
        <v>0</v>
      </c>
      <c r="E654" s="4">
        <v>32000000</v>
      </c>
      <c r="F654" s="4" t="str">
        <f>_xlfn.LET(_xlpm.r, _xlfn.XLOOKUP(Clean_Data[[#This Row],[Country_Code]], Metadata_Country!$A:$A, Metadata_Country!$B:$B, "Unknown"), IF(OR(_xlpm.r=0, _xlpm.r=""), "Regional Aggregate", _xlpm.r))</f>
        <v>Latin America &amp; Caribbean</v>
      </c>
      <c r="G654" s="4" t="str">
        <f>_xlfn.LET(_xlpm.ig, _xlfn.XLOOKUP(Clean_Data[[#This Row],[Country_Code]], Metadata_Country!$A:$A, Metadata_Country!$C:$C, "Unknown"), IF(OR(_xlpm.ig=0, _xlpm.ig=""), "Regional Aggregate", _xlpm.ig))</f>
        <v>High income</v>
      </c>
      <c r="H654" s="4">
        <f>Clean_Data[[#This Row],[Exports_TIV]] - Clean_Data[[#This Row],[Imports_TIV]]</f>
        <v>-32000000</v>
      </c>
      <c r="I654" s="4">
        <f>Clean_Data[[#This Row],[Exports_TIV]] + Clean_Data[[#This Row],[Imports_TIV]]</f>
        <v>32000000</v>
      </c>
    </row>
    <row r="655" spans="1:9">
      <c r="A655" s="4" t="s">
        <v>495</v>
      </c>
      <c r="B655" s="4" t="s">
        <v>496</v>
      </c>
      <c r="C655" s="5">
        <v>2021</v>
      </c>
      <c r="D655" s="4">
        <v>0</v>
      </c>
      <c r="E655" s="4">
        <v>19000000</v>
      </c>
      <c r="F655" s="4" t="str">
        <f>_xlfn.LET(_xlpm.r, _xlfn.XLOOKUP(Clean_Data[[#This Row],[Country_Code]], Metadata_Country!$A:$A, Metadata_Country!$B:$B, "Unknown"), IF(OR(_xlpm.r=0, _xlpm.r=""), "Regional Aggregate", _xlpm.r))</f>
        <v>Middle East &amp; North Africa</v>
      </c>
      <c r="G655" s="4" t="str">
        <f>_xlfn.LET(_xlpm.ig, _xlfn.XLOOKUP(Clean_Data[[#This Row],[Country_Code]], Metadata_Country!$A:$A, Metadata_Country!$C:$C, "Unknown"), IF(OR(_xlpm.ig=0, _xlpm.ig=""), "Regional Aggregate", _xlpm.ig))</f>
        <v>Lower middle income</v>
      </c>
      <c r="H655" s="4">
        <f>Clean_Data[[#This Row],[Exports_TIV]] - Clean_Data[[#This Row],[Imports_TIV]]</f>
        <v>-19000000</v>
      </c>
      <c r="I655" s="4">
        <f>Clean_Data[[#This Row],[Exports_TIV]] + Clean_Data[[#This Row],[Imports_TIV]]</f>
        <v>19000000</v>
      </c>
    </row>
    <row r="656" spans="1:9">
      <c r="A656" s="4" t="s">
        <v>497</v>
      </c>
      <c r="B656" s="4" t="s">
        <v>498</v>
      </c>
      <c r="C656" s="5">
        <v>2021</v>
      </c>
      <c r="D656" s="4">
        <v>526000000</v>
      </c>
      <c r="E656" s="4">
        <v>249000000</v>
      </c>
      <c r="F656" s="4" t="str">
        <f>_xlfn.LET(_xlpm.r, _xlfn.XLOOKUP(Clean_Data[[#This Row],[Country_Code]], Metadata_Country!$A:$A, Metadata_Country!$B:$B, "Unknown"), IF(OR(_xlpm.r=0, _xlpm.r=""), "Regional Aggregate", _xlpm.r))</f>
        <v>Europe &amp; Central Asia</v>
      </c>
      <c r="G656" s="4" t="str">
        <f>_xlfn.LET(_xlpm.ig, _xlfn.XLOOKUP(Clean_Data[[#This Row],[Country_Code]], Metadata_Country!$A:$A, Metadata_Country!$C:$C, "Unknown"), IF(OR(_xlpm.ig=0, _xlpm.ig=""), "Regional Aggregate", _xlpm.ig))</f>
        <v>Upper middle income</v>
      </c>
      <c r="H656" s="4">
        <f>Clean_Data[[#This Row],[Exports_TIV]] - Clean_Data[[#This Row],[Imports_TIV]]</f>
        <v>277000000</v>
      </c>
      <c r="I656" s="4">
        <f>Clean_Data[[#This Row],[Exports_TIV]] + Clean_Data[[#This Row],[Imports_TIV]]</f>
        <v>775000000</v>
      </c>
    </row>
    <row r="657" spans="1:9">
      <c r="A657" s="4" t="s">
        <v>479</v>
      </c>
      <c r="B657" s="4" t="s">
        <v>480</v>
      </c>
      <c r="C657" s="5">
        <v>2021</v>
      </c>
      <c r="D657" s="4">
        <v>0</v>
      </c>
      <c r="E657" s="4">
        <v>382000000</v>
      </c>
      <c r="F657" s="4" t="str">
        <f>_xlfn.LET(_xlpm.r, _xlfn.XLOOKUP(Clean_Data[[#This Row],[Country_Code]], Metadata_Country!$A:$A, Metadata_Country!$B:$B, "Unknown"), IF(OR(_xlpm.r=0, _xlpm.r=""), "Regional Aggregate", _xlpm.r))</f>
        <v>Europe &amp; Central Asia</v>
      </c>
      <c r="G657" s="4" t="str">
        <f>_xlfn.LET(_xlpm.ig, _xlfn.XLOOKUP(Clean_Data[[#This Row],[Country_Code]], Metadata_Country!$A:$A, Metadata_Country!$C:$C, "Unknown"), IF(OR(_xlpm.ig=0, _xlpm.ig=""), "Regional Aggregate", _xlpm.ig))</f>
        <v>Upper middle income</v>
      </c>
      <c r="H657" s="4">
        <f>Clean_Data[[#This Row],[Exports_TIV]] - Clean_Data[[#This Row],[Imports_TIV]]</f>
        <v>-382000000</v>
      </c>
      <c r="I657" s="4">
        <f>Clean_Data[[#This Row],[Exports_TIV]] + Clean_Data[[#This Row],[Imports_TIV]]</f>
        <v>382000000</v>
      </c>
    </row>
    <row r="658" spans="1:9">
      <c r="A658" s="4" t="s">
        <v>503</v>
      </c>
      <c r="B658" s="4" t="s">
        <v>504</v>
      </c>
      <c r="C658" s="5">
        <v>2021</v>
      </c>
      <c r="D658" s="4">
        <v>0</v>
      </c>
      <c r="E658" s="4">
        <v>8000000</v>
      </c>
      <c r="F658" s="4" t="str">
        <f>_xlfn.LET(_xlpm.r, _xlfn.XLOOKUP(Clean_Data[[#This Row],[Country_Code]], Metadata_Country!$A:$A, Metadata_Country!$B:$B, "Unknown"), IF(OR(_xlpm.r=0, _xlpm.r=""), "Regional Aggregate", _xlpm.r))</f>
        <v>Sub-Saharan Africa</v>
      </c>
      <c r="G658" s="4" t="str">
        <f>_xlfn.LET(_xlpm.ig, _xlfn.XLOOKUP(Clean_Data[[#This Row],[Country_Code]], Metadata_Country!$A:$A, Metadata_Country!$C:$C, "Unknown"), IF(OR(_xlpm.ig=0, _xlpm.ig=""), "Regional Aggregate", _xlpm.ig))</f>
        <v>Low income</v>
      </c>
      <c r="H658" s="4">
        <f>Clean_Data[[#This Row],[Exports_TIV]] - Clean_Data[[#This Row],[Imports_TIV]]</f>
        <v>-8000000</v>
      </c>
      <c r="I658" s="4">
        <f>Clean_Data[[#This Row],[Exports_TIV]] + Clean_Data[[#This Row],[Imports_TIV]]</f>
        <v>8000000</v>
      </c>
    </row>
    <row r="659" spans="1:9">
      <c r="A659" s="4" t="s">
        <v>505</v>
      </c>
      <c r="B659" s="4" t="s">
        <v>506</v>
      </c>
      <c r="C659" s="5">
        <v>2021</v>
      </c>
      <c r="D659" s="4">
        <v>201000000</v>
      </c>
      <c r="E659" s="4">
        <v>44000000</v>
      </c>
      <c r="F659" s="4" t="str">
        <f>_xlfn.LET(_xlpm.r, _xlfn.XLOOKUP(Clean_Data[[#This Row],[Country_Code]], Metadata_Country!$A:$A, Metadata_Country!$B:$B, "Unknown"), IF(OR(_xlpm.r=0, _xlpm.r=""), "Regional Aggregate", _xlpm.r))</f>
        <v>Europe &amp; Central Asia</v>
      </c>
      <c r="G659" s="4" t="str">
        <f>_xlfn.LET(_xlpm.ig, _xlfn.XLOOKUP(Clean_Data[[#This Row],[Country_Code]], Metadata_Country!$A:$A, Metadata_Country!$C:$C, "Unknown"), IF(OR(_xlpm.ig=0, _xlpm.ig=""), "Regional Aggregate", _xlpm.ig))</f>
        <v>Upper middle income</v>
      </c>
      <c r="H659" s="4">
        <f>Clean_Data[[#This Row],[Exports_TIV]] - Clean_Data[[#This Row],[Imports_TIV]]</f>
        <v>157000000</v>
      </c>
      <c r="I659" s="4">
        <f>Clean_Data[[#This Row],[Exports_TIV]] + Clean_Data[[#This Row],[Imports_TIV]]</f>
        <v>245000000</v>
      </c>
    </row>
    <row r="660" spans="1:9">
      <c r="A660" s="4" t="s">
        <v>25</v>
      </c>
      <c r="B660" s="4" t="s">
        <v>26</v>
      </c>
      <c r="C660" s="5">
        <v>2021</v>
      </c>
      <c r="D660" s="4">
        <v>57000000</v>
      </c>
      <c r="E660" s="4">
        <v>577000000</v>
      </c>
      <c r="F660" s="4" t="str">
        <f>_xlfn.LET(_xlpm.r, _xlfn.XLOOKUP(Clean_Data[[#This Row],[Country_Code]], Metadata_Country!$A:$A, Metadata_Country!$B:$B, "Unknown"), IF(OR(_xlpm.r=0, _xlpm.r=""), "Regional Aggregate", _xlpm.r))</f>
        <v>Middle East &amp; North Africa</v>
      </c>
      <c r="G660" s="4" t="str">
        <f>_xlfn.LET(_xlpm.ig, _xlfn.XLOOKUP(Clean_Data[[#This Row],[Country_Code]], Metadata_Country!$A:$A, Metadata_Country!$C:$C, "Unknown"), IF(OR(_xlpm.ig=0, _xlpm.ig=""), "Regional Aggregate", _xlpm.ig))</f>
        <v>High income</v>
      </c>
      <c r="H660" s="4">
        <f>Clean_Data[[#This Row],[Exports_TIV]] - Clean_Data[[#This Row],[Imports_TIV]]</f>
        <v>-520000000</v>
      </c>
      <c r="I660" s="4">
        <f>Clean_Data[[#This Row],[Exports_TIV]] + Clean_Data[[#This Row],[Imports_TIV]]</f>
        <v>634000000</v>
      </c>
    </row>
    <row r="661" spans="1:9">
      <c r="A661" s="4" t="s">
        <v>171</v>
      </c>
      <c r="B661" s="4" t="s">
        <v>172</v>
      </c>
      <c r="C661" s="5">
        <v>2021</v>
      </c>
      <c r="D661" s="4">
        <v>639000000</v>
      </c>
      <c r="E661" s="4">
        <v>886000000</v>
      </c>
      <c r="F661" s="4" t="str">
        <f>_xlfn.LET(_xlpm.r, _xlfn.XLOOKUP(Clean_Data[[#This Row],[Country_Code]], Metadata_Country!$A:$A, Metadata_Country!$B:$B, "Unknown"), IF(OR(_xlpm.r=0, _xlpm.r=""), "Regional Aggregate", _xlpm.r))</f>
        <v>Europe &amp; Central Asia</v>
      </c>
      <c r="G661" s="4" t="str">
        <f>_xlfn.LET(_xlpm.ig, _xlfn.XLOOKUP(Clean_Data[[#This Row],[Country_Code]], Metadata_Country!$A:$A, Metadata_Country!$C:$C, "Unknown"), IF(OR(_xlpm.ig=0, _xlpm.ig=""), "Regional Aggregate", _xlpm.ig))</f>
        <v>High income</v>
      </c>
      <c r="H661" s="4">
        <f>Clean_Data[[#This Row],[Exports_TIV]] - Clean_Data[[#This Row],[Imports_TIV]]</f>
        <v>-247000000</v>
      </c>
      <c r="I661" s="4">
        <f>Clean_Data[[#This Row],[Exports_TIV]] + Clean_Data[[#This Row],[Imports_TIV]]</f>
        <v>1525000000</v>
      </c>
    </row>
    <row r="662" spans="1:9">
      <c r="A662" s="4" t="s">
        <v>511</v>
      </c>
      <c r="B662" s="4" t="s">
        <v>512</v>
      </c>
      <c r="C662" s="5">
        <v>2021</v>
      </c>
      <c r="D662" s="4">
        <v>11601000000</v>
      </c>
      <c r="E662" s="4">
        <v>922000000</v>
      </c>
      <c r="F662" s="4" t="str">
        <f>_xlfn.LET(_xlpm.r, _xlfn.XLOOKUP(Clean_Data[[#This Row],[Country_Code]], Metadata_Country!$A:$A, Metadata_Country!$B:$B, "Unknown"), IF(OR(_xlpm.r=0, _xlpm.r=""), "Regional Aggregate", _xlpm.r))</f>
        <v>North America</v>
      </c>
      <c r="G662" s="4" t="str">
        <f>_xlfn.LET(_xlpm.ig, _xlfn.XLOOKUP(Clean_Data[[#This Row],[Country_Code]], Metadata_Country!$A:$A, Metadata_Country!$C:$C, "Unknown"), IF(OR(_xlpm.ig=0, _xlpm.ig=""), "Regional Aggregate", _xlpm.ig))</f>
        <v>High income</v>
      </c>
      <c r="H662" s="4">
        <f>Clean_Data[[#This Row],[Exports_TIV]] - Clean_Data[[#This Row],[Imports_TIV]]</f>
        <v>10679000000</v>
      </c>
      <c r="I662" s="4">
        <f>Clean_Data[[#This Row],[Exports_TIV]] + Clean_Data[[#This Row],[Imports_TIV]]</f>
        <v>12523000000</v>
      </c>
    </row>
    <row r="663" spans="1:9">
      <c r="A663" s="4" t="s">
        <v>507</v>
      </c>
      <c r="B663" s="4" t="s">
        <v>508</v>
      </c>
      <c r="C663" s="5">
        <v>2021</v>
      </c>
      <c r="D663" s="4">
        <v>2510000000</v>
      </c>
      <c r="E663" s="4">
        <v>3858000000</v>
      </c>
      <c r="F663" s="4" t="str">
        <f>_xlfn.LET(_xlpm.r, _xlfn.XLOOKUP(Clean_Data[[#This Row],[Country_Code]], Metadata_Country!$A:$A, Metadata_Country!$B:$B, "Unknown"), IF(OR(_xlpm.r=0, _xlpm.r=""), "Regional Aggregate", _xlpm.r))</f>
        <v>Regional Aggregate</v>
      </c>
      <c r="G663" s="4" t="str">
        <f>_xlfn.LET(_xlpm.ig, _xlfn.XLOOKUP(Clean_Data[[#This Row],[Country_Code]], Metadata_Country!$A:$A, Metadata_Country!$C:$C, "Unknown"), IF(OR(_xlpm.ig=0, _xlpm.ig=""), "Regional Aggregate", _xlpm.ig))</f>
        <v>Regional Aggregate</v>
      </c>
      <c r="H663" s="4">
        <f>Clean_Data[[#This Row],[Exports_TIV]] - Clean_Data[[#This Row],[Imports_TIV]]</f>
        <v>-1348000000</v>
      </c>
      <c r="I663" s="4">
        <f>Clean_Data[[#This Row],[Exports_TIV]] + Clean_Data[[#This Row],[Imports_TIV]]</f>
        <v>6368000000</v>
      </c>
    </row>
    <row r="664" spans="1:9">
      <c r="A664" s="4" t="s">
        <v>509</v>
      </c>
      <c r="B664" s="4" t="s">
        <v>510</v>
      </c>
      <c r="C664" s="5">
        <v>2021</v>
      </c>
      <c r="D664" s="4">
        <v>0</v>
      </c>
      <c r="E664" s="4">
        <v>3000000</v>
      </c>
      <c r="F664" s="4" t="str">
        <f>_xlfn.LET(_xlpm.r, _xlfn.XLOOKUP(Clean_Data[[#This Row],[Country_Code]], Metadata_Country!$A:$A, Metadata_Country!$B:$B, "Unknown"), IF(OR(_xlpm.r=0, _xlpm.r=""), "Regional Aggregate", _xlpm.r))</f>
        <v>Latin America &amp; Caribbean</v>
      </c>
      <c r="G664" s="4" t="str">
        <f>_xlfn.LET(_xlpm.ig, _xlfn.XLOOKUP(Clean_Data[[#This Row],[Country_Code]], Metadata_Country!$A:$A, Metadata_Country!$C:$C, "Unknown"), IF(OR(_xlpm.ig=0, _xlpm.ig=""), "Regional Aggregate", _xlpm.ig))</f>
        <v>High income</v>
      </c>
      <c r="H664" s="4">
        <f>Clean_Data[[#This Row],[Exports_TIV]] - Clean_Data[[#This Row],[Imports_TIV]]</f>
        <v>-3000000</v>
      </c>
      <c r="I664" s="4">
        <f>Clean_Data[[#This Row],[Exports_TIV]] + Clean_Data[[#This Row],[Imports_TIV]]</f>
        <v>3000000</v>
      </c>
    </row>
    <row r="665" spans="1:9">
      <c r="A665" s="4" t="s">
        <v>513</v>
      </c>
      <c r="B665" s="4" t="s">
        <v>514</v>
      </c>
      <c r="C665" s="5">
        <v>2021</v>
      </c>
      <c r="D665" s="4">
        <v>0</v>
      </c>
      <c r="E665" s="4">
        <v>14000000</v>
      </c>
      <c r="F665" s="4" t="str">
        <f>_xlfn.LET(_xlpm.r, _xlfn.XLOOKUP(Clean_Data[[#This Row],[Country_Code]], Metadata_Country!$A:$A, Metadata_Country!$B:$B, "Unknown"), IF(OR(_xlpm.r=0, _xlpm.r=""), "Regional Aggregate", _xlpm.r))</f>
        <v>Europe &amp; Central Asia</v>
      </c>
      <c r="G665" s="4" t="str">
        <f>_xlfn.LET(_xlpm.ig, _xlfn.XLOOKUP(Clean_Data[[#This Row],[Country_Code]], Metadata_Country!$A:$A, Metadata_Country!$C:$C, "Unknown"), IF(OR(_xlpm.ig=0, _xlpm.ig=""), "Regional Aggregate", _xlpm.ig))</f>
        <v>Lower middle income</v>
      </c>
      <c r="H665" s="4">
        <f>Clean_Data[[#This Row],[Exports_TIV]] - Clean_Data[[#This Row],[Imports_TIV]]</f>
        <v>-14000000</v>
      </c>
      <c r="I665" s="4">
        <f>Clean_Data[[#This Row],[Exports_TIV]] + Clean_Data[[#This Row],[Imports_TIV]]</f>
        <v>14000000</v>
      </c>
    </row>
    <row r="666" spans="1:9">
      <c r="A666" s="4" t="s">
        <v>525</v>
      </c>
      <c r="B666" s="4" t="s">
        <v>526</v>
      </c>
      <c r="C666" s="5">
        <v>2021</v>
      </c>
      <c r="D666" s="4">
        <v>0</v>
      </c>
      <c r="E666" s="4">
        <v>7000000</v>
      </c>
      <c r="F666" s="4" t="str">
        <f>_xlfn.LET(_xlpm.r, _xlfn.XLOOKUP(Clean_Data[[#This Row],[Country_Code]], Metadata_Country!$A:$A, Metadata_Country!$B:$B, "Unknown"), IF(OR(_xlpm.r=0, _xlpm.r=""), "Regional Aggregate", _xlpm.r))</f>
        <v>East Asia &amp; Pacific</v>
      </c>
      <c r="G666" s="4" t="str">
        <f>_xlfn.LET(_xlpm.ig, _xlfn.XLOOKUP(Clean_Data[[#This Row],[Country_Code]], Metadata_Country!$A:$A, Metadata_Country!$C:$C, "Unknown"), IF(OR(_xlpm.ig=0, _xlpm.ig=""), "Regional Aggregate", _xlpm.ig))</f>
        <v>Lower middle income</v>
      </c>
      <c r="H666" s="4">
        <f>Clean_Data[[#This Row],[Exports_TIV]] - Clean_Data[[#This Row],[Imports_TIV]]</f>
        <v>-7000000</v>
      </c>
      <c r="I666" s="4">
        <f>Clean_Data[[#This Row],[Exports_TIV]] + Clean_Data[[#This Row],[Imports_TIV]]</f>
        <v>7000000</v>
      </c>
    </row>
    <row r="667" spans="1:9">
      <c r="A667" s="4" t="s">
        <v>523</v>
      </c>
      <c r="B667" s="4" t="s">
        <v>524</v>
      </c>
      <c r="C667" s="5">
        <v>2021</v>
      </c>
      <c r="D667" s="4">
        <v>0</v>
      </c>
      <c r="E667" s="4">
        <v>235000000</v>
      </c>
      <c r="F667" s="4" t="str">
        <f>_xlfn.LET(_xlpm.r, _xlfn.XLOOKUP(Clean_Data[[#This Row],[Country_Code]], Metadata_Country!$A:$A, Metadata_Country!$B:$B, "Unknown"), IF(OR(_xlpm.r=0, _xlpm.r=""), "Regional Aggregate", _xlpm.r))</f>
        <v>East Asia &amp; Pacific</v>
      </c>
      <c r="G667" s="4" t="str">
        <f>_xlfn.LET(_xlpm.ig, _xlfn.XLOOKUP(Clean_Data[[#This Row],[Country_Code]], Metadata_Country!$A:$A, Metadata_Country!$C:$C, "Unknown"), IF(OR(_xlpm.ig=0, _xlpm.ig=""), "Regional Aggregate", _xlpm.ig))</f>
        <v>Upper middle income</v>
      </c>
      <c r="H667" s="4">
        <f>Clean_Data[[#This Row],[Exports_TIV]] - Clean_Data[[#This Row],[Imports_TIV]]</f>
        <v>-235000000</v>
      </c>
      <c r="I667" s="4">
        <f>Clean_Data[[#This Row],[Exports_TIV]] + Clean_Data[[#This Row],[Imports_TIV]]</f>
        <v>235000000</v>
      </c>
    </row>
    <row r="668" spans="1:9">
      <c r="A668" s="4" t="s">
        <v>527</v>
      </c>
      <c r="B668" s="4" t="s">
        <v>528</v>
      </c>
      <c r="C668" s="5">
        <v>2021</v>
      </c>
      <c r="D668" s="4">
        <v>27084000000</v>
      </c>
      <c r="E668" s="4">
        <v>26840000000</v>
      </c>
      <c r="F668" s="4" t="str">
        <f>_xlfn.LET(_xlpm.r, _xlfn.XLOOKUP(Clean_Data[[#This Row],[Country_Code]], Metadata_Country!$A:$A, Metadata_Country!$B:$B, "Unknown"), IF(OR(_xlpm.r=0, _xlpm.r=""), "Regional Aggregate", _xlpm.r))</f>
        <v>Regional Aggregate</v>
      </c>
      <c r="G668" s="4" t="str">
        <f>_xlfn.LET(_xlpm.ig, _xlfn.XLOOKUP(Clean_Data[[#This Row],[Country_Code]], Metadata_Country!$A:$A, Metadata_Country!$C:$C, "Unknown"), IF(OR(_xlpm.ig=0, _xlpm.ig=""), "Regional Aggregate", _xlpm.ig))</f>
        <v>Regional Aggregate</v>
      </c>
      <c r="H668" s="4">
        <f>Clean_Data[[#This Row],[Exports_TIV]] - Clean_Data[[#This Row],[Imports_TIV]]</f>
        <v>244000000</v>
      </c>
      <c r="I668" s="4">
        <f>Clean_Data[[#This Row],[Exports_TIV]] + Clean_Data[[#This Row],[Imports_TIV]]</f>
        <v>53924000000</v>
      </c>
    </row>
    <row r="669" spans="1:9">
      <c r="A669" s="4" t="s">
        <v>537</v>
      </c>
      <c r="B669" s="4" t="s">
        <v>538</v>
      </c>
      <c r="C669" s="5">
        <v>2021</v>
      </c>
      <c r="D669" s="4">
        <v>0</v>
      </c>
      <c r="E669" s="4">
        <v>20000000</v>
      </c>
      <c r="F669" s="4" t="str">
        <f>_xlfn.LET(_xlpm.r, _xlfn.XLOOKUP(Clean_Data[[#This Row],[Country_Code]], Metadata_Country!$A:$A, Metadata_Country!$B:$B, "Unknown"), IF(OR(_xlpm.r=0, _xlpm.r=""), "Regional Aggregate", _xlpm.r))</f>
        <v>Sub-Saharan Africa</v>
      </c>
      <c r="G669" s="4" t="str">
        <f>_xlfn.LET(_xlpm.ig, _xlfn.XLOOKUP(Clean_Data[[#This Row],[Country_Code]], Metadata_Country!$A:$A, Metadata_Country!$C:$C, "Unknown"), IF(OR(_xlpm.ig=0, _xlpm.ig=""), "Regional Aggregate", _xlpm.ig))</f>
        <v>Lower middle income</v>
      </c>
      <c r="H669" s="4">
        <f>Clean_Data[[#This Row],[Exports_TIV]] - Clean_Data[[#This Row],[Imports_TIV]]</f>
        <v>-20000000</v>
      </c>
      <c r="I669" s="4">
        <f>Clean_Data[[#This Row],[Exports_TIV]] + Clean_Data[[#This Row],[Imports_TIV]]</f>
        <v>20000000</v>
      </c>
    </row>
    <row r="670" spans="1:9">
      <c r="A670" s="4" t="s">
        <v>13</v>
      </c>
      <c r="B670" s="4" t="s">
        <v>14</v>
      </c>
      <c r="C670" s="5">
        <v>2020</v>
      </c>
      <c r="D670" s="4">
        <v>0</v>
      </c>
      <c r="E670" s="4">
        <v>231000000</v>
      </c>
      <c r="F670" s="4" t="str">
        <f>_xlfn.LET(_xlpm.r, _xlfn.XLOOKUP(Clean_Data[[#This Row],[Country_Code]], Metadata_Country!$A:$A, Metadata_Country!$B:$B, "Unknown"), IF(OR(_xlpm.r=0, _xlpm.r=""), "Regional Aggregate", _xlpm.r))</f>
        <v>Middle East &amp; North Africa</v>
      </c>
      <c r="G670" s="4" t="str">
        <f>_xlfn.LET(_xlpm.ig, _xlfn.XLOOKUP(Clean_Data[[#This Row],[Country_Code]], Metadata_Country!$A:$A, Metadata_Country!$C:$C, "Unknown"), IF(OR(_xlpm.ig=0, _xlpm.ig=""), "Regional Aggregate", _xlpm.ig))</f>
        <v>Low income</v>
      </c>
      <c r="H670" s="4">
        <f>Clean_Data[[#This Row],[Exports_TIV]] - Clean_Data[[#This Row],[Imports_TIV]]</f>
        <v>-231000000</v>
      </c>
      <c r="I670" s="4">
        <f>Clean_Data[[#This Row],[Exports_TIV]] + Clean_Data[[#This Row],[Imports_TIV]]</f>
        <v>231000000</v>
      </c>
    </row>
    <row r="671" spans="1:9">
      <c r="A671" s="4" t="s">
        <v>15</v>
      </c>
      <c r="B671" s="4" t="s">
        <v>16</v>
      </c>
      <c r="C671" s="5">
        <v>2020</v>
      </c>
      <c r="D671" s="4">
        <v>0</v>
      </c>
      <c r="E671" s="4">
        <v>205000000</v>
      </c>
      <c r="F671" s="4" t="str">
        <f>_xlfn.LET(_xlpm.r, _xlfn.XLOOKUP(Clean_Data[[#This Row],[Country_Code]], Metadata_Country!$A:$A, Metadata_Country!$B:$B, "Unknown"), IF(OR(_xlpm.r=0, _xlpm.r=""), "Regional Aggregate", _xlpm.r))</f>
        <v>Regional Aggregate</v>
      </c>
      <c r="G671" s="4" t="str">
        <f>_xlfn.LET(_xlpm.ig, _xlfn.XLOOKUP(Clean_Data[[#This Row],[Country_Code]], Metadata_Country!$A:$A, Metadata_Country!$C:$C, "Unknown"), IF(OR(_xlpm.ig=0, _xlpm.ig=""), "Regional Aggregate", _xlpm.ig))</f>
        <v>Regional Aggregate</v>
      </c>
      <c r="H671" s="4">
        <f>Clean_Data[[#This Row],[Exports_TIV]] - Clean_Data[[#This Row],[Imports_TIV]]</f>
        <v>-205000000</v>
      </c>
      <c r="I671" s="4">
        <f>Clean_Data[[#This Row],[Exports_TIV]] + Clean_Data[[#This Row],[Imports_TIV]]</f>
        <v>205000000</v>
      </c>
    </row>
    <row r="672" spans="1:9">
      <c r="A672" s="4" t="s">
        <v>19</v>
      </c>
      <c r="B672" s="4" t="s">
        <v>20</v>
      </c>
      <c r="C672" s="5">
        <v>2020</v>
      </c>
      <c r="D672" s="4">
        <v>0</v>
      </c>
      <c r="E672" s="4">
        <v>12000000</v>
      </c>
      <c r="F672" s="4" t="str">
        <f>_xlfn.LET(_xlpm.r, _xlfn.XLOOKUP(Clean_Data[[#This Row],[Country_Code]], Metadata_Country!$A:$A, Metadata_Country!$B:$B, "Unknown"), IF(OR(_xlpm.r=0, _xlpm.r=""), "Regional Aggregate", _xlpm.r))</f>
        <v>Europe &amp; Central Asia</v>
      </c>
      <c r="G672" s="4" t="str">
        <f>_xlfn.LET(_xlpm.ig, _xlfn.XLOOKUP(Clean_Data[[#This Row],[Country_Code]], Metadata_Country!$A:$A, Metadata_Country!$C:$C, "Unknown"), IF(OR(_xlpm.ig=0, _xlpm.ig=""), "Regional Aggregate", _xlpm.ig))</f>
        <v>Upper middle income</v>
      </c>
      <c r="H672" s="4">
        <f>Clean_Data[[#This Row],[Exports_TIV]] - Clean_Data[[#This Row],[Imports_TIV]]</f>
        <v>-12000000</v>
      </c>
      <c r="I672" s="4">
        <f>Clean_Data[[#This Row],[Exports_TIV]] + Clean_Data[[#This Row],[Imports_TIV]]</f>
        <v>12000000</v>
      </c>
    </row>
    <row r="673" spans="1:9">
      <c r="A673" s="4" t="s">
        <v>129</v>
      </c>
      <c r="B673" s="4" t="s">
        <v>130</v>
      </c>
      <c r="C673" s="5">
        <v>2020</v>
      </c>
      <c r="D673" s="4">
        <v>0</v>
      </c>
      <c r="E673" s="4">
        <v>601000000</v>
      </c>
      <c r="F673" s="4" t="str">
        <f>_xlfn.LET(_xlpm.r, _xlfn.XLOOKUP(Clean_Data[[#This Row],[Country_Code]], Metadata_Country!$A:$A, Metadata_Country!$B:$B, "Unknown"), IF(OR(_xlpm.r=0, _xlpm.r=""), "Regional Aggregate", _xlpm.r))</f>
        <v>Middle East &amp; North Africa</v>
      </c>
      <c r="G673" s="4" t="str">
        <f>_xlfn.LET(_xlpm.ig, _xlfn.XLOOKUP(Clean_Data[[#This Row],[Country_Code]], Metadata_Country!$A:$A, Metadata_Country!$C:$C, "Unknown"), IF(OR(_xlpm.ig=0, _xlpm.ig=""), "Regional Aggregate", _xlpm.ig))</f>
        <v>Upper middle income</v>
      </c>
      <c r="H673" s="4">
        <f>Clean_Data[[#This Row],[Exports_TIV]] - Clean_Data[[#This Row],[Imports_TIV]]</f>
        <v>-601000000</v>
      </c>
      <c r="I673" s="4">
        <f>Clean_Data[[#This Row],[Exports_TIV]] + Clean_Data[[#This Row],[Imports_TIV]]</f>
        <v>601000000</v>
      </c>
    </row>
    <row r="674" spans="1:9">
      <c r="A674" s="4" t="s">
        <v>17</v>
      </c>
      <c r="B674" s="4" t="s">
        <v>18</v>
      </c>
      <c r="C674" s="5">
        <v>2020</v>
      </c>
      <c r="D674" s="4">
        <v>0</v>
      </c>
      <c r="E674" s="4">
        <v>51000000</v>
      </c>
      <c r="F674" s="4" t="str">
        <f>_xlfn.LET(_xlpm.r, _xlfn.XLOOKUP(Clean_Data[[#This Row],[Country_Code]], Metadata_Country!$A:$A, Metadata_Country!$B:$B, "Unknown"), IF(OR(_xlpm.r=0, _xlpm.r=""), "Regional Aggregate", _xlpm.r))</f>
        <v>Sub-Saharan Africa</v>
      </c>
      <c r="G674" s="4" t="str">
        <f>_xlfn.LET(_xlpm.ig, _xlfn.XLOOKUP(Clean_Data[[#This Row],[Country_Code]], Metadata_Country!$A:$A, Metadata_Country!$C:$C, "Unknown"), IF(OR(_xlpm.ig=0, _xlpm.ig=""), "Regional Aggregate", _xlpm.ig))</f>
        <v>Lower middle income</v>
      </c>
      <c r="H674" s="4">
        <f>Clean_Data[[#This Row],[Exports_TIV]] - Clean_Data[[#This Row],[Imports_TIV]]</f>
        <v>-51000000</v>
      </c>
      <c r="I674" s="4">
        <f>Clean_Data[[#This Row],[Exports_TIV]] + Clean_Data[[#This Row],[Imports_TIV]]</f>
        <v>51000000</v>
      </c>
    </row>
    <row r="675" spans="1:9">
      <c r="A675" s="4" t="s">
        <v>23</v>
      </c>
      <c r="B675" s="4" t="s">
        <v>24</v>
      </c>
      <c r="C675" s="5">
        <v>2020</v>
      </c>
      <c r="D675" s="4">
        <v>0</v>
      </c>
      <c r="E675" s="4">
        <v>6474000000</v>
      </c>
      <c r="F675" s="4" t="str">
        <f>_xlfn.LET(_xlpm.r, _xlfn.XLOOKUP(Clean_Data[[#This Row],[Country_Code]], Metadata_Country!$A:$A, Metadata_Country!$B:$B, "Unknown"), IF(OR(_xlpm.r=0, _xlpm.r=""), "Regional Aggregate", _xlpm.r))</f>
        <v>Regional Aggregate</v>
      </c>
      <c r="G675" s="4" t="str">
        <f>_xlfn.LET(_xlpm.ig, _xlfn.XLOOKUP(Clean_Data[[#This Row],[Country_Code]], Metadata_Country!$A:$A, Metadata_Country!$C:$C, "Unknown"), IF(OR(_xlpm.ig=0, _xlpm.ig=""), "Regional Aggregate", _xlpm.ig))</f>
        <v>Regional Aggregate</v>
      </c>
      <c r="H675" s="4">
        <f>Clean_Data[[#This Row],[Exports_TIV]] - Clean_Data[[#This Row],[Imports_TIV]]</f>
        <v>-6474000000</v>
      </c>
      <c r="I675" s="4">
        <f>Clean_Data[[#This Row],[Exports_TIV]] + Clean_Data[[#This Row],[Imports_TIV]]</f>
        <v>6474000000</v>
      </c>
    </row>
    <row r="676" spans="1:9">
      <c r="A676" s="4" t="s">
        <v>27</v>
      </c>
      <c r="B676" s="4" t="s">
        <v>28</v>
      </c>
      <c r="C676" s="5">
        <v>2020</v>
      </c>
      <c r="D676" s="4">
        <v>0</v>
      </c>
      <c r="E676" s="4">
        <v>7000000</v>
      </c>
      <c r="F676" s="4" t="str">
        <f>_xlfn.LET(_xlpm.r, _xlfn.XLOOKUP(Clean_Data[[#This Row],[Country_Code]], Metadata_Country!$A:$A, Metadata_Country!$B:$B, "Unknown"), IF(OR(_xlpm.r=0, _xlpm.r=""), "Regional Aggregate", _xlpm.r))</f>
        <v>Latin America &amp; Caribbean</v>
      </c>
      <c r="G676" s="4" t="str">
        <f>_xlfn.LET(_xlpm.ig, _xlfn.XLOOKUP(Clean_Data[[#This Row],[Country_Code]], Metadata_Country!$A:$A, Metadata_Country!$C:$C, "Unknown"), IF(OR(_xlpm.ig=0, _xlpm.ig=""), "Regional Aggregate", _xlpm.ig))</f>
        <v>Upper middle income</v>
      </c>
      <c r="H676" s="4">
        <f>Clean_Data[[#This Row],[Exports_TIV]] - Clean_Data[[#This Row],[Imports_TIV]]</f>
        <v>-7000000</v>
      </c>
      <c r="I676" s="4">
        <f>Clean_Data[[#This Row],[Exports_TIV]] + Clean_Data[[#This Row],[Imports_TIV]]</f>
        <v>7000000</v>
      </c>
    </row>
    <row r="677" spans="1:9">
      <c r="A677" s="4" t="s">
        <v>35</v>
      </c>
      <c r="B677" s="4" t="s">
        <v>36</v>
      </c>
      <c r="C677" s="5">
        <v>2020</v>
      </c>
      <c r="D677" s="4">
        <v>406000000</v>
      </c>
      <c r="E677" s="4">
        <v>1632000000</v>
      </c>
      <c r="F677" s="4" t="str">
        <f>_xlfn.LET(_xlpm.r, _xlfn.XLOOKUP(Clean_Data[[#This Row],[Country_Code]], Metadata_Country!$A:$A, Metadata_Country!$B:$B, "Unknown"), IF(OR(_xlpm.r=0, _xlpm.r=""), "Regional Aggregate", _xlpm.r))</f>
        <v>East Asia &amp; Pacific</v>
      </c>
      <c r="G677" s="4" t="str">
        <f>_xlfn.LET(_xlpm.ig, _xlfn.XLOOKUP(Clean_Data[[#This Row],[Country_Code]], Metadata_Country!$A:$A, Metadata_Country!$C:$C, "Unknown"), IF(OR(_xlpm.ig=0, _xlpm.ig=""), "Regional Aggregate", _xlpm.ig))</f>
        <v>High income</v>
      </c>
      <c r="H677" s="4">
        <f>Clean_Data[[#This Row],[Exports_TIV]] - Clean_Data[[#This Row],[Imports_TIV]]</f>
        <v>-1226000000</v>
      </c>
      <c r="I677" s="4">
        <f>Clean_Data[[#This Row],[Exports_TIV]] + Clean_Data[[#This Row],[Imports_TIV]]</f>
        <v>2038000000</v>
      </c>
    </row>
    <row r="678" spans="1:9">
      <c r="A678" s="4" t="s">
        <v>37</v>
      </c>
      <c r="B678" s="4" t="s">
        <v>38</v>
      </c>
      <c r="C678" s="5">
        <v>2020</v>
      </c>
      <c r="D678" s="4">
        <v>10000000</v>
      </c>
      <c r="E678" s="4">
        <v>14000000</v>
      </c>
      <c r="F678" s="4" t="str">
        <f>_xlfn.LET(_xlpm.r, _xlfn.XLOOKUP(Clean_Data[[#This Row],[Country_Code]], Metadata_Country!$A:$A, Metadata_Country!$B:$B, "Unknown"), IF(OR(_xlpm.r=0, _xlpm.r=""), "Regional Aggregate", _xlpm.r))</f>
        <v>Europe &amp; Central Asia</v>
      </c>
      <c r="G678" s="4" t="str">
        <f>_xlfn.LET(_xlpm.ig, _xlfn.XLOOKUP(Clean_Data[[#This Row],[Country_Code]], Metadata_Country!$A:$A, Metadata_Country!$C:$C, "Unknown"), IF(OR(_xlpm.ig=0, _xlpm.ig=""), "Regional Aggregate", _xlpm.ig))</f>
        <v>High income</v>
      </c>
      <c r="H678" s="4">
        <f>Clean_Data[[#This Row],[Exports_TIV]] - Clean_Data[[#This Row],[Imports_TIV]]</f>
        <v>-4000000</v>
      </c>
      <c r="I678" s="4">
        <f>Clean_Data[[#This Row],[Exports_TIV]] + Clean_Data[[#This Row],[Imports_TIV]]</f>
        <v>24000000</v>
      </c>
    </row>
    <row r="679" spans="1:9">
      <c r="A679" s="4" t="s">
        <v>39</v>
      </c>
      <c r="B679" s="4" t="s">
        <v>40</v>
      </c>
      <c r="C679" s="5">
        <v>2020</v>
      </c>
      <c r="D679" s="4">
        <v>0</v>
      </c>
      <c r="E679" s="4">
        <v>51000000</v>
      </c>
      <c r="F679" s="4" t="str">
        <f>_xlfn.LET(_xlpm.r, _xlfn.XLOOKUP(Clean_Data[[#This Row],[Country_Code]], Metadata_Country!$A:$A, Metadata_Country!$B:$B, "Unknown"), IF(OR(_xlpm.r=0, _xlpm.r=""), "Regional Aggregate", _xlpm.r))</f>
        <v>Europe &amp; Central Asia</v>
      </c>
      <c r="G679" s="4" t="str">
        <f>_xlfn.LET(_xlpm.ig, _xlfn.XLOOKUP(Clean_Data[[#This Row],[Country_Code]], Metadata_Country!$A:$A, Metadata_Country!$C:$C, "Unknown"), IF(OR(_xlpm.ig=0, _xlpm.ig=""), "Regional Aggregate", _xlpm.ig))</f>
        <v>Upper middle income</v>
      </c>
      <c r="H679" s="4">
        <f>Clean_Data[[#This Row],[Exports_TIV]] - Clean_Data[[#This Row],[Imports_TIV]]</f>
        <v>-51000000</v>
      </c>
      <c r="I679" s="4">
        <f>Clean_Data[[#This Row],[Exports_TIV]] + Clean_Data[[#This Row],[Imports_TIV]]</f>
        <v>51000000</v>
      </c>
    </row>
    <row r="680" spans="1:9">
      <c r="A680" s="4" t="s">
        <v>53</v>
      </c>
      <c r="B680" s="4" t="s">
        <v>54</v>
      </c>
      <c r="C680" s="5">
        <v>2020</v>
      </c>
      <c r="D680" s="4">
        <v>0</v>
      </c>
      <c r="E680" s="4">
        <v>27000000</v>
      </c>
      <c r="F680" s="4" t="str">
        <f>_xlfn.LET(_xlpm.r, _xlfn.XLOOKUP(Clean_Data[[#This Row],[Country_Code]], Metadata_Country!$A:$A, Metadata_Country!$B:$B, "Unknown"), IF(OR(_xlpm.r=0, _xlpm.r=""), "Regional Aggregate", _xlpm.r))</f>
        <v>Middle East &amp; North Africa</v>
      </c>
      <c r="G680" s="4" t="str">
        <f>_xlfn.LET(_xlpm.ig, _xlfn.XLOOKUP(Clean_Data[[#This Row],[Country_Code]], Metadata_Country!$A:$A, Metadata_Country!$C:$C, "Unknown"), IF(OR(_xlpm.ig=0, _xlpm.ig=""), "Regional Aggregate", _xlpm.ig))</f>
        <v>High income</v>
      </c>
      <c r="H680" s="4">
        <f>Clean_Data[[#This Row],[Exports_TIV]] - Clean_Data[[#This Row],[Imports_TIV]]</f>
        <v>-27000000</v>
      </c>
      <c r="I680" s="4">
        <f>Clean_Data[[#This Row],[Exports_TIV]] + Clean_Data[[#This Row],[Imports_TIV]]</f>
        <v>27000000</v>
      </c>
    </row>
    <row r="681" spans="1:9">
      <c r="A681" s="4" t="s">
        <v>49</v>
      </c>
      <c r="B681" s="4" t="s">
        <v>50</v>
      </c>
      <c r="C681" s="5">
        <v>2020</v>
      </c>
      <c r="D681" s="4">
        <v>0</v>
      </c>
      <c r="E681" s="4">
        <v>70000000</v>
      </c>
      <c r="F681" s="4" t="str">
        <f>_xlfn.LET(_xlpm.r, _xlfn.XLOOKUP(Clean_Data[[#This Row],[Country_Code]], Metadata_Country!$A:$A, Metadata_Country!$B:$B, "Unknown"), IF(OR(_xlpm.r=0, _xlpm.r=""), "Regional Aggregate", _xlpm.r))</f>
        <v>South Asia</v>
      </c>
      <c r="G681" s="4" t="str">
        <f>_xlfn.LET(_xlpm.ig, _xlfn.XLOOKUP(Clean_Data[[#This Row],[Country_Code]], Metadata_Country!$A:$A, Metadata_Country!$C:$C, "Unknown"), IF(OR(_xlpm.ig=0, _xlpm.ig=""), "Regional Aggregate", _xlpm.ig))</f>
        <v>Lower middle income</v>
      </c>
      <c r="H681" s="4">
        <f>Clean_Data[[#This Row],[Exports_TIV]] - Clean_Data[[#This Row],[Imports_TIV]]</f>
        <v>-70000000</v>
      </c>
      <c r="I681" s="4">
        <f>Clean_Data[[#This Row],[Exports_TIV]] + Clean_Data[[#This Row],[Imports_TIV]]</f>
        <v>70000000</v>
      </c>
    </row>
    <row r="682" spans="1:9">
      <c r="A682" s="4" t="s">
        <v>59</v>
      </c>
      <c r="B682" s="4" t="s">
        <v>60</v>
      </c>
      <c r="C682" s="5">
        <v>2020</v>
      </c>
      <c r="D682" s="4">
        <v>59000000</v>
      </c>
      <c r="E682" s="4">
        <v>13000000</v>
      </c>
      <c r="F682" s="4" t="str">
        <f>_xlfn.LET(_xlpm.r, _xlfn.XLOOKUP(Clean_Data[[#This Row],[Country_Code]], Metadata_Country!$A:$A, Metadata_Country!$B:$B, "Unknown"), IF(OR(_xlpm.r=0, _xlpm.r=""), "Regional Aggregate", _xlpm.r))</f>
        <v>Europe &amp; Central Asia</v>
      </c>
      <c r="G682" s="4" t="str">
        <f>_xlfn.LET(_xlpm.ig, _xlfn.XLOOKUP(Clean_Data[[#This Row],[Country_Code]], Metadata_Country!$A:$A, Metadata_Country!$C:$C, "Unknown"), IF(OR(_xlpm.ig=0, _xlpm.ig=""), "Regional Aggregate", _xlpm.ig))</f>
        <v>Upper middle income</v>
      </c>
      <c r="H682" s="4">
        <f>Clean_Data[[#This Row],[Exports_TIV]] - Clean_Data[[#This Row],[Imports_TIV]]</f>
        <v>46000000</v>
      </c>
      <c r="I682" s="4">
        <f>Clean_Data[[#This Row],[Exports_TIV]] + Clean_Data[[#This Row],[Imports_TIV]]</f>
        <v>72000000</v>
      </c>
    </row>
    <row r="683" spans="1:9">
      <c r="A683" s="4" t="s">
        <v>43</v>
      </c>
      <c r="B683" s="4" t="s">
        <v>44</v>
      </c>
      <c r="C683" s="5">
        <v>2020</v>
      </c>
      <c r="D683" s="4">
        <v>19000000</v>
      </c>
      <c r="E683" s="4">
        <v>90000000</v>
      </c>
      <c r="F683" s="4" t="str">
        <f>_xlfn.LET(_xlpm.r, _xlfn.XLOOKUP(Clean_Data[[#This Row],[Country_Code]], Metadata_Country!$A:$A, Metadata_Country!$B:$B, "Unknown"), IF(OR(_xlpm.r=0, _xlpm.r=""), "Regional Aggregate", _xlpm.r))</f>
        <v>Europe &amp; Central Asia</v>
      </c>
      <c r="G683" s="4" t="str">
        <f>_xlfn.LET(_xlpm.ig, _xlfn.XLOOKUP(Clean_Data[[#This Row],[Country_Code]], Metadata_Country!$A:$A, Metadata_Country!$C:$C, "Unknown"), IF(OR(_xlpm.ig=0, _xlpm.ig=""), "Regional Aggregate", _xlpm.ig))</f>
        <v>High income</v>
      </c>
      <c r="H683" s="4">
        <f>Clean_Data[[#This Row],[Exports_TIV]] - Clean_Data[[#This Row],[Imports_TIV]]</f>
        <v>-71000000</v>
      </c>
      <c r="I683" s="4">
        <f>Clean_Data[[#This Row],[Exports_TIV]] + Clean_Data[[#This Row],[Imports_TIV]]</f>
        <v>109000000</v>
      </c>
    </row>
    <row r="684" spans="1:9">
      <c r="A684" s="4" t="s">
        <v>45</v>
      </c>
      <c r="B684" s="4" t="s">
        <v>46</v>
      </c>
      <c r="C684" s="5">
        <v>2020</v>
      </c>
      <c r="D684" s="4">
        <v>0</v>
      </c>
      <c r="E684" s="4">
        <v>1000000</v>
      </c>
      <c r="F684" s="4" t="str">
        <f>_xlfn.LET(_xlpm.r, _xlfn.XLOOKUP(Clean_Data[[#This Row],[Country_Code]], Metadata_Country!$A:$A, Metadata_Country!$B:$B, "Unknown"), IF(OR(_xlpm.r=0, _xlpm.r=""), "Regional Aggregate", _xlpm.r))</f>
        <v>Sub-Saharan Africa</v>
      </c>
      <c r="G684" s="4" t="str">
        <f>_xlfn.LET(_xlpm.ig, _xlfn.XLOOKUP(Clean_Data[[#This Row],[Country_Code]], Metadata_Country!$A:$A, Metadata_Country!$C:$C, "Unknown"), IF(OR(_xlpm.ig=0, _xlpm.ig=""), "Regional Aggregate", _xlpm.ig))</f>
        <v>Lower middle income</v>
      </c>
      <c r="H684" s="4">
        <f>Clean_Data[[#This Row],[Exports_TIV]] - Clean_Data[[#This Row],[Imports_TIV]]</f>
        <v>-1000000</v>
      </c>
      <c r="I684" s="4">
        <f>Clean_Data[[#This Row],[Exports_TIV]] + Clean_Data[[#This Row],[Imports_TIV]]</f>
        <v>1000000</v>
      </c>
    </row>
    <row r="685" spans="1:9">
      <c r="A685" s="4" t="s">
        <v>65</v>
      </c>
      <c r="B685" s="4" t="s">
        <v>66</v>
      </c>
      <c r="C685" s="5">
        <v>2020</v>
      </c>
      <c r="D685" s="4">
        <v>0</v>
      </c>
      <c r="E685" s="4">
        <v>26000000</v>
      </c>
      <c r="F685" s="4" t="str">
        <f>_xlfn.LET(_xlpm.r, _xlfn.XLOOKUP(Clean_Data[[#This Row],[Country_Code]], Metadata_Country!$A:$A, Metadata_Country!$B:$B, "Unknown"), IF(OR(_xlpm.r=0, _xlpm.r=""), "Regional Aggregate", _xlpm.r))</f>
        <v>Latin America &amp; Caribbean</v>
      </c>
      <c r="G685" s="4" t="str">
        <f>_xlfn.LET(_xlpm.ig, _xlfn.XLOOKUP(Clean_Data[[#This Row],[Country_Code]], Metadata_Country!$A:$A, Metadata_Country!$C:$C, "Unknown"), IF(OR(_xlpm.ig=0, _xlpm.ig=""), "Regional Aggregate", _xlpm.ig))</f>
        <v>Lower middle income</v>
      </c>
      <c r="H685" s="4">
        <f>Clean_Data[[#This Row],[Exports_TIV]] - Clean_Data[[#This Row],[Imports_TIV]]</f>
        <v>-26000000</v>
      </c>
      <c r="I685" s="4">
        <f>Clean_Data[[#This Row],[Exports_TIV]] + Clean_Data[[#This Row],[Imports_TIV]]</f>
        <v>26000000</v>
      </c>
    </row>
    <row r="686" spans="1:9">
      <c r="A686" s="4" t="s">
        <v>57</v>
      </c>
      <c r="B686" s="4" t="s">
        <v>58</v>
      </c>
      <c r="C686" s="5">
        <v>2020</v>
      </c>
      <c r="D686" s="4">
        <v>0</v>
      </c>
      <c r="E686" s="4">
        <v>0</v>
      </c>
      <c r="F686" s="4" t="str">
        <f>_xlfn.LET(_xlpm.r, _xlfn.XLOOKUP(Clean_Data[[#This Row],[Country_Code]], Metadata_Country!$A:$A, Metadata_Country!$B:$B, "Unknown"), IF(OR(_xlpm.r=0, _xlpm.r=""), "Regional Aggregate", _xlpm.r))</f>
        <v>Europe &amp; Central Asia</v>
      </c>
      <c r="G686" s="4" t="str">
        <f>_xlfn.LET(_xlpm.ig, _xlfn.XLOOKUP(Clean_Data[[#This Row],[Country_Code]], Metadata_Country!$A:$A, Metadata_Country!$C:$C, "Unknown"), IF(OR(_xlpm.ig=0, _xlpm.ig=""), "Regional Aggregate", _xlpm.ig))</f>
        <v>Upper middle income</v>
      </c>
      <c r="H686" s="4">
        <f>Clean_Data[[#This Row],[Exports_TIV]] - Clean_Data[[#This Row],[Imports_TIV]]</f>
        <v>0</v>
      </c>
      <c r="I686" s="4">
        <f>Clean_Data[[#This Row],[Exports_TIV]] + Clean_Data[[#This Row],[Imports_TIV]]</f>
        <v>0</v>
      </c>
    </row>
    <row r="687" spans="1:9">
      <c r="A687" s="4" t="s">
        <v>75</v>
      </c>
      <c r="B687" s="4" t="s">
        <v>76</v>
      </c>
      <c r="C687" s="5">
        <v>2020</v>
      </c>
      <c r="D687" s="4">
        <v>0</v>
      </c>
      <c r="E687" s="4">
        <v>76000000</v>
      </c>
      <c r="F687" s="4" t="str">
        <f>_xlfn.LET(_xlpm.r, _xlfn.XLOOKUP(Clean_Data[[#This Row],[Country_Code]], Metadata_Country!$A:$A, Metadata_Country!$B:$B, "Unknown"), IF(OR(_xlpm.r=0, _xlpm.r=""), "Regional Aggregate", _xlpm.r))</f>
        <v>Sub-Saharan Africa</v>
      </c>
      <c r="G687" s="4" t="str">
        <f>_xlfn.LET(_xlpm.ig, _xlfn.XLOOKUP(Clean_Data[[#This Row],[Country_Code]], Metadata_Country!$A:$A, Metadata_Country!$C:$C, "Unknown"), IF(OR(_xlpm.ig=0, _xlpm.ig=""), "Regional Aggregate", _xlpm.ig))</f>
        <v>Upper middle income</v>
      </c>
      <c r="H687" s="4">
        <f>Clean_Data[[#This Row],[Exports_TIV]] - Clean_Data[[#This Row],[Imports_TIV]]</f>
        <v>-76000000</v>
      </c>
      <c r="I687" s="4">
        <f>Clean_Data[[#This Row],[Exports_TIV]] + Clean_Data[[#This Row],[Imports_TIV]]</f>
        <v>76000000</v>
      </c>
    </row>
    <row r="688" spans="1:9">
      <c r="A688" s="4" t="s">
        <v>67</v>
      </c>
      <c r="B688" s="4" t="s">
        <v>68</v>
      </c>
      <c r="C688" s="5">
        <v>2020</v>
      </c>
      <c r="D688" s="4">
        <v>164000000</v>
      </c>
      <c r="E688" s="4">
        <v>134000000</v>
      </c>
      <c r="F688" s="4" t="str">
        <f>_xlfn.LET(_xlpm.r, _xlfn.XLOOKUP(Clean_Data[[#This Row],[Country_Code]], Metadata_Country!$A:$A, Metadata_Country!$B:$B, "Unknown"), IF(OR(_xlpm.r=0, _xlpm.r=""), "Regional Aggregate", _xlpm.r))</f>
        <v>Latin America &amp; Caribbean</v>
      </c>
      <c r="G688" s="4" t="str">
        <f>_xlfn.LET(_xlpm.ig, _xlfn.XLOOKUP(Clean_Data[[#This Row],[Country_Code]], Metadata_Country!$A:$A, Metadata_Country!$C:$C, "Unknown"), IF(OR(_xlpm.ig=0, _xlpm.ig=""), "Regional Aggregate", _xlpm.ig))</f>
        <v>Upper middle income</v>
      </c>
      <c r="H688" s="4">
        <f>Clean_Data[[#This Row],[Exports_TIV]] - Clean_Data[[#This Row],[Imports_TIV]]</f>
        <v>30000000</v>
      </c>
      <c r="I688" s="4">
        <f>Clean_Data[[#This Row],[Exports_TIV]] + Clean_Data[[#This Row],[Imports_TIV]]</f>
        <v>298000000</v>
      </c>
    </row>
    <row r="689" spans="1:9">
      <c r="A689" s="4" t="s">
        <v>51</v>
      </c>
      <c r="B689" s="4" t="s">
        <v>52</v>
      </c>
      <c r="C689" s="5">
        <v>2020</v>
      </c>
      <c r="D689" s="4">
        <v>3000000</v>
      </c>
      <c r="E689" s="4">
        <v>44000000</v>
      </c>
      <c r="F689" s="4" t="str">
        <f>_xlfn.LET(_xlpm.r, _xlfn.XLOOKUP(Clean_Data[[#This Row],[Country_Code]], Metadata_Country!$A:$A, Metadata_Country!$B:$B, "Unknown"), IF(OR(_xlpm.r=0, _xlpm.r=""), "Regional Aggregate", _xlpm.r))</f>
        <v>Europe &amp; Central Asia</v>
      </c>
      <c r="G689" s="4" t="str">
        <f>_xlfn.LET(_xlpm.ig, _xlfn.XLOOKUP(Clean_Data[[#This Row],[Country_Code]], Metadata_Country!$A:$A, Metadata_Country!$C:$C, "Unknown"), IF(OR(_xlpm.ig=0, _xlpm.ig=""), "Regional Aggregate", _xlpm.ig))</f>
        <v>High income</v>
      </c>
      <c r="H689" s="4">
        <f>Clean_Data[[#This Row],[Exports_TIV]] - Clean_Data[[#This Row],[Imports_TIV]]</f>
        <v>-41000000</v>
      </c>
      <c r="I689" s="4">
        <f>Clean_Data[[#This Row],[Exports_TIV]] + Clean_Data[[#This Row],[Imports_TIV]]</f>
        <v>47000000</v>
      </c>
    </row>
    <row r="690" spans="1:9">
      <c r="A690" s="4" t="s">
        <v>47</v>
      </c>
      <c r="B690" s="4" t="s">
        <v>48</v>
      </c>
      <c r="C690" s="5">
        <v>2020</v>
      </c>
      <c r="D690" s="4">
        <v>0</v>
      </c>
      <c r="E690" s="4">
        <v>3000000</v>
      </c>
      <c r="F690" s="4" t="str">
        <f>_xlfn.LET(_xlpm.r, _xlfn.XLOOKUP(Clean_Data[[#This Row],[Country_Code]], Metadata_Country!$A:$A, Metadata_Country!$B:$B, "Unknown"), IF(OR(_xlpm.r=0, _xlpm.r=""), "Regional Aggregate", _xlpm.r))</f>
        <v>Sub-Saharan Africa</v>
      </c>
      <c r="G690" s="4" t="str">
        <f>_xlfn.LET(_xlpm.ig, _xlfn.XLOOKUP(Clean_Data[[#This Row],[Country_Code]], Metadata_Country!$A:$A, Metadata_Country!$C:$C, "Unknown"), IF(OR(_xlpm.ig=0, _xlpm.ig=""), "Regional Aggregate", _xlpm.ig))</f>
        <v>Low income</v>
      </c>
      <c r="H690" s="4">
        <f>Clean_Data[[#This Row],[Exports_TIV]] - Clean_Data[[#This Row],[Imports_TIV]]</f>
        <v>-3000000</v>
      </c>
      <c r="I690" s="4">
        <f>Clean_Data[[#This Row],[Exports_TIV]] + Clean_Data[[#This Row],[Imports_TIV]]</f>
        <v>3000000</v>
      </c>
    </row>
    <row r="691" spans="1:9">
      <c r="A691" s="4" t="s">
        <v>93</v>
      </c>
      <c r="B691" s="4" t="s">
        <v>94</v>
      </c>
      <c r="C691" s="5">
        <v>2020</v>
      </c>
      <c r="D691" s="4">
        <v>0</v>
      </c>
      <c r="E691" s="4">
        <v>2000000</v>
      </c>
      <c r="F691" s="4" t="str">
        <f>_xlfn.LET(_xlpm.r, _xlfn.XLOOKUP(Clean_Data[[#This Row],[Country_Code]], Metadata_Country!$A:$A, Metadata_Country!$B:$B, "Unknown"), IF(OR(_xlpm.r=0, _xlpm.r=""), "Regional Aggregate", _xlpm.r))</f>
        <v>Sub-Saharan Africa</v>
      </c>
      <c r="G691" s="4" t="str">
        <f>_xlfn.LET(_xlpm.ig, _xlfn.XLOOKUP(Clean_Data[[#This Row],[Country_Code]], Metadata_Country!$A:$A, Metadata_Country!$C:$C, "Unknown"), IF(OR(_xlpm.ig=0, _xlpm.ig=""), "Regional Aggregate", _xlpm.ig))</f>
        <v>Lower middle income</v>
      </c>
      <c r="H691" s="4">
        <f>Clean_Data[[#This Row],[Exports_TIV]] - Clean_Data[[#This Row],[Imports_TIV]]</f>
        <v>-2000000</v>
      </c>
      <c r="I691" s="4">
        <f>Clean_Data[[#This Row],[Exports_TIV]] + Clean_Data[[#This Row],[Imports_TIV]]</f>
        <v>2000000</v>
      </c>
    </row>
    <row r="692" spans="1:9">
      <c r="A692" s="4" t="s">
        <v>79</v>
      </c>
      <c r="B692" s="4" t="s">
        <v>80</v>
      </c>
      <c r="C692" s="5">
        <v>2020</v>
      </c>
      <c r="D692" s="4">
        <v>123000000</v>
      </c>
      <c r="E692" s="4">
        <v>248000000</v>
      </c>
      <c r="F692" s="4" t="str">
        <f>_xlfn.LET(_xlpm.r, _xlfn.XLOOKUP(Clean_Data[[#This Row],[Country_Code]], Metadata_Country!$A:$A, Metadata_Country!$B:$B, "Unknown"), IF(OR(_xlpm.r=0, _xlpm.r=""), "Regional Aggregate", _xlpm.r))</f>
        <v>North America</v>
      </c>
      <c r="G692" s="4" t="str">
        <f>_xlfn.LET(_xlpm.ig, _xlfn.XLOOKUP(Clean_Data[[#This Row],[Country_Code]], Metadata_Country!$A:$A, Metadata_Country!$C:$C, "Unknown"), IF(OR(_xlpm.ig=0, _xlpm.ig=""), "Regional Aggregate", _xlpm.ig))</f>
        <v>High income</v>
      </c>
      <c r="H692" s="4">
        <f>Clean_Data[[#This Row],[Exports_TIV]] - Clean_Data[[#This Row],[Imports_TIV]]</f>
        <v>-125000000</v>
      </c>
      <c r="I692" s="4">
        <f>Clean_Data[[#This Row],[Exports_TIV]] + Clean_Data[[#This Row],[Imports_TIV]]</f>
        <v>371000000</v>
      </c>
    </row>
    <row r="693" spans="1:9">
      <c r="A693" s="4" t="s">
        <v>77</v>
      </c>
      <c r="B693" s="4" t="s">
        <v>78</v>
      </c>
      <c r="C693" s="5">
        <v>2020</v>
      </c>
      <c r="D693" s="4">
        <v>0</v>
      </c>
      <c r="E693" s="4">
        <v>1000000</v>
      </c>
      <c r="F693" s="4" t="str">
        <f>_xlfn.LET(_xlpm.r, _xlfn.XLOOKUP(Clean_Data[[#This Row],[Country_Code]], Metadata_Country!$A:$A, Metadata_Country!$B:$B, "Unknown"), IF(OR(_xlpm.r=0, _xlpm.r=""), "Regional Aggregate", _xlpm.r))</f>
        <v>Sub-Saharan Africa</v>
      </c>
      <c r="G693" s="4" t="str">
        <f>_xlfn.LET(_xlpm.ig, _xlfn.XLOOKUP(Clean_Data[[#This Row],[Country_Code]], Metadata_Country!$A:$A, Metadata_Country!$C:$C, "Unknown"), IF(OR(_xlpm.ig=0, _xlpm.ig=""), "Regional Aggregate", _xlpm.ig))</f>
        <v>Low income</v>
      </c>
      <c r="H693" s="4">
        <f>Clean_Data[[#This Row],[Exports_TIV]] - Clean_Data[[#This Row],[Imports_TIV]]</f>
        <v>-1000000</v>
      </c>
      <c r="I693" s="4">
        <f>Clean_Data[[#This Row],[Exports_TIV]] + Clean_Data[[#This Row],[Imports_TIV]]</f>
        <v>1000000</v>
      </c>
    </row>
    <row r="694" spans="1:9">
      <c r="A694" s="4" t="s">
        <v>81</v>
      </c>
      <c r="B694" s="4" t="s">
        <v>82</v>
      </c>
      <c r="C694" s="5">
        <v>2020</v>
      </c>
      <c r="D694" s="4">
        <v>0</v>
      </c>
      <c r="E694" s="4">
        <v>607000000</v>
      </c>
      <c r="F694" s="4" t="str">
        <f>_xlfn.LET(_xlpm.r, _xlfn.XLOOKUP(Clean_Data[[#This Row],[Country_Code]], Metadata_Country!$A:$A, Metadata_Country!$B:$B, "Unknown"), IF(OR(_xlpm.r=0, _xlpm.r=""), "Regional Aggregate", _xlpm.r))</f>
        <v>Regional Aggregate</v>
      </c>
      <c r="G694" s="4" t="str">
        <f>_xlfn.LET(_xlpm.ig, _xlfn.XLOOKUP(Clean_Data[[#This Row],[Country_Code]], Metadata_Country!$A:$A, Metadata_Country!$C:$C, "Unknown"), IF(OR(_xlpm.ig=0, _xlpm.ig=""), "Regional Aggregate", _xlpm.ig))</f>
        <v>Regional Aggregate</v>
      </c>
      <c r="H694" s="4">
        <f>Clean_Data[[#This Row],[Exports_TIV]] - Clean_Data[[#This Row],[Imports_TIV]]</f>
        <v>-607000000</v>
      </c>
      <c r="I694" s="4">
        <f>Clean_Data[[#This Row],[Exports_TIV]] + Clean_Data[[#This Row],[Imports_TIV]]</f>
        <v>607000000</v>
      </c>
    </row>
    <row r="695" spans="1:9">
      <c r="A695" s="4" t="s">
        <v>467</v>
      </c>
      <c r="B695" s="4" t="s">
        <v>468</v>
      </c>
      <c r="C695" s="5">
        <v>2020</v>
      </c>
      <c r="D695" s="4">
        <v>0</v>
      </c>
      <c r="E695" s="4">
        <v>4000000</v>
      </c>
      <c r="F695" s="4" t="str">
        <f>_xlfn.LET(_xlpm.r, _xlfn.XLOOKUP(Clean_Data[[#This Row],[Country_Code]], Metadata_Country!$A:$A, Metadata_Country!$B:$B, "Unknown"), IF(OR(_xlpm.r=0, _xlpm.r=""), "Regional Aggregate", _xlpm.r))</f>
        <v>Sub-Saharan Africa</v>
      </c>
      <c r="G695" s="4" t="str">
        <f>_xlfn.LET(_xlpm.ig, _xlfn.XLOOKUP(Clean_Data[[#This Row],[Country_Code]], Metadata_Country!$A:$A, Metadata_Country!$C:$C, "Unknown"), IF(OR(_xlpm.ig=0, _xlpm.ig=""), "Regional Aggregate", _xlpm.ig))</f>
        <v>Low income</v>
      </c>
      <c r="H695" s="4">
        <f>Clean_Data[[#This Row],[Exports_TIV]] - Clean_Data[[#This Row],[Imports_TIV]]</f>
        <v>-4000000</v>
      </c>
      <c r="I695" s="4">
        <f>Clean_Data[[#This Row],[Exports_TIV]] + Clean_Data[[#This Row],[Imports_TIV]]</f>
        <v>4000000</v>
      </c>
    </row>
    <row r="696" spans="1:9">
      <c r="A696" s="4" t="s">
        <v>87</v>
      </c>
      <c r="B696" s="4" t="s">
        <v>88</v>
      </c>
      <c r="C696" s="5">
        <v>2020</v>
      </c>
      <c r="D696" s="4">
        <v>0</v>
      </c>
      <c r="E696" s="4">
        <v>304000000</v>
      </c>
      <c r="F696" s="4" t="str">
        <f>_xlfn.LET(_xlpm.r, _xlfn.XLOOKUP(Clean_Data[[#This Row],[Country_Code]], Metadata_Country!$A:$A, Metadata_Country!$B:$B, "Unknown"), IF(OR(_xlpm.r=0, _xlpm.r=""), "Regional Aggregate", _xlpm.r))</f>
        <v>Latin America &amp; Caribbean</v>
      </c>
      <c r="G696" s="4" t="str">
        <f>_xlfn.LET(_xlpm.ig, _xlfn.XLOOKUP(Clean_Data[[#This Row],[Country_Code]], Metadata_Country!$A:$A, Metadata_Country!$C:$C, "Unknown"), IF(OR(_xlpm.ig=0, _xlpm.ig=""), "Regional Aggregate", _xlpm.ig))</f>
        <v>High income</v>
      </c>
      <c r="H696" s="4">
        <f>Clean_Data[[#This Row],[Exports_TIV]] - Clean_Data[[#This Row],[Imports_TIV]]</f>
        <v>-304000000</v>
      </c>
      <c r="I696" s="4">
        <f>Clean_Data[[#This Row],[Exports_TIV]] + Clean_Data[[#This Row],[Imports_TIV]]</f>
        <v>304000000</v>
      </c>
    </row>
    <row r="697" spans="1:9">
      <c r="A697" s="4" t="s">
        <v>89</v>
      </c>
      <c r="B697" s="4" t="s">
        <v>90</v>
      </c>
      <c r="C697" s="5">
        <v>2020</v>
      </c>
      <c r="D697" s="4">
        <v>645000000</v>
      </c>
      <c r="E697" s="4">
        <v>775000000</v>
      </c>
      <c r="F697" s="4" t="str">
        <f>_xlfn.LET(_xlpm.r, _xlfn.XLOOKUP(Clean_Data[[#This Row],[Country_Code]], Metadata_Country!$A:$A, Metadata_Country!$B:$B, "Unknown"), IF(OR(_xlpm.r=0, _xlpm.r=""), "Regional Aggregate", _xlpm.r))</f>
        <v>East Asia &amp; Pacific</v>
      </c>
      <c r="G697" s="4" t="str">
        <f>_xlfn.LET(_xlpm.ig, _xlfn.XLOOKUP(Clean_Data[[#This Row],[Country_Code]], Metadata_Country!$A:$A, Metadata_Country!$C:$C, "Unknown"), IF(OR(_xlpm.ig=0, _xlpm.ig=""), "Regional Aggregate", _xlpm.ig))</f>
        <v>Upper middle income</v>
      </c>
      <c r="H697" s="4">
        <f>Clean_Data[[#This Row],[Exports_TIV]] - Clean_Data[[#This Row],[Imports_TIV]]</f>
        <v>-130000000</v>
      </c>
      <c r="I697" s="4">
        <f>Clean_Data[[#This Row],[Exports_TIV]] + Clean_Data[[#This Row],[Imports_TIV]]</f>
        <v>1420000000</v>
      </c>
    </row>
    <row r="698" spans="1:9">
      <c r="A698" s="4" t="s">
        <v>99</v>
      </c>
      <c r="B698" s="4" t="s">
        <v>100</v>
      </c>
      <c r="C698" s="5">
        <v>2020</v>
      </c>
      <c r="D698" s="4">
        <v>4000000</v>
      </c>
      <c r="E698" s="4">
        <v>80000000</v>
      </c>
      <c r="F698" s="4" t="str">
        <f>_xlfn.LET(_xlpm.r, _xlfn.XLOOKUP(Clean_Data[[#This Row],[Country_Code]], Metadata_Country!$A:$A, Metadata_Country!$B:$B, "Unknown"), IF(OR(_xlpm.r=0, _xlpm.r=""), "Regional Aggregate", _xlpm.r))</f>
        <v>Latin America &amp; Caribbean</v>
      </c>
      <c r="G698" s="4" t="str">
        <f>_xlfn.LET(_xlpm.ig, _xlfn.XLOOKUP(Clean_Data[[#This Row],[Country_Code]], Metadata_Country!$A:$A, Metadata_Country!$C:$C, "Unknown"), IF(OR(_xlpm.ig=0, _xlpm.ig=""), "Regional Aggregate", _xlpm.ig))</f>
        <v>Upper middle income</v>
      </c>
      <c r="H698" s="4">
        <f>Clean_Data[[#This Row],[Exports_TIV]] - Clean_Data[[#This Row],[Imports_TIV]]</f>
        <v>-76000000</v>
      </c>
      <c r="I698" s="4">
        <f>Clean_Data[[#This Row],[Exports_TIV]] + Clean_Data[[#This Row],[Imports_TIV]]</f>
        <v>84000000</v>
      </c>
    </row>
    <row r="699" spans="1:9">
      <c r="A699" s="4" t="s">
        <v>95</v>
      </c>
      <c r="B699" s="4" t="s">
        <v>96</v>
      </c>
      <c r="C699" s="5">
        <v>2020</v>
      </c>
      <c r="D699" s="4">
        <v>0</v>
      </c>
      <c r="E699" s="4">
        <v>9000000</v>
      </c>
      <c r="F699" s="4" t="str">
        <f>_xlfn.LET(_xlpm.r, _xlfn.XLOOKUP(Clean_Data[[#This Row],[Country_Code]], Metadata_Country!$A:$A, Metadata_Country!$B:$B, "Unknown"), IF(OR(_xlpm.r=0, _xlpm.r=""), "Regional Aggregate", _xlpm.r))</f>
        <v>Sub-Saharan Africa</v>
      </c>
      <c r="G699" s="4" t="str">
        <f>_xlfn.LET(_xlpm.ig, _xlfn.XLOOKUP(Clean_Data[[#This Row],[Country_Code]], Metadata_Country!$A:$A, Metadata_Country!$C:$C, "Unknown"), IF(OR(_xlpm.ig=0, _xlpm.ig=""), "Regional Aggregate", _xlpm.ig))</f>
        <v>Low income</v>
      </c>
      <c r="H699" s="4">
        <f>Clean_Data[[#This Row],[Exports_TIV]] - Clean_Data[[#This Row],[Imports_TIV]]</f>
        <v>-9000000</v>
      </c>
      <c r="I699" s="4">
        <f>Clean_Data[[#This Row],[Exports_TIV]] + Clean_Data[[#This Row],[Imports_TIV]]</f>
        <v>9000000</v>
      </c>
    </row>
    <row r="700" spans="1:9">
      <c r="A700" s="4" t="s">
        <v>91</v>
      </c>
      <c r="B700" s="4" t="s">
        <v>92</v>
      </c>
      <c r="C700" s="5">
        <v>2020</v>
      </c>
      <c r="D700" s="4">
        <v>0</v>
      </c>
      <c r="E700" s="4">
        <v>3000000</v>
      </c>
      <c r="F700" s="4" t="str">
        <f>_xlfn.LET(_xlpm.r, _xlfn.XLOOKUP(Clean_Data[[#This Row],[Country_Code]], Metadata_Country!$A:$A, Metadata_Country!$B:$B, "Unknown"), IF(OR(_xlpm.r=0, _xlpm.r=""), "Regional Aggregate", _xlpm.r))</f>
        <v>Sub-Saharan Africa</v>
      </c>
      <c r="G700" s="4" t="str">
        <f>_xlfn.LET(_xlpm.ig, _xlfn.XLOOKUP(Clean_Data[[#This Row],[Country_Code]], Metadata_Country!$A:$A, Metadata_Country!$C:$C, "Unknown"), IF(OR(_xlpm.ig=0, _xlpm.ig=""), "Regional Aggregate", _xlpm.ig))</f>
        <v>Lower middle income</v>
      </c>
      <c r="H700" s="4">
        <f>Clean_Data[[#This Row],[Exports_TIV]] - Clean_Data[[#This Row],[Imports_TIV]]</f>
        <v>-3000000</v>
      </c>
      <c r="I700" s="4">
        <f>Clean_Data[[#This Row],[Exports_TIV]] + Clean_Data[[#This Row],[Imports_TIV]]</f>
        <v>3000000</v>
      </c>
    </row>
    <row r="701" spans="1:9">
      <c r="A701" s="4" t="s">
        <v>115</v>
      </c>
      <c r="B701" s="4" t="s">
        <v>116</v>
      </c>
      <c r="C701" s="5">
        <v>2020</v>
      </c>
      <c r="D701" s="4">
        <v>0</v>
      </c>
      <c r="E701" s="4">
        <v>31000000</v>
      </c>
      <c r="F701" s="4" t="str">
        <f>_xlfn.LET(_xlpm.r, _xlfn.XLOOKUP(Clean_Data[[#This Row],[Country_Code]], Metadata_Country!$A:$A, Metadata_Country!$B:$B, "Unknown"), IF(OR(_xlpm.r=0, _xlpm.r=""), "Regional Aggregate", _xlpm.r))</f>
        <v>Europe &amp; Central Asia</v>
      </c>
      <c r="G701" s="4" t="str">
        <f>_xlfn.LET(_xlpm.ig, _xlfn.XLOOKUP(Clean_Data[[#This Row],[Country_Code]], Metadata_Country!$A:$A, Metadata_Country!$C:$C, "Unknown"), IF(OR(_xlpm.ig=0, _xlpm.ig=""), "Regional Aggregate", _xlpm.ig))</f>
        <v>High income</v>
      </c>
      <c r="H701" s="4">
        <f>Clean_Data[[#This Row],[Exports_TIV]] - Clean_Data[[#This Row],[Imports_TIV]]</f>
        <v>-31000000</v>
      </c>
      <c r="I701" s="4">
        <f>Clean_Data[[#This Row],[Exports_TIV]] + Clean_Data[[#This Row],[Imports_TIV]]</f>
        <v>31000000</v>
      </c>
    </row>
    <row r="702" spans="1:9">
      <c r="A702" s="4" t="s">
        <v>117</v>
      </c>
      <c r="B702" s="4" t="s">
        <v>118</v>
      </c>
      <c r="C702" s="5">
        <v>2020</v>
      </c>
      <c r="D702" s="4">
        <v>26000000</v>
      </c>
      <c r="E702" s="4">
        <v>8000000</v>
      </c>
      <c r="F702" s="4" t="str">
        <f>_xlfn.LET(_xlpm.r, _xlfn.XLOOKUP(Clean_Data[[#This Row],[Country_Code]], Metadata_Country!$A:$A, Metadata_Country!$B:$B, "Unknown"), IF(OR(_xlpm.r=0, _xlpm.r=""), "Regional Aggregate", _xlpm.r))</f>
        <v>Europe &amp; Central Asia</v>
      </c>
      <c r="G702" s="4" t="str">
        <f>_xlfn.LET(_xlpm.ig, _xlfn.XLOOKUP(Clean_Data[[#This Row],[Country_Code]], Metadata_Country!$A:$A, Metadata_Country!$C:$C, "Unknown"), IF(OR(_xlpm.ig=0, _xlpm.ig=""), "Regional Aggregate", _xlpm.ig))</f>
        <v>High income</v>
      </c>
      <c r="H702" s="4">
        <f>Clean_Data[[#This Row],[Exports_TIV]] - Clean_Data[[#This Row],[Imports_TIV]]</f>
        <v>18000000</v>
      </c>
      <c r="I702" s="4">
        <f>Clean_Data[[#This Row],[Exports_TIV]] + Clean_Data[[#This Row],[Imports_TIV]]</f>
        <v>34000000</v>
      </c>
    </row>
    <row r="703" spans="1:9">
      <c r="A703" s="4" t="s">
        <v>125</v>
      </c>
      <c r="B703" s="4" t="s">
        <v>126</v>
      </c>
      <c r="C703" s="5">
        <v>2020</v>
      </c>
      <c r="D703" s="4">
        <v>0</v>
      </c>
      <c r="E703" s="4">
        <v>63000000</v>
      </c>
      <c r="F703" s="4" t="str">
        <f>_xlfn.LET(_xlpm.r, _xlfn.XLOOKUP(Clean_Data[[#This Row],[Country_Code]], Metadata_Country!$A:$A, Metadata_Country!$B:$B, "Unknown"), IF(OR(_xlpm.r=0, _xlpm.r=""), "Regional Aggregate", _xlpm.r))</f>
        <v>Europe &amp; Central Asia</v>
      </c>
      <c r="G703" s="4" t="str">
        <f>_xlfn.LET(_xlpm.ig, _xlfn.XLOOKUP(Clean_Data[[#This Row],[Country_Code]], Metadata_Country!$A:$A, Metadata_Country!$C:$C, "Unknown"), IF(OR(_xlpm.ig=0, _xlpm.ig=""), "Regional Aggregate", _xlpm.ig))</f>
        <v>High income</v>
      </c>
      <c r="H703" s="4">
        <f>Clean_Data[[#This Row],[Exports_TIV]] - Clean_Data[[#This Row],[Imports_TIV]]</f>
        <v>-63000000</v>
      </c>
      <c r="I703" s="4">
        <f>Clean_Data[[#This Row],[Exports_TIV]] + Clean_Data[[#This Row],[Imports_TIV]]</f>
        <v>63000000</v>
      </c>
    </row>
    <row r="704" spans="1:9">
      <c r="A704" s="4" t="s">
        <v>121</v>
      </c>
      <c r="B704" s="4" t="s">
        <v>122</v>
      </c>
      <c r="C704" s="5">
        <v>2020</v>
      </c>
      <c r="D704" s="4">
        <v>0</v>
      </c>
      <c r="E704" s="4">
        <v>1000000</v>
      </c>
      <c r="F704" s="4" t="str">
        <f>_xlfn.LET(_xlpm.r, _xlfn.XLOOKUP(Clean_Data[[#This Row],[Country_Code]], Metadata_Country!$A:$A, Metadata_Country!$B:$B, "Unknown"), IF(OR(_xlpm.r=0, _xlpm.r=""), "Regional Aggregate", _xlpm.r))</f>
        <v>Middle East &amp; North Africa</v>
      </c>
      <c r="G704" s="4" t="str">
        <f>_xlfn.LET(_xlpm.ig, _xlfn.XLOOKUP(Clean_Data[[#This Row],[Country_Code]], Metadata_Country!$A:$A, Metadata_Country!$C:$C, "Unknown"), IF(OR(_xlpm.ig=0, _xlpm.ig=""), "Regional Aggregate", _xlpm.ig))</f>
        <v>Lower middle income</v>
      </c>
      <c r="H704" s="4">
        <f>Clean_Data[[#This Row],[Exports_TIV]] - Clean_Data[[#This Row],[Imports_TIV]]</f>
        <v>-1000000</v>
      </c>
      <c r="I704" s="4">
        <f>Clean_Data[[#This Row],[Exports_TIV]] + Clean_Data[[#This Row],[Imports_TIV]]</f>
        <v>1000000</v>
      </c>
    </row>
    <row r="705" spans="1:9">
      <c r="A705" s="4" t="s">
        <v>127</v>
      </c>
      <c r="B705" s="4" t="s">
        <v>128</v>
      </c>
      <c r="C705" s="5">
        <v>2020</v>
      </c>
      <c r="D705" s="4">
        <v>0</v>
      </c>
      <c r="E705" s="4">
        <v>4000000</v>
      </c>
      <c r="F705" s="4" t="str">
        <f>_xlfn.LET(_xlpm.r, _xlfn.XLOOKUP(Clean_Data[[#This Row],[Country_Code]], Metadata_Country!$A:$A, Metadata_Country!$B:$B, "Unknown"), IF(OR(_xlpm.r=0, _xlpm.r=""), "Regional Aggregate", _xlpm.r))</f>
        <v>Latin America &amp; Caribbean</v>
      </c>
      <c r="G705" s="4" t="str">
        <f>_xlfn.LET(_xlpm.ig, _xlfn.XLOOKUP(Clean_Data[[#This Row],[Country_Code]], Metadata_Country!$A:$A, Metadata_Country!$C:$C, "Unknown"), IF(OR(_xlpm.ig=0, _xlpm.ig=""), "Regional Aggregate", _xlpm.ig))</f>
        <v>Upper middle income</v>
      </c>
      <c r="H705" s="4">
        <f>Clean_Data[[#This Row],[Exports_TIV]] - Clean_Data[[#This Row],[Imports_TIV]]</f>
        <v>-4000000</v>
      </c>
      <c r="I705" s="4">
        <f>Clean_Data[[#This Row],[Exports_TIV]] + Clean_Data[[#This Row],[Imports_TIV]]</f>
        <v>4000000</v>
      </c>
    </row>
    <row r="706" spans="1:9">
      <c r="A706" s="4" t="s">
        <v>133</v>
      </c>
      <c r="B706" s="4" t="s">
        <v>134</v>
      </c>
      <c r="C706" s="5">
        <v>2020</v>
      </c>
      <c r="D706" s="4">
        <v>0</v>
      </c>
      <c r="E706" s="4">
        <v>9916000000</v>
      </c>
      <c r="F706" s="4" t="str">
        <f>_xlfn.LET(_xlpm.r, _xlfn.XLOOKUP(Clean_Data[[#This Row],[Country_Code]], Metadata_Country!$A:$A, Metadata_Country!$B:$B, "Unknown"), IF(OR(_xlpm.r=0, _xlpm.r=""), "Regional Aggregate", _xlpm.r))</f>
        <v>Regional Aggregate</v>
      </c>
      <c r="G706" s="4" t="str">
        <f>_xlfn.LET(_xlpm.ig, _xlfn.XLOOKUP(Clean_Data[[#This Row],[Country_Code]], Metadata_Country!$A:$A, Metadata_Country!$C:$C, "Unknown"), IF(OR(_xlpm.ig=0, _xlpm.ig=""), "Regional Aggregate", _xlpm.ig))</f>
        <v>Regional Aggregate</v>
      </c>
      <c r="H706" s="4">
        <f>Clean_Data[[#This Row],[Exports_TIV]] - Clean_Data[[#This Row],[Imports_TIV]]</f>
        <v>-9916000000</v>
      </c>
      <c r="I706" s="4">
        <f>Clean_Data[[#This Row],[Exports_TIV]] + Clean_Data[[#This Row],[Imports_TIV]]</f>
        <v>9916000000</v>
      </c>
    </row>
    <row r="707" spans="1:9">
      <c r="A707" s="4" t="s">
        <v>135</v>
      </c>
      <c r="B707" s="4" t="s">
        <v>136</v>
      </c>
      <c r="C707" s="5">
        <v>2020</v>
      </c>
      <c r="D707" s="4">
        <v>0</v>
      </c>
      <c r="E707" s="4">
        <v>6195000000</v>
      </c>
      <c r="F707" s="4" t="str">
        <f>_xlfn.LET(_xlpm.r, _xlfn.XLOOKUP(Clean_Data[[#This Row],[Country_Code]], Metadata_Country!$A:$A, Metadata_Country!$B:$B, "Unknown"), IF(OR(_xlpm.r=0, _xlpm.r=""), "Regional Aggregate", _xlpm.r))</f>
        <v>Regional Aggregate</v>
      </c>
      <c r="G707" s="4" t="str">
        <f>_xlfn.LET(_xlpm.ig, _xlfn.XLOOKUP(Clean_Data[[#This Row],[Country_Code]], Metadata_Country!$A:$A, Metadata_Country!$C:$C, "Unknown"), IF(OR(_xlpm.ig=0, _xlpm.ig=""), "Regional Aggregate", _xlpm.ig))</f>
        <v>Regional Aggregate</v>
      </c>
      <c r="H707" s="4">
        <f>Clean_Data[[#This Row],[Exports_TIV]] - Clean_Data[[#This Row],[Imports_TIV]]</f>
        <v>-6195000000</v>
      </c>
      <c r="I707" s="4">
        <f>Clean_Data[[#This Row],[Exports_TIV]] + Clean_Data[[#This Row],[Imports_TIV]]</f>
        <v>6195000000</v>
      </c>
    </row>
    <row r="708" spans="1:9">
      <c r="A708" s="4" t="s">
        <v>131</v>
      </c>
      <c r="B708" s="4" t="s">
        <v>132</v>
      </c>
      <c r="C708" s="5">
        <v>2020</v>
      </c>
      <c r="D708" s="4">
        <v>645000000</v>
      </c>
      <c r="E708" s="4">
        <v>1921000000</v>
      </c>
      <c r="F708" s="4" t="str">
        <f>_xlfn.LET(_xlpm.r, _xlfn.XLOOKUP(Clean_Data[[#This Row],[Country_Code]], Metadata_Country!$A:$A, Metadata_Country!$B:$B, "Unknown"), IF(OR(_xlpm.r=0, _xlpm.r=""), "Regional Aggregate", _xlpm.r))</f>
        <v>Regional Aggregate</v>
      </c>
      <c r="G708" s="4" t="str">
        <f>_xlfn.LET(_xlpm.ig, _xlfn.XLOOKUP(Clean_Data[[#This Row],[Country_Code]], Metadata_Country!$A:$A, Metadata_Country!$C:$C, "Unknown"), IF(OR(_xlpm.ig=0, _xlpm.ig=""), "Regional Aggregate", _xlpm.ig))</f>
        <v>Regional Aggregate</v>
      </c>
      <c r="H708" s="4">
        <f>Clean_Data[[#This Row],[Exports_TIV]] - Clean_Data[[#This Row],[Imports_TIV]]</f>
        <v>-1276000000</v>
      </c>
      <c r="I708" s="4">
        <f>Clean_Data[[#This Row],[Exports_TIV]] + Clean_Data[[#This Row],[Imports_TIV]]</f>
        <v>2566000000</v>
      </c>
    </row>
    <row r="709" spans="1:9">
      <c r="A709" s="4" t="s">
        <v>469</v>
      </c>
      <c r="B709" s="4" t="s">
        <v>470</v>
      </c>
      <c r="C709" s="5">
        <v>2020</v>
      </c>
      <c r="D709" s="4">
        <v>645000000</v>
      </c>
      <c r="E709" s="4">
        <v>1928000000</v>
      </c>
      <c r="F709" s="4" t="str">
        <f>_xlfn.LET(_xlpm.r, _xlfn.XLOOKUP(Clean_Data[[#This Row],[Country_Code]], Metadata_Country!$A:$A, Metadata_Country!$B:$B, "Unknown"), IF(OR(_xlpm.r=0, _xlpm.r=""), "Regional Aggregate", _xlpm.r))</f>
        <v>Regional Aggregate</v>
      </c>
      <c r="G709" s="4" t="str">
        <f>_xlfn.LET(_xlpm.ig, _xlfn.XLOOKUP(Clean_Data[[#This Row],[Country_Code]], Metadata_Country!$A:$A, Metadata_Country!$C:$C, "Unknown"), IF(OR(_xlpm.ig=0, _xlpm.ig=""), "Regional Aggregate", _xlpm.ig))</f>
        <v>Regional Aggregate</v>
      </c>
      <c r="H709" s="4">
        <f>Clean_Data[[#This Row],[Exports_TIV]] - Clean_Data[[#This Row],[Imports_TIV]]</f>
        <v>-1283000000</v>
      </c>
      <c r="I709" s="4">
        <f>Clean_Data[[#This Row],[Exports_TIV]] + Clean_Data[[#This Row],[Imports_TIV]]</f>
        <v>2573000000</v>
      </c>
    </row>
    <row r="710" spans="1:9">
      <c r="A710" s="4" t="s">
        <v>141</v>
      </c>
      <c r="B710" s="4" t="s">
        <v>142</v>
      </c>
      <c r="C710" s="5">
        <v>2020</v>
      </c>
      <c r="D710" s="4">
        <v>0</v>
      </c>
      <c r="E710" s="4">
        <v>21000000</v>
      </c>
      <c r="F710" s="4" t="str">
        <f>_xlfn.LET(_xlpm.r, _xlfn.XLOOKUP(Clean_Data[[#This Row],[Country_Code]], Metadata_Country!$A:$A, Metadata_Country!$B:$B, "Unknown"), IF(OR(_xlpm.r=0, _xlpm.r=""), "Regional Aggregate", _xlpm.r))</f>
        <v>Latin America &amp; Caribbean</v>
      </c>
      <c r="G710" s="4" t="str">
        <f>_xlfn.LET(_xlpm.ig, _xlfn.XLOOKUP(Clean_Data[[#This Row],[Country_Code]], Metadata_Country!$A:$A, Metadata_Country!$C:$C, "Unknown"), IF(OR(_xlpm.ig=0, _xlpm.ig=""), "Regional Aggregate", _xlpm.ig))</f>
        <v>Upper middle income</v>
      </c>
      <c r="H710" s="4">
        <f>Clean_Data[[#This Row],[Exports_TIV]] - Clean_Data[[#This Row],[Imports_TIV]]</f>
        <v>-21000000</v>
      </c>
      <c r="I710" s="4">
        <f>Clean_Data[[#This Row],[Exports_TIV]] + Clean_Data[[#This Row],[Imports_TIV]]</f>
        <v>21000000</v>
      </c>
    </row>
    <row r="711" spans="1:9">
      <c r="A711" s="4" t="s">
        <v>143</v>
      </c>
      <c r="B711" s="4" t="s">
        <v>144</v>
      </c>
      <c r="C711" s="5">
        <v>2020</v>
      </c>
      <c r="D711" s="4">
        <v>0</v>
      </c>
      <c r="E711" s="4">
        <v>1398000000</v>
      </c>
      <c r="F711" s="4" t="str">
        <f>_xlfn.LET(_xlpm.r, _xlfn.XLOOKUP(Clean_Data[[#This Row],[Country_Code]], Metadata_Country!$A:$A, Metadata_Country!$B:$B, "Unknown"), IF(OR(_xlpm.r=0, _xlpm.r=""), "Regional Aggregate", _xlpm.r))</f>
        <v>Middle East &amp; North Africa</v>
      </c>
      <c r="G711" s="4" t="str">
        <f>_xlfn.LET(_xlpm.ig, _xlfn.XLOOKUP(Clean_Data[[#This Row],[Country_Code]], Metadata_Country!$A:$A, Metadata_Country!$C:$C, "Unknown"), IF(OR(_xlpm.ig=0, _xlpm.ig=""), "Regional Aggregate", _xlpm.ig))</f>
        <v>Lower middle income</v>
      </c>
      <c r="H711" s="4">
        <f>Clean_Data[[#This Row],[Exports_TIV]] - Clean_Data[[#This Row],[Imports_TIV]]</f>
        <v>-1398000000</v>
      </c>
      <c r="I711" s="4">
        <f>Clean_Data[[#This Row],[Exports_TIV]] + Clean_Data[[#This Row],[Imports_TIV]]</f>
        <v>1398000000</v>
      </c>
    </row>
    <row r="712" spans="1:9">
      <c r="A712" s="4" t="s">
        <v>431</v>
      </c>
      <c r="B712" s="4" t="s">
        <v>432</v>
      </c>
      <c r="C712" s="5">
        <v>2020</v>
      </c>
      <c r="D712" s="4">
        <v>0</v>
      </c>
      <c r="E712" s="4">
        <v>4000000</v>
      </c>
      <c r="F712" s="4" t="str">
        <f>_xlfn.LET(_xlpm.r, _xlfn.XLOOKUP(Clean_Data[[#This Row],[Country_Code]], Metadata_Country!$A:$A, Metadata_Country!$B:$B, "Unknown"), IF(OR(_xlpm.r=0, _xlpm.r=""), "Regional Aggregate", _xlpm.r))</f>
        <v>Latin America &amp; Caribbean</v>
      </c>
      <c r="G712" s="4" t="str">
        <f>_xlfn.LET(_xlpm.ig, _xlfn.XLOOKUP(Clean_Data[[#This Row],[Country_Code]], Metadata_Country!$A:$A, Metadata_Country!$C:$C, "Unknown"), IF(OR(_xlpm.ig=0, _xlpm.ig=""), "Regional Aggregate", _xlpm.ig))</f>
        <v>Upper middle income</v>
      </c>
      <c r="H712" s="4">
        <f>Clean_Data[[#This Row],[Exports_TIV]] - Clean_Data[[#This Row],[Imports_TIV]]</f>
        <v>-4000000</v>
      </c>
      <c r="I712" s="4">
        <f>Clean_Data[[#This Row],[Exports_TIV]] + Clean_Data[[#This Row],[Imports_TIV]]</f>
        <v>4000000</v>
      </c>
    </row>
    <row r="713" spans="1:9">
      <c r="A713" s="4" t="s">
        <v>151</v>
      </c>
      <c r="B713" s="4" t="s">
        <v>152</v>
      </c>
      <c r="C713" s="5">
        <v>2020</v>
      </c>
      <c r="D713" s="4">
        <v>0</v>
      </c>
      <c r="E713" s="4">
        <v>25000000</v>
      </c>
      <c r="F713" s="4" t="str">
        <f>_xlfn.LET(_xlpm.r, _xlfn.XLOOKUP(Clean_Data[[#This Row],[Country_Code]], Metadata_Country!$A:$A, Metadata_Country!$B:$B, "Unknown"), IF(OR(_xlpm.r=0, _xlpm.r=""), "Regional Aggregate", _xlpm.r))</f>
        <v>Europe &amp; Central Asia</v>
      </c>
      <c r="G713" s="4" t="str">
        <f>_xlfn.LET(_xlpm.ig, _xlfn.XLOOKUP(Clean_Data[[#This Row],[Country_Code]], Metadata_Country!$A:$A, Metadata_Country!$C:$C, "Unknown"), IF(OR(_xlpm.ig=0, _xlpm.ig=""), "Regional Aggregate", _xlpm.ig))</f>
        <v>High income</v>
      </c>
      <c r="H713" s="4">
        <f>Clean_Data[[#This Row],[Exports_TIV]] - Clean_Data[[#This Row],[Imports_TIV]]</f>
        <v>-25000000</v>
      </c>
      <c r="I713" s="4">
        <f>Clean_Data[[#This Row],[Exports_TIV]] + Clean_Data[[#This Row],[Imports_TIV]]</f>
        <v>25000000</v>
      </c>
    </row>
    <row r="714" spans="1:9">
      <c r="A714" s="4" t="s">
        <v>457</v>
      </c>
      <c r="B714" s="4" t="s">
        <v>458</v>
      </c>
      <c r="C714" s="5">
        <v>2020</v>
      </c>
      <c r="D714" s="4">
        <v>0</v>
      </c>
      <c r="E714" s="4">
        <v>2000000</v>
      </c>
      <c r="F714" s="4" t="str">
        <f>_xlfn.LET(_xlpm.r, _xlfn.XLOOKUP(Clean_Data[[#This Row],[Country_Code]], Metadata_Country!$A:$A, Metadata_Country!$B:$B, "Unknown"), IF(OR(_xlpm.r=0, _xlpm.r=""), "Regional Aggregate", _xlpm.r))</f>
        <v>Sub-Saharan Africa</v>
      </c>
      <c r="G714" s="4" t="str">
        <f>_xlfn.LET(_xlpm.ig, _xlfn.XLOOKUP(Clean_Data[[#This Row],[Country_Code]], Metadata_Country!$A:$A, Metadata_Country!$C:$C, "Unknown"), IF(OR(_xlpm.ig=0, _xlpm.ig=""), "Regional Aggregate", _xlpm.ig))</f>
        <v>Lower middle income</v>
      </c>
      <c r="H714" s="4">
        <f>Clean_Data[[#This Row],[Exports_TIV]] - Clean_Data[[#This Row],[Imports_TIV]]</f>
        <v>-2000000</v>
      </c>
      <c r="I714" s="4">
        <f>Clean_Data[[#This Row],[Exports_TIV]] + Clean_Data[[#This Row],[Imports_TIV]]</f>
        <v>2000000</v>
      </c>
    </row>
    <row r="715" spans="1:9">
      <c r="A715" s="4" t="s">
        <v>153</v>
      </c>
      <c r="B715" s="4" t="s">
        <v>154</v>
      </c>
      <c r="C715" s="5">
        <v>2020</v>
      </c>
      <c r="D715" s="4">
        <v>0</v>
      </c>
      <c r="E715" s="4">
        <v>25000000</v>
      </c>
      <c r="F715" s="4" t="str">
        <f>_xlfn.LET(_xlpm.r, _xlfn.XLOOKUP(Clean_Data[[#This Row],[Country_Code]], Metadata_Country!$A:$A, Metadata_Country!$B:$B, "Unknown"), IF(OR(_xlpm.r=0, _xlpm.r=""), "Regional Aggregate", _xlpm.r))</f>
        <v>Sub-Saharan Africa</v>
      </c>
      <c r="G715" s="4" t="str">
        <f>_xlfn.LET(_xlpm.ig, _xlfn.XLOOKUP(Clean_Data[[#This Row],[Country_Code]], Metadata_Country!$A:$A, Metadata_Country!$C:$C, "Unknown"), IF(OR(_xlpm.ig=0, _xlpm.ig=""), "Regional Aggregate", _xlpm.ig))</f>
        <v>Low income</v>
      </c>
      <c r="H715" s="4">
        <f>Clean_Data[[#This Row],[Exports_TIV]] - Clean_Data[[#This Row],[Imports_TIV]]</f>
        <v>-25000000</v>
      </c>
      <c r="I715" s="4">
        <f>Clean_Data[[#This Row],[Exports_TIV]] + Clean_Data[[#This Row],[Imports_TIV]]</f>
        <v>25000000</v>
      </c>
    </row>
    <row r="716" spans="1:9">
      <c r="A716" s="4" t="s">
        <v>145</v>
      </c>
      <c r="B716" s="4" t="s">
        <v>146</v>
      </c>
      <c r="C716" s="5">
        <v>2020</v>
      </c>
      <c r="D716" s="4">
        <v>5871000000</v>
      </c>
      <c r="E716" s="4">
        <v>1864000000</v>
      </c>
      <c r="F716" s="4" t="str">
        <f>_xlfn.LET(_xlpm.r, _xlfn.XLOOKUP(Clean_Data[[#This Row],[Country_Code]], Metadata_Country!$A:$A, Metadata_Country!$B:$B, "Unknown"), IF(OR(_xlpm.r=0, _xlpm.r=""), "Regional Aggregate", _xlpm.r))</f>
        <v>Regional Aggregate</v>
      </c>
      <c r="G716" s="4" t="str">
        <f>_xlfn.LET(_xlpm.ig, _xlfn.XLOOKUP(Clean_Data[[#This Row],[Country_Code]], Metadata_Country!$A:$A, Metadata_Country!$C:$C, "Unknown"), IF(OR(_xlpm.ig=0, _xlpm.ig=""), "Regional Aggregate", _xlpm.ig))</f>
        <v>Regional Aggregate</v>
      </c>
      <c r="H716" s="4">
        <f>Clean_Data[[#This Row],[Exports_TIV]] - Clean_Data[[#This Row],[Imports_TIV]]</f>
        <v>4007000000</v>
      </c>
      <c r="I716" s="4">
        <f>Clean_Data[[#This Row],[Exports_TIV]] + Clean_Data[[#This Row],[Imports_TIV]]</f>
        <v>7735000000</v>
      </c>
    </row>
    <row r="717" spans="1:9">
      <c r="A717" s="4" t="s">
        <v>139</v>
      </c>
      <c r="B717" s="4" t="s">
        <v>140</v>
      </c>
      <c r="C717" s="5">
        <v>2020</v>
      </c>
      <c r="D717" s="4">
        <v>11175000000</v>
      </c>
      <c r="E717" s="4">
        <v>4130000000</v>
      </c>
      <c r="F717" s="4" t="str">
        <f>_xlfn.LET(_xlpm.r, _xlfn.XLOOKUP(Clean_Data[[#This Row],[Country_Code]], Metadata_Country!$A:$A, Metadata_Country!$B:$B, "Unknown"), IF(OR(_xlpm.r=0, _xlpm.r=""), "Regional Aggregate", _xlpm.r))</f>
        <v>Regional Aggregate</v>
      </c>
      <c r="G717" s="4" t="str">
        <f>_xlfn.LET(_xlpm.ig, _xlfn.XLOOKUP(Clean_Data[[#This Row],[Country_Code]], Metadata_Country!$A:$A, Metadata_Country!$C:$C, "Unknown"), IF(OR(_xlpm.ig=0, _xlpm.ig=""), "Regional Aggregate", _xlpm.ig))</f>
        <v>Regional Aggregate</v>
      </c>
      <c r="H717" s="4">
        <f>Clean_Data[[#This Row],[Exports_TIV]] - Clean_Data[[#This Row],[Imports_TIV]]</f>
        <v>7045000000</v>
      </c>
      <c r="I717" s="4">
        <f>Clean_Data[[#This Row],[Exports_TIV]] + Clean_Data[[#This Row],[Imports_TIV]]</f>
        <v>15305000000</v>
      </c>
    </row>
    <row r="718" spans="1:9">
      <c r="A718" s="4" t="s">
        <v>137</v>
      </c>
      <c r="B718" s="4" t="s">
        <v>138</v>
      </c>
      <c r="C718" s="5">
        <v>2020</v>
      </c>
      <c r="D718" s="4">
        <v>498000000</v>
      </c>
      <c r="E718" s="4">
        <v>721000000</v>
      </c>
      <c r="F718" s="4" t="str">
        <f>_xlfn.LET(_xlpm.r, _xlfn.XLOOKUP(Clean_Data[[#This Row],[Country_Code]], Metadata_Country!$A:$A, Metadata_Country!$B:$B, "Unknown"), IF(OR(_xlpm.r=0, _xlpm.r=""), "Regional Aggregate", _xlpm.r))</f>
        <v>Regional Aggregate</v>
      </c>
      <c r="G718" s="4" t="str">
        <f>_xlfn.LET(_xlpm.ig, _xlfn.XLOOKUP(Clean_Data[[#This Row],[Country_Code]], Metadata_Country!$A:$A, Metadata_Country!$C:$C, "Unknown"), IF(OR(_xlpm.ig=0, _xlpm.ig=""), "Regional Aggregate", _xlpm.ig))</f>
        <v>Regional Aggregate</v>
      </c>
      <c r="H718" s="4">
        <f>Clean_Data[[#This Row],[Exports_TIV]] - Clean_Data[[#This Row],[Imports_TIV]]</f>
        <v>-223000000</v>
      </c>
      <c r="I718" s="4">
        <f>Clean_Data[[#This Row],[Exports_TIV]] + Clean_Data[[#This Row],[Imports_TIV]]</f>
        <v>1219000000</v>
      </c>
    </row>
    <row r="719" spans="1:9">
      <c r="A719" s="4" t="s">
        <v>471</v>
      </c>
      <c r="B719" s="4" t="s">
        <v>472</v>
      </c>
      <c r="C719" s="5">
        <v>2020</v>
      </c>
      <c r="D719" s="4">
        <v>4161000000</v>
      </c>
      <c r="E719" s="4">
        <v>1087000000</v>
      </c>
      <c r="F719" s="4" t="str">
        <f>_xlfn.LET(_xlpm.r, _xlfn.XLOOKUP(Clean_Data[[#This Row],[Country_Code]], Metadata_Country!$A:$A, Metadata_Country!$B:$B, "Unknown"), IF(OR(_xlpm.r=0, _xlpm.r=""), "Regional Aggregate", _xlpm.r))</f>
        <v>Regional Aggregate</v>
      </c>
      <c r="G719" s="4" t="str">
        <f>_xlfn.LET(_xlpm.ig, _xlfn.XLOOKUP(Clean_Data[[#This Row],[Country_Code]], Metadata_Country!$A:$A, Metadata_Country!$C:$C, "Unknown"), IF(OR(_xlpm.ig=0, _xlpm.ig=""), "Regional Aggregate", _xlpm.ig))</f>
        <v>Regional Aggregate</v>
      </c>
      <c r="H719" s="4">
        <f>Clean_Data[[#This Row],[Exports_TIV]] - Clean_Data[[#This Row],[Imports_TIV]]</f>
        <v>3074000000</v>
      </c>
      <c r="I719" s="4">
        <f>Clean_Data[[#This Row],[Exports_TIV]] + Clean_Data[[#This Row],[Imports_TIV]]</f>
        <v>5248000000</v>
      </c>
    </row>
    <row r="720" spans="1:9">
      <c r="A720" s="4" t="s">
        <v>155</v>
      </c>
      <c r="B720" s="4" t="s">
        <v>156</v>
      </c>
      <c r="C720" s="5">
        <v>2020</v>
      </c>
      <c r="D720" s="4">
        <v>6160000000</v>
      </c>
      <c r="E720" s="4">
        <v>2314000000</v>
      </c>
      <c r="F720" s="4" t="str">
        <f>_xlfn.LET(_xlpm.r, _xlfn.XLOOKUP(Clean_Data[[#This Row],[Country_Code]], Metadata_Country!$A:$A, Metadata_Country!$B:$B, "Unknown"), IF(OR(_xlpm.r=0, _xlpm.r=""), "Regional Aggregate", _xlpm.r))</f>
        <v>Regional Aggregate</v>
      </c>
      <c r="G720" s="4" t="str">
        <f>_xlfn.LET(_xlpm.ig, _xlfn.XLOOKUP(Clean_Data[[#This Row],[Country_Code]], Metadata_Country!$A:$A, Metadata_Country!$C:$C, "Unknown"), IF(OR(_xlpm.ig=0, _xlpm.ig=""), "Regional Aggregate", _xlpm.ig))</f>
        <v>Regional Aggregate</v>
      </c>
      <c r="H720" s="4">
        <f>Clean_Data[[#This Row],[Exports_TIV]] - Clean_Data[[#This Row],[Imports_TIV]]</f>
        <v>3846000000</v>
      </c>
      <c r="I720" s="4">
        <f>Clean_Data[[#This Row],[Exports_TIV]] + Clean_Data[[#This Row],[Imports_TIV]]</f>
        <v>8474000000</v>
      </c>
    </row>
    <row r="721" spans="1:9">
      <c r="A721" s="4" t="s">
        <v>161</v>
      </c>
      <c r="B721" s="4" t="s">
        <v>162</v>
      </c>
      <c r="C721" s="5">
        <v>2020</v>
      </c>
      <c r="D721" s="4">
        <v>0</v>
      </c>
      <c r="E721" s="4">
        <v>7000000</v>
      </c>
      <c r="F721" s="4" t="str">
        <f>_xlfn.LET(_xlpm.r, _xlfn.XLOOKUP(Clean_Data[[#This Row],[Country_Code]], Metadata_Country!$A:$A, Metadata_Country!$B:$B, "Unknown"), IF(OR(_xlpm.r=0, _xlpm.r=""), "Regional Aggregate", _xlpm.r))</f>
        <v>East Asia &amp; Pacific</v>
      </c>
      <c r="G721" s="4" t="str">
        <f>_xlfn.LET(_xlpm.ig, _xlfn.XLOOKUP(Clean_Data[[#This Row],[Country_Code]], Metadata_Country!$A:$A, Metadata_Country!$C:$C, "Unknown"), IF(OR(_xlpm.ig=0, _xlpm.ig=""), "Regional Aggregate", _xlpm.ig))</f>
        <v>Upper middle income</v>
      </c>
      <c r="H721" s="4">
        <f>Clean_Data[[#This Row],[Exports_TIV]] - Clean_Data[[#This Row],[Imports_TIV]]</f>
        <v>-7000000</v>
      </c>
      <c r="I721" s="4">
        <f>Clean_Data[[#This Row],[Exports_TIV]] + Clean_Data[[#This Row],[Imports_TIV]]</f>
        <v>7000000</v>
      </c>
    </row>
    <row r="722" spans="1:9">
      <c r="A722" s="4" t="s">
        <v>159</v>
      </c>
      <c r="B722" s="4" t="s">
        <v>160</v>
      </c>
      <c r="C722" s="5">
        <v>2020</v>
      </c>
      <c r="D722" s="4">
        <v>16000000</v>
      </c>
      <c r="E722" s="4">
        <v>96000000</v>
      </c>
      <c r="F722" s="4" t="str">
        <f>_xlfn.LET(_xlpm.r, _xlfn.XLOOKUP(Clean_Data[[#This Row],[Country_Code]], Metadata_Country!$A:$A, Metadata_Country!$B:$B, "Unknown"), IF(OR(_xlpm.r=0, _xlpm.r=""), "Regional Aggregate", _xlpm.r))</f>
        <v>Europe &amp; Central Asia</v>
      </c>
      <c r="G722" s="4" t="str">
        <f>_xlfn.LET(_xlpm.ig, _xlfn.XLOOKUP(Clean_Data[[#This Row],[Country_Code]], Metadata_Country!$A:$A, Metadata_Country!$C:$C, "Unknown"), IF(OR(_xlpm.ig=0, _xlpm.ig=""), "Regional Aggregate", _xlpm.ig))</f>
        <v>High income</v>
      </c>
      <c r="H722" s="4">
        <f>Clean_Data[[#This Row],[Exports_TIV]] - Clean_Data[[#This Row],[Imports_TIV]]</f>
        <v>-80000000</v>
      </c>
      <c r="I722" s="4">
        <f>Clean_Data[[#This Row],[Exports_TIV]] + Clean_Data[[#This Row],[Imports_TIV]]</f>
        <v>112000000</v>
      </c>
    </row>
    <row r="723" spans="1:9">
      <c r="A723" s="4" t="s">
        <v>157</v>
      </c>
      <c r="B723" s="4" t="s">
        <v>158</v>
      </c>
      <c r="C723" s="5">
        <v>2020</v>
      </c>
      <c r="D723" s="4">
        <v>0</v>
      </c>
      <c r="E723" s="4">
        <v>793000000</v>
      </c>
      <c r="F723" s="4" t="str">
        <f>_xlfn.LET(_xlpm.r, _xlfn.XLOOKUP(Clean_Data[[#This Row],[Country_Code]], Metadata_Country!$A:$A, Metadata_Country!$B:$B, "Unknown"), IF(OR(_xlpm.r=0, _xlpm.r=""), "Regional Aggregate", _xlpm.r))</f>
        <v>Regional Aggregate</v>
      </c>
      <c r="G723" s="4" t="str">
        <f>_xlfn.LET(_xlpm.ig, _xlfn.XLOOKUP(Clean_Data[[#This Row],[Country_Code]], Metadata_Country!$A:$A, Metadata_Country!$C:$C, "Unknown"), IF(OR(_xlpm.ig=0, _xlpm.ig=""), "Regional Aggregate", _xlpm.ig))</f>
        <v>Regional Aggregate</v>
      </c>
      <c r="H723" s="4">
        <f>Clean_Data[[#This Row],[Exports_TIV]] - Clean_Data[[#This Row],[Imports_TIV]]</f>
        <v>-793000000</v>
      </c>
      <c r="I723" s="4">
        <f>Clean_Data[[#This Row],[Exports_TIV]] + Clean_Data[[#This Row],[Imports_TIV]]</f>
        <v>793000000</v>
      </c>
    </row>
    <row r="724" spans="1:9">
      <c r="A724" s="4" t="s">
        <v>163</v>
      </c>
      <c r="B724" s="4" t="s">
        <v>164</v>
      </c>
      <c r="C724" s="5">
        <v>2020</v>
      </c>
      <c r="D724" s="4">
        <v>2290000000</v>
      </c>
      <c r="E724" s="4">
        <v>225000000</v>
      </c>
      <c r="F724" s="4" t="str">
        <f>_xlfn.LET(_xlpm.r, _xlfn.XLOOKUP(Clean_Data[[#This Row],[Country_Code]], Metadata_Country!$A:$A, Metadata_Country!$B:$B, "Unknown"), IF(OR(_xlpm.r=0, _xlpm.r=""), "Regional Aggregate", _xlpm.r))</f>
        <v>Europe &amp; Central Asia</v>
      </c>
      <c r="G724" s="4" t="str">
        <f>_xlfn.LET(_xlpm.ig, _xlfn.XLOOKUP(Clean_Data[[#This Row],[Country_Code]], Metadata_Country!$A:$A, Metadata_Country!$C:$C, "Unknown"), IF(OR(_xlpm.ig=0, _xlpm.ig=""), "Regional Aggregate", _xlpm.ig))</f>
        <v>High income</v>
      </c>
      <c r="H724" s="4">
        <f>Clean_Data[[#This Row],[Exports_TIV]] - Clean_Data[[#This Row],[Imports_TIV]]</f>
        <v>2065000000</v>
      </c>
      <c r="I724" s="4">
        <f>Clean_Data[[#This Row],[Exports_TIV]] + Clean_Data[[#This Row],[Imports_TIV]]</f>
        <v>2515000000</v>
      </c>
    </row>
    <row r="725" spans="1:9">
      <c r="A725" s="4" t="s">
        <v>119</v>
      </c>
      <c r="B725" s="4" t="s">
        <v>120</v>
      </c>
      <c r="C725" s="5">
        <v>2020</v>
      </c>
      <c r="D725" s="4">
        <v>1153000000</v>
      </c>
      <c r="E725" s="4">
        <v>105000000</v>
      </c>
      <c r="F725" s="4" t="str">
        <f>_xlfn.LET(_xlpm.r, _xlfn.XLOOKUP(Clean_Data[[#This Row],[Country_Code]], Metadata_Country!$A:$A, Metadata_Country!$B:$B, "Unknown"), IF(OR(_xlpm.r=0, _xlpm.r=""), "Regional Aggregate", _xlpm.r))</f>
        <v>Europe &amp; Central Asia</v>
      </c>
      <c r="G725" s="4" t="str">
        <f>_xlfn.LET(_xlpm.ig, _xlfn.XLOOKUP(Clean_Data[[#This Row],[Country_Code]], Metadata_Country!$A:$A, Metadata_Country!$C:$C, "Unknown"), IF(OR(_xlpm.ig=0, _xlpm.ig=""), "Regional Aggregate", _xlpm.ig))</f>
        <v>High income</v>
      </c>
      <c r="H725" s="4">
        <f>Clean_Data[[#This Row],[Exports_TIV]] - Clean_Data[[#This Row],[Imports_TIV]]</f>
        <v>1048000000</v>
      </c>
      <c r="I725" s="4">
        <f>Clean_Data[[#This Row],[Exports_TIV]] + Clean_Data[[#This Row],[Imports_TIV]]</f>
        <v>1258000000</v>
      </c>
    </row>
    <row r="726" spans="1:9">
      <c r="A726" s="4" t="s">
        <v>175</v>
      </c>
      <c r="B726" s="4" t="s">
        <v>176</v>
      </c>
      <c r="C726" s="5">
        <v>2020</v>
      </c>
      <c r="D726" s="4">
        <v>0</v>
      </c>
      <c r="E726" s="4">
        <v>12000000</v>
      </c>
      <c r="F726" s="4" t="str">
        <f>_xlfn.LET(_xlpm.r, _xlfn.XLOOKUP(Clean_Data[[#This Row],[Country_Code]], Metadata_Country!$A:$A, Metadata_Country!$B:$B, "Unknown"), IF(OR(_xlpm.r=0, _xlpm.r=""), "Regional Aggregate", _xlpm.r))</f>
        <v>Sub-Saharan Africa</v>
      </c>
      <c r="G726" s="4" t="str">
        <f>_xlfn.LET(_xlpm.ig, _xlfn.XLOOKUP(Clean_Data[[#This Row],[Country_Code]], Metadata_Country!$A:$A, Metadata_Country!$C:$C, "Unknown"), IF(OR(_xlpm.ig=0, _xlpm.ig=""), "Regional Aggregate", _xlpm.ig))</f>
        <v>Lower middle income</v>
      </c>
      <c r="H726" s="4">
        <f>Clean_Data[[#This Row],[Exports_TIV]] - Clean_Data[[#This Row],[Imports_TIV]]</f>
        <v>-12000000</v>
      </c>
      <c r="I726" s="4">
        <f>Clean_Data[[#This Row],[Exports_TIV]] + Clean_Data[[#This Row],[Imports_TIV]]</f>
        <v>12000000</v>
      </c>
    </row>
    <row r="727" spans="1:9">
      <c r="A727" s="4" t="s">
        <v>187</v>
      </c>
      <c r="B727" s="4" t="s">
        <v>188</v>
      </c>
      <c r="C727" s="5">
        <v>2020</v>
      </c>
      <c r="D727" s="4">
        <v>0</v>
      </c>
      <c r="E727" s="4">
        <v>92000000</v>
      </c>
      <c r="F727" s="4" t="str">
        <f>_xlfn.LET(_xlpm.r, _xlfn.XLOOKUP(Clean_Data[[#This Row],[Country_Code]], Metadata_Country!$A:$A, Metadata_Country!$B:$B, "Unknown"), IF(OR(_xlpm.r=0, _xlpm.r=""), "Regional Aggregate", _xlpm.r))</f>
        <v>Europe &amp; Central Asia</v>
      </c>
      <c r="G727" s="4" t="str">
        <f>_xlfn.LET(_xlpm.ig, _xlfn.XLOOKUP(Clean_Data[[#This Row],[Country_Code]], Metadata_Country!$A:$A, Metadata_Country!$C:$C, "Unknown"), IF(OR(_xlpm.ig=0, _xlpm.ig=""), "Regional Aggregate", _xlpm.ig))</f>
        <v>High income</v>
      </c>
      <c r="H727" s="4">
        <f>Clean_Data[[#This Row],[Exports_TIV]] - Clean_Data[[#This Row],[Imports_TIV]]</f>
        <v>-92000000</v>
      </c>
      <c r="I727" s="4">
        <f>Clean_Data[[#This Row],[Exports_TIV]] + Clean_Data[[#This Row],[Imports_TIV]]</f>
        <v>92000000</v>
      </c>
    </row>
    <row r="728" spans="1:9">
      <c r="A728" s="4" t="s">
        <v>205</v>
      </c>
      <c r="B728" s="4" t="s">
        <v>206</v>
      </c>
      <c r="C728" s="5">
        <v>2020</v>
      </c>
      <c r="D728" s="4">
        <v>0</v>
      </c>
      <c r="E728" s="4">
        <v>507000000</v>
      </c>
      <c r="F728" s="4" t="str">
        <f>_xlfn.LET(_xlpm.r, _xlfn.XLOOKUP(Clean_Data[[#This Row],[Country_Code]], Metadata_Country!$A:$A, Metadata_Country!$B:$B, "Unknown"), IF(OR(_xlpm.r=0, _xlpm.r=""), "Regional Aggregate", _xlpm.r))</f>
        <v>Regional Aggregate</v>
      </c>
      <c r="G728" s="4" t="str">
        <f>_xlfn.LET(_xlpm.ig, _xlfn.XLOOKUP(Clean_Data[[#This Row],[Country_Code]], Metadata_Country!$A:$A, Metadata_Country!$C:$C, "Unknown"), IF(OR(_xlpm.ig=0, _xlpm.ig=""), "Regional Aggregate", _xlpm.ig))</f>
        <v>Regional Aggregate</v>
      </c>
      <c r="H728" s="4">
        <f>Clean_Data[[#This Row],[Exports_TIV]] - Clean_Data[[#This Row],[Imports_TIV]]</f>
        <v>-507000000</v>
      </c>
      <c r="I728" s="4">
        <f>Clean_Data[[#This Row],[Exports_TIV]] + Clean_Data[[#This Row],[Imports_TIV]]</f>
        <v>507000000</v>
      </c>
    </row>
    <row r="729" spans="1:9">
      <c r="A729" s="4" t="s">
        <v>199</v>
      </c>
      <c r="B729" s="4" t="s">
        <v>200</v>
      </c>
      <c r="C729" s="5">
        <v>2020</v>
      </c>
      <c r="D729" s="4">
        <v>22356000000</v>
      </c>
      <c r="E729" s="4">
        <v>13607000000</v>
      </c>
      <c r="F729" s="4" t="str">
        <f>_xlfn.LET(_xlpm.r, _xlfn.XLOOKUP(Clean_Data[[#This Row],[Country_Code]], Metadata_Country!$A:$A, Metadata_Country!$B:$B, "Unknown"), IF(OR(_xlpm.r=0, _xlpm.r=""), "Regional Aggregate", _xlpm.r))</f>
        <v>Regional Aggregate</v>
      </c>
      <c r="G729" s="4" t="str">
        <f>_xlfn.LET(_xlpm.ig, _xlfn.XLOOKUP(Clean_Data[[#This Row],[Country_Code]], Metadata_Country!$A:$A, Metadata_Country!$C:$C, "Unknown"), IF(OR(_xlpm.ig=0, _xlpm.ig=""), "Regional Aggregate", _xlpm.ig))</f>
        <v>Regional Aggregate</v>
      </c>
      <c r="H729" s="4">
        <f>Clean_Data[[#This Row],[Exports_TIV]] - Clean_Data[[#This Row],[Imports_TIV]]</f>
        <v>8749000000</v>
      </c>
      <c r="I729" s="4">
        <f>Clean_Data[[#This Row],[Exports_TIV]] + Clean_Data[[#This Row],[Imports_TIV]]</f>
        <v>35963000000</v>
      </c>
    </row>
    <row r="730" spans="1:9">
      <c r="A730" s="4" t="s">
        <v>203</v>
      </c>
      <c r="B730" s="4" t="s">
        <v>204</v>
      </c>
      <c r="C730" s="5">
        <v>2020</v>
      </c>
      <c r="D730" s="4">
        <v>0</v>
      </c>
      <c r="E730" s="4">
        <v>0</v>
      </c>
      <c r="F730" s="4" t="str">
        <f>_xlfn.LET(_xlpm.r, _xlfn.XLOOKUP(Clean_Data[[#This Row],[Country_Code]], Metadata_Country!$A:$A, Metadata_Country!$B:$B, "Unknown"), IF(OR(_xlpm.r=0, _xlpm.r=""), "Regional Aggregate", _xlpm.r))</f>
        <v>Latin America &amp; Caribbean</v>
      </c>
      <c r="G730" s="4" t="str">
        <f>_xlfn.LET(_xlpm.ig, _xlfn.XLOOKUP(Clean_Data[[#This Row],[Country_Code]], Metadata_Country!$A:$A, Metadata_Country!$C:$C, "Unknown"), IF(OR(_xlpm.ig=0, _xlpm.ig=""), "Regional Aggregate", _xlpm.ig))</f>
        <v>Lower middle income</v>
      </c>
      <c r="H730" s="4">
        <f>Clean_Data[[#This Row],[Exports_TIV]] - Clean_Data[[#This Row],[Imports_TIV]]</f>
        <v>0</v>
      </c>
      <c r="I730" s="4">
        <f>Clean_Data[[#This Row],[Exports_TIV]] + Clean_Data[[#This Row],[Imports_TIV]]</f>
        <v>0</v>
      </c>
    </row>
    <row r="731" spans="1:9">
      <c r="A731" s="4" t="s">
        <v>211</v>
      </c>
      <c r="B731" s="4" t="s">
        <v>212</v>
      </c>
      <c r="C731" s="5">
        <v>2020</v>
      </c>
      <c r="D731" s="4">
        <v>0</v>
      </c>
      <c r="E731" s="4">
        <v>55000000</v>
      </c>
      <c r="F731" s="4" t="str">
        <f>_xlfn.LET(_xlpm.r, _xlfn.XLOOKUP(Clean_Data[[#This Row],[Country_Code]], Metadata_Country!$A:$A, Metadata_Country!$B:$B, "Unknown"), IF(OR(_xlpm.r=0, _xlpm.r=""), "Regional Aggregate", _xlpm.r))</f>
        <v>Europe &amp; Central Asia</v>
      </c>
      <c r="G731" s="4" t="str">
        <f>_xlfn.LET(_xlpm.ig, _xlfn.XLOOKUP(Clean_Data[[#This Row],[Country_Code]], Metadata_Country!$A:$A, Metadata_Country!$C:$C, "Unknown"), IF(OR(_xlpm.ig=0, _xlpm.ig=""), "Regional Aggregate", _xlpm.ig))</f>
        <v>High income</v>
      </c>
      <c r="H731" s="4">
        <f>Clean_Data[[#This Row],[Exports_TIV]] - Clean_Data[[#This Row],[Imports_TIV]]</f>
        <v>-55000000</v>
      </c>
      <c r="I731" s="4">
        <f>Clean_Data[[#This Row],[Exports_TIV]] + Clean_Data[[#This Row],[Imports_TIV]]</f>
        <v>55000000</v>
      </c>
    </row>
    <row r="732" spans="1:9">
      <c r="A732" s="4" t="s">
        <v>213</v>
      </c>
      <c r="B732" s="4" t="s">
        <v>214</v>
      </c>
      <c r="C732" s="5">
        <v>2020</v>
      </c>
      <c r="D732" s="4">
        <v>5359000000</v>
      </c>
      <c r="E732" s="4">
        <v>8699000000</v>
      </c>
      <c r="F732" s="4" t="str">
        <f>_xlfn.LET(_xlpm.r, _xlfn.XLOOKUP(Clean_Data[[#This Row],[Country_Code]], Metadata_Country!$A:$A, Metadata_Country!$B:$B, "Unknown"), IF(OR(_xlpm.r=0, _xlpm.r=""), "Regional Aggregate", _xlpm.r))</f>
        <v>Regional Aggregate</v>
      </c>
      <c r="G732" s="4" t="str">
        <f>_xlfn.LET(_xlpm.ig, _xlfn.XLOOKUP(Clean_Data[[#This Row],[Country_Code]], Metadata_Country!$A:$A, Metadata_Country!$C:$C, "Unknown"), IF(OR(_xlpm.ig=0, _xlpm.ig=""), "Regional Aggregate", _xlpm.ig))</f>
        <v>Regional Aggregate</v>
      </c>
      <c r="H732" s="4">
        <f>Clean_Data[[#This Row],[Exports_TIV]] - Clean_Data[[#This Row],[Imports_TIV]]</f>
        <v>-3340000000</v>
      </c>
      <c r="I732" s="4">
        <f>Clean_Data[[#This Row],[Exports_TIV]] + Clean_Data[[#This Row],[Imports_TIV]]</f>
        <v>14058000000</v>
      </c>
    </row>
    <row r="733" spans="1:9">
      <c r="A733" s="4" t="s">
        <v>215</v>
      </c>
      <c r="B733" s="4" t="s">
        <v>216</v>
      </c>
      <c r="C733" s="5">
        <v>2020</v>
      </c>
      <c r="D733" s="4">
        <v>0</v>
      </c>
      <c r="E733" s="4">
        <v>10458000000</v>
      </c>
      <c r="F733" s="4" t="str">
        <f>_xlfn.LET(_xlpm.r, _xlfn.XLOOKUP(Clean_Data[[#This Row],[Country_Code]], Metadata_Country!$A:$A, Metadata_Country!$B:$B, "Unknown"), IF(OR(_xlpm.r=0, _xlpm.r=""), "Regional Aggregate", _xlpm.r))</f>
        <v>Regional Aggregate</v>
      </c>
      <c r="G733" s="4" t="str">
        <f>_xlfn.LET(_xlpm.ig, _xlfn.XLOOKUP(Clean_Data[[#This Row],[Country_Code]], Metadata_Country!$A:$A, Metadata_Country!$C:$C, "Unknown"), IF(OR(_xlpm.ig=0, _xlpm.ig=""), "Regional Aggregate", _xlpm.ig))</f>
        <v>Regional Aggregate</v>
      </c>
      <c r="H733" s="4">
        <f>Clean_Data[[#This Row],[Exports_TIV]] - Clean_Data[[#This Row],[Imports_TIV]]</f>
        <v>-10458000000</v>
      </c>
      <c r="I733" s="4">
        <f>Clean_Data[[#This Row],[Exports_TIV]] + Clean_Data[[#This Row],[Imports_TIV]]</f>
        <v>10458000000</v>
      </c>
    </row>
    <row r="734" spans="1:9">
      <c r="A734" s="4" t="s">
        <v>219</v>
      </c>
      <c r="B734" s="4" t="s">
        <v>220</v>
      </c>
      <c r="C734" s="5">
        <v>2020</v>
      </c>
      <c r="D734" s="4">
        <v>0</v>
      </c>
      <c r="E734" s="4">
        <v>885000000</v>
      </c>
      <c r="F734" s="4" t="str">
        <f>_xlfn.LET(_xlpm.r, _xlfn.XLOOKUP(Clean_Data[[#This Row],[Country_Code]], Metadata_Country!$A:$A, Metadata_Country!$B:$B, "Unknown"), IF(OR(_xlpm.r=0, _xlpm.r=""), "Regional Aggregate", _xlpm.r))</f>
        <v>Regional Aggregate</v>
      </c>
      <c r="G734" s="4" t="str">
        <f>_xlfn.LET(_xlpm.ig, _xlfn.XLOOKUP(Clean_Data[[#This Row],[Country_Code]], Metadata_Country!$A:$A, Metadata_Country!$C:$C, "Unknown"), IF(OR(_xlpm.ig=0, _xlpm.ig=""), "Regional Aggregate", _xlpm.ig))</f>
        <v>Regional Aggregate</v>
      </c>
      <c r="H734" s="4">
        <f>Clean_Data[[#This Row],[Exports_TIV]] - Clean_Data[[#This Row],[Imports_TIV]]</f>
        <v>-885000000</v>
      </c>
      <c r="I734" s="4">
        <f>Clean_Data[[#This Row],[Exports_TIV]] + Clean_Data[[#This Row],[Imports_TIV]]</f>
        <v>885000000</v>
      </c>
    </row>
    <row r="735" spans="1:9">
      <c r="A735" s="4" t="s">
        <v>217</v>
      </c>
      <c r="B735" s="4" t="s">
        <v>218</v>
      </c>
      <c r="C735" s="5">
        <v>2020</v>
      </c>
      <c r="D735" s="4">
        <v>0</v>
      </c>
      <c r="E735" s="4">
        <v>1759000000</v>
      </c>
      <c r="F735" s="4" t="str">
        <f>_xlfn.LET(_xlpm.r, _xlfn.XLOOKUP(Clean_Data[[#This Row],[Country_Code]], Metadata_Country!$A:$A, Metadata_Country!$B:$B, "Unknown"), IF(OR(_xlpm.r=0, _xlpm.r=""), "Regional Aggregate", _xlpm.r))</f>
        <v>Regional Aggregate</v>
      </c>
      <c r="G735" s="4" t="str">
        <f>_xlfn.LET(_xlpm.ig, _xlfn.XLOOKUP(Clean_Data[[#This Row],[Country_Code]], Metadata_Country!$A:$A, Metadata_Country!$C:$C, "Unknown"), IF(OR(_xlpm.ig=0, _xlpm.ig=""), "Regional Aggregate", _xlpm.ig))</f>
        <v>Regional Aggregate</v>
      </c>
      <c r="H735" s="4">
        <f>Clean_Data[[#This Row],[Exports_TIV]] - Clean_Data[[#This Row],[Imports_TIV]]</f>
        <v>-1759000000</v>
      </c>
      <c r="I735" s="4">
        <f>Clean_Data[[#This Row],[Exports_TIV]] + Clean_Data[[#This Row],[Imports_TIV]]</f>
        <v>1759000000</v>
      </c>
    </row>
    <row r="736" spans="1:9">
      <c r="A736" s="4" t="s">
        <v>227</v>
      </c>
      <c r="B736" s="4" t="s">
        <v>228</v>
      </c>
      <c r="C736" s="5">
        <v>2020</v>
      </c>
      <c r="D736" s="4">
        <v>153000000</v>
      </c>
      <c r="E736" s="4">
        <v>2670000000</v>
      </c>
      <c r="F736" s="4" t="str">
        <f>_xlfn.LET(_xlpm.r, _xlfn.XLOOKUP(Clean_Data[[#This Row],[Country_Code]], Metadata_Country!$A:$A, Metadata_Country!$B:$B, "Unknown"), IF(OR(_xlpm.r=0, _xlpm.r=""), "Regional Aggregate", _xlpm.r))</f>
        <v>South Asia</v>
      </c>
      <c r="G736" s="4" t="str">
        <f>_xlfn.LET(_xlpm.ig, _xlfn.XLOOKUP(Clean_Data[[#This Row],[Country_Code]], Metadata_Country!$A:$A, Metadata_Country!$C:$C, "Unknown"), IF(OR(_xlpm.ig=0, _xlpm.ig=""), "Regional Aggregate", _xlpm.ig))</f>
        <v>Lower middle income</v>
      </c>
      <c r="H736" s="4">
        <f>Clean_Data[[#This Row],[Exports_TIV]] - Clean_Data[[#This Row],[Imports_TIV]]</f>
        <v>-2517000000</v>
      </c>
      <c r="I736" s="4">
        <f>Clean_Data[[#This Row],[Exports_TIV]] + Clean_Data[[#This Row],[Imports_TIV]]</f>
        <v>2823000000</v>
      </c>
    </row>
    <row r="737" spans="1:9">
      <c r="A737" s="4" t="s">
        <v>221</v>
      </c>
      <c r="B737" s="4" t="s">
        <v>222</v>
      </c>
      <c r="C737" s="5">
        <v>2020</v>
      </c>
      <c r="D737" s="4">
        <v>0</v>
      </c>
      <c r="E737" s="4">
        <v>283000000</v>
      </c>
      <c r="F737" s="4" t="str">
        <f>_xlfn.LET(_xlpm.r, _xlfn.XLOOKUP(Clean_Data[[#This Row],[Country_Code]], Metadata_Country!$A:$A, Metadata_Country!$B:$B, "Unknown"), IF(OR(_xlpm.r=0, _xlpm.r=""), "Regional Aggregate", _xlpm.r))</f>
        <v>East Asia &amp; Pacific</v>
      </c>
      <c r="G737" s="4" t="str">
        <f>_xlfn.LET(_xlpm.ig, _xlfn.XLOOKUP(Clean_Data[[#This Row],[Country_Code]], Metadata_Country!$A:$A, Metadata_Country!$C:$C, "Unknown"), IF(OR(_xlpm.ig=0, _xlpm.ig=""), "Regional Aggregate", _xlpm.ig))</f>
        <v>Upper middle income</v>
      </c>
      <c r="H737" s="4">
        <f>Clean_Data[[#This Row],[Exports_TIV]] - Clean_Data[[#This Row],[Imports_TIV]]</f>
        <v>-283000000</v>
      </c>
      <c r="I737" s="4">
        <f>Clean_Data[[#This Row],[Exports_TIV]] + Clean_Data[[#This Row],[Imports_TIV]]</f>
        <v>283000000</v>
      </c>
    </row>
    <row r="738" spans="1:9">
      <c r="A738" s="4" t="s">
        <v>233</v>
      </c>
      <c r="B738" s="4" t="s">
        <v>234</v>
      </c>
      <c r="C738" s="5">
        <v>2020</v>
      </c>
      <c r="D738" s="4">
        <v>16000000</v>
      </c>
      <c r="E738" s="4">
        <v>2000000</v>
      </c>
      <c r="F738" s="4" t="str">
        <f>_xlfn.LET(_xlpm.r, _xlfn.XLOOKUP(Clean_Data[[#This Row],[Country_Code]], Metadata_Country!$A:$A, Metadata_Country!$B:$B, "Unknown"), IF(OR(_xlpm.r=0, _xlpm.r=""), "Regional Aggregate", _xlpm.r))</f>
        <v>Middle East &amp; North Africa</v>
      </c>
      <c r="G738" s="4" t="str">
        <f>_xlfn.LET(_xlpm.ig, _xlfn.XLOOKUP(Clean_Data[[#This Row],[Country_Code]], Metadata_Country!$A:$A, Metadata_Country!$C:$C, "Unknown"), IF(OR(_xlpm.ig=0, _xlpm.ig=""), "Regional Aggregate", _xlpm.ig))</f>
        <v>Upper middle income</v>
      </c>
      <c r="H738" s="4">
        <f>Clean_Data[[#This Row],[Exports_TIV]] - Clean_Data[[#This Row],[Imports_TIV]]</f>
        <v>14000000</v>
      </c>
      <c r="I738" s="4">
        <f>Clean_Data[[#This Row],[Exports_TIV]] + Clean_Data[[#This Row],[Imports_TIV]]</f>
        <v>18000000</v>
      </c>
    </row>
    <row r="739" spans="1:9">
      <c r="A739" s="4" t="s">
        <v>235</v>
      </c>
      <c r="B739" s="4" t="s">
        <v>236</v>
      </c>
      <c r="C739" s="5">
        <v>2020</v>
      </c>
      <c r="D739" s="4">
        <v>0</v>
      </c>
      <c r="E739" s="4">
        <v>5000000</v>
      </c>
      <c r="F739" s="4" t="str">
        <f>_xlfn.LET(_xlpm.r, _xlfn.XLOOKUP(Clean_Data[[#This Row],[Country_Code]], Metadata_Country!$A:$A, Metadata_Country!$B:$B, "Unknown"), IF(OR(_xlpm.r=0, _xlpm.r=""), "Regional Aggregate", _xlpm.r))</f>
        <v>Middle East &amp; North Africa</v>
      </c>
      <c r="G739" s="4" t="str">
        <f>_xlfn.LET(_xlpm.ig, _xlfn.XLOOKUP(Clean_Data[[#This Row],[Country_Code]], Metadata_Country!$A:$A, Metadata_Country!$C:$C, "Unknown"), IF(OR(_xlpm.ig=0, _xlpm.ig=""), "Regional Aggregate", _xlpm.ig))</f>
        <v>Upper middle income</v>
      </c>
      <c r="H739" s="4">
        <f>Clean_Data[[#This Row],[Exports_TIV]] - Clean_Data[[#This Row],[Imports_TIV]]</f>
        <v>-5000000</v>
      </c>
      <c r="I739" s="4">
        <f>Clean_Data[[#This Row],[Exports_TIV]] + Clean_Data[[#This Row],[Imports_TIV]]</f>
        <v>5000000</v>
      </c>
    </row>
    <row r="740" spans="1:9">
      <c r="A740" s="4" t="s">
        <v>231</v>
      </c>
      <c r="B740" s="4" t="s">
        <v>232</v>
      </c>
      <c r="C740" s="5">
        <v>2020</v>
      </c>
      <c r="D740" s="4">
        <v>0</v>
      </c>
      <c r="E740" s="4">
        <v>9000000</v>
      </c>
      <c r="F740" s="4" t="str">
        <f>_xlfn.LET(_xlpm.r, _xlfn.XLOOKUP(Clean_Data[[#This Row],[Country_Code]], Metadata_Country!$A:$A, Metadata_Country!$B:$B, "Unknown"), IF(OR(_xlpm.r=0, _xlpm.r=""), "Regional Aggregate", _xlpm.r))</f>
        <v>Europe &amp; Central Asia</v>
      </c>
      <c r="G740" s="4" t="str">
        <f>_xlfn.LET(_xlpm.ig, _xlfn.XLOOKUP(Clean_Data[[#This Row],[Country_Code]], Metadata_Country!$A:$A, Metadata_Country!$C:$C, "Unknown"), IF(OR(_xlpm.ig=0, _xlpm.ig=""), "Regional Aggregate", _xlpm.ig))</f>
        <v>High income</v>
      </c>
      <c r="H740" s="4">
        <f>Clean_Data[[#This Row],[Exports_TIV]] - Clean_Data[[#This Row],[Imports_TIV]]</f>
        <v>-9000000</v>
      </c>
      <c r="I740" s="4">
        <f>Clean_Data[[#This Row],[Exports_TIV]] + Clean_Data[[#This Row],[Imports_TIV]]</f>
        <v>9000000</v>
      </c>
    </row>
    <row r="741" spans="1:9">
      <c r="A741" s="4" t="s">
        <v>239</v>
      </c>
      <c r="B741" s="4" t="s">
        <v>240</v>
      </c>
      <c r="C741" s="5">
        <v>2020</v>
      </c>
      <c r="D741" s="4">
        <v>356000000</v>
      </c>
      <c r="E741" s="4">
        <v>379000000</v>
      </c>
      <c r="F741" s="4" t="str">
        <f>_xlfn.LET(_xlpm.r, _xlfn.XLOOKUP(Clean_Data[[#This Row],[Country_Code]], Metadata_Country!$A:$A, Metadata_Country!$B:$B, "Unknown"), IF(OR(_xlpm.r=0, _xlpm.r=""), "Regional Aggregate", _xlpm.r))</f>
        <v>Middle East &amp; North Africa</v>
      </c>
      <c r="G741" s="4" t="str">
        <f>_xlfn.LET(_xlpm.ig, _xlfn.XLOOKUP(Clean_Data[[#This Row],[Country_Code]], Metadata_Country!$A:$A, Metadata_Country!$C:$C, "Unknown"), IF(OR(_xlpm.ig=0, _xlpm.ig=""), "Regional Aggregate", _xlpm.ig))</f>
        <v>High income</v>
      </c>
      <c r="H741" s="4">
        <f>Clean_Data[[#This Row],[Exports_TIV]] - Clean_Data[[#This Row],[Imports_TIV]]</f>
        <v>-23000000</v>
      </c>
      <c r="I741" s="4">
        <f>Clean_Data[[#This Row],[Exports_TIV]] + Clean_Data[[#This Row],[Imports_TIV]]</f>
        <v>735000000</v>
      </c>
    </row>
    <row r="742" spans="1:9">
      <c r="A742" s="4" t="s">
        <v>241</v>
      </c>
      <c r="B742" s="4" t="s">
        <v>242</v>
      </c>
      <c r="C742" s="5">
        <v>2020</v>
      </c>
      <c r="D742" s="4">
        <v>821000000</v>
      </c>
      <c r="E742" s="4">
        <v>201000000</v>
      </c>
      <c r="F742" s="4" t="str">
        <f>_xlfn.LET(_xlpm.r, _xlfn.XLOOKUP(Clean_Data[[#This Row],[Country_Code]], Metadata_Country!$A:$A, Metadata_Country!$B:$B, "Unknown"), IF(OR(_xlpm.r=0, _xlpm.r=""), "Regional Aggregate", _xlpm.r))</f>
        <v>Europe &amp; Central Asia</v>
      </c>
      <c r="G742" s="4" t="str">
        <f>_xlfn.LET(_xlpm.ig, _xlfn.XLOOKUP(Clean_Data[[#This Row],[Country_Code]], Metadata_Country!$A:$A, Metadata_Country!$C:$C, "Unknown"), IF(OR(_xlpm.ig=0, _xlpm.ig=""), "Regional Aggregate", _xlpm.ig))</f>
        <v>High income</v>
      </c>
      <c r="H742" s="4">
        <f>Clean_Data[[#This Row],[Exports_TIV]] - Clean_Data[[#This Row],[Imports_TIV]]</f>
        <v>620000000</v>
      </c>
      <c r="I742" s="4">
        <f>Clean_Data[[#This Row],[Exports_TIV]] + Clean_Data[[#This Row],[Imports_TIV]]</f>
        <v>1022000000</v>
      </c>
    </row>
    <row r="743" spans="1:9">
      <c r="A743" s="4" t="s">
        <v>243</v>
      </c>
      <c r="B743" s="4" t="s">
        <v>244</v>
      </c>
      <c r="C743" s="5">
        <v>2020</v>
      </c>
      <c r="D743" s="4">
        <v>0</v>
      </c>
      <c r="E743" s="4">
        <v>10000000</v>
      </c>
      <c r="F743" s="4" t="str">
        <f>_xlfn.LET(_xlpm.r, _xlfn.XLOOKUP(Clean_Data[[#This Row],[Country_Code]], Metadata_Country!$A:$A, Metadata_Country!$B:$B, "Unknown"), IF(OR(_xlpm.r=0, _xlpm.r=""), "Regional Aggregate", _xlpm.r))</f>
        <v>Latin America &amp; Caribbean</v>
      </c>
      <c r="G743" s="4" t="str">
        <f>_xlfn.LET(_xlpm.ig, _xlfn.XLOOKUP(Clean_Data[[#This Row],[Country_Code]], Metadata_Country!$A:$A, Metadata_Country!$C:$C, "Unknown"), IF(OR(_xlpm.ig=0, _xlpm.ig=""), "Regional Aggregate", _xlpm.ig))</f>
        <v>Upper middle income</v>
      </c>
      <c r="H743" s="4">
        <f>Clean_Data[[#This Row],[Exports_TIV]] - Clean_Data[[#This Row],[Imports_TIV]]</f>
        <v>-10000000</v>
      </c>
      <c r="I743" s="4">
        <f>Clean_Data[[#This Row],[Exports_TIV]] + Clean_Data[[#This Row],[Imports_TIV]]</f>
        <v>10000000</v>
      </c>
    </row>
    <row r="744" spans="1:9">
      <c r="A744" s="4" t="s">
        <v>247</v>
      </c>
      <c r="B744" s="4" t="s">
        <v>248</v>
      </c>
      <c r="C744" s="5">
        <v>2020</v>
      </c>
      <c r="D744" s="4">
        <v>0</v>
      </c>
      <c r="E744" s="4">
        <v>929000000</v>
      </c>
      <c r="F744" s="4" t="str">
        <f>_xlfn.LET(_xlpm.r, _xlfn.XLOOKUP(Clean_Data[[#This Row],[Country_Code]], Metadata_Country!$A:$A, Metadata_Country!$B:$B, "Unknown"), IF(OR(_xlpm.r=0, _xlpm.r=""), "Regional Aggregate", _xlpm.r))</f>
        <v>East Asia &amp; Pacific</v>
      </c>
      <c r="G744" s="4" t="str">
        <f>_xlfn.LET(_xlpm.ig, _xlfn.XLOOKUP(Clean_Data[[#This Row],[Country_Code]], Metadata_Country!$A:$A, Metadata_Country!$C:$C, "Unknown"), IF(OR(_xlpm.ig=0, _xlpm.ig=""), "Regional Aggregate", _xlpm.ig))</f>
        <v>High income</v>
      </c>
      <c r="H744" s="4">
        <f>Clean_Data[[#This Row],[Exports_TIV]] - Clean_Data[[#This Row],[Imports_TIV]]</f>
        <v>-929000000</v>
      </c>
      <c r="I744" s="4">
        <f>Clean_Data[[#This Row],[Exports_TIV]] + Clean_Data[[#This Row],[Imports_TIV]]</f>
        <v>929000000</v>
      </c>
    </row>
    <row r="745" spans="1:9">
      <c r="A745" s="4" t="s">
        <v>245</v>
      </c>
      <c r="B745" s="4" t="s">
        <v>246</v>
      </c>
      <c r="C745" s="5">
        <v>2020</v>
      </c>
      <c r="D745" s="4">
        <v>66000000</v>
      </c>
      <c r="E745" s="4">
        <v>148000000</v>
      </c>
      <c r="F745" s="4" t="str">
        <f>_xlfn.LET(_xlpm.r, _xlfn.XLOOKUP(Clean_Data[[#This Row],[Country_Code]], Metadata_Country!$A:$A, Metadata_Country!$B:$B, "Unknown"), IF(OR(_xlpm.r=0, _xlpm.r=""), "Regional Aggregate", _xlpm.r))</f>
        <v>Middle East &amp; North Africa</v>
      </c>
      <c r="G745" s="4" t="str">
        <f>_xlfn.LET(_xlpm.ig, _xlfn.XLOOKUP(Clean_Data[[#This Row],[Country_Code]], Metadata_Country!$A:$A, Metadata_Country!$C:$C, "Unknown"), IF(OR(_xlpm.ig=0, _xlpm.ig=""), "Regional Aggregate", _xlpm.ig))</f>
        <v>Upper middle income</v>
      </c>
      <c r="H745" s="4">
        <f>Clean_Data[[#This Row],[Exports_TIV]] - Clean_Data[[#This Row],[Imports_TIV]]</f>
        <v>-82000000</v>
      </c>
      <c r="I745" s="4">
        <f>Clean_Data[[#This Row],[Exports_TIV]] + Clean_Data[[#This Row],[Imports_TIV]]</f>
        <v>214000000</v>
      </c>
    </row>
    <row r="746" spans="1:9">
      <c r="A746" s="4" t="s">
        <v>249</v>
      </c>
      <c r="B746" s="4" t="s">
        <v>250</v>
      </c>
      <c r="C746" s="5">
        <v>2020</v>
      </c>
      <c r="D746" s="4">
        <v>0</v>
      </c>
      <c r="E746" s="4">
        <v>270000000</v>
      </c>
      <c r="F746" s="4" t="str">
        <f>_xlfn.LET(_xlpm.r, _xlfn.XLOOKUP(Clean_Data[[#This Row],[Country_Code]], Metadata_Country!$A:$A, Metadata_Country!$B:$B, "Unknown"), IF(OR(_xlpm.r=0, _xlpm.r=""), "Regional Aggregate", _xlpm.r))</f>
        <v>Europe &amp; Central Asia</v>
      </c>
      <c r="G746" s="4" t="str">
        <f>_xlfn.LET(_xlpm.ig, _xlfn.XLOOKUP(Clean_Data[[#This Row],[Country_Code]], Metadata_Country!$A:$A, Metadata_Country!$C:$C, "Unknown"), IF(OR(_xlpm.ig=0, _xlpm.ig=""), "Regional Aggregate", _xlpm.ig))</f>
        <v>Upper middle income</v>
      </c>
      <c r="H746" s="4">
        <f>Clean_Data[[#This Row],[Exports_TIV]] - Clean_Data[[#This Row],[Imports_TIV]]</f>
        <v>-270000000</v>
      </c>
      <c r="I746" s="4">
        <f>Clean_Data[[#This Row],[Exports_TIV]] + Clean_Data[[#This Row],[Imports_TIV]]</f>
        <v>270000000</v>
      </c>
    </row>
    <row r="747" spans="1:9">
      <c r="A747" s="4" t="s">
        <v>251</v>
      </c>
      <c r="B747" s="4" t="s">
        <v>252</v>
      </c>
      <c r="C747" s="5">
        <v>2020</v>
      </c>
      <c r="D747" s="4">
        <v>0</v>
      </c>
      <c r="E747" s="4">
        <v>71000000</v>
      </c>
      <c r="F747" s="4" t="str">
        <f>_xlfn.LET(_xlpm.r, _xlfn.XLOOKUP(Clean_Data[[#This Row],[Country_Code]], Metadata_Country!$A:$A, Metadata_Country!$B:$B, "Unknown"), IF(OR(_xlpm.r=0, _xlpm.r=""), "Regional Aggregate", _xlpm.r))</f>
        <v>Sub-Saharan Africa</v>
      </c>
      <c r="G747" s="4" t="str">
        <f>_xlfn.LET(_xlpm.ig, _xlfn.XLOOKUP(Clean_Data[[#This Row],[Country_Code]], Metadata_Country!$A:$A, Metadata_Country!$C:$C, "Unknown"), IF(OR(_xlpm.ig=0, _xlpm.ig=""), "Regional Aggregate", _xlpm.ig))</f>
        <v>Lower middle income</v>
      </c>
      <c r="H747" s="4">
        <f>Clean_Data[[#This Row],[Exports_TIV]] - Clean_Data[[#This Row],[Imports_TIV]]</f>
        <v>-71000000</v>
      </c>
      <c r="I747" s="4">
        <f>Clean_Data[[#This Row],[Exports_TIV]] + Clean_Data[[#This Row],[Imports_TIV]]</f>
        <v>71000000</v>
      </c>
    </row>
    <row r="748" spans="1:9">
      <c r="A748" s="4" t="s">
        <v>261</v>
      </c>
      <c r="B748" s="4" t="s">
        <v>262</v>
      </c>
      <c r="C748" s="5">
        <v>2020</v>
      </c>
      <c r="D748" s="4">
        <v>829000000</v>
      </c>
      <c r="E748" s="4">
        <v>1273000000</v>
      </c>
      <c r="F748" s="4" t="str">
        <f>_xlfn.LET(_xlpm.r, _xlfn.XLOOKUP(Clean_Data[[#This Row],[Country_Code]], Metadata_Country!$A:$A, Metadata_Country!$B:$B, "Unknown"), IF(OR(_xlpm.r=0, _xlpm.r=""), "Regional Aggregate", _xlpm.r))</f>
        <v>East Asia &amp; Pacific</v>
      </c>
      <c r="G748" s="4" t="str">
        <f>_xlfn.LET(_xlpm.ig, _xlfn.XLOOKUP(Clean_Data[[#This Row],[Country_Code]], Metadata_Country!$A:$A, Metadata_Country!$C:$C, "Unknown"), IF(OR(_xlpm.ig=0, _xlpm.ig=""), "Regional Aggregate", _xlpm.ig))</f>
        <v>High income</v>
      </c>
      <c r="H748" s="4">
        <f>Clean_Data[[#This Row],[Exports_TIV]] - Clean_Data[[#This Row],[Imports_TIV]]</f>
        <v>-444000000</v>
      </c>
      <c r="I748" s="4">
        <f>Clean_Data[[#This Row],[Exports_TIV]] + Clean_Data[[#This Row],[Imports_TIV]]</f>
        <v>2102000000</v>
      </c>
    </row>
    <row r="749" spans="1:9">
      <c r="A749" s="4" t="s">
        <v>531</v>
      </c>
      <c r="B749" s="4" t="s">
        <v>532</v>
      </c>
      <c r="C749" s="5">
        <v>2020</v>
      </c>
      <c r="D749" s="4">
        <v>0</v>
      </c>
      <c r="E749" s="4">
        <v>3000000</v>
      </c>
      <c r="F749" s="4" t="str">
        <f>_xlfn.LET(_xlpm.r, _xlfn.XLOOKUP(Clean_Data[[#This Row],[Country_Code]], Metadata_Country!$A:$A, Metadata_Country!$B:$B, "Unknown"), IF(OR(_xlpm.r=0, _xlpm.r=""), "Regional Aggregate", _xlpm.r))</f>
        <v>Europe &amp; Central Asia</v>
      </c>
      <c r="G749" s="4" t="str">
        <f>_xlfn.LET(_xlpm.ig, _xlfn.XLOOKUP(Clean_Data[[#This Row],[Country_Code]], Metadata_Country!$A:$A, Metadata_Country!$C:$C, "Unknown"), IF(OR(_xlpm.ig=0, _xlpm.ig=""), "Regional Aggregate", _xlpm.ig))</f>
        <v>Upper middle income</v>
      </c>
      <c r="H749" s="4">
        <f>Clean_Data[[#This Row],[Exports_TIV]] - Clean_Data[[#This Row],[Imports_TIV]]</f>
        <v>-3000000</v>
      </c>
      <c r="I749" s="4">
        <f>Clean_Data[[#This Row],[Exports_TIV]] + Clean_Data[[#This Row],[Imports_TIV]]</f>
        <v>3000000</v>
      </c>
    </row>
    <row r="750" spans="1:9">
      <c r="A750" s="4" t="s">
        <v>263</v>
      </c>
      <c r="B750" s="4" t="s">
        <v>264</v>
      </c>
      <c r="C750" s="5">
        <v>2020</v>
      </c>
      <c r="D750" s="4">
        <v>0</v>
      </c>
      <c r="E750" s="4">
        <v>67000000</v>
      </c>
      <c r="F750" s="4" t="str">
        <f>_xlfn.LET(_xlpm.r, _xlfn.XLOOKUP(Clean_Data[[#This Row],[Country_Code]], Metadata_Country!$A:$A, Metadata_Country!$B:$B, "Unknown"), IF(OR(_xlpm.r=0, _xlpm.r=""), "Regional Aggregate", _xlpm.r))</f>
        <v>Middle East &amp; North Africa</v>
      </c>
      <c r="G750" s="4" t="str">
        <f>_xlfn.LET(_xlpm.ig, _xlfn.XLOOKUP(Clean_Data[[#This Row],[Country_Code]], Metadata_Country!$A:$A, Metadata_Country!$C:$C, "Unknown"), IF(OR(_xlpm.ig=0, _xlpm.ig=""), "Regional Aggregate", _xlpm.ig))</f>
        <v>High income</v>
      </c>
      <c r="H750" s="4">
        <f>Clean_Data[[#This Row],[Exports_TIV]] - Clean_Data[[#This Row],[Imports_TIV]]</f>
        <v>-67000000</v>
      </c>
      <c r="I750" s="4">
        <f>Clean_Data[[#This Row],[Exports_TIV]] + Clean_Data[[#This Row],[Imports_TIV]]</f>
        <v>67000000</v>
      </c>
    </row>
    <row r="751" spans="1:9">
      <c r="A751" s="4" t="s">
        <v>267</v>
      </c>
      <c r="B751" s="4" t="s">
        <v>268</v>
      </c>
      <c r="C751" s="5">
        <v>2020</v>
      </c>
      <c r="D751" s="4">
        <v>0</v>
      </c>
      <c r="E751" s="4">
        <v>17000000</v>
      </c>
      <c r="F751" s="4" t="str">
        <f>_xlfn.LET(_xlpm.r, _xlfn.XLOOKUP(Clean_Data[[#This Row],[Country_Code]], Metadata_Country!$A:$A, Metadata_Country!$B:$B, "Unknown"), IF(OR(_xlpm.r=0, _xlpm.r=""), "Regional Aggregate", _xlpm.r))</f>
        <v>East Asia &amp; Pacific</v>
      </c>
      <c r="G751" s="4" t="str">
        <f>_xlfn.LET(_xlpm.ig, _xlfn.XLOOKUP(Clean_Data[[#This Row],[Country_Code]], Metadata_Country!$A:$A, Metadata_Country!$C:$C, "Unknown"), IF(OR(_xlpm.ig=0, _xlpm.ig=""), "Regional Aggregate", _xlpm.ig))</f>
        <v>Lower middle income</v>
      </c>
      <c r="H751" s="4">
        <f>Clean_Data[[#This Row],[Exports_TIV]] - Clean_Data[[#This Row],[Imports_TIV]]</f>
        <v>-17000000</v>
      </c>
      <c r="I751" s="4">
        <f>Clean_Data[[#This Row],[Exports_TIV]] + Clean_Data[[#This Row],[Imports_TIV]]</f>
        <v>17000000</v>
      </c>
    </row>
    <row r="752" spans="1:9">
      <c r="A752" s="4" t="s">
        <v>293</v>
      </c>
      <c r="B752" s="4" t="s">
        <v>294</v>
      </c>
      <c r="C752" s="5">
        <v>2020</v>
      </c>
      <c r="D752" s="4">
        <v>0</v>
      </c>
      <c r="E752" s="4">
        <v>4443000000</v>
      </c>
      <c r="F752" s="4" t="str">
        <f>_xlfn.LET(_xlpm.r, _xlfn.XLOOKUP(Clean_Data[[#This Row],[Country_Code]], Metadata_Country!$A:$A, Metadata_Country!$B:$B, "Unknown"), IF(OR(_xlpm.r=0, _xlpm.r=""), "Regional Aggregate", _xlpm.r))</f>
        <v>Regional Aggregate</v>
      </c>
      <c r="G752" s="4" t="str">
        <f>_xlfn.LET(_xlpm.ig, _xlfn.XLOOKUP(Clean_Data[[#This Row],[Country_Code]], Metadata_Country!$A:$A, Metadata_Country!$C:$C, "Unknown"), IF(OR(_xlpm.ig=0, _xlpm.ig=""), "Regional Aggregate", _xlpm.ig))</f>
        <v>Regional Aggregate</v>
      </c>
      <c r="H752" s="4">
        <f>Clean_Data[[#This Row],[Exports_TIV]] - Clean_Data[[#This Row],[Imports_TIV]]</f>
        <v>-4443000000</v>
      </c>
      <c r="I752" s="4">
        <f>Clean_Data[[#This Row],[Exports_TIV]] + Clean_Data[[#This Row],[Imports_TIV]]</f>
        <v>4443000000</v>
      </c>
    </row>
    <row r="753" spans="1:9">
      <c r="A753" s="4" t="s">
        <v>277</v>
      </c>
      <c r="B753" s="4" t="s">
        <v>278</v>
      </c>
      <c r="C753" s="5">
        <v>2020</v>
      </c>
      <c r="D753" s="4">
        <v>0</v>
      </c>
      <c r="E753" s="4">
        <v>999000000</v>
      </c>
      <c r="F753" s="4" t="str">
        <f>_xlfn.LET(_xlpm.r, _xlfn.XLOOKUP(Clean_Data[[#This Row],[Country_Code]], Metadata_Country!$A:$A, Metadata_Country!$B:$B, "Unknown"), IF(OR(_xlpm.r=0, _xlpm.r=""), "Regional Aggregate", _xlpm.r))</f>
        <v>Regional Aggregate</v>
      </c>
      <c r="G753" s="4" t="str">
        <f>_xlfn.LET(_xlpm.ig, _xlfn.XLOOKUP(Clean_Data[[#This Row],[Country_Code]], Metadata_Country!$A:$A, Metadata_Country!$C:$C, "Unknown"), IF(OR(_xlpm.ig=0, _xlpm.ig=""), "Regional Aggregate", _xlpm.ig))</f>
        <v>Regional Aggregate</v>
      </c>
      <c r="H753" s="4">
        <f>Clean_Data[[#This Row],[Exports_TIV]] - Clean_Data[[#This Row],[Imports_TIV]]</f>
        <v>-999000000</v>
      </c>
      <c r="I753" s="4">
        <f>Clean_Data[[#This Row],[Exports_TIV]] + Clean_Data[[#This Row],[Imports_TIV]]</f>
        <v>999000000</v>
      </c>
    </row>
    <row r="754" spans="1:9">
      <c r="A754" s="4" t="s">
        <v>265</v>
      </c>
      <c r="B754" s="4" t="s">
        <v>266</v>
      </c>
      <c r="C754" s="5">
        <v>2020</v>
      </c>
      <c r="D754" s="4">
        <v>0</v>
      </c>
      <c r="E754" s="4">
        <v>670000000</v>
      </c>
      <c r="F754" s="4" t="str">
        <f>_xlfn.LET(_xlpm.r, _xlfn.XLOOKUP(Clean_Data[[#This Row],[Country_Code]], Metadata_Country!$A:$A, Metadata_Country!$B:$B, "Unknown"), IF(OR(_xlpm.r=0, _xlpm.r=""), "Regional Aggregate", _xlpm.r))</f>
        <v>Regional Aggregate</v>
      </c>
      <c r="G754" s="4" t="str">
        <f>_xlfn.LET(_xlpm.ig, _xlfn.XLOOKUP(Clean_Data[[#This Row],[Country_Code]], Metadata_Country!$A:$A, Metadata_Country!$C:$C, "Unknown"), IF(OR(_xlpm.ig=0, _xlpm.ig=""), "Regional Aggregate", _xlpm.ig))</f>
        <v>Regional Aggregate</v>
      </c>
      <c r="H754" s="4">
        <f>Clean_Data[[#This Row],[Exports_TIV]] - Clean_Data[[#This Row],[Imports_TIV]]</f>
        <v>-670000000</v>
      </c>
      <c r="I754" s="4">
        <f>Clean_Data[[#This Row],[Exports_TIV]] + Clean_Data[[#This Row],[Imports_TIV]]</f>
        <v>670000000</v>
      </c>
    </row>
    <row r="755" spans="1:9">
      <c r="A755" s="4" t="s">
        <v>481</v>
      </c>
      <c r="B755" s="4" t="s">
        <v>482</v>
      </c>
      <c r="C755" s="5">
        <v>2020</v>
      </c>
      <c r="D755" s="4">
        <v>0</v>
      </c>
      <c r="E755" s="4">
        <v>999000000</v>
      </c>
      <c r="F755" s="4" t="str">
        <f>_xlfn.LET(_xlpm.r, _xlfn.XLOOKUP(Clean_Data[[#This Row],[Country_Code]], Metadata_Country!$A:$A, Metadata_Country!$B:$B, "Unknown"), IF(OR(_xlpm.r=0, _xlpm.r=""), "Regional Aggregate", _xlpm.r))</f>
        <v>Regional Aggregate</v>
      </c>
      <c r="G755" s="4" t="str">
        <f>_xlfn.LET(_xlpm.ig, _xlfn.XLOOKUP(Clean_Data[[#This Row],[Country_Code]], Metadata_Country!$A:$A, Metadata_Country!$C:$C, "Unknown"), IF(OR(_xlpm.ig=0, _xlpm.ig=""), "Regional Aggregate", _xlpm.ig))</f>
        <v>Regional Aggregate</v>
      </c>
      <c r="H755" s="4">
        <f>Clean_Data[[#This Row],[Exports_TIV]] - Clean_Data[[#This Row],[Imports_TIV]]</f>
        <v>-999000000</v>
      </c>
      <c r="I755" s="4">
        <f>Clean_Data[[#This Row],[Exports_TIV]] + Clean_Data[[#This Row],[Imports_TIV]]</f>
        <v>999000000</v>
      </c>
    </row>
    <row r="756" spans="1:9">
      <c r="A756" s="4" t="s">
        <v>299</v>
      </c>
      <c r="B756" s="4" t="s">
        <v>300</v>
      </c>
      <c r="C756" s="5">
        <v>2020</v>
      </c>
      <c r="D756" s="4">
        <v>0</v>
      </c>
      <c r="E756" s="4">
        <v>10000000</v>
      </c>
      <c r="F756" s="4" t="str">
        <f>_xlfn.LET(_xlpm.r, _xlfn.XLOOKUP(Clean_Data[[#This Row],[Country_Code]], Metadata_Country!$A:$A, Metadata_Country!$B:$B, "Unknown"), IF(OR(_xlpm.r=0, _xlpm.r=""), "Regional Aggregate", _xlpm.r))</f>
        <v>Europe &amp; Central Asia</v>
      </c>
      <c r="G756" s="4" t="str">
        <f>_xlfn.LET(_xlpm.ig, _xlfn.XLOOKUP(Clean_Data[[#This Row],[Country_Code]], Metadata_Country!$A:$A, Metadata_Country!$C:$C, "Unknown"), IF(OR(_xlpm.ig=0, _xlpm.ig=""), "Regional Aggregate", _xlpm.ig))</f>
        <v>High income</v>
      </c>
      <c r="H756" s="4">
        <f>Clean_Data[[#This Row],[Exports_TIV]] - Clean_Data[[#This Row],[Imports_TIV]]</f>
        <v>-10000000</v>
      </c>
      <c r="I756" s="4">
        <f>Clean_Data[[#This Row],[Exports_TIV]] + Clean_Data[[#This Row],[Imports_TIV]]</f>
        <v>10000000</v>
      </c>
    </row>
    <row r="757" spans="1:9">
      <c r="A757" s="4" t="s">
        <v>279</v>
      </c>
      <c r="B757" s="4" t="s">
        <v>280</v>
      </c>
      <c r="C757" s="5">
        <v>2020</v>
      </c>
      <c r="D757" s="4">
        <v>0</v>
      </c>
      <c r="E757" s="4">
        <v>820000000</v>
      </c>
      <c r="F757" s="4" t="str">
        <f>_xlfn.LET(_xlpm.r, _xlfn.XLOOKUP(Clean_Data[[#This Row],[Country_Code]], Metadata_Country!$A:$A, Metadata_Country!$B:$B, "Unknown"), IF(OR(_xlpm.r=0, _xlpm.r=""), "Regional Aggregate", _xlpm.r))</f>
        <v>Regional Aggregate</v>
      </c>
      <c r="G757" s="4" t="str">
        <f>_xlfn.LET(_xlpm.ig, _xlfn.XLOOKUP(Clean_Data[[#This Row],[Country_Code]], Metadata_Country!$A:$A, Metadata_Country!$C:$C, "Unknown"), IF(OR(_xlpm.ig=0, _xlpm.ig=""), "Regional Aggregate", _xlpm.ig))</f>
        <v>Regional Aggregate</v>
      </c>
      <c r="H757" s="4">
        <f>Clean_Data[[#This Row],[Exports_TIV]] - Clean_Data[[#This Row],[Imports_TIV]]</f>
        <v>-820000000</v>
      </c>
      <c r="I757" s="4">
        <f>Clean_Data[[#This Row],[Exports_TIV]] + Clean_Data[[#This Row],[Imports_TIV]]</f>
        <v>820000000</v>
      </c>
    </row>
    <row r="758" spans="1:9">
      <c r="A758" s="4" t="s">
        <v>269</v>
      </c>
      <c r="B758" s="4" t="s">
        <v>270</v>
      </c>
      <c r="C758" s="5">
        <v>2020</v>
      </c>
      <c r="D758" s="4">
        <v>0</v>
      </c>
      <c r="E758" s="4">
        <v>45000000</v>
      </c>
      <c r="F758" s="4" t="str">
        <f>_xlfn.LET(_xlpm.r, _xlfn.XLOOKUP(Clean_Data[[#This Row],[Country_Code]], Metadata_Country!$A:$A, Metadata_Country!$B:$B, "Unknown"), IF(OR(_xlpm.r=0, _xlpm.r=""), "Regional Aggregate", _xlpm.r))</f>
        <v>Middle East &amp; North Africa</v>
      </c>
      <c r="G758" s="4" t="str">
        <f>_xlfn.LET(_xlpm.ig, _xlfn.XLOOKUP(Clean_Data[[#This Row],[Country_Code]], Metadata_Country!$A:$A, Metadata_Country!$C:$C, "Unknown"), IF(OR(_xlpm.ig=0, _xlpm.ig=""), "Regional Aggregate", _xlpm.ig))</f>
        <v>Lower middle income</v>
      </c>
      <c r="H758" s="4">
        <f>Clean_Data[[#This Row],[Exports_TIV]] - Clean_Data[[#This Row],[Imports_TIV]]</f>
        <v>-45000000</v>
      </c>
      <c r="I758" s="4">
        <f>Clean_Data[[#This Row],[Exports_TIV]] + Clean_Data[[#This Row],[Imports_TIV]]</f>
        <v>45000000</v>
      </c>
    </row>
    <row r="759" spans="1:9">
      <c r="A759" s="4" t="s">
        <v>273</v>
      </c>
      <c r="B759" s="4" t="s">
        <v>274</v>
      </c>
      <c r="C759" s="5">
        <v>2020</v>
      </c>
      <c r="D759" s="4">
        <v>0</v>
      </c>
      <c r="E759" s="4">
        <v>0</v>
      </c>
      <c r="F759" s="4" t="str">
        <f>_xlfn.LET(_xlpm.r, _xlfn.XLOOKUP(Clean_Data[[#This Row],[Country_Code]], Metadata_Country!$A:$A, Metadata_Country!$B:$B, "Unknown"), IF(OR(_xlpm.r=0, _xlpm.r=""), "Regional Aggregate", _xlpm.r))</f>
        <v>Middle East &amp; North Africa</v>
      </c>
      <c r="G759" s="4" t="str">
        <f>_xlfn.LET(_xlpm.ig, _xlfn.XLOOKUP(Clean_Data[[#This Row],[Country_Code]], Metadata_Country!$A:$A, Metadata_Country!$C:$C, "Unknown"), IF(OR(_xlpm.ig=0, _xlpm.ig=""), "Regional Aggregate", _xlpm.ig))</f>
        <v>Upper middle income</v>
      </c>
      <c r="H759" s="4">
        <f>Clean_Data[[#This Row],[Exports_TIV]] - Clean_Data[[#This Row],[Imports_TIV]]</f>
        <v>0</v>
      </c>
      <c r="I759" s="4">
        <f>Clean_Data[[#This Row],[Exports_TIV]] + Clean_Data[[#This Row],[Imports_TIV]]</f>
        <v>0</v>
      </c>
    </row>
    <row r="760" spans="1:9">
      <c r="A760" s="4" t="s">
        <v>295</v>
      </c>
      <c r="B760" s="4" t="s">
        <v>296</v>
      </c>
      <c r="C760" s="5">
        <v>2020</v>
      </c>
      <c r="D760" s="4">
        <v>0</v>
      </c>
      <c r="E760" s="4">
        <v>119000000</v>
      </c>
      <c r="F760" s="4" t="str">
        <f>_xlfn.LET(_xlpm.r, _xlfn.XLOOKUP(Clean_Data[[#This Row],[Country_Code]], Metadata_Country!$A:$A, Metadata_Country!$B:$B, "Unknown"), IF(OR(_xlpm.r=0, _xlpm.r=""), "Regional Aggregate", _xlpm.r))</f>
        <v>Europe &amp; Central Asia</v>
      </c>
      <c r="G760" s="4" t="str">
        <f>_xlfn.LET(_xlpm.ig, _xlfn.XLOOKUP(Clean_Data[[#This Row],[Country_Code]], Metadata_Country!$A:$A, Metadata_Country!$C:$C, "Unknown"), IF(OR(_xlpm.ig=0, _xlpm.ig=""), "Regional Aggregate", _xlpm.ig))</f>
        <v>High income</v>
      </c>
      <c r="H760" s="4">
        <f>Clean_Data[[#This Row],[Exports_TIV]] - Clean_Data[[#This Row],[Imports_TIV]]</f>
        <v>-119000000</v>
      </c>
      <c r="I760" s="4">
        <f>Clean_Data[[#This Row],[Exports_TIV]] + Clean_Data[[#This Row],[Imports_TIV]]</f>
        <v>119000000</v>
      </c>
    </row>
    <row r="761" spans="1:9">
      <c r="A761" s="4" t="s">
        <v>289</v>
      </c>
      <c r="B761" s="4" t="s">
        <v>290</v>
      </c>
      <c r="C761" s="5">
        <v>2020</v>
      </c>
      <c r="D761" s="4">
        <v>0</v>
      </c>
      <c r="E761" s="4">
        <v>9756000000</v>
      </c>
      <c r="F761" s="4" t="str">
        <f>_xlfn.LET(_xlpm.r, _xlfn.XLOOKUP(Clean_Data[[#This Row],[Country_Code]], Metadata_Country!$A:$A, Metadata_Country!$B:$B, "Unknown"), IF(OR(_xlpm.r=0, _xlpm.r=""), "Regional Aggregate", _xlpm.r))</f>
        <v>Regional Aggregate</v>
      </c>
      <c r="G761" s="4" t="str">
        <f>_xlfn.LET(_xlpm.ig, _xlfn.XLOOKUP(Clean_Data[[#This Row],[Country_Code]], Metadata_Country!$A:$A, Metadata_Country!$C:$C, "Unknown"), IF(OR(_xlpm.ig=0, _xlpm.ig=""), "Regional Aggregate", _xlpm.ig))</f>
        <v>Regional Aggregate</v>
      </c>
      <c r="H761" s="4">
        <f>Clean_Data[[#This Row],[Exports_TIV]] - Clean_Data[[#This Row],[Imports_TIV]]</f>
        <v>-9756000000</v>
      </c>
      <c r="I761" s="4">
        <f>Clean_Data[[#This Row],[Exports_TIV]] + Clean_Data[[#This Row],[Imports_TIV]]</f>
        <v>9756000000</v>
      </c>
    </row>
    <row r="762" spans="1:9">
      <c r="A762" s="4" t="s">
        <v>281</v>
      </c>
      <c r="B762" s="4" t="s">
        <v>282</v>
      </c>
      <c r="C762" s="5">
        <v>2020</v>
      </c>
      <c r="D762" s="4">
        <v>0</v>
      </c>
      <c r="E762" s="4">
        <v>504000000</v>
      </c>
      <c r="F762" s="4" t="str">
        <f>_xlfn.LET(_xlpm.r, _xlfn.XLOOKUP(Clean_Data[[#This Row],[Country_Code]], Metadata_Country!$A:$A, Metadata_Country!$B:$B, "Unknown"), IF(OR(_xlpm.r=0, _xlpm.r=""), "Regional Aggregate", _xlpm.r))</f>
        <v>Regional Aggregate</v>
      </c>
      <c r="G762" s="4" t="str">
        <f>_xlfn.LET(_xlpm.ig, _xlfn.XLOOKUP(Clean_Data[[#This Row],[Country_Code]], Metadata_Country!$A:$A, Metadata_Country!$C:$C, "Unknown"), IF(OR(_xlpm.ig=0, _xlpm.ig=""), "Regional Aggregate", _xlpm.ig))</f>
        <v>Regional Aggregate</v>
      </c>
      <c r="H762" s="4">
        <f>Clean_Data[[#This Row],[Exports_TIV]] - Clean_Data[[#This Row],[Imports_TIV]]</f>
        <v>-504000000</v>
      </c>
      <c r="I762" s="4">
        <f>Clean_Data[[#This Row],[Exports_TIV]] + Clean_Data[[#This Row],[Imports_TIV]]</f>
        <v>504000000</v>
      </c>
    </row>
    <row r="763" spans="1:9">
      <c r="A763" s="4" t="s">
        <v>287</v>
      </c>
      <c r="B763" s="4" t="s">
        <v>288</v>
      </c>
      <c r="C763" s="5">
        <v>2020</v>
      </c>
      <c r="D763" s="4">
        <v>0</v>
      </c>
      <c r="E763" s="4">
        <v>5536000000</v>
      </c>
      <c r="F763" s="4" t="str">
        <f>_xlfn.LET(_xlpm.r, _xlfn.XLOOKUP(Clean_Data[[#This Row],[Country_Code]], Metadata_Country!$A:$A, Metadata_Country!$B:$B, "Unknown"), IF(OR(_xlpm.r=0, _xlpm.r=""), "Regional Aggregate", _xlpm.r))</f>
        <v>Regional Aggregate</v>
      </c>
      <c r="G763" s="4" t="str">
        <f>_xlfn.LET(_xlpm.ig, _xlfn.XLOOKUP(Clean_Data[[#This Row],[Country_Code]], Metadata_Country!$A:$A, Metadata_Country!$C:$C, "Unknown"), IF(OR(_xlpm.ig=0, _xlpm.ig=""), "Regional Aggregate", _xlpm.ig))</f>
        <v>Regional Aggregate</v>
      </c>
      <c r="H763" s="4">
        <f>Clean_Data[[#This Row],[Exports_TIV]] - Clean_Data[[#This Row],[Imports_TIV]]</f>
        <v>-5536000000</v>
      </c>
      <c r="I763" s="4">
        <f>Clean_Data[[#This Row],[Exports_TIV]] + Clean_Data[[#This Row],[Imports_TIV]]</f>
        <v>5536000000</v>
      </c>
    </row>
    <row r="764" spans="1:9">
      <c r="A764" s="4" t="s">
        <v>297</v>
      </c>
      <c r="B764" s="4" t="s">
        <v>298</v>
      </c>
      <c r="C764" s="5">
        <v>2020</v>
      </c>
      <c r="D764" s="4">
        <v>0</v>
      </c>
      <c r="E764" s="4">
        <v>88000000</v>
      </c>
      <c r="F764" s="4" t="str">
        <f>_xlfn.LET(_xlpm.r, _xlfn.XLOOKUP(Clean_Data[[#This Row],[Country_Code]], Metadata_Country!$A:$A, Metadata_Country!$B:$B, "Unknown"), IF(OR(_xlpm.r=0, _xlpm.r=""), "Regional Aggregate", _xlpm.r))</f>
        <v>Europe &amp; Central Asia</v>
      </c>
      <c r="G764" s="4" t="str">
        <f>_xlfn.LET(_xlpm.ig, _xlfn.XLOOKUP(Clean_Data[[#This Row],[Country_Code]], Metadata_Country!$A:$A, Metadata_Country!$C:$C, "Unknown"), IF(OR(_xlpm.ig=0, _xlpm.ig=""), "Regional Aggregate", _xlpm.ig))</f>
        <v>High income</v>
      </c>
      <c r="H764" s="4">
        <f>Clean_Data[[#This Row],[Exports_TIV]] - Clean_Data[[#This Row],[Imports_TIV]]</f>
        <v>-88000000</v>
      </c>
      <c r="I764" s="4">
        <f>Clean_Data[[#This Row],[Exports_TIV]] + Clean_Data[[#This Row],[Imports_TIV]]</f>
        <v>88000000</v>
      </c>
    </row>
    <row r="765" spans="1:9">
      <c r="A765" s="4" t="s">
        <v>311</v>
      </c>
      <c r="B765" s="4" t="s">
        <v>312</v>
      </c>
      <c r="C765" s="5">
        <v>2020</v>
      </c>
      <c r="D765" s="4">
        <v>0</v>
      </c>
      <c r="E765" s="4">
        <v>1000000</v>
      </c>
      <c r="F765" s="4" t="str">
        <f>_xlfn.LET(_xlpm.r, _xlfn.XLOOKUP(Clean_Data[[#This Row],[Country_Code]], Metadata_Country!$A:$A, Metadata_Country!$B:$B, "Unknown"), IF(OR(_xlpm.r=0, _xlpm.r=""), "Regional Aggregate", _xlpm.r))</f>
        <v>Sub-Saharan Africa</v>
      </c>
      <c r="G765" s="4" t="str">
        <f>_xlfn.LET(_xlpm.ig, _xlfn.XLOOKUP(Clean_Data[[#This Row],[Country_Code]], Metadata_Country!$A:$A, Metadata_Country!$C:$C, "Unknown"), IF(OR(_xlpm.ig=0, _xlpm.ig=""), "Regional Aggregate", _xlpm.ig))</f>
        <v>Low income</v>
      </c>
      <c r="H765" s="4">
        <f>Clean_Data[[#This Row],[Exports_TIV]] - Clean_Data[[#This Row],[Imports_TIV]]</f>
        <v>-1000000</v>
      </c>
      <c r="I765" s="4">
        <f>Clean_Data[[#This Row],[Exports_TIV]] + Clean_Data[[#This Row],[Imports_TIV]]</f>
        <v>1000000</v>
      </c>
    </row>
    <row r="766" spans="1:9">
      <c r="A766" s="4" t="s">
        <v>347</v>
      </c>
      <c r="B766" s="4" t="s">
        <v>348</v>
      </c>
      <c r="C766" s="5">
        <v>2020</v>
      </c>
      <c r="D766" s="4">
        <v>0</v>
      </c>
      <c r="E766" s="4">
        <v>51000000</v>
      </c>
      <c r="F766" s="4" t="str">
        <f>_xlfn.LET(_xlpm.r, _xlfn.XLOOKUP(Clean_Data[[#This Row],[Country_Code]], Metadata_Country!$A:$A, Metadata_Country!$B:$B, "Unknown"), IF(OR(_xlpm.r=0, _xlpm.r=""), "Regional Aggregate", _xlpm.r))</f>
        <v>East Asia &amp; Pacific</v>
      </c>
      <c r="G766" s="4" t="str">
        <f>_xlfn.LET(_xlpm.ig, _xlfn.XLOOKUP(Clean_Data[[#This Row],[Country_Code]], Metadata_Country!$A:$A, Metadata_Country!$C:$C, "Unknown"), IF(OR(_xlpm.ig=0, _xlpm.ig=""), "Regional Aggregate", _xlpm.ig))</f>
        <v>Upper middle income</v>
      </c>
      <c r="H766" s="4">
        <f>Clean_Data[[#This Row],[Exports_TIV]] - Clean_Data[[#This Row],[Imports_TIV]]</f>
        <v>-51000000</v>
      </c>
      <c r="I766" s="4">
        <f>Clean_Data[[#This Row],[Exports_TIV]] + Clean_Data[[#This Row],[Imports_TIV]]</f>
        <v>51000000</v>
      </c>
    </row>
    <row r="767" spans="1:9">
      <c r="A767" s="4" t="s">
        <v>313</v>
      </c>
      <c r="B767" s="4" t="s">
        <v>314</v>
      </c>
      <c r="C767" s="5">
        <v>2020</v>
      </c>
      <c r="D767" s="4">
        <v>0</v>
      </c>
      <c r="E767" s="4">
        <v>3000000</v>
      </c>
      <c r="F767" s="4" t="str">
        <f>_xlfn.LET(_xlpm.r, _xlfn.XLOOKUP(Clean_Data[[#This Row],[Country_Code]], Metadata_Country!$A:$A, Metadata_Country!$B:$B, "Unknown"), IF(OR(_xlpm.r=0, _xlpm.r=""), "Regional Aggregate", _xlpm.r))</f>
        <v>South Asia</v>
      </c>
      <c r="G767" s="4" t="str">
        <f>_xlfn.LET(_xlpm.ig, _xlfn.XLOOKUP(Clean_Data[[#This Row],[Country_Code]], Metadata_Country!$A:$A, Metadata_Country!$C:$C, "Unknown"), IF(OR(_xlpm.ig=0, _xlpm.ig=""), "Regional Aggregate", _xlpm.ig))</f>
        <v>Upper middle income</v>
      </c>
      <c r="H767" s="4">
        <f>Clean_Data[[#This Row],[Exports_TIV]] - Clean_Data[[#This Row],[Imports_TIV]]</f>
        <v>-3000000</v>
      </c>
      <c r="I767" s="4">
        <f>Clean_Data[[#This Row],[Exports_TIV]] + Clean_Data[[#This Row],[Imports_TIV]]</f>
        <v>3000000</v>
      </c>
    </row>
    <row r="768" spans="1:9">
      <c r="A768" s="4" t="s">
        <v>325</v>
      </c>
      <c r="B768" s="4" t="s">
        <v>326</v>
      </c>
      <c r="C768" s="5">
        <v>2020</v>
      </c>
      <c r="D768" s="4">
        <v>0</v>
      </c>
      <c r="E768" s="4">
        <v>49000000</v>
      </c>
      <c r="F768" s="4" t="str">
        <f>_xlfn.LET(_xlpm.r, _xlfn.XLOOKUP(Clean_Data[[#This Row],[Country_Code]], Metadata_Country!$A:$A, Metadata_Country!$B:$B, "Unknown"), IF(OR(_xlpm.r=0, _xlpm.r=""), "Regional Aggregate", _xlpm.r))</f>
        <v>Sub-Saharan Africa</v>
      </c>
      <c r="G768" s="4" t="str">
        <f>_xlfn.LET(_xlpm.ig, _xlfn.XLOOKUP(Clean_Data[[#This Row],[Country_Code]], Metadata_Country!$A:$A, Metadata_Country!$C:$C, "Unknown"), IF(OR(_xlpm.ig=0, _xlpm.ig=""), "Regional Aggregate", _xlpm.ig))</f>
        <v>Low income</v>
      </c>
      <c r="H768" s="4">
        <f>Clean_Data[[#This Row],[Exports_TIV]] - Clean_Data[[#This Row],[Imports_TIV]]</f>
        <v>-49000000</v>
      </c>
      <c r="I768" s="4">
        <f>Clean_Data[[#This Row],[Exports_TIV]] + Clean_Data[[#This Row],[Imports_TIV]]</f>
        <v>49000000</v>
      </c>
    </row>
    <row r="769" spans="1:9">
      <c r="A769" s="4" t="s">
        <v>317</v>
      </c>
      <c r="B769" s="4" t="s">
        <v>318</v>
      </c>
      <c r="C769" s="5">
        <v>2020</v>
      </c>
      <c r="D769" s="4">
        <v>0</v>
      </c>
      <c r="E769" s="4">
        <v>277000000</v>
      </c>
      <c r="F769" s="4" t="str">
        <f>_xlfn.LET(_xlpm.r, _xlfn.XLOOKUP(Clean_Data[[#This Row],[Country_Code]], Metadata_Country!$A:$A, Metadata_Country!$B:$B, "Unknown"), IF(OR(_xlpm.r=0, _xlpm.r=""), "Regional Aggregate", _xlpm.r))</f>
        <v>Latin America &amp; Caribbean</v>
      </c>
      <c r="G769" s="4" t="str">
        <f>_xlfn.LET(_xlpm.ig, _xlfn.XLOOKUP(Clean_Data[[#This Row],[Country_Code]], Metadata_Country!$A:$A, Metadata_Country!$C:$C, "Unknown"), IF(OR(_xlpm.ig=0, _xlpm.ig=""), "Regional Aggregate", _xlpm.ig))</f>
        <v>Upper middle income</v>
      </c>
      <c r="H769" s="4">
        <f>Clean_Data[[#This Row],[Exports_TIV]] - Clean_Data[[#This Row],[Imports_TIV]]</f>
        <v>-277000000</v>
      </c>
      <c r="I769" s="4">
        <f>Clean_Data[[#This Row],[Exports_TIV]] + Clean_Data[[#This Row],[Imports_TIV]]</f>
        <v>277000000</v>
      </c>
    </row>
    <row r="770" spans="1:9">
      <c r="A770" s="4" t="s">
        <v>315</v>
      </c>
      <c r="B770" s="4" t="s">
        <v>316</v>
      </c>
      <c r="C770" s="5">
        <v>2020</v>
      </c>
      <c r="D770" s="4">
        <v>0</v>
      </c>
      <c r="E770" s="4">
        <v>7708000000</v>
      </c>
      <c r="F770" s="4" t="str">
        <f>_xlfn.LET(_xlpm.r, _xlfn.XLOOKUP(Clean_Data[[#This Row],[Country_Code]], Metadata_Country!$A:$A, Metadata_Country!$B:$B, "Unknown"), IF(OR(_xlpm.r=0, _xlpm.r=""), "Regional Aggregate", _xlpm.r))</f>
        <v>Regional Aggregate</v>
      </c>
      <c r="G770" s="4" t="str">
        <f>_xlfn.LET(_xlpm.ig, _xlfn.XLOOKUP(Clean_Data[[#This Row],[Country_Code]], Metadata_Country!$A:$A, Metadata_Country!$C:$C, "Unknown"), IF(OR(_xlpm.ig=0, _xlpm.ig=""), "Regional Aggregate", _xlpm.ig))</f>
        <v>Regional Aggregate</v>
      </c>
      <c r="H770" s="4">
        <f>Clean_Data[[#This Row],[Exports_TIV]] - Clean_Data[[#This Row],[Imports_TIV]]</f>
        <v>-7708000000</v>
      </c>
      <c r="I770" s="4">
        <f>Clean_Data[[#This Row],[Exports_TIV]] + Clean_Data[[#This Row],[Imports_TIV]]</f>
        <v>7708000000</v>
      </c>
    </row>
    <row r="771" spans="1:9">
      <c r="A771" s="4" t="s">
        <v>331</v>
      </c>
      <c r="B771" s="4" t="s">
        <v>332</v>
      </c>
      <c r="C771" s="5">
        <v>2020</v>
      </c>
      <c r="D771" s="4">
        <v>0</v>
      </c>
      <c r="E771" s="4">
        <v>3167000000</v>
      </c>
      <c r="F771" s="4" t="str">
        <f>_xlfn.LET(_xlpm.r, _xlfn.XLOOKUP(Clean_Data[[#This Row],[Country_Code]], Metadata_Country!$A:$A, Metadata_Country!$B:$B, "Unknown"), IF(OR(_xlpm.r=0, _xlpm.r=""), "Regional Aggregate", _xlpm.r))</f>
        <v>Regional Aggregate</v>
      </c>
      <c r="G771" s="4" t="str">
        <f>_xlfn.LET(_xlpm.ig, _xlfn.XLOOKUP(Clean_Data[[#This Row],[Country_Code]], Metadata_Country!$A:$A, Metadata_Country!$C:$C, "Unknown"), IF(OR(_xlpm.ig=0, _xlpm.ig=""), "Regional Aggregate", _xlpm.ig))</f>
        <v>Regional Aggregate</v>
      </c>
      <c r="H771" s="4">
        <f>Clean_Data[[#This Row],[Exports_TIV]] - Clean_Data[[#This Row],[Imports_TIV]]</f>
        <v>-3167000000</v>
      </c>
      <c r="I771" s="4">
        <f>Clean_Data[[#This Row],[Exports_TIV]] + Clean_Data[[#This Row],[Imports_TIV]]</f>
        <v>3167000000</v>
      </c>
    </row>
    <row r="772" spans="1:9">
      <c r="A772" s="4" t="s">
        <v>485</v>
      </c>
      <c r="B772" s="4" t="s">
        <v>486</v>
      </c>
      <c r="C772" s="5">
        <v>2020</v>
      </c>
      <c r="D772" s="4">
        <v>0</v>
      </c>
      <c r="E772" s="4">
        <v>3167000000</v>
      </c>
      <c r="F772" s="4" t="str">
        <f>_xlfn.LET(_xlpm.r, _xlfn.XLOOKUP(Clean_Data[[#This Row],[Country_Code]], Metadata_Country!$A:$A, Metadata_Country!$B:$B, "Unknown"), IF(OR(_xlpm.r=0, _xlpm.r=""), "Regional Aggregate", _xlpm.r))</f>
        <v>Regional Aggregate</v>
      </c>
      <c r="G772" s="4" t="str">
        <f>_xlfn.LET(_xlpm.ig, _xlfn.XLOOKUP(Clean_Data[[#This Row],[Country_Code]], Metadata_Country!$A:$A, Metadata_Country!$C:$C, "Unknown"), IF(OR(_xlpm.ig=0, _xlpm.ig=""), "Regional Aggregate", _xlpm.ig))</f>
        <v>Regional Aggregate</v>
      </c>
      <c r="H772" s="4">
        <f>Clean_Data[[#This Row],[Exports_TIV]] - Clean_Data[[#This Row],[Imports_TIV]]</f>
        <v>-3167000000</v>
      </c>
      <c r="I772" s="4">
        <f>Clean_Data[[#This Row],[Exports_TIV]] + Clean_Data[[#This Row],[Imports_TIV]]</f>
        <v>3167000000</v>
      </c>
    </row>
    <row r="773" spans="1:9">
      <c r="A773" s="4" t="s">
        <v>321</v>
      </c>
      <c r="B773" s="4" t="s">
        <v>322</v>
      </c>
      <c r="C773" s="5">
        <v>2020</v>
      </c>
      <c r="D773" s="4">
        <v>0</v>
      </c>
      <c r="E773" s="4">
        <v>9252000000</v>
      </c>
      <c r="F773" s="4" t="str">
        <f>_xlfn.LET(_xlpm.r, _xlfn.XLOOKUP(Clean_Data[[#This Row],[Country_Code]], Metadata_Country!$A:$A, Metadata_Country!$B:$B, "Unknown"), IF(OR(_xlpm.r=0, _xlpm.r=""), "Regional Aggregate", _xlpm.r))</f>
        <v>Regional Aggregate</v>
      </c>
      <c r="G773" s="4" t="str">
        <f>_xlfn.LET(_xlpm.ig, _xlfn.XLOOKUP(Clean_Data[[#This Row],[Country_Code]], Metadata_Country!$A:$A, Metadata_Country!$C:$C, "Unknown"), IF(OR(_xlpm.ig=0, _xlpm.ig=""), "Regional Aggregate", _xlpm.ig))</f>
        <v>Regional Aggregate</v>
      </c>
      <c r="H773" s="4">
        <f>Clean_Data[[#This Row],[Exports_TIV]] - Clean_Data[[#This Row],[Imports_TIV]]</f>
        <v>-9252000000</v>
      </c>
      <c r="I773" s="4">
        <f>Clean_Data[[#This Row],[Exports_TIV]] + Clean_Data[[#This Row],[Imports_TIV]]</f>
        <v>9252000000</v>
      </c>
    </row>
    <row r="774" spans="1:9">
      <c r="A774" s="4" t="s">
        <v>333</v>
      </c>
      <c r="B774" s="4" t="s">
        <v>334</v>
      </c>
      <c r="C774" s="5">
        <v>2020</v>
      </c>
      <c r="D774" s="4">
        <v>0</v>
      </c>
      <c r="E774" s="4">
        <v>5000000</v>
      </c>
      <c r="F774" s="4" t="str">
        <f>_xlfn.LET(_xlpm.r, _xlfn.XLOOKUP(Clean_Data[[#This Row],[Country_Code]], Metadata_Country!$A:$A, Metadata_Country!$B:$B, "Unknown"), IF(OR(_xlpm.r=0, _xlpm.r=""), "Regional Aggregate", _xlpm.r))</f>
        <v>Europe &amp; Central Asia</v>
      </c>
      <c r="G774" s="4" t="str">
        <f>_xlfn.LET(_xlpm.ig, _xlfn.XLOOKUP(Clean_Data[[#This Row],[Country_Code]], Metadata_Country!$A:$A, Metadata_Country!$C:$C, "Unknown"), IF(OR(_xlpm.ig=0, _xlpm.ig=""), "Regional Aggregate", _xlpm.ig))</f>
        <v>Upper middle income</v>
      </c>
      <c r="H774" s="4">
        <f>Clean_Data[[#This Row],[Exports_TIV]] - Clean_Data[[#This Row],[Imports_TIV]]</f>
        <v>-5000000</v>
      </c>
      <c r="I774" s="4">
        <f>Clean_Data[[#This Row],[Exports_TIV]] + Clean_Data[[#This Row],[Imports_TIV]]</f>
        <v>5000000</v>
      </c>
    </row>
    <row r="775" spans="1:9">
      <c r="A775" s="4" t="s">
        <v>305</v>
      </c>
      <c r="B775" s="4" t="s">
        <v>306</v>
      </c>
      <c r="C775" s="5">
        <v>2020</v>
      </c>
      <c r="D775" s="4">
        <v>0</v>
      </c>
      <c r="E775" s="4">
        <v>16000000</v>
      </c>
      <c r="F775" s="4" t="str">
        <f>_xlfn.LET(_xlpm.r, _xlfn.XLOOKUP(Clean_Data[[#This Row],[Country_Code]], Metadata_Country!$A:$A, Metadata_Country!$B:$B, "Unknown"), IF(OR(_xlpm.r=0, _xlpm.r=""), "Regional Aggregate", _xlpm.r))</f>
        <v>Middle East &amp; North Africa</v>
      </c>
      <c r="G775" s="4" t="str">
        <f>_xlfn.LET(_xlpm.ig, _xlfn.XLOOKUP(Clean_Data[[#This Row],[Country_Code]], Metadata_Country!$A:$A, Metadata_Country!$C:$C, "Unknown"), IF(OR(_xlpm.ig=0, _xlpm.ig=""), "Regional Aggregate", _xlpm.ig))</f>
        <v>Lower middle income</v>
      </c>
      <c r="H775" s="4">
        <f>Clean_Data[[#This Row],[Exports_TIV]] - Clean_Data[[#This Row],[Imports_TIV]]</f>
        <v>-16000000</v>
      </c>
      <c r="I775" s="4">
        <f>Clean_Data[[#This Row],[Exports_TIV]] + Clean_Data[[#This Row],[Imports_TIV]]</f>
        <v>16000000</v>
      </c>
    </row>
    <row r="776" spans="1:9">
      <c r="A776" s="4" t="s">
        <v>339</v>
      </c>
      <c r="B776" s="4" t="s">
        <v>340</v>
      </c>
      <c r="C776" s="5">
        <v>2020</v>
      </c>
      <c r="D776" s="4">
        <v>0</v>
      </c>
      <c r="E776" s="4">
        <v>1000000</v>
      </c>
      <c r="F776" s="4" t="str">
        <f>_xlfn.LET(_xlpm.r, _xlfn.XLOOKUP(Clean_Data[[#This Row],[Country_Code]], Metadata_Country!$A:$A, Metadata_Country!$B:$B, "Unknown"), IF(OR(_xlpm.r=0, _xlpm.r=""), "Regional Aggregate", _xlpm.r))</f>
        <v>Sub-Saharan Africa</v>
      </c>
      <c r="G776" s="4" t="str">
        <f>_xlfn.LET(_xlpm.ig, _xlfn.XLOOKUP(Clean_Data[[#This Row],[Country_Code]], Metadata_Country!$A:$A, Metadata_Country!$C:$C, "Unknown"), IF(OR(_xlpm.ig=0, _xlpm.ig=""), "Regional Aggregate", _xlpm.ig))</f>
        <v>Low income</v>
      </c>
      <c r="H776" s="4">
        <f>Clean_Data[[#This Row],[Exports_TIV]] - Clean_Data[[#This Row],[Imports_TIV]]</f>
        <v>-1000000</v>
      </c>
      <c r="I776" s="4">
        <f>Clean_Data[[#This Row],[Exports_TIV]] + Clean_Data[[#This Row],[Imports_TIV]]</f>
        <v>1000000</v>
      </c>
    </row>
    <row r="777" spans="1:9">
      <c r="A777" s="4" t="s">
        <v>329</v>
      </c>
      <c r="B777" s="4" t="s">
        <v>330</v>
      </c>
      <c r="C777" s="5">
        <v>2020</v>
      </c>
      <c r="D777" s="4">
        <v>0</v>
      </c>
      <c r="E777" s="4">
        <v>217000000</v>
      </c>
      <c r="F777" s="4" t="str">
        <f>_xlfn.LET(_xlpm.r, _xlfn.XLOOKUP(Clean_Data[[#This Row],[Country_Code]], Metadata_Country!$A:$A, Metadata_Country!$B:$B, "Unknown"), IF(OR(_xlpm.r=0, _xlpm.r=""), "Regional Aggregate", _xlpm.r))</f>
        <v>East Asia &amp; Pacific</v>
      </c>
      <c r="G777" s="4" t="str">
        <f>_xlfn.LET(_xlpm.ig, _xlfn.XLOOKUP(Clean_Data[[#This Row],[Country_Code]], Metadata_Country!$A:$A, Metadata_Country!$C:$C, "Unknown"), IF(OR(_xlpm.ig=0, _xlpm.ig=""), "Regional Aggregate", _xlpm.ig))</f>
        <v>Lower middle income</v>
      </c>
      <c r="H777" s="4">
        <f>Clean_Data[[#This Row],[Exports_TIV]] - Clean_Data[[#This Row],[Imports_TIV]]</f>
        <v>-217000000</v>
      </c>
      <c r="I777" s="4">
        <f>Clean_Data[[#This Row],[Exports_TIV]] + Clean_Data[[#This Row],[Imports_TIV]]</f>
        <v>217000000</v>
      </c>
    </row>
    <row r="778" spans="1:9">
      <c r="A778" s="4" t="s">
        <v>361</v>
      </c>
      <c r="B778" s="4" t="s">
        <v>362</v>
      </c>
      <c r="C778" s="5">
        <v>2020</v>
      </c>
      <c r="D778" s="4">
        <v>497000000</v>
      </c>
      <c r="E778" s="4">
        <v>575000000</v>
      </c>
      <c r="F778" s="4" t="str">
        <f>_xlfn.LET(_xlpm.r, _xlfn.XLOOKUP(Clean_Data[[#This Row],[Country_Code]], Metadata_Country!$A:$A, Metadata_Country!$B:$B, "Unknown"), IF(OR(_xlpm.r=0, _xlpm.r=""), "Regional Aggregate", _xlpm.r))</f>
        <v>Europe &amp; Central Asia</v>
      </c>
      <c r="G778" s="4" t="str">
        <f>_xlfn.LET(_xlpm.ig, _xlfn.XLOOKUP(Clean_Data[[#This Row],[Country_Code]], Metadata_Country!$A:$A, Metadata_Country!$C:$C, "Unknown"), IF(OR(_xlpm.ig=0, _xlpm.ig=""), "Regional Aggregate", _xlpm.ig))</f>
        <v>High income</v>
      </c>
      <c r="H778" s="4">
        <f>Clean_Data[[#This Row],[Exports_TIV]] - Clean_Data[[#This Row],[Imports_TIV]]</f>
        <v>-78000000</v>
      </c>
      <c r="I778" s="4">
        <f>Clean_Data[[#This Row],[Exports_TIV]] + Clean_Data[[#This Row],[Imports_TIV]]</f>
        <v>1072000000</v>
      </c>
    </row>
    <row r="779" spans="1:9">
      <c r="A779" s="4" t="s">
        <v>369</v>
      </c>
      <c r="B779" s="4" t="s">
        <v>370</v>
      </c>
      <c r="C779" s="5">
        <v>2020</v>
      </c>
      <c r="D779" s="4">
        <v>0</v>
      </c>
      <c r="E779" s="4">
        <v>146000000</v>
      </c>
      <c r="F779" s="4" t="str">
        <f>_xlfn.LET(_xlpm.r, _xlfn.XLOOKUP(Clean_Data[[#This Row],[Country_Code]], Metadata_Country!$A:$A, Metadata_Country!$B:$B, "Unknown"), IF(OR(_xlpm.r=0, _xlpm.r=""), "Regional Aggregate", _xlpm.r))</f>
        <v>East Asia &amp; Pacific</v>
      </c>
      <c r="G779" s="4" t="str">
        <f>_xlfn.LET(_xlpm.ig, _xlfn.XLOOKUP(Clean_Data[[#This Row],[Country_Code]], Metadata_Country!$A:$A, Metadata_Country!$C:$C, "Unknown"), IF(OR(_xlpm.ig=0, _xlpm.ig=""), "Regional Aggregate", _xlpm.ig))</f>
        <v>High income</v>
      </c>
      <c r="H779" s="4">
        <f>Clean_Data[[#This Row],[Exports_TIV]] - Clean_Data[[#This Row],[Imports_TIV]]</f>
        <v>-146000000</v>
      </c>
      <c r="I779" s="4">
        <f>Clean_Data[[#This Row],[Exports_TIV]] + Clean_Data[[#This Row],[Imports_TIV]]</f>
        <v>146000000</v>
      </c>
    </row>
    <row r="780" spans="1:9">
      <c r="A780" s="4" t="s">
        <v>355</v>
      </c>
      <c r="B780" s="4" t="s">
        <v>356</v>
      </c>
      <c r="C780" s="5">
        <v>2020</v>
      </c>
      <c r="D780" s="4">
        <v>0</v>
      </c>
      <c r="E780" s="4">
        <v>19000000</v>
      </c>
      <c r="F780" s="4" t="str">
        <f>_xlfn.LET(_xlpm.r, _xlfn.XLOOKUP(Clean_Data[[#This Row],[Country_Code]], Metadata_Country!$A:$A, Metadata_Country!$B:$B, "Unknown"), IF(OR(_xlpm.r=0, _xlpm.r=""), "Regional Aggregate", _xlpm.r))</f>
        <v>Sub-Saharan Africa</v>
      </c>
      <c r="G780" s="4" t="str">
        <f>_xlfn.LET(_xlpm.ig, _xlfn.XLOOKUP(Clean_Data[[#This Row],[Country_Code]], Metadata_Country!$A:$A, Metadata_Country!$C:$C, "Unknown"), IF(OR(_xlpm.ig=0, _xlpm.ig=""), "Regional Aggregate", _xlpm.ig))</f>
        <v>Low income</v>
      </c>
      <c r="H780" s="4">
        <f>Clean_Data[[#This Row],[Exports_TIV]] - Clean_Data[[#This Row],[Imports_TIV]]</f>
        <v>-19000000</v>
      </c>
      <c r="I780" s="4">
        <f>Clean_Data[[#This Row],[Exports_TIV]] + Clean_Data[[#This Row],[Imports_TIV]]</f>
        <v>19000000</v>
      </c>
    </row>
    <row r="781" spans="1:9">
      <c r="A781" s="4" t="s">
        <v>357</v>
      </c>
      <c r="B781" s="4" t="s">
        <v>358</v>
      </c>
      <c r="C781" s="5">
        <v>2020</v>
      </c>
      <c r="D781" s="4">
        <v>0</v>
      </c>
      <c r="E781" s="4">
        <v>84000000</v>
      </c>
      <c r="F781" s="4" t="str">
        <f>_xlfn.LET(_xlpm.r, _xlfn.XLOOKUP(Clean_Data[[#This Row],[Country_Code]], Metadata_Country!$A:$A, Metadata_Country!$B:$B, "Unknown"), IF(OR(_xlpm.r=0, _xlpm.r=""), "Regional Aggregate", _xlpm.r))</f>
        <v>Sub-Saharan Africa</v>
      </c>
      <c r="G781" s="4" t="str">
        <f>_xlfn.LET(_xlpm.ig, _xlfn.XLOOKUP(Clean_Data[[#This Row],[Country_Code]], Metadata_Country!$A:$A, Metadata_Country!$C:$C, "Unknown"), IF(OR(_xlpm.ig=0, _xlpm.ig=""), "Regional Aggregate", _xlpm.ig))</f>
        <v>Lower middle income</v>
      </c>
      <c r="H781" s="4">
        <f>Clean_Data[[#This Row],[Exports_TIV]] - Clean_Data[[#This Row],[Imports_TIV]]</f>
        <v>-84000000</v>
      </c>
      <c r="I781" s="4">
        <f>Clean_Data[[#This Row],[Exports_TIV]] + Clean_Data[[#This Row],[Imports_TIV]]</f>
        <v>84000000</v>
      </c>
    </row>
    <row r="782" spans="1:9">
      <c r="A782" s="4" t="s">
        <v>349</v>
      </c>
      <c r="B782" s="4" t="s">
        <v>350</v>
      </c>
      <c r="C782" s="5">
        <v>2020</v>
      </c>
      <c r="D782" s="4">
        <v>9853000000</v>
      </c>
      <c r="E782" s="4">
        <v>1054000000</v>
      </c>
      <c r="F782" s="4" t="str">
        <f>_xlfn.LET(_xlpm.r, _xlfn.XLOOKUP(Clean_Data[[#This Row],[Country_Code]], Metadata_Country!$A:$A, Metadata_Country!$B:$B, "Unknown"), IF(OR(_xlpm.r=0, _xlpm.r=""), "Regional Aggregate", _xlpm.r))</f>
        <v>Regional Aggregate</v>
      </c>
      <c r="G782" s="4" t="str">
        <f>_xlfn.LET(_xlpm.ig, _xlfn.XLOOKUP(Clean_Data[[#This Row],[Country_Code]], Metadata_Country!$A:$A, Metadata_Country!$C:$C, "Unknown"), IF(OR(_xlpm.ig=0, _xlpm.ig=""), "Regional Aggregate", _xlpm.ig))</f>
        <v>Regional Aggregate</v>
      </c>
      <c r="H782" s="4">
        <f>Clean_Data[[#This Row],[Exports_TIV]] - Clean_Data[[#This Row],[Imports_TIV]]</f>
        <v>8799000000</v>
      </c>
      <c r="I782" s="4">
        <f>Clean_Data[[#This Row],[Exports_TIV]] + Clean_Data[[#This Row],[Imports_TIV]]</f>
        <v>10907000000</v>
      </c>
    </row>
    <row r="783" spans="1:9">
      <c r="A783" s="4" t="s">
        <v>363</v>
      </c>
      <c r="B783" s="4" t="s">
        <v>364</v>
      </c>
      <c r="C783" s="5">
        <v>2020</v>
      </c>
      <c r="D783" s="4">
        <v>60000000</v>
      </c>
      <c r="E783" s="4">
        <v>459000000</v>
      </c>
      <c r="F783" s="4" t="str">
        <f>_xlfn.LET(_xlpm.r, _xlfn.XLOOKUP(Clean_Data[[#This Row],[Country_Code]], Metadata_Country!$A:$A, Metadata_Country!$B:$B, "Unknown"), IF(OR(_xlpm.r=0, _xlpm.r=""), "Regional Aggregate", _xlpm.r))</f>
        <v>Europe &amp; Central Asia</v>
      </c>
      <c r="G783" s="4" t="str">
        <f>_xlfn.LET(_xlpm.ig, _xlfn.XLOOKUP(Clean_Data[[#This Row],[Country_Code]], Metadata_Country!$A:$A, Metadata_Country!$C:$C, "Unknown"), IF(OR(_xlpm.ig=0, _xlpm.ig=""), "Regional Aggregate", _xlpm.ig))</f>
        <v>High income</v>
      </c>
      <c r="H783" s="4">
        <f>Clean_Data[[#This Row],[Exports_TIV]] - Clean_Data[[#This Row],[Imports_TIV]]</f>
        <v>-399000000</v>
      </c>
      <c r="I783" s="4">
        <f>Clean_Data[[#This Row],[Exports_TIV]] + Clean_Data[[#This Row],[Imports_TIV]]</f>
        <v>519000000</v>
      </c>
    </row>
    <row r="784" spans="1:9">
      <c r="A784" s="4" t="s">
        <v>371</v>
      </c>
      <c r="B784" s="4" t="s">
        <v>372</v>
      </c>
      <c r="C784" s="5">
        <v>2020</v>
      </c>
      <c r="D784" s="4">
        <v>18737000000</v>
      </c>
      <c r="E784" s="4">
        <v>9349000000</v>
      </c>
      <c r="F784" s="4" t="str">
        <f>_xlfn.LET(_xlpm.r, _xlfn.XLOOKUP(Clean_Data[[#This Row],[Country_Code]], Metadata_Country!$A:$A, Metadata_Country!$B:$B, "Unknown"), IF(OR(_xlpm.r=0, _xlpm.r=""), "Regional Aggregate", _xlpm.r))</f>
        <v>Regional Aggregate</v>
      </c>
      <c r="G784" s="4" t="str">
        <f>_xlfn.LET(_xlpm.ig, _xlfn.XLOOKUP(Clean_Data[[#This Row],[Country_Code]], Metadata_Country!$A:$A, Metadata_Country!$C:$C, "Unknown"), IF(OR(_xlpm.ig=0, _xlpm.ig=""), "Regional Aggregate", _xlpm.ig))</f>
        <v>Regional Aggregate</v>
      </c>
      <c r="H784" s="4">
        <f>Clean_Data[[#This Row],[Exports_TIV]] - Clean_Data[[#This Row],[Imports_TIV]]</f>
        <v>9388000000</v>
      </c>
      <c r="I784" s="4">
        <f>Clean_Data[[#This Row],[Exports_TIV]] + Clean_Data[[#This Row],[Imports_TIV]]</f>
        <v>28086000000</v>
      </c>
    </row>
    <row r="785" spans="1:9">
      <c r="A785" s="4" t="s">
        <v>373</v>
      </c>
      <c r="B785" s="4" t="s">
        <v>374</v>
      </c>
      <c r="C785" s="5">
        <v>2020</v>
      </c>
      <c r="D785" s="4">
        <v>0</v>
      </c>
      <c r="E785" s="4">
        <v>85000000</v>
      </c>
      <c r="F785" s="4" t="str">
        <f>_xlfn.LET(_xlpm.r, _xlfn.XLOOKUP(Clean_Data[[#This Row],[Country_Code]], Metadata_Country!$A:$A, Metadata_Country!$B:$B, "Unknown"), IF(OR(_xlpm.r=0, _xlpm.r=""), "Regional Aggregate", _xlpm.r))</f>
        <v>Middle East &amp; North Africa</v>
      </c>
      <c r="G785" s="4" t="str">
        <f>_xlfn.LET(_xlpm.ig, _xlfn.XLOOKUP(Clean_Data[[#This Row],[Country_Code]], Metadata_Country!$A:$A, Metadata_Country!$C:$C, "Unknown"), IF(OR(_xlpm.ig=0, _xlpm.ig=""), "Regional Aggregate", _xlpm.ig))</f>
        <v>High income</v>
      </c>
      <c r="H785" s="4">
        <f>Clean_Data[[#This Row],[Exports_TIV]] - Clean_Data[[#This Row],[Imports_TIV]]</f>
        <v>-85000000</v>
      </c>
      <c r="I785" s="4">
        <f>Clean_Data[[#This Row],[Exports_TIV]] + Clean_Data[[#This Row],[Imports_TIV]]</f>
        <v>85000000</v>
      </c>
    </row>
    <row r="786" spans="1:9">
      <c r="A786" s="4" t="s">
        <v>377</v>
      </c>
      <c r="B786" s="4" t="s">
        <v>378</v>
      </c>
      <c r="C786" s="5">
        <v>2020</v>
      </c>
      <c r="D786" s="4">
        <v>0</v>
      </c>
      <c r="E786" s="4">
        <v>624000000</v>
      </c>
      <c r="F786" s="4" t="str">
        <f>_xlfn.LET(_xlpm.r, _xlfn.XLOOKUP(Clean_Data[[#This Row],[Country_Code]], Metadata_Country!$A:$A, Metadata_Country!$B:$B, "Unknown"), IF(OR(_xlpm.r=0, _xlpm.r=""), "Regional Aggregate", _xlpm.r))</f>
        <v>Middle East &amp; North Africa</v>
      </c>
      <c r="G786" s="4" t="str">
        <f>_xlfn.LET(_xlpm.ig, _xlfn.XLOOKUP(Clean_Data[[#This Row],[Country_Code]], Metadata_Country!$A:$A, Metadata_Country!$C:$C, "Unknown"), IF(OR(_xlpm.ig=0, _xlpm.ig=""), "Regional Aggregate", _xlpm.ig))</f>
        <v>Lower middle income</v>
      </c>
      <c r="H786" s="4">
        <f>Clean_Data[[#This Row],[Exports_TIV]] - Clean_Data[[#This Row],[Imports_TIV]]</f>
        <v>-624000000</v>
      </c>
      <c r="I786" s="4">
        <f>Clean_Data[[#This Row],[Exports_TIV]] + Clean_Data[[#This Row],[Imports_TIV]]</f>
        <v>624000000</v>
      </c>
    </row>
    <row r="787" spans="1:9">
      <c r="A787" s="4" t="s">
        <v>385</v>
      </c>
      <c r="B787" s="4" t="s">
        <v>386</v>
      </c>
      <c r="C787" s="5">
        <v>2020</v>
      </c>
      <c r="D787" s="4">
        <v>0</v>
      </c>
      <c r="E787" s="4">
        <v>7000000</v>
      </c>
      <c r="F787" s="4" t="str">
        <f>_xlfn.LET(_xlpm.r, _xlfn.XLOOKUP(Clean_Data[[#This Row],[Country_Code]], Metadata_Country!$A:$A, Metadata_Country!$B:$B, "Unknown"), IF(OR(_xlpm.r=0, _xlpm.r=""), "Regional Aggregate", _xlpm.r))</f>
        <v>East Asia &amp; Pacific</v>
      </c>
      <c r="G787" s="4" t="str">
        <f>_xlfn.LET(_xlpm.ig, _xlfn.XLOOKUP(Clean_Data[[#This Row],[Country_Code]], Metadata_Country!$A:$A, Metadata_Country!$C:$C, "Unknown"), IF(OR(_xlpm.ig=0, _xlpm.ig=""), "Regional Aggregate", _xlpm.ig))</f>
        <v>High income</v>
      </c>
      <c r="H787" s="4">
        <f>Clean_Data[[#This Row],[Exports_TIV]] - Clean_Data[[#This Row],[Imports_TIV]]</f>
        <v>-7000000</v>
      </c>
      <c r="I787" s="4">
        <f>Clean_Data[[#This Row],[Exports_TIV]] + Clean_Data[[#This Row],[Imports_TIV]]</f>
        <v>7000000</v>
      </c>
    </row>
    <row r="788" spans="1:9">
      <c r="A788" s="4" t="s">
        <v>381</v>
      </c>
      <c r="B788" s="4" t="s">
        <v>382</v>
      </c>
      <c r="C788" s="5">
        <v>2020</v>
      </c>
      <c r="D788" s="4">
        <v>0</v>
      </c>
      <c r="E788" s="4">
        <v>28000000</v>
      </c>
      <c r="F788" s="4" t="str">
        <f>_xlfn.LET(_xlpm.r, _xlfn.XLOOKUP(Clean_Data[[#This Row],[Country_Code]], Metadata_Country!$A:$A, Metadata_Country!$B:$B, "Unknown"), IF(OR(_xlpm.r=0, _xlpm.r=""), "Regional Aggregate", _xlpm.r))</f>
        <v>Latin America &amp; Caribbean</v>
      </c>
      <c r="G788" s="4" t="str">
        <f>_xlfn.LET(_xlpm.ig, _xlfn.XLOOKUP(Clean_Data[[#This Row],[Country_Code]], Metadata_Country!$A:$A, Metadata_Country!$C:$C, "Unknown"), IF(OR(_xlpm.ig=0, _xlpm.ig=""), "Regional Aggregate", _xlpm.ig))</f>
        <v>Upper middle income</v>
      </c>
      <c r="H788" s="4">
        <f>Clean_Data[[#This Row],[Exports_TIV]] - Clean_Data[[#This Row],[Imports_TIV]]</f>
        <v>-28000000</v>
      </c>
      <c r="I788" s="4">
        <f>Clean_Data[[#This Row],[Exports_TIV]] + Clean_Data[[#This Row],[Imports_TIV]]</f>
        <v>28000000</v>
      </c>
    </row>
    <row r="789" spans="1:9">
      <c r="A789" s="4" t="s">
        <v>383</v>
      </c>
      <c r="B789" s="4" t="s">
        <v>384</v>
      </c>
      <c r="C789" s="5">
        <v>2020</v>
      </c>
      <c r="D789" s="4">
        <v>0</v>
      </c>
      <c r="E789" s="4">
        <v>385000000</v>
      </c>
      <c r="F789" s="4" t="str">
        <f>_xlfn.LET(_xlpm.r, _xlfn.XLOOKUP(Clean_Data[[#This Row],[Country_Code]], Metadata_Country!$A:$A, Metadata_Country!$B:$B, "Unknown"), IF(OR(_xlpm.r=0, _xlpm.r=""), "Regional Aggregate", _xlpm.r))</f>
        <v>East Asia &amp; Pacific</v>
      </c>
      <c r="G789" s="4" t="str">
        <f>_xlfn.LET(_xlpm.ig, _xlfn.XLOOKUP(Clean_Data[[#This Row],[Country_Code]], Metadata_Country!$A:$A, Metadata_Country!$C:$C, "Unknown"), IF(OR(_xlpm.ig=0, _xlpm.ig=""), "Regional Aggregate", _xlpm.ig))</f>
        <v>Upper middle income</v>
      </c>
      <c r="H789" s="4">
        <f>Clean_Data[[#This Row],[Exports_TIV]] - Clean_Data[[#This Row],[Imports_TIV]]</f>
        <v>-385000000</v>
      </c>
      <c r="I789" s="4">
        <f>Clean_Data[[#This Row],[Exports_TIV]] + Clean_Data[[#This Row],[Imports_TIV]]</f>
        <v>385000000</v>
      </c>
    </row>
    <row r="790" spans="1:9">
      <c r="A790" s="4" t="s">
        <v>389</v>
      </c>
      <c r="B790" s="4" t="s">
        <v>390</v>
      </c>
      <c r="C790" s="5">
        <v>2020</v>
      </c>
      <c r="D790" s="4">
        <v>0</v>
      </c>
      <c r="E790" s="4">
        <v>153000000</v>
      </c>
      <c r="F790" s="4" t="str">
        <f>_xlfn.LET(_xlpm.r, _xlfn.XLOOKUP(Clean_Data[[#This Row],[Country_Code]], Metadata_Country!$A:$A, Metadata_Country!$B:$B, "Unknown"), IF(OR(_xlpm.r=0, _xlpm.r=""), "Regional Aggregate", _xlpm.r))</f>
        <v>Europe &amp; Central Asia</v>
      </c>
      <c r="G790" s="4" t="str">
        <f>_xlfn.LET(_xlpm.ig, _xlfn.XLOOKUP(Clean_Data[[#This Row],[Country_Code]], Metadata_Country!$A:$A, Metadata_Country!$C:$C, "Unknown"), IF(OR(_xlpm.ig=0, _xlpm.ig=""), "Regional Aggregate", _xlpm.ig))</f>
        <v>High income</v>
      </c>
      <c r="H790" s="4">
        <f>Clean_Data[[#This Row],[Exports_TIV]] - Clean_Data[[#This Row],[Imports_TIV]]</f>
        <v>-153000000</v>
      </c>
      <c r="I790" s="4">
        <f>Clean_Data[[#This Row],[Exports_TIV]] + Clean_Data[[#This Row],[Imports_TIV]]</f>
        <v>153000000</v>
      </c>
    </row>
    <row r="791" spans="1:9">
      <c r="A791" s="4" t="s">
        <v>397</v>
      </c>
      <c r="B791" s="4" t="s">
        <v>398</v>
      </c>
      <c r="C791" s="5">
        <v>2020</v>
      </c>
      <c r="D791" s="4">
        <v>46000000</v>
      </c>
      <c r="E791" s="4">
        <v>45000000</v>
      </c>
      <c r="F791" s="4" t="str">
        <f>_xlfn.LET(_xlpm.r, _xlfn.XLOOKUP(Clean_Data[[#This Row],[Country_Code]], Metadata_Country!$A:$A, Metadata_Country!$B:$B, "Unknown"), IF(OR(_xlpm.r=0, _xlpm.r=""), "Regional Aggregate", _xlpm.r))</f>
        <v>Europe &amp; Central Asia</v>
      </c>
      <c r="G791" s="4" t="str">
        <f>_xlfn.LET(_xlpm.ig, _xlfn.XLOOKUP(Clean_Data[[#This Row],[Country_Code]], Metadata_Country!$A:$A, Metadata_Country!$C:$C, "Unknown"), IF(OR(_xlpm.ig=0, _xlpm.ig=""), "Regional Aggregate", _xlpm.ig))</f>
        <v>High income</v>
      </c>
      <c r="H791" s="4">
        <f>Clean_Data[[#This Row],[Exports_TIV]] - Clean_Data[[#This Row],[Imports_TIV]]</f>
        <v>1000000</v>
      </c>
      <c r="I791" s="4">
        <f>Clean_Data[[#This Row],[Exports_TIV]] + Clean_Data[[#This Row],[Imports_TIV]]</f>
        <v>91000000</v>
      </c>
    </row>
    <row r="792" spans="1:9">
      <c r="A792" s="4" t="s">
        <v>405</v>
      </c>
      <c r="B792" s="4" t="s">
        <v>406</v>
      </c>
      <c r="C792" s="5">
        <v>2020</v>
      </c>
      <c r="D792" s="4">
        <v>18291000000</v>
      </c>
      <c r="E792" s="4">
        <v>8228000000</v>
      </c>
      <c r="F792" s="4" t="str">
        <f>_xlfn.LET(_xlpm.r, _xlfn.XLOOKUP(Clean_Data[[#This Row],[Country_Code]], Metadata_Country!$A:$A, Metadata_Country!$B:$B, "Unknown"), IF(OR(_xlpm.r=0, _xlpm.r=""), "Regional Aggregate", _xlpm.r))</f>
        <v>Regional Aggregate</v>
      </c>
      <c r="G792" s="4" t="str">
        <f>_xlfn.LET(_xlpm.ig, _xlfn.XLOOKUP(Clean_Data[[#This Row],[Country_Code]], Metadata_Country!$A:$A, Metadata_Country!$C:$C, "Unknown"), IF(OR(_xlpm.ig=0, _xlpm.ig=""), "Regional Aggregate", _xlpm.ig))</f>
        <v>Regional Aggregate</v>
      </c>
      <c r="H792" s="4">
        <f>Clean_Data[[#This Row],[Exports_TIV]] - Clean_Data[[#This Row],[Imports_TIV]]</f>
        <v>10063000000</v>
      </c>
      <c r="I792" s="4">
        <f>Clean_Data[[#This Row],[Exports_TIV]] + Clean_Data[[#This Row],[Imports_TIV]]</f>
        <v>26519000000</v>
      </c>
    </row>
    <row r="793" spans="1:9">
      <c r="A793" s="4" t="s">
        <v>391</v>
      </c>
      <c r="B793" s="4" t="s">
        <v>392</v>
      </c>
      <c r="C793" s="5">
        <v>2020</v>
      </c>
      <c r="D793" s="4">
        <v>0</v>
      </c>
      <c r="E793" s="4">
        <v>655000000</v>
      </c>
      <c r="F793" s="4" t="str">
        <f>_xlfn.LET(_xlpm.r, _xlfn.XLOOKUP(Clean_Data[[#This Row],[Country_Code]], Metadata_Country!$A:$A, Metadata_Country!$B:$B, "Unknown"), IF(OR(_xlpm.r=0, _xlpm.r=""), "Regional Aggregate", _xlpm.r))</f>
        <v>Regional Aggregate</v>
      </c>
      <c r="G793" s="4" t="str">
        <f>_xlfn.LET(_xlpm.ig, _xlfn.XLOOKUP(Clean_Data[[#This Row],[Country_Code]], Metadata_Country!$A:$A, Metadata_Country!$C:$C, "Unknown"), IF(OR(_xlpm.ig=0, _xlpm.ig=""), "Regional Aggregate", _xlpm.ig))</f>
        <v>Regional Aggregate</v>
      </c>
      <c r="H793" s="4">
        <f>Clean_Data[[#This Row],[Exports_TIV]] - Clean_Data[[#This Row],[Imports_TIV]]</f>
        <v>-655000000</v>
      </c>
      <c r="I793" s="4">
        <f>Clean_Data[[#This Row],[Exports_TIV]] + Clean_Data[[#This Row],[Imports_TIV]]</f>
        <v>655000000</v>
      </c>
    </row>
    <row r="794" spans="1:9">
      <c r="A794" s="4" t="s">
        <v>409</v>
      </c>
      <c r="B794" s="4" t="s">
        <v>410</v>
      </c>
      <c r="C794" s="5">
        <v>2020</v>
      </c>
      <c r="D794" s="4">
        <v>0</v>
      </c>
      <c r="E794" s="4">
        <v>1082000000</v>
      </c>
      <c r="F794" s="4" t="str">
        <f>_xlfn.LET(_xlpm.r, _xlfn.XLOOKUP(Clean_Data[[#This Row],[Country_Code]], Metadata_Country!$A:$A, Metadata_Country!$B:$B, "Unknown"), IF(OR(_xlpm.r=0, _xlpm.r=""), "Regional Aggregate", _xlpm.r))</f>
        <v>Middle East &amp; North Africa</v>
      </c>
      <c r="G794" s="4" t="str">
        <f>_xlfn.LET(_xlpm.ig, _xlfn.XLOOKUP(Clean_Data[[#This Row],[Country_Code]], Metadata_Country!$A:$A, Metadata_Country!$C:$C, "Unknown"), IF(OR(_xlpm.ig=0, _xlpm.ig=""), "Regional Aggregate", _xlpm.ig))</f>
        <v>High income</v>
      </c>
      <c r="H794" s="4">
        <f>Clean_Data[[#This Row],[Exports_TIV]] - Clean_Data[[#This Row],[Imports_TIV]]</f>
        <v>-1082000000</v>
      </c>
      <c r="I794" s="4">
        <f>Clean_Data[[#This Row],[Exports_TIV]] + Clean_Data[[#This Row],[Imports_TIV]]</f>
        <v>1082000000</v>
      </c>
    </row>
    <row r="795" spans="1:9">
      <c r="A795" s="4" t="s">
        <v>411</v>
      </c>
      <c r="B795" s="4" t="s">
        <v>412</v>
      </c>
      <c r="C795" s="5">
        <v>2020</v>
      </c>
      <c r="D795" s="4">
        <v>0</v>
      </c>
      <c r="E795" s="4">
        <v>168000000</v>
      </c>
      <c r="F795" s="4" t="str">
        <f>_xlfn.LET(_xlpm.r, _xlfn.XLOOKUP(Clean_Data[[#This Row],[Country_Code]], Metadata_Country!$A:$A, Metadata_Country!$B:$B, "Unknown"), IF(OR(_xlpm.r=0, _xlpm.r=""), "Regional Aggregate", _xlpm.r))</f>
        <v>Europe &amp; Central Asia</v>
      </c>
      <c r="G795" s="4" t="str">
        <f>_xlfn.LET(_xlpm.ig, _xlfn.XLOOKUP(Clean_Data[[#This Row],[Country_Code]], Metadata_Country!$A:$A, Metadata_Country!$C:$C, "Unknown"), IF(OR(_xlpm.ig=0, _xlpm.ig=""), "Regional Aggregate", _xlpm.ig))</f>
        <v>High income</v>
      </c>
      <c r="H795" s="4">
        <f>Clean_Data[[#This Row],[Exports_TIV]] - Clean_Data[[#This Row],[Imports_TIV]]</f>
        <v>-168000000</v>
      </c>
      <c r="I795" s="4">
        <f>Clean_Data[[#This Row],[Exports_TIV]] + Clean_Data[[#This Row],[Imports_TIV]]</f>
        <v>168000000</v>
      </c>
    </row>
    <row r="796" spans="1:9">
      <c r="A796" s="4" t="s">
        <v>413</v>
      </c>
      <c r="B796" s="4" t="s">
        <v>414</v>
      </c>
      <c r="C796" s="5">
        <v>2020</v>
      </c>
      <c r="D796" s="4">
        <v>3660000000</v>
      </c>
      <c r="E796" s="4">
        <v>1000000</v>
      </c>
      <c r="F796" s="4" t="str">
        <f>_xlfn.LET(_xlpm.r, _xlfn.XLOOKUP(Clean_Data[[#This Row],[Country_Code]], Metadata_Country!$A:$A, Metadata_Country!$B:$B, "Unknown"), IF(OR(_xlpm.r=0, _xlpm.r=""), "Regional Aggregate", _xlpm.r))</f>
        <v>Europe &amp; Central Asia</v>
      </c>
      <c r="G796" s="4" t="str">
        <f>_xlfn.LET(_xlpm.ig, _xlfn.XLOOKUP(Clean_Data[[#This Row],[Country_Code]], Metadata_Country!$A:$A, Metadata_Country!$C:$C, "Unknown"), IF(OR(_xlpm.ig=0, _xlpm.ig=""), "Regional Aggregate", _xlpm.ig))</f>
        <v>High income</v>
      </c>
      <c r="H796" s="4">
        <f>Clean_Data[[#This Row],[Exports_TIV]] - Clean_Data[[#This Row],[Imports_TIV]]</f>
        <v>3659000000</v>
      </c>
      <c r="I796" s="4">
        <f>Clean_Data[[#This Row],[Exports_TIV]] + Clean_Data[[#This Row],[Imports_TIV]]</f>
        <v>3661000000</v>
      </c>
    </row>
    <row r="797" spans="1:9">
      <c r="A797" s="4" t="s">
        <v>419</v>
      </c>
      <c r="B797" s="4" t="s">
        <v>420</v>
      </c>
      <c r="C797" s="5">
        <v>2020</v>
      </c>
      <c r="D797" s="4">
        <v>0</v>
      </c>
      <c r="E797" s="4">
        <v>2241000000</v>
      </c>
      <c r="F797" s="4" t="str">
        <f>_xlfn.LET(_xlpm.r, _xlfn.XLOOKUP(Clean_Data[[#This Row],[Country_Code]], Metadata_Country!$A:$A, Metadata_Country!$B:$B, "Unknown"), IF(OR(_xlpm.r=0, _xlpm.r=""), "Regional Aggregate", _xlpm.r))</f>
        <v>Middle East &amp; North Africa</v>
      </c>
      <c r="G797" s="4" t="str">
        <f>_xlfn.LET(_xlpm.ig, _xlfn.XLOOKUP(Clean_Data[[#This Row],[Country_Code]], Metadata_Country!$A:$A, Metadata_Country!$C:$C, "Unknown"), IF(OR(_xlpm.ig=0, _xlpm.ig=""), "Regional Aggregate", _xlpm.ig))</f>
        <v>High income</v>
      </c>
      <c r="H797" s="4">
        <f>Clean_Data[[#This Row],[Exports_TIV]] - Clean_Data[[#This Row],[Imports_TIV]]</f>
        <v>-2241000000</v>
      </c>
      <c r="I797" s="4">
        <f>Clean_Data[[#This Row],[Exports_TIV]] + Clean_Data[[#This Row],[Imports_TIV]]</f>
        <v>2241000000</v>
      </c>
    </row>
    <row r="798" spans="1:9">
      <c r="A798" s="4" t="s">
        <v>423</v>
      </c>
      <c r="B798" s="4" t="s">
        <v>424</v>
      </c>
      <c r="C798" s="5">
        <v>2020</v>
      </c>
      <c r="D798" s="4">
        <v>0</v>
      </c>
      <c r="E798" s="4">
        <v>22000000</v>
      </c>
      <c r="F798" s="4" t="str">
        <f>_xlfn.LET(_xlpm.r, _xlfn.XLOOKUP(Clean_Data[[#This Row],[Country_Code]], Metadata_Country!$A:$A, Metadata_Country!$B:$B, "Unknown"), IF(OR(_xlpm.r=0, _xlpm.r=""), "Regional Aggregate", _xlpm.r))</f>
        <v>Sub-Saharan Africa</v>
      </c>
      <c r="G798" s="4" t="str">
        <f>_xlfn.LET(_xlpm.ig, _xlfn.XLOOKUP(Clean_Data[[#This Row],[Country_Code]], Metadata_Country!$A:$A, Metadata_Country!$C:$C, "Unknown"), IF(OR(_xlpm.ig=0, _xlpm.ig=""), "Regional Aggregate", _xlpm.ig))</f>
        <v>Lower middle income</v>
      </c>
      <c r="H798" s="4">
        <f>Clean_Data[[#This Row],[Exports_TIV]] - Clean_Data[[#This Row],[Imports_TIV]]</f>
        <v>-22000000</v>
      </c>
      <c r="I798" s="4">
        <f>Clean_Data[[#This Row],[Exports_TIV]] + Clean_Data[[#This Row],[Imports_TIV]]</f>
        <v>22000000</v>
      </c>
    </row>
    <row r="799" spans="1:9">
      <c r="A799" s="4" t="s">
        <v>437</v>
      </c>
      <c r="B799" s="4" t="s">
        <v>438</v>
      </c>
      <c r="C799" s="5">
        <v>2020</v>
      </c>
      <c r="D799" s="4">
        <v>50000000</v>
      </c>
      <c r="E799" s="4">
        <v>147000000</v>
      </c>
      <c r="F799" s="4" t="str">
        <f>_xlfn.LET(_xlpm.r, _xlfn.XLOOKUP(Clean_Data[[#This Row],[Country_Code]], Metadata_Country!$A:$A, Metadata_Country!$B:$B, "Unknown"), IF(OR(_xlpm.r=0, _xlpm.r=""), "Regional Aggregate", _xlpm.r))</f>
        <v>Europe &amp; Central Asia</v>
      </c>
      <c r="G799" s="4" t="str">
        <f>_xlfn.LET(_xlpm.ig, _xlfn.XLOOKUP(Clean_Data[[#This Row],[Country_Code]], Metadata_Country!$A:$A, Metadata_Country!$C:$C, "Unknown"), IF(OR(_xlpm.ig=0, _xlpm.ig=""), "Regional Aggregate", _xlpm.ig))</f>
        <v>Upper middle income</v>
      </c>
      <c r="H799" s="4">
        <f>Clean_Data[[#This Row],[Exports_TIV]] - Clean_Data[[#This Row],[Imports_TIV]]</f>
        <v>-97000000</v>
      </c>
      <c r="I799" s="4">
        <f>Clean_Data[[#This Row],[Exports_TIV]] + Clean_Data[[#This Row],[Imports_TIV]]</f>
        <v>197000000</v>
      </c>
    </row>
    <row r="800" spans="1:9">
      <c r="A800" s="4" t="s">
        <v>425</v>
      </c>
      <c r="B800" s="4" t="s">
        <v>426</v>
      </c>
      <c r="C800" s="5">
        <v>2020</v>
      </c>
      <c r="D800" s="4">
        <v>24000000</v>
      </c>
      <c r="E800" s="4">
        <v>176000000</v>
      </c>
      <c r="F800" s="4" t="str">
        <f>_xlfn.LET(_xlpm.r, _xlfn.XLOOKUP(Clean_Data[[#This Row],[Country_Code]], Metadata_Country!$A:$A, Metadata_Country!$B:$B, "Unknown"), IF(OR(_xlpm.r=0, _xlpm.r=""), "Regional Aggregate", _xlpm.r))</f>
        <v>East Asia &amp; Pacific</v>
      </c>
      <c r="G800" s="4" t="str">
        <f>_xlfn.LET(_xlpm.ig, _xlfn.XLOOKUP(Clean_Data[[#This Row],[Country_Code]], Metadata_Country!$A:$A, Metadata_Country!$C:$C, "Unknown"), IF(OR(_xlpm.ig=0, _xlpm.ig=""), "Regional Aggregate", _xlpm.ig))</f>
        <v>High income</v>
      </c>
      <c r="H800" s="4">
        <f>Clean_Data[[#This Row],[Exports_TIV]] - Clean_Data[[#This Row],[Imports_TIV]]</f>
        <v>-152000000</v>
      </c>
      <c r="I800" s="4">
        <f>Clean_Data[[#This Row],[Exports_TIV]] + Clean_Data[[#This Row],[Imports_TIV]]</f>
        <v>200000000</v>
      </c>
    </row>
    <row r="801" spans="1:9">
      <c r="A801" s="4" t="s">
        <v>451</v>
      </c>
      <c r="B801" s="4" t="s">
        <v>452</v>
      </c>
      <c r="C801" s="5">
        <v>2020</v>
      </c>
      <c r="D801" s="4">
        <v>11000000</v>
      </c>
      <c r="E801" s="4">
        <v>25000000</v>
      </c>
      <c r="F801" s="4" t="str">
        <f>_xlfn.LET(_xlpm.r, _xlfn.XLOOKUP(Clean_Data[[#This Row],[Country_Code]], Metadata_Country!$A:$A, Metadata_Country!$B:$B, "Unknown"), IF(OR(_xlpm.r=0, _xlpm.r=""), "Regional Aggregate", _xlpm.r))</f>
        <v>Europe &amp; Central Asia</v>
      </c>
      <c r="G801" s="4" t="str">
        <f>_xlfn.LET(_xlpm.ig, _xlfn.XLOOKUP(Clean_Data[[#This Row],[Country_Code]], Metadata_Country!$A:$A, Metadata_Country!$C:$C, "Unknown"), IF(OR(_xlpm.ig=0, _xlpm.ig=""), "Regional Aggregate", _xlpm.ig))</f>
        <v>High income</v>
      </c>
      <c r="H801" s="4">
        <f>Clean_Data[[#This Row],[Exports_TIV]] - Clean_Data[[#This Row],[Imports_TIV]]</f>
        <v>-14000000</v>
      </c>
      <c r="I801" s="4">
        <f>Clean_Data[[#This Row],[Exports_TIV]] + Clean_Data[[#This Row],[Imports_TIV]]</f>
        <v>36000000</v>
      </c>
    </row>
    <row r="802" spans="1:9">
      <c r="A802" s="4" t="s">
        <v>435</v>
      </c>
      <c r="B802" s="4" t="s">
        <v>436</v>
      </c>
      <c r="C802" s="5">
        <v>2020</v>
      </c>
      <c r="D802" s="4">
        <v>0</v>
      </c>
      <c r="E802" s="4">
        <v>2000000</v>
      </c>
      <c r="F802" s="4" t="str">
        <f>_xlfn.LET(_xlpm.r, _xlfn.XLOOKUP(Clean_Data[[#This Row],[Country_Code]], Metadata_Country!$A:$A, Metadata_Country!$B:$B, "Unknown"), IF(OR(_xlpm.r=0, _xlpm.r=""), "Regional Aggregate", _xlpm.r))</f>
        <v>Sub-Saharan Africa</v>
      </c>
      <c r="G802" s="4" t="str">
        <f>_xlfn.LET(_xlpm.ig, _xlfn.XLOOKUP(Clean_Data[[#This Row],[Country_Code]], Metadata_Country!$A:$A, Metadata_Country!$C:$C, "Unknown"), IF(OR(_xlpm.ig=0, _xlpm.ig=""), "Regional Aggregate", _xlpm.ig))</f>
        <v>Low income</v>
      </c>
      <c r="H802" s="4">
        <f>Clean_Data[[#This Row],[Exports_TIV]] - Clean_Data[[#This Row],[Imports_TIV]]</f>
        <v>-2000000</v>
      </c>
      <c r="I802" s="4">
        <f>Clean_Data[[#This Row],[Exports_TIV]] + Clean_Data[[#This Row],[Imports_TIV]]</f>
        <v>2000000</v>
      </c>
    </row>
    <row r="803" spans="1:9">
      <c r="A803" s="4" t="s">
        <v>535</v>
      </c>
      <c r="B803" s="4" t="s">
        <v>536</v>
      </c>
      <c r="C803" s="5">
        <v>2020</v>
      </c>
      <c r="D803" s="4">
        <v>150000000</v>
      </c>
      <c r="E803" s="4">
        <v>0</v>
      </c>
      <c r="F803" s="4" t="str">
        <f>_xlfn.LET(_xlpm.r, _xlfn.XLOOKUP(Clean_Data[[#This Row],[Country_Code]], Metadata_Country!$A:$A, Metadata_Country!$B:$B, "Unknown"), IF(OR(_xlpm.r=0, _xlpm.r=""), "Regional Aggregate", _xlpm.r))</f>
        <v>Sub-Saharan Africa</v>
      </c>
      <c r="G803" s="4" t="str">
        <f>_xlfn.LET(_xlpm.ig, _xlfn.XLOOKUP(Clean_Data[[#This Row],[Country_Code]], Metadata_Country!$A:$A, Metadata_Country!$C:$C, "Unknown"), IF(OR(_xlpm.ig=0, _xlpm.ig=""), "Regional Aggregate", _xlpm.ig))</f>
        <v>Upper middle income</v>
      </c>
      <c r="H803" s="4">
        <f>Clean_Data[[#This Row],[Exports_TIV]] - Clean_Data[[#This Row],[Imports_TIV]]</f>
        <v>150000000</v>
      </c>
      <c r="I803" s="4">
        <f>Clean_Data[[#This Row],[Exports_TIV]] + Clean_Data[[#This Row],[Imports_TIV]]</f>
        <v>150000000</v>
      </c>
    </row>
    <row r="804" spans="1:9">
      <c r="A804" s="4" t="s">
        <v>417</v>
      </c>
      <c r="B804" s="4" t="s">
        <v>418</v>
      </c>
      <c r="C804" s="5">
        <v>2020</v>
      </c>
      <c r="D804" s="4">
        <v>153000000</v>
      </c>
      <c r="E804" s="4">
        <v>2743000000</v>
      </c>
      <c r="F804" s="4" t="str">
        <f>_xlfn.LET(_xlpm.r, _xlfn.XLOOKUP(Clean_Data[[#This Row],[Country_Code]], Metadata_Country!$A:$A, Metadata_Country!$B:$B, "Unknown"), IF(OR(_xlpm.r=0, _xlpm.r=""), "Regional Aggregate", _xlpm.r))</f>
        <v>Regional Aggregate</v>
      </c>
      <c r="G804" s="4" t="str">
        <f>_xlfn.LET(_xlpm.ig, _xlfn.XLOOKUP(Clean_Data[[#This Row],[Country_Code]], Metadata_Country!$A:$A, Metadata_Country!$C:$C, "Unknown"), IF(OR(_xlpm.ig=0, _xlpm.ig=""), "Regional Aggregate", _xlpm.ig))</f>
        <v>Regional Aggregate</v>
      </c>
      <c r="H804" s="4">
        <f>Clean_Data[[#This Row],[Exports_TIV]] - Clean_Data[[#This Row],[Imports_TIV]]</f>
        <v>-2590000000</v>
      </c>
      <c r="I804" s="4">
        <f>Clean_Data[[#This Row],[Exports_TIV]] + Clean_Data[[#This Row],[Imports_TIV]]</f>
        <v>2896000000</v>
      </c>
    </row>
    <row r="805" spans="1:9">
      <c r="A805" s="4" t="s">
        <v>489</v>
      </c>
      <c r="B805" s="4" t="s">
        <v>490</v>
      </c>
      <c r="C805" s="5">
        <v>2020</v>
      </c>
      <c r="D805" s="4">
        <v>153000000</v>
      </c>
      <c r="E805" s="4">
        <v>2743000000</v>
      </c>
      <c r="F805" s="4" t="str">
        <f>_xlfn.LET(_xlpm.r, _xlfn.XLOOKUP(Clean_Data[[#This Row],[Country_Code]], Metadata_Country!$A:$A, Metadata_Country!$B:$B, "Unknown"), IF(OR(_xlpm.r=0, _xlpm.r=""), "Regional Aggregate", _xlpm.r))</f>
        <v>Regional Aggregate</v>
      </c>
      <c r="G805" s="4" t="str">
        <f>_xlfn.LET(_xlpm.ig, _xlfn.XLOOKUP(Clean_Data[[#This Row],[Country_Code]], Metadata_Country!$A:$A, Metadata_Country!$C:$C, "Unknown"), IF(OR(_xlpm.ig=0, _xlpm.ig=""), "Regional Aggregate", _xlpm.ig))</f>
        <v>Regional Aggregate</v>
      </c>
      <c r="H805" s="4">
        <f>Clean_Data[[#This Row],[Exports_TIV]] - Clean_Data[[#This Row],[Imports_TIV]]</f>
        <v>-2590000000</v>
      </c>
      <c r="I805" s="4">
        <f>Clean_Data[[#This Row],[Exports_TIV]] + Clean_Data[[#This Row],[Imports_TIV]]</f>
        <v>2896000000</v>
      </c>
    </row>
    <row r="806" spans="1:9">
      <c r="A806" s="4" t="s">
        <v>149</v>
      </c>
      <c r="B806" s="4" t="s">
        <v>150</v>
      </c>
      <c r="C806" s="5">
        <v>2020</v>
      </c>
      <c r="D806" s="4">
        <v>1005000000</v>
      </c>
      <c r="E806" s="4">
        <v>70000000</v>
      </c>
      <c r="F806" s="4" t="str">
        <f>_xlfn.LET(_xlpm.r, _xlfn.XLOOKUP(Clean_Data[[#This Row],[Country_Code]], Metadata_Country!$A:$A, Metadata_Country!$B:$B, "Unknown"), IF(OR(_xlpm.r=0, _xlpm.r=""), "Regional Aggregate", _xlpm.r))</f>
        <v>Europe &amp; Central Asia</v>
      </c>
      <c r="G806" s="4" t="str">
        <f>_xlfn.LET(_xlpm.ig, _xlfn.XLOOKUP(Clean_Data[[#This Row],[Country_Code]], Metadata_Country!$A:$A, Metadata_Country!$C:$C, "Unknown"), IF(OR(_xlpm.ig=0, _xlpm.ig=""), "Regional Aggregate", _xlpm.ig))</f>
        <v>High income</v>
      </c>
      <c r="H806" s="4">
        <f>Clean_Data[[#This Row],[Exports_TIV]] - Clean_Data[[#This Row],[Imports_TIV]]</f>
        <v>935000000</v>
      </c>
      <c r="I806" s="4">
        <f>Clean_Data[[#This Row],[Exports_TIV]] + Clean_Data[[#This Row],[Imports_TIV]]</f>
        <v>1075000000</v>
      </c>
    </row>
    <row r="807" spans="1:9">
      <c r="A807" s="4" t="s">
        <v>455</v>
      </c>
      <c r="B807" s="4" t="s">
        <v>456</v>
      </c>
      <c r="C807" s="5">
        <v>2020</v>
      </c>
      <c r="D807" s="4">
        <v>263000000</v>
      </c>
      <c r="E807" s="4">
        <v>3000000</v>
      </c>
      <c r="F807" s="4" t="str">
        <f>_xlfn.LET(_xlpm.r, _xlfn.XLOOKUP(Clean_Data[[#This Row],[Country_Code]], Metadata_Country!$A:$A, Metadata_Country!$B:$B, "Unknown"), IF(OR(_xlpm.r=0, _xlpm.r=""), "Regional Aggregate", _xlpm.r))</f>
        <v>Europe &amp; Central Asia</v>
      </c>
      <c r="G807" s="4" t="str">
        <f>_xlfn.LET(_xlpm.ig, _xlfn.XLOOKUP(Clean_Data[[#This Row],[Country_Code]], Metadata_Country!$A:$A, Metadata_Country!$C:$C, "Unknown"), IF(OR(_xlpm.ig=0, _xlpm.ig=""), "Regional Aggregate", _xlpm.ig))</f>
        <v>High income</v>
      </c>
      <c r="H807" s="4">
        <f>Clean_Data[[#This Row],[Exports_TIV]] - Clean_Data[[#This Row],[Imports_TIV]]</f>
        <v>260000000</v>
      </c>
      <c r="I807" s="4">
        <f>Clean_Data[[#This Row],[Exports_TIV]] + Clean_Data[[#This Row],[Imports_TIV]]</f>
        <v>266000000</v>
      </c>
    </row>
    <row r="808" spans="1:9">
      <c r="A808" s="4" t="s">
        <v>83</v>
      </c>
      <c r="B808" s="4" t="s">
        <v>84</v>
      </c>
      <c r="C808" s="5">
        <v>2020</v>
      </c>
      <c r="D808" s="4">
        <v>145000000</v>
      </c>
      <c r="E808" s="4">
        <v>0</v>
      </c>
      <c r="F808" s="4" t="str">
        <f>_xlfn.LET(_xlpm.r, _xlfn.XLOOKUP(Clean_Data[[#This Row],[Country_Code]], Metadata_Country!$A:$A, Metadata_Country!$B:$B, "Unknown"), IF(OR(_xlpm.r=0, _xlpm.r=""), "Regional Aggregate", _xlpm.r))</f>
        <v>Europe &amp; Central Asia</v>
      </c>
      <c r="G808" s="4" t="str">
        <f>_xlfn.LET(_xlpm.ig, _xlfn.XLOOKUP(Clean_Data[[#This Row],[Country_Code]], Metadata_Country!$A:$A, Metadata_Country!$C:$C, "Unknown"), IF(OR(_xlpm.ig=0, _xlpm.ig=""), "Regional Aggregate", _xlpm.ig))</f>
        <v>High income</v>
      </c>
      <c r="H808" s="4">
        <f>Clean_Data[[#This Row],[Exports_TIV]] - Clean_Data[[#This Row],[Imports_TIV]]</f>
        <v>145000000</v>
      </c>
      <c r="I808" s="4">
        <f>Clean_Data[[#This Row],[Exports_TIV]] + Clean_Data[[#This Row],[Imports_TIV]]</f>
        <v>145000000</v>
      </c>
    </row>
    <row r="809" spans="1:9">
      <c r="A809" s="4" t="s">
        <v>463</v>
      </c>
      <c r="B809" s="4" t="s">
        <v>464</v>
      </c>
      <c r="C809" s="5">
        <v>2020</v>
      </c>
      <c r="D809" s="4">
        <v>0</v>
      </c>
      <c r="E809" s="4">
        <v>80000000</v>
      </c>
      <c r="F809" s="4" t="str">
        <f>_xlfn.LET(_xlpm.r, _xlfn.XLOOKUP(Clean_Data[[#This Row],[Country_Code]], Metadata_Country!$A:$A, Metadata_Country!$B:$B, "Unknown"), IF(OR(_xlpm.r=0, _xlpm.r=""), "Regional Aggregate", _xlpm.r))</f>
        <v>Middle East &amp; North Africa</v>
      </c>
      <c r="G809" s="4" t="str">
        <f>_xlfn.LET(_xlpm.ig, _xlfn.XLOOKUP(Clean_Data[[#This Row],[Country_Code]], Metadata_Country!$A:$A, Metadata_Country!$C:$C, "Unknown"), IF(OR(_xlpm.ig=0, _xlpm.ig=""), "Regional Aggregate", _xlpm.ig))</f>
        <v>Low income</v>
      </c>
      <c r="H809" s="4">
        <f>Clean_Data[[#This Row],[Exports_TIV]] - Clean_Data[[#This Row],[Imports_TIV]]</f>
        <v>-80000000</v>
      </c>
      <c r="I809" s="4">
        <f>Clean_Data[[#This Row],[Exports_TIV]] + Clean_Data[[#This Row],[Imports_TIV]]</f>
        <v>80000000</v>
      </c>
    </row>
    <row r="810" spans="1:9">
      <c r="A810" s="4" t="s">
        <v>501</v>
      </c>
      <c r="B810" s="4" t="s">
        <v>502</v>
      </c>
      <c r="C810" s="5">
        <v>2020</v>
      </c>
      <c r="D810" s="4">
        <v>0</v>
      </c>
      <c r="E810" s="4">
        <v>9000000</v>
      </c>
      <c r="F810" s="4" t="str">
        <f>_xlfn.LET(_xlpm.r, _xlfn.XLOOKUP(Clean_Data[[#This Row],[Country_Code]], Metadata_Country!$A:$A, Metadata_Country!$B:$B, "Unknown"), IF(OR(_xlpm.r=0, _xlpm.r=""), "Regional Aggregate", _xlpm.r))</f>
        <v>Sub-Saharan Africa</v>
      </c>
      <c r="G810" s="4" t="str">
        <f>_xlfn.LET(_xlpm.ig, _xlfn.XLOOKUP(Clean_Data[[#This Row],[Country_Code]], Metadata_Country!$A:$A, Metadata_Country!$C:$C, "Unknown"), IF(OR(_xlpm.ig=0, _xlpm.ig=""), "Regional Aggregate", _xlpm.ig))</f>
        <v>Lower middle income</v>
      </c>
      <c r="H810" s="4">
        <f>Clean_Data[[#This Row],[Exports_TIV]] - Clean_Data[[#This Row],[Imports_TIV]]</f>
        <v>-9000000</v>
      </c>
      <c r="I810" s="4">
        <f>Clean_Data[[#This Row],[Exports_TIV]] + Clean_Data[[#This Row],[Imports_TIV]]</f>
        <v>9000000</v>
      </c>
    </row>
    <row r="811" spans="1:9">
      <c r="A811" s="4" t="s">
        <v>475</v>
      </c>
      <c r="B811" s="4" t="s">
        <v>476</v>
      </c>
      <c r="C811" s="5">
        <v>2020</v>
      </c>
      <c r="D811" s="4">
        <v>0</v>
      </c>
      <c r="E811" s="4">
        <v>141000000</v>
      </c>
      <c r="F811" s="4" t="str">
        <f>_xlfn.LET(_xlpm.r, _xlfn.XLOOKUP(Clean_Data[[#This Row],[Country_Code]], Metadata_Country!$A:$A, Metadata_Country!$B:$B, "Unknown"), IF(OR(_xlpm.r=0, _xlpm.r=""), "Regional Aggregate", _xlpm.r))</f>
        <v>East Asia &amp; Pacific</v>
      </c>
      <c r="G811" s="4" t="str">
        <f>_xlfn.LET(_xlpm.ig, _xlfn.XLOOKUP(Clean_Data[[#This Row],[Country_Code]], Metadata_Country!$A:$A, Metadata_Country!$C:$C, "Unknown"), IF(OR(_xlpm.ig=0, _xlpm.ig=""), "Regional Aggregate", _xlpm.ig))</f>
        <v>Upper middle income</v>
      </c>
      <c r="H811" s="4">
        <f>Clean_Data[[#This Row],[Exports_TIV]] - Clean_Data[[#This Row],[Imports_TIV]]</f>
        <v>-141000000</v>
      </c>
      <c r="I811" s="4">
        <f>Clean_Data[[#This Row],[Exports_TIV]] + Clean_Data[[#This Row],[Imports_TIV]]</f>
        <v>141000000</v>
      </c>
    </row>
    <row r="812" spans="1:9">
      <c r="A812" s="4" t="s">
        <v>473</v>
      </c>
      <c r="B812" s="4" t="s">
        <v>474</v>
      </c>
      <c r="C812" s="5">
        <v>2020</v>
      </c>
      <c r="D812" s="4">
        <v>0</v>
      </c>
      <c r="E812" s="4">
        <v>5000000</v>
      </c>
      <c r="F812" s="4" t="str">
        <f>_xlfn.LET(_xlpm.r, _xlfn.XLOOKUP(Clean_Data[[#This Row],[Country_Code]], Metadata_Country!$A:$A, Metadata_Country!$B:$B, "Unknown"), IF(OR(_xlpm.r=0, _xlpm.r=""), "Regional Aggregate", _xlpm.r))</f>
        <v>Sub-Saharan Africa</v>
      </c>
      <c r="G812" s="4" t="str">
        <f>_xlfn.LET(_xlpm.ig, _xlfn.XLOOKUP(Clean_Data[[#This Row],[Country_Code]], Metadata_Country!$A:$A, Metadata_Country!$C:$C, "Unknown"), IF(OR(_xlpm.ig=0, _xlpm.ig=""), "Regional Aggregate", _xlpm.ig))</f>
        <v>Lower middle income</v>
      </c>
      <c r="H812" s="4">
        <f>Clean_Data[[#This Row],[Exports_TIV]] - Clean_Data[[#This Row],[Imports_TIV]]</f>
        <v>-5000000</v>
      </c>
      <c r="I812" s="4">
        <f>Clean_Data[[#This Row],[Exports_TIV]] + Clean_Data[[#This Row],[Imports_TIV]]</f>
        <v>5000000</v>
      </c>
    </row>
    <row r="813" spans="1:9">
      <c r="A813" s="4" t="s">
        <v>487</v>
      </c>
      <c r="B813" s="4" t="s">
        <v>488</v>
      </c>
      <c r="C813" s="5">
        <v>2020</v>
      </c>
      <c r="D813" s="4">
        <v>0</v>
      </c>
      <c r="E813" s="4">
        <v>7000000</v>
      </c>
      <c r="F813" s="4" t="str">
        <f>_xlfn.LET(_xlpm.r, _xlfn.XLOOKUP(Clean_Data[[#This Row],[Country_Code]], Metadata_Country!$A:$A, Metadata_Country!$B:$B, "Unknown"), IF(OR(_xlpm.r=0, _xlpm.r=""), "Regional Aggregate", _xlpm.r))</f>
        <v>East Asia &amp; Pacific</v>
      </c>
      <c r="G813" s="4" t="str">
        <f>_xlfn.LET(_xlpm.ig, _xlfn.XLOOKUP(Clean_Data[[#This Row],[Country_Code]], Metadata_Country!$A:$A, Metadata_Country!$C:$C, "Unknown"), IF(OR(_xlpm.ig=0, _xlpm.ig=""), "Regional Aggregate", _xlpm.ig))</f>
        <v>Upper middle income</v>
      </c>
      <c r="H813" s="4">
        <f>Clean_Data[[#This Row],[Exports_TIV]] - Clean_Data[[#This Row],[Imports_TIV]]</f>
        <v>-7000000</v>
      </c>
      <c r="I813" s="4">
        <f>Clean_Data[[#This Row],[Exports_TIV]] + Clean_Data[[#This Row],[Imports_TIV]]</f>
        <v>7000000</v>
      </c>
    </row>
    <row r="814" spans="1:9">
      <c r="A814" s="4" t="s">
        <v>495</v>
      </c>
      <c r="B814" s="4" t="s">
        <v>496</v>
      </c>
      <c r="C814" s="5">
        <v>2020</v>
      </c>
      <c r="D814" s="4">
        <v>0</v>
      </c>
      <c r="E814" s="4">
        <v>16000000</v>
      </c>
      <c r="F814" s="4" t="str">
        <f>_xlfn.LET(_xlpm.r, _xlfn.XLOOKUP(Clean_Data[[#This Row],[Country_Code]], Metadata_Country!$A:$A, Metadata_Country!$B:$B, "Unknown"), IF(OR(_xlpm.r=0, _xlpm.r=""), "Regional Aggregate", _xlpm.r))</f>
        <v>Middle East &amp; North Africa</v>
      </c>
      <c r="G814" s="4" t="str">
        <f>_xlfn.LET(_xlpm.ig, _xlfn.XLOOKUP(Clean_Data[[#This Row],[Country_Code]], Metadata_Country!$A:$A, Metadata_Country!$C:$C, "Unknown"), IF(OR(_xlpm.ig=0, _xlpm.ig=""), "Regional Aggregate", _xlpm.ig))</f>
        <v>Lower middle income</v>
      </c>
      <c r="H814" s="4">
        <f>Clean_Data[[#This Row],[Exports_TIV]] - Clean_Data[[#This Row],[Imports_TIV]]</f>
        <v>-16000000</v>
      </c>
      <c r="I814" s="4">
        <f>Clean_Data[[#This Row],[Exports_TIV]] + Clean_Data[[#This Row],[Imports_TIV]]</f>
        <v>16000000</v>
      </c>
    </row>
    <row r="815" spans="1:9">
      <c r="A815" s="4" t="s">
        <v>497</v>
      </c>
      <c r="B815" s="4" t="s">
        <v>498</v>
      </c>
      <c r="C815" s="5">
        <v>2020</v>
      </c>
      <c r="D815" s="4">
        <v>275000000</v>
      </c>
      <c r="E815" s="4">
        <v>110000000</v>
      </c>
      <c r="F815" s="4" t="str">
        <f>_xlfn.LET(_xlpm.r, _xlfn.XLOOKUP(Clean_Data[[#This Row],[Country_Code]], Metadata_Country!$A:$A, Metadata_Country!$B:$B, "Unknown"), IF(OR(_xlpm.r=0, _xlpm.r=""), "Regional Aggregate", _xlpm.r))</f>
        <v>Europe &amp; Central Asia</v>
      </c>
      <c r="G815" s="4" t="str">
        <f>_xlfn.LET(_xlpm.ig, _xlfn.XLOOKUP(Clean_Data[[#This Row],[Country_Code]], Metadata_Country!$A:$A, Metadata_Country!$C:$C, "Unknown"), IF(OR(_xlpm.ig=0, _xlpm.ig=""), "Regional Aggregate", _xlpm.ig))</f>
        <v>Upper middle income</v>
      </c>
      <c r="H815" s="4">
        <f>Clean_Data[[#This Row],[Exports_TIV]] - Clean_Data[[#This Row],[Imports_TIV]]</f>
        <v>165000000</v>
      </c>
      <c r="I815" s="4">
        <f>Clean_Data[[#This Row],[Exports_TIV]] + Clean_Data[[#This Row],[Imports_TIV]]</f>
        <v>385000000</v>
      </c>
    </row>
    <row r="816" spans="1:9">
      <c r="A816" s="4" t="s">
        <v>503</v>
      </c>
      <c r="B816" s="4" t="s">
        <v>504</v>
      </c>
      <c r="C816" s="5">
        <v>2020</v>
      </c>
      <c r="D816" s="4">
        <v>0</v>
      </c>
      <c r="E816" s="4">
        <v>79000000</v>
      </c>
      <c r="F816" s="4" t="str">
        <f>_xlfn.LET(_xlpm.r, _xlfn.XLOOKUP(Clean_Data[[#This Row],[Country_Code]], Metadata_Country!$A:$A, Metadata_Country!$B:$B, "Unknown"), IF(OR(_xlpm.r=0, _xlpm.r=""), "Regional Aggregate", _xlpm.r))</f>
        <v>Sub-Saharan Africa</v>
      </c>
      <c r="G816" s="4" t="str">
        <f>_xlfn.LET(_xlpm.ig, _xlfn.XLOOKUP(Clean_Data[[#This Row],[Country_Code]], Metadata_Country!$A:$A, Metadata_Country!$C:$C, "Unknown"), IF(OR(_xlpm.ig=0, _xlpm.ig=""), "Regional Aggregate", _xlpm.ig))</f>
        <v>Low income</v>
      </c>
      <c r="H816" s="4">
        <f>Clean_Data[[#This Row],[Exports_TIV]] - Clean_Data[[#This Row],[Imports_TIV]]</f>
        <v>-79000000</v>
      </c>
      <c r="I816" s="4">
        <f>Clean_Data[[#This Row],[Exports_TIV]] + Clean_Data[[#This Row],[Imports_TIV]]</f>
        <v>79000000</v>
      </c>
    </row>
    <row r="817" spans="1:9">
      <c r="A817" s="4" t="s">
        <v>505</v>
      </c>
      <c r="B817" s="4" t="s">
        <v>506</v>
      </c>
      <c r="C817" s="5">
        <v>2020</v>
      </c>
      <c r="D817" s="4">
        <v>114000000</v>
      </c>
      <c r="E817" s="4">
        <v>18000000</v>
      </c>
      <c r="F817" s="4" t="str">
        <f>_xlfn.LET(_xlpm.r, _xlfn.XLOOKUP(Clean_Data[[#This Row],[Country_Code]], Metadata_Country!$A:$A, Metadata_Country!$B:$B, "Unknown"), IF(OR(_xlpm.r=0, _xlpm.r=""), "Regional Aggregate", _xlpm.r))</f>
        <v>Europe &amp; Central Asia</v>
      </c>
      <c r="G817" s="4" t="str">
        <f>_xlfn.LET(_xlpm.ig, _xlfn.XLOOKUP(Clean_Data[[#This Row],[Country_Code]], Metadata_Country!$A:$A, Metadata_Country!$C:$C, "Unknown"), IF(OR(_xlpm.ig=0, _xlpm.ig=""), "Regional Aggregate", _xlpm.ig))</f>
        <v>Upper middle income</v>
      </c>
      <c r="H817" s="4">
        <f>Clean_Data[[#This Row],[Exports_TIV]] - Clean_Data[[#This Row],[Imports_TIV]]</f>
        <v>96000000</v>
      </c>
      <c r="I817" s="4">
        <f>Clean_Data[[#This Row],[Exports_TIV]] + Clean_Data[[#This Row],[Imports_TIV]]</f>
        <v>132000000</v>
      </c>
    </row>
    <row r="818" spans="1:9">
      <c r="A818" s="4" t="s">
        <v>25</v>
      </c>
      <c r="B818" s="4" t="s">
        <v>26</v>
      </c>
      <c r="C818" s="5">
        <v>2020</v>
      </c>
      <c r="D818" s="4">
        <v>209000000</v>
      </c>
      <c r="E818" s="4">
        <v>660000000</v>
      </c>
      <c r="F818" s="4" t="str">
        <f>_xlfn.LET(_xlpm.r, _xlfn.XLOOKUP(Clean_Data[[#This Row],[Country_Code]], Metadata_Country!$A:$A, Metadata_Country!$B:$B, "Unknown"), IF(OR(_xlpm.r=0, _xlpm.r=""), "Regional Aggregate", _xlpm.r))</f>
        <v>Middle East &amp; North Africa</v>
      </c>
      <c r="G818" s="4" t="str">
        <f>_xlfn.LET(_xlpm.ig, _xlfn.XLOOKUP(Clean_Data[[#This Row],[Country_Code]], Metadata_Country!$A:$A, Metadata_Country!$C:$C, "Unknown"), IF(OR(_xlpm.ig=0, _xlpm.ig=""), "Regional Aggregate", _xlpm.ig))</f>
        <v>High income</v>
      </c>
      <c r="H818" s="4">
        <f>Clean_Data[[#This Row],[Exports_TIV]] - Clean_Data[[#This Row],[Imports_TIV]]</f>
        <v>-451000000</v>
      </c>
      <c r="I818" s="4">
        <f>Clean_Data[[#This Row],[Exports_TIV]] + Clean_Data[[#This Row],[Imports_TIV]]</f>
        <v>869000000</v>
      </c>
    </row>
    <row r="819" spans="1:9">
      <c r="A819" s="4" t="s">
        <v>171</v>
      </c>
      <c r="B819" s="4" t="s">
        <v>172</v>
      </c>
      <c r="C819" s="5">
        <v>2020</v>
      </c>
      <c r="D819" s="4">
        <v>652000000</v>
      </c>
      <c r="E819" s="4">
        <v>635000000</v>
      </c>
      <c r="F819" s="4" t="str">
        <f>_xlfn.LET(_xlpm.r, _xlfn.XLOOKUP(Clean_Data[[#This Row],[Country_Code]], Metadata_Country!$A:$A, Metadata_Country!$B:$B, "Unknown"), IF(OR(_xlpm.r=0, _xlpm.r=""), "Regional Aggregate", _xlpm.r))</f>
        <v>Europe &amp; Central Asia</v>
      </c>
      <c r="G819" s="4" t="str">
        <f>_xlfn.LET(_xlpm.ig, _xlfn.XLOOKUP(Clean_Data[[#This Row],[Country_Code]], Metadata_Country!$A:$A, Metadata_Country!$C:$C, "Unknown"), IF(OR(_xlpm.ig=0, _xlpm.ig=""), "Regional Aggregate", _xlpm.ig))</f>
        <v>High income</v>
      </c>
      <c r="H819" s="4">
        <f>Clean_Data[[#This Row],[Exports_TIV]] - Clean_Data[[#This Row],[Imports_TIV]]</f>
        <v>17000000</v>
      </c>
      <c r="I819" s="4">
        <f>Clean_Data[[#This Row],[Exports_TIV]] + Clean_Data[[#This Row],[Imports_TIV]]</f>
        <v>1287000000</v>
      </c>
    </row>
    <row r="820" spans="1:9">
      <c r="A820" s="4" t="s">
        <v>511</v>
      </c>
      <c r="B820" s="4" t="s">
        <v>512</v>
      </c>
      <c r="C820" s="5">
        <v>2020</v>
      </c>
      <c r="D820" s="4">
        <v>9730000000</v>
      </c>
      <c r="E820" s="4">
        <v>806000000</v>
      </c>
      <c r="F820" s="4" t="str">
        <f>_xlfn.LET(_xlpm.r, _xlfn.XLOOKUP(Clean_Data[[#This Row],[Country_Code]], Metadata_Country!$A:$A, Metadata_Country!$B:$B, "Unknown"), IF(OR(_xlpm.r=0, _xlpm.r=""), "Regional Aggregate", _xlpm.r))</f>
        <v>North America</v>
      </c>
      <c r="G820" s="4" t="str">
        <f>_xlfn.LET(_xlpm.ig, _xlfn.XLOOKUP(Clean_Data[[#This Row],[Country_Code]], Metadata_Country!$A:$A, Metadata_Country!$C:$C, "Unknown"), IF(OR(_xlpm.ig=0, _xlpm.ig=""), "Regional Aggregate", _xlpm.ig))</f>
        <v>High income</v>
      </c>
      <c r="H820" s="4">
        <f>Clean_Data[[#This Row],[Exports_TIV]] - Clean_Data[[#This Row],[Imports_TIV]]</f>
        <v>8924000000</v>
      </c>
      <c r="I820" s="4">
        <f>Clean_Data[[#This Row],[Exports_TIV]] + Clean_Data[[#This Row],[Imports_TIV]]</f>
        <v>10536000000</v>
      </c>
    </row>
    <row r="821" spans="1:9">
      <c r="A821" s="4" t="s">
        <v>507</v>
      </c>
      <c r="B821" s="4" t="s">
        <v>508</v>
      </c>
      <c r="C821" s="5">
        <v>2020</v>
      </c>
      <c r="D821" s="4">
        <v>0</v>
      </c>
      <c r="E821" s="4">
        <v>3716000000</v>
      </c>
      <c r="F821" s="4" t="str">
        <f>_xlfn.LET(_xlpm.r, _xlfn.XLOOKUP(Clean_Data[[#This Row],[Country_Code]], Metadata_Country!$A:$A, Metadata_Country!$B:$B, "Unknown"), IF(OR(_xlpm.r=0, _xlpm.r=""), "Regional Aggregate", _xlpm.r))</f>
        <v>Regional Aggregate</v>
      </c>
      <c r="G821" s="4" t="str">
        <f>_xlfn.LET(_xlpm.ig, _xlfn.XLOOKUP(Clean_Data[[#This Row],[Country_Code]], Metadata_Country!$A:$A, Metadata_Country!$C:$C, "Unknown"), IF(OR(_xlpm.ig=0, _xlpm.ig=""), "Regional Aggregate", _xlpm.ig))</f>
        <v>Regional Aggregate</v>
      </c>
      <c r="H821" s="4">
        <f>Clean_Data[[#This Row],[Exports_TIV]] - Clean_Data[[#This Row],[Imports_TIV]]</f>
        <v>-3716000000</v>
      </c>
      <c r="I821" s="4">
        <f>Clean_Data[[#This Row],[Exports_TIV]] + Clean_Data[[#This Row],[Imports_TIV]]</f>
        <v>3716000000</v>
      </c>
    </row>
    <row r="822" spans="1:9">
      <c r="A822" s="4" t="s">
        <v>509</v>
      </c>
      <c r="B822" s="4" t="s">
        <v>510</v>
      </c>
      <c r="C822" s="5">
        <v>2020</v>
      </c>
      <c r="D822" s="4">
        <v>0</v>
      </c>
      <c r="E822" s="4">
        <v>25000000</v>
      </c>
      <c r="F822" s="4" t="str">
        <f>_xlfn.LET(_xlpm.r, _xlfn.XLOOKUP(Clean_Data[[#This Row],[Country_Code]], Metadata_Country!$A:$A, Metadata_Country!$B:$B, "Unknown"), IF(OR(_xlpm.r=0, _xlpm.r=""), "Regional Aggregate", _xlpm.r))</f>
        <v>Latin America &amp; Caribbean</v>
      </c>
      <c r="G822" s="4" t="str">
        <f>_xlfn.LET(_xlpm.ig, _xlfn.XLOOKUP(Clean_Data[[#This Row],[Country_Code]], Metadata_Country!$A:$A, Metadata_Country!$C:$C, "Unknown"), IF(OR(_xlpm.ig=0, _xlpm.ig=""), "Regional Aggregate", _xlpm.ig))</f>
        <v>High income</v>
      </c>
      <c r="H822" s="4">
        <f>Clean_Data[[#This Row],[Exports_TIV]] - Clean_Data[[#This Row],[Imports_TIV]]</f>
        <v>-25000000</v>
      </c>
      <c r="I822" s="4">
        <f>Clean_Data[[#This Row],[Exports_TIV]] + Clean_Data[[#This Row],[Imports_TIV]]</f>
        <v>25000000</v>
      </c>
    </row>
    <row r="823" spans="1:9">
      <c r="A823" s="4" t="s">
        <v>513</v>
      </c>
      <c r="B823" s="4" t="s">
        <v>514</v>
      </c>
      <c r="C823" s="5">
        <v>2020</v>
      </c>
      <c r="D823" s="4">
        <v>0</v>
      </c>
      <c r="E823" s="4">
        <v>92000000</v>
      </c>
      <c r="F823" s="4" t="str">
        <f>_xlfn.LET(_xlpm.r, _xlfn.XLOOKUP(Clean_Data[[#This Row],[Country_Code]], Metadata_Country!$A:$A, Metadata_Country!$B:$B, "Unknown"), IF(OR(_xlpm.r=0, _xlpm.r=""), "Regional Aggregate", _xlpm.r))</f>
        <v>Europe &amp; Central Asia</v>
      </c>
      <c r="G823" s="4" t="str">
        <f>_xlfn.LET(_xlpm.ig, _xlfn.XLOOKUP(Clean_Data[[#This Row],[Country_Code]], Metadata_Country!$A:$A, Metadata_Country!$C:$C, "Unknown"), IF(OR(_xlpm.ig=0, _xlpm.ig=""), "Regional Aggregate", _xlpm.ig))</f>
        <v>Lower middle income</v>
      </c>
      <c r="H823" s="4">
        <f>Clean_Data[[#This Row],[Exports_TIV]] - Clean_Data[[#This Row],[Imports_TIV]]</f>
        <v>-92000000</v>
      </c>
      <c r="I823" s="4">
        <f>Clean_Data[[#This Row],[Exports_TIV]] + Clean_Data[[#This Row],[Imports_TIV]]</f>
        <v>92000000</v>
      </c>
    </row>
    <row r="824" spans="1:9">
      <c r="A824" s="4" t="s">
        <v>517</v>
      </c>
      <c r="B824" s="4" t="s">
        <v>518</v>
      </c>
      <c r="C824" s="5">
        <v>2020</v>
      </c>
      <c r="D824" s="4">
        <v>0</v>
      </c>
      <c r="E824" s="4">
        <v>79000000</v>
      </c>
      <c r="F824" s="4" t="str">
        <f>_xlfn.LET(_xlpm.r, _xlfn.XLOOKUP(Clean_Data[[#This Row],[Country_Code]], Metadata_Country!$A:$A, Metadata_Country!$B:$B, "Unknown"), IF(OR(_xlpm.r=0, _xlpm.r=""), "Regional Aggregate", _xlpm.r))</f>
        <v>Latin America &amp; Caribbean</v>
      </c>
      <c r="G824" s="4" t="str">
        <f>_xlfn.LET(_xlpm.ig, _xlfn.XLOOKUP(Clean_Data[[#This Row],[Country_Code]], Metadata_Country!$A:$A, Metadata_Country!$C:$C, "Unknown"), IF(OR(_xlpm.ig=0, _xlpm.ig=""), "Regional Aggregate", _xlpm.ig))</f>
        <v>Lower middle income</v>
      </c>
      <c r="H824" s="4">
        <f>Clean_Data[[#This Row],[Exports_TIV]] - Clean_Data[[#This Row],[Imports_TIV]]</f>
        <v>-79000000</v>
      </c>
      <c r="I824" s="4">
        <f>Clean_Data[[#This Row],[Exports_TIV]] + Clean_Data[[#This Row],[Imports_TIV]]</f>
        <v>79000000</v>
      </c>
    </row>
    <row r="825" spans="1:9">
      <c r="A825" s="4" t="s">
        <v>523</v>
      </c>
      <c r="B825" s="4" t="s">
        <v>524</v>
      </c>
      <c r="C825" s="5">
        <v>2020</v>
      </c>
      <c r="D825" s="4">
        <v>0</v>
      </c>
      <c r="E825" s="4">
        <v>38000000</v>
      </c>
      <c r="F825" s="4" t="str">
        <f>_xlfn.LET(_xlpm.r, _xlfn.XLOOKUP(Clean_Data[[#This Row],[Country_Code]], Metadata_Country!$A:$A, Metadata_Country!$B:$B, "Unknown"), IF(OR(_xlpm.r=0, _xlpm.r=""), "Regional Aggregate", _xlpm.r))</f>
        <v>East Asia &amp; Pacific</v>
      </c>
      <c r="G825" s="4" t="str">
        <f>_xlfn.LET(_xlpm.ig, _xlfn.XLOOKUP(Clean_Data[[#This Row],[Country_Code]], Metadata_Country!$A:$A, Metadata_Country!$C:$C, "Unknown"), IF(OR(_xlpm.ig=0, _xlpm.ig=""), "Regional Aggregate", _xlpm.ig))</f>
        <v>Upper middle income</v>
      </c>
      <c r="H825" s="4">
        <f>Clean_Data[[#This Row],[Exports_TIV]] - Clean_Data[[#This Row],[Imports_TIV]]</f>
        <v>-38000000</v>
      </c>
      <c r="I825" s="4">
        <f>Clean_Data[[#This Row],[Exports_TIV]] + Clean_Data[[#This Row],[Imports_TIV]]</f>
        <v>38000000</v>
      </c>
    </row>
    <row r="826" spans="1:9">
      <c r="A826" s="4" t="s">
        <v>527</v>
      </c>
      <c r="B826" s="4" t="s">
        <v>528</v>
      </c>
      <c r="C826" s="5">
        <v>2020</v>
      </c>
      <c r="D826" s="4">
        <v>24055000000</v>
      </c>
      <c r="E826" s="4">
        <v>23363000000</v>
      </c>
      <c r="F826" s="4" t="str">
        <f>_xlfn.LET(_xlpm.r, _xlfn.XLOOKUP(Clean_Data[[#This Row],[Country_Code]], Metadata_Country!$A:$A, Metadata_Country!$B:$B, "Unknown"), IF(OR(_xlpm.r=0, _xlpm.r=""), "Regional Aggregate", _xlpm.r))</f>
        <v>Regional Aggregate</v>
      </c>
      <c r="G826" s="4" t="str">
        <f>_xlfn.LET(_xlpm.ig, _xlfn.XLOOKUP(Clean_Data[[#This Row],[Country_Code]], Metadata_Country!$A:$A, Metadata_Country!$C:$C, "Unknown"), IF(OR(_xlpm.ig=0, _xlpm.ig=""), "Regional Aggregate", _xlpm.ig))</f>
        <v>Regional Aggregate</v>
      </c>
      <c r="H826" s="4">
        <f>Clean_Data[[#This Row],[Exports_TIV]] - Clean_Data[[#This Row],[Imports_TIV]]</f>
        <v>692000000</v>
      </c>
      <c r="I826" s="4">
        <f>Clean_Data[[#This Row],[Exports_TIV]] + Clean_Data[[#This Row],[Imports_TIV]]</f>
        <v>47418000000</v>
      </c>
    </row>
    <row r="827" spans="1:9">
      <c r="A827" s="4" t="s">
        <v>537</v>
      </c>
      <c r="B827" s="4" t="s">
        <v>538</v>
      </c>
      <c r="C827" s="5">
        <v>2020</v>
      </c>
      <c r="D827" s="4">
        <v>0</v>
      </c>
      <c r="E827" s="4">
        <v>3000000</v>
      </c>
      <c r="F827" s="4" t="str">
        <f>_xlfn.LET(_xlpm.r, _xlfn.XLOOKUP(Clean_Data[[#This Row],[Country_Code]], Metadata_Country!$A:$A, Metadata_Country!$B:$B, "Unknown"), IF(OR(_xlpm.r=0, _xlpm.r=""), "Regional Aggregate", _xlpm.r))</f>
        <v>Sub-Saharan Africa</v>
      </c>
      <c r="G827" s="4" t="str">
        <f>_xlfn.LET(_xlpm.ig, _xlfn.XLOOKUP(Clean_Data[[#This Row],[Country_Code]], Metadata_Country!$A:$A, Metadata_Country!$C:$C, "Unknown"), IF(OR(_xlpm.ig=0, _xlpm.ig=""), "Regional Aggregate", _xlpm.ig))</f>
        <v>Lower middle income</v>
      </c>
      <c r="H827" s="4">
        <f>Clean_Data[[#This Row],[Exports_TIV]] - Clean_Data[[#This Row],[Imports_TIV]]</f>
        <v>-3000000</v>
      </c>
      <c r="I827" s="4">
        <f>Clean_Data[[#This Row],[Exports_TIV]] + Clean_Data[[#This Row],[Imports_TIV]]</f>
        <v>3000000</v>
      </c>
    </row>
    <row r="828" spans="1:9">
      <c r="A828" s="4" t="s">
        <v>13</v>
      </c>
      <c r="B828" s="4" t="s">
        <v>14</v>
      </c>
      <c r="C828" s="5">
        <v>2019</v>
      </c>
      <c r="D828" s="4">
        <v>0</v>
      </c>
      <c r="E828" s="4">
        <v>379000000</v>
      </c>
      <c r="F828" s="4" t="str">
        <f>_xlfn.LET(_xlpm.r, _xlfn.XLOOKUP(Clean_Data[[#This Row],[Country_Code]], Metadata_Country!$A:$A, Metadata_Country!$B:$B, "Unknown"), IF(OR(_xlpm.r=0, _xlpm.r=""), "Regional Aggregate", _xlpm.r))</f>
        <v>Middle East &amp; North Africa</v>
      </c>
      <c r="G828" s="4" t="str">
        <f>_xlfn.LET(_xlpm.ig, _xlfn.XLOOKUP(Clean_Data[[#This Row],[Country_Code]], Metadata_Country!$A:$A, Metadata_Country!$C:$C, "Unknown"), IF(OR(_xlpm.ig=0, _xlpm.ig=""), "Regional Aggregate", _xlpm.ig))</f>
        <v>Low income</v>
      </c>
      <c r="H828" s="4">
        <f>Clean_Data[[#This Row],[Exports_TIV]] - Clean_Data[[#This Row],[Imports_TIV]]</f>
        <v>-379000000</v>
      </c>
      <c r="I828" s="4">
        <f>Clean_Data[[#This Row],[Exports_TIV]] + Clean_Data[[#This Row],[Imports_TIV]]</f>
        <v>379000000</v>
      </c>
    </row>
    <row r="829" spans="1:9">
      <c r="A829" s="4" t="s">
        <v>15</v>
      </c>
      <c r="B829" s="4" t="s">
        <v>16</v>
      </c>
      <c r="C829" s="5">
        <v>2019</v>
      </c>
      <c r="D829" s="4">
        <v>0</v>
      </c>
      <c r="E829" s="4">
        <v>189000000</v>
      </c>
      <c r="F829" s="4" t="str">
        <f>_xlfn.LET(_xlpm.r, _xlfn.XLOOKUP(Clean_Data[[#This Row],[Country_Code]], Metadata_Country!$A:$A, Metadata_Country!$B:$B, "Unknown"), IF(OR(_xlpm.r=0, _xlpm.r=""), "Regional Aggregate", _xlpm.r))</f>
        <v>Regional Aggregate</v>
      </c>
      <c r="G829" s="4" t="str">
        <f>_xlfn.LET(_xlpm.ig, _xlfn.XLOOKUP(Clean_Data[[#This Row],[Country_Code]], Metadata_Country!$A:$A, Metadata_Country!$C:$C, "Unknown"), IF(OR(_xlpm.ig=0, _xlpm.ig=""), "Regional Aggregate", _xlpm.ig))</f>
        <v>Regional Aggregate</v>
      </c>
      <c r="H829" s="4">
        <f>Clean_Data[[#This Row],[Exports_TIV]] - Clean_Data[[#This Row],[Imports_TIV]]</f>
        <v>-189000000</v>
      </c>
      <c r="I829" s="4">
        <f>Clean_Data[[#This Row],[Exports_TIV]] + Clean_Data[[#This Row],[Imports_TIV]]</f>
        <v>189000000</v>
      </c>
    </row>
    <row r="830" spans="1:9">
      <c r="A830" s="4" t="s">
        <v>19</v>
      </c>
      <c r="B830" s="4" t="s">
        <v>20</v>
      </c>
      <c r="C830" s="5">
        <v>2019</v>
      </c>
      <c r="D830" s="4">
        <v>0</v>
      </c>
      <c r="E830" s="4">
        <v>5000000</v>
      </c>
      <c r="F830" s="4" t="str">
        <f>_xlfn.LET(_xlpm.r, _xlfn.XLOOKUP(Clean_Data[[#This Row],[Country_Code]], Metadata_Country!$A:$A, Metadata_Country!$B:$B, "Unknown"), IF(OR(_xlpm.r=0, _xlpm.r=""), "Regional Aggregate", _xlpm.r))</f>
        <v>Europe &amp; Central Asia</v>
      </c>
      <c r="G830" s="4" t="str">
        <f>_xlfn.LET(_xlpm.ig, _xlfn.XLOOKUP(Clean_Data[[#This Row],[Country_Code]], Metadata_Country!$A:$A, Metadata_Country!$C:$C, "Unknown"), IF(OR(_xlpm.ig=0, _xlpm.ig=""), "Regional Aggregate", _xlpm.ig))</f>
        <v>Upper middle income</v>
      </c>
      <c r="H830" s="4">
        <f>Clean_Data[[#This Row],[Exports_TIV]] - Clean_Data[[#This Row],[Imports_TIV]]</f>
        <v>-5000000</v>
      </c>
      <c r="I830" s="4">
        <f>Clean_Data[[#This Row],[Exports_TIV]] + Clean_Data[[#This Row],[Imports_TIV]]</f>
        <v>5000000</v>
      </c>
    </row>
    <row r="831" spans="1:9">
      <c r="A831" s="4" t="s">
        <v>129</v>
      </c>
      <c r="B831" s="4" t="s">
        <v>130</v>
      </c>
      <c r="C831" s="5">
        <v>2019</v>
      </c>
      <c r="D831" s="4">
        <v>0</v>
      </c>
      <c r="E831" s="4">
        <v>167000000</v>
      </c>
      <c r="F831" s="4" t="str">
        <f>_xlfn.LET(_xlpm.r, _xlfn.XLOOKUP(Clean_Data[[#This Row],[Country_Code]], Metadata_Country!$A:$A, Metadata_Country!$B:$B, "Unknown"), IF(OR(_xlpm.r=0, _xlpm.r=""), "Regional Aggregate", _xlpm.r))</f>
        <v>Middle East &amp; North Africa</v>
      </c>
      <c r="G831" s="4" t="str">
        <f>_xlfn.LET(_xlpm.ig, _xlfn.XLOOKUP(Clean_Data[[#This Row],[Country_Code]], Metadata_Country!$A:$A, Metadata_Country!$C:$C, "Unknown"), IF(OR(_xlpm.ig=0, _xlpm.ig=""), "Regional Aggregate", _xlpm.ig))</f>
        <v>Upper middle income</v>
      </c>
      <c r="H831" s="4">
        <f>Clean_Data[[#This Row],[Exports_TIV]] - Clean_Data[[#This Row],[Imports_TIV]]</f>
        <v>-167000000</v>
      </c>
      <c r="I831" s="4">
        <f>Clean_Data[[#This Row],[Exports_TIV]] + Clean_Data[[#This Row],[Imports_TIV]]</f>
        <v>167000000</v>
      </c>
    </row>
    <row r="832" spans="1:9">
      <c r="A832" s="4" t="s">
        <v>17</v>
      </c>
      <c r="B832" s="4" t="s">
        <v>18</v>
      </c>
      <c r="C832" s="5">
        <v>2019</v>
      </c>
      <c r="D832" s="4">
        <v>0</v>
      </c>
      <c r="E832" s="4">
        <v>170000000</v>
      </c>
      <c r="F832" s="4" t="str">
        <f>_xlfn.LET(_xlpm.r, _xlfn.XLOOKUP(Clean_Data[[#This Row],[Country_Code]], Metadata_Country!$A:$A, Metadata_Country!$B:$B, "Unknown"), IF(OR(_xlpm.r=0, _xlpm.r=""), "Regional Aggregate", _xlpm.r))</f>
        <v>Sub-Saharan Africa</v>
      </c>
      <c r="G832" s="4" t="str">
        <f>_xlfn.LET(_xlpm.ig, _xlfn.XLOOKUP(Clean_Data[[#This Row],[Country_Code]], Metadata_Country!$A:$A, Metadata_Country!$C:$C, "Unknown"), IF(OR(_xlpm.ig=0, _xlpm.ig=""), "Regional Aggregate", _xlpm.ig))</f>
        <v>Lower middle income</v>
      </c>
      <c r="H832" s="4">
        <f>Clean_Data[[#This Row],[Exports_TIV]] - Clean_Data[[#This Row],[Imports_TIV]]</f>
        <v>-170000000</v>
      </c>
      <c r="I832" s="4">
        <f>Clean_Data[[#This Row],[Exports_TIV]] + Clean_Data[[#This Row],[Imports_TIV]]</f>
        <v>170000000</v>
      </c>
    </row>
    <row r="833" spans="1:9">
      <c r="A833" s="4" t="s">
        <v>23</v>
      </c>
      <c r="B833" s="4" t="s">
        <v>24</v>
      </c>
      <c r="C833" s="5">
        <v>2019</v>
      </c>
      <c r="D833" s="4">
        <v>0</v>
      </c>
      <c r="E833" s="4">
        <v>8120000000</v>
      </c>
      <c r="F833" s="4" t="str">
        <f>_xlfn.LET(_xlpm.r, _xlfn.XLOOKUP(Clean_Data[[#This Row],[Country_Code]], Metadata_Country!$A:$A, Metadata_Country!$B:$B, "Unknown"), IF(OR(_xlpm.r=0, _xlpm.r=""), "Regional Aggregate", _xlpm.r))</f>
        <v>Regional Aggregate</v>
      </c>
      <c r="G833" s="4" t="str">
        <f>_xlfn.LET(_xlpm.ig, _xlfn.XLOOKUP(Clean_Data[[#This Row],[Country_Code]], Metadata_Country!$A:$A, Metadata_Country!$C:$C, "Unknown"), IF(OR(_xlpm.ig=0, _xlpm.ig=""), "Regional Aggregate", _xlpm.ig))</f>
        <v>Regional Aggregate</v>
      </c>
      <c r="H833" s="4">
        <f>Clean_Data[[#This Row],[Exports_TIV]] - Clean_Data[[#This Row],[Imports_TIV]]</f>
        <v>-8120000000</v>
      </c>
      <c r="I833" s="4">
        <f>Clean_Data[[#This Row],[Exports_TIV]] + Clean_Data[[#This Row],[Imports_TIV]]</f>
        <v>8120000000</v>
      </c>
    </row>
    <row r="834" spans="1:9">
      <c r="A834" s="4" t="s">
        <v>27</v>
      </c>
      <c r="B834" s="4" t="s">
        <v>28</v>
      </c>
      <c r="C834" s="5">
        <v>2019</v>
      </c>
      <c r="D834" s="4">
        <v>0</v>
      </c>
      <c r="E834" s="4">
        <v>51000000</v>
      </c>
      <c r="F834" s="4" t="str">
        <f>_xlfn.LET(_xlpm.r, _xlfn.XLOOKUP(Clean_Data[[#This Row],[Country_Code]], Metadata_Country!$A:$A, Metadata_Country!$B:$B, "Unknown"), IF(OR(_xlpm.r=0, _xlpm.r=""), "Regional Aggregate", _xlpm.r))</f>
        <v>Latin America &amp; Caribbean</v>
      </c>
      <c r="G834" s="4" t="str">
        <f>_xlfn.LET(_xlpm.ig, _xlfn.XLOOKUP(Clean_Data[[#This Row],[Country_Code]], Metadata_Country!$A:$A, Metadata_Country!$C:$C, "Unknown"), IF(OR(_xlpm.ig=0, _xlpm.ig=""), "Regional Aggregate", _xlpm.ig))</f>
        <v>Upper middle income</v>
      </c>
      <c r="H834" s="4">
        <f>Clean_Data[[#This Row],[Exports_TIV]] - Clean_Data[[#This Row],[Imports_TIV]]</f>
        <v>-51000000</v>
      </c>
      <c r="I834" s="4">
        <f>Clean_Data[[#This Row],[Exports_TIV]] + Clean_Data[[#This Row],[Imports_TIV]]</f>
        <v>51000000</v>
      </c>
    </row>
    <row r="835" spans="1:9">
      <c r="A835" s="4" t="s">
        <v>29</v>
      </c>
      <c r="B835" s="4" t="s">
        <v>30</v>
      </c>
      <c r="C835" s="5">
        <v>2019</v>
      </c>
      <c r="D835" s="4">
        <v>0</v>
      </c>
      <c r="E835" s="4">
        <v>248000000</v>
      </c>
      <c r="F835" s="4" t="str">
        <f>_xlfn.LET(_xlpm.r, _xlfn.XLOOKUP(Clean_Data[[#This Row],[Country_Code]], Metadata_Country!$A:$A, Metadata_Country!$B:$B, "Unknown"), IF(OR(_xlpm.r=0, _xlpm.r=""), "Regional Aggregate", _xlpm.r))</f>
        <v>Europe &amp; Central Asia</v>
      </c>
      <c r="G835" s="4" t="str">
        <f>_xlfn.LET(_xlpm.ig, _xlfn.XLOOKUP(Clean_Data[[#This Row],[Country_Code]], Metadata_Country!$A:$A, Metadata_Country!$C:$C, "Unknown"), IF(OR(_xlpm.ig=0, _xlpm.ig=""), "Regional Aggregate", _xlpm.ig))</f>
        <v>Upper middle income</v>
      </c>
      <c r="H835" s="4">
        <f>Clean_Data[[#This Row],[Exports_TIV]] - Clean_Data[[#This Row],[Imports_TIV]]</f>
        <v>-248000000</v>
      </c>
      <c r="I835" s="4">
        <f>Clean_Data[[#This Row],[Exports_TIV]] + Clean_Data[[#This Row],[Imports_TIV]]</f>
        <v>248000000</v>
      </c>
    </row>
    <row r="836" spans="1:9">
      <c r="A836" s="4" t="s">
        <v>35</v>
      </c>
      <c r="B836" s="4" t="s">
        <v>36</v>
      </c>
      <c r="C836" s="5">
        <v>2019</v>
      </c>
      <c r="D836" s="4">
        <v>129000000</v>
      </c>
      <c r="E836" s="4">
        <v>1159000000</v>
      </c>
      <c r="F836" s="4" t="str">
        <f>_xlfn.LET(_xlpm.r, _xlfn.XLOOKUP(Clean_Data[[#This Row],[Country_Code]], Metadata_Country!$A:$A, Metadata_Country!$B:$B, "Unknown"), IF(OR(_xlpm.r=0, _xlpm.r=""), "Regional Aggregate", _xlpm.r))</f>
        <v>East Asia &amp; Pacific</v>
      </c>
      <c r="G836" s="4" t="str">
        <f>_xlfn.LET(_xlpm.ig, _xlfn.XLOOKUP(Clean_Data[[#This Row],[Country_Code]], Metadata_Country!$A:$A, Metadata_Country!$C:$C, "Unknown"), IF(OR(_xlpm.ig=0, _xlpm.ig=""), "Regional Aggregate", _xlpm.ig))</f>
        <v>High income</v>
      </c>
      <c r="H836" s="4">
        <f>Clean_Data[[#This Row],[Exports_TIV]] - Clean_Data[[#This Row],[Imports_TIV]]</f>
        <v>-1030000000</v>
      </c>
      <c r="I836" s="4">
        <f>Clean_Data[[#This Row],[Exports_TIV]] + Clean_Data[[#This Row],[Imports_TIV]]</f>
        <v>1288000000</v>
      </c>
    </row>
    <row r="837" spans="1:9">
      <c r="A837" s="4" t="s">
        <v>37</v>
      </c>
      <c r="B837" s="4" t="s">
        <v>38</v>
      </c>
      <c r="C837" s="5">
        <v>2019</v>
      </c>
      <c r="D837" s="4">
        <v>3000000</v>
      </c>
      <c r="E837" s="4">
        <v>18000000</v>
      </c>
      <c r="F837" s="4" t="str">
        <f>_xlfn.LET(_xlpm.r, _xlfn.XLOOKUP(Clean_Data[[#This Row],[Country_Code]], Metadata_Country!$A:$A, Metadata_Country!$B:$B, "Unknown"), IF(OR(_xlpm.r=0, _xlpm.r=""), "Regional Aggregate", _xlpm.r))</f>
        <v>Europe &amp; Central Asia</v>
      </c>
      <c r="G837" s="4" t="str">
        <f>_xlfn.LET(_xlpm.ig, _xlfn.XLOOKUP(Clean_Data[[#This Row],[Country_Code]], Metadata_Country!$A:$A, Metadata_Country!$C:$C, "Unknown"), IF(OR(_xlpm.ig=0, _xlpm.ig=""), "Regional Aggregate", _xlpm.ig))</f>
        <v>High income</v>
      </c>
      <c r="H837" s="4">
        <f>Clean_Data[[#This Row],[Exports_TIV]] - Clean_Data[[#This Row],[Imports_TIV]]</f>
        <v>-15000000</v>
      </c>
      <c r="I837" s="4">
        <f>Clean_Data[[#This Row],[Exports_TIV]] + Clean_Data[[#This Row],[Imports_TIV]]</f>
        <v>21000000</v>
      </c>
    </row>
    <row r="838" spans="1:9">
      <c r="A838" s="4" t="s">
        <v>39</v>
      </c>
      <c r="B838" s="4" t="s">
        <v>40</v>
      </c>
      <c r="C838" s="5">
        <v>2019</v>
      </c>
      <c r="D838" s="4">
        <v>0</v>
      </c>
      <c r="E838" s="4">
        <v>44000000</v>
      </c>
      <c r="F838" s="4" t="str">
        <f>_xlfn.LET(_xlpm.r, _xlfn.XLOOKUP(Clean_Data[[#This Row],[Country_Code]], Metadata_Country!$A:$A, Metadata_Country!$B:$B, "Unknown"), IF(OR(_xlpm.r=0, _xlpm.r=""), "Regional Aggregate", _xlpm.r))</f>
        <v>Europe &amp; Central Asia</v>
      </c>
      <c r="G838" s="4" t="str">
        <f>_xlfn.LET(_xlpm.ig, _xlfn.XLOOKUP(Clean_Data[[#This Row],[Country_Code]], Metadata_Country!$A:$A, Metadata_Country!$C:$C, "Unknown"), IF(OR(_xlpm.ig=0, _xlpm.ig=""), "Regional Aggregate", _xlpm.ig))</f>
        <v>Upper middle income</v>
      </c>
      <c r="H838" s="4">
        <f>Clean_Data[[#This Row],[Exports_TIV]] - Clean_Data[[#This Row],[Imports_TIV]]</f>
        <v>-44000000</v>
      </c>
      <c r="I838" s="4">
        <f>Clean_Data[[#This Row],[Exports_TIV]] + Clean_Data[[#This Row],[Imports_TIV]]</f>
        <v>44000000</v>
      </c>
    </row>
    <row r="839" spans="1:9">
      <c r="A839" s="4" t="s">
        <v>53</v>
      </c>
      <c r="B839" s="4" t="s">
        <v>54</v>
      </c>
      <c r="C839" s="5">
        <v>2019</v>
      </c>
      <c r="D839" s="4">
        <v>0</v>
      </c>
      <c r="E839" s="4">
        <v>21000000</v>
      </c>
      <c r="F839" s="4" t="str">
        <f>_xlfn.LET(_xlpm.r, _xlfn.XLOOKUP(Clean_Data[[#This Row],[Country_Code]], Metadata_Country!$A:$A, Metadata_Country!$B:$B, "Unknown"), IF(OR(_xlpm.r=0, _xlpm.r=""), "Regional Aggregate", _xlpm.r))</f>
        <v>Middle East &amp; North Africa</v>
      </c>
      <c r="G839" s="4" t="str">
        <f>_xlfn.LET(_xlpm.ig, _xlfn.XLOOKUP(Clean_Data[[#This Row],[Country_Code]], Metadata_Country!$A:$A, Metadata_Country!$C:$C, "Unknown"), IF(OR(_xlpm.ig=0, _xlpm.ig=""), "Regional Aggregate", _xlpm.ig))</f>
        <v>High income</v>
      </c>
      <c r="H839" s="4">
        <f>Clean_Data[[#This Row],[Exports_TIV]] - Clean_Data[[#This Row],[Imports_TIV]]</f>
        <v>-21000000</v>
      </c>
      <c r="I839" s="4">
        <f>Clean_Data[[#This Row],[Exports_TIV]] + Clean_Data[[#This Row],[Imports_TIV]]</f>
        <v>21000000</v>
      </c>
    </row>
    <row r="840" spans="1:9">
      <c r="A840" s="4" t="s">
        <v>49</v>
      </c>
      <c r="B840" s="4" t="s">
        <v>50</v>
      </c>
      <c r="C840" s="5">
        <v>2019</v>
      </c>
      <c r="D840" s="4">
        <v>0</v>
      </c>
      <c r="E840" s="4">
        <v>713000000</v>
      </c>
      <c r="F840" s="4" t="str">
        <f>_xlfn.LET(_xlpm.r, _xlfn.XLOOKUP(Clean_Data[[#This Row],[Country_Code]], Metadata_Country!$A:$A, Metadata_Country!$B:$B, "Unknown"), IF(OR(_xlpm.r=0, _xlpm.r=""), "Regional Aggregate", _xlpm.r))</f>
        <v>South Asia</v>
      </c>
      <c r="G840" s="4" t="str">
        <f>_xlfn.LET(_xlpm.ig, _xlfn.XLOOKUP(Clean_Data[[#This Row],[Country_Code]], Metadata_Country!$A:$A, Metadata_Country!$C:$C, "Unknown"), IF(OR(_xlpm.ig=0, _xlpm.ig=""), "Regional Aggregate", _xlpm.ig))</f>
        <v>Lower middle income</v>
      </c>
      <c r="H840" s="4">
        <f>Clean_Data[[#This Row],[Exports_TIV]] - Clean_Data[[#This Row],[Imports_TIV]]</f>
        <v>-713000000</v>
      </c>
      <c r="I840" s="4">
        <f>Clean_Data[[#This Row],[Exports_TIV]] + Clean_Data[[#This Row],[Imports_TIV]]</f>
        <v>713000000</v>
      </c>
    </row>
    <row r="841" spans="1:9">
      <c r="A841" s="4" t="s">
        <v>59</v>
      </c>
      <c r="B841" s="4" t="s">
        <v>60</v>
      </c>
      <c r="C841" s="5">
        <v>2019</v>
      </c>
      <c r="D841" s="4">
        <v>84000000</v>
      </c>
      <c r="E841" s="4">
        <v>333000000</v>
      </c>
      <c r="F841" s="4" t="str">
        <f>_xlfn.LET(_xlpm.r, _xlfn.XLOOKUP(Clean_Data[[#This Row],[Country_Code]], Metadata_Country!$A:$A, Metadata_Country!$B:$B, "Unknown"), IF(OR(_xlpm.r=0, _xlpm.r=""), "Regional Aggregate", _xlpm.r))</f>
        <v>Europe &amp; Central Asia</v>
      </c>
      <c r="G841" s="4" t="str">
        <f>_xlfn.LET(_xlpm.ig, _xlfn.XLOOKUP(Clean_Data[[#This Row],[Country_Code]], Metadata_Country!$A:$A, Metadata_Country!$C:$C, "Unknown"), IF(OR(_xlpm.ig=0, _xlpm.ig=""), "Regional Aggregate", _xlpm.ig))</f>
        <v>Upper middle income</v>
      </c>
      <c r="H841" s="4">
        <f>Clean_Data[[#This Row],[Exports_TIV]] - Clean_Data[[#This Row],[Imports_TIV]]</f>
        <v>-249000000</v>
      </c>
      <c r="I841" s="4">
        <f>Clean_Data[[#This Row],[Exports_TIV]] + Clean_Data[[#This Row],[Imports_TIV]]</f>
        <v>417000000</v>
      </c>
    </row>
    <row r="842" spans="1:9">
      <c r="A842" s="4" t="s">
        <v>43</v>
      </c>
      <c r="B842" s="4" t="s">
        <v>44</v>
      </c>
      <c r="C842" s="5">
        <v>2019</v>
      </c>
      <c r="D842" s="4">
        <v>50000000</v>
      </c>
      <c r="E842" s="4">
        <v>9000000</v>
      </c>
      <c r="F842" s="4" t="str">
        <f>_xlfn.LET(_xlpm.r, _xlfn.XLOOKUP(Clean_Data[[#This Row],[Country_Code]], Metadata_Country!$A:$A, Metadata_Country!$B:$B, "Unknown"), IF(OR(_xlpm.r=0, _xlpm.r=""), "Regional Aggregate", _xlpm.r))</f>
        <v>Europe &amp; Central Asia</v>
      </c>
      <c r="G842" s="4" t="str">
        <f>_xlfn.LET(_xlpm.ig, _xlfn.XLOOKUP(Clean_Data[[#This Row],[Country_Code]], Metadata_Country!$A:$A, Metadata_Country!$C:$C, "Unknown"), IF(OR(_xlpm.ig=0, _xlpm.ig=""), "Regional Aggregate", _xlpm.ig))</f>
        <v>High income</v>
      </c>
      <c r="H842" s="4">
        <f>Clean_Data[[#This Row],[Exports_TIV]] - Clean_Data[[#This Row],[Imports_TIV]]</f>
        <v>41000000</v>
      </c>
      <c r="I842" s="4">
        <f>Clean_Data[[#This Row],[Exports_TIV]] + Clean_Data[[#This Row],[Imports_TIV]]</f>
        <v>59000000</v>
      </c>
    </row>
    <row r="843" spans="1:9">
      <c r="A843" s="4" t="s">
        <v>65</v>
      </c>
      <c r="B843" s="4" t="s">
        <v>66</v>
      </c>
      <c r="C843" s="5">
        <v>2019</v>
      </c>
      <c r="D843" s="4">
        <v>0</v>
      </c>
      <c r="E843" s="4">
        <v>34000000</v>
      </c>
      <c r="F843" s="4" t="str">
        <f>_xlfn.LET(_xlpm.r, _xlfn.XLOOKUP(Clean_Data[[#This Row],[Country_Code]], Metadata_Country!$A:$A, Metadata_Country!$B:$B, "Unknown"), IF(OR(_xlpm.r=0, _xlpm.r=""), "Regional Aggregate", _xlpm.r))</f>
        <v>Latin America &amp; Caribbean</v>
      </c>
      <c r="G843" s="4" t="str">
        <f>_xlfn.LET(_xlpm.ig, _xlfn.XLOOKUP(Clean_Data[[#This Row],[Country_Code]], Metadata_Country!$A:$A, Metadata_Country!$C:$C, "Unknown"), IF(OR(_xlpm.ig=0, _xlpm.ig=""), "Regional Aggregate", _xlpm.ig))</f>
        <v>Lower middle income</v>
      </c>
      <c r="H843" s="4">
        <f>Clean_Data[[#This Row],[Exports_TIV]] - Clean_Data[[#This Row],[Imports_TIV]]</f>
        <v>-34000000</v>
      </c>
      <c r="I843" s="4">
        <f>Clean_Data[[#This Row],[Exports_TIV]] + Clean_Data[[#This Row],[Imports_TIV]]</f>
        <v>34000000</v>
      </c>
    </row>
    <row r="844" spans="1:9">
      <c r="A844" s="4" t="s">
        <v>57</v>
      </c>
      <c r="B844" s="4" t="s">
        <v>58</v>
      </c>
      <c r="C844" s="5">
        <v>2019</v>
      </c>
      <c r="D844" s="4">
        <v>0</v>
      </c>
      <c r="E844" s="4">
        <v>0</v>
      </c>
      <c r="F844" s="4" t="str">
        <f>_xlfn.LET(_xlpm.r, _xlfn.XLOOKUP(Clean_Data[[#This Row],[Country_Code]], Metadata_Country!$A:$A, Metadata_Country!$B:$B, "Unknown"), IF(OR(_xlpm.r=0, _xlpm.r=""), "Regional Aggregate", _xlpm.r))</f>
        <v>Europe &amp; Central Asia</v>
      </c>
      <c r="G844" s="4" t="str">
        <f>_xlfn.LET(_xlpm.ig, _xlfn.XLOOKUP(Clean_Data[[#This Row],[Country_Code]], Metadata_Country!$A:$A, Metadata_Country!$C:$C, "Unknown"), IF(OR(_xlpm.ig=0, _xlpm.ig=""), "Regional Aggregate", _xlpm.ig))</f>
        <v>Upper middle income</v>
      </c>
      <c r="H844" s="4">
        <f>Clean_Data[[#This Row],[Exports_TIV]] - Clean_Data[[#This Row],[Imports_TIV]]</f>
        <v>0</v>
      </c>
      <c r="I844" s="4">
        <f>Clean_Data[[#This Row],[Exports_TIV]] + Clean_Data[[#This Row],[Imports_TIV]]</f>
        <v>0</v>
      </c>
    </row>
    <row r="845" spans="1:9">
      <c r="A845" s="4" t="s">
        <v>75</v>
      </c>
      <c r="B845" s="4" t="s">
        <v>76</v>
      </c>
      <c r="C845" s="5">
        <v>2019</v>
      </c>
      <c r="D845" s="4">
        <v>0</v>
      </c>
      <c r="E845" s="4">
        <v>7000000</v>
      </c>
      <c r="F845" s="4" t="str">
        <f>_xlfn.LET(_xlpm.r, _xlfn.XLOOKUP(Clean_Data[[#This Row],[Country_Code]], Metadata_Country!$A:$A, Metadata_Country!$B:$B, "Unknown"), IF(OR(_xlpm.r=0, _xlpm.r=""), "Regional Aggregate", _xlpm.r))</f>
        <v>Sub-Saharan Africa</v>
      </c>
      <c r="G845" s="4" t="str">
        <f>_xlfn.LET(_xlpm.ig, _xlfn.XLOOKUP(Clean_Data[[#This Row],[Country_Code]], Metadata_Country!$A:$A, Metadata_Country!$C:$C, "Unknown"), IF(OR(_xlpm.ig=0, _xlpm.ig=""), "Regional Aggregate", _xlpm.ig))</f>
        <v>Upper middle income</v>
      </c>
      <c r="H845" s="4">
        <f>Clean_Data[[#This Row],[Exports_TIV]] - Clean_Data[[#This Row],[Imports_TIV]]</f>
        <v>-7000000</v>
      </c>
      <c r="I845" s="4">
        <f>Clean_Data[[#This Row],[Exports_TIV]] + Clean_Data[[#This Row],[Imports_TIV]]</f>
        <v>7000000</v>
      </c>
    </row>
    <row r="846" spans="1:9">
      <c r="A846" s="4" t="s">
        <v>67</v>
      </c>
      <c r="B846" s="4" t="s">
        <v>68</v>
      </c>
      <c r="C846" s="5">
        <v>2019</v>
      </c>
      <c r="D846" s="4">
        <v>21000000</v>
      </c>
      <c r="E846" s="4">
        <v>125000000</v>
      </c>
      <c r="F846" s="4" t="str">
        <f>_xlfn.LET(_xlpm.r, _xlfn.XLOOKUP(Clean_Data[[#This Row],[Country_Code]], Metadata_Country!$A:$A, Metadata_Country!$B:$B, "Unknown"), IF(OR(_xlpm.r=0, _xlpm.r=""), "Regional Aggregate", _xlpm.r))</f>
        <v>Latin America &amp; Caribbean</v>
      </c>
      <c r="G846" s="4" t="str">
        <f>_xlfn.LET(_xlpm.ig, _xlfn.XLOOKUP(Clean_Data[[#This Row],[Country_Code]], Metadata_Country!$A:$A, Metadata_Country!$C:$C, "Unknown"), IF(OR(_xlpm.ig=0, _xlpm.ig=""), "Regional Aggregate", _xlpm.ig))</f>
        <v>Upper middle income</v>
      </c>
      <c r="H846" s="4">
        <f>Clean_Data[[#This Row],[Exports_TIV]] - Clean_Data[[#This Row],[Imports_TIV]]</f>
        <v>-104000000</v>
      </c>
      <c r="I846" s="4">
        <f>Clean_Data[[#This Row],[Exports_TIV]] + Clean_Data[[#This Row],[Imports_TIV]]</f>
        <v>146000000</v>
      </c>
    </row>
    <row r="847" spans="1:9">
      <c r="A847" s="4" t="s">
        <v>51</v>
      </c>
      <c r="B847" s="4" t="s">
        <v>52</v>
      </c>
      <c r="C847" s="5">
        <v>2019</v>
      </c>
      <c r="D847" s="4">
        <v>11000000</v>
      </c>
      <c r="E847" s="4">
        <v>2000000</v>
      </c>
      <c r="F847" s="4" t="str">
        <f>_xlfn.LET(_xlpm.r, _xlfn.XLOOKUP(Clean_Data[[#This Row],[Country_Code]], Metadata_Country!$A:$A, Metadata_Country!$B:$B, "Unknown"), IF(OR(_xlpm.r=0, _xlpm.r=""), "Regional Aggregate", _xlpm.r))</f>
        <v>Europe &amp; Central Asia</v>
      </c>
      <c r="G847" s="4" t="str">
        <f>_xlfn.LET(_xlpm.ig, _xlfn.XLOOKUP(Clean_Data[[#This Row],[Country_Code]], Metadata_Country!$A:$A, Metadata_Country!$C:$C, "Unknown"), IF(OR(_xlpm.ig=0, _xlpm.ig=""), "Regional Aggregate", _xlpm.ig))</f>
        <v>High income</v>
      </c>
      <c r="H847" s="4">
        <f>Clean_Data[[#This Row],[Exports_TIV]] - Clean_Data[[#This Row],[Imports_TIV]]</f>
        <v>9000000</v>
      </c>
      <c r="I847" s="4">
        <f>Clean_Data[[#This Row],[Exports_TIV]] + Clean_Data[[#This Row],[Imports_TIV]]</f>
        <v>13000000</v>
      </c>
    </row>
    <row r="848" spans="1:9">
      <c r="A848" s="4" t="s">
        <v>47</v>
      </c>
      <c r="B848" s="4" t="s">
        <v>48</v>
      </c>
      <c r="C848" s="5">
        <v>2019</v>
      </c>
      <c r="D848" s="4">
        <v>0</v>
      </c>
      <c r="E848" s="4">
        <v>7000000</v>
      </c>
      <c r="F848" s="4" t="str">
        <f>_xlfn.LET(_xlpm.r, _xlfn.XLOOKUP(Clean_Data[[#This Row],[Country_Code]], Metadata_Country!$A:$A, Metadata_Country!$B:$B, "Unknown"), IF(OR(_xlpm.r=0, _xlpm.r=""), "Regional Aggregate", _xlpm.r))</f>
        <v>Sub-Saharan Africa</v>
      </c>
      <c r="G848" s="4" t="str">
        <f>_xlfn.LET(_xlpm.ig, _xlfn.XLOOKUP(Clean_Data[[#This Row],[Country_Code]], Metadata_Country!$A:$A, Metadata_Country!$C:$C, "Unknown"), IF(OR(_xlpm.ig=0, _xlpm.ig=""), "Regional Aggregate", _xlpm.ig))</f>
        <v>Low income</v>
      </c>
      <c r="H848" s="4">
        <f>Clean_Data[[#This Row],[Exports_TIV]] - Clean_Data[[#This Row],[Imports_TIV]]</f>
        <v>-7000000</v>
      </c>
      <c r="I848" s="4">
        <f>Clean_Data[[#This Row],[Exports_TIV]] + Clean_Data[[#This Row],[Imports_TIV]]</f>
        <v>7000000</v>
      </c>
    </row>
    <row r="849" spans="1:9">
      <c r="A849" s="4" t="s">
        <v>41</v>
      </c>
      <c r="B849" s="4" t="s">
        <v>42</v>
      </c>
      <c r="C849" s="5">
        <v>2019</v>
      </c>
      <c r="D849" s="4">
        <v>0</v>
      </c>
      <c r="E849" s="4">
        <v>2000000</v>
      </c>
      <c r="F849" s="4" t="str">
        <f>_xlfn.LET(_xlpm.r, _xlfn.XLOOKUP(Clean_Data[[#This Row],[Country_Code]], Metadata_Country!$A:$A, Metadata_Country!$B:$B, "Unknown"), IF(OR(_xlpm.r=0, _xlpm.r=""), "Regional Aggregate", _xlpm.r))</f>
        <v>Sub-Saharan Africa</v>
      </c>
      <c r="G849" s="4" t="str">
        <f>_xlfn.LET(_xlpm.ig, _xlfn.XLOOKUP(Clean_Data[[#This Row],[Country_Code]], Metadata_Country!$A:$A, Metadata_Country!$C:$C, "Unknown"), IF(OR(_xlpm.ig=0, _xlpm.ig=""), "Regional Aggregate", _xlpm.ig))</f>
        <v>Low income</v>
      </c>
      <c r="H849" s="4">
        <f>Clean_Data[[#This Row],[Exports_TIV]] - Clean_Data[[#This Row],[Imports_TIV]]</f>
        <v>-2000000</v>
      </c>
      <c r="I849" s="4">
        <f>Clean_Data[[#This Row],[Exports_TIV]] + Clean_Data[[#This Row],[Imports_TIV]]</f>
        <v>2000000</v>
      </c>
    </row>
    <row r="850" spans="1:9">
      <c r="A850" s="4" t="s">
        <v>103</v>
      </c>
      <c r="B850" s="4" t="s">
        <v>104</v>
      </c>
      <c r="C850" s="5">
        <v>2019</v>
      </c>
      <c r="D850" s="4">
        <v>0</v>
      </c>
      <c r="E850" s="4">
        <v>3000000</v>
      </c>
      <c r="F850" s="4" t="str">
        <f>_xlfn.LET(_xlpm.r, _xlfn.XLOOKUP(Clean_Data[[#This Row],[Country_Code]], Metadata_Country!$A:$A, Metadata_Country!$B:$B, "Unknown"), IF(OR(_xlpm.r=0, _xlpm.r=""), "Regional Aggregate", _xlpm.r))</f>
        <v>Sub-Saharan Africa</v>
      </c>
      <c r="G850" s="4" t="str">
        <f>_xlfn.LET(_xlpm.ig, _xlfn.XLOOKUP(Clean_Data[[#This Row],[Country_Code]], Metadata_Country!$A:$A, Metadata_Country!$C:$C, "Unknown"), IF(OR(_xlpm.ig=0, _xlpm.ig=""), "Regional Aggregate", _xlpm.ig))</f>
        <v>Upper middle income</v>
      </c>
      <c r="H850" s="4">
        <f>Clean_Data[[#This Row],[Exports_TIV]] - Clean_Data[[#This Row],[Imports_TIV]]</f>
        <v>-3000000</v>
      </c>
      <c r="I850" s="4">
        <f>Clean_Data[[#This Row],[Exports_TIV]] + Clean_Data[[#This Row],[Imports_TIV]]</f>
        <v>3000000</v>
      </c>
    </row>
    <row r="851" spans="1:9">
      <c r="A851" s="4" t="s">
        <v>255</v>
      </c>
      <c r="B851" s="4" t="s">
        <v>256</v>
      </c>
      <c r="C851" s="5">
        <v>2019</v>
      </c>
      <c r="D851" s="4">
        <v>0</v>
      </c>
      <c r="E851" s="4">
        <v>1000000</v>
      </c>
      <c r="F851" s="4" t="str">
        <f>_xlfn.LET(_xlpm.r, _xlfn.XLOOKUP(Clean_Data[[#This Row],[Country_Code]], Metadata_Country!$A:$A, Metadata_Country!$B:$B, "Unknown"), IF(OR(_xlpm.r=0, _xlpm.r=""), "Regional Aggregate", _xlpm.r))</f>
        <v>East Asia &amp; Pacific</v>
      </c>
      <c r="G851" s="4" t="str">
        <f>_xlfn.LET(_xlpm.ig, _xlfn.XLOOKUP(Clean_Data[[#This Row],[Country_Code]], Metadata_Country!$A:$A, Metadata_Country!$C:$C, "Unknown"), IF(OR(_xlpm.ig=0, _xlpm.ig=""), "Regional Aggregate", _xlpm.ig))</f>
        <v>Lower middle income</v>
      </c>
      <c r="H851" s="4">
        <f>Clean_Data[[#This Row],[Exports_TIV]] - Clean_Data[[#This Row],[Imports_TIV]]</f>
        <v>-1000000</v>
      </c>
      <c r="I851" s="4">
        <f>Clean_Data[[#This Row],[Exports_TIV]] + Clean_Data[[#This Row],[Imports_TIV]]</f>
        <v>1000000</v>
      </c>
    </row>
    <row r="852" spans="1:9">
      <c r="A852" s="4" t="s">
        <v>93</v>
      </c>
      <c r="B852" s="4" t="s">
        <v>94</v>
      </c>
      <c r="C852" s="5">
        <v>2019</v>
      </c>
      <c r="D852" s="4">
        <v>0</v>
      </c>
      <c r="E852" s="4">
        <v>4000000</v>
      </c>
      <c r="F852" s="4" t="str">
        <f>_xlfn.LET(_xlpm.r, _xlfn.XLOOKUP(Clean_Data[[#This Row],[Country_Code]], Metadata_Country!$A:$A, Metadata_Country!$B:$B, "Unknown"), IF(OR(_xlpm.r=0, _xlpm.r=""), "Regional Aggregate", _xlpm.r))</f>
        <v>Sub-Saharan Africa</v>
      </c>
      <c r="G852" s="4" t="str">
        <f>_xlfn.LET(_xlpm.ig, _xlfn.XLOOKUP(Clean_Data[[#This Row],[Country_Code]], Metadata_Country!$A:$A, Metadata_Country!$C:$C, "Unknown"), IF(OR(_xlpm.ig=0, _xlpm.ig=""), "Regional Aggregate", _xlpm.ig))</f>
        <v>Lower middle income</v>
      </c>
      <c r="H852" s="4">
        <f>Clean_Data[[#This Row],[Exports_TIV]] - Clean_Data[[#This Row],[Imports_TIV]]</f>
        <v>-4000000</v>
      </c>
      <c r="I852" s="4">
        <f>Clean_Data[[#This Row],[Exports_TIV]] + Clean_Data[[#This Row],[Imports_TIV]]</f>
        <v>4000000</v>
      </c>
    </row>
    <row r="853" spans="1:9">
      <c r="A853" s="4" t="s">
        <v>79</v>
      </c>
      <c r="B853" s="4" t="s">
        <v>80</v>
      </c>
      <c r="C853" s="5">
        <v>2019</v>
      </c>
      <c r="D853" s="4">
        <v>223000000</v>
      </c>
      <c r="E853" s="4">
        <v>187000000</v>
      </c>
      <c r="F853" s="4" t="str">
        <f>_xlfn.LET(_xlpm.r, _xlfn.XLOOKUP(Clean_Data[[#This Row],[Country_Code]], Metadata_Country!$A:$A, Metadata_Country!$B:$B, "Unknown"), IF(OR(_xlpm.r=0, _xlpm.r=""), "Regional Aggregate", _xlpm.r))</f>
        <v>North America</v>
      </c>
      <c r="G853" s="4" t="str">
        <f>_xlfn.LET(_xlpm.ig, _xlfn.XLOOKUP(Clean_Data[[#This Row],[Country_Code]], Metadata_Country!$A:$A, Metadata_Country!$C:$C, "Unknown"), IF(OR(_xlpm.ig=0, _xlpm.ig=""), "Regional Aggregate", _xlpm.ig))</f>
        <v>High income</v>
      </c>
      <c r="H853" s="4">
        <f>Clean_Data[[#This Row],[Exports_TIV]] - Clean_Data[[#This Row],[Imports_TIV]]</f>
        <v>36000000</v>
      </c>
      <c r="I853" s="4">
        <f>Clean_Data[[#This Row],[Exports_TIV]] + Clean_Data[[#This Row],[Imports_TIV]]</f>
        <v>410000000</v>
      </c>
    </row>
    <row r="854" spans="1:9">
      <c r="A854" s="4" t="s">
        <v>81</v>
      </c>
      <c r="B854" s="4" t="s">
        <v>82</v>
      </c>
      <c r="C854" s="5">
        <v>2019</v>
      </c>
      <c r="D854" s="4">
        <v>0</v>
      </c>
      <c r="E854" s="4">
        <v>354000000</v>
      </c>
      <c r="F854" s="4" t="str">
        <f>_xlfn.LET(_xlpm.r, _xlfn.XLOOKUP(Clean_Data[[#This Row],[Country_Code]], Metadata_Country!$A:$A, Metadata_Country!$B:$B, "Unknown"), IF(OR(_xlpm.r=0, _xlpm.r=""), "Regional Aggregate", _xlpm.r))</f>
        <v>Regional Aggregate</v>
      </c>
      <c r="G854" s="4" t="str">
        <f>_xlfn.LET(_xlpm.ig, _xlfn.XLOOKUP(Clean_Data[[#This Row],[Country_Code]], Metadata_Country!$A:$A, Metadata_Country!$C:$C, "Unknown"), IF(OR(_xlpm.ig=0, _xlpm.ig=""), "Regional Aggregate", _xlpm.ig))</f>
        <v>Regional Aggregate</v>
      </c>
      <c r="H854" s="4">
        <f>Clean_Data[[#This Row],[Exports_TIV]] - Clean_Data[[#This Row],[Imports_TIV]]</f>
        <v>-354000000</v>
      </c>
      <c r="I854" s="4">
        <f>Clean_Data[[#This Row],[Exports_TIV]] + Clean_Data[[#This Row],[Imports_TIV]]</f>
        <v>354000000</v>
      </c>
    </row>
    <row r="855" spans="1:9">
      <c r="A855" s="4" t="s">
        <v>467</v>
      </c>
      <c r="B855" s="4" t="s">
        <v>468</v>
      </c>
      <c r="C855" s="5">
        <v>2019</v>
      </c>
      <c r="D855" s="4">
        <v>0</v>
      </c>
      <c r="E855" s="4">
        <v>1000000</v>
      </c>
      <c r="F855" s="4" t="str">
        <f>_xlfn.LET(_xlpm.r, _xlfn.XLOOKUP(Clean_Data[[#This Row],[Country_Code]], Metadata_Country!$A:$A, Metadata_Country!$B:$B, "Unknown"), IF(OR(_xlpm.r=0, _xlpm.r=""), "Regional Aggregate", _xlpm.r))</f>
        <v>Sub-Saharan Africa</v>
      </c>
      <c r="G855" s="4" t="str">
        <f>_xlfn.LET(_xlpm.ig, _xlfn.XLOOKUP(Clean_Data[[#This Row],[Country_Code]], Metadata_Country!$A:$A, Metadata_Country!$C:$C, "Unknown"), IF(OR(_xlpm.ig=0, _xlpm.ig=""), "Regional Aggregate", _xlpm.ig))</f>
        <v>Low income</v>
      </c>
      <c r="H855" s="4">
        <f>Clean_Data[[#This Row],[Exports_TIV]] - Clean_Data[[#This Row],[Imports_TIV]]</f>
        <v>-1000000</v>
      </c>
      <c r="I855" s="4">
        <f>Clean_Data[[#This Row],[Exports_TIV]] + Clean_Data[[#This Row],[Imports_TIV]]</f>
        <v>1000000</v>
      </c>
    </row>
    <row r="856" spans="1:9">
      <c r="A856" s="4" t="s">
        <v>87</v>
      </c>
      <c r="B856" s="4" t="s">
        <v>88</v>
      </c>
      <c r="C856" s="5">
        <v>2019</v>
      </c>
      <c r="D856" s="4">
        <v>0</v>
      </c>
      <c r="E856" s="4">
        <v>16000000</v>
      </c>
      <c r="F856" s="4" t="str">
        <f>_xlfn.LET(_xlpm.r, _xlfn.XLOOKUP(Clean_Data[[#This Row],[Country_Code]], Metadata_Country!$A:$A, Metadata_Country!$B:$B, "Unknown"), IF(OR(_xlpm.r=0, _xlpm.r=""), "Regional Aggregate", _xlpm.r))</f>
        <v>Latin America &amp; Caribbean</v>
      </c>
      <c r="G856" s="4" t="str">
        <f>_xlfn.LET(_xlpm.ig, _xlfn.XLOOKUP(Clean_Data[[#This Row],[Country_Code]], Metadata_Country!$A:$A, Metadata_Country!$C:$C, "Unknown"), IF(OR(_xlpm.ig=0, _xlpm.ig=""), "Regional Aggregate", _xlpm.ig))</f>
        <v>High income</v>
      </c>
      <c r="H856" s="4">
        <f>Clean_Data[[#This Row],[Exports_TIV]] - Clean_Data[[#This Row],[Imports_TIV]]</f>
        <v>-16000000</v>
      </c>
      <c r="I856" s="4">
        <f>Clean_Data[[#This Row],[Exports_TIV]] + Clean_Data[[#This Row],[Imports_TIV]]</f>
        <v>16000000</v>
      </c>
    </row>
    <row r="857" spans="1:9">
      <c r="A857" s="4" t="s">
        <v>89</v>
      </c>
      <c r="B857" s="4" t="s">
        <v>90</v>
      </c>
      <c r="C857" s="5">
        <v>2019</v>
      </c>
      <c r="D857" s="4">
        <v>1601000000</v>
      </c>
      <c r="E857" s="4">
        <v>1571000000</v>
      </c>
      <c r="F857" s="4" t="str">
        <f>_xlfn.LET(_xlpm.r, _xlfn.XLOOKUP(Clean_Data[[#This Row],[Country_Code]], Metadata_Country!$A:$A, Metadata_Country!$B:$B, "Unknown"), IF(OR(_xlpm.r=0, _xlpm.r=""), "Regional Aggregate", _xlpm.r))</f>
        <v>East Asia &amp; Pacific</v>
      </c>
      <c r="G857" s="4" t="str">
        <f>_xlfn.LET(_xlpm.ig, _xlfn.XLOOKUP(Clean_Data[[#This Row],[Country_Code]], Metadata_Country!$A:$A, Metadata_Country!$C:$C, "Unknown"), IF(OR(_xlpm.ig=0, _xlpm.ig=""), "Regional Aggregate", _xlpm.ig))</f>
        <v>Upper middle income</v>
      </c>
      <c r="H857" s="4">
        <f>Clean_Data[[#This Row],[Exports_TIV]] - Clean_Data[[#This Row],[Imports_TIV]]</f>
        <v>30000000</v>
      </c>
      <c r="I857" s="4">
        <f>Clean_Data[[#This Row],[Exports_TIV]] + Clean_Data[[#This Row],[Imports_TIV]]</f>
        <v>3172000000</v>
      </c>
    </row>
    <row r="858" spans="1:9">
      <c r="A858" s="4" t="s">
        <v>99</v>
      </c>
      <c r="B858" s="4" t="s">
        <v>100</v>
      </c>
      <c r="C858" s="5">
        <v>2019</v>
      </c>
      <c r="D858" s="4">
        <v>10000000</v>
      </c>
      <c r="E858" s="4">
        <v>22000000</v>
      </c>
      <c r="F858" s="4" t="str">
        <f>_xlfn.LET(_xlpm.r, _xlfn.XLOOKUP(Clean_Data[[#This Row],[Country_Code]], Metadata_Country!$A:$A, Metadata_Country!$B:$B, "Unknown"), IF(OR(_xlpm.r=0, _xlpm.r=""), "Regional Aggregate", _xlpm.r))</f>
        <v>Latin America &amp; Caribbean</v>
      </c>
      <c r="G858" s="4" t="str">
        <f>_xlfn.LET(_xlpm.ig, _xlfn.XLOOKUP(Clean_Data[[#This Row],[Country_Code]], Metadata_Country!$A:$A, Metadata_Country!$C:$C, "Unknown"), IF(OR(_xlpm.ig=0, _xlpm.ig=""), "Regional Aggregate", _xlpm.ig))</f>
        <v>Upper middle income</v>
      </c>
      <c r="H858" s="4">
        <f>Clean_Data[[#This Row],[Exports_TIV]] - Clean_Data[[#This Row],[Imports_TIV]]</f>
        <v>-12000000</v>
      </c>
      <c r="I858" s="4">
        <f>Clean_Data[[#This Row],[Exports_TIV]] + Clean_Data[[#This Row],[Imports_TIV]]</f>
        <v>32000000</v>
      </c>
    </row>
    <row r="859" spans="1:9">
      <c r="A859" s="4" t="s">
        <v>97</v>
      </c>
      <c r="B859" s="4" t="s">
        <v>98</v>
      </c>
      <c r="C859" s="5">
        <v>2019</v>
      </c>
      <c r="D859" s="4">
        <v>0</v>
      </c>
      <c r="E859" s="4">
        <v>3000000</v>
      </c>
      <c r="F859" s="4" t="str">
        <f>_xlfn.LET(_xlpm.r, _xlfn.XLOOKUP(Clean_Data[[#This Row],[Country_Code]], Metadata_Country!$A:$A, Metadata_Country!$B:$B, "Unknown"), IF(OR(_xlpm.r=0, _xlpm.r=""), "Regional Aggregate", _xlpm.r))</f>
        <v>Sub-Saharan Africa</v>
      </c>
      <c r="G859" s="4" t="str">
        <f>_xlfn.LET(_xlpm.ig, _xlfn.XLOOKUP(Clean_Data[[#This Row],[Country_Code]], Metadata_Country!$A:$A, Metadata_Country!$C:$C, "Unknown"), IF(OR(_xlpm.ig=0, _xlpm.ig=""), "Regional Aggregate", _xlpm.ig))</f>
        <v>Lower middle income</v>
      </c>
      <c r="H859" s="4">
        <f>Clean_Data[[#This Row],[Exports_TIV]] - Clean_Data[[#This Row],[Imports_TIV]]</f>
        <v>-3000000</v>
      </c>
      <c r="I859" s="4">
        <f>Clean_Data[[#This Row],[Exports_TIV]] + Clean_Data[[#This Row],[Imports_TIV]]</f>
        <v>3000000</v>
      </c>
    </row>
    <row r="860" spans="1:9">
      <c r="A860" s="4" t="s">
        <v>105</v>
      </c>
      <c r="B860" s="4" t="s">
        <v>106</v>
      </c>
      <c r="C860" s="5">
        <v>2019</v>
      </c>
      <c r="D860" s="4">
        <v>0</v>
      </c>
      <c r="E860" s="4">
        <v>8000000</v>
      </c>
      <c r="F860" s="4" t="str">
        <f>_xlfn.LET(_xlpm.r, _xlfn.XLOOKUP(Clean_Data[[#This Row],[Country_Code]], Metadata_Country!$A:$A, Metadata_Country!$B:$B, "Unknown"), IF(OR(_xlpm.r=0, _xlpm.r=""), "Regional Aggregate", _xlpm.r))</f>
        <v>Latin America &amp; Caribbean</v>
      </c>
      <c r="G860" s="4" t="str">
        <f>_xlfn.LET(_xlpm.ig, _xlfn.XLOOKUP(Clean_Data[[#This Row],[Country_Code]], Metadata_Country!$A:$A, Metadata_Country!$C:$C, "Unknown"), IF(OR(_xlpm.ig=0, _xlpm.ig=""), "Regional Aggregate", _xlpm.ig))</f>
        <v>High income</v>
      </c>
      <c r="H860" s="4">
        <f>Clean_Data[[#This Row],[Exports_TIV]] - Clean_Data[[#This Row],[Imports_TIV]]</f>
        <v>-8000000</v>
      </c>
      <c r="I860" s="4">
        <f>Clean_Data[[#This Row],[Exports_TIV]] + Clean_Data[[#This Row],[Imports_TIV]]</f>
        <v>8000000</v>
      </c>
    </row>
    <row r="861" spans="1:9">
      <c r="A861" s="4" t="s">
        <v>91</v>
      </c>
      <c r="B861" s="4" t="s">
        <v>92</v>
      </c>
      <c r="C861" s="5">
        <v>2019</v>
      </c>
      <c r="D861" s="4">
        <v>0</v>
      </c>
      <c r="E861" s="4">
        <v>15000000</v>
      </c>
      <c r="F861" s="4" t="str">
        <f>_xlfn.LET(_xlpm.r, _xlfn.XLOOKUP(Clean_Data[[#This Row],[Country_Code]], Metadata_Country!$A:$A, Metadata_Country!$B:$B, "Unknown"), IF(OR(_xlpm.r=0, _xlpm.r=""), "Regional Aggregate", _xlpm.r))</f>
        <v>Sub-Saharan Africa</v>
      </c>
      <c r="G861" s="4" t="str">
        <f>_xlfn.LET(_xlpm.ig, _xlfn.XLOOKUP(Clean_Data[[#This Row],[Country_Code]], Metadata_Country!$A:$A, Metadata_Country!$C:$C, "Unknown"), IF(OR(_xlpm.ig=0, _xlpm.ig=""), "Regional Aggregate", _xlpm.ig))</f>
        <v>Lower middle income</v>
      </c>
      <c r="H861" s="4">
        <f>Clean_Data[[#This Row],[Exports_TIV]] - Clean_Data[[#This Row],[Imports_TIV]]</f>
        <v>-15000000</v>
      </c>
      <c r="I861" s="4">
        <f>Clean_Data[[#This Row],[Exports_TIV]] + Clean_Data[[#This Row],[Imports_TIV]]</f>
        <v>15000000</v>
      </c>
    </row>
    <row r="862" spans="1:9">
      <c r="A862" s="4" t="s">
        <v>207</v>
      </c>
      <c r="B862" s="4" t="s">
        <v>208</v>
      </c>
      <c r="C862" s="5">
        <v>2019</v>
      </c>
      <c r="D862" s="4">
        <v>0</v>
      </c>
      <c r="E862" s="4">
        <v>5000000</v>
      </c>
      <c r="F862" s="4" t="str">
        <f>_xlfn.LET(_xlpm.r, _xlfn.XLOOKUP(Clean_Data[[#This Row],[Country_Code]], Metadata_Country!$A:$A, Metadata_Country!$B:$B, "Unknown"), IF(OR(_xlpm.r=0, _xlpm.r=""), "Regional Aggregate", _xlpm.r))</f>
        <v>Europe &amp; Central Asia</v>
      </c>
      <c r="G862" s="4" t="str">
        <f>_xlfn.LET(_xlpm.ig, _xlfn.XLOOKUP(Clean_Data[[#This Row],[Country_Code]], Metadata_Country!$A:$A, Metadata_Country!$C:$C, "Unknown"), IF(OR(_xlpm.ig=0, _xlpm.ig=""), "Regional Aggregate", _xlpm.ig))</f>
        <v>High income</v>
      </c>
      <c r="H862" s="4">
        <f>Clean_Data[[#This Row],[Exports_TIV]] - Clean_Data[[#This Row],[Imports_TIV]]</f>
        <v>-5000000</v>
      </c>
      <c r="I862" s="4">
        <f>Clean_Data[[#This Row],[Exports_TIV]] + Clean_Data[[#This Row],[Imports_TIV]]</f>
        <v>5000000</v>
      </c>
    </row>
    <row r="863" spans="1:9">
      <c r="A863" s="4" t="s">
        <v>115</v>
      </c>
      <c r="B863" s="4" t="s">
        <v>116</v>
      </c>
      <c r="C863" s="5">
        <v>2019</v>
      </c>
      <c r="D863" s="4">
        <v>0</v>
      </c>
      <c r="E863" s="4">
        <v>20000000</v>
      </c>
      <c r="F863" s="4" t="str">
        <f>_xlfn.LET(_xlpm.r, _xlfn.XLOOKUP(Clean_Data[[#This Row],[Country_Code]], Metadata_Country!$A:$A, Metadata_Country!$B:$B, "Unknown"), IF(OR(_xlpm.r=0, _xlpm.r=""), "Regional Aggregate", _xlpm.r))</f>
        <v>Europe &amp; Central Asia</v>
      </c>
      <c r="G863" s="4" t="str">
        <f>_xlfn.LET(_xlpm.ig, _xlfn.XLOOKUP(Clean_Data[[#This Row],[Country_Code]], Metadata_Country!$A:$A, Metadata_Country!$C:$C, "Unknown"), IF(OR(_xlpm.ig=0, _xlpm.ig=""), "Regional Aggregate", _xlpm.ig))</f>
        <v>High income</v>
      </c>
      <c r="H863" s="4">
        <f>Clean_Data[[#This Row],[Exports_TIV]] - Clean_Data[[#This Row],[Imports_TIV]]</f>
        <v>-20000000</v>
      </c>
      <c r="I863" s="4">
        <f>Clean_Data[[#This Row],[Exports_TIV]] + Clean_Data[[#This Row],[Imports_TIV]]</f>
        <v>20000000</v>
      </c>
    </row>
    <row r="864" spans="1:9">
      <c r="A864" s="4" t="s">
        <v>117</v>
      </c>
      <c r="B864" s="4" t="s">
        <v>118</v>
      </c>
      <c r="C864" s="5">
        <v>2019</v>
      </c>
      <c r="D864" s="4">
        <v>19000000</v>
      </c>
      <c r="E864" s="4">
        <v>1000000</v>
      </c>
      <c r="F864" s="4" t="str">
        <f>_xlfn.LET(_xlpm.r, _xlfn.XLOOKUP(Clean_Data[[#This Row],[Country_Code]], Metadata_Country!$A:$A, Metadata_Country!$B:$B, "Unknown"), IF(OR(_xlpm.r=0, _xlpm.r=""), "Regional Aggregate", _xlpm.r))</f>
        <v>Europe &amp; Central Asia</v>
      </c>
      <c r="G864" s="4" t="str">
        <f>_xlfn.LET(_xlpm.ig, _xlfn.XLOOKUP(Clean_Data[[#This Row],[Country_Code]], Metadata_Country!$A:$A, Metadata_Country!$C:$C, "Unknown"), IF(OR(_xlpm.ig=0, _xlpm.ig=""), "Regional Aggregate", _xlpm.ig))</f>
        <v>High income</v>
      </c>
      <c r="H864" s="4">
        <f>Clean_Data[[#This Row],[Exports_TIV]] - Clean_Data[[#This Row],[Imports_TIV]]</f>
        <v>18000000</v>
      </c>
      <c r="I864" s="4">
        <f>Clean_Data[[#This Row],[Exports_TIV]] + Clean_Data[[#This Row],[Imports_TIV]]</f>
        <v>20000000</v>
      </c>
    </row>
    <row r="865" spans="1:9">
      <c r="A865" s="4" t="s">
        <v>125</v>
      </c>
      <c r="B865" s="4" t="s">
        <v>126</v>
      </c>
      <c r="C865" s="5">
        <v>2019</v>
      </c>
      <c r="D865" s="4">
        <v>2000000</v>
      </c>
      <c r="E865" s="4">
        <v>55000000</v>
      </c>
      <c r="F865" s="4" t="str">
        <f>_xlfn.LET(_xlpm.r, _xlfn.XLOOKUP(Clean_Data[[#This Row],[Country_Code]], Metadata_Country!$A:$A, Metadata_Country!$B:$B, "Unknown"), IF(OR(_xlpm.r=0, _xlpm.r=""), "Regional Aggregate", _xlpm.r))</f>
        <v>Europe &amp; Central Asia</v>
      </c>
      <c r="G865" s="4" t="str">
        <f>_xlfn.LET(_xlpm.ig, _xlfn.XLOOKUP(Clean_Data[[#This Row],[Country_Code]], Metadata_Country!$A:$A, Metadata_Country!$C:$C, "Unknown"), IF(OR(_xlpm.ig=0, _xlpm.ig=""), "Regional Aggregate", _xlpm.ig))</f>
        <v>High income</v>
      </c>
      <c r="H865" s="4">
        <f>Clean_Data[[#This Row],[Exports_TIV]] - Clean_Data[[#This Row],[Imports_TIV]]</f>
        <v>-53000000</v>
      </c>
      <c r="I865" s="4">
        <f>Clean_Data[[#This Row],[Exports_TIV]] + Clean_Data[[#This Row],[Imports_TIV]]</f>
        <v>57000000</v>
      </c>
    </row>
    <row r="866" spans="1:9">
      <c r="A866" s="4" t="s">
        <v>121</v>
      </c>
      <c r="B866" s="4" t="s">
        <v>122</v>
      </c>
      <c r="C866" s="5">
        <v>2019</v>
      </c>
      <c r="D866" s="4">
        <v>0</v>
      </c>
      <c r="E866" s="4">
        <v>11000000</v>
      </c>
      <c r="F866" s="4" t="str">
        <f>_xlfn.LET(_xlpm.r, _xlfn.XLOOKUP(Clean_Data[[#This Row],[Country_Code]], Metadata_Country!$A:$A, Metadata_Country!$B:$B, "Unknown"), IF(OR(_xlpm.r=0, _xlpm.r=""), "Regional Aggregate", _xlpm.r))</f>
        <v>Middle East &amp; North Africa</v>
      </c>
      <c r="G866" s="4" t="str">
        <f>_xlfn.LET(_xlpm.ig, _xlfn.XLOOKUP(Clean_Data[[#This Row],[Country_Code]], Metadata_Country!$A:$A, Metadata_Country!$C:$C, "Unknown"), IF(OR(_xlpm.ig=0, _xlpm.ig=""), "Regional Aggregate", _xlpm.ig))</f>
        <v>Lower middle income</v>
      </c>
      <c r="H866" s="4">
        <f>Clean_Data[[#This Row],[Exports_TIV]] - Clean_Data[[#This Row],[Imports_TIV]]</f>
        <v>-11000000</v>
      </c>
      <c r="I866" s="4">
        <f>Clean_Data[[#This Row],[Exports_TIV]] + Clean_Data[[#This Row],[Imports_TIV]]</f>
        <v>11000000</v>
      </c>
    </row>
    <row r="867" spans="1:9">
      <c r="A867" s="4" t="s">
        <v>133</v>
      </c>
      <c r="B867" s="4" t="s">
        <v>134</v>
      </c>
      <c r="C867" s="5">
        <v>2019</v>
      </c>
      <c r="D867" s="4">
        <v>0</v>
      </c>
      <c r="E867" s="4">
        <v>11568000000</v>
      </c>
      <c r="F867" s="4" t="str">
        <f>_xlfn.LET(_xlpm.r, _xlfn.XLOOKUP(Clean_Data[[#This Row],[Country_Code]], Metadata_Country!$A:$A, Metadata_Country!$B:$B, "Unknown"), IF(OR(_xlpm.r=0, _xlpm.r=""), "Regional Aggregate", _xlpm.r))</f>
        <v>Regional Aggregate</v>
      </c>
      <c r="G867" s="4" t="str">
        <f>_xlfn.LET(_xlpm.ig, _xlfn.XLOOKUP(Clean_Data[[#This Row],[Country_Code]], Metadata_Country!$A:$A, Metadata_Country!$C:$C, "Unknown"), IF(OR(_xlpm.ig=0, _xlpm.ig=""), "Regional Aggregate", _xlpm.ig))</f>
        <v>Regional Aggregate</v>
      </c>
      <c r="H867" s="4">
        <f>Clean_Data[[#This Row],[Exports_TIV]] - Clean_Data[[#This Row],[Imports_TIV]]</f>
        <v>-11568000000</v>
      </c>
      <c r="I867" s="4">
        <f>Clean_Data[[#This Row],[Exports_TIV]] + Clean_Data[[#This Row],[Imports_TIV]]</f>
        <v>11568000000</v>
      </c>
    </row>
    <row r="868" spans="1:9">
      <c r="A868" s="4" t="s">
        <v>135</v>
      </c>
      <c r="B868" s="4" t="s">
        <v>136</v>
      </c>
      <c r="C868" s="5">
        <v>2019</v>
      </c>
      <c r="D868" s="4">
        <v>0</v>
      </c>
      <c r="E868" s="4">
        <v>7108000000</v>
      </c>
      <c r="F868" s="4" t="str">
        <f>_xlfn.LET(_xlpm.r, _xlfn.XLOOKUP(Clean_Data[[#This Row],[Country_Code]], Metadata_Country!$A:$A, Metadata_Country!$B:$B, "Unknown"), IF(OR(_xlpm.r=0, _xlpm.r=""), "Regional Aggregate", _xlpm.r))</f>
        <v>Regional Aggregate</v>
      </c>
      <c r="G868" s="4" t="str">
        <f>_xlfn.LET(_xlpm.ig, _xlfn.XLOOKUP(Clean_Data[[#This Row],[Country_Code]], Metadata_Country!$A:$A, Metadata_Country!$C:$C, "Unknown"), IF(OR(_xlpm.ig=0, _xlpm.ig=""), "Regional Aggregate", _xlpm.ig))</f>
        <v>Regional Aggregate</v>
      </c>
      <c r="H868" s="4">
        <f>Clean_Data[[#This Row],[Exports_TIV]] - Clean_Data[[#This Row],[Imports_TIV]]</f>
        <v>-7108000000</v>
      </c>
      <c r="I868" s="4">
        <f>Clean_Data[[#This Row],[Exports_TIV]] + Clean_Data[[#This Row],[Imports_TIV]]</f>
        <v>7108000000</v>
      </c>
    </row>
    <row r="869" spans="1:9">
      <c r="A869" s="4" t="s">
        <v>131</v>
      </c>
      <c r="B869" s="4" t="s">
        <v>132</v>
      </c>
      <c r="C869" s="5">
        <v>2019</v>
      </c>
      <c r="D869" s="4">
        <v>1613000000</v>
      </c>
      <c r="E869" s="4">
        <v>2807000000</v>
      </c>
      <c r="F869" s="4" t="str">
        <f>_xlfn.LET(_xlpm.r, _xlfn.XLOOKUP(Clean_Data[[#This Row],[Country_Code]], Metadata_Country!$A:$A, Metadata_Country!$B:$B, "Unknown"), IF(OR(_xlpm.r=0, _xlpm.r=""), "Regional Aggregate", _xlpm.r))</f>
        <v>Regional Aggregate</v>
      </c>
      <c r="G869" s="4" t="str">
        <f>_xlfn.LET(_xlpm.ig, _xlfn.XLOOKUP(Clean_Data[[#This Row],[Country_Code]], Metadata_Country!$A:$A, Metadata_Country!$C:$C, "Unknown"), IF(OR(_xlpm.ig=0, _xlpm.ig=""), "Regional Aggregate", _xlpm.ig))</f>
        <v>Regional Aggregate</v>
      </c>
      <c r="H869" s="4">
        <f>Clean_Data[[#This Row],[Exports_TIV]] - Clean_Data[[#This Row],[Imports_TIV]]</f>
        <v>-1194000000</v>
      </c>
      <c r="I869" s="4">
        <f>Clean_Data[[#This Row],[Exports_TIV]] + Clean_Data[[#This Row],[Imports_TIV]]</f>
        <v>4420000000</v>
      </c>
    </row>
    <row r="870" spans="1:9">
      <c r="A870" s="4" t="s">
        <v>469</v>
      </c>
      <c r="B870" s="4" t="s">
        <v>470</v>
      </c>
      <c r="C870" s="5">
        <v>2019</v>
      </c>
      <c r="D870" s="4">
        <v>1613000000</v>
      </c>
      <c r="E870" s="4">
        <v>2807000000</v>
      </c>
      <c r="F870" s="4" t="str">
        <f>_xlfn.LET(_xlpm.r, _xlfn.XLOOKUP(Clean_Data[[#This Row],[Country_Code]], Metadata_Country!$A:$A, Metadata_Country!$B:$B, "Unknown"), IF(OR(_xlpm.r=0, _xlpm.r=""), "Regional Aggregate", _xlpm.r))</f>
        <v>Regional Aggregate</v>
      </c>
      <c r="G870" s="4" t="str">
        <f>_xlfn.LET(_xlpm.ig, _xlfn.XLOOKUP(Clean_Data[[#This Row],[Country_Code]], Metadata_Country!$A:$A, Metadata_Country!$C:$C, "Unknown"), IF(OR(_xlpm.ig=0, _xlpm.ig=""), "Regional Aggregate", _xlpm.ig))</f>
        <v>Regional Aggregate</v>
      </c>
      <c r="H870" s="4">
        <f>Clean_Data[[#This Row],[Exports_TIV]] - Clean_Data[[#This Row],[Imports_TIV]]</f>
        <v>-1194000000</v>
      </c>
      <c r="I870" s="4">
        <f>Clean_Data[[#This Row],[Exports_TIV]] + Clean_Data[[#This Row],[Imports_TIV]]</f>
        <v>4420000000</v>
      </c>
    </row>
    <row r="871" spans="1:9">
      <c r="A871" s="4" t="s">
        <v>141</v>
      </c>
      <c r="B871" s="4" t="s">
        <v>142</v>
      </c>
      <c r="C871" s="5">
        <v>2019</v>
      </c>
      <c r="D871" s="4">
        <v>0</v>
      </c>
      <c r="E871" s="4">
        <v>3000000</v>
      </c>
      <c r="F871" s="4" t="str">
        <f>_xlfn.LET(_xlpm.r, _xlfn.XLOOKUP(Clean_Data[[#This Row],[Country_Code]], Metadata_Country!$A:$A, Metadata_Country!$B:$B, "Unknown"), IF(OR(_xlpm.r=0, _xlpm.r=""), "Regional Aggregate", _xlpm.r))</f>
        <v>Latin America &amp; Caribbean</v>
      </c>
      <c r="G871" s="4" t="str">
        <f>_xlfn.LET(_xlpm.ig, _xlfn.XLOOKUP(Clean_Data[[#This Row],[Country_Code]], Metadata_Country!$A:$A, Metadata_Country!$C:$C, "Unknown"), IF(OR(_xlpm.ig=0, _xlpm.ig=""), "Regional Aggregate", _xlpm.ig))</f>
        <v>Upper middle income</v>
      </c>
      <c r="H871" s="4">
        <f>Clean_Data[[#This Row],[Exports_TIV]] - Clean_Data[[#This Row],[Imports_TIV]]</f>
        <v>-3000000</v>
      </c>
      <c r="I871" s="4">
        <f>Clean_Data[[#This Row],[Exports_TIV]] + Clean_Data[[#This Row],[Imports_TIV]]</f>
        <v>3000000</v>
      </c>
    </row>
    <row r="872" spans="1:9">
      <c r="A872" s="4" t="s">
        <v>143</v>
      </c>
      <c r="B872" s="4" t="s">
        <v>144</v>
      </c>
      <c r="C872" s="5">
        <v>2019</v>
      </c>
      <c r="D872" s="4">
        <v>8000000</v>
      </c>
      <c r="E872" s="4">
        <v>1088000000</v>
      </c>
      <c r="F872" s="4" t="str">
        <f>_xlfn.LET(_xlpm.r, _xlfn.XLOOKUP(Clean_Data[[#This Row],[Country_Code]], Metadata_Country!$A:$A, Metadata_Country!$B:$B, "Unknown"), IF(OR(_xlpm.r=0, _xlpm.r=""), "Regional Aggregate", _xlpm.r))</f>
        <v>Middle East &amp; North Africa</v>
      </c>
      <c r="G872" s="4" t="str">
        <f>_xlfn.LET(_xlpm.ig, _xlfn.XLOOKUP(Clean_Data[[#This Row],[Country_Code]], Metadata_Country!$A:$A, Metadata_Country!$C:$C, "Unknown"), IF(OR(_xlpm.ig=0, _xlpm.ig=""), "Regional Aggregate", _xlpm.ig))</f>
        <v>Lower middle income</v>
      </c>
      <c r="H872" s="4">
        <f>Clean_Data[[#This Row],[Exports_TIV]] - Clean_Data[[#This Row],[Imports_TIV]]</f>
        <v>-1080000000</v>
      </c>
      <c r="I872" s="4">
        <f>Clean_Data[[#This Row],[Exports_TIV]] + Clean_Data[[#This Row],[Imports_TIV]]</f>
        <v>1096000000</v>
      </c>
    </row>
    <row r="873" spans="1:9">
      <c r="A873" s="4" t="s">
        <v>431</v>
      </c>
      <c r="B873" s="4" t="s">
        <v>432</v>
      </c>
      <c r="C873" s="5">
        <v>2019</v>
      </c>
      <c r="D873" s="4">
        <v>0</v>
      </c>
      <c r="E873" s="4">
        <v>2000000</v>
      </c>
      <c r="F873" s="4" t="str">
        <f>_xlfn.LET(_xlpm.r, _xlfn.XLOOKUP(Clean_Data[[#This Row],[Country_Code]], Metadata_Country!$A:$A, Metadata_Country!$B:$B, "Unknown"), IF(OR(_xlpm.r=0, _xlpm.r=""), "Regional Aggregate", _xlpm.r))</f>
        <v>Latin America &amp; Caribbean</v>
      </c>
      <c r="G873" s="4" t="str">
        <f>_xlfn.LET(_xlpm.ig, _xlfn.XLOOKUP(Clean_Data[[#This Row],[Country_Code]], Metadata_Country!$A:$A, Metadata_Country!$C:$C, "Unknown"), IF(OR(_xlpm.ig=0, _xlpm.ig=""), "Regional Aggregate", _xlpm.ig))</f>
        <v>Upper middle income</v>
      </c>
      <c r="H873" s="4">
        <f>Clean_Data[[#This Row],[Exports_TIV]] - Clean_Data[[#This Row],[Imports_TIV]]</f>
        <v>-2000000</v>
      </c>
      <c r="I873" s="4">
        <f>Clean_Data[[#This Row],[Exports_TIV]] + Clean_Data[[#This Row],[Imports_TIV]]</f>
        <v>2000000</v>
      </c>
    </row>
    <row r="874" spans="1:9">
      <c r="A874" s="4" t="s">
        <v>151</v>
      </c>
      <c r="B874" s="4" t="s">
        <v>152</v>
      </c>
      <c r="C874" s="5">
        <v>2019</v>
      </c>
      <c r="D874" s="4">
        <v>0</v>
      </c>
      <c r="E874" s="4">
        <v>20000000</v>
      </c>
      <c r="F874" s="4" t="str">
        <f>_xlfn.LET(_xlpm.r, _xlfn.XLOOKUP(Clean_Data[[#This Row],[Country_Code]], Metadata_Country!$A:$A, Metadata_Country!$B:$B, "Unknown"), IF(OR(_xlpm.r=0, _xlpm.r=""), "Regional Aggregate", _xlpm.r))</f>
        <v>Europe &amp; Central Asia</v>
      </c>
      <c r="G874" s="4" t="str">
        <f>_xlfn.LET(_xlpm.ig, _xlfn.XLOOKUP(Clean_Data[[#This Row],[Country_Code]], Metadata_Country!$A:$A, Metadata_Country!$C:$C, "Unknown"), IF(OR(_xlpm.ig=0, _xlpm.ig=""), "Regional Aggregate", _xlpm.ig))</f>
        <v>High income</v>
      </c>
      <c r="H874" s="4">
        <f>Clean_Data[[#This Row],[Exports_TIV]] - Clean_Data[[#This Row],[Imports_TIV]]</f>
        <v>-20000000</v>
      </c>
      <c r="I874" s="4">
        <f>Clean_Data[[#This Row],[Exports_TIV]] + Clean_Data[[#This Row],[Imports_TIV]]</f>
        <v>20000000</v>
      </c>
    </row>
    <row r="875" spans="1:9">
      <c r="A875" s="4" t="s">
        <v>153</v>
      </c>
      <c r="B875" s="4" t="s">
        <v>154</v>
      </c>
      <c r="C875" s="5">
        <v>2019</v>
      </c>
      <c r="D875" s="4">
        <v>0</v>
      </c>
      <c r="E875" s="4">
        <v>76000000</v>
      </c>
      <c r="F875" s="4" t="str">
        <f>_xlfn.LET(_xlpm.r, _xlfn.XLOOKUP(Clean_Data[[#This Row],[Country_Code]], Metadata_Country!$A:$A, Metadata_Country!$B:$B, "Unknown"), IF(OR(_xlpm.r=0, _xlpm.r=""), "Regional Aggregate", _xlpm.r))</f>
        <v>Sub-Saharan Africa</v>
      </c>
      <c r="G875" s="4" t="str">
        <f>_xlfn.LET(_xlpm.ig, _xlfn.XLOOKUP(Clean_Data[[#This Row],[Country_Code]], Metadata_Country!$A:$A, Metadata_Country!$C:$C, "Unknown"), IF(OR(_xlpm.ig=0, _xlpm.ig=""), "Regional Aggregate", _xlpm.ig))</f>
        <v>Low income</v>
      </c>
      <c r="H875" s="4">
        <f>Clean_Data[[#This Row],[Exports_TIV]] - Clean_Data[[#This Row],[Imports_TIV]]</f>
        <v>-76000000</v>
      </c>
      <c r="I875" s="4">
        <f>Clean_Data[[#This Row],[Exports_TIV]] + Clean_Data[[#This Row],[Imports_TIV]]</f>
        <v>76000000</v>
      </c>
    </row>
    <row r="876" spans="1:9">
      <c r="A876" s="4" t="s">
        <v>145</v>
      </c>
      <c r="B876" s="4" t="s">
        <v>146</v>
      </c>
      <c r="C876" s="5">
        <v>2019</v>
      </c>
      <c r="D876" s="4">
        <v>5829000000</v>
      </c>
      <c r="E876" s="4">
        <v>1268000000</v>
      </c>
      <c r="F876" s="4" t="str">
        <f>_xlfn.LET(_xlpm.r, _xlfn.XLOOKUP(Clean_Data[[#This Row],[Country_Code]], Metadata_Country!$A:$A, Metadata_Country!$B:$B, "Unknown"), IF(OR(_xlpm.r=0, _xlpm.r=""), "Regional Aggregate", _xlpm.r))</f>
        <v>Regional Aggregate</v>
      </c>
      <c r="G876" s="4" t="str">
        <f>_xlfn.LET(_xlpm.ig, _xlfn.XLOOKUP(Clean_Data[[#This Row],[Country_Code]], Metadata_Country!$A:$A, Metadata_Country!$C:$C, "Unknown"), IF(OR(_xlpm.ig=0, _xlpm.ig=""), "Regional Aggregate", _xlpm.ig))</f>
        <v>Regional Aggregate</v>
      </c>
      <c r="H876" s="4">
        <f>Clean_Data[[#This Row],[Exports_TIV]] - Clean_Data[[#This Row],[Imports_TIV]]</f>
        <v>4561000000</v>
      </c>
      <c r="I876" s="4">
        <f>Clean_Data[[#This Row],[Exports_TIV]] + Clean_Data[[#This Row],[Imports_TIV]]</f>
        <v>7097000000</v>
      </c>
    </row>
    <row r="877" spans="1:9">
      <c r="A877" s="4" t="s">
        <v>139</v>
      </c>
      <c r="B877" s="4" t="s">
        <v>140</v>
      </c>
      <c r="C877" s="5">
        <v>2019</v>
      </c>
      <c r="D877" s="4">
        <v>13048000000</v>
      </c>
      <c r="E877" s="4">
        <v>4192000000</v>
      </c>
      <c r="F877" s="4" t="str">
        <f>_xlfn.LET(_xlpm.r, _xlfn.XLOOKUP(Clean_Data[[#This Row],[Country_Code]], Metadata_Country!$A:$A, Metadata_Country!$B:$B, "Unknown"), IF(OR(_xlpm.r=0, _xlpm.r=""), "Regional Aggregate", _xlpm.r))</f>
        <v>Regional Aggregate</v>
      </c>
      <c r="G877" s="4" t="str">
        <f>_xlfn.LET(_xlpm.ig, _xlfn.XLOOKUP(Clean_Data[[#This Row],[Country_Code]], Metadata_Country!$A:$A, Metadata_Country!$C:$C, "Unknown"), IF(OR(_xlpm.ig=0, _xlpm.ig=""), "Regional Aggregate", _xlpm.ig))</f>
        <v>Regional Aggregate</v>
      </c>
      <c r="H877" s="4">
        <f>Clean_Data[[#This Row],[Exports_TIV]] - Clean_Data[[#This Row],[Imports_TIV]]</f>
        <v>8856000000</v>
      </c>
      <c r="I877" s="4">
        <f>Clean_Data[[#This Row],[Exports_TIV]] + Clean_Data[[#This Row],[Imports_TIV]]</f>
        <v>17240000000</v>
      </c>
    </row>
    <row r="878" spans="1:9">
      <c r="A878" s="4" t="s">
        <v>137</v>
      </c>
      <c r="B878" s="4" t="s">
        <v>138</v>
      </c>
      <c r="C878" s="5">
        <v>2019</v>
      </c>
      <c r="D878" s="4">
        <v>558000000</v>
      </c>
      <c r="E878" s="4">
        <v>1823000000</v>
      </c>
      <c r="F878" s="4" t="str">
        <f>_xlfn.LET(_xlpm.r, _xlfn.XLOOKUP(Clean_Data[[#This Row],[Country_Code]], Metadata_Country!$A:$A, Metadata_Country!$B:$B, "Unknown"), IF(OR(_xlpm.r=0, _xlpm.r=""), "Regional Aggregate", _xlpm.r))</f>
        <v>Regional Aggregate</v>
      </c>
      <c r="G878" s="4" t="str">
        <f>_xlfn.LET(_xlpm.ig, _xlfn.XLOOKUP(Clean_Data[[#This Row],[Country_Code]], Metadata_Country!$A:$A, Metadata_Country!$C:$C, "Unknown"), IF(OR(_xlpm.ig=0, _xlpm.ig=""), "Regional Aggregate", _xlpm.ig))</f>
        <v>Regional Aggregate</v>
      </c>
      <c r="H878" s="4">
        <f>Clean_Data[[#This Row],[Exports_TIV]] - Clean_Data[[#This Row],[Imports_TIV]]</f>
        <v>-1265000000</v>
      </c>
      <c r="I878" s="4">
        <f>Clean_Data[[#This Row],[Exports_TIV]] + Clean_Data[[#This Row],[Imports_TIV]]</f>
        <v>2381000000</v>
      </c>
    </row>
    <row r="879" spans="1:9">
      <c r="A879" s="4" t="s">
        <v>471</v>
      </c>
      <c r="B879" s="4" t="s">
        <v>472</v>
      </c>
      <c r="C879" s="5">
        <v>2019</v>
      </c>
      <c r="D879" s="4">
        <v>5953000000</v>
      </c>
      <c r="E879" s="4">
        <v>2061000000</v>
      </c>
      <c r="F879" s="4" t="str">
        <f>_xlfn.LET(_xlpm.r, _xlfn.XLOOKUP(Clean_Data[[#This Row],[Country_Code]], Metadata_Country!$A:$A, Metadata_Country!$B:$B, "Unknown"), IF(OR(_xlpm.r=0, _xlpm.r=""), "Regional Aggregate", _xlpm.r))</f>
        <v>Regional Aggregate</v>
      </c>
      <c r="G879" s="4" t="str">
        <f>_xlfn.LET(_xlpm.ig, _xlfn.XLOOKUP(Clean_Data[[#This Row],[Country_Code]], Metadata_Country!$A:$A, Metadata_Country!$C:$C, "Unknown"), IF(OR(_xlpm.ig=0, _xlpm.ig=""), "Regional Aggregate", _xlpm.ig))</f>
        <v>Regional Aggregate</v>
      </c>
      <c r="H879" s="4">
        <f>Clean_Data[[#This Row],[Exports_TIV]] - Clean_Data[[#This Row],[Imports_TIV]]</f>
        <v>3892000000</v>
      </c>
      <c r="I879" s="4">
        <f>Clean_Data[[#This Row],[Exports_TIV]] + Clean_Data[[#This Row],[Imports_TIV]]</f>
        <v>8014000000</v>
      </c>
    </row>
    <row r="880" spans="1:9">
      <c r="A880" s="4" t="s">
        <v>155</v>
      </c>
      <c r="B880" s="4" t="s">
        <v>156</v>
      </c>
      <c r="C880" s="5">
        <v>2019</v>
      </c>
      <c r="D880" s="4">
        <v>5981000000</v>
      </c>
      <c r="E880" s="4">
        <v>1573000000</v>
      </c>
      <c r="F880" s="4" t="str">
        <f>_xlfn.LET(_xlpm.r, _xlfn.XLOOKUP(Clean_Data[[#This Row],[Country_Code]], Metadata_Country!$A:$A, Metadata_Country!$B:$B, "Unknown"), IF(OR(_xlpm.r=0, _xlpm.r=""), "Regional Aggregate", _xlpm.r))</f>
        <v>Regional Aggregate</v>
      </c>
      <c r="G880" s="4" t="str">
        <f>_xlfn.LET(_xlpm.ig, _xlfn.XLOOKUP(Clean_Data[[#This Row],[Country_Code]], Metadata_Country!$A:$A, Metadata_Country!$C:$C, "Unknown"), IF(OR(_xlpm.ig=0, _xlpm.ig=""), "Regional Aggregate", _xlpm.ig))</f>
        <v>Regional Aggregate</v>
      </c>
      <c r="H880" s="4">
        <f>Clean_Data[[#This Row],[Exports_TIV]] - Clean_Data[[#This Row],[Imports_TIV]]</f>
        <v>4408000000</v>
      </c>
      <c r="I880" s="4">
        <f>Clean_Data[[#This Row],[Exports_TIV]] + Clean_Data[[#This Row],[Imports_TIV]]</f>
        <v>7554000000</v>
      </c>
    </row>
    <row r="881" spans="1:9">
      <c r="A881" s="4" t="s">
        <v>159</v>
      </c>
      <c r="B881" s="4" t="s">
        <v>160</v>
      </c>
      <c r="C881" s="5">
        <v>2019</v>
      </c>
      <c r="D881" s="4">
        <v>29000000</v>
      </c>
      <c r="E881" s="4">
        <v>86000000</v>
      </c>
      <c r="F881" s="4" t="str">
        <f>_xlfn.LET(_xlpm.r, _xlfn.XLOOKUP(Clean_Data[[#This Row],[Country_Code]], Metadata_Country!$A:$A, Metadata_Country!$B:$B, "Unknown"), IF(OR(_xlpm.r=0, _xlpm.r=""), "Regional Aggregate", _xlpm.r))</f>
        <v>Europe &amp; Central Asia</v>
      </c>
      <c r="G881" s="4" t="str">
        <f>_xlfn.LET(_xlpm.ig, _xlfn.XLOOKUP(Clean_Data[[#This Row],[Country_Code]], Metadata_Country!$A:$A, Metadata_Country!$C:$C, "Unknown"), IF(OR(_xlpm.ig=0, _xlpm.ig=""), "Regional Aggregate", _xlpm.ig))</f>
        <v>High income</v>
      </c>
      <c r="H881" s="4">
        <f>Clean_Data[[#This Row],[Exports_TIV]] - Clean_Data[[#This Row],[Imports_TIV]]</f>
        <v>-57000000</v>
      </c>
      <c r="I881" s="4">
        <f>Clean_Data[[#This Row],[Exports_TIV]] + Clean_Data[[#This Row],[Imports_TIV]]</f>
        <v>115000000</v>
      </c>
    </row>
    <row r="882" spans="1:9">
      <c r="A882" s="4" t="s">
        <v>157</v>
      </c>
      <c r="B882" s="4" t="s">
        <v>158</v>
      </c>
      <c r="C882" s="5">
        <v>2019</v>
      </c>
      <c r="D882" s="4">
        <v>0</v>
      </c>
      <c r="E882" s="4">
        <v>1138000000</v>
      </c>
      <c r="F882" s="4" t="str">
        <f>_xlfn.LET(_xlpm.r, _xlfn.XLOOKUP(Clean_Data[[#This Row],[Country_Code]], Metadata_Country!$A:$A, Metadata_Country!$B:$B, "Unknown"), IF(OR(_xlpm.r=0, _xlpm.r=""), "Regional Aggregate", _xlpm.r))</f>
        <v>Regional Aggregate</v>
      </c>
      <c r="G882" s="4" t="str">
        <f>_xlfn.LET(_xlpm.ig, _xlfn.XLOOKUP(Clean_Data[[#This Row],[Country_Code]], Metadata_Country!$A:$A, Metadata_Country!$C:$C, "Unknown"), IF(OR(_xlpm.ig=0, _xlpm.ig=""), "Regional Aggregate", _xlpm.ig))</f>
        <v>Regional Aggregate</v>
      </c>
      <c r="H882" s="4">
        <f>Clean_Data[[#This Row],[Exports_TIV]] - Clean_Data[[#This Row],[Imports_TIV]]</f>
        <v>-1138000000</v>
      </c>
      <c r="I882" s="4">
        <f>Clean_Data[[#This Row],[Exports_TIV]] + Clean_Data[[#This Row],[Imports_TIV]]</f>
        <v>1138000000</v>
      </c>
    </row>
    <row r="883" spans="1:9">
      <c r="A883" s="4" t="s">
        <v>163</v>
      </c>
      <c r="B883" s="4" t="s">
        <v>164</v>
      </c>
      <c r="C883" s="5">
        <v>2019</v>
      </c>
      <c r="D883" s="4">
        <v>3753000000</v>
      </c>
      <c r="E883" s="4">
        <v>104000000</v>
      </c>
      <c r="F883" s="4" t="str">
        <f>_xlfn.LET(_xlpm.r, _xlfn.XLOOKUP(Clean_Data[[#This Row],[Country_Code]], Metadata_Country!$A:$A, Metadata_Country!$B:$B, "Unknown"), IF(OR(_xlpm.r=0, _xlpm.r=""), "Regional Aggregate", _xlpm.r))</f>
        <v>Europe &amp; Central Asia</v>
      </c>
      <c r="G883" s="4" t="str">
        <f>_xlfn.LET(_xlpm.ig, _xlfn.XLOOKUP(Clean_Data[[#This Row],[Country_Code]], Metadata_Country!$A:$A, Metadata_Country!$C:$C, "Unknown"), IF(OR(_xlpm.ig=0, _xlpm.ig=""), "Regional Aggregate", _xlpm.ig))</f>
        <v>High income</v>
      </c>
      <c r="H883" s="4">
        <f>Clean_Data[[#This Row],[Exports_TIV]] - Clean_Data[[#This Row],[Imports_TIV]]</f>
        <v>3649000000</v>
      </c>
      <c r="I883" s="4">
        <f>Clean_Data[[#This Row],[Exports_TIV]] + Clean_Data[[#This Row],[Imports_TIV]]</f>
        <v>3857000000</v>
      </c>
    </row>
    <row r="884" spans="1:9">
      <c r="A884" s="4" t="s">
        <v>169</v>
      </c>
      <c r="B884" s="4" t="s">
        <v>170</v>
      </c>
      <c r="C884" s="5">
        <v>2019</v>
      </c>
      <c r="D884" s="4">
        <v>0</v>
      </c>
      <c r="E884" s="4">
        <v>26000000</v>
      </c>
      <c r="F884" s="4" t="str">
        <f>_xlfn.LET(_xlpm.r, _xlfn.XLOOKUP(Clean_Data[[#This Row],[Country_Code]], Metadata_Country!$A:$A, Metadata_Country!$B:$B, "Unknown"), IF(OR(_xlpm.r=0, _xlpm.r=""), "Regional Aggregate", _xlpm.r))</f>
        <v>Sub-Saharan Africa</v>
      </c>
      <c r="G884" s="4" t="str">
        <f>_xlfn.LET(_xlpm.ig, _xlfn.XLOOKUP(Clean_Data[[#This Row],[Country_Code]], Metadata_Country!$A:$A, Metadata_Country!$C:$C, "Unknown"), IF(OR(_xlpm.ig=0, _xlpm.ig=""), "Regional Aggregate", _xlpm.ig))</f>
        <v>Upper middle income</v>
      </c>
      <c r="H884" s="4">
        <f>Clean_Data[[#This Row],[Exports_TIV]] - Clean_Data[[#This Row],[Imports_TIV]]</f>
        <v>-26000000</v>
      </c>
      <c r="I884" s="4">
        <f>Clean_Data[[#This Row],[Exports_TIV]] + Clean_Data[[#This Row],[Imports_TIV]]</f>
        <v>26000000</v>
      </c>
    </row>
    <row r="885" spans="1:9">
      <c r="A885" s="4" t="s">
        <v>173</v>
      </c>
      <c r="B885" s="4" t="s">
        <v>174</v>
      </c>
      <c r="C885" s="5">
        <v>2019</v>
      </c>
      <c r="D885" s="4">
        <v>0</v>
      </c>
      <c r="E885" s="4">
        <v>6000000</v>
      </c>
      <c r="F885" s="4" t="str">
        <f>_xlfn.LET(_xlpm.r, _xlfn.XLOOKUP(Clean_Data[[#This Row],[Country_Code]], Metadata_Country!$A:$A, Metadata_Country!$B:$B, "Unknown"), IF(OR(_xlpm.r=0, _xlpm.r=""), "Regional Aggregate", _xlpm.r))</f>
        <v>Europe &amp; Central Asia</v>
      </c>
      <c r="G885" s="4" t="str">
        <f>_xlfn.LET(_xlpm.ig, _xlfn.XLOOKUP(Clean_Data[[#This Row],[Country_Code]], Metadata_Country!$A:$A, Metadata_Country!$C:$C, "Unknown"), IF(OR(_xlpm.ig=0, _xlpm.ig=""), "Regional Aggregate", _xlpm.ig))</f>
        <v>Upper middle income</v>
      </c>
      <c r="H885" s="4">
        <f>Clean_Data[[#This Row],[Exports_TIV]] - Clean_Data[[#This Row],[Imports_TIV]]</f>
        <v>-6000000</v>
      </c>
      <c r="I885" s="4">
        <f>Clean_Data[[#This Row],[Exports_TIV]] + Clean_Data[[#This Row],[Imports_TIV]]</f>
        <v>6000000</v>
      </c>
    </row>
    <row r="886" spans="1:9">
      <c r="A886" s="4" t="s">
        <v>119</v>
      </c>
      <c r="B886" s="4" t="s">
        <v>120</v>
      </c>
      <c r="C886" s="5">
        <v>2019</v>
      </c>
      <c r="D886" s="4">
        <v>978000000</v>
      </c>
      <c r="E886" s="4">
        <v>38000000</v>
      </c>
      <c r="F886" s="4" t="str">
        <f>_xlfn.LET(_xlpm.r, _xlfn.XLOOKUP(Clean_Data[[#This Row],[Country_Code]], Metadata_Country!$A:$A, Metadata_Country!$B:$B, "Unknown"), IF(OR(_xlpm.r=0, _xlpm.r=""), "Regional Aggregate", _xlpm.r))</f>
        <v>Europe &amp; Central Asia</v>
      </c>
      <c r="G886" s="4" t="str">
        <f>_xlfn.LET(_xlpm.ig, _xlfn.XLOOKUP(Clean_Data[[#This Row],[Country_Code]], Metadata_Country!$A:$A, Metadata_Country!$C:$C, "Unknown"), IF(OR(_xlpm.ig=0, _xlpm.ig=""), "Regional Aggregate", _xlpm.ig))</f>
        <v>High income</v>
      </c>
      <c r="H886" s="4">
        <f>Clean_Data[[#This Row],[Exports_TIV]] - Clean_Data[[#This Row],[Imports_TIV]]</f>
        <v>940000000</v>
      </c>
      <c r="I886" s="4">
        <f>Clean_Data[[#This Row],[Exports_TIV]] + Clean_Data[[#This Row],[Imports_TIV]]</f>
        <v>1016000000</v>
      </c>
    </row>
    <row r="887" spans="1:9">
      <c r="A887" s="4" t="s">
        <v>175</v>
      </c>
      <c r="B887" s="4" t="s">
        <v>176</v>
      </c>
      <c r="C887" s="5">
        <v>2019</v>
      </c>
      <c r="D887" s="4">
        <v>0</v>
      </c>
      <c r="E887" s="4">
        <v>2000000</v>
      </c>
      <c r="F887" s="4" t="str">
        <f>_xlfn.LET(_xlpm.r, _xlfn.XLOOKUP(Clean_Data[[#This Row],[Country_Code]], Metadata_Country!$A:$A, Metadata_Country!$B:$B, "Unknown"), IF(OR(_xlpm.r=0, _xlpm.r=""), "Regional Aggregate", _xlpm.r))</f>
        <v>Sub-Saharan Africa</v>
      </c>
      <c r="G887" s="4" t="str">
        <f>_xlfn.LET(_xlpm.ig, _xlfn.XLOOKUP(Clean_Data[[#This Row],[Country_Code]], Metadata_Country!$A:$A, Metadata_Country!$C:$C, "Unknown"), IF(OR(_xlpm.ig=0, _xlpm.ig=""), "Regional Aggregate", _xlpm.ig))</f>
        <v>Lower middle income</v>
      </c>
      <c r="H887" s="4">
        <f>Clean_Data[[#This Row],[Exports_TIV]] - Clean_Data[[#This Row],[Imports_TIV]]</f>
        <v>-2000000</v>
      </c>
      <c r="I887" s="4">
        <f>Clean_Data[[#This Row],[Exports_TIV]] + Clean_Data[[#This Row],[Imports_TIV]]</f>
        <v>2000000</v>
      </c>
    </row>
    <row r="888" spans="1:9">
      <c r="A888" s="4" t="s">
        <v>187</v>
      </c>
      <c r="B888" s="4" t="s">
        <v>188</v>
      </c>
      <c r="C888" s="5">
        <v>2019</v>
      </c>
      <c r="D888" s="4">
        <v>0</v>
      </c>
      <c r="E888" s="4">
        <v>93000000</v>
      </c>
      <c r="F888" s="4" t="str">
        <f>_xlfn.LET(_xlpm.r, _xlfn.XLOOKUP(Clean_Data[[#This Row],[Country_Code]], Metadata_Country!$A:$A, Metadata_Country!$B:$B, "Unknown"), IF(OR(_xlpm.r=0, _xlpm.r=""), "Regional Aggregate", _xlpm.r))</f>
        <v>Europe &amp; Central Asia</v>
      </c>
      <c r="G888" s="4" t="str">
        <f>_xlfn.LET(_xlpm.ig, _xlfn.XLOOKUP(Clean_Data[[#This Row],[Country_Code]], Metadata_Country!$A:$A, Metadata_Country!$C:$C, "Unknown"), IF(OR(_xlpm.ig=0, _xlpm.ig=""), "Regional Aggregate", _xlpm.ig))</f>
        <v>High income</v>
      </c>
      <c r="H888" s="4">
        <f>Clean_Data[[#This Row],[Exports_TIV]] - Clean_Data[[#This Row],[Imports_TIV]]</f>
        <v>-93000000</v>
      </c>
      <c r="I888" s="4">
        <f>Clean_Data[[#This Row],[Exports_TIV]] + Clean_Data[[#This Row],[Imports_TIV]]</f>
        <v>93000000</v>
      </c>
    </row>
    <row r="889" spans="1:9">
      <c r="A889" s="4" t="s">
        <v>193</v>
      </c>
      <c r="B889" s="4" t="s">
        <v>194</v>
      </c>
      <c r="C889" s="5">
        <v>2019</v>
      </c>
      <c r="D889" s="4">
        <v>0</v>
      </c>
      <c r="E889" s="4">
        <v>14000000</v>
      </c>
      <c r="F889" s="4" t="str">
        <f>_xlfn.LET(_xlpm.r, _xlfn.XLOOKUP(Clean_Data[[#This Row],[Country_Code]], Metadata_Country!$A:$A, Metadata_Country!$B:$B, "Unknown"), IF(OR(_xlpm.r=0, _xlpm.r=""), "Regional Aggregate", _xlpm.r))</f>
        <v>Latin America &amp; Caribbean</v>
      </c>
      <c r="G889" s="4" t="str">
        <f>_xlfn.LET(_xlpm.ig, _xlfn.XLOOKUP(Clean_Data[[#This Row],[Country_Code]], Metadata_Country!$A:$A, Metadata_Country!$C:$C, "Unknown"), IF(OR(_xlpm.ig=0, _xlpm.ig=""), "Regional Aggregate", _xlpm.ig))</f>
        <v>Upper middle income</v>
      </c>
      <c r="H889" s="4">
        <f>Clean_Data[[#This Row],[Exports_TIV]] - Clean_Data[[#This Row],[Imports_TIV]]</f>
        <v>-14000000</v>
      </c>
      <c r="I889" s="4">
        <f>Clean_Data[[#This Row],[Exports_TIV]] + Clean_Data[[#This Row],[Imports_TIV]]</f>
        <v>14000000</v>
      </c>
    </row>
    <row r="890" spans="1:9">
      <c r="A890" s="4" t="s">
        <v>179</v>
      </c>
      <c r="B890" s="4" t="s">
        <v>180</v>
      </c>
      <c r="C890" s="5">
        <v>2019</v>
      </c>
      <c r="D890" s="4">
        <v>0</v>
      </c>
      <c r="E890" s="4">
        <v>4000000</v>
      </c>
      <c r="F890" s="4" t="str">
        <f>_xlfn.LET(_xlpm.r, _xlfn.XLOOKUP(Clean_Data[[#This Row],[Country_Code]], Metadata_Country!$A:$A, Metadata_Country!$B:$B, "Unknown"), IF(OR(_xlpm.r=0, _xlpm.r=""), "Regional Aggregate", _xlpm.r))</f>
        <v>Sub-Saharan Africa</v>
      </c>
      <c r="G890" s="4" t="str">
        <f>_xlfn.LET(_xlpm.ig, _xlfn.XLOOKUP(Clean_Data[[#This Row],[Country_Code]], Metadata_Country!$A:$A, Metadata_Country!$C:$C, "Unknown"), IF(OR(_xlpm.ig=0, _xlpm.ig=""), "Regional Aggregate", _xlpm.ig))</f>
        <v>Lower middle income</v>
      </c>
      <c r="H890" s="4">
        <f>Clean_Data[[#This Row],[Exports_TIV]] - Clean_Data[[#This Row],[Imports_TIV]]</f>
        <v>-4000000</v>
      </c>
      <c r="I890" s="4">
        <f>Clean_Data[[#This Row],[Exports_TIV]] + Clean_Data[[#This Row],[Imports_TIV]]</f>
        <v>4000000</v>
      </c>
    </row>
    <row r="891" spans="1:9">
      <c r="A891" s="4" t="s">
        <v>197</v>
      </c>
      <c r="B891" s="4" t="s">
        <v>198</v>
      </c>
      <c r="C891" s="5">
        <v>2019</v>
      </c>
      <c r="D891" s="4">
        <v>0</v>
      </c>
      <c r="E891" s="4">
        <v>2000000</v>
      </c>
      <c r="F891" s="4" t="str">
        <f>_xlfn.LET(_xlpm.r, _xlfn.XLOOKUP(Clean_Data[[#This Row],[Country_Code]], Metadata_Country!$A:$A, Metadata_Country!$B:$B, "Unknown"), IF(OR(_xlpm.r=0, _xlpm.r=""), "Regional Aggregate", _xlpm.r))</f>
        <v>Latin America &amp; Caribbean</v>
      </c>
      <c r="G891" s="4" t="str">
        <f>_xlfn.LET(_xlpm.ig, _xlfn.XLOOKUP(Clean_Data[[#This Row],[Country_Code]], Metadata_Country!$A:$A, Metadata_Country!$C:$C, "Unknown"), IF(OR(_xlpm.ig=0, _xlpm.ig=""), "Regional Aggregate", _xlpm.ig))</f>
        <v>High income</v>
      </c>
      <c r="H891" s="4">
        <f>Clean_Data[[#This Row],[Exports_TIV]] - Clean_Data[[#This Row],[Imports_TIV]]</f>
        <v>-2000000</v>
      </c>
      <c r="I891" s="4">
        <f>Clean_Data[[#This Row],[Exports_TIV]] + Clean_Data[[#This Row],[Imports_TIV]]</f>
        <v>2000000</v>
      </c>
    </row>
    <row r="892" spans="1:9">
      <c r="A892" s="4" t="s">
        <v>205</v>
      </c>
      <c r="B892" s="4" t="s">
        <v>206</v>
      </c>
      <c r="C892" s="5">
        <v>2019</v>
      </c>
      <c r="D892" s="4">
        <v>0</v>
      </c>
      <c r="E892" s="4">
        <v>789000000</v>
      </c>
      <c r="F892" s="4" t="str">
        <f>_xlfn.LET(_xlpm.r, _xlfn.XLOOKUP(Clean_Data[[#This Row],[Country_Code]], Metadata_Country!$A:$A, Metadata_Country!$B:$B, "Unknown"), IF(OR(_xlpm.r=0, _xlpm.r=""), "Regional Aggregate", _xlpm.r))</f>
        <v>Regional Aggregate</v>
      </c>
      <c r="G892" s="4" t="str">
        <f>_xlfn.LET(_xlpm.ig, _xlfn.XLOOKUP(Clean_Data[[#This Row],[Country_Code]], Metadata_Country!$A:$A, Metadata_Country!$C:$C, "Unknown"), IF(OR(_xlpm.ig=0, _xlpm.ig=""), "Regional Aggregate", _xlpm.ig))</f>
        <v>Regional Aggregate</v>
      </c>
      <c r="H892" s="4">
        <f>Clean_Data[[#This Row],[Exports_TIV]] - Clean_Data[[#This Row],[Imports_TIV]]</f>
        <v>-789000000</v>
      </c>
      <c r="I892" s="4">
        <f>Clean_Data[[#This Row],[Exports_TIV]] + Clean_Data[[#This Row],[Imports_TIV]]</f>
        <v>789000000</v>
      </c>
    </row>
    <row r="893" spans="1:9">
      <c r="A893" s="4" t="s">
        <v>199</v>
      </c>
      <c r="B893" s="4" t="s">
        <v>200</v>
      </c>
      <c r="C893" s="5">
        <v>2019</v>
      </c>
      <c r="D893" s="4">
        <v>24545000000</v>
      </c>
      <c r="E893" s="4">
        <v>14458000000</v>
      </c>
      <c r="F893" s="4" t="str">
        <f>_xlfn.LET(_xlpm.r, _xlfn.XLOOKUP(Clean_Data[[#This Row],[Country_Code]], Metadata_Country!$A:$A, Metadata_Country!$B:$B, "Unknown"), IF(OR(_xlpm.r=0, _xlpm.r=""), "Regional Aggregate", _xlpm.r))</f>
        <v>Regional Aggregate</v>
      </c>
      <c r="G893" s="4" t="str">
        <f>_xlfn.LET(_xlpm.ig, _xlfn.XLOOKUP(Clean_Data[[#This Row],[Country_Code]], Metadata_Country!$A:$A, Metadata_Country!$C:$C, "Unknown"), IF(OR(_xlpm.ig=0, _xlpm.ig=""), "Regional Aggregate", _xlpm.ig))</f>
        <v>Regional Aggregate</v>
      </c>
      <c r="H893" s="4">
        <f>Clean_Data[[#This Row],[Exports_TIV]] - Clean_Data[[#This Row],[Imports_TIV]]</f>
        <v>10087000000</v>
      </c>
      <c r="I893" s="4">
        <f>Clean_Data[[#This Row],[Exports_TIV]] + Clean_Data[[#This Row],[Imports_TIV]]</f>
        <v>39003000000</v>
      </c>
    </row>
    <row r="894" spans="1:9">
      <c r="A894" s="4" t="s">
        <v>203</v>
      </c>
      <c r="B894" s="4" t="s">
        <v>204</v>
      </c>
      <c r="C894" s="5">
        <v>2019</v>
      </c>
      <c r="D894" s="4">
        <v>0</v>
      </c>
      <c r="E894" s="4">
        <v>23000000</v>
      </c>
      <c r="F894" s="4" t="str">
        <f>_xlfn.LET(_xlpm.r, _xlfn.XLOOKUP(Clean_Data[[#This Row],[Country_Code]], Metadata_Country!$A:$A, Metadata_Country!$B:$B, "Unknown"), IF(OR(_xlpm.r=0, _xlpm.r=""), "Regional Aggregate", _xlpm.r))</f>
        <v>Latin America &amp; Caribbean</v>
      </c>
      <c r="G894" s="4" t="str">
        <f>_xlfn.LET(_xlpm.ig, _xlfn.XLOOKUP(Clean_Data[[#This Row],[Country_Code]], Metadata_Country!$A:$A, Metadata_Country!$C:$C, "Unknown"), IF(OR(_xlpm.ig=0, _xlpm.ig=""), "Regional Aggregate", _xlpm.ig))</f>
        <v>Lower middle income</v>
      </c>
      <c r="H894" s="4">
        <f>Clean_Data[[#This Row],[Exports_TIV]] - Clean_Data[[#This Row],[Imports_TIV]]</f>
        <v>-23000000</v>
      </c>
      <c r="I894" s="4">
        <f>Clean_Data[[#This Row],[Exports_TIV]] + Clean_Data[[#This Row],[Imports_TIV]]</f>
        <v>23000000</v>
      </c>
    </row>
    <row r="895" spans="1:9">
      <c r="A895" s="4" t="s">
        <v>211</v>
      </c>
      <c r="B895" s="4" t="s">
        <v>212</v>
      </c>
      <c r="C895" s="5">
        <v>2019</v>
      </c>
      <c r="D895" s="4">
        <v>0</v>
      </c>
      <c r="E895" s="4">
        <v>16000000</v>
      </c>
      <c r="F895" s="4" t="str">
        <f>_xlfn.LET(_xlpm.r, _xlfn.XLOOKUP(Clean_Data[[#This Row],[Country_Code]], Metadata_Country!$A:$A, Metadata_Country!$B:$B, "Unknown"), IF(OR(_xlpm.r=0, _xlpm.r=""), "Regional Aggregate", _xlpm.r))</f>
        <v>Europe &amp; Central Asia</v>
      </c>
      <c r="G895" s="4" t="str">
        <f>_xlfn.LET(_xlpm.ig, _xlfn.XLOOKUP(Clean_Data[[#This Row],[Country_Code]], Metadata_Country!$A:$A, Metadata_Country!$C:$C, "Unknown"), IF(OR(_xlpm.ig=0, _xlpm.ig=""), "Regional Aggregate", _xlpm.ig))</f>
        <v>High income</v>
      </c>
      <c r="H895" s="4">
        <f>Clean_Data[[#This Row],[Exports_TIV]] - Clean_Data[[#This Row],[Imports_TIV]]</f>
        <v>-16000000</v>
      </c>
      <c r="I895" s="4">
        <f>Clean_Data[[#This Row],[Exports_TIV]] + Clean_Data[[#This Row],[Imports_TIV]]</f>
        <v>16000000</v>
      </c>
    </row>
    <row r="896" spans="1:9">
      <c r="A896" s="4" t="s">
        <v>213</v>
      </c>
      <c r="B896" s="4" t="s">
        <v>214</v>
      </c>
      <c r="C896" s="5">
        <v>2019</v>
      </c>
      <c r="D896" s="4">
        <v>7874000000</v>
      </c>
      <c r="E896" s="4">
        <v>9961000000</v>
      </c>
      <c r="F896" s="4" t="str">
        <f>_xlfn.LET(_xlpm.r, _xlfn.XLOOKUP(Clean_Data[[#This Row],[Country_Code]], Metadata_Country!$A:$A, Metadata_Country!$B:$B, "Unknown"), IF(OR(_xlpm.r=0, _xlpm.r=""), "Regional Aggregate", _xlpm.r))</f>
        <v>Regional Aggregate</v>
      </c>
      <c r="G896" s="4" t="str">
        <f>_xlfn.LET(_xlpm.ig, _xlfn.XLOOKUP(Clean_Data[[#This Row],[Country_Code]], Metadata_Country!$A:$A, Metadata_Country!$C:$C, "Unknown"), IF(OR(_xlpm.ig=0, _xlpm.ig=""), "Regional Aggregate", _xlpm.ig))</f>
        <v>Regional Aggregate</v>
      </c>
      <c r="H896" s="4">
        <f>Clean_Data[[#This Row],[Exports_TIV]] - Clean_Data[[#This Row],[Imports_TIV]]</f>
        <v>-2087000000</v>
      </c>
      <c r="I896" s="4">
        <f>Clean_Data[[#This Row],[Exports_TIV]] + Clean_Data[[#This Row],[Imports_TIV]]</f>
        <v>17835000000</v>
      </c>
    </row>
    <row r="897" spans="1:9">
      <c r="A897" s="4" t="s">
        <v>215</v>
      </c>
      <c r="B897" s="4" t="s">
        <v>216</v>
      </c>
      <c r="C897" s="5">
        <v>2019</v>
      </c>
      <c r="D897" s="4">
        <v>7875000000</v>
      </c>
      <c r="E897" s="4">
        <v>12697000000</v>
      </c>
      <c r="F897" s="4" t="str">
        <f>_xlfn.LET(_xlpm.r, _xlfn.XLOOKUP(Clean_Data[[#This Row],[Country_Code]], Metadata_Country!$A:$A, Metadata_Country!$B:$B, "Unknown"), IF(OR(_xlpm.r=0, _xlpm.r=""), "Regional Aggregate", _xlpm.r))</f>
        <v>Regional Aggregate</v>
      </c>
      <c r="G897" s="4" t="str">
        <f>_xlfn.LET(_xlpm.ig, _xlfn.XLOOKUP(Clean_Data[[#This Row],[Country_Code]], Metadata_Country!$A:$A, Metadata_Country!$C:$C, "Unknown"), IF(OR(_xlpm.ig=0, _xlpm.ig=""), "Regional Aggregate", _xlpm.ig))</f>
        <v>Regional Aggregate</v>
      </c>
      <c r="H897" s="4">
        <f>Clean_Data[[#This Row],[Exports_TIV]] - Clean_Data[[#This Row],[Imports_TIV]]</f>
        <v>-4822000000</v>
      </c>
      <c r="I897" s="4">
        <f>Clean_Data[[#This Row],[Exports_TIV]] + Clean_Data[[#This Row],[Imports_TIV]]</f>
        <v>20572000000</v>
      </c>
    </row>
    <row r="898" spans="1:9">
      <c r="A898" s="4" t="s">
        <v>219</v>
      </c>
      <c r="B898" s="4" t="s">
        <v>220</v>
      </c>
      <c r="C898" s="5">
        <v>2019</v>
      </c>
      <c r="D898" s="4">
        <v>0</v>
      </c>
      <c r="E898" s="4">
        <v>793000000</v>
      </c>
      <c r="F898" s="4" t="str">
        <f>_xlfn.LET(_xlpm.r, _xlfn.XLOOKUP(Clean_Data[[#This Row],[Country_Code]], Metadata_Country!$A:$A, Metadata_Country!$B:$B, "Unknown"), IF(OR(_xlpm.r=0, _xlpm.r=""), "Regional Aggregate", _xlpm.r))</f>
        <v>Regional Aggregate</v>
      </c>
      <c r="G898" s="4" t="str">
        <f>_xlfn.LET(_xlpm.ig, _xlfn.XLOOKUP(Clean_Data[[#This Row],[Country_Code]], Metadata_Country!$A:$A, Metadata_Country!$C:$C, "Unknown"), IF(OR(_xlpm.ig=0, _xlpm.ig=""), "Regional Aggregate", _xlpm.ig))</f>
        <v>Regional Aggregate</v>
      </c>
      <c r="H898" s="4">
        <f>Clean_Data[[#This Row],[Exports_TIV]] - Clean_Data[[#This Row],[Imports_TIV]]</f>
        <v>-793000000</v>
      </c>
      <c r="I898" s="4">
        <f>Clean_Data[[#This Row],[Exports_TIV]] + Clean_Data[[#This Row],[Imports_TIV]]</f>
        <v>793000000</v>
      </c>
    </row>
    <row r="899" spans="1:9">
      <c r="A899" s="4" t="s">
        <v>223</v>
      </c>
      <c r="B899" s="4" t="s">
        <v>224</v>
      </c>
      <c r="C899" s="5">
        <v>2019</v>
      </c>
      <c r="D899" s="4">
        <v>0</v>
      </c>
      <c r="E899" s="4">
        <v>1943000000</v>
      </c>
      <c r="F899" s="4" t="str">
        <f>_xlfn.LET(_xlpm.r, _xlfn.XLOOKUP(Clean_Data[[#This Row],[Country_Code]], Metadata_Country!$A:$A, Metadata_Country!$B:$B, "Unknown"), IF(OR(_xlpm.r=0, _xlpm.r=""), "Regional Aggregate", _xlpm.r))</f>
        <v>Regional Aggregate</v>
      </c>
      <c r="G899" s="4" t="str">
        <f>_xlfn.LET(_xlpm.ig, _xlfn.XLOOKUP(Clean_Data[[#This Row],[Country_Code]], Metadata_Country!$A:$A, Metadata_Country!$C:$C, "Unknown"), IF(OR(_xlpm.ig=0, _xlpm.ig=""), "Regional Aggregate", _xlpm.ig))</f>
        <v>Regional Aggregate</v>
      </c>
      <c r="H899" s="4">
        <f>Clean_Data[[#This Row],[Exports_TIV]] - Clean_Data[[#This Row],[Imports_TIV]]</f>
        <v>-1943000000</v>
      </c>
      <c r="I899" s="4">
        <f>Clean_Data[[#This Row],[Exports_TIV]] + Clean_Data[[#This Row],[Imports_TIV]]</f>
        <v>1943000000</v>
      </c>
    </row>
    <row r="900" spans="1:9">
      <c r="A900" s="4" t="s">
        <v>217</v>
      </c>
      <c r="B900" s="4" t="s">
        <v>218</v>
      </c>
      <c r="C900" s="5">
        <v>2019</v>
      </c>
      <c r="D900" s="4">
        <v>0</v>
      </c>
      <c r="E900" s="4">
        <v>2736000000</v>
      </c>
      <c r="F900" s="4" t="str">
        <f>_xlfn.LET(_xlpm.r, _xlfn.XLOOKUP(Clean_Data[[#This Row],[Country_Code]], Metadata_Country!$A:$A, Metadata_Country!$B:$B, "Unknown"), IF(OR(_xlpm.r=0, _xlpm.r=""), "Regional Aggregate", _xlpm.r))</f>
        <v>Regional Aggregate</v>
      </c>
      <c r="G900" s="4" t="str">
        <f>_xlfn.LET(_xlpm.ig, _xlfn.XLOOKUP(Clean_Data[[#This Row],[Country_Code]], Metadata_Country!$A:$A, Metadata_Country!$C:$C, "Unknown"), IF(OR(_xlpm.ig=0, _xlpm.ig=""), "Regional Aggregate", _xlpm.ig))</f>
        <v>Regional Aggregate</v>
      </c>
      <c r="H900" s="4">
        <f>Clean_Data[[#This Row],[Exports_TIV]] - Clean_Data[[#This Row],[Imports_TIV]]</f>
        <v>-2736000000</v>
      </c>
      <c r="I900" s="4">
        <f>Clean_Data[[#This Row],[Exports_TIV]] + Clean_Data[[#This Row],[Imports_TIV]]</f>
        <v>2736000000</v>
      </c>
    </row>
    <row r="901" spans="1:9">
      <c r="A901" s="4" t="s">
        <v>227</v>
      </c>
      <c r="B901" s="4" t="s">
        <v>228</v>
      </c>
      <c r="C901" s="5">
        <v>2019</v>
      </c>
      <c r="D901" s="4">
        <v>20000000</v>
      </c>
      <c r="E901" s="4">
        <v>3202000000</v>
      </c>
      <c r="F901" s="4" t="str">
        <f>_xlfn.LET(_xlpm.r, _xlfn.XLOOKUP(Clean_Data[[#This Row],[Country_Code]], Metadata_Country!$A:$A, Metadata_Country!$B:$B, "Unknown"), IF(OR(_xlpm.r=0, _xlpm.r=""), "Regional Aggregate", _xlpm.r))</f>
        <v>South Asia</v>
      </c>
      <c r="G901" s="4" t="str">
        <f>_xlfn.LET(_xlpm.ig, _xlfn.XLOOKUP(Clean_Data[[#This Row],[Country_Code]], Metadata_Country!$A:$A, Metadata_Country!$C:$C, "Unknown"), IF(OR(_xlpm.ig=0, _xlpm.ig=""), "Regional Aggregate", _xlpm.ig))</f>
        <v>Lower middle income</v>
      </c>
      <c r="H901" s="4">
        <f>Clean_Data[[#This Row],[Exports_TIV]] - Clean_Data[[#This Row],[Imports_TIV]]</f>
        <v>-3182000000</v>
      </c>
      <c r="I901" s="4">
        <f>Clean_Data[[#This Row],[Exports_TIV]] + Clean_Data[[#This Row],[Imports_TIV]]</f>
        <v>3222000000</v>
      </c>
    </row>
    <row r="902" spans="1:9">
      <c r="A902" s="4" t="s">
        <v>221</v>
      </c>
      <c r="B902" s="4" t="s">
        <v>222</v>
      </c>
      <c r="C902" s="5">
        <v>2019</v>
      </c>
      <c r="D902" s="4">
        <v>9000000</v>
      </c>
      <c r="E902" s="4">
        <v>239000000</v>
      </c>
      <c r="F902" s="4" t="str">
        <f>_xlfn.LET(_xlpm.r, _xlfn.XLOOKUP(Clean_Data[[#This Row],[Country_Code]], Metadata_Country!$A:$A, Metadata_Country!$B:$B, "Unknown"), IF(OR(_xlpm.r=0, _xlpm.r=""), "Regional Aggregate", _xlpm.r))</f>
        <v>East Asia &amp; Pacific</v>
      </c>
      <c r="G902" s="4" t="str">
        <f>_xlfn.LET(_xlpm.ig, _xlfn.XLOOKUP(Clean_Data[[#This Row],[Country_Code]], Metadata_Country!$A:$A, Metadata_Country!$C:$C, "Unknown"), IF(OR(_xlpm.ig=0, _xlpm.ig=""), "Regional Aggregate", _xlpm.ig))</f>
        <v>Upper middle income</v>
      </c>
      <c r="H902" s="4">
        <f>Clean_Data[[#This Row],[Exports_TIV]] - Clean_Data[[#This Row],[Imports_TIV]]</f>
        <v>-230000000</v>
      </c>
      <c r="I902" s="4">
        <f>Clean_Data[[#This Row],[Exports_TIV]] + Clean_Data[[#This Row],[Imports_TIV]]</f>
        <v>248000000</v>
      </c>
    </row>
    <row r="903" spans="1:9">
      <c r="A903" s="4" t="s">
        <v>233</v>
      </c>
      <c r="B903" s="4" t="s">
        <v>234</v>
      </c>
      <c r="C903" s="5">
        <v>2019</v>
      </c>
      <c r="D903" s="4">
        <v>9000000</v>
      </c>
      <c r="E903" s="4">
        <v>3000000</v>
      </c>
      <c r="F903" s="4" t="str">
        <f>_xlfn.LET(_xlpm.r, _xlfn.XLOOKUP(Clean_Data[[#This Row],[Country_Code]], Metadata_Country!$A:$A, Metadata_Country!$B:$B, "Unknown"), IF(OR(_xlpm.r=0, _xlpm.r=""), "Regional Aggregate", _xlpm.r))</f>
        <v>Middle East &amp; North Africa</v>
      </c>
      <c r="G903" s="4" t="str">
        <f>_xlfn.LET(_xlpm.ig, _xlfn.XLOOKUP(Clean_Data[[#This Row],[Country_Code]], Metadata_Country!$A:$A, Metadata_Country!$C:$C, "Unknown"), IF(OR(_xlpm.ig=0, _xlpm.ig=""), "Regional Aggregate", _xlpm.ig))</f>
        <v>Upper middle income</v>
      </c>
      <c r="H903" s="4">
        <f>Clean_Data[[#This Row],[Exports_TIV]] - Clean_Data[[#This Row],[Imports_TIV]]</f>
        <v>6000000</v>
      </c>
      <c r="I903" s="4">
        <f>Clean_Data[[#This Row],[Exports_TIV]] + Clean_Data[[#This Row],[Imports_TIV]]</f>
        <v>12000000</v>
      </c>
    </row>
    <row r="904" spans="1:9">
      <c r="A904" s="4" t="s">
        <v>235</v>
      </c>
      <c r="B904" s="4" t="s">
        <v>236</v>
      </c>
      <c r="C904" s="5">
        <v>2019</v>
      </c>
      <c r="D904" s="4">
        <v>0</v>
      </c>
      <c r="E904" s="4">
        <v>144000000</v>
      </c>
      <c r="F904" s="4" t="str">
        <f>_xlfn.LET(_xlpm.r, _xlfn.XLOOKUP(Clean_Data[[#This Row],[Country_Code]], Metadata_Country!$A:$A, Metadata_Country!$B:$B, "Unknown"), IF(OR(_xlpm.r=0, _xlpm.r=""), "Regional Aggregate", _xlpm.r))</f>
        <v>Middle East &amp; North Africa</v>
      </c>
      <c r="G904" s="4" t="str">
        <f>_xlfn.LET(_xlpm.ig, _xlfn.XLOOKUP(Clean_Data[[#This Row],[Country_Code]], Metadata_Country!$A:$A, Metadata_Country!$C:$C, "Unknown"), IF(OR(_xlpm.ig=0, _xlpm.ig=""), "Regional Aggregate", _xlpm.ig))</f>
        <v>Upper middle income</v>
      </c>
      <c r="H904" s="4">
        <f>Clean_Data[[#This Row],[Exports_TIV]] - Clean_Data[[#This Row],[Imports_TIV]]</f>
        <v>-144000000</v>
      </c>
      <c r="I904" s="4">
        <f>Clean_Data[[#This Row],[Exports_TIV]] + Clean_Data[[#This Row],[Imports_TIV]]</f>
        <v>144000000</v>
      </c>
    </row>
    <row r="905" spans="1:9">
      <c r="A905" s="4" t="s">
        <v>231</v>
      </c>
      <c r="B905" s="4" t="s">
        <v>232</v>
      </c>
      <c r="C905" s="5">
        <v>2019</v>
      </c>
      <c r="D905" s="4">
        <v>0</v>
      </c>
      <c r="E905" s="4">
        <v>35000000</v>
      </c>
      <c r="F905" s="4" t="str">
        <f>_xlfn.LET(_xlpm.r, _xlfn.XLOOKUP(Clean_Data[[#This Row],[Country_Code]], Metadata_Country!$A:$A, Metadata_Country!$B:$B, "Unknown"), IF(OR(_xlpm.r=0, _xlpm.r=""), "Regional Aggregate", _xlpm.r))</f>
        <v>Europe &amp; Central Asia</v>
      </c>
      <c r="G905" s="4" t="str">
        <f>_xlfn.LET(_xlpm.ig, _xlfn.XLOOKUP(Clean_Data[[#This Row],[Country_Code]], Metadata_Country!$A:$A, Metadata_Country!$C:$C, "Unknown"), IF(OR(_xlpm.ig=0, _xlpm.ig=""), "Regional Aggregate", _xlpm.ig))</f>
        <v>High income</v>
      </c>
      <c r="H905" s="4">
        <f>Clean_Data[[#This Row],[Exports_TIV]] - Clean_Data[[#This Row],[Imports_TIV]]</f>
        <v>-35000000</v>
      </c>
      <c r="I905" s="4">
        <f>Clean_Data[[#This Row],[Exports_TIV]] + Clean_Data[[#This Row],[Imports_TIV]]</f>
        <v>35000000</v>
      </c>
    </row>
    <row r="906" spans="1:9">
      <c r="A906" s="4" t="s">
        <v>239</v>
      </c>
      <c r="B906" s="4" t="s">
        <v>240</v>
      </c>
      <c r="C906" s="5">
        <v>2019</v>
      </c>
      <c r="D906" s="4">
        <v>385000000</v>
      </c>
      <c r="E906" s="4">
        <v>516000000</v>
      </c>
      <c r="F906" s="4" t="str">
        <f>_xlfn.LET(_xlpm.r, _xlfn.XLOOKUP(Clean_Data[[#This Row],[Country_Code]], Metadata_Country!$A:$A, Metadata_Country!$B:$B, "Unknown"), IF(OR(_xlpm.r=0, _xlpm.r=""), "Regional Aggregate", _xlpm.r))</f>
        <v>Middle East &amp; North Africa</v>
      </c>
      <c r="G906" s="4" t="str">
        <f>_xlfn.LET(_xlpm.ig, _xlfn.XLOOKUP(Clean_Data[[#This Row],[Country_Code]], Metadata_Country!$A:$A, Metadata_Country!$C:$C, "Unknown"), IF(OR(_xlpm.ig=0, _xlpm.ig=""), "Regional Aggregate", _xlpm.ig))</f>
        <v>High income</v>
      </c>
      <c r="H906" s="4">
        <f>Clean_Data[[#This Row],[Exports_TIV]] - Clean_Data[[#This Row],[Imports_TIV]]</f>
        <v>-131000000</v>
      </c>
      <c r="I906" s="4">
        <f>Clean_Data[[#This Row],[Exports_TIV]] + Clean_Data[[#This Row],[Imports_TIV]]</f>
        <v>901000000</v>
      </c>
    </row>
    <row r="907" spans="1:9">
      <c r="A907" s="4" t="s">
        <v>241</v>
      </c>
      <c r="B907" s="4" t="s">
        <v>242</v>
      </c>
      <c r="C907" s="5">
        <v>2019</v>
      </c>
      <c r="D907" s="4">
        <v>372000000</v>
      </c>
      <c r="E907" s="4">
        <v>178000000</v>
      </c>
      <c r="F907" s="4" t="str">
        <f>_xlfn.LET(_xlpm.r, _xlfn.XLOOKUP(Clean_Data[[#This Row],[Country_Code]], Metadata_Country!$A:$A, Metadata_Country!$B:$B, "Unknown"), IF(OR(_xlpm.r=0, _xlpm.r=""), "Regional Aggregate", _xlpm.r))</f>
        <v>Europe &amp; Central Asia</v>
      </c>
      <c r="G907" s="4" t="str">
        <f>_xlfn.LET(_xlpm.ig, _xlfn.XLOOKUP(Clean_Data[[#This Row],[Country_Code]], Metadata_Country!$A:$A, Metadata_Country!$C:$C, "Unknown"), IF(OR(_xlpm.ig=0, _xlpm.ig=""), "Regional Aggregate", _xlpm.ig))</f>
        <v>High income</v>
      </c>
      <c r="H907" s="4">
        <f>Clean_Data[[#This Row],[Exports_TIV]] - Clean_Data[[#This Row],[Imports_TIV]]</f>
        <v>194000000</v>
      </c>
      <c r="I907" s="4">
        <f>Clean_Data[[#This Row],[Exports_TIV]] + Clean_Data[[#This Row],[Imports_TIV]]</f>
        <v>550000000</v>
      </c>
    </row>
    <row r="908" spans="1:9">
      <c r="A908" s="4" t="s">
        <v>243</v>
      </c>
      <c r="B908" s="4" t="s">
        <v>244</v>
      </c>
      <c r="C908" s="5">
        <v>2019</v>
      </c>
      <c r="D908" s="4">
        <v>0</v>
      </c>
      <c r="E908" s="4">
        <v>3000000</v>
      </c>
      <c r="F908" s="4" t="str">
        <f>_xlfn.LET(_xlpm.r, _xlfn.XLOOKUP(Clean_Data[[#This Row],[Country_Code]], Metadata_Country!$A:$A, Metadata_Country!$B:$B, "Unknown"), IF(OR(_xlpm.r=0, _xlpm.r=""), "Regional Aggregate", _xlpm.r))</f>
        <v>Latin America &amp; Caribbean</v>
      </c>
      <c r="G908" s="4" t="str">
        <f>_xlfn.LET(_xlpm.ig, _xlfn.XLOOKUP(Clean_Data[[#This Row],[Country_Code]], Metadata_Country!$A:$A, Metadata_Country!$C:$C, "Unknown"), IF(OR(_xlpm.ig=0, _xlpm.ig=""), "Regional Aggregate", _xlpm.ig))</f>
        <v>Upper middle income</v>
      </c>
      <c r="H908" s="4">
        <f>Clean_Data[[#This Row],[Exports_TIV]] - Clean_Data[[#This Row],[Imports_TIV]]</f>
        <v>-3000000</v>
      </c>
      <c r="I908" s="4">
        <f>Clean_Data[[#This Row],[Exports_TIV]] + Clean_Data[[#This Row],[Imports_TIV]]</f>
        <v>3000000</v>
      </c>
    </row>
    <row r="909" spans="1:9">
      <c r="A909" s="4" t="s">
        <v>247</v>
      </c>
      <c r="B909" s="4" t="s">
        <v>248</v>
      </c>
      <c r="C909" s="5">
        <v>2019</v>
      </c>
      <c r="D909" s="4">
        <v>0</v>
      </c>
      <c r="E909" s="4">
        <v>992000000</v>
      </c>
      <c r="F909" s="4" t="str">
        <f>_xlfn.LET(_xlpm.r, _xlfn.XLOOKUP(Clean_Data[[#This Row],[Country_Code]], Metadata_Country!$A:$A, Metadata_Country!$B:$B, "Unknown"), IF(OR(_xlpm.r=0, _xlpm.r=""), "Regional Aggregate", _xlpm.r))</f>
        <v>East Asia &amp; Pacific</v>
      </c>
      <c r="G909" s="4" t="str">
        <f>_xlfn.LET(_xlpm.ig, _xlfn.XLOOKUP(Clean_Data[[#This Row],[Country_Code]], Metadata_Country!$A:$A, Metadata_Country!$C:$C, "Unknown"), IF(OR(_xlpm.ig=0, _xlpm.ig=""), "Regional Aggregate", _xlpm.ig))</f>
        <v>High income</v>
      </c>
      <c r="H909" s="4">
        <f>Clean_Data[[#This Row],[Exports_TIV]] - Clean_Data[[#This Row],[Imports_TIV]]</f>
        <v>-992000000</v>
      </c>
      <c r="I909" s="4">
        <f>Clean_Data[[#This Row],[Exports_TIV]] + Clean_Data[[#This Row],[Imports_TIV]]</f>
        <v>992000000</v>
      </c>
    </row>
    <row r="910" spans="1:9">
      <c r="A910" s="4" t="s">
        <v>245</v>
      </c>
      <c r="B910" s="4" t="s">
        <v>246</v>
      </c>
      <c r="C910" s="5">
        <v>2019</v>
      </c>
      <c r="D910" s="4">
        <v>109000000</v>
      </c>
      <c r="E910" s="4">
        <v>213000000</v>
      </c>
      <c r="F910" s="4" t="str">
        <f>_xlfn.LET(_xlpm.r, _xlfn.XLOOKUP(Clean_Data[[#This Row],[Country_Code]], Metadata_Country!$A:$A, Metadata_Country!$B:$B, "Unknown"), IF(OR(_xlpm.r=0, _xlpm.r=""), "Regional Aggregate", _xlpm.r))</f>
        <v>Middle East &amp; North Africa</v>
      </c>
      <c r="G910" s="4" t="str">
        <f>_xlfn.LET(_xlpm.ig, _xlfn.XLOOKUP(Clean_Data[[#This Row],[Country_Code]], Metadata_Country!$A:$A, Metadata_Country!$C:$C, "Unknown"), IF(OR(_xlpm.ig=0, _xlpm.ig=""), "Regional Aggregate", _xlpm.ig))</f>
        <v>Upper middle income</v>
      </c>
      <c r="H910" s="4">
        <f>Clean_Data[[#This Row],[Exports_TIV]] - Clean_Data[[#This Row],[Imports_TIV]]</f>
        <v>-104000000</v>
      </c>
      <c r="I910" s="4">
        <f>Clean_Data[[#This Row],[Exports_TIV]] + Clean_Data[[#This Row],[Imports_TIV]]</f>
        <v>322000000</v>
      </c>
    </row>
    <row r="911" spans="1:9">
      <c r="A911" s="4" t="s">
        <v>249</v>
      </c>
      <c r="B911" s="4" t="s">
        <v>250</v>
      </c>
      <c r="C911" s="5">
        <v>2019</v>
      </c>
      <c r="D911" s="4">
        <v>0</v>
      </c>
      <c r="E911" s="4">
        <v>232000000</v>
      </c>
      <c r="F911" s="4" t="str">
        <f>_xlfn.LET(_xlpm.r, _xlfn.XLOOKUP(Clean_Data[[#This Row],[Country_Code]], Metadata_Country!$A:$A, Metadata_Country!$B:$B, "Unknown"), IF(OR(_xlpm.r=0, _xlpm.r=""), "Regional Aggregate", _xlpm.r))</f>
        <v>Europe &amp; Central Asia</v>
      </c>
      <c r="G911" s="4" t="str">
        <f>_xlfn.LET(_xlpm.ig, _xlfn.XLOOKUP(Clean_Data[[#This Row],[Country_Code]], Metadata_Country!$A:$A, Metadata_Country!$C:$C, "Unknown"), IF(OR(_xlpm.ig=0, _xlpm.ig=""), "Regional Aggregate", _xlpm.ig))</f>
        <v>Upper middle income</v>
      </c>
      <c r="H911" s="4">
        <f>Clean_Data[[#This Row],[Exports_TIV]] - Clean_Data[[#This Row],[Imports_TIV]]</f>
        <v>-232000000</v>
      </c>
      <c r="I911" s="4">
        <f>Clean_Data[[#This Row],[Exports_TIV]] + Clean_Data[[#This Row],[Imports_TIV]]</f>
        <v>232000000</v>
      </c>
    </row>
    <row r="912" spans="1:9">
      <c r="A912" s="4" t="s">
        <v>251</v>
      </c>
      <c r="B912" s="4" t="s">
        <v>252</v>
      </c>
      <c r="C912" s="5">
        <v>2019</v>
      </c>
      <c r="D912" s="4">
        <v>0</v>
      </c>
      <c r="E912" s="4">
        <v>18000000</v>
      </c>
      <c r="F912" s="4" t="str">
        <f>_xlfn.LET(_xlpm.r, _xlfn.XLOOKUP(Clean_Data[[#This Row],[Country_Code]], Metadata_Country!$A:$A, Metadata_Country!$B:$B, "Unknown"), IF(OR(_xlpm.r=0, _xlpm.r=""), "Regional Aggregate", _xlpm.r))</f>
        <v>Sub-Saharan Africa</v>
      </c>
      <c r="G912" s="4" t="str">
        <f>_xlfn.LET(_xlpm.ig, _xlfn.XLOOKUP(Clean_Data[[#This Row],[Country_Code]], Metadata_Country!$A:$A, Metadata_Country!$C:$C, "Unknown"), IF(OR(_xlpm.ig=0, _xlpm.ig=""), "Regional Aggregate", _xlpm.ig))</f>
        <v>Lower middle income</v>
      </c>
      <c r="H912" s="4">
        <f>Clean_Data[[#This Row],[Exports_TIV]] - Clean_Data[[#This Row],[Imports_TIV]]</f>
        <v>-18000000</v>
      </c>
      <c r="I912" s="4">
        <f>Clean_Data[[#This Row],[Exports_TIV]] + Clean_Data[[#This Row],[Imports_TIV]]</f>
        <v>18000000</v>
      </c>
    </row>
    <row r="913" spans="1:9">
      <c r="A913" s="4" t="s">
        <v>261</v>
      </c>
      <c r="B913" s="4" t="s">
        <v>262</v>
      </c>
      <c r="C913" s="5">
        <v>2019</v>
      </c>
      <c r="D913" s="4">
        <v>675000000</v>
      </c>
      <c r="E913" s="4">
        <v>1605000000</v>
      </c>
      <c r="F913" s="4" t="str">
        <f>_xlfn.LET(_xlpm.r, _xlfn.XLOOKUP(Clean_Data[[#This Row],[Country_Code]], Metadata_Country!$A:$A, Metadata_Country!$B:$B, "Unknown"), IF(OR(_xlpm.r=0, _xlpm.r=""), "Regional Aggregate", _xlpm.r))</f>
        <v>East Asia &amp; Pacific</v>
      </c>
      <c r="G913" s="4" t="str">
        <f>_xlfn.LET(_xlpm.ig, _xlfn.XLOOKUP(Clean_Data[[#This Row],[Country_Code]], Metadata_Country!$A:$A, Metadata_Country!$C:$C, "Unknown"), IF(OR(_xlpm.ig=0, _xlpm.ig=""), "Regional Aggregate", _xlpm.ig))</f>
        <v>High income</v>
      </c>
      <c r="H913" s="4">
        <f>Clean_Data[[#This Row],[Exports_TIV]] - Clean_Data[[#This Row],[Imports_TIV]]</f>
        <v>-930000000</v>
      </c>
      <c r="I913" s="4">
        <f>Clean_Data[[#This Row],[Exports_TIV]] + Clean_Data[[#This Row],[Imports_TIV]]</f>
        <v>2280000000</v>
      </c>
    </row>
    <row r="914" spans="1:9">
      <c r="A914" s="4" t="s">
        <v>263</v>
      </c>
      <c r="B914" s="4" t="s">
        <v>264</v>
      </c>
      <c r="C914" s="5">
        <v>2019</v>
      </c>
      <c r="D914" s="4">
        <v>0</v>
      </c>
      <c r="E914" s="4">
        <v>55000000</v>
      </c>
      <c r="F914" s="4" t="str">
        <f>_xlfn.LET(_xlpm.r, _xlfn.XLOOKUP(Clean_Data[[#This Row],[Country_Code]], Metadata_Country!$A:$A, Metadata_Country!$B:$B, "Unknown"), IF(OR(_xlpm.r=0, _xlpm.r=""), "Regional Aggregate", _xlpm.r))</f>
        <v>Middle East &amp; North Africa</v>
      </c>
      <c r="G914" s="4" t="str">
        <f>_xlfn.LET(_xlpm.ig, _xlfn.XLOOKUP(Clean_Data[[#This Row],[Country_Code]], Metadata_Country!$A:$A, Metadata_Country!$C:$C, "Unknown"), IF(OR(_xlpm.ig=0, _xlpm.ig=""), "Regional Aggregate", _xlpm.ig))</f>
        <v>High income</v>
      </c>
      <c r="H914" s="4">
        <f>Clean_Data[[#This Row],[Exports_TIV]] - Clean_Data[[#This Row],[Imports_TIV]]</f>
        <v>-55000000</v>
      </c>
      <c r="I914" s="4">
        <f>Clean_Data[[#This Row],[Exports_TIV]] + Clean_Data[[#This Row],[Imports_TIV]]</f>
        <v>55000000</v>
      </c>
    </row>
    <row r="915" spans="1:9">
      <c r="A915" s="4" t="s">
        <v>253</v>
      </c>
      <c r="B915" s="4" t="s">
        <v>254</v>
      </c>
      <c r="C915" s="5">
        <v>2019</v>
      </c>
      <c r="D915" s="4">
        <v>0</v>
      </c>
      <c r="E915" s="4">
        <v>15000000</v>
      </c>
      <c r="F915" s="4" t="str">
        <f>_xlfn.LET(_xlpm.r, _xlfn.XLOOKUP(Clean_Data[[#This Row],[Country_Code]], Metadata_Country!$A:$A, Metadata_Country!$B:$B, "Unknown"), IF(OR(_xlpm.r=0, _xlpm.r=""), "Regional Aggregate", _xlpm.r))</f>
        <v>Europe &amp; Central Asia</v>
      </c>
      <c r="G915" s="4" t="str">
        <f>_xlfn.LET(_xlpm.ig, _xlfn.XLOOKUP(Clean_Data[[#This Row],[Country_Code]], Metadata_Country!$A:$A, Metadata_Country!$C:$C, "Unknown"), IF(OR(_xlpm.ig=0, _xlpm.ig=""), "Regional Aggregate", _xlpm.ig))</f>
        <v>Lower middle income</v>
      </c>
      <c r="H915" s="4">
        <f>Clean_Data[[#This Row],[Exports_TIV]] - Clean_Data[[#This Row],[Imports_TIV]]</f>
        <v>-15000000</v>
      </c>
      <c r="I915" s="4">
        <f>Clean_Data[[#This Row],[Exports_TIV]] + Clean_Data[[#This Row],[Imports_TIV]]</f>
        <v>15000000</v>
      </c>
    </row>
    <row r="916" spans="1:9">
      <c r="A916" s="4" t="s">
        <v>267</v>
      </c>
      <c r="B916" s="4" t="s">
        <v>268</v>
      </c>
      <c r="C916" s="5">
        <v>2019</v>
      </c>
      <c r="D916" s="4">
        <v>0</v>
      </c>
      <c r="E916" s="4">
        <v>27000000</v>
      </c>
      <c r="F916" s="4" t="str">
        <f>_xlfn.LET(_xlpm.r, _xlfn.XLOOKUP(Clean_Data[[#This Row],[Country_Code]], Metadata_Country!$A:$A, Metadata_Country!$B:$B, "Unknown"), IF(OR(_xlpm.r=0, _xlpm.r=""), "Regional Aggregate", _xlpm.r))</f>
        <v>East Asia &amp; Pacific</v>
      </c>
      <c r="G916" s="4" t="str">
        <f>_xlfn.LET(_xlpm.ig, _xlfn.XLOOKUP(Clean_Data[[#This Row],[Country_Code]], Metadata_Country!$A:$A, Metadata_Country!$C:$C, "Unknown"), IF(OR(_xlpm.ig=0, _xlpm.ig=""), "Regional Aggregate", _xlpm.ig))</f>
        <v>Lower middle income</v>
      </c>
      <c r="H916" s="4">
        <f>Clean_Data[[#This Row],[Exports_TIV]] - Clean_Data[[#This Row],[Imports_TIV]]</f>
        <v>-27000000</v>
      </c>
      <c r="I916" s="4">
        <f>Clean_Data[[#This Row],[Exports_TIV]] + Clean_Data[[#This Row],[Imports_TIV]]</f>
        <v>27000000</v>
      </c>
    </row>
    <row r="917" spans="1:9">
      <c r="A917" s="4" t="s">
        <v>293</v>
      </c>
      <c r="B917" s="4" t="s">
        <v>294</v>
      </c>
      <c r="C917" s="5">
        <v>2019</v>
      </c>
      <c r="D917" s="4">
        <v>7195000000</v>
      </c>
      <c r="E917" s="4">
        <v>6578000000</v>
      </c>
      <c r="F917" s="4" t="str">
        <f>_xlfn.LET(_xlpm.r, _xlfn.XLOOKUP(Clean_Data[[#This Row],[Country_Code]], Metadata_Country!$A:$A, Metadata_Country!$B:$B, "Unknown"), IF(OR(_xlpm.r=0, _xlpm.r=""), "Regional Aggregate", _xlpm.r))</f>
        <v>Regional Aggregate</v>
      </c>
      <c r="G917" s="4" t="str">
        <f>_xlfn.LET(_xlpm.ig, _xlfn.XLOOKUP(Clean_Data[[#This Row],[Country_Code]], Metadata_Country!$A:$A, Metadata_Country!$C:$C, "Unknown"), IF(OR(_xlpm.ig=0, _xlpm.ig=""), "Regional Aggregate", _xlpm.ig))</f>
        <v>Regional Aggregate</v>
      </c>
      <c r="H917" s="4">
        <f>Clean_Data[[#This Row],[Exports_TIV]] - Clean_Data[[#This Row],[Imports_TIV]]</f>
        <v>617000000</v>
      </c>
      <c r="I917" s="4">
        <f>Clean_Data[[#This Row],[Exports_TIV]] + Clean_Data[[#This Row],[Imports_TIV]]</f>
        <v>13773000000</v>
      </c>
    </row>
    <row r="918" spans="1:9">
      <c r="A918" s="4" t="s">
        <v>265</v>
      </c>
      <c r="B918" s="4" t="s">
        <v>266</v>
      </c>
      <c r="C918" s="5">
        <v>2019</v>
      </c>
      <c r="D918" s="4">
        <v>32000000</v>
      </c>
      <c r="E918" s="4">
        <v>0</v>
      </c>
      <c r="F918" s="4" t="str">
        <f>_xlfn.LET(_xlpm.r, _xlfn.XLOOKUP(Clean_Data[[#This Row],[Country_Code]], Metadata_Country!$A:$A, Metadata_Country!$B:$B, "Unknown"), IF(OR(_xlpm.r=0, _xlpm.r=""), "Regional Aggregate", _xlpm.r))</f>
        <v>Regional Aggregate</v>
      </c>
      <c r="G918" s="4" t="str">
        <f>_xlfn.LET(_xlpm.ig, _xlfn.XLOOKUP(Clean_Data[[#This Row],[Country_Code]], Metadata_Country!$A:$A, Metadata_Country!$C:$C, "Unknown"), IF(OR(_xlpm.ig=0, _xlpm.ig=""), "Regional Aggregate", _xlpm.ig))</f>
        <v>Regional Aggregate</v>
      </c>
      <c r="H918" s="4">
        <f>Clean_Data[[#This Row],[Exports_TIV]] - Clean_Data[[#This Row],[Imports_TIV]]</f>
        <v>32000000</v>
      </c>
      <c r="I918" s="4">
        <f>Clean_Data[[#This Row],[Exports_TIV]] + Clean_Data[[#This Row],[Imports_TIV]]</f>
        <v>32000000</v>
      </c>
    </row>
    <row r="919" spans="1:9">
      <c r="A919" s="4" t="s">
        <v>481</v>
      </c>
      <c r="B919" s="4" t="s">
        <v>482</v>
      </c>
      <c r="C919" s="5">
        <v>2019</v>
      </c>
      <c r="D919" s="4">
        <v>33000000</v>
      </c>
      <c r="E919" s="4">
        <v>0</v>
      </c>
      <c r="F919" s="4" t="str">
        <f>_xlfn.LET(_xlpm.r, _xlfn.XLOOKUP(Clean_Data[[#This Row],[Country_Code]], Metadata_Country!$A:$A, Metadata_Country!$B:$B, "Unknown"), IF(OR(_xlpm.r=0, _xlpm.r=""), "Regional Aggregate", _xlpm.r))</f>
        <v>Regional Aggregate</v>
      </c>
      <c r="G919" s="4" t="str">
        <f>_xlfn.LET(_xlpm.ig, _xlfn.XLOOKUP(Clean_Data[[#This Row],[Country_Code]], Metadata_Country!$A:$A, Metadata_Country!$C:$C, "Unknown"), IF(OR(_xlpm.ig=0, _xlpm.ig=""), "Regional Aggregate", _xlpm.ig))</f>
        <v>Regional Aggregate</v>
      </c>
      <c r="H919" s="4">
        <f>Clean_Data[[#This Row],[Exports_TIV]] - Clean_Data[[#This Row],[Imports_TIV]]</f>
        <v>33000000</v>
      </c>
      <c r="I919" s="4">
        <f>Clean_Data[[#This Row],[Exports_TIV]] + Clean_Data[[#This Row],[Imports_TIV]]</f>
        <v>33000000</v>
      </c>
    </row>
    <row r="920" spans="1:9">
      <c r="A920" s="4" t="s">
        <v>299</v>
      </c>
      <c r="B920" s="4" t="s">
        <v>300</v>
      </c>
      <c r="C920" s="5">
        <v>2019</v>
      </c>
      <c r="D920" s="4">
        <v>0</v>
      </c>
      <c r="E920" s="4">
        <v>31000000</v>
      </c>
      <c r="F920" s="4" t="str">
        <f>_xlfn.LET(_xlpm.r, _xlfn.XLOOKUP(Clean_Data[[#This Row],[Country_Code]], Metadata_Country!$A:$A, Metadata_Country!$B:$B, "Unknown"), IF(OR(_xlpm.r=0, _xlpm.r=""), "Regional Aggregate", _xlpm.r))</f>
        <v>Europe &amp; Central Asia</v>
      </c>
      <c r="G920" s="4" t="str">
        <f>_xlfn.LET(_xlpm.ig, _xlfn.XLOOKUP(Clean_Data[[#This Row],[Country_Code]], Metadata_Country!$A:$A, Metadata_Country!$C:$C, "Unknown"), IF(OR(_xlpm.ig=0, _xlpm.ig=""), "Regional Aggregate", _xlpm.ig))</f>
        <v>High income</v>
      </c>
      <c r="H920" s="4">
        <f>Clean_Data[[#This Row],[Exports_TIV]] - Clean_Data[[#This Row],[Imports_TIV]]</f>
        <v>-31000000</v>
      </c>
      <c r="I920" s="4">
        <f>Clean_Data[[#This Row],[Exports_TIV]] + Clean_Data[[#This Row],[Imports_TIV]]</f>
        <v>31000000</v>
      </c>
    </row>
    <row r="921" spans="1:9">
      <c r="A921" s="4" t="s">
        <v>279</v>
      </c>
      <c r="B921" s="4" t="s">
        <v>280</v>
      </c>
      <c r="C921" s="5">
        <v>2019</v>
      </c>
      <c r="D921" s="4">
        <v>0</v>
      </c>
      <c r="E921" s="4">
        <v>1874000000</v>
      </c>
      <c r="F921" s="4" t="str">
        <f>_xlfn.LET(_xlpm.r, _xlfn.XLOOKUP(Clean_Data[[#This Row],[Country_Code]], Metadata_Country!$A:$A, Metadata_Country!$B:$B, "Unknown"), IF(OR(_xlpm.r=0, _xlpm.r=""), "Regional Aggregate", _xlpm.r))</f>
        <v>Regional Aggregate</v>
      </c>
      <c r="G921" s="4" t="str">
        <f>_xlfn.LET(_xlpm.ig, _xlfn.XLOOKUP(Clean_Data[[#This Row],[Country_Code]], Metadata_Country!$A:$A, Metadata_Country!$C:$C, "Unknown"), IF(OR(_xlpm.ig=0, _xlpm.ig=""), "Regional Aggregate", _xlpm.ig))</f>
        <v>Regional Aggregate</v>
      </c>
      <c r="H921" s="4">
        <f>Clean_Data[[#This Row],[Exports_TIV]] - Clean_Data[[#This Row],[Imports_TIV]]</f>
        <v>-1874000000</v>
      </c>
      <c r="I921" s="4">
        <f>Clean_Data[[#This Row],[Exports_TIV]] + Clean_Data[[#This Row],[Imports_TIV]]</f>
        <v>1874000000</v>
      </c>
    </row>
    <row r="922" spans="1:9">
      <c r="A922" s="4" t="s">
        <v>269</v>
      </c>
      <c r="B922" s="4" t="s">
        <v>270</v>
      </c>
      <c r="C922" s="5">
        <v>2019</v>
      </c>
      <c r="D922" s="4">
        <v>0</v>
      </c>
      <c r="E922" s="4">
        <v>56000000</v>
      </c>
      <c r="F922" s="4" t="str">
        <f>_xlfn.LET(_xlpm.r, _xlfn.XLOOKUP(Clean_Data[[#This Row],[Country_Code]], Metadata_Country!$A:$A, Metadata_Country!$B:$B, "Unknown"), IF(OR(_xlpm.r=0, _xlpm.r=""), "Regional Aggregate", _xlpm.r))</f>
        <v>Middle East &amp; North Africa</v>
      </c>
      <c r="G922" s="4" t="str">
        <f>_xlfn.LET(_xlpm.ig, _xlfn.XLOOKUP(Clean_Data[[#This Row],[Country_Code]], Metadata_Country!$A:$A, Metadata_Country!$C:$C, "Unknown"), IF(OR(_xlpm.ig=0, _xlpm.ig=""), "Regional Aggregate", _xlpm.ig))</f>
        <v>Lower middle income</v>
      </c>
      <c r="H922" s="4">
        <f>Clean_Data[[#This Row],[Exports_TIV]] - Clean_Data[[#This Row],[Imports_TIV]]</f>
        <v>-56000000</v>
      </c>
      <c r="I922" s="4">
        <f>Clean_Data[[#This Row],[Exports_TIV]] + Clean_Data[[#This Row],[Imports_TIV]]</f>
        <v>56000000</v>
      </c>
    </row>
    <row r="923" spans="1:9">
      <c r="A923" s="4" t="s">
        <v>291</v>
      </c>
      <c r="B923" s="4" t="s">
        <v>292</v>
      </c>
      <c r="C923" s="5">
        <v>2019</v>
      </c>
      <c r="D923" s="4">
        <v>0</v>
      </c>
      <c r="E923" s="4">
        <v>1000000</v>
      </c>
      <c r="F923" s="4" t="str">
        <f>_xlfn.LET(_xlpm.r, _xlfn.XLOOKUP(Clean_Data[[#This Row],[Country_Code]], Metadata_Country!$A:$A, Metadata_Country!$B:$B, "Unknown"), IF(OR(_xlpm.r=0, _xlpm.r=""), "Regional Aggregate", _xlpm.r))</f>
        <v>Sub-Saharan Africa</v>
      </c>
      <c r="G923" s="4" t="str">
        <f>_xlfn.LET(_xlpm.ig, _xlfn.XLOOKUP(Clean_Data[[#This Row],[Country_Code]], Metadata_Country!$A:$A, Metadata_Country!$C:$C, "Unknown"), IF(OR(_xlpm.ig=0, _xlpm.ig=""), "Regional Aggregate", _xlpm.ig))</f>
        <v>Lower middle income</v>
      </c>
      <c r="H923" s="4">
        <f>Clean_Data[[#This Row],[Exports_TIV]] - Clean_Data[[#This Row],[Imports_TIV]]</f>
        <v>-1000000</v>
      </c>
      <c r="I923" s="4">
        <f>Clean_Data[[#This Row],[Exports_TIV]] + Clean_Data[[#This Row],[Imports_TIV]]</f>
        <v>1000000</v>
      </c>
    </row>
    <row r="924" spans="1:9">
      <c r="A924" s="4" t="s">
        <v>271</v>
      </c>
      <c r="B924" s="4" t="s">
        <v>272</v>
      </c>
      <c r="C924" s="5">
        <v>2019</v>
      </c>
      <c r="D924" s="4">
        <v>0</v>
      </c>
      <c r="E924" s="4">
        <v>1000000</v>
      </c>
      <c r="F924" s="4" t="str">
        <f>_xlfn.LET(_xlpm.r, _xlfn.XLOOKUP(Clean_Data[[#This Row],[Country_Code]], Metadata_Country!$A:$A, Metadata_Country!$B:$B, "Unknown"), IF(OR(_xlpm.r=0, _xlpm.r=""), "Regional Aggregate", _xlpm.r))</f>
        <v>Sub-Saharan Africa</v>
      </c>
      <c r="G924" s="4" t="str">
        <f>_xlfn.LET(_xlpm.ig, _xlfn.XLOOKUP(Clean_Data[[#This Row],[Country_Code]], Metadata_Country!$A:$A, Metadata_Country!$C:$C, "Unknown"), IF(OR(_xlpm.ig=0, _xlpm.ig=""), "Regional Aggregate", _xlpm.ig))</f>
        <v>Low income</v>
      </c>
      <c r="H924" s="4">
        <f>Clean_Data[[#This Row],[Exports_TIV]] - Clean_Data[[#This Row],[Imports_TIV]]</f>
        <v>-1000000</v>
      </c>
      <c r="I924" s="4">
        <f>Clean_Data[[#This Row],[Exports_TIV]] + Clean_Data[[#This Row],[Imports_TIV]]</f>
        <v>1000000</v>
      </c>
    </row>
    <row r="925" spans="1:9">
      <c r="A925" s="4" t="s">
        <v>273</v>
      </c>
      <c r="B925" s="4" t="s">
        <v>274</v>
      </c>
      <c r="C925" s="5">
        <v>2019</v>
      </c>
      <c r="D925" s="4">
        <v>0</v>
      </c>
      <c r="E925" s="4">
        <v>34000000</v>
      </c>
      <c r="F925" s="4" t="str">
        <f>_xlfn.LET(_xlpm.r, _xlfn.XLOOKUP(Clean_Data[[#This Row],[Country_Code]], Metadata_Country!$A:$A, Metadata_Country!$B:$B, "Unknown"), IF(OR(_xlpm.r=0, _xlpm.r=""), "Regional Aggregate", _xlpm.r))</f>
        <v>Middle East &amp; North Africa</v>
      </c>
      <c r="G925" s="4" t="str">
        <f>_xlfn.LET(_xlpm.ig, _xlfn.XLOOKUP(Clean_Data[[#This Row],[Country_Code]], Metadata_Country!$A:$A, Metadata_Country!$C:$C, "Unknown"), IF(OR(_xlpm.ig=0, _xlpm.ig=""), "Regional Aggregate", _xlpm.ig))</f>
        <v>Upper middle income</v>
      </c>
      <c r="H925" s="4">
        <f>Clean_Data[[#This Row],[Exports_TIV]] - Clean_Data[[#This Row],[Imports_TIV]]</f>
        <v>-34000000</v>
      </c>
      <c r="I925" s="4">
        <f>Clean_Data[[#This Row],[Exports_TIV]] + Clean_Data[[#This Row],[Imports_TIV]]</f>
        <v>34000000</v>
      </c>
    </row>
    <row r="926" spans="1:9">
      <c r="A926" s="4" t="s">
        <v>295</v>
      </c>
      <c r="B926" s="4" t="s">
        <v>296</v>
      </c>
      <c r="C926" s="5">
        <v>2019</v>
      </c>
      <c r="D926" s="4">
        <v>0</v>
      </c>
      <c r="E926" s="4">
        <v>38000000</v>
      </c>
      <c r="F926" s="4" t="str">
        <f>_xlfn.LET(_xlpm.r, _xlfn.XLOOKUP(Clean_Data[[#This Row],[Country_Code]], Metadata_Country!$A:$A, Metadata_Country!$B:$B, "Unknown"), IF(OR(_xlpm.r=0, _xlpm.r=""), "Regional Aggregate", _xlpm.r))</f>
        <v>Europe &amp; Central Asia</v>
      </c>
      <c r="G926" s="4" t="str">
        <f>_xlfn.LET(_xlpm.ig, _xlfn.XLOOKUP(Clean_Data[[#This Row],[Country_Code]], Metadata_Country!$A:$A, Metadata_Country!$C:$C, "Unknown"), IF(OR(_xlpm.ig=0, _xlpm.ig=""), "Regional Aggregate", _xlpm.ig))</f>
        <v>High income</v>
      </c>
      <c r="H926" s="4">
        <f>Clean_Data[[#This Row],[Exports_TIV]] - Clean_Data[[#This Row],[Imports_TIV]]</f>
        <v>-38000000</v>
      </c>
      <c r="I926" s="4">
        <f>Clean_Data[[#This Row],[Exports_TIV]] + Clean_Data[[#This Row],[Imports_TIV]]</f>
        <v>38000000</v>
      </c>
    </row>
    <row r="927" spans="1:9">
      <c r="A927" s="4" t="s">
        <v>289</v>
      </c>
      <c r="B927" s="4" t="s">
        <v>290</v>
      </c>
      <c r="C927" s="5">
        <v>2019</v>
      </c>
      <c r="D927" s="4">
        <v>2479000000</v>
      </c>
      <c r="E927" s="4">
        <v>12434000000</v>
      </c>
      <c r="F927" s="4" t="str">
        <f>_xlfn.LET(_xlpm.r, _xlfn.XLOOKUP(Clean_Data[[#This Row],[Country_Code]], Metadata_Country!$A:$A, Metadata_Country!$B:$B, "Unknown"), IF(OR(_xlpm.r=0, _xlpm.r=""), "Regional Aggregate", _xlpm.r))</f>
        <v>Regional Aggregate</v>
      </c>
      <c r="G927" s="4" t="str">
        <f>_xlfn.LET(_xlpm.ig, _xlfn.XLOOKUP(Clean_Data[[#This Row],[Country_Code]], Metadata_Country!$A:$A, Metadata_Country!$C:$C, "Unknown"), IF(OR(_xlpm.ig=0, _xlpm.ig=""), "Regional Aggregate", _xlpm.ig))</f>
        <v>Regional Aggregate</v>
      </c>
      <c r="H927" s="4">
        <f>Clean_Data[[#This Row],[Exports_TIV]] - Clean_Data[[#This Row],[Imports_TIV]]</f>
        <v>-9955000000</v>
      </c>
      <c r="I927" s="4">
        <f>Clean_Data[[#This Row],[Exports_TIV]] + Clean_Data[[#This Row],[Imports_TIV]]</f>
        <v>14913000000</v>
      </c>
    </row>
    <row r="928" spans="1:9">
      <c r="A928" s="4" t="s">
        <v>281</v>
      </c>
      <c r="B928" s="4" t="s">
        <v>282</v>
      </c>
      <c r="C928" s="5">
        <v>2019</v>
      </c>
      <c r="D928" s="4">
        <v>0</v>
      </c>
      <c r="E928" s="4">
        <v>670000000</v>
      </c>
      <c r="F928" s="4" t="str">
        <f>_xlfn.LET(_xlpm.r, _xlfn.XLOOKUP(Clean_Data[[#This Row],[Country_Code]], Metadata_Country!$A:$A, Metadata_Country!$B:$B, "Unknown"), IF(OR(_xlpm.r=0, _xlpm.r=""), "Regional Aggregate", _xlpm.r))</f>
        <v>Regional Aggregate</v>
      </c>
      <c r="G928" s="4" t="str">
        <f>_xlfn.LET(_xlpm.ig, _xlfn.XLOOKUP(Clean_Data[[#This Row],[Country_Code]], Metadata_Country!$A:$A, Metadata_Country!$C:$C, "Unknown"), IF(OR(_xlpm.ig=0, _xlpm.ig=""), "Regional Aggregate", _xlpm.ig))</f>
        <v>Regional Aggregate</v>
      </c>
      <c r="H928" s="4">
        <f>Clean_Data[[#This Row],[Exports_TIV]] - Clean_Data[[#This Row],[Imports_TIV]]</f>
        <v>-670000000</v>
      </c>
      <c r="I928" s="4">
        <f>Clean_Data[[#This Row],[Exports_TIV]] + Clean_Data[[#This Row],[Imports_TIV]]</f>
        <v>670000000</v>
      </c>
    </row>
    <row r="929" spans="1:9">
      <c r="A929" s="4" t="s">
        <v>287</v>
      </c>
      <c r="B929" s="4" t="s">
        <v>288</v>
      </c>
      <c r="C929" s="5">
        <v>2019</v>
      </c>
      <c r="D929" s="4">
        <v>0</v>
      </c>
      <c r="E929" s="4">
        <v>6593000000</v>
      </c>
      <c r="F929" s="4" t="str">
        <f>_xlfn.LET(_xlpm.r, _xlfn.XLOOKUP(Clean_Data[[#This Row],[Country_Code]], Metadata_Country!$A:$A, Metadata_Country!$B:$B, "Unknown"), IF(OR(_xlpm.r=0, _xlpm.r=""), "Regional Aggregate", _xlpm.r))</f>
        <v>Regional Aggregate</v>
      </c>
      <c r="G929" s="4" t="str">
        <f>_xlfn.LET(_xlpm.ig, _xlfn.XLOOKUP(Clean_Data[[#This Row],[Country_Code]], Metadata_Country!$A:$A, Metadata_Country!$C:$C, "Unknown"), IF(OR(_xlpm.ig=0, _xlpm.ig=""), "Regional Aggregate", _xlpm.ig))</f>
        <v>Regional Aggregate</v>
      </c>
      <c r="H929" s="4">
        <f>Clean_Data[[#This Row],[Exports_TIV]] - Clean_Data[[#This Row],[Imports_TIV]]</f>
        <v>-6593000000</v>
      </c>
      <c r="I929" s="4">
        <f>Clean_Data[[#This Row],[Exports_TIV]] + Clean_Data[[#This Row],[Imports_TIV]]</f>
        <v>6593000000</v>
      </c>
    </row>
    <row r="930" spans="1:9">
      <c r="A930" s="4" t="s">
        <v>297</v>
      </c>
      <c r="B930" s="4" t="s">
        <v>298</v>
      </c>
      <c r="C930" s="5">
        <v>2019</v>
      </c>
      <c r="D930" s="4">
        <v>0</v>
      </c>
      <c r="E930" s="4">
        <v>3000000</v>
      </c>
      <c r="F930" s="4" t="str">
        <f>_xlfn.LET(_xlpm.r, _xlfn.XLOOKUP(Clean_Data[[#This Row],[Country_Code]], Metadata_Country!$A:$A, Metadata_Country!$B:$B, "Unknown"), IF(OR(_xlpm.r=0, _xlpm.r=""), "Regional Aggregate", _xlpm.r))</f>
        <v>Europe &amp; Central Asia</v>
      </c>
      <c r="G930" s="4" t="str">
        <f>_xlfn.LET(_xlpm.ig, _xlfn.XLOOKUP(Clean_Data[[#This Row],[Country_Code]], Metadata_Country!$A:$A, Metadata_Country!$C:$C, "Unknown"), IF(OR(_xlpm.ig=0, _xlpm.ig=""), "Regional Aggregate", _xlpm.ig))</f>
        <v>High income</v>
      </c>
      <c r="H930" s="4">
        <f>Clean_Data[[#This Row],[Exports_TIV]] - Clean_Data[[#This Row],[Imports_TIV]]</f>
        <v>-3000000</v>
      </c>
      <c r="I930" s="4">
        <f>Clean_Data[[#This Row],[Exports_TIV]] + Clean_Data[[#This Row],[Imports_TIV]]</f>
        <v>3000000</v>
      </c>
    </row>
    <row r="931" spans="1:9">
      <c r="A931" s="4" t="s">
        <v>311</v>
      </c>
      <c r="B931" s="4" t="s">
        <v>312</v>
      </c>
      <c r="C931" s="5">
        <v>2019</v>
      </c>
      <c r="D931" s="4">
        <v>0</v>
      </c>
      <c r="E931" s="4">
        <v>1000000</v>
      </c>
      <c r="F931" s="4" t="str">
        <f>_xlfn.LET(_xlpm.r, _xlfn.XLOOKUP(Clean_Data[[#This Row],[Country_Code]], Metadata_Country!$A:$A, Metadata_Country!$B:$B, "Unknown"), IF(OR(_xlpm.r=0, _xlpm.r=""), "Regional Aggregate", _xlpm.r))</f>
        <v>Sub-Saharan Africa</v>
      </c>
      <c r="G931" s="4" t="str">
        <f>_xlfn.LET(_xlpm.ig, _xlfn.XLOOKUP(Clean_Data[[#This Row],[Country_Code]], Metadata_Country!$A:$A, Metadata_Country!$C:$C, "Unknown"), IF(OR(_xlpm.ig=0, _xlpm.ig=""), "Regional Aggregate", _xlpm.ig))</f>
        <v>Low income</v>
      </c>
      <c r="H931" s="4">
        <f>Clean_Data[[#This Row],[Exports_TIV]] - Clean_Data[[#This Row],[Imports_TIV]]</f>
        <v>-1000000</v>
      </c>
      <c r="I931" s="4">
        <f>Clean_Data[[#This Row],[Exports_TIV]] + Clean_Data[[#This Row],[Imports_TIV]]</f>
        <v>1000000</v>
      </c>
    </row>
    <row r="932" spans="1:9">
      <c r="A932" s="4" t="s">
        <v>347</v>
      </c>
      <c r="B932" s="4" t="s">
        <v>348</v>
      </c>
      <c r="C932" s="5">
        <v>2019</v>
      </c>
      <c r="D932" s="4">
        <v>1000000</v>
      </c>
      <c r="E932" s="4">
        <v>68000000</v>
      </c>
      <c r="F932" s="4" t="str">
        <f>_xlfn.LET(_xlpm.r, _xlfn.XLOOKUP(Clean_Data[[#This Row],[Country_Code]], Metadata_Country!$A:$A, Metadata_Country!$B:$B, "Unknown"), IF(OR(_xlpm.r=0, _xlpm.r=""), "Regional Aggregate", _xlpm.r))</f>
        <v>East Asia &amp; Pacific</v>
      </c>
      <c r="G932" s="4" t="str">
        <f>_xlfn.LET(_xlpm.ig, _xlfn.XLOOKUP(Clean_Data[[#This Row],[Country_Code]], Metadata_Country!$A:$A, Metadata_Country!$C:$C, "Unknown"), IF(OR(_xlpm.ig=0, _xlpm.ig=""), "Regional Aggregate", _xlpm.ig))</f>
        <v>Upper middle income</v>
      </c>
      <c r="H932" s="4">
        <f>Clean_Data[[#This Row],[Exports_TIV]] - Clean_Data[[#This Row],[Imports_TIV]]</f>
        <v>-67000000</v>
      </c>
      <c r="I932" s="4">
        <f>Clean_Data[[#This Row],[Exports_TIV]] + Clean_Data[[#This Row],[Imports_TIV]]</f>
        <v>69000000</v>
      </c>
    </row>
    <row r="933" spans="1:9">
      <c r="A933" s="4" t="s">
        <v>313</v>
      </c>
      <c r="B933" s="4" t="s">
        <v>314</v>
      </c>
      <c r="C933" s="5">
        <v>2019</v>
      </c>
      <c r="D933" s="4">
        <v>0</v>
      </c>
      <c r="E933" s="4">
        <v>2000000</v>
      </c>
      <c r="F933" s="4" t="str">
        <f>_xlfn.LET(_xlpm.r, _xlfn.XLOOKUP(Clean_Data[[#This Row],[Country_Code]], Metadata_Country!$A:$A, Metadata_Country!$B:$B, "Unknown"), IF(OR(_xlpm.r=0, _xlpm.r=""), "Regional Aggregate", _xlpm.r))</f>
        <v>South Asia</v>
      </c>
      <c r="G933" s="4" t="str">
        <f>_xlfn.LET(_xlpm.ig, _xlfn.XLOOKUP(Clean_Data[[#This Row],[Country_Code]], Metadata_Country!$A:$A, Metadata_Country!$C:$C, "Unknown"), IF(OR(_xlpm.ig=0, _xlpm.ig=""), "Regional Aggregate", _xlpm.ig))</f>
        <v>Upper middle income</v>
      </c>
      <c r="H933" s="4">
        <f>Clean_Data[[#This Row],[Exports_TIV]] - Clean_Data[[#This Row],[Imports_TIV]]</f>
        <v>-2000000</v>
      </c>
      <c r="I933" s="4">
        <f>Clean_Data[[#This Row],[Exports_TIV]] + Clean_Data[[#This Row],[Imports_TIV]]</f>
        <v>2000000</v>
      </c>
    </row>
    <row r="934" spans="1:9">
      <c r="A934" s="4" t="s">
        <v>325</v>
      </c>
      <c r="B934" s="4" t="s">
        <v>326</v>
      </c>
      <c r="C934" s="5">
        <v>2019</v>
      </c>
      <c r="D934" s="4">
        <v>0</v>
      </c>
      <c r="E934" s="4">
        <v>20000000</v>
      </c>
      <c r="F934" s="4" t="str">
        <f>_xlfn.LET(_xlpm.r, _xlfn.XLOOKUP(Clean_Data[[#This Row],[Country_Code]], Metadata_Country!$A:$A, Metadata_Country!$B:$B, "Unknown"), IF(OR(_xlpm.r=0, _xlpm.r=""), "Regional Aggregate", _xlpm.r))</f>
        <v>Sub-Saharan Africa</v>
      </c>
      <c r="G934" s="4" t="str">
        <f>_xlfn.LET(_xlpm.ig, _xlfn.XLOOKUP(Clean_Data[[#This Row],[Country_Code]], Metadata_Country!$A:$A, Metadata_Country!$C:$C, "Unknown"), IF(OR(_xlpm.ig=0, _xlpm.ig=""), "Regional Aggregate", _xlpm.ig))</f>
        <v>Low income</v>
      </c>
      <c r="H934" s="4">
        <f>Clean_Data[[#This Row],[Exports_TIV]] - Clean_Data[[#This Row],[Imports_TIV]]</f>
        <v>-20000000</v>
      </c>
      <c r="I934" s="4">
        <f>Clean_Data[[#This Row],[Exports_TIV]] + Clean_Data[[#This Row],[Imports_TIV]]</f>
        <v>20000000</v>
      </c>
    </row>
    <row r="935" spans="1:9">
      <c r="A935" s="4" t="s">
        <v>341</v>
      </c>
      <c r="B935" s="4" t="s">
        <v>342</v>
      </c>
      <c r="C935" s="5">
        <v>2019</v>
      </c>
      <c r="D935" s="4">
        <v>0</v>
      </c>
      <c r="E935" s="4">
        <v>34000000</v>
      </c>
      <c r="F935" s="4" t="str">
        <f>_xlfn.LET(_xlpm.r, _xlfn.XLOOKUP(Clean_Data[[#This Row],[Country_Code]], Metadata_Country!$A:$A, Metadata_Country!$B:$B, "Unknown"), IF(OR(_xlpm.r=0, _xlpm.r=""), "Regional Aggregate", _xlpm.r))</f>
        <v>Sub-Saharan Africa</v>
      </c>
      <c r="G935" s="4" t="str">
        <f>_xlfn.LET(_xlpm.ig, _xlfn.XLOOKUP(Clean_Data[[#This Row],[Country_Code]], Metadata_Country!$A:$A, Metadata_Country!$C:$C, "Unknown"), IF(OR(_xlpm.ig=0, _xlpm.ig=""), "Regional Aggregate", _xlpm.ig))</f>
        <v>Lower middle income</v>
      </c>
      <c r="H935" s="4">
        <f>Clean_Data[[#This Row],[Exports_TIV]] - Clean_Data[[#This Row],[Imports_TIV]]</f>
        <v>-34000000</v>
      </c>
      <c r="I935" s="4">
        <f>Clean_Data[[#This Row],[Exports_TIV]] + Clean_Data[[#This Row],[Imports_TIV]]</f>
        <v>34000000</v>
      </c>
    </row>
    <row r="936" spans="1:9">
      <c r="A936" s="4" t="s">
        <v>317</v>
      </c>
      <c r="B936" s="4" t="s">
        <v>318</v>
      </c>
      <c r="C936" s="5">
        <v>2019</v>
      </c>
      <c r="D936" s="4">
        <v>1000000</v>
      </c>
      <c r="E936" s="4">
        <v>0</v>
      </c>
      <c r="F936" s="4" t="str">
        <f>_xlfn.LET(_xlpm.r, _xlfn.XLOOKUP(Clean_Data[[#This Row],[Country_Code]], Metadata_Country!$A:$A, Metadata_Country!$B:$B, "Unknown"), IF(OR(_xlpm.r=0, _xlpm.r=""), "Regional Aggregate", _xlpm.r))</f>
        <v>Latin America &amp; Caribbean</v>
      </c>
      <c r="G936" s="4" t="str">
        <f>_xlfn.LET(_xlpm.ig, _xlfn.XLOOKUP(Clean_Data[[#This Row],[Country_Code]], Metadata_Country!$A:$A, Metadata_Country!$C:$C, "Unknown"), IF(OR(_xlpm.ig=0, _xlpm.ig=""), "Regional Aggregate", _xlpm.ig))</f>
        <v>Upper middle income</v>
      </c>
      <c r="H936" s="4">
        <f>Clean_Data[[#This Row],[Exports_TIV]] - Clean_Data[[#This Row],[Imports_TIV]]</f>
        <v>1000000</v>
      </c>
      <c r="I936" s="4">
        <f>Clean_Data[[#This Row],[Exports_TIV]] + Clean_Data[[#This Row],[Imports_TIV]]</f>
        <v>1000000</v>
      </c>
    </row>
    <row r="937" spans="1:9">
      <c r="A937" s="4" t="s">
        <v>315</v>
      </c>
      <c r="B937" s="4" t="s">
        <v>316</v>
      </c>
      <c r="C937" s="5">
        <v>2019</v>
      </c>
      <c r="D937" s="4">
        <v>0</v>
      </c>
      <c r="E937" s="4">
        <v>9610000000</v>
      </c>
      <c r="F937" s="4" t="str">
        <f>_xlfn.LET(_xlpm.r, _xlfn.XLOOKUP(Clean_Data[[#This Row],[Country_Code]], Metadata_Country!$A:$A, Metadata_Country!$B:$B, "Unknown"), IF(OR(_xlpm.r=0, _xlpm.r=""), "Regional Aggregate", _xlpm.r))</f>
        <v>Regional Aggregate</v>
      </c>
      <c r="G937" s="4" t="str">
        <f>_xlfn.LET(_xlpm.ig, _xlfn.XLOOKUP(Clean_Data[[#This Row],[Country_Code]], Metadata_Country!$A:$A, Metadata_Country!$C:$C, "Unknown"), IF(OR(_xlpm.ig=0, _xlpm.ig=""), "Regional Aggregate", _xlpm.ig))</f>
        <v>Regional Aggregate</v>
      </c>
      <c r="H937" s="4">
        <f>Clean_Data[[#This Row],[Exports_TIV]] - Clean_Data[[#This Row],[Imports_TIV]]</f>
        <v>-9610000000</v>
      </c>
      <c r="I937" s="4">
        <f>Clean_Data[[#This Row],[Exports_TIV]] + Clean_Data[[#This Row],[Imports_TIV]]</f>
        <v>9610000000</v>
      </c>
    </row>
    <row r="938" spans="1:9">
      <c r="A938" s="4" t="s">
        <v>331</v>
      </c>
      <c r="B938" s="4" t="s">
        <v>332</v>
      </c>
      <c r="C938" s="5">
        <v>2019</v>
      </c>
      <c r="D938" s="4">
        <v>0</v>
      </c>
      <c r="E938" s="4">
        <v>2917000000</v>
      </c>
      <c r="F938" s="4" t="str">
        <f>_xlfn.LET(_xlpm.r, _xlfn.XLOOKUP(Clean_Data[[#This Row],[Country_Code]], Metadata_Country!$A:$A, Metadata_Country!$B:$B, "Unknown"), IF(OR(_xlpm.r=0, _xlpm.r=""), "Regional Aggregate", _xlpm.r))</f>
        <v>Regional Aggregate</v>
      </c>
      <c r="G938" s="4" t="str">
        <f>_xlfn.LET(_xlpm.ig, _xlfn.XLOOKUP(Clean_Data[[#This Row],[Country_Code]], Metadata_Country!$A:$A, Metadata_Country!$C:$C, "Unknown"), IF(OR(_xlpm.ig=0, _xlpm.ig=""), "Regional Aggregate", _xlpm.ig))</f>
        <v>Regional Aggregate</v>
      </c>
      <c r="H938" s="4">
        <f>Clean_Data[[#This Row],[Exports_TIV]] - Clean_Data[[#This Row],[Imports_TIV]]</f>
        <v>-2917000000</v>
      </c>
      <c r="I938" s="4">
        <f>Clean_Data[[#This Row],[Exports_TIV]] + Clean_Data[[#This Row],[Imports_TIV]]</f>
        <v>2917000000</v>
      </c>
    </row>
    <row r="939" spans="1:9">
      <c r="A939" s="4" t="s">
        <v>485</v>
      </c>
      <c r="B939" s="4" t="s">
        <v>486</v>
      </c>
      <c r="C939" s="5">
        <v>2019</v>
      </c>
      <c r="D939" s="4">
        <v>0</v>
      </c>
      <c r="E939" s="4">
        <v>2916000000</v>
      </c>
      <c r="F939" s="4" t="str">
        <f>_xlfn.LET(_xlpm.r, _xlfn.XLOOKUP(Clean_Data[[#This Row],[Country_Code]], Metadata_Country!$A:$A, Metadata_Country!$B:$B, "Unknown"), IF(OR(_xlpm.r=0, _xlpm.r=""), "Regional Aggregate", _xlpm.r))</f>
        <v>Regional Aggregate</v>
      </c>
      <c r="G939" s="4" t="str">
        <f>_xlfn.LET(_xlpm.ig, _xlfn.XLOOKUP(Clean_Data[[#This Row],[Country_Code]], Metadata_Country!$A:$A, Metadata_Country!$C:$C, "Unknown"), IF(OR(_xlpm.ig=0, _xlpm.ig=""), "Regional Aggregate", _xlpm.ig))</f>
        <v>Regional Aggregate</v>
      </c>
      <c r="H939" s="4">
        <f>Clean_Data[[#This Row],[Exports_TIV]] - Clean_Data[[#This Row],[Imports_TIV]]</f>
        <v>-2916000000</v>
      </c>
      <c r="I939" s="4">
        <f>Clean_Data[[#This Row],[Exports_TIV]] + Clean_Data[[#This Row],[Imports_TIV]]</f>
        <v>2916000000</v>
      </c>
    </row>
    <row r="940" spans="1:9">
      <c r="A940" s="4" t="s">
        <v>321</v>
      </c>
      <c r="B940" s="4" t="s">
        <v>322</v>
      </c>
      <c r="C940" s="5">
        <v>2019</v>
      </c>
      <c r="D940" s="4">
        <v>2479000000</v>
      </c>
      <c r="E940" s="4">
        <v>11764000000</v>
      </c>
      <c r="F940" s="4" t="str">
        <f>_xlfn.LET(_xlpm.r, _xlfn.XLOOKUP(Clean_Data[[#This Row],[Country_Code]], Metadata_Country!$A:$A, Metadata_Country!$B:$B, "Unknown"), IF(OR(_xlpm.r=0, _xlpm.r=""), "Regional Aggregate", _xlpm.r))</f>
        <v>Regional Aggregate</v>
      </c>
      <c r="G940" s="4" t="str">
        <f>_xlfn.LET(_xlpm.ig, _xlfn.XLOOKUP(Clean_Data[[#This Row],[Country_Code]], Metadata_Country!$A:$A, Metadata_Country!$C:$C, "Unknown"), IF(OR(_xlpm.ig=0, _xlpm.ig=""), "Regional Aggregate", _xlpm.ig))</f>
        <v>Regional Aggregate</v>
      </c>
      <c r="H940" s="4">
        <f>Clean_Data[[#This Row],[Exports_TIV]] - Clean_Data[[#This Row],[Imports_TIV]]</f>
        <v>-9285000000</v>
      </c>
      <c r="I940" s="4">
        <f>Clean_Data[[#This Row],[Exports_TIV]] + Clean_Data[[#This Row],[Imports_TIV]]</f>
        <v>14243000000</v>
      </c>
    </row>
    <row r="941" spans="1:9">
      <c r="A941" s="4" t="s">
        <v>335</v>
      </c>
      <c r="B941" s="4" t="s">
        <v>336</v>
      </c>
      <c r="C941" s="5">
        <v>2019</v>
      </c>
      <c r="D941" s="4">
        <v>0</v>
      </c>
      <c r="E941" s="4">
        <v>17000000</v>
      </c>
      <c r="F941" s="4" t="str">
        <f>_xlfn.LET(_xlpm.r, _xlfn.XLOOKUP(Clean_Data[[#This Row],[Country_Code]], Metadata_Country!$A:$A, Metadata_Country!$B:$B, "Unknown"), IF(OR(_xlpm.r=0, _xlpm.r=""), "Regional Aggregate", _xlpm.r))</f>
        <v>East Asia &amp; Pacific</v>
      </c>
      <c r="G941" s="4" t="str">
        <f>_xlfn.LET(_xlpm.ig, _xlfn.XLOOKUP(Clean_Data[[#This Row],[Country_Code]], Metadata_Country!$A:$A, Metadata_Country!$C:$C, "Unknown"), IF(OR(_xlpm.ig=0, _xlpm.ig=""), "Regional Aggregate", _xlpm.ig))</f>
        <v>Upper middle income</v>
      </c>
      <c r="H941" s="4">
        <f>Clean_Data[[#This Row],[Exports_TIV]] - Clean_Data[[#This Row],[Imports_TIV]]</f>
        <v>-17000000</v>
      </c>
      <c r="I941" s="4">
        <f>Clean_Data[[#This Row],[Exports_TIV]] + Clean_Data[[#This Row],[Imports_TIV]]</f>
        <v>17000000</v>
      </c>
    </row>
    <row r="942" spans="1:9">
      <c r="A942" s="4" t="s">
        <v>305</v>
      </c>
      <c r="B942" s="4" t="s">
        <v>306</v>
      </c>
      <c r="C942" s="5">
        <v>2019</v>
      </c>
      <c r="D942" s="4">
        <v>0</v>
      </c>
      <c r="E942" s="4">
        <v>48000000</v>
      </c>
      <c r="F942" s="4" t="str">
        <f>_xlfn.LET(_xlpm.r, _xlfn.XLOOKUP(Clean_Data[[#This Row],[Country_Code]], Metadata_Country!$A:$A, Metadata_Country!$B:$B, "Unknown"), IF(OR(_xlpm.r=0, _xlpm.r=""), "Regional Aggregate", _xlpm.r))</f>
        <v>Middle East &amp; North Africa</v>
      </c>
      <c r="G942" s="4" t="str">
        <f>_xlfn.LET(_xlpm.ig, _xlfn.XLOOKUP(Clean_Data[[#This Row],[Country_Code]], Metadata_Country!$A:$A, Metadata_Country!$C:$C, "Unknown"), IF(OR(_xlpm.ig=0, _xlpm.ig=""), "Regional Aggregate", _xlpm.ig))</f>
        <v>Lower middle income</v>
      </c>
      <c r="H942" s="4">
        <f>Clean_Data[[#This Row],[Exports_TIV]] - Clean_Data[[#This Row],[Imports_TIV]]</f>
        <v>-48000000</v>
      </c>
      <c r="I942" s="4">
        <f>Clean_Data[[#This Row],[Exports_TIV]] + Clean_Data[[#This Row],[Imports_TIV]]</f>
        <v>48000000</v>
      </c>
    </row>
    <row r="943" spans="1:9">
      <c r="A943" s="4" t="s">
        <v>339</v>
      </c>
      <c r="B943" s="4" t="s">
        <v>340</v>
      </c>
      <c r="C943" s="5">
        <v>2019</v>
      </c>
      <c r="D943" s="4">
        <v>0</v>
      </c>
      <c r="E943" s="4">
        <v>22000000</v>
      </c>
      <c r="F943" s="4" t="str">
        <f>_xlfn.LET(_xlpm.r, _xlfn.XLOOKUP(Clean_Data[[#This Row],[Country_Code]], Metadata_Country!$A:$A, Metadata_Country!$B:$B, "Unknown"), IF(OR(_xlpm.r=0, _xlpm.r=""), "Regional Aggregate", _xlpm.r))</f>
        <v>Sub-Saharan Africa</v>
      </c>
      <c r="G943" s="4" t="str">
        <f>_xlfn.LET(_xlpm.ig, _xlfn.XLOOKUP(Clean_Data[[#This Row],[Country_Code]], Metadata_Country!$A:$A, Metadata_Country!$C:$C, "Unknown"), IF(OR(_xlpm.ig=0, _xlpm.ig=""), "Regional Aggregate", _xlpm.ig))</f>
        <v>Low income</v>
      </c>
      <c r="H943" s="4">
        <f>Clean_Data[[#This Row],[Exports_TIV]] - Clean_Data[[#This Row],[Imports_TIV]]</f>
        <v>-22000000</v>
      </c>
      <c r="I943" s="4">
        <f>Clean_Data[[#This Row],[Exports_TIV]] + Clean_Data[[#This Row],[Imports_TIV]]</f>
        <v>22000000</v>
      </c>
    </row>
    <row r="944" spans="1:9">
      <c r="A944" s="4" t="s">
        <v>329</v>
      </c>
      <c r="B944" s="4" t="s">
        <v>330</v>
      </c>
      <c r="C944" s="5">
        <v>2019</v>
      </c>
      <c r="D944" s="4">
        <v>0</v>
      </c>
      <c r="E944" s="4">
        <v>206000000</v>
      </c>
      <c r="F944" s="4" t="str">
        <f>_xlfn.LET(_xlpm.r, _xlfn.XLOOKUP(Clean_Data[[#This Row],[Country_Code]], Metadata_Country!$A:$A, Metadata_Country!$B:$B, "Unknown"), IF(OR(_xlpm.r=0, _xlpm.r=""), "Regional Aggregate", _xlpm.r))</f>
        <v>East Asia &amp; Pacific</v>
      </c>
      <c r="G944" s="4" t="str">
        <f>_xlfn.LET(_xlpm.ig, _xlfn.XLOOKUP(Clean_Data[[#This Row],[Country_Code]], Metadata_Country!$A:$A, Metadata_Country!$C:$C, "Unknown"), IF(OR(_xlpm.ig=0, _xlpm.ig=""), "Regional Aggregate", _xlpm.ig))</f>
        <v>Lower middle income</v>
      </c>
      <c r="H944" s="4">
        <f>Clean_Data[[#This Row],[Exports_TIV]] - Clean_Data[[#This Row],[Imports_TIV]]</f>
        <v>-206000000</v>
      </c>
      <c r="I944" s="4">
        <f>Clean_Data[[#This Row],[Exports_TIV]] + Clean_Data[[#This Row],[Imports_TIV]]</f>
        <v>206000000</v>
      </c>
    </row>
    <row r="945" spans="1:9">
      <c r="A945" s="4" t="s">
        <v>365</v>
      </c>
      <c r="B945" s="4" t="s">
        <v>366</v>
      </c>
      <c r="C945" s="5">
        <v>2019</v>
      </c>
      <c r="D945" s="4">
        <v>0</v>
      </c>
      <c r="E945" s="4">
        <v>38000000</v>
      </c>
      <c r="F945" s="4" t="str">
        <f>_xlfn.LET(_xlpm.r, _xlfn.XLOOKUP(Clean_Data[[#This Row],[Country_Code]], Metadata_Country!$A:$A, Metadata_Country!$B:$B, "Unknown"), IF(OR(_xlpm.r=0, _xlpm.r=""), "Regional Aggregate", _xlpm.r))</f>
        <v>South Asia</v>
      </c>
      <c r="G945" s="4" t="str">
        <f>_xlfn.LET(_xlpm.ig, _xlfn.XLOOKUP(Clean_Data[[#This Row],[Country_Code]], Metadata_Country!$A:$A, Metadata_Country!$C:$C, "Unknown"), IF(OR(_xlpm.ig=0, _xlpm.ig=""), "Regional Aggregate", _xlpm.ig))</f>
        <v>Lower middle income</v>
      </c>
      <c r="H945" s="4">
        <f>Clean_Data[[#This Row],[Exports_TIV]] - Clean_Data[[#This Row],[Imports_TIV]]</f>
        <v>-38000000</v>
      </c>
      <c r="I945" s="4">
        <f>Clean_Data[[#This Row],[Exports_TIV]] + Clean_Data[[#This Row],[Imports_TIV]]</f>
        <v>38000000</v>
      </c>
    </row>
    <row r="946" spans="1:9">
      <c r="A946" s="4" t="s">
        <v>361</v>
      </c>
      <c r="B946" s="4" t="s">
        <v>362</v>
      </c>
      <c r="C946" s="5">
        <v>2019</v>
      </c>
      <c r="D946" s="4">
        <v>304000000</v>
      </c>
      <c r="E946" s="4">
        <v>494000000</v>
      </c>
      <c r="F946" s="4" t="str">
        <f>_xlfn.LET(_xlpm.r, _xlfn.XLOOKUP(Clean_Data[[#This Row],[Country_Code]], Metadata_Country!$A:$A, Metadata_Country!$B:$B, "Unknown"), IF(OR(_xlpm.r=0, _xlpm.r=""), "Regional Aggregate", _xlpm.r))</f>
        <v>Europe &amp; Central Asia</v>
      </c>
      <c r="G946" s="4" t="str">
        <f>_xlfn.LET(_xlpm.ig, _xlfn.XLOOKUP(Clean_Data[[#This Row],[Country_Code]], Metadata_Country!$A:$A, Metadata_Country!$C:$C, "Unknown"), IF(OR(_xlpm.ig=0, _xlpm.ig=""), "Regional Aggregate", _xlpm.ig))</f>
        <v>High income</v>
      </c>
      <c r="H946" s="4">
        <f>Clean_Data[[#This Row],[Exports_TIV]] - Clean_Data[[#This Row],[Imports_TIV]]</f>
        <v>-190000000</v>
      </c>
      <c r="I946" s="4">
        <f>Clean_Data[[#This Row],[Exports_TIV]] + Clean_Data[[#This Row],[Imports_TIV]]</f>
        <v>798000000</v>
      </c>
    </row>
    <row r="947" spans="1:9">
      <c r="A947" s="4" t="s">
        <v>369</v>
      </c>
      <c r="B947" s="4" t="s">
        <v>370</v>
      </c>
      <c r="C947" s="5">
        <v>2019</v>
      </c>
      <c r="D947" s="4">
        <v>0</v>
      </c>
      <c r="E947" s="4">
        <v>3000000</v>
      </c>
      <c r="F947" s="4" t="str">
        <f>_xlfn.LET(_xlpm.r, _xlfn.XLOOKUP(Clean_Data[[#This Row],[Country_Code]], Metadata_Country!$A:$A, Metadata_Country!$B:$B, "Unknown"), IF(OR(_xlpm.r=0, _xlpm.r=""), "Regional Aggregate", _xlpm.r))</f>
        <v>East Asia &amp; Pacific</v>
      </c>
      <c r="G947" s="4" t="str">
        <f>_xlfn.LET(_xlpm.ig, _xlfn.XLOOKUP(Clean_Data[[#This Row],[Country_Code]], Metadata_Country!$A:$A, Metadata_Country!$C:$C, "Unknown"), IF(OR(_xlpm.ig=0, _xlpm.ig=""), "Regional Aggregate", _xlpm.ig))</f>
        <v>High income</v>
      </c>
      <c r="H947" s="4">
        <f>Clean_Data[[#This Row],[Exports_TIV]] - Clean_Data[[#This Row],[Imports_TIV]]</f>
        <v>-3000000</v>
      </c>
      <c r="I947" s="4">
        <f>Clean_Data[[#This Row],[Exports_TIV]] + Clean_Data[[#This Row],[Imports_TIV]]</f>
        <v>3000000</v>
      </c>
    </row>
    <row r="948" spans="1:9">
      <c r="A948" s="4" t="s">
        <v>359</v>
      </c>
      <c r="B948" s="4" t="s">
        <v>360</v>
      </c>
      <c r="C948" s="5">
        <v>2019</v>
      </c>
      <c r="D948" s="4">
        <v>0</v>
      </c>
      <c r="E948" s="4">
        <v>13000000</v>
      </c>
      <c r="F948" s="4" t="str">
        <f>_xlfn.LET(_xlpm.r, _xlfn.XLOOKUP(Clean_Data[[#This Row],[Country_Code]], Metadata_Country!$A:$A, Metadata_Country!$B:$B, "Unknown"), IF(OR(_xlpm.r=0, _xlpm.r=""), "Regional Aggregate", _xlpm.r))</f>
        <v>Latin America &amp; Caribbean</v>
      </c>
      <c r="G948" s="4" t="str">
        <f>_xlfn.LET(_xlpm.ig, _xlfn.XLOOKUP(Clean_Data[[#This Row],[Country_Code]], Metadata_Country!$A:$A, Metadata_Country!$C:$C, "Unknown"), IF(OR(_xlpm.ig=0, _xlpm.ig=""), "Regional Aggregate", _xlpm.ig))</f>
        <v>Lower middle income</v>
      </c>
      <c r="H948" s="4">
        <f>Clean_Data[[#This Row],[Exports_TIV]] - Clean_Data[[#This Row],[Imports_TIV]]</f>
        <v>-13000000</v>
      </c>
      <c r="I948" s="4">
        <f>Clean_Data[[#This Row],[Exports_TIV]] + Clean_Data[[#This Row],[Imports_TIV]]</f>
        <v>13000000</v>
      </c>
    </row>
    <row r="949" spans="1:9">
      <c r="A949" s="4" t="s">
        <v>355</v>
      </c>
      <c r="B949" s="4" t="s">
        <v>356</v>
      </c>
      <c r="C949" s="5">
        <v>2019</v>
      </c>
      <c r="D949" s="4">
        <v>0</v>
      </c>
      <c r="E949" s="4">
        <v>5000000</v>
      </c>
      <c r="F949" s="4" t="str">
        <f>_xlfn.LET(_xlpm.r, _xlfn.XLOOKUP(Clean_Data[[#This Row],[Country_Code]], Metadata_Country!$A:$A, Metadata_Country!$B:$B, "Unknown"), IF(OR(_xlpm.r=0, _xlpm.r=""), "Regional Aggregate", _xlpm.r))</f>
        <v>Sub-Saharan Africa</v>
      </c>
      <c r="G949" s="4" t="str">
        <f>_xlfn.LET(_xlpm.ig, _xlfn.XLOOKUP(Clean_Data[[#This Row],[Country_Code]], Metadata_Country!$A:$A, Metadata_Country!$C:$C, "Unknown"), IF(OR(_xlpm.ig=0, _xlpm.ig=""), "Regional Aggregate", _xlpm.ig))</f>
        <v>Low income</v>
      </c>
      <c r="H949" s="4">
        <f>Clean_Data[[#This Row],[Exports_TIV]] - Clean_Data[[#This Row],[Imports_TIV]]</f>
        <v>-5000000</v>
      </c>
      <c r="I949" s="4">
        <f>Clean_Data[[#This Row],[Exports_TIV]] + Clean_Data[[#This Row],[Imports_TIV]]</f>
        <v>5000000</v>
      </c>
    </row>
    <row r="950" spans="1:9">
      <c r="A950" s="4" t="s">
        <v>357</v>
      </c>
      <c r="B950" s="4" t="s">
        <v>358</v>
      </c>
      <c r="C950" s="5">
        <v>2019</v>
      </c>
      <c r="D950" s="4">
        <v>0</v>
      </c>
      <c r="E950" s="4">
        <v>18000000</v>
      </c>
      <c r="F950" s="4" t="str">
        <f>_xlfn.LET(_xlpm.r, _xlfn.XLOOKUP(Clean_Data[[#This Row],[Country_Code]], Metadata_Country!$A:$A, Metadata_Country!$B:$B, "Unknown"), IF(OR(_xlpm.r=0, _xlpm.r=""), "Regional Aggregate", _xlpm.r))</f>
        <v>Sub-Saharan Africa</v>
      </c>
      <c r="G950" s="4" t="str">
        <f>_xlfn.LET(_xlpm.ig, _xlfn.XLOOKUP(Clean_Data[[#This Row],[Country_Code]], Metadata_Country!$A:$A, Metadata_Country!$C:$C, "Unknown"), IF(OR(_xlpm.ig=0, _xlpm.ig=""), "Regional Aggregate", _xlpm.ig))</f>
        <v>Lower middle income</v>
      </c>
      <c r="H950" s="4">
        <f>Clean_Data[[#This Row],[Exports_TIV]] - Clean_Data[[#This Row],[Imports_TIV]]</f>
        <v>-18000000</v>
      </c>
      <c r="I950" s="4">
        <f>Clean_Data[[#This Row],[Exports_TIV]] + Clean_Data[[#This Row],[Imports_TIV]]</f>
        <v>18000000</v>
      </c>
    </row>
    <row r="951" spans="1:9">
      <c r="A951" s="4" t="s">
        <v>349</v>
      </c>
      <c r="B951" s="4" t="s">
        <v>350</v>
      </c>
      <c r="C951" s="5">
        <v>2019</v>
      </c>
      <c r="D951" s="4">
        <v>10721000000</v>
      </c>
      <c r="E951" s="4">
        <v>1069000000</v>
      </c>
      <c r="F951" s="4" t="str">
        <f>_xlfn.LET(_xlpm.r, _xlfn.XLOOKUP(Clean_Data[[#This Row],[Country_Code]], Metadata_Country!$A:$A, Metadata_Country!$B:$B, "Unknown"), IF(OR(_xlpm.r=0, _xlpm.r=""), "Regional Aggregate", _xlpm.r))</f>
        <v>Regional Aggregate</v>
      </c>
      <c r="G951" s="4" t="str">
        <f>_xlfn.LET(_xlpm.ig, _xlfn.XLOOKUP(Clean_Data[[#This Row],[Country_Code]], Metadata_Country!$A:$A, Metadata_Country!$C:$C, "Unknown"), IF(OR(_xlpm.ig=0, _xlpm.ig=""), "Regional Aggregate", _xlpm.ig))</f>
        <v>Regional Aggregate</v>
      </c>
      <c r="H951" s="4">
        <f>Clean_Data[[#This Row],[Exports_TIV]] - Clean_Data[[#This Row],[Imports_TIV]]</f>
        <v>9652000000</v>
      </c>
      <c r="I951" s="4">
        <f>Clean_Data[[#This Row],[Exports_TIV]] + Clean_Data[[#This Row],[Imports_TIV]]</f>
        <v>11790000000</v>
      </c>
    </row>
    <row r="952" spans="1:9">
      <c r="A952" s="4" t="s">
        <v>363</v>
      </c>
      <c r="B952" s="4" t="s">
        <v>364</v>
      </c>
      <c r="C952" s="5">
        <v>2019</v>
      </c>
      <c r="D952" s="4">
        <v>27000000</v>
      </c>
      <c r="E952" s="4">
        <v>389000000</v>
      </c>
      <c r="F952" s="4" t="str">
        <f>_xlfn.LET(_xlpm.r, _xlfn.XLOOKUP(Clean_Data[[#This Row],[Country_Code]], Metadata_Country!$A:$A, Metadata_Country!$B:$B, "Unknown"), IF(OR(_xlpm.r=0, _xlpm.r=""), "Regional Aggregate", _xlpm.r))</f>
        <v>Europe &amp; Central Asia</v>
      </c>
      <c r="G952" s="4" t="str">
        <f>_xlfn.LET(_xlpm.ig, _xlfn.XLOOKUP(Clean_Data[[#This Row],[Country_Code]], Metadata_Country!$A:$A, Metadata_Country!$C:$C, "Unknown"), IF(OR(_xlpm.ig=0, _xlpm.ig=""), "Regional Aggregate", _xlpm.ig))</f>
        <v>High income</v>
      </c>
      <c r="H952" s="4">
        <f>Clean_Data[[#This Row],[Exports_TIV]] - Clean_Data[[#This Row],[Imports_TIV]]</f>
        <v>-362000000</v>
      </c>
      <c r="I952" s="4">
        <f>Clean_Data[[#This Row],[Exports_TIV]] + Clean_Data[[#This Row],[Imports_TIV]]</f>
        <v>416000000</v>
      </c>
    </row>
    <row r="953" spans="1:9">
      <c r="A953" s="4" t="s">
        <v>371</v>
      </c>
      <c r="B953" s="4" t="s">
        <v>372</v>
      </c>
      <c r="C953" s="5">
        <v>2019</v>
      </c>
      <c r="D953" s="4">
        <v>19312000000</v>
      </c>
      <c r="E953" s="4">
        <v>8456000000</v>
      </c>
      <c r="F953" s="4" t="str">
        <f>_xlfn.LET(_xlpm.r, _xlfn.XLOOKUP(Clean_Data[[#This Row],[Country_Code]], Metadata_Country!$A:$A, Metadata_Country!$B:$B, "Unknown"), IF(OR(_xlpm.r=0, _xlpm.r=""), "Regional Aggregate", _xlpm.r))</f>
        <v>Regional Aggregate</v>
      </c>
      <c r="G953" s="4" t="str">
        <f>_xlfn.LET(_xlpm.ig, _xlfn.XLOOKUP(Clean_Data[[#This Row],[Country_Code]], Metadata_Country!$A:$A, Metadata_Country!$C:$C, "Unknown"), IF(OR(_xlpm.ig=0, _xlpm.ig=""), "Regional Aggregate", _xlpm.ig))</f>
        <v>Regional Aggregate</v>
      </c>
      <c r="H953" s="4">
        <f>Clean_Data[[#This Row],[Exports_TIV]] - Clean_Data[[#This Row],[Imports_TIV]]</f>
        <v>10856000000</v>
      </c>
      <c r="I953" s="4">
        <f>Clean_Data[[#This Row],[Exports_TIV]] + Clean_Data[[#This Row],[Imports_TIV]]</f>
        <v>27768000000</v>
      </c>
    </row>
    <row r="954" spans="1:9">
      <c r="A954" s="4" t="s">
        <v>373</v>
      </c>
      <c r="B954" s="4" t="s">
        <v>374</v>
      </c>
      <c r="C954" s="5">
        <v>2019</v>
      </c>
      <c r="D954" s="4">
        <v>0</v>
      </c>
      <c r="E954" s="4">
        <v>88000000</v>
      </c>
      <c r="F954" s="4" t="str">
        <f>_xlfn.LET(_xlpm.r, _xlfn.XLOOKUP(Clean_Data[[#This Row],[Country_Code]], Metadata_Country!$A:$A, Metadata_Country!$B:$B, "Unknown"), IF(OR(_xlpm.r=0, _xlpm.r=""), "Regional Aggregate", _xlpm.r))</f>
        <v>Middle East &amp; North Africa</v>
      </c>
      <c r="G954" s="4" t="str">
        <f>_xlfn.LET(_xlpm.ig, _xlfn.XLOOKUP(Clean_Data[[#This Row],[Country_Code]], Metadata_Country!$A:$A, Metadata_Country!$C:$C, "Unknown"), IF(OR(_xlpm.ig=0, _xlpm.ig=""), "Regional Aggregate", _xlpm.ig))</f>
        <v>High income</v>
      </c>
      <c r="H954" s="4">
        <f>Clean_Data[[#This Row],[Exports_TIV]] - Clean_Data[[#This Row],[Imports_TIV]]</f>
        <v>-88000000</v>
      </c>
      <c r="I954" s="4">
        <f>Clean_Data[[#This Row],[Exports_TIV]] + Clean_Data[[#This Row],[Imports_TIV]]</f>
        <v>88000000</v>
      </c>
    </row>
    <row r="955" spans="1:9">
      <c r="A955" s="4" t="s">
        <v>377</v>
      </c>
      <c r="B955" s="4" t="s">
        <v>378</v>
      </c>
      <c r="C955" s="5">
        <v>2019</v>
      </c>
      <c r="D955" s="4">
        <v>1000000</v>
      </c>
      <c r="E955" s="4">
        <v>654000000</v>
      </c>
      <c r="F955" s="4" t="str">
        <f>_xlfn.LET(_xlpm.r, _xlfn.XLOOKUP(Clean_Data[[#This Row],[Country_Code]], Metadata_Country!$A:$A, Metadata_Country!$B:$B, "Unknown"), IF(OR(_xlpm.r=0, _xlpm.r=""), "Regional Aggregate", _xlpm.r))</f>
        <v>Middle East &amp; North Africa</v>
      </c>
      <c r="G955" s="4" t="str">
        <f>_xlfn.LET(_xlpm.ig, _xlfn.XLOOKUP(Clean_Data[[#This Row],[Country_Code]], Metadata_Country!$A:$A, Metadata_Country!$C:$C, "Unknown"), IF(OR(_xlpm.ig=0, _xlpm.ig=""), "Regional Aggregate", _xlpm.ig))</f>
        <v>Lower middle income</v>
      </c>
      <c r="H955" s="4">
        <f>Clean_Data[[#This Row],[Exports_TIV]] - Clean_Data[[#This Row],[Imports_TIV]]</f>
        <v>-653000000</v>
      </c>
      <c r="I955" s="4">
        <f>Clean_Data[[#This Row],[Exports_TIV]] + Clean_Data[[#This Row],[Imports_TIV]]</f>
        <v>655000000</v>
      </c>
    </row>
    <row r="956" spans="1:9">
      <c r="A956" s="4" t="s">
        <v>379</v>
      </c>
      <c r="B956" s="4" t="s">
        <v>380</v>
      </c>
      <c r="C956" s="5">
        <v>2019</v>
      </c>
      <c r="D956" s="4">
        <v>1000000</v>
      </c>
      <c r="E956" s="4">
        <v>0</v>
      </c>
      <c r="F956" s="4" t="str">
        <f>_xlfn.LET(_xlpm.r, _xlfn.XLOOKUP(Clean_Data[[#This Row],[Country_Code]], Metadata_Country!$A:$A, Metadata_Country!$B:$B, "Unknown"), IF(OR(_xlpm.r=0, _xlpm.r=""), "Regional Aggregate", _xlpm.r))</f>
        <v>Latin America &amp; Caribbean</v>
      </c>
      <c r="G956" s="4" t="str">
        <f>_xlfn.LET(_xlpm.ig, _xlfn.XLOOKUP(Clean_Data[[#This Row],[Country_Code]], Metadata_Country!$A:$A, Metadata_Country!$C:$C, "Unknown"), IF(OR(_xlpm.ig=0, _xlpm.ig=""), "Regional Aggregate", _xlpm.ig))</f>
        <v>High income</v>
      </c>
      <c r="H956" s="4">
        <f>Clean_Data[[#This Row],[Exports_TIV]] - Clean_Data[[#This Row],[Imports_TIV]]</f>
        <v>1000000</v>
      </c>
      <c r="I956" s="4">
        <f>Clean_Data[[#This Row],[Exports_TIV]] + Clean_Data[[#This Row],[Imports_TIV]]</f>
        <v>1000000</v>
      </c>
    </row>
    <row r="957" spans="1:9">
      <c r="A957" s="4" t="s">
        <v>399</v>
      </c>
      <c r="B957" s="4" t="s">
        <v>400</v>
      </c>
      <c r="C957" s="5">
        <v>2019</v>
      </c>
      <c r="D957" s="4">
        <v>0</v>
      </c>
      <c r="E957" s="4">
        <v>2000000</v>
      </c>
      <c r="F957" s="4" t="str">
        <f>_xlfn.LET(_xlpm.r, _xlfn.XLOOKUP(Clean_Data[[#This Row],[Country_Code]], Metadata_Country!$A:$A, Metadata_Country!$B:$B, "Unknown"), IF(OR(_xlpm.r=0, _xlpm.r=""), "Regional Aggregate", _xlpm.r))</f>
        <v>Latin America &amp; Caribbean</v>
      </c>
      <c r="G957" s="4" t="str">
        <f>_xlfn.LET(_xlpm.ig, _xlfn.XLOOKUP(Clean_Data[[#This Row],[Country_Code]], Metadata_Country!$A:$A, Metadata_Country!$C:$C, "Unknown"), IF(OR(_xlpm.ig=0, _xlpm.ig=""), "Regional Aggregate", _xlpm.ig))</f>
        <v>Upper middle income</v>
      </c>
      <c r="H957" s="4">
        <f>Clean_Data[[#This Row],[Exports_TIV]] - Clean_Data[[#This Row],[Imports_TIV]]</f>
        <v>-2000000</v>
      </c>
      <c r="I957" s="4">
        <f>Clean_Data[[#This Row],[Exports_TIV]] + Clean_Data[[#This Row],[Imports_TIV]]</f>
        <v>2000000</v>
      </c>
    </row>
    <row r="958" spans="1:9">
      <c r="A958" s="4" t="s">
        <v>381</v>
      </c>
      <c r="B958" s="4" t="s">
        <v>382</v>
      </c>
      <c r="C958" s="5">
        <v>2019</v>
      </c>
      <c r="D958" s="4">
        <v>0</v>
      </c>
      <c r="E958" s="4">
        <v>0</v>
      </c>
      <c r="F958" s="4" t="str">
        <f>_xlfn.LET(_xlpm.r, _xlfn.XLOOKUP(Clean_Data[[#This Row],[Country_Code]], Metadata_Country!$A:$A, Metadata_Country!$B:$B, "Unknown"), IF(OR(_xlpm.r=0, _xlpm.r=""), "Regional Aggregate", _xlpm.r))</f>
        <v>Latin America &amp; Caribbean</v>
      </c>
      <c r="G958" s="4" t="str">
        <f>_xlfn.LET(_xlpm.ig, _xlfn.XLOOKUP(Clean_Data[[#This Row],[Country_Code]], Metadata_Country!$A:$A, Metadata_Country!$C:$C, "Unknown"), IF(OR(_xlpm.ig=0, _xlpm.ig=""), "Regional Aggregate", _xlpm.ig))</f>
        <v>Upper middle income</v>
      </c>
      <c r="H958" s="4">
        <f>Clean_Data[[#This Row],[Exports_TIV]] - Clean_Data[[#This Row],[Imports_TIV]]</f>
        <v>0</v>
      </c>
      <c r="I958" s="4">
        <f>Clean_Data[[#This Row],[Exports_TIV]] + Clean_Data[[#This Row],[Imports_TIV]]</f>
        <v>0</v>
      </c>
    </row>
    <row r="959" spans="1:9">
      <c r="A959" s="4" t="s">
        <v>383</v>
      </c>
      <c r="B959" s="4" t="s">
        <v>384</v>
      </c>
      <c r="C959" s="5">
        <v>2019</v>
      </c>
      <c r="D959" s="4">
        <v>0</v>
      </c>
      <c r="E959" s="4">
        <v>191000000</v>
      </c>
      <c r="F959" s="4" t="str">
        <f>_xlfn.LET(_xlpm.r, _xlfn.XLOOKUP(Clean_Data[[#This Row],[Country_Code]], Metadata_Country!$A:$A, Metadata_Country!$B:$B, "Unknown"), IF(OR(_xlpm.r=0, _xlpm.r=""), "Regional Aggregate", _xlpm.r))</f>
        <v>East Asia &amp; Pacific</v>
      </c>
      <c r="G959" s="4" t="str">
        <f>_xlfn.LET(_xlpm.ig, _xlfn.XLOOKUP(Clean_Data[[#This Row],[Country_Code]], Metadata_Country!$A:$A, Metadata_Country!$C:$C, "Unknown"), IF(OR(_xlpm.ig=0, _xlpm.ig=""), "Regional Aggregate", _xlpm.ig))</f>
        <v>Upper middle income</v>
      </c>
      <c r="H959" s="4">
        <f>Clean_Data[[#This Row],[Exports_TIV]] - Clean_Data[[#This Row],[Imports_TIV]]</f>
        <v>-191000000</v>
      </c>
      <c r="I959" s="4">
        <f>Clean_Data[[#This Row],[Exports_TIV]] + Clean_Data[[#This Row],[Imports_TIV]]</f>
        <v>191000000</v>
      </c>
    </row>
    <row r="960" spans="1:9">
      <c r="A960" s="4" t="s">
        <v>389</v>
      </c>
      <c r="B960" s="4" t="s">
        <v>390</v>
      </c>
      <c r="C960" s="5">
        <v>2019</v>
      </c>
      <c r="D960" s="4">
        <v>10000000</v>
      </c>
      <c r="E960" s="4">
        <v>213000000</v>
      </c>
      <c r="F960" s="4" t="str">
        <f>_xlfn.LET(_xlpm.r, _xlfn.XLOOKUP(Clean_Data[[#This Row],[Country_Code]], Metadata_Country!$A:$A, Metadata_Country!$B:$B, "Unknown"), IF(OR(_xlpm.r=0, _xlpm.r=""), "Regional Aggregate", _xlpm.r))</f>
        <v>Europe &amp; Central Asia</v>
      </c>
      <c r="G960" s="4" t="str">
        <f>_xlfn.LET(_xlpm.ig, _xlfn.XLOOKUP(Clean_Data[[#This Row],[Country_Code]], Metadata_Country!$A:$A, Metadata_Country!$C:$C, "Unknown"), IF(OR(_xlpm.ig=0, _xlpm.ig=""), "Regional Aggregate", _xlpm.ig))</f>
        <v>High income</v>
      </c>
      <c r="H960" s="4">
        <f>Clean_Data[[#This Row],[Exports_TIV]] - Clean_Data[[#This Row],[Imports_TIV]]</f>
        <v>-203000000</v>
      </c>
      <c r="I960" s="4">
        <f>Clean_Data[[#This Row],[Exports_TIV]] + Clean_Data[[#This Row],[Imports_TIV]]</f>
        <v>223000000</v>
      </c>
    </row>
    <row r="961" spans="1:9">
      <c r="A961" s="4" t="s">
        <v>397</v>
      </c>
      <c r="B961" s="4" t="s">
        <v>398</v>
      </c>
      <c r="C961" s="5">
        <v>2019</v>
      </c>
      <c r="D961" s="4">
        <v>3000000</v>
      </c>
      <c r="E961" s="4">
        <v>44000000</v>
      </c>
      <c r="F961" s="4" t="str">
        <f>_xlfn.LET(_xlpm.r, _xlfn.XLOOKUP(Clean_Data[[#This Row],[Country_Code]], Metadata_Country!$A:$A, Metadata_Country!$B:$B, "Unknown"), IF(OR(_xlpm.r=0, _xlpm.r=""), "Regional Aggregate", _xlpm.r))</f>
        <v>Europe &amp; Central Asia</v>
      </c>
      <c r="G961" s="4" t="str">
        <f>_xlfn.LET(_xlpm.ig, _xlfn.XLOOKUP(Clean_Data[[#This Row],[Country_Code]], Metadata_Country!$A:$A, Metadata_Country!$C:$C, "Unknown"), IF(OR(_xlpm.ig=0, _xlpm.ig=""), "Regional Aggregate", _xlpm.ig))</f>
        <v>High income</v>
      </c>
      <c r="H961" s="4">
        <f>Clean_Data[[#This Row],[Exports_TIV]] - Clean_Data[[#This Row],[Imports_TIV]]</f>
        <v>-41000000</v>
      </c>
      <c r="I961" s="4">
        <f>Clean_Data[[#This Row],[Exports_TIV]] + Clean_Data[[#This Row],[Imports_TIV]]</f>
        <v>47000000</v>
      </c>
    </row>
    <row r="962" spans="1:9">
      <c r="A962" s="4" t="s">
        <v>405</v>
      </c>
      <c r="B962" s="4" t="s">
        <v>406</v>
      </c>
      <c r="C962" s="5">
        <v>2019</v>
      </c>
      <c r="D962" s="4">
        <v>18869000000</v>
      </c>
      <c r="E962" s="4">
        <v>7696000000</v>
      </c>
      <c r="F962" s="4" t="str">
        <f>_xlfn.LET(_xlpm.r, _xlfn.XLOOKUP(Clean_Data[[#This Row],[Country_Code]], Metadata_Country!$A:$A, Metadata_Country!$B:$B, "Unknown"), IF(OR(_xlpm.r=0, _xlpm.r=""), "Regional Aggregate", _xlpm.r))</f>
        <v>Regional Aggregate</v>
      </c>
      <c r="G962" s="4" t="str">
        <f>_xlfn.LET(_xlpm.ig, _xlfn.XLOOKUP(Clean_Data[[#This Row],[Country_Code]], Metadata_Country!$A:$A, Metadata_Country!$C:$C, "Unknown"), IF(OR(_xlpm.ig=0, _xlpm.ig=""), "Regional Aggregate", _xlpm.ig))</f>
        <v>Regional Aggregate</v>
      </c>
      <c r="H962" s="4">
        <f>Clean_Data[[#This Row],[Exports_TIV]] - Clean_Data[[#This Row],[Imports_TIV]]</f>
        <v>11173000000</v>
      </c>
      <c r="I962" s="4">
        <f>Clean_Data[[#This Row],[Exports_TIV]] + Clean_Data[[#This Row],[Imports_TIV]]</f>
        <v>26565000000</v>
      </c>
    </row>
    <row r="963" spans="1:9">
      <c r="A963" s="4" t="s">
        <v>391</v>
      </c>
      <c r="B963" s="4" t="s">
        <v>392</v>
      </c>
      <c r="C963" s="5">
        <v>2019</v>
      </c>
      <c r="D963" s="4">
        <v>0</v>
      </c>
      <c r="E963" s="4">
        <v>988000000</v>
      </c>
      <c r="F963" s="4" t="str">
        <f>_xlfn.LET(_xlpm.r, _xlfn.XLOOKUP(Clean_Data[[#This Row],[Country_Code]], Metadata_Country!$A:$A, Metadata_Country!$B:$B, "Unknown"), IF(OR(_xlpm.r=0, _xlpm.r=""), "Regional Aggregate", _xlpm.r))</f>
        <v>Regional Aggregate</v>
      </c>
      <c r="G963" s="4" t="str">
        <f>_xlfn.LET(_xlpm.ig, _xlfn.XLOOKUP(Clean_Data[[#This Row],[Country_Code]], Metadata_Country!$A:$A, Metadata_Country!$C:$C, "Unknown"), IF(OR(_xlpm.ig=0, _xlpm.ig=""), "Regional Aggregate", _xlpm.ig))</f>
        <v>Regional Aggregate</v>
      </c>
      <c r="H963" s="4">
        <f>Clean_Data[[#This Row],[Exports_TIV]] - Clean_Data[[#This Row],[Imports_TIV]]</f>
        <v>-988000000</v>
      </c>
      <c r="I963" s="4">
        <f>Clean_Data[[#This Row],[Exports_TIV]] + Clean_Data[[#This Row],[Imports_TIV]]</f>
        <v>988000000</v>
      </c>
    </row>
    <row r="964" spans="1:9">
      <c r="A964" s="4" t="s">
        <v>409</v>
      </c>
      <c r="B964" s="4" t="s">
        <v>410</v>
      </c>
      <c r="C964" s="5">
        <v>2019</v>
      </c>
      <c r="D964" s="4">
        <v>11000000</v>
      </c>
      <c r="E964" s="4">
        <v>2230000000</v>
      </c>
      <c r="F964" s="4" t="str">
        <f>_xlfn.LET(_xlpm.r, _xlfn.XLOOKUP(Clean_Data[[#This Row],[Country_Code]], Metadata_Country!$A:$A, Metadata_Country!$B:$B, "Unknown"), IF(OR(_xlpm.r=0, _xlpm.r=""), "Regional Aggregate", _xlpm.r))</f>
        <v>Middle East &amp; North Africa</v>
      </c>
      <c r="G964" s="4" t="str">
        <f>_xlfn.LET(_xlpm.ig, _xlfn.XLOOKUP(Clean_Data[[#This Row],[Country_Code]], Metadata_Country!$A:$A, Metadata_Country!$C:$C, "Unknown"), IF(OR(_xlpm.ig=0, _xlpm.ig=""), "Regional Aggregate", _xlpm.ig))</f>
        <v>High income</v>
      </c>
      <c r="H964" s="4">
        <f>Clean_Data[[#This Row],[Exports_TIV]] - Clean_Data[[#This Row],[Imports_TIV]]</f>
        <v>-2219000000</v>
      </c>
      <c r="I964" s="4">
        <f>Clean_Data[[#This Row],[Exports_TIV]] + Clean_Data[[#This Row],[Imports_TIV]]</f>
        <v>2241000000</v>
      </c>
    </row>
    <row r="965" spans="1:9">
      <c r="A965" s="4" t="s">
        <v>411</v>
      </c>
      <c r="B965" s="4" t="s">
        <v>412</v>
      </c>
      <c r="C965" s="5">
        <v>2019</v>
      </c>
      <c r="D965" s="4">
        <v>0</v>
      </c>
      <c r="E965" s="4">
        <v>13000000</v>
      </c>
      <c r="F965" s="4" t="str">
        <f>_xlfn.LET(_xlpm.r, _xlfn.XLOOKUP(Clean_Data[[#This Row],[Country_Code]], Metadata_Country!$A:$A, Metadata_Country!$B:$B, "Unknown"), IF(OR(_xlpm.r=0, _xlpm.r=""), "Regional Aggregate", _xlpm.r))</f>
        <v>Europe &amp; Central Asia</v>
      </c>
      <c r="G965" s="4" t="str">
        <f>_xlfn.LET(_xlpm.ig, _xlfn.XLOOKUP(Clean_Data[[#This Row],[Country_Code]], Metadata_Country!$A:$A, Metadata_Country!$C:$C, "Unknown"), IF(OR(_xlpm.ig=0, _xlpm.ig=""), "Regional Aggregate", _xlpm.ig))</f>
        <v>High income</v>
      </c>
      <c r="H965" s="4">
        <f>Clean_Data[[#This Row],[Exports_TIV]] - Clean_Data[[#This Row],[Imports_TIV]]</f>
        <v>-13000000</v>
      </c>
      <c r="I965" s="4">
        <f>Clean_Data[[#This Row],[Exports_TIV]] + Clean_Data[[#This Row],[Imports_TIV]]</f>
        <v>13000000</v>
      </c>
    </row>
    <row r="966" spans="1:9">
      <c r="A966" s="4" t="s">
        <v>413</v>
      </c>
      <c r="B966" s="4" t="s">
        <v>414</v>
      </c>
      <c r="C966" s="5">
        <v>2019</v>
      </c>
      <c r="D966" s="4">
        <v>5374000000</v>
      </c>
      <c r="E966" s="4">
        <v>5000000</v>
      </c>
      <c r="F966" s="4" t="str">
        <f>_xlfn.LET(_xlpm.r, _xlfn.XLOOKUP(Clean_Data[[#This Row],[Country_Code]], Metadata_Country!$A:$A, Metadata_Country!$B:$B, "Unknown"), IF(OR(_xlpm.r=0, _xlpm.r=""), "Regional Aggregate", _xlpm.r))</f>
        <v>Europe &amp; Central Asia</v>
      </c>
      <c r="G966" s="4" t="str">
        <f>_xlfn.LET(_xlpm.ig, _xlfn.XLOOKUP(Clean_Data[[#This Row],[Country_Code]], Metadata_Country!$A:$A, Metadata_Country!$C:$C, "Unknown"), IF(OR(_xlpm.ig=0, _xlpm.ig=""), "Regional Aggregate", _xlpm.ig))</f>
        <v>High income</v>
      </c>
      <c r="H966" s="4">
        <f>Clean_Data[[#This Row],[Exports_TIV]] - Clean_Data[[#This Row],[Imports_TIV]]</f>
        <v>5369000000</v>
      </c>
      <c r="I966" s="4">
        <f>Clean_Data[[#This Row],[Exports_TIV]] + Clean_Data[[#This Row],[Imports_TIV]]</f>
        <v>5379000000</v>
      </c>
    </row>
    <row r="967" spans="1:9">
      <c r="A967" s="4" t="s">
        <v>415</v>
      </c>
      <c r="B967" s="4" t="s">
        <v>416</v>
      </c>
      <c r="C967" s="5">
        <v>2019</v>
      </c>
      <c r="D967" s="4">
        <v>0</v>
      </c>
      <c r="E967" s="4">
        <v>1000000</v>
      </c>
      <c r="F967" s="4" t="str">
        <f>_xlfn.LET(_xlpm.r, _xlfn.XLOOKUP(Clean_Data[[#This Row],[Country_Code]], Metadata_Country!$A:$A, Metadata_Country!$B:$B, "Unknown"), IF(OR(_xlpm.r=0, _xlpm.r=""), "Regional Aggregate", _xlpm.r))</f>
        <v>Sub-Saharan Africa</v>
      </c>
      <c r="G967" s="4" t="str">
        <f>_xlfn.LET(_xlpm.ig, _xlfn.XLOOKUP(Clean_Data[[#This Row],[Country_Code]], Metadata_Country!$A:$A, Metadata_Country!$C:$C, "Unknown"), IF(OR(_xlpm.ig=0, _xlpm.ig=""), "Regional Aggregate", _xlpm.ig))</f>
        <v>Low income</v>
      </c>
      <c r="H967" s="4">
        <f>Clean_Data[[#This Row],[Exports_TIV]] - Clean_Data[[#This Row],[Imports_TIV]]</f>
        <v>-1000000</v>
      </c>
      <c r="I967" s="4">
        <f>Clean_Data[[#This Row],[Exports_TIV]] + Clean_Data[[#This Row],[Imports_TIV]]</f>
        <v>1000000</v>
      </c>
    </row>
    <row r="968" spans="1:9">
      <c r="A968" s="4" t="s">
        <v>529</v>
      </c>
      <c r="B968" s="4" t="s">
        <v>530</v>
      </c>
      <c r="C968" s="5">
        <v>2019</v>
      </c>
      <c r="D968" s="4">
        <v>0</v>
      </c>
      <c r="E968" s="4">
        <v>7000000</v>
      </c>
      <c r="F968" s="4" t="str">
        <f>_xlfn.LET(_xlpm.r, _xlfn.XLOOKUP(Clean_Data[[#This Row],[Country_Code]], Metadata_Country!$A:$A, Metadata_Country!$B:$B, "Unknown"), IF(OR(_xlpm.r=0, _xlpm.r=""), "Regional Aggregate", _xlpm.r))</f>
        <v>East Asia &amp; Pacific</v>
      </c>
      <c r="G968" s="4" t="str">
        <f>_xlfn.LET(_xlpm.ig, _xlfn.XLOOKUP(Clean_Data[[#This Row],[Country_Code]], Metadata_Country!$A:$A, Metadata_Country!$C:$C, "Unknown"), IF(OR(_xlpm.ig=0, _xlpm.ig=""), "Regional Aggregate", _xlpm.ig))</f>
        <v>Upper middle income</v>
      </c>
      <c r="H968" s="4">
        <f>Clean_Data[[#This Row],[Exports_TIV]] - Clean_Data[[#This Row],[Imports_TIV]]</f>
        <v>-7000000</v>
      </c>
      <c r="I968" s="4">
        <f>Clean_Data[[#This Row],[Exports_TIV]] + Clean_Data[[#This Row],[Imports_TIV]]</f>
        <v>7000000</v>
      </c>
    </row>
    <row r="969" spans="1:9">
      <c r="A969" s="4" t="s">
        <v>419</v>
      </c>
      <c r="B969" s="4" t="s">
        <v>420</v>
      </c>
      <c r="C969" s="5">
        <v>2019</v>
      </c>
      <c r="D969" s="4">
        <v>0</v>
      </c>
      <c r="E969" s="4">
        <v>3033000000</v>
      </c>
      <c r="F969" s="4" t="str">
        <f>_xlfn.LET(_xlpm.r, _xlfn.XLOOKUP(Clean_Data[[#This Row],[Country_Code]], Metadata_Country!$A:$A, Metadata_Country!$B:$B, "Unknown"), IF(OR(_xlpm.r=0, _xlpm.r=""), "Regional Aggregate", _xlpm.r))</f>
        <v>Middle East &amp; North Africa</v>
      </c>
      <c r="G969" s="4" t="str">
        <f>_xlfn.LET(_xlpm.ig, _xlfn.XLOOKUP(Clean_Data[[#This Row],[Country_Code]], Metadata_Country!$A:$A, Metadata_Country!$C:$C, "Unknown"), IF(OR(_xlpm.ig=0, _xlpm.ig=""), "Regional Aggregate", _xlpm.ig))</f>
        <v>High income</v>
      </c>
      <c r="H969" s="4">
        <f>Clean_Data[[#This Row],[Exports_TIV]] - Clean_Data[[#This Row],[Imports_TIV]]</f>
        <v>-3033000000</v>
      </c>
      <c r="I969" s="4">
        <f>Clean_Data[[#This Row],[Exports_TIV]] + Clean_Data[[#This Row],[Imports_TIV]]</f>
        <v>3033000000</v>
      </c>
    </row>
    <row r="970" spans="1:9">
      <c r="A970" s="4" t="s">
        <v>423</v>
      </c>
      <c r="B970" s="4" t="s">
        <v>424</v>
      </c>
      <c r="C970" s="5">
        <v>2019</v>
      </c>
      <c r="D970" s="4">
        <v>0</v>
      </c>
      <c r="E970" s="4">
        <v>40000000</v>
      </c>
      <c r="F970" s="4" t="str">
        <f>_xlfn.LET(_xlpm.r, _xlfn.XLOOKUP(Clean_Data[[#This Row],[Country_Code]], Metadata_Country!$A:$A, Metadata_Country!$B:$B, "Unknown"), IF(OR(_xlpm.r=0, _xlpm.r=""), "Regional Aggregate", _xlpm.r))</f>
        <v>Sub-Saharan Africa</v>
      </c>
      <c r="G970" s="4" t="str">
        <f>_xlfn.LET(_xlpm.ig, _xlfn.XLOOKUP(Clean_Data[[#This Row],[Country_Code]], Metadata_Country!$A:$A, Metadata_Country!$C:$C, "Unknown"), IF(OR(_xlpm.ig=0, _xlpm.ig=""), "Regional Aggregate", _xlpm.ig))</f>
        <v>Lower middle income</v>
      </c>
      <c r="H970" s="4">
        <f>Clean_Data[[#This Row],[Exports_TIV]] - Clean_Data[[#This Row],[Imports_TIV]]</f>
        <v>-40000000</v>
      </c>
      <c r="I970" s="4">
        <f>Clean_Data[[#This Row],[Exports_TIV]] + Clean_Data[[#This Row],[Imports_TIV]]</f>
        <v>40000000</v>
      </c>
    </row>
    <row r="971" spans="1:9">
      <c r="A971" s="4" t="s">
        <v>437</v>
      </c>
      <c r="B971" s="4" t="s">
        <v>438</v>
      </c>
      <c r="C971" s="5">
        <v>2019</v>
      </c>
      <c r="D971" s="4">
        <v>26000000</v>
      </c>
      <c r="E971" s="4">
        <v>84000000</v>
      </c>
      <c r="F971" s="4" t="str">
        <f>_xlfn.LET(_xlpm.r, _xlfn.XLOOKUP(Clean_Data[[#This Row],[Country_Code]], Metadata_Country!$A:$A, Metadata_Country!$B:$B, "Unknown"), IF(OR(_xlpm.r=0, _xlpm.r=""), "Regional Aggregate", _xlpm.r))</f>
        <v>Europe &amp; Central Asia</v>
      </c>
      <c r="G971" s="4" t="str">
        <f>_xlfn.LET(_xlpm.ig, _xlfn.XLOOKUP(Clean_Data[[#This Row],[Country_Code]], Metadata_Country!$A:$A, Metadata_Country!$C:$C, "Unknown"), IF(OR(_xlpm.ig=0, _xlpm.ig=""), "Regional Aggregate", _xlpm.ig))</f>
        <v>Upper middle income</v>
      </c>
      <c r="H971" s="4">
        <f>Clean_Data[[#This Row],[Exports_TIV]] - Clean_Data[[#This Row],[Imports_TIV]]</f>
        <v>-58000000</v>
      </c>
      <c r="I971" s="4">
        <f>Clean_Data[[#This Row],[Exports_TIV]] + Clean_Data[[#This Row],[Imports_TIV]]</f>
        <v>110000000</v>
      </c>
    </row>
    <row r="972" spans="1:9">
      <c r="A972" s="4" t="s">
        <v>425</v>
      </c>
      <c r="B972" s="4" t="s">
        <v>426</v>
      </c>
      <c r="C972" s="5">
        <v>2019</v>
      </c>
      <c r="D972" s="4">
        <v>0</v>
      </c>
      <c r="E972" s="4">
        <v>487000000</v>
      </c>
      <c r="F972" s="4" t="str">
        <f>_xlfn.LET(_xlpm.r, _xlfn.XLOOKUP(Clean_Data[[#This Row],[Country_Code]], Metadata_Country!$A:$A, Metadata_Country!$B:$B, "Unknown"), IF(OR(_xlpm.r=0, _xlpm.r=""), "Regional Aggregate", _xlpm.r))</f>
        <v>East Asia &amp; Pacific</v>
      </c>
      <c r="G972" s="4" t="str">
        <f>_xlfn.LET(_xlpm.ig, _xlfn.XLOOKUP(Clean_Data[[#This Row],[Country_Code]], Metadata_Country!$A:$A, Metadata_Country!$C:$C, "Unknown"), IF(OR(_xlpm.ig=0, _xlpm.ig=""), "Regional Aggregate", _xlpm.ig))</f>
        <v>High income</v>
      </c>
      <c r="H972" s="4">
        <f>Clean_Data[[#This Row],[Exports_TIV]] - Clean_Data[[#This Row],[Imports_TIV]]</f>
        <v>-487000000</v>
      </c>
      <c r="I972" s="4">
        <f>Clean_Data[[#This Row],[Exports_TIV]] + Clean_Data[[#This Row],[Imports_TIV]]</f>
        <v>487000000</v>
      </c>
    </row>
    <row r="973" spans="1:9">
      <c r="A973" s="4" t="s">
        <v>451</v>
      </c>
      <c r="B973" s="4" t="s">
        <v>452</v>
      </c>
      <c r="C973" s="5">
        <v>2019</v>
      </c>
      <c r="D973" s="4">
        <v>8000000</v>
      </c>
      <c r="E973" s="4">
        <v>15000000</v>
      </c>
      <c r="F973" s="4" t="str">
        <f>_xlfn.LET(_xlpm.r, _xlfn.XLOOKUP(Clean_Data[[#This Row],[Country_Code]], Metadata_Country!$A:$A, Metadata_Country!$B:$B, "Unknown"), IF(OR(_xlpm.r=0, _xlpm.r=""), "Regional Aggregate", _xlpm.r))</f>
        <v>Europe &amp; Central Asia</v>
      </c>
      <c r="G973" s="4" t="str">
        <f>_xlfn.LET(_xlpm.ig, _xlfn.XLOOKUP(Clean_Data[[#This Row],[Country_Code]], Metadata_Country!$A:$A, Metadata_Country!$C:$C, "Unknown"), IF(OR(_xlpm.ig=0, _xlpm.ig=""), "Regional Aggregate", _xlpm.ig))</f>
        <v>High income</v>
      </c>
      <c r="H973" s="4">
        <f>Clean_Data[[#This Row],[Exports_TIV]] - Clean_Data[[#This Row],[Imports_TIV]]</f>
        <v>-7000000</v>
      </c>
      <c r="I973" s="4">
        <f>Clean_Data[[#This Row],[Exports_TIV]] + Clean_Data[[#This Row],[Imports_TIV]]</f>
        <v>23000000</v>
      </c>
    </row>
    <row r="974" spans="1:9">
      <c r="A974" s="4" t="s">
        <v>427</v>
      </c>
      <c r="B974" s="4" t="s">
        <v>428</v>
      </c>
      <c r="C974" s="5">
        <v>2019</v>
      </c>
      <c r="D974" s="4">
        <v>0</v>
      </c>
      <c r="E974" s="4">
        <v>7000000</v>
      </c>
      <c r="F974" s="4" t="str">
        <f>_xlfn.LET(_xlpm.r, _xlfn.XLOOKUP(Clean_Data[[#This Row],[Country_Code]], Metadata_Country!$A:$A, Metadata_Country!$B:$B, "Unknown"), IF(OR(_xlpm.r=0, _xlpm.r=""), "Regional Aggregate", _xlpm.r))</f>
        <v>East Asia &amp; Pacific</v>
      </c>
      <c r="G974" s="4" t="str">
        <f>_xlfn.LET(_xlpm.ig, _xlfn.XLOOKUP(Clean_Data[[#This Row],[Country_Code]], Metadata_Country!$A:$A, Metadata_Country!$C:$C, "Unknown"), IF(OR(_xlpm.ig=0, _xlpm.ig=""), "Regional Aggregate", _xlpm.ig))</f>
        <v>Lower middle income</v>
      </c>
      <c r="H974" s="4">
        <f>Clean_Data[[#This Row],[Exports_TIV]] - Clean_Data[[#This Row],[Imports_TIV]]</f>
        <v>-7000000</v>
      </c>
      <c r="I974" s="4">
        <f>Clean_Data[[#This Row],[Exports_TIV]] + Clean_Data[[#This Row],[Imports_TIV]]</f>
        <v>7000000</v>
      </c>
    </row>
    <row r="975" spans="1:9">
      <c r="A975" s="4" t="s">
        <v>435</v>
      </c>
      <c r="B975" s="4" t="s">
        <v>436</v>
      </c>
      <c r="C975" s="5">
        <v>2019</v>
      </c>
      <c r="D975" s="4">
        <v>0</v>
      </c>
      <c r="E975" s="4">
        <v>8000000</v>
      </c>
      <c r="F975" s="4" t="str">
        <f>_xlfn.LET(_xlpm.r, _xlfn.XLOOKUP(Clean_Data[[#This Row],[Country_Code]], Metadata_Country!$A:$A, Metadata_Country!$B:$B, "Unknown"), IF(OR(_xlpm.r=0, _xlpm.r=""), "Regional Aggregate", _xlpm.r))</f>
        <v>Sub-Saharan Africa</v>
      </c>
      <c r="G975" s="4" t="str">
        <f>_xlfn.LET(_xlpm.ig, _xlfn.XLOOKUP(Clean_Data[[#This Row],[Country_Code]], Metadata_Country!$A:$A, Metadata_Country!$C:$C, "Unknown"), IF(OR(_xlpm.ig=0, _xlpm.ig=""), "Regional Aggregate", _xlpm.ig))</f>
        <v>Low income</v>
      </c>
      <c r="H975" s="4">
        <f>Clean_Data[[#This Row],[Exports_TIV]] - Clean_Data[[#This Row],[Imports_TIV]]</f>
        <v>-8000000</v>
      </c>
      <c r="I975" s="4">
        <f>Clean_Data[[#This Row],[Exports_TIV]] + Clean_Data[[#This Row],[Imports_TIV]]</f>
        <v>8000000</v>
      </c>
    </row>
    <row r="976" spans="1:9">
      <c r="A976" s="4" t="s">
        <v>535</v>
      </c>
      <c r="B976" s="4" t="s">
        <v>536</v>
      </c>
      <c r="C976" s="5">
        <v>2019</v>
      </c>
      <c r="D976" s="4">
        <v>129000000</v>
      </c>
      <c r="E976" s="4">
        <v>0</v>
      </c>
      <c r="F976" s="4" t="str">
        <f>_xlfn.LET(_xlpm.r, _xlfn.XLOOKUP(Clean_Data[[#This Row],[Country_Code]], Metadata_Country!$A:$A, Metadata_Country!$B:$B, "Unknown"), IF(OR(_xlpm.r=0, _xlpm.r=""), "Regional Aggregate", _xlpm.r))</f>
        <v>Sub-Saharan Africa</v>
      </c>
      <c r="G976" s="4" t="str">
        <f>_xlfn.LET(_xlpm.ig, _xlfn.XLOOKUP(Clean_Data[[#This Row],[Country_Code]], Metadata_Country!$A:$A, Metadata_Country!$C:$C, "Unknown"), IF(OR(_xlpm.ig=0, _xlpm.ig=""), "Regional Aggregate", _xlpm.ig))</f>
        <v>Upper middle income</v>
      </c>
      <c r="H976" s="4">
        <f>Clean_Data[[#This Row],[Exports_TIV]] - Clean_Data[[#This Row],[Imports_TIV]]</f>
        <v>129000000</v>
      </c>
      <c r="I976" s="4">
        <f>Clean_Data[[#This Row],[Exports_TIV]] + Clean_Data[[#This Row],[Imports_TIV]]</f>
        <v>129000000</v>
      </c>
    </row>
    <row r="977" spans="1:9">
      <c r="A977" s="4" t="s">
        <v>417</v>
      </c>
      <c r="B977" s="4" t="s">
        <v>418</v>
      </c>
      <c r="C977" s="5">
        <v>2019</v>
      </c>
      <c r="D977" s="4">
        <v>20000000</v>
      </c>
      <c r="E977" s="4">
        <v>4014000000</v>
      </c>
      <c r="F977" s="4" t="str">
        <f>_xlfn.LET(_xlpm.r, _xlfn.XLOOKUP(Clean_Data[[#This Row],[Country_Code]], Metadata_Country!$A:$A, Metadata_Country!$B:$B, "Unknown"), IF(OR(_xlpm.r=0, _xlpm.r=""), "Regional Aggregate", _xlpm.r))</f>
        <v>Regional Aggregate</v>
      </c>
      <c r="G977" s="4" t="str">
        <f>_xlfn.LET(_xlpm.ig, _xlfn.XLOOKUP(Clean_Data[[#This Row],[Country_Code]], Metadata_Country!$A:$A, Metadata_Country!$C:$C, "Unknown"), IF(OR(_xlpm.ig=0, _xlpm.ig=""), "Regional Aggregate", _xlpm.ig))</f>
        <v>Regional Aggregate</v>
      </c>
      <c r="H977" s="4">
        <f>Clean_Data[[#This Row],[Exports_TIV]] - Clean_Data[[#This Row],[Imports_TIV]]</f>
        <v>-3994000000</v>
      </c>
      <c r="I977" s="4">
        <f>Clean_Data[[#This Row],[Exports_TIV]] + Clean_Data[[#This Row],[Imports_TIV]]</f>
        <v>4034000000</v>
      </c>
    </row>
    <row r="978" spans="1:9">
      <c r="A978" s="4" t="s">
        <v>489</v>
      </c>
      <c r="B978" s="4" t="s">
        <v>490</v>
      </c>
      <c r="C978" s="5">
        <v>2019</v>
      </c>
      <c r="D978" s="4">
        <v>20000000</v>
      </c>
      <c r="E978" s="4">
        <v>4014000000</v>
      </c>
      <c r="F978" s="4" t="str">
        <f>_xlfn.LET(_xlpm.r, _xlfn.XLOOKUP(Clean_Data[[#This Row],[Country_Code]], Metadata_Country!$A:$A, Metadata_Country!$B:$B, "Unknown"), IF(OR(_xlpm.r=0, _xlpm.r=""), "Regional Aggregate", _xlpm.r))</f>
        <v>Regional Aggregate</v>
      </c>
      <c r="G978" s="4" t="str">
        <f>_xlfn.LET(_xlpm.ig, _xlfn.XLOOKUP(Clean_Data[[#This Row],[Country_Code]], Metadata_Country!$A:$A, Metadata_Country!$C:$C, "Unknown"), IF(OR(_xlpm.ig=0, _xlpm.ig=""), "Regional Aggregate", _xlpm.ig))</f>
        <v>Regional Aggregate</v>
      </c>
      <c r="H978" s="4">
        <f>Clean_Data[[#This Row],[Exports_TIV]] - Clean_Data[[#This Row],[Imports_TIV]]</f>
        <v>-3994000000</v>
      </c>
      <c r="I978" s="4">
        <f>Clean_Data[[#This Row],[Exports_TIV]] + Clean_Data[[#This Row],[Imports_TIV]]</f>
        <v>4034000000</v>
      </c>
    </row>
    <row r="979" spans="1:9">
      <c r="A979" s="4" t="s">
        <v>149</v>
      </c>
      <c r="B979" s="4" t="s">
        <v>150</v>
      </c>
      <c r="C979" s="5">
        <v>2019</v>
      </c>
      <c r="D979" s="4">
        <v>318000000</v>
      </c>
      <c r="E979" s="4">
        <v>35000000</v>
      </c>
      <c r="F979" s="4" t="str">
        <f>_xlfn.LET(_xlpm.r, _xlfn.XLOOKUP(Clean_Data[[#This Row],[Country_Code]], Metadata_Country!$A:$A, Metadata_Country!$B:$B, "Unknown"), IF(OR(_xlpm.r=0, _xlpm.r=""), "Regional Aggregate", _xlpm.r))</f>
        <v>Europe &amp; Central Asia</v>
      </c>
      <c r="G979" s="4" t="str">
        <f>_xlfn.LET(_xlpm.ig, _xlfn.XLOOKUP(Clean_Data[[#This Row],[Country_Code]], Metadata_Country!$A:$A, Metadata_Country!$C:$C, "Unknown"), IF(OR(_xlpm.ig=0, _xlpm.ig=""), "Regional Aggregate", _xlpm.ig))</f>
        <v>High income</v>
      </c>
      <c r="H979" s="4">
        <f>Clean_Data[[#This Row],[Exports_TIV]] - Clean_Data[[#This Row],[Imports_TIV]]</f>
        <v>283000000</v>
      </c>
      <c r="I979" s="4">
        <f>Clean_Data[[#This Row],[Exports_TIV]] + Clean_Data[[#This Row],[Imports_TIV]]</f>
        <v>353000000</v>
      </c>
    </row>
    <row r="980" spans="1:9">
      <c r="A980" s="4" t="s">
        <v>285</v>
      </c>
      <c r="B980" s="4" t="s">
        <v>286</v>
      </c>
      <c r="C980" s="5">
        <v>2019</v>
      </c>
      <c r="D980" s="4">
        <v>0</v>
      </c>
      <c r="E980" s="4">
        <v>59000000</v>
      </c>
      <c r="F980" s="4" t="str">
        <f>_xlfn.LET(_xlpm.r, _xlfn.XLOOKUP(Clean_Data[[#This Row],[Country_Code]], Metadata_Country!$A:$A, Metadata_Country!$B:$B, "Unknown"), IF(OR(_xlpm.r=0, _xlpm.r=""), "Regional Aggregate", _xlpm.r))</f>
        <v>South Asia</v>
      </c>
      <c r="G980" s="4" t="str">
        <f>_xlfn.LET(_xlpm.ig, _xlfn.XLOOKUP(Clean_Data[[#This Row],[Country_Code]], Metadata_Country!$A:$A, Metadata_Country!$C:$C, "Unknown"), IF(OR(_xlpm.ig=0, _xlpm.ig=""), "Regional Aggregate", _xlpm.ig))</f>
        <v>Upper middle income</v>
      </c>
      <c r="H980" s="4">
        <f>Clean_Data[[#This Row],[Exports_TIV]] - Clean_Data[[#This Row],[Imports_TIV]]</f>
        <v>-59000000</v>
      </c>
      <c r="I980" s="4">
        <f>Clean_Data[[#This Row],[Exports_TIV]] + Clean_Data[[#This Row],[Imports_TIV]]</f>
        <v>59000000</v>
      </c>
    </row>
    <row r="981" spans="1:9">
      <c r="A981" s="4" t="s">
        <v>421</v>
      </c>
      <c r="B981" s="4" t="s">
        <v>422</v>
      </c>
      <c r="C981" s="5">
        <v>2019</v>
      </c>
      <c r="D981" s="4">
        <v>0</v>
      </c>
      <c r="E981" s="4">
        <v>20000000</v>
      </c>
      <c r="F981" s="4" t="str">
        <f>_xlfn.LET(_xlpm.r, _xlfn.XLOOKUP(Clean_Data[[#This Row],[Country_Code]], Metadata_Country!$A:$A, Metadata_Country!$B:$B, "Unknown"), IF(OR(_xlpm.r=0, _xlpm.r=""), "Regional Aggregate", _xlpm.r))</f>
        <v>Sub-Saharan Africa</v>
      </c>
      <c r="G981" s="4" t="str">
        <f>_xlfn.LET(_xlpm.ig, _xlfn.XLOOKUP(Clean_Data[[#This Row],[Country_Code]], Metadata_Country!$A:$A, Metadata_Country!$C:$C, "Unknown"), IF(OR(_xlpm.ig=0, _xlpm.ig=""), "Regional Aggregate", _xlpm.ig))</f>
        <v>Low income</v>
      </c>
      <c r="H981" s="4">
        <f>Clean_Data[[#This Row],[Exports_TIV]] - Clean_Data[[#This Row],[Imports_TIV]]</f>
        <v>-20000000</v>
      </c>
      <c r="I981" s="4">
        <f>Clean_Data[[#This Row],[Exports_TIV]] + Clean_Data[[#This Row],[Imports_TIV]]</f>
        <v>20000000</v>
      </c>
    </row>
    <row r="982" spans="1:9">
      <c r="A982" s="4" t="s">
        <v>455</v>
      </c>
      <c r="B982" s="4" t="s">
        <v>456</v>
      </c>
      <c r="C982" s="5">
        <v>2019</v>
      </c>
      <c r="D982" s="4">
        <v>121000000</v>
      </c>
      <c r="E982" s="4">
        <v>7000000</v>
      </c>
      <c r="F982" s="4" t="str">
        <f>_xlfn.LET(_xlpm.r, _xlfn.XLOOKUP(Clean_Data[[#This Row],[Country_Code]], Metadata_Country!$A:$A, Metadata_Country!$B:$B, "Unknown"), IF(OR(_xlpm.r=0, _xlpm.r=""), "Regional Aggregate", _xlpm.r))</f>
        <v>Europe &amp; Central Asia</v>
      </c>
      <c r="G982" s="4" t="str">
        <f>_xlfn.LET(_xlpm.ig, _xlfn.XLOOKUP(Clean_Data[[#This Row],[Country_Code]], Metadata_Country!$A:$A, Metadata_Country!$C:$C, "Unknown"), IF(OR(_xlpm.ig=0, _xlpm.ig=""), "Regional Aggregate", _xlpm.ig))</f>
        <v>High income</v>
      </c>
      <c r="H982" s="4">
        <f>Clean_Data[[#This Row],[Exports_TIV]] - Clean_Data[[#This Row],[Imports_TIV]]</f>
        <v>114000000</v>
      </c>
      <c r="I982" s="4">
        <f>Clean_Data[[#This Row],[Exports_TIV]] + Clean_Data[[#This Row],[Imports_TIV]]</f>
        <v>128000000</v>
      </c>
    </row>
    <row r="983" spans="1:9">
      <c r="A983" s="4" t="s">
        <v>83</v>
      </c>
      <c r="B983" s="4" t="s">
        <v>84</v>
      </c>
      <c r="C983" s="5">
        <v>2019</v>
      </c>
      <c r="D983" s="4">
        <v>222000000</v>
      </c>
      <c r="E983" s="4">
        <v>0</v>
      </c>
      <c r="F983" s="4" t="str">
        <f>_xlfn.LET(_xlpm.r, _xlfn.XLOOKUP(Clean_Data[[#This Row],[Country_Code]], Metadata_Country!$A:$A, Metadata_Country!$B:$B, "Unknown"), IF(OR(_xlpm.r=0, _xlpm.r=""), "Regional Aggregate", _xlpm.r))</f>
        <v>Europe &amp; Central Asia</v>
      </c>
      <c r="G983" s="4" t="str">
        <f>_xlfn.LET(_xlpm.ig, _xlfn.XLOOKUP(Clean_Data[[#This Row],[Country_Code]], Metadata_Country!$A:$A, Metadata_Country!$C:$C, "Unknown"), IF(OR(_xlpm.ig=0, _xlpm.ig=""), "Regional Aggregate", _xlpm.ig))</f>
        <v>High income</v>
      </c>
      <c r="H983" s="4">
        <f>Clean_Data[[#This Row],[Exports_TIV]] - Clean_Data[[#This Row],[Imports_TIV]]</f>
        <v>222000000</v>
      </c>
      <c r="I983" s="4">
        <f>Clean_Data[[#This Row],[Exports_TIV]] + Clean_Data[[#This Row],[Imports_TIV]]</f>
        <v>222000000</v>
      </c>
    </row>
    <row r="984" spans="1:9">
      <c r="A984" s="4" t="s">
        <v>463</v>
      </c>
      <c r="B984" s="4" t="s">
        <v>464</v>
      </c>
      <c r="C984" s="5">
        <v>2019</v>
      </c>
      <c r="D984" s="4">
        <v>0</v>
      </c>
      <c r="E984" s="4">
        <v>104000000</v>
      </c>
      <c r="F984" s="4" t="str">
        <f>_xlfn.LET(_xlpm.r, _xlfn.XLOOKUP(Clean_Data[[#This Row],[Country_Code]], Metadata_Country!$A:$A, Metadata_Country!$B:$B, "Unknown"), IF(OR(_xlpm.r=0, _xlpm.r=""), "Regional Aggregate", _xlpm.r))</f>
        <v>Middle East &amp; North Africa</v>
      </c>
      <c r="G984" s="4" t="str">
        <f>_xlfn.LET(_xlpm.ig, _xlfn.XLOOKUP(Clean_Data[[#This Row],[Country_Code]], Metadata_Country!$A:$A, Metadata_Country!$C:$C, "Unknown"), IF(OR(_xlpm.ig=0, _xlpm.ig=""), "Regional Aggregate", _xlpm.ig))</f>
        <v>Low income</v>
      </c>
      <c r="H984" s="4">
        <f>Clean_Data[[#This Row],[Exports_TIV]] - Clean_Data[[#This Row],[Imports_TIV]]</f>
        <v>-104000000</v>
      </c>
      <c r="I984" s="4">
        <f>Clean_Data[[#This Row],[Exports_TIV]] + Clean_Data[[#This Row],[Imports_TIV]]</f>
        <v>104000000</v>
      </c>
    </row>
    <row r="985" spans="1:9">
      <c r="A985" s="4" t="s">
        <v>477</v>
      </c>
      <c r="B985" s="4" t="s">
        <v>478</v>
      </c>
      <c r="C985" s="5">
        <v>2019</v>
      </c>
      <c r="D985" s="4">
        <v>0</v>
      </c>
      <c r="E985" s="4">
        <v>5000000</v>
      </c>
      <c r="F985" s="4" t="str">
        <f>_xlfn.LET(_xlpm.r, _xlfn.XLOOKUP(Clean_Data[[#This Row],[Country_Code]], Metadata_Country!$A:$A, Metadata_Country!$B:$B, "Unknown"), IF(OR(_xlpm.r=0, _xlpm.r=""), "Regional Aggregate", _xlpm.r))</f>
        <v>Europe &amp; Central Asia</v>
      </c>
      <c r="G985" s="4" t="str">
        <f>_xlfn.LET(_xlpm.ig, _xlfn.XLOOKUP(Clean_Data[[#This Row],[Country_Code]], Metadata_Country!$A:$A, Metadata_Country!$C:$C, "Unknown"), IF(OR(_xlpm.ig=0, _xlpm.ig=""), "Regional Aggregate", _xlpm.ig))</f>
        <v>Lower middle income</v>
      </c>
      <c r="H985" s="4">
        <f>Clean_Data[[#This Row],[Exports_TIV]] - Clean_Data[[#This Row],[Imports_TIV]]</f>
        <v>-5000000</v>
      </c>
      <c r="I985" s="4">
        <f>Clean_Data[[#This Row],[Exports_TIV]] + Clean_Data[[#This Row],[Imports_TIV]]</f>
        <v>5000000</v>
      </c>
    </row>
    <row r="986" spans="1:9">
      <c r="A986" s="4" t="s">
        <v>475</v>
      </c>
      <c r="B986" s="4" t="s">
        <v>476</v>
      </c>
      <c r="C986" s="5">
        <v>2019</v>
      </c>
      <c r="D986" s="4">
        <v>2000000</v>
      </c>
      <c r="E986" s="4">
        <v>293000000</v>
      </c>
      <c r="F986" s="4" t="str">
        <f>_xlfn.LET(_xlpm.r, _xlfn.XLOOKUP(Clean_Data[[#This Row],[Country_Code]], Metadata_Country!$A:$A, Metadata_Country!$B:$B, "Unknown"), IF(OR(_xlpm.r=0, _xlpm.r=""), "Regional Aggregate", _xlpm.r))</f>
        <v>East Asia &amp; Pacific</v>
      </c>
      <c r="G986" s="4" t="str">
        <f>_xlfn.LET(_xlpm.ig, _xlfn.XLOOKUP(Clean_Data[[#This Row],[Country_Code]], Metadata_Country!$A:$A, Metadata_Country!$C:$C, "Unknown"), IF(OR(_xlpm.ig=0, _xlpm.ig=""), "Regional Aggregate", _xlpm.ig))</f>
        <v>Upper middle income</v>
      </c>
      <c r="H986" s="4">
        <f>Clean_Data[[#This Row],[Exports_TIV]] - Clean_Data[[#This Row],[Imports_TIV]]</f>
        <v>-291000000</v>
      </c>
      <c r="I986" s="4">
        <f>Clean_Data[[#This Row],[Exports_TIV]] + Clean_Data[[#This Row],[Imports_TIV]]</f>
        <v>295000000</v>
      </c>
    </row>
    <row r="987" spans="1:9">
      <c r="A987" s="4" t="s">
        <v>473</v>
      </c>
      <c r="B987" s="4" t="s">
        <v>474</v>
      </c>
      <c r="C987" s="5">
        <v>2019</v>
      </c>
      <c r="D987" s="4">
        <v>0</v>
      </c>
      <c r="E987" s="4">
        <v>6000000</v>
      </c>
      <c r="F987" s="4" t="str">
        <f>_xlfn.LET(_xlpm.r, _xlfn.XLOOKUP(Clean_Data[[#This Row],[Country_Code]], Metadata_Country!$A:$A, Metadata_Country!$B:$B, "Unknown"), IF(OR(_xlpm.r=0, _xlpm.r=""), "Regional Aggregate", _xlpm.r))</f>
        <v>Sub-Saharan Africa</v>
      </c>
      <c r="G987" s="4" t="str">
        <f>_xlfn.LET(_xlpm.ig, _xlfn.XLOOKUP(Clean_Data[[#This Row],[Country_Code]], Metadata_Country!$A:$A, Metadata_Country!$C:$C, "Unknown"), IF(OR(_xlpm.ig=0, _xlpm.ig=""), "Regional Aggregate", _xlpm.ig))</f>
        <v>Lower middle income</v>
      </c>
      <c r="H987" s="4">
        <f>Clean_Data[[#This Row],[Exports_TIV]] - Clean_Data[[#This Row],[Imports_TIV]]</f>
        <v>-6000000</v>
      </c>
      <c r="I987" s="4">
        <f>Clean_Data[[#This Row],[Exports_TIV]] + Clean_Data[[#This Row],[Imports_TIV]]</f>
        <v>6000000</v>
      </c>
    </row>
    <row r="988" spans="1:9">
      <c r="A988" s="4" t="s">
        <v>487</v>
      </c>
      <c r="B988" s="4" t="s">
        <v>488</v>
      </c>
      <c r="C988" s="5">
        <v>2019</v>
      </c>
      <c r="D988" s="4">
        <v>0</v>
      </c>
      <c r="E988" s="4">
        <v>7000000</v>
      </c>
      <c r="F988" s="4" t="str">
        <f>_xlfn.LET(_xlpm.r, _xlfn.XLOOKUP(Clean_Data[[#This Row],[Country_Code]], Metadata_Country!$A:$A, Metadata_Country!$B:$B, "Unknown"), IF(OR(_xlpm.r=0, _xlpm.r=""), "Regional Aggregate", _xlpm.r))</f>
        <v>East Asia &amp; Pacific</v>
      </c>
      <c r="G988" s="4" t="str">
        <f>_xlfn.LET(_xlpm.ig, _xlfn.XLOOKUP(Clean_Data[[#This Row],[Country_Code]], Metadata_Country!$A:$A, Metadata_Country!$C:$C, "Unknown"), IF(OR(_xlpm.ig=0, _xlpm.ig=""), "Regional Aggregate", _xlpm.ig))</f>
        <v>Upper middle income</v>
      </c>
      <c r="H988" s="4">
        <f>Clean_Data[[#This Row],[Exports_TIV]] - Clean_Data[[#This Row],[Imports_TIV]]</f>
        <v>-7000000</v>
      </c>
      <c r="I988" s="4">
        <f>Clean_Data[[#This Row],[Exports_TIV]] + Clean_Data[[#This Row],[Imports_TIV]]</f>
        <v>7000000</v>
      </c>
    </row>
    <row r="989" spans="1:9">
      <c r="A989" s="4" t="s">
        <v>495</v>
      </c>
      <c r="B989" s="4" t="s">
        <v>496</v>
      </c>
      <c r="C989" s="5">
        <v>2019</v>
      </c>
      <c r="D989" s="4">
        <v>0</v>
      </c>
      <c r="E989" s="4">
        <v>15000000</v>
      </c>
      <c r="F989" s="4" t="str">
        <f>_xlfn.LET(_xlpm.r, _xlfn.XLOOKUP(Clean_Data[[#This Row],[Country_Code]], Metadata_Country!$A:$A, Metadata_Country!$B:$B, "Unknown"), IF(OR(_xlpm.r=0, _xlpm.r=""), "Regional Aggregate", _xlpm.r))</f>
        <v>Middle East &amp; North Africa</v>
      </c>
      <c r="G989" s="4" t="str">
        <f>_xlfn.LET(_xlpm.ig, _xlfn.XLOOKUP(Clean_Data[[#This Row],[Country_Code]], Metadata_Country!$A:$A, Metadata_Country!$C:$C, "Unknown"), IF(OR(_xlpm.ig=0, _xlpm.ig=""), "Regional Aggregate", _xlpm.ig))</f>
        <v>Lower middle income</v>
      </c>
      <c r="H989" s="4">
        <f>Clean_Data[[#This Row],[Exports_TIV]] - Clean_Data[[#This Row],[Imports_TIV]]</f>
        <v>-15000000</v>
      </c>
      <c r="I989" s="4">
        <f>Clean_Data[[#This Row],[Exports_TIV]] + Clean_Data[[#This Row],[Imports_TIV]]</f>
        <v>15000000</v>
      </c>
    </row>
    <row r="990" spans="1:9">
      <c r="A990" s="4" t="s">
        <v>497</v>
      </c>
      <c r="B990" s="4" t="s">
        <v>498</v>
      </c>
      <c r="C990" s="5">
        <v>2019</v>
      </c>
      <c r="D990" s="4">
        <v>286000000</v>
      </c>
      <c r="E990" s="4">
        <v>742000000</v>
      </c>
      <c r="F990" s="4" t="str">
        <f>_xlfn.LET(_xlpm.r, _xlfn.XLOOKUP(Clean_Data[[#This Row],[Country_Code]], Metadata_Country!$A:$A, Metadata_Country!$B:$B, "Unknown"), IF(OR(_xlpm.r=0, _xlpm.r=""), "Regional Aggregate", _xlpm.r))</f>
        <v>Europe &amp; Central Asia</v>
      </c>
      <c r="G990" s="4" t="str">
        <f>_xlfn.LET(_xlpm.ig, _xlfn.XLOOKUP(Clean_Data[[#This Row],[Country_Code]], Metadata_Country!$A:$A, Metadata_Country!$C:$C, "Unknown"), IF(OR(_xlpm.ig=0, _xlpm.ig=""), "Regional Aggregate", _xlpm.ig))</f>
        <v>Upper middle income</v>
      </c>
      <c r="H990" s="4">
        <f>Clean_Data[[#This Row],[Exports_TIV]] - Clean_Data[[#This Row],[Imports_TIV]]</f>
        <v>-456000000</v>
      </c>
      <c r="I990" s="4">
        <f>Clean_Data[[#This Row],[Exports_TIV]] + Clean_Data[[#This Row],[Imports_TIV]]</f>
        <v>1028000000</v>
      </c>
    </row>
    <row r="991" spans="1:9">
      <c r="A991" s="4" t="s">
        <v>499</v>
      </c>
      <c r="B991" s="4" t="s">
        <v>500</v>
      </c>
      <c r="C991" s="5">
        <v>2019</v>
      </c>
      <c r="D991" s="4">
        <v>0</v>
      </c>
      <c r="E991" s="4">
        <v>7000000</v>
      </c>
      <c r="F991" s="4" t="str">
        <f>_xlfn.LET(_xlpm.r, _xlfn.XLOOKUP(Clean_Data[[#This Row],[Country_Code]], Metadata_Country!$A:$A, Metadata_Country!$B:$B, "Unknown"), IF(OR(_xlpm.r=0, _xlpm.r=""), "Regional Aggregate", _xlpm.r))</f>
        <v>East Asia &amp; Pacific</v>
      </c>
      <c r="G991" s="4" t="str">
        <f>_xlfn.LET(_xlpm.ig, _xlfn.XLOOKUP(Clean_Data[[#This Row],[Country_Code]], Metadata_Country!$A:$A, Metadata_Country!$C:$C, "Unknown"), IF(OR(_xlpm.ig=0, _xlpm.ig=""), "Regional Aggregate", _xlpm.ig))</f>
        <v>Upper middle income</v>
      </c>
      <c r="H991" s="4">
        <f>Clean_Data[[#This Row],[Exports_TIV]] - Clean_Data[[#This Row],[Imports_TIV]]</f>
        <v>-7000000</v>
      </c>
      <c r="I991" s="4">
        <f>Clean_Data[[#This Row],[Exports_TIV]] + Clean_Data[[#This Row],[Imports_TIV]]</f>
        <v>7000000</v>
      </c>
    </row>
    <row r="992" spans="1:9">
      <c r="A992" s="4" t="s">
        <v>503</v>
      </c>
      <c r="B992" s="4" t="s">
        <v>504</v>
      </c>
      <c r="C992" s="5">
        <v>2019</v>
      </c>
      <c r="D992" s="4">
        <v>0</v>
      </c>
      <c r="E992" s="4">
        <v>23000000</v>
      </c>
      <c r="F992" s="4" t="str">
        <f>_xlfn.LET(_xlpm.r, _xlfn.XLOOKUP(Clean_Data[[#This Row],[Country_Code]], Metadata_Country!$A:$A, Metadata_Country!$B:$B, "Unknown"), IF(OR(_xlpm.r=0, _xlpm.r=""), "Regional Aggregate", _xlpm.r))</f>
        <v>Sub-Saharan Africa</v>
      </c>
      <c r="G992" s="4" t="str">
        <f>_xlfn.LET(_xlpm.ig, _xlfn.XLOOKUP(Clean_Data[[#This Row],[Country_Code]], Metadata_Country!$A:$A, Metadata_Country!$C:$C, "Unknown"), IF(OR(_xlpm.ig=0, _xlpm.ig=""), "Regional Aggregate", _xlpm.ig))</f>
        <v>Low income</v>
      </c>
      <c r="H992" s="4">
        <f>Clean_Data[[#This Row],[Exports_TIV]] - Clean_Data[[#This Row],[Imports_TIV]]</f>
        <v>-23000000</v>
      </c>
      <c r="I992" s="4">
        <f>Clean_Data[[#This Row],[Exports_TIV]] + Clean_Data[[#This Row],[Imports_TIV]]</f>
        <v>23000000</v>
      </c>
    </row>
    <row r="993" spans="1:9">
      <c r="A993" s="4" t="s">
        <v>505</v>
      </c>
      <c r="B993" s="4" t="s">
        <v>506</v>
      </c>
      <c r="C993" s="5">
        <v>2019</v>
      </c>
      <c r="D993" s="4">
        <v>162000000</v>
      </c>
      <c r="E993" s="4">
        <v>31000000</v>
      </c>
      <c r="F993" s="4" t="str">
        <f>_xlfn.LET(_xlpm.r, _xlfn.XLOOKUP(Clean_Data[[#This Row],[Country_Code]], Metadata_Country!$A:$A, Metadata_Country!$B:$B, "Unknown"), IF(OR(_xlpm.r=0, _xlpm.r=""), "Regional Aggregate", _xlpm.r))</f>
        <v>Europe &amp; Central Asia</v>
      </c>
      <c r="G993" s="4" t="str">
        <f>_xlfn.LET(_xlpm.ig, _xlfn.XLOOKUP(Clean_Data[[#This Row],[Country_Code]], Metadata_Country!$A:$A, Metadata_Country!$C:$C, "Unknown"), IF(OR(_xlpm.ig=0, _xlpm.ig=""), "Regional Aggregate", _xlpm.ig))</f>
        <v>Upper middle income</v>
      </c>
      <c r="H993" s="4">
        <f>Clean_Data[[#This Row],[Exports_TIV]] - Clean_Data[[#This Row],[Imports_TIV]]</f>
        <v>131000000</v>
      </c>
      <c r="I993" s="4">
        <f>Clean_Data[[#This Row],[Exports_TIV]] + Clean_Data[[#This Row],[Imports_TIV]]</f>
        <v>193000000</v>
      </c>
    </row>
    <row r="994" spans="1:9">
      <c r="A994" s="4" t="s">
        <v>25</v>
      </c>
      <c r="B994" s="4" t="s">
        <v>26</v>
      </c>
      <c r="C994" s="5">
        <v>2019</v>
      </c>
      <c r="D994" s="4">
        <v>131000000</v>
      </c>
      <c r="E994" s="4">
        <v>750000000</v>
      </c>
      <c r="F994" s="4" t="str">
        <f>_xlfn.LET(_xlpm.r, _xlfn.XLOOKUP(Clean_Data[[#This Row],[Country_Code]], Metadata_Country!$A:$A, Metadata_Country!$B:$B, "Unknown"), IF(OR(_xlpm.r=0, _xlpm.r=""), "Regional Aggregate", _xlpm.r))</f>
        <v>Middle East &amp; North Africa</v>
      </c>
      <c r="G994" s="4" t="str">
        <f>_xlfn.LET(_xlpm.ig, _xlfn.XLOOKUP(Clean_Data[[#This Row],[Country_Code]], Metadata_Country!$A:$A, Metadata_Country!$C:$C, "Unknown"), IF(OR(_xlpm.ig=0, _xlpm.ig=""), "Regional Aggregate", _xlpm.ig))</f>
        <v>High income</v>
      </c>
      <c r="H994" s="4">
        <f>Clean_Data[[#This Row],[Exports_TIV]] - Clean_Data[[#This Row],[Imports_TIV]]</f>
        <v>-619000000</v>
      </c>
      <c r="I994" s="4">
        <f>Clean_Data[[#This Row],[Exports_TIV]] + Clean_Data[[#This Row],[Imports_TIV]]</f>
        <v>881000000</v>
      </c>
    </row>
    <row r="995" spans="1:9">
      <c r="A995" s="4" t="s">
        <v>171</v>
      </c>
      <c r="B995" s="4" t="s">
        <v>172</v>
      </c>
      <c r="C995" s="5">
        <v>2019</v>
      </c>
      <c r="D995" s="4">
        <v>886000000</v>
      </c>
      <c r="E995" s="4">
        <v>402000000</v>
      </c>
      <c r="F995" s="4" t="str">
        <f>_xlfn.LET(_xlpm.r, _xlfn.XLOOKUP(Clean_Data[[#This Row],[Country_Code]], Metadata_Country!$A:$A, Metadata_Country!$B:$B, "Unknown"), IF(OR(_xlpm.r=0, _xlpm.r=""), "Regional Aggregate", _xlpm.r))</f>
        <v>Europe &amp; Central Asia</v>
      </c>
      <c r="G995" s="4" t="str">
        <f>_xlfn.LET(_xlpm.ig, _xlfn.XLOOKUP(Clean_Data[[#This Row],[Country_Code]], Metadata_Country!$A:$A, Metadata_Country!$C:$C, "Unknown"), IF(OR(_xlpm.ig=0, _xlpm.ig=""), "Regional Aggregate", _xlpm.ig))</f>
        <v>High income</v>
      </c>
      <c r="H995" s="4">
        <f>Clean_Data[[#This Row],[Exports_TIV]] - Clean_Data[[#This Row],[Imports_TIV]]</f>
        <v>484000000</v>
      </c>
      <c r="I995" s="4">
        <f>Clean_Data[[#This Row],[Exports_TIV]] + Clean_Data[[#This Row],[Imports_TIV]]</f>
        <v>1288000000</v>
      </c>
    </row>
    <row r="996" spans="1:9">
      <c r="A996" s="4" t="s">
        <v>511</v>
      </c>
      <c r="B996" s="4" t="s">
        <v>512</v>
      </c>
      <c r="C996" s="5">
        <v>2019</v>
      </c>
      <c r="D996" s="4">
        <v>10498000000</v>
      </c>
      <c r="E996" s="4">
        <v>882000000</v>
      </c>
      <c r="F996" s="4" t="str">
        <f>_xlfn.LET(_xlpm.r, _xlfn.XLOOKUP(Clean_Data[[#This Row],[Country_Code]], Metadata_Country!$A:$A, Metadata_Country!$B:$B, "Unknown"), IF(OR(_xlpm.r=0, _xlpm.r=""), "Regional Aggregate", _xlpm.r))</f>
        <v>North America</v>
      </c>
      <c r="G996" s="4" t="str">
        <f>_xlfn.LET(_xlpm.ig, _xlfn.XLOOKUP(Clean_Data[[#This Row],[Country_Code]], Metadata_Country!$A:$A, Metadata_Country!$C:$C, "Unknown"), IF(OR(_xlpm.ig=0, _xlpm.ig=""), "Regional Aggregate", _xlpm.ig))</f>
        <v>High income</v>
      </c>
      <c r="H996" s="4">
        <f>Clean_Data[[#This Row],[Exports_TIV]] - Clean_Data[[#This Row],[Imports_TIV]]</f>
        <v>9616000000</v>
      </c>
      <c r="I996" s="4">
        <f>Clean_Data[[#This Row],[Exports_TIV]] + Clean_Data[[#This Row],[Imports_TIV]]</f>
        <v>11380000000</v>
      </c>
    </row>
    <row r="997" spans="1:9">
      <c r="A997" s="4" t="s">
        <v>507</v>
      </c>
      <c r="B997" s="4" t="s">
        <v>508</v>
      </c>
      <c r="C997" s="5">
        <v>2019</v>
      </c>
      <c r="D997" s="4">
        <v>2450000000</v>
      </c>
      <c r="E997" s="4">
        <v>5171000000</v>
      </c>
      <c r="F997" s="4" t="str">
        <f>_xlfn.LET(_xlpm.r, _xlfn.XLOOKUP(Clean_Data[[#This Row],[Country_Code]], Metadata_Country!$A:$A, Metadata_Country!$B:$B, "Unknown"), IF(OR(_xlpm.r=0, _xlpm.r=""), "Regional Aggregate", _xlpm.r))</f>
        <v>Regional Aggregate</v>
      </c>
      <c r="G997" s="4" t="str">
        <f>_xlfn.LET(_xlpm.ig, _xlfn.XLOOKUP(Clean_Data[[#This Row],[Country_Code]], Metadata_Country!$A:$A, Metadata_Country!$C:$C, "Unknown"), IF(OR(_xlpm.ig=0, _xlpm.ig=""), "Regional Aggregate", _xlpm.ig))</f>
        <v>Regional Aggregate</v>
      </c>
      <c r="H997" s="4">
        <f>Clean_Data[[#This Row],[Exports_TIV]] - Clean_Data[[#This Row],[Imports_TIV]]</f>
        <v>-2721000000</v>
      </c>
      <c r="I997" s="4">
        <f>Clean_Data[[#This Row],[Exports_TIV]] + Clean_Data[[#This Row],[Imports_TIV]]</f>
        <v>7621000000</v>
      </c>
    </row>
    <row r="998" spans="1:9">
      <c r="A998" s="4" t="s">
        <v>513</v>
      </c>
      <c r="B998" s="4" t="s">
        <v>514</v>
      </c>
      <c r="C998" s="5">
        <v>2019</v>
      </c>
      <c r="D998" s="4">
        <v>0</v>
      </c>
      <c r="E998" s="4">
        <v>78000000</v>
      </c>
      <c r="F998" s="4" t="str">
        <f>_xlfn.LET(_xlpm.r, _xlfn.XLOOKUP(Clean_Data[[#This Row],[Country_Code]], Metadata_Country!$A:$A, Metadata_Country!$B:$B, "Unknown"), IF(OR(_xlpm.r=0, _xlpm.r=""), "Regional Aggregate", _xlpm.r))</f>
        <v>Europe &amp; Central Asia</v>
      </c>
      <c r="G998" s="4" t="str">
        <f>_xlfn.LET(_xlpm.ig, _xlfn.XLOOKUP(Clean_Data[[#This Row],[Country_Code]], Metadata_Country!$A:$A, Metadata_Country!$C:$C, "Unknown"), IF(OR(_xlpm.ig=0, _xlpm.ig=""), "Regional Aggregate", _xlpm.ig))</f>
        <v>Lower middle income</v>
      </c>
      <c r="H998" s="4">
        <f>Clean_Data[[#This Row],[Exports_TIV]] - Clean_Data[[#This Row],[Imports_TIV]]</f>
        <v>-78000000</v>
      </c>
      <c r="I998" s="4">
        <f>Clean_Data[[#This Row],[Exports_TIV]] + Clean_Data[[#This Row],[Imports_TIV]]</f>
        <v>78000000</v>
      </c>
    </row>
    <row r="999" spans="1:9">
      <c r="A999" s="4" t="s">
        <v>523</v>
      </c>
      <c r="B999" s="4" t="s">
        <v>524</v>
      </c>
      <c r="C999" s="5">
        <v>2019</v>
      </c>
      <c r="D999" s="4">
        <v>0</v>
      </c>
      <c r="E999" s="4">
        <v>166000000</v>
      </c>
      <c r="F999" s="4" t="str">
        <f>_xlfn.LET(_xlpm.r, _xlfn.XLOOKUP(Clean_Data[[#This Row],[Country_Code]], Metadata_Country!$A:$A, Metadata_Country!$B:$B, "Unknown"), IF(OR(_xlpm.r=0, _xlpm.r=""), "Regional Aggregate", _xlpm.r))</f>
        <v>East Asia &amp; Pacific</v>
      </c>
      <c r="G999" s="4" t="str">
        <f>_xlfn.LET(_xlpm.ig, _xlfn.XLOOKUP(Clean_Data[[#This Row],[Country_Code]], Metadata_Country!$A:$A, Metadata_Country!$C:$C, "Unknown"), IF(OR(_xlpm.ig=0, _xlpm.ig=""), "Regional Aggregate", _xlpm.ig))</f>
        <v>Upper middle income</v>
      </c>
      <c r="H999" s="4">
        <f>Clean_Data[[#This Row],[Exports_TIV]] - Clean_Data[[#This Row],[Imports_TIV]]</f>
        <v>-166000000</v>
      </c>
      <c r="I999" s="4">
        <f>Clean_Data[[#This Row],[Exports_TIV]] + Clean_Data[[#This Row],[Imports_TIV]]</f>
        <v>166000000</v>
      </c>
    </row>
    <row r="1000" spans="1:9">
      <c r="A1000" s="4" t="s">
        <v>401</v>
      </c>
      <c r="B1000" s="4" t="s">
        <v>402</v>
      </c>
      <c r="C1000" s="5">
        <v>2019</v>
      </c>
      <c r="D1000" s="4">
        <v>0</v>
      </c>
      <c r="E1000" s="4">
        <v>1000000</v>
      </c>
      <c r="F1000" s="4" t="str">
        <f>_xlfn.LET(_xlpm.r, _xlfn.XLOOKUP(Clean_Data[[#This Row],[Country_Code]], Metadata_Country!$A:$A, Metadata_Country!$B:$B, "Unknown"), IF(OR(_xlpm.r=0, _xlpm.r=""), "Regional Aggregate", _xlpm.r))</f>
        <v>Middle East &amp; North Africa</v>
      </c>
      <c r="G1000" s="4" t="str">
        <f>_xlfn.LET(_xlpm.ig, _xlfn.XLOOKUP(Clean_Data[[#This Row],[Country_Code]], Metadata_Country!$A:$A, Metadata_Country!$C:$C, "Unknown"), IF(OR(_xlpm.ig=0, _xlpm.ig=""), "Regional Aggregate", _xlpm.ig))</f>
        <v>Lower middle income</v>
      </c>
      <c r="H1000" s="4">
        <f>Clean_Data[[#This Row],[Exports_TIV]] - Clean_Data[[#This Row],[Imports_TIV]]</f>
        <v>-1000000</v>
      </c>
      <c r="I1000" s="4">
        <f>Clean_Data[[#This Row],[Exports_TIV]] + Clean_Data[[#This Row],[Imports_TIV]]</f>
        <v>1000000</v>
      </c>
    </row>
    <row r="1001" spans="1:9">
      <c r="A1001" s="4" t="s">
        <v>527</v>
      </c>
      <c r="B1001" s="4" t="s">
        <v>528</v>
      </c>
      <c r="C1001" s="5">
        <v>2019</v>
      </c>
      <c r="D1001" s="4">
        <v>27036000000</v>
      </c>
      <c r="E1001" s="4">
        <v>26892000000</v>
      </c>
      <c r="F1001" s="4" t="str">
        <f>_xlfn.LET(_xlpm.r, _xlfn.XLOOKUP(Clean_Data[[#This Row],[Country_Code]], Metadata_Country!$A:$A, Metadata_Country!$B:$B, "Unknown"), IF(OR(_xlpm.r=0, _xlpm.r=""), "Regional Aggregate", _xlpm.r))</f>
        <v>Regional Aggregate</v>
      </c>
      <c r="G1001" s="4" t="str">
        <f>_xlfn.LET(_xlpm.ig, _xlfn.XLOOKUP(Clean_Data[[#This Row],[Country_Code]], Metadata_Country!$A:$A, Metadata_Country!$C:$C, "Unknown"), IF(OR(_xlpm.ig=0, _xlpm.ig=""), "Regional Aggregate", _xlpm.ig))</f>
        <v>Regional Aggregate</v>
      </c>
      <c r="H1001" s="4">
        <f>Clean_Data[[#This Row],[Exports_TIV]] - Clean_Data[[#This Row],[Imports_TIV]]</f>
        <v>144000000</v>
      </c>
      <c r="I1001" s="4">
        <f>Clean_Data[[#This Row],[Exports_TIV]] + Clean_Data[[#This Row],[Imports_TIV]]</f>
        <v>53928000000</v>
      </c>
    </row>
    <row r="1002" spans="1:9">
      <c r="A1002" s="4" t="s">
        <v>537</v>
      </c>
      <c r="B1002" s="4" t="s">
        <v>538</v>
      </c>
      <c r="C1002" s="5">
        <v>2019</v>
      </c>
      <c r="D1002" s="4">
        <v>0</v>
      </c>
      <c r="E1002" s="4">
        <v>43000000</v>
      </c>
      <c r="F1002" s="4" t="str">
        <f>_xlfn.LET(_xlpm.r, _xlfn.XLOOKUP(Clean_Data[[#This Row],[Country_Code]], Metadata_Country!$A:$A, Metadata_Country!$B:$B, "Unknown"), IF(OR(_xlpm.r=0, _xlpm.r=""), "Regional Aggregate", _xlpm.r))</f>
        <v>Sub-Saharan Africa</v>
      </c>
      <c r="G1002" s="4" t="str">
        <f>_xlfn.LET(_xlpm.ig, _xlfn.XLOOKUP(Clean_Data[[#This Row],[Country_Code]], Metadata_Country!$A:$A, Metadata_Country!$C:$C, "Unknown"), IF(OR(_xlpm.ig=0, _xlpm.ig=""), "Regional Aggregate", _xlpm.ig))</f>
        <v>Lower middle income</v>
      </c>
      <c r="H1002" s="4">
        <f>Clean_Data[[#This Row],[Exports_TIV]] - Clean_Data[[#This Row],[Imports_TIV]]</f>
        <v>-43000000</v>
      </c>
      <c r="I1002" s="4">
        <f>Clean_Data[[#This Row],[Exports_TIV]] + Clean_Data[[#This Row],[Imports_TIV]]</f>
        <v>43000000</v>
      </c>
    </row>
    <row r="1003" spans="1:9">
      <c r="A1003" s="4" t="s">
        <v>13</v>
      </c>
      <c r="B1003" s="4" t="s">
        <v>14</v>
      </c>
      <c r="C1003" s="5">
        <v>2018</v>
      </c>
      <c r="D1003" s="4">
        <v>0</v>
      </c>
      <c r="E1003" s="4">
        <v>312000000</v>
      </c>
      <c r="F1003" s="4" t="str">
        <f>_xlfn.LET(_xlpm.r, _xlfn.XLOOKUP(Clean_Data[[#This Row],[Country_Code]], Metadata_Country!$A:$A, Metadata_Country!$B:$B, "Unknown"), IF(OR(_xlpm.r=0, _xlpm.r=""), "Regional Aggregate", _xlpm.r))</f>
        <v>Middle East &amp; North Africa</v>
      </c>
      <c r="G1003" s="4" t="str">
        <f>_xlfn.LET(_xlpm.ig, _xlfn.XLOOKUP(Clean_Data[[#This Row],[Country_Code]], Metadata_Country!$A:$A, Metadata_Country!$C:$C, "Unknown"), IF(OR(_xlpm.ig=0, _xlpm.ig=""), "Regional Aggregate", _xlpm.ig))</f>
        <v>Low income</v>
      </c>
      <c r="H1003" s="4">
        <f>Clean_Data[[#This Row],[Exports_TIV]] - Clean_Data[[#This Row],[Imports_TIV]]</f>
        <v>-312000000</v>
      </c>
      <c r="I1003" s="4">
        <f>Clean_Data[[#This Row],[Exports_TIV]] + Clean_Data[[#This Row],[Imports_TIV]]</f>
        <v>312000000</v>
      </c>
    </row>
    <row r="1004" spans="1:9">
      <c r="A1004" s="4" t="s">
        <v>15</v>
      </c>
      <c r="B1004" s="4" t="s">
        <v>16</v>
      </c>
      <c r="C1004" s="5">
        <v>2018</v>
      </c>
      <c r="D1004" s="4">
        <v>0</v>
      </c>
      <c r="E1004" s="4">
        <v>159000000</v>
      </c>
      <c r="F1004" s="4" t="str">
        <f>_xlfn.LET(_xlpm.r, _xlfn.XLOOKUP(Clean_Data[[#This Row],[Country_Code]], Metadata_Country!$A:$A, Metadata_Country!$B:$B, "Unknown"), IF(OR(_xlpm.r=0, _xlpm.r=""), "Regional Aggregate", _xlpm.r))</f>
        <v>Regional Aggregate</v>
      </c>
      <c r="G1004" s="4" t="str">
        <f>_xlfn.LET(_xlpm.ig, _xlfn.XLOOKUP(Clean_Data[[#This Row],[Country_Code]], Metadata_Country!$A:$A, Metadata_Country!$C:$C, "Unknown"), IF(OR(_xlpm.ig=0, _xlpm.ig=""), "Regional Aggregate", _xlpm.ig))</f>
        <v>Regional Aggregate</v>
      </c>
      <c r="H1004" s="4">
        <f>Clean_Data[[#This Row],[Exports_TIV]] - Clean_Data[[#This Row],[Imports_TIV]]</f>
        <v>-159000000</v>
      </c>
      <c r="I1004" s="4">
        <f>Clean_Data[[#This Row],[Exports_TIV]] + Clean_Data[[#This Row],[Imports_TIV]]</f>
        <v>159000000</v>
      </c>
    </row>
    <row r="1005" spans="1:9">
      <c r="A1005" s="4" t="s">
        <v>19</v>
      </c>
      <c r="B1005" s="4" t="s">
        <v>20</v>
      </c>
      <c r="C1005" s="5">
        <v>2018</v>
      </c>
      <c r="D1005" s="4">
        <v>0</v>
      </c>
      <c r="E1005" s="4">
        <v>1000000</v>
      </c>
      <c r="F1005" s="4" t="str">
        <f>_xlfn.LET(_xlpm.r, _xlfn.XLOOKUP(Clean_Data[[#This Row],[Country_Code]], Metadata_Country!$A:$A, Metadata_Country!$B:$B, "Unknown"), IF(OR(_xlpm.r=0, _xlpm.r=""), "Regional Aggregate", _xlpm.r))</f>
        <v>Europe &amp; Central Asia</v>
      </c>
      <c r="G1005" s="4" t="str">
        <f>_xlfn.LET(_xlpm.ig, _xlfn.XLOOKUP(Clean_Data[[#This Row],[Country_Code]], Metadata_Country!$A:$A, Metadata_Country!$C:$C, "Unknown"), IF(OR(_xlpm.ig=0, _xlpm.ig=""), "Regional Aggregate", _xlpm.ig))</f>
        <v>Upper middle income</v>
      </c>
      <c r="H1005" s="4">
        <f>Clean_Data[[#This Row],[Exports_TIV]] - Clean_Data[[#This Row],[Imports_TIV]]</f>
        <v>-1000000</v>
      </c>
      <c r="I1005" s="4">
        <f>Clean_Data[[#This Row],[Exports_TIV]] + Clean_Data[[#This Row],[Imports_TIV]]</f>
        <v>1000000</v>
      </c>
    </row>
    <row r="1006" spans="1:9">
      <c r="A1006" s="4" t="s">
        <v>129</v>
      </c>
      <c r="B1006" s="4" t="s">
        <v>130</v>
      </c>
      <c r="C1006" s="5">
        <v>2018</v>
      </c>
      <c r="D1006" s="4">
        <v>0</v>
      </c>
      <c r="E1006" s="4">
        <v>1278000000</v>
      </c>
      <c r="F1006" s="4" t="str">
        <f>_xlfn.LET(_xlpm.r, _xlfn.XLOOKUP(Clean_Data[[#This Row],[Country_Code]], Metadata_Country!$A:$A, Metadata_Country!$B:$B, "Unknown"), IF(OR(_xlpm.r=0, _xlpm.r=""), "Regional Aggregate", _xlpm.r))</f>
        <v>Middle East &amp; North Africa</v>
      </c>
      <c r="G1006" s="4" t="str">
        <f>_xlfn.LET(_xlpm.ig, _xlfn.XLOOKUP(Clean_Data[[#This Row],[Country_Code]], Metadata_Country!$A:$A, Metadata_Country!$C:$C, "Unknown"), IF(OR(_xlpm.ig=0, _xlpm.ig=""), "Regional Aggregate", _xlpm.ig))</f>
        <v>Upper middle income</v>
      </c>
      <c r="H1006" s="4">
        <f>Clean_Data[[#This Row],[Exports_TIV]] - Clean_Data[[#This Row],[Imports_TIV]]</f>
        <v>-1278000000</v>
      </c>
      <c r="I1006" s="4">
        <f>Clean_Data[[#This Row],[Exports_TIV]] + Clean_Data[[#This Row],[Imports_TIV]]</f>
        <v>1278000000</v>
      </c>
    </row>
    <row r="1007" spans="1:9">
      <c r="A1007" s="4" t="s">
        <v>17</v>
      </c>
      <c r="B1007" s="4" t="s">
        <v>18</v>
      </c>
      <c r="C1007" s="5">
        <v>2018</v>
      </c>
      <c r="D1007" s="4">
        <v>0</v>
      </c>
      <c r="E1007" s="4">
        <v>274000000</v>
      </c>
      <c r="F1007" s="4" t="str">
        <f>_xlfn.LET(_xlpm.r, _xlfn.XLOOKUP(Clean_Data[[#This Row],[Country_Code]], Metadata_Country!$A:$A, Metadata_Country!$B:$B, "Unknown"), IF(OR(_xlpm.r=0, _xlpm.r=""), "Regional Aggregate", _xlpm.r))</f>
        <v>Sub-Saharan Africa</v>
      </c>
      <c r="G1007" s="4" t="str">
        <f>_xlfn.LET(_xlpm.ig, _xlfn.XLOOKUP(Clean_Data[[#This Row],[Country_Code]], Metadata_Country!$A:$A, Metadata_Country!$C:$C, "Unknown"), IF(OR(_xlpm.ig=0, _xlpm.ig=""), "Regional Aggregate", _xlpm.ig))</f>
        <v>Lower middle income</v>
      </c>
      <c r="H1007" s="4">
        <f>Clean_Data[[#This Row],[Exports_TIV]] - Clean_Data[[#This Row],[Imports_TIV]]</f>
        <v>-274000000</v>
      </c>
      <c r="I1007" s="4">
        <f>Clean_Data[[#This Row],[Exports_TIV]] + Clean_Data[[#This Row],[Imports_TIV]]</f>
        <v>274000000</v>
      </c>
    </row>
    <row r="1008" spans="1:9">
      <c r="A1008" s="4" t="s">
        <v>23</v>
      </c>
      <c r="B1008" s="4" t="s">
        <v>24</v>
      </c>
      <c r="C1008" s="5">
        <v>2018</v>
      </c>
      <c r="D1008" s="4">
        <v>0</v>
      </c>
      <c r="E1008" s="4">
        <v>9651000000</v>
      </c>
      <c r="F1008" s="4" t="str">
        <f>_xlfn.LET(_xlpm.r, _xlfn.XLOOKUP(Clean_Data[[#This Row],[Country_Code]], Metadata_Country!$A:$A, Metadata_Country!$B:$B, "Unknown"), IF(OR(_xlpm.r=0, _xlpm.r=""), "Regional Aggregate", _xlpm.r))</f>
        <v>Regional Aggregate</v>
      </c>
      <c r="G1008" s="4" t="str">
        <f>_xlfn.LET(_xlpm.ig, _xlfn.XLOOKUP(Clean_Data[[#This Row],[Country_Code]], Metadata_Country!$A:$A, Metadata_Country!$C:$C, "Unknown"), IF(OR(_xlpm.ig=0, _xlpm.ig=""), "Regional Aggregate", _xlpm.ig))</f>
        <v>Regional Aggregate</v>
      </c>
      <c r="H1008" s="4">
        <f>Clean_Data[[#This Row],[Exports_TIV]] - Clean_Data[[#This Row],[Imports_TIV]]</f>
        <v>-9651000000</v>
      </c>
      <c r="I1008" s="4">
        <f>Clean_Data[[#This Row],[Exports_TIV]] + Clean_Data[[#This Row],[Imports_TIV]]</f>
        <v>9651000000</v>
      </c>
    </row>
    <row r="1009" spans="1:9">
      <c r="A1009" s="4" t="s">
        <v>27</v>
      </c>
      <c r="B1009" s="4" t="s">
        <v>28</v>
      </c>
      <c r="C1009" s="5">
        <v>2018</v>
      </c>
      <c r="D1009" s="4">
        <v>0</v>
      </c>
      <c r="E1009" s="4">
        <v>19000000</v>
      </c>
      <c r="F1009" s="4" t="str">
        <f>_xlfn.LET(_xlpm.r, _xlfn.XLOOKUP(Clean_Data[[#This Row],[Country_Code]], Metadata_Country!$A:$A, Metadata_Country!$B:$B, "Unknown"), IF(OR(_xlpm.r=0, _xlpm.r=""), "Regional Aggregate", _xlpm.r))</f>
        <v>Latin America &amp; Caribbean</v>
      </c>
      <c r="G1009" s="4" t="str">
        <f>_xlfn.LET(_xlpm.ig, _xlfn.XLOOKUP(Clean_Data[[#This Row],[Country_Code]], Metadata_Country!$A:$A, Metadata_Country!$C:$C, "Unknown"), IF(OR(_xlpm.ig=0, _xlpm.ig=""), "Regional Aggregate", _xlpm.ig))</f>
        <v>Upper middle income</v>
      </c>
      <c r="H1009" s="4">
        <f>Clean_Data[[#This Row],[Exports_TIV]] - Clean_Data[[#This Row],[Imports_TIV]]</f>
        <v>-19000000</v>
      </c>
      <c r="I1009" s="4">
        <f>Clean_Data[[#This Row],[Exports_TIV]] + Clean_Data[[#This Row],[Imports_TIV]]</f>
        <v>19000000</v>
      </c>
    </row>
    <row r="1010" spans="1:9">
      <c r="A1010" s="4" t="s">
        <v>35</v>
      </c>
      <c r="B1010" s="4" t="s">
        <v>36</v>
      </c>
      <c r="C1010" s="5">
        <v>2018</v>
      </c>
      <c r="D1010" s="4">
        <v>39000000</v>
      </c>
      <c r="E1010" s="4">
        <v>1553000000</v>
      </c>
      <c r="F1010" s="4" t="str">
        <f>_xlfn.LET(_xlpm.r, _xlfn.XLOOKUP(Clean_Data[[#This Row],[Country_Code]], Metadata_Country!$A:$A, Metadata_Country!$B:$B, "Unknown"), IF(OR(_xlpm.r=0, _xlpm.r=""), "Regional Aggregate", _xlpm.r))</f>
        <v>East Asia &amp; Pacific</v>
      </c>
      <c r="G1010" s="4" t="str">
        <f>_xlfn.LET(_xlpm.ig, _xlfn.XLOOKUP(Clean_Data[[#This Row],[Country_Code]], Metadata_Country!$A:$A, Metadata_Country!$C:$C, "Unknown"), IF(OR(_xlpm.ig=0, _xlpm.ig=""), "Regional Aggregate", _xlpm.ig))</f>
        <v>High income</v>
      </c>
      <c r="H1010" s="4">
        <f>Clean_Data[[#This Row],[Exports_TIV]] - Clean_Data[[#This Row],[Imports_TIV]]</f>
        <v>-1514000000</v>
      </c>
      <c r="I1010" s="4">
        <f>Clean_Data[[#This Row],[Exports_TIV]] + Clean_Data[[#This Row],[Imports_TIV]]</f>
        <v>1592000000</v>
      </c>
    </row>
    <row r="1011" spans="1:9">
      <c r="A1011" s="4" t="s">
        <v>37</v>
      </c>
      <c r="B1011" s="4" t="s">
        <v>38</v>
      </c>
      <c r="C1011" s="5">
        <v>2018</v>
      </c>
      <c r="D1011" s="4">
        <v>8000000</v>
      </c>
      <c r="E1011" s="4">
        <v>6000000</v>
      </c>
      <c r="F1011" s="4" t="str">
        <f>_xlfn.LET(_xlpm.r, _xlfn.XLOOKUP(Clean_Data[[#This Row],[Country_Code]], Metadata_Country!$A:$A, Metadata_Country!$B:$B, "Unknown"), IF(OR(_xlpm.r=0, _xlpm.r=""), "Regional Aggregate", _xlpm.r))</f>
        <v>Europe &amp; Central Asia</v>
      </c>
      <c r="G1011" s="4" t="str">
        <f>_xlfn.LET(_xlpm.ig, _xlfn.XLOOKUP(Clean_Data[[#This Row],[Country_Code]], Metadata_Country!$A:$A, Metadata_Country!$C:$C, "Unknown"), IF(OR(_xlpm.ig=0, _xlpm.ig=""), "Regional Aggregate", _xlpm.ig))</f>
        <v>High income</v>
      </c>
      <c r="H1011" s="4">
        <f>Clean_Data[[#This Row],[Exports_TIV]] - Clean_Data[[#This Row],[Imports_TIV]]</f>
        <v>2000000</v>
      </c>
      <c r="I1011" s="4">
        <f>Clean_Data[[#This Row],[Exports_TIV]] + Clean_Data[[#This Row],[Imports_TIV]]</f>
        <v>14000000</v>
      </c>
    </row>
    <row r="1012" spans="1:9">
      <c r="A1012" s="4" t="s">
        <v>39</v>
      </c>
      <c r="B1012" s="4" t="s">
        <v>40</v>
      </c>
      <c r="C1012" s="5">
        <v>2018</v>
      </c>
      <c r="D1012" s="4">
        <v>0</v>
      </c>
      <c r="E1012" s="4">
        <v>375000000</v>
      </c>
      <c r="F1012" s="4" t="str">
        <f>_xlfn.LET(_xlpm.r, _xlfn.XLOOKUP(Clean_Data[[#This Row],[Country_Code]], Metadata_Country!$A:$A, Metadata_Country!$B:$B, "Unknown"), IF(OR(_xlpm.r=0, _xlpm.r=""), "Regional Aggregate", _xlpm.r))</f>
        <v>Europe &amp; Central Asia</v>
      </c>
      <c r="G1012" s="4" t="str">
        <f>_xlfn.LET(_xlpm.ig, _xlfn.XLOOKUP(Clean_Data[[#This Row],[Country_Code]], Metadata_Country!$A:$A, Metadata_Country!$C:$C, "Unknown"), IF(OR(_xlpm.ig=0, _xlpm.ig=""), "Regional Aggregate", _xlpm.ig))</f>
        <v>Upper middle income</v>
      </c>
      <c r="H1012" s="4">
        <f>Clean_Data[[#This Row],[Exports_TIV]] - Clean_Data[[#This Row],[Imports_TIV]]</f>
        <v>-375000000</v>
      </c>
      <c r="I1012" s="4">
        <f>Clean_Data[[#This Row],[Exports_TIV]] + Clean_Data[[#This Row],[Imports_TIV]]</f>
        <v>375000000</v>
      </c>
    </row>
    <row r="1013" spans="1:9">
      <c r="A1013" s="4" t="s">
        <v>53</v>
      </c>
      <c r="B1013" s="4" t="s">
        <v>54</v>
      </c>
      <c r="C1013" s="5">
        <v>2018</v>
      </c>
      <c r="D1013" s="4">
        <v>0</v>
      </c>
      <c r="E1013" s="4">
        <v>72000000</v>
      </c>
      <c r="F1013" s="4" t="str">
        <f>_xlfn.LET(_xlpm.r, _xlfn.XLOOKUP(Clean_Data[[#This Row],[Country_Code]], Metadata_Country!$A:$A, Metadata_Country!$B:$B, "Unknown"), IF(OR(_xlpm.r=0, _xlpm.r=""), "Regional Aggregate", _xlpm.r))</f>
        <v>Middle East &amp; North Africa</v>
      </c>
      <c r="G1013" s="4" t="str">
        <f>_xlfn.LET(_xlpm.ig, _xlfn.XLOOKUP(Clean_Data[[#This Row],[Country_Code]], Metadata_Country!$A:$A, Metadata_Country!$C:$C, "Unknown"), IF(OR(_xlpm.ig=0, _xlpm.ig=""), "Regional Aggregate", _xlpm.ig))</f>
        <v>High income</v>
      </c>
      <c r="H1013" s="4">
        <f>Clean_Data[[#This Row],[Exports_TIV]] - Clean_Data[[#This Row],[Imports_TIV]]</f>
        <v>-72000000</v>
      </c>
      <c r="I1013" s="4">
        <f>Clean_Data[[#This Row],[Exports_TIV]] + Clean_Data[[#This Row],[Imports_TIV]]</f>
        <v>72000000</v>
      </c>
    </row>
    <row r="1014" spans="1:9">
      <c r="A1014" s="4" t="s">
        <v>49</v>
      </c>
      <c r="B1014" s="4" t="s">
        <v>50</v>
      </c>
      <c r="C1014" s="5">
        <v>2018</v>
      </c>
      <c r="D1014" s="4">
        <v>0</v>
      </c>
      <c r="E1014" s="4">
        <v>161000000</v>
      </c>
      <c r="F1014" s="4" t="str">
        <f>_xlfn.LET(_xlpm.r, _xlfn.XLOOKUP(Clean_Data[[#This Row],[Country_Code]], Metadata_Country!$A:$A, Metadata_Country!$B:$B, "Unknown"), IF(OR(_xlpm.r=0, _xlpm.r=""), "Regional Aggregate", _xlpm.r))</f>
        <v>South Asia</v>
      </c>
      <c r="G1014" s="4" t="str">
        <f>_xlfn.LET(_xlpm.ig, _xlfn.XLOOKUP(Clean_Data[[#This Row],[Country_Code]], Metadata_Country!$A:$A, Metadata_Country!$C:$C, "Unknown"), IF(OR(_xlpm.ig=0, _xlpm.ig=""), "Regional Aggregate", _xlpm.ig))</f>
        <v>Lower middle income</v>
      </c>
      <c r="H1014" s="4">
        <f>Clean_Data[[#This Row],[Exports_TIV]] - Clean_Data[[#This Row],[Imports_TIV]]</f>
        <v>-161000000</v>
      </c>
      <c r="I1014" s="4">
        <f>Clean_Data[[#This Row],[Exports_TIV]] + Clean_Data[[#This Row],[Imports_TIV]]</f>
        <v>161000000</v>
      </c>
    </row>
    <row r="1015" spans="1:9">
      <c r="A1015" s="4" t="s">
        <v>59</v>
      </c>
      <c r="B1015" s="4" t="s">
        <v>60</v>
      </c>
      <c r="C1015" s="5">
        <v>2018</v>
      </c>
      <c r="D1015" s="4">
        <v>86000000</v>
      </c>
      <c r="E1015" s="4">
        <v>142000000</v>
      </c>
      <c r="F1015" s="4" t="str">
        <f>_xlfn.LET(_xlpm.r, _xlfn.XLOOKUP(Clean_Data[[#This Row],[Country_Code]], Metadata_Country!$A:$A, Metadata_Country!$B:$B, "Unknown"), IF(OR(_xlpm.r=0, _xlpm.r=""), "Regional Aggregate", _xlpm.r))</f>
        <v>Europe &amp; Central Asia</v>
      </c>
      <c r="G1015" s="4" t="str">
        <f>_xlfn.LET(_xlpm.ig, _xlfn.XLOOKUP(Clean_Data[[#This Row],[Country_Code]], Metadata_Country!$A:$A, Metadata_Country!$C:$C, "Unknown"), IF(OR(_xlpm.ig=0, _xlpm.ig=""), "Regional Aggregate", _xlpm.ig))</f>
        <v>Upper middle income</v>
      </c>
      <c r="H1015" s="4">
        <f>Clean_Data[[#This Row],[Exports_TIV]] - Clean_Data[[#This Row],[Imports_TIV]]</f>
        <v>-56000000</v>
      </c>
      <c r="I1015" s="4">
        <f>Clean_Data[[#This Row],[Exports_TIV]] + Clean_Data[[#This Row],[Imports_TIV]]</f>
        <v>228000000</v>
      </c>
    </row>
    <row r="1016" spans="1:9">
      <c r="A1016" s="4" t="s">
        <v>43</v>
      </c>
      <c r="B1016" s="4" t="s">
        <v>44</v>
      </c>
      <c r="C1016" s="5">
        <v>2018</v>
      </c>
      <c r="D1016" s="4">
        <v>21000000</v>
      </c>
      <c r="E1016" s="4">
        <v>1000000</v>
      </c>
      <c r="F1016" s="4" t="str">
        <f>_xlfn.LET(_xlpm.r, _xlfn.XLOOKUP(Clean_Data[[#This Row],[Country_Code]], Metadata_Country!$A:$A, Metadata_Country!$B:$B, "Unknown"), IF(OR(_xlpm.r=0, _xlpm.r=""), "Regional Aggregate", _xlpm.r))</f>
        <v>Europe &amp; Central Asia</v>
      </c>
      <c r="G1016" s="4" t="str">
        <f>_xlfn.LET(_xlpm.ig, _xlfn.XLOOKUP(Clean_Data[[#This Row],[Country_Code]], Metadata_Country!$A:$A, Metadata_Country!$C:$C, "Unknown"), IF(OR(_xlpm.ig=0, _xlpm.ig=""), "Regional Aggregate", _xlpm.ig))</f>
        <v>High income</v>
      </c>
      <c r="H1016" s="4">
        <f>Clean_Data[[#This Row],[Exports_TIV]] - Clean_Data[[#This Row],[Imports_TIV]]</f>
        <v>20000000</v>
      </c>
      <c r="I1016" s="4">
        <f>Clean_Data[[#This Row],[Exports_TIV]] + Clean_Data[[#This Row],[Imports_TIV]]</f>
        <v>22000000</v>
      </c>
    </row>
    <row r="1017" spans="1:9">
      <c r="A1017" s="4" t="s">
        <v>65</v>
      </c>
      <c r="B1017" s="4" t="s">
        <v>66</v>
      </c>
      <c r="C1017" s="5">
        <v>2018</v>
      </c>
      <c r="D1017" s="4">
        <v>0</v>
      </c>
      <c r="E1017" s="4">
        <v>2000000</v>
      </c>
      <c r="F1017" s="4" t="str">
        <f>_xlfn.LET(_xlpm.r, _xlfn.XLOOKUP(Clean_Data[[#This Row],[Country_Code]], Metadata_Country!$A:$A, Metadata_Country!$B:$B, "Unknown"), IF(OR(_xlpm.r=0, _xlpm.r=""), "Regional Aggregate", _xlpm.r))</f>
        <v>Latin America &amp; Caribbean</v>
      </c>
      <c r="G1017" s="4" t="str">
        <f>_xlfn.LET(_xlpm.ig, _xlfn.XLOOKUP(Clean_Data[[#This Row],[Country_Code]], Metadata_Country!$A:$A, Metadata_Country!$C:$C, "Unknown"), IF(OR(_xlpm.ig=0, _xlpm.ig=""), "Regional Aggregate", _xlpm.ig))</f>
        <v>Lower middle income</v>
      </c>
      <c r="H1017" s="4">
        <f>Clean_Data[[#This Row],[Exports_TIV]] - Clean_Data[[#This Row],[Imports_TIV]]</f>
        <v>-2000000</v>
      </c>
      <c r="I1017" s="4">
        <f>Clean_Data[[#This Row],[Exports_TIV]] + Clean_Data[[#This Row],[Imports_TIV]]</f>
        <v>2000000</v>
      </c>
    </row>
    <row r="1018" spans="1:9">
      <c r="A1018" s="4" t="s">
        <v>75</v>
      </c>
      <c r="B1018" s="4" t="s">
        <v>76</v>
      </c>
      <c r="C1018" s="5">
        <v>2018</v>
      </c>
      <c r="D1018" s="4">
        <v>0</v>
      </c>
      <c r="E1018" s="4">
        <v>5000000</v>
      </c>
      <c r="F1018" s="4" t="str">
        <f>_xlfn.LET(_xlpm.r, _xlfn.XLOOKUP(Clean_Data[[#This Row],[Country_Code]], Metadata_Country!$A:$A, Metadata_Country!$B:$B, "Unknown"), IF(OR(_xlpm.r=0, _xlpm.r=""), "Regional Aggregate", _xlpm.r))</f>
        <v>Sub-Saharan Africa</v>
      </c>
      <c r="G1018" s="4" t="str">
        <f>_xlfn.LET(_xlpm.ig, _xlfn.XLOOKUP(Clean_Data[[#This Row],[Country_Code]], Metadata_Country!$A:$A, Metadata_Country!$C:$C, "Unknown"), IF(OR(_xlpm.ig=0, _xlpm.ig=""), "Regional Aggregate", _xlpm.ig))</f>
        <v>Upper middle income</v>
      </c>
      <c r="H1018" s="4">
        <f>Clean_Data[[#This Row],[Exports_TIV]] - Clean_Data[[#This Row],[Imports_TIV]]</f>
        <v>-5000000</v>
      </c>
      <c r="I1018" s="4">
        <f>Clean_Data[[#This Row],[Exports_TIV]] + Clean_Data[[#This Row],[Imports_TIV]]</f>
        <v>5000000</v>
      </c>
    </row>
    <row r="1019" spans="1:9">
      <c r="A1019" s="4" t="s">
        <v>67</v>
      </c>
      <c r="B1019" s="4" t="s">
        <v>68</v>
      </c>
      <c r="C1019" s="5">
        <v>2018</v>
      </c>
      <c r="D1019" s="4">
        <v>102000000</v>
      </c>
      <c r="E1019" s="4">
        <v>258000000</v>
      </c>
      <c r="F1019" s="4" t="str">
        <f>_xlfn.LET(_xlpm.r, _xlfn.XLOOKUP(Clean_Data[[#This Row],[Country_Code]], Metadata_Country!$A:$A, Metadata_Country!$B:$B, "Unknown"), IF(OR(_xlpm.r=0, _xlpm.r=""), "Regional Aggregate", _xlpm.r))</f>
        <v>Latin America &amp; Caribbean</v>
      </c>
      <c r="G1019" s="4" t="str">
        <f>_xlfn.LET(_xlpm.ig, _xlfn.XLOOKUP(Clean_Data[[#This Row],[Country_Code]], Metadata_Country!$A:$A, Metadata_Country!$C:$C, "Unknown"), IF(OR(_xlpm.ig=0, _xlpm.ig=""), "Regional Aggregate", _xlpm.ig))</f>
        <v>Upper middle income</v>
      </c>
      <c r="H1019" s="4">
        <f>Clean_Data[[#This Row],[Exports_TIV]] - Clean_Data[[#This Row],[Imports_TIV]]</f>
        <v>-156000000</v>
      </c>
      <c r="I1019" s="4">
        <f>Clean_Data[[#This Row],[Exports_TIV]] + Clean_Data[[#This Row],[Imports_TIV]]</f>
        <v>360000000</v>
      </c>
    </row>
    <row r="1020" spans="1:9">
      <c r="A1020" s="4" t="s">
        <v>51</v>
      </c>
      <c r="B1020" s="4" t="s">
        <v>52</v>
      </c>
      <c r="C1020" s="5">
        <v>2018</v>
      </c>
      <c r="D1020" s="4">
        <v>14000000</v>
      </c>
      <c r="E1020" s="4">
        <v>0</v>
      </c>
      <c r="F1020" s="4" t="str">
        <f>_xlfn.LET(_xlpm.r, _xlfn.XLOOKUP(Clean_Data[[#This Row],[Country_Code]], Metadata_Country!$A:$A, Metadata_Country!$B:$B, "Unknown"), IF(OR(_xlpm.r=0, _xlpm.r=""), "Regional Aggregate", _xlpm.r))</f>
        <v>Europe &amp; Central Asia</v>
      </c>
      <c r="G1020" s="4" t="str">
        <f>_xlfn.LET(_xlpm.ig, _xlfn.XLOOKUP(Clean_Data[[#This Row],[Country_Code]], Metadata_Country!$A:$A, Metadata_Country!$C:$C, "Unknown"), IF(OR(_xlpm.ig=0, _xlpm.ig=""), "Regional Aggregate", _xlpm.ig))</f>
        <v>High income</v>
      </c>
      <c r="H1020" s="4">
        <f>Clean_Data[[#This Row],[Exports_TIV]] - Clean_Data[[#This Row],[Imports_TIV]]</f>
        <v>14000000</v>
      </c>
      <c r="I1020" s="4">
        <f>Clean_Data[[#This Row],[Exports_TIV]] + Clean_Data[[#This Row],[Imports_TIV]]</f>
        <v>14000000</v>
      </c>
    </row>
    <row r="1021" spans="1:9">
      <c r="A1021" s="4" t="s">
        <v>47</v>
      </c>
      <c r="B1021" s="4" t="s">
        <v>48</v>
      </c>
      <c r="C1021" s="5">
        <v>2018</v>
      </c>
      <c r="D1021" s="4">
        <v>0</v>
      </c>
      <c r="E1021" s="4">
        <v>24000000</v>
      </c>
      <c r="F1021" s="4" t="str">
        <f>_xlfn.LET(_xlpm.r, _xlfn.XLOOKUP(Clean_Data[[#This Row],[Country_Code]], Metadata_Country!$A:$A, Metadata_Country!$B:$B, "Unknown"), IF(OR(_xlpm.r=0, _xlpm.r=""), "Regional Aggregate", _xlpm.r))</f>
        <v>Sub-Saharan Africa</v>
      </c>
      <c r="G1021" s="4" t="str">
        <f>_xlfn.LET(_xlpm.ig, _xlfn.XLOOKUP(Clean_Data[[#This Row],[Country_Code]], Metadata_Country!$A:$A, Metadata_Country!$C:$C, "Unknown"), IF(OR(_xlpm.ig=0, _xlpm.ig=""), "Regional Aggregate", _xlpm.ig))</f>
        <v>Low income</v>
      </c>
      <c r="H1021" s="4">
        <f>Clean_Data[[#This Row],[Exports_TIV]] - Clean_Data[[#This Row],[Imports_TIV]]</f>
        <v>-24000000</v>
      </c>
      <c r="I1021" s="4">
        <f>Clean_Data[[#This Row],[Exports_TIV]] + Clean_Data[[#This Row],[Imports_TIV]]</f>
        <v>24000000</v>
      </c>
    </row>
    <row r="1022" spans="1:9">
      <c r="A1022" s="4" t="s">
        <v>255</v>
      </c>
      <c r="B1022" s="4" t="s">
        <v>256</v>
      </c>
      <c r="C1022" s="5">
        <v>2018</v>
      </c>
      <c r="D1022" s="4">
        <v>0</v>
      </c>
      <c r="E1022" s="4">
        <v>5000000</v>
      </c>
      <c r="F1022" s="4" t="str">
        <f>_xlfn.LET(_xlpm.r, _xlfn.XLOOKUP(Clean_Data[[#This Row],[Country_Code]], Metadata_Country!$A:$A, Metadata_Country!$B:$B, "Unknown"), IF(OR(_xlpm.r=0, _xlpm.r=""), "Regional Aggregate", _xlpm.r))</f>
        <v>East Asia &amp; Pacific</v>
      </c>
      <c r="G1022" s="4" t="str">
        <f>_xlfn.LET(_xlpm.ig, _xlfn.XLOOKUP(Clean_Data[[#This Row],[Country_Code]], Metadata_Country!$A:$A, Metadata_Country!$C:$C, "Unknown"), IF(OR(_xlpm.ig=0, _xlpm.ig=""), "Regional Aggregate", _xlpm.ig))</f>
        <v>Lower middle income</v>
      </c>
      <c r="H1022" s="4">
        <f>Clean_Data[[#This Row],[Exports_TIV]] - Clean_Data[[#This Row],[Imports_TIV]]</f>
        <v>-5000000</v>
      </c>
      <c r="I1022" s="4">
        <f>Clean_Data[[#This Row],[Exports_TIV]] + Clean_Data[[#This Row],[Imports_TIV]]</f>
        <v>5000000</v>
      </c>
    </row>
    <row r="1023" spans="1:9">
      <c r="A1023" s="4" t="s">
        <v>93</v>
      </c>
      <c r="B1023" s="4" t="s">
        <v>94</v>
      </c>
      <c r="C1023" s="5">
        <v>2018</v>
      </c>
      <c r="D1023" s="4">
        <v>0</v>
      </c>
      <c r="E1023" s="4">
        <v>2000000</v>
      </c>
      <c r="F1023" s="4" t="str">
        <f>_xlfn.LET(_xlpm.r, _xlfn.XLOOKUP(Clean_Data[[#This Row],[Country_Code]], Metadata_Country!$A:$A, Metadata_Country!$B:$B, "Unknown"), IF(OR(_xlpm.r=0, _xlpm.r=""), "Regional Aggregate", _xlpm.r))</f>
        <v>Sub-Saharan Africa</v>
      </c>
      <c r="G1023" s="4" t="str">
        <f>_xlfn.LET(_xlpm.ig, _xlfn.XLOOKUP(Clean_Data[[#This Row],[Country_Code]], Metadata_Country!$A:$A, Metadata_Country!$C:$C, "Unknown"), IF(OR(_xlpm.ig=0, _xlpm.ig=""), "Regional Aggregate", _xlpm.ig))</f>
        <v>Lower middle income</v>
      </c>
      <c r="H1023" s="4">
        <f>Clean_Data[[#This Row],[Exports_TIV]] - Clean_Data[[#This Row],[Imports_TIV]]</f>
        <v>-2000000</v>
      </c>
      <c r="I1023" s="4">
        <f>Clean_Data[[#This Row],[Exports_TIV]] + Clean_Data[[#This Row],[Imports_TIV]]</f>
        <v>2000000</v>
      </c>
    </row>
    <row r="1024" spans="1:9">
      <c r="A1024" s="4" t="s">
        <v>79</v>
      </c>
      <c r="B1024" s="4" t="s">
        <v>80</v>
      </c>
      <c r="C1024" s="5">
        <v>2018</v>
      </c>
      <c r="D1024" s="4">
        <v>108000000</v>
      </c>
      <c r="E1024" s="4">
        <v>185000000</v>
      </c>
      <c r="F1024" s="4" t="str">
        <f>_xlfn.LET(_xlpm.r, _xlfn.XLOOKUP(Clean_Data[[#This Row],[Country_Code]], Metadata_Country!$A:$A, Metadata_Country!$B:$B, "Unknown"), IF(OR(_xlpm.r=0, _xlpm.r=""), "Regional Aggregate", _xlpm.r))</f>
        <v>North America</v>
      </c>
      <c r="G1024" s="4" t="str">
        <f>_xlfn.LET(_xlpm.ig, _xlfn.XLOOKUP(Clean_Data[[#This Row],[Country_Code]], Metadata_Country!$A:$A, Metadata_Country!$C:$C, "Unknown"), IF(OR(_xlpm.ig=0, _xlpm.ig=""), "Regional Aggregate", _xlpm.ig))</f>
        <v>High income</v>
      </c>
      <c r="H1024" s="4">
        <f>Clean_Data[[#This Row],[Exports_TIV]] - Clean_Data[[#This Row],[Imports_TIV]]</f>
        <v>-77000000</v>
      </c>
      <c r="I1024" s="4">
        <f>Clean_Data[[#This Row],[Exports_TIV]] + Clean_Data[[#This Row],[Imports_TIV]]</f>
        <v>293000000</v>
      </c>
    </row>
    <row r="1025" spans="1:9">
      <c r="A1025" s="4" t="s">
        <v>77</v>
      </c>
      <c r="B1025" s="4" t="s">
        <v>78</v>
      </c>
      <c r="C1025" s="5">
        <v>2018</v>
      </c>
      <c r="D1025" s="4">
        <v>0</v>
      </c>
      <c r="E1025" s="4">
        <v>2000000</v>
      </c>
      <c r="F1025" s="4" t="str">
        <f>_xlfn.LET(_xlpm.r, _xlfn.XLOOKUP(Clean_Data[[#This Row],[Country_Code]], Metadata_Country!$A:$A, Metadata_Country!$B:$B, "Unknown"), IF(OR(_xlpm.r=0, _xlpm.r=""), "Regional Aggregate", _xlpm.r))</f>
        <v>Sub-Saharan Africa</v>
      </c>
      <c r="G1025" s="4" t="str">
        <f>_xlfn.LET(_xlpm.ig, _xlfn.XLOOKUP(Clean_Data[[#This Row],[Country_Code]], Metadata_Country!$A:$A, Metadata_Country!$C:$C, "Unknown"), IF(OR(_xlpm.ig=0, _xlpm.ig=""), "Regional Aggregate", _xlpm.ig))</f>
        <v>Low income</v>
      </c>
      <c r="H1025" s="4">
        <f>Clean_Data[[#This Row],[Exports_TIV]] - Clean_Data[[#This Row],[Imports_TIV]]</f>
        <v>-2000000</v>
      </c>
      <c r="I1025" s="4">
        <f>Clean_Data[[#This Row],[Exports_TIV]] + Clean_Data[[#This Row],[Imports_TIV]]</f>
        <v>2000000</v>
      </c>
    </row>
    <row r="1026" spans="1:9">
      <c r="A1026" s="4" t="s">
        <v>81</v>
      </c>
      <c r="B1026" s="4" t="s">
        <v>82</v>
      </c>
      <c r="C1026" s="5">
        <v>2018</v>
      </c>
      <c r="D1026" s="4">
        <v>0</v>
      </c>
      <c r="E1026" s="4">
        <v>205000000</v>
      </c>
      <c r="F1026" s="4" t="str">
        <f>_xlfn.LET(_xlpm.r, _xlfn.XLOOKUP(Clean_Data[[#This Row],[Country_Code]], Metadata_Country!$A:$A, Metadata_Country!$B:$B, "Unknown"), IF(OR(_xlpm.r=0, _xlpm.r=""), "Regional Aggregate", _xlpm.r))</f>
        <v>Regional Aggregate</v>
      </c>
      <c r="G1026" s="4" t="str">
        <f>_xlfn.LET(_xlpm.ig, _xlfn.XLOOKUP(Clean_Data[[#This Row],[Country_Code]], Metadata_Country!$A:$A, Metadata_Country!$C:$C, "Unknown"), IF(OR(_xlpm.ig=0, _xlpm.ig=""), "Regional Aggregate", _xlpm.ig))</f>
        <v>Regional Aggregate</v>
      </c>
      <c r="H1026" s="4">
        <f>Clean_Data[[#This Row],[Exports_TIV]] - Clean_Data[[#This Row],[Imports_TIV]]</f>
        <v>-205000000</v>
      </c>
      <c r="I1026" s="4">
        <f>Clean_Data[[#This Row],[Exports_TIV]] + Clean_Data[[#This Row],[Imports_TIV]]</f>
        <v>205000000</v>
      </c>
    </row>
    <row r="1027" spans="1:9">
      <c r="A1027" s="4" t="s">
        <v>467</v>
      </c>
      <c r="B1027" s="4" t="s">
        <v>468</v>
      </c>
      <c r="C1027" s="5">
        <v>2018</v>
      </c>
      <c r="D1027" s="4">
        <v>0</v>
      </c>
      <c r="E1027" s="4">
        <v>7000000</v>
      </c>
      <c r="F1027" s="4" t="str">
        <f>_xlfn.LET(_xlpm.r, _xlfn.XLOOKUP(Clean_Data[[#This Row],[Country_Code]], Metadata_Country!$A:$A, Metadata_Country!$B:$B, "Unknown"), IF(OR(_xlpm.r=0, _xlpm.r=""), "Regional Aggregate", _xlpm.r))</f>
        <v>Sub-Saharan Africa</v>
      </c>
      <c r="G1027" s="4" t="str">
        <f>_xlfn.LET(_xlpm.ig, _xlfn.XLOOKUP(Clean_Data[[#This Row],[Country_Code]], Metadata_Country!$A:$A, Metadata_Country!$C:$C, "Unknown"), IF(OR(_xlpm.ig=0, _xlpm.ig=""), "Regional Aggregate", _xlpm.ig))</f>
        <v>Low income</v>
      </c>
      <c r="H1027" s="4">
        <f>Clean_Data[[#This Row],[Exports_TIV]] - Clean_Data[[#This Row],[Imports_TIV]]</f>
        <v>-7000000</v>
      </c>
      <c r="I1027" s="4">
        <f>Clean_Data[[#This Row],[Exports_TIV]] + Clean_Data[[#This Row],[Imports_TIV]]</f>
        <v>7000000</v>
      </c>
    </row>
    <row r="1028" spans="1:9">
      <c r="A1028" s="4" t="s">
        <v>87</v>
      </c>
      <c r="B1028" s="4" t="s">
        <v>88</v>
      </c>
      <c r="C1028" s="5">
        <v>2018</v>
      </c>
      <c r="D1028" s="4">
        <v>0</v>
      </c>
      <c r="E1028" s="4">
        <v>74000000</v>
      </c>
      <c r="F1028" s="4" t="str">
        <f>_xlfn.LET(_xlpm.r, _xlfn.XLOOKUP(Clean_Data[[#This Row],[Country_Code]], Metadata_Country!$A:$A, Metadata_Country!$B:$B, "Unknown"), IF(OR(_xlpm.r=0, _xlpm.r=""), "Regional Aggregate", _xlpm.r))</f>
        <v>Latin America &amp; Caribbean</v>
      </c>
      <c r="G1028" s="4" t="str">
        <f>_xlfn.LET(_xlpm.ig, _xlfn.XLOOKUP(Clean_Data[[#This Row],[Country_Code]], Metadata_Country!$A:$A, Metadata_Country!$C:$C, "Unknown"), IF(OR(_xlpm.ig=0, _xlpm.ig=""), "Regional Aggregate", _xlpm.ig))</f>
        <v>High income</v>
      </c>
      <c r="H1028" s="4">
        <f>Clean_Data[[#This Row],[Exports_TIV]] - Clean_Data[[#This Row],[Imports_TIV]]</f>
        <v>-74000000</v>
      </c>
      <c r="I1028" s="4">
        <f>Clean_Data[[#This Row],[Exports_TIV]] + Clean_Data[[#This Row],[Imports_TIV]]</f>
        <v>74000000</v>
      </c>
    </row>
    <row r="1029" spans="1:9">
      <c r="A1029" s="4" t="s">
        <v>89</v>
      </c>
      <c r="B1029" s="4" t="s">
        <v>90</v>
      </c>
      <c r="C1029" s="5">
        <v>2018</v>
      </c>
      <c r="D1029" s="4">
        <v>1391000000</v>
      </c>
      <c r="E1029" s="4">
        <v>2254000000</v>
      </c>
      <c r="F1029" s="4" t="str">
        <f>_xlfn.LET(_xlpm.r, _xlfn.XLOOKUP(Clean_Data[[#This Row],[Country_Code]], Metadata_Country!$A:$A, Metadata_Country!$B:$B, "Unknown"), IF(OR(_xlpm.r=0, _xlpm.r=""), "Regional Aggregate", _xlpm.r))</f>
        <v>East Asia &amp; Pacific</v>
      </c>
      <c r="G1029" s="4" t="str">
        <f>_xlfn.LET(_xlpm.ig, _xlfn.XLOOKUP(Clean_Data[[#This Row],[Country_Code]], Metadata_Country!$A:$A, Metadata_Country!$C:$C, "Unknown"), IF(OR(_xlpm.ig=0, _xlpm.ig=""), "Regional Aggregate", _xlpm.ig))</f>
        <v>Upper middle income</v>
      </c>
      <c r="H1029" s="4">
        <f>Clean_Data[[#This Row],[Exports_TIV]] - Clean_Data[[#This Row],[Imports_TIV]]</f>
        <v>-863000000</v>
      </c>
      <c r="I1029" s="4">
        <f>Clean_Data[[#This Row],[Exports_TIV]] + Clean_Data[[#This Row],[Imports_TIV]]</f>
        <v>3645000000</v>
      </c>
    </row>
    <row r="1030" spans="1:9">
      <c r="A1030" s="4" t="s">
        <v>99</v>
      </c>
      <c r="B1030" s="4" t="s">
        <v>100</v>
      </c>
      <c r="C1030" s="5">
        <v>2018</v>
      </c>
      <c r="D1030" s="4">
        <v>0</v>
      </c>
      <c r="E1030" s="4">
        <v>16000000</v>
      </c>
      <c r="F1030" s="4" t="str">
        <f>_xlfn.LET(_xlpm.r, _xlfn.XLOOKUP(Clean_Data[[#This Row],[Country_Code]], Metadata_Country!$A:$A, Metadata_Country!$B:$B, "Unknown"), IF(OR(_xlpm.r=0, _xlpm.r=""), "Regional Aggregate", _xlpm.r))</f>
        <v>Latin America &amp; Caribbean</v>
      </c>
      <c r="G1030" s="4" t="str">
        <f>_xlfn.LET(_xlpm.ig, _xlfn.XLOOKUP(Clean_Data[[#This Row],[Country_Code]], Metadata_Country!$A:$A, Metadata_Country!$C:$C, "Unknown"), IF(OR(_xlpm.ig=0, _xlpm.ig=""), "Regional Aggregate", _xlpm.ig))</f>
        <v>Upper middle income</v>
      </c>
      <c r="H1030" s="4">
        <f>Clean_Data[[#This Row],[Exports_TIV]] - Clean_Data[[#This Row],[Imports_TIV]]</f>
        <v>-16000000</v>
      </c>
      <c r="I1030" s="4">
        <f>Clean_Data[[#This Row],[Exports_TIV]] + Clean_Data[[#This Row],[Imports_TIV]]</f>
        <v>16000000</v>
      </c>
    </row>
    <row r="1031" spans="1:9">
      <c r="A1031" s="4" t="s">
        <v>95</v>
      </c>
      <c r="B1031" s="4" t="s">
        <v>96</v>
      </c>
      <c r="C1031" s="5">
        <v>2018</v>
      </c>
      <c r="D1031" s="4">
        <v>0</v>
      </c>
      <c r="E1031" s="4">
        <v>1000000</v>
      </c>
      <c r="F1031" s="4" t="str">
        <f>_xlfn.LET(_xlpm.r, _xlfn.XLOOKUP(Clean_Data[[#This Row],[Country_Code]], Metadata_Country!$A:$A, Metadata_Country!$B:$B, "Unknown"), IF(OR(_xlpm.r=0, _xlpm.r=""), "Regional Aggregate", _xlpm.r))</f>
        <v>Sub-Saharan Africa</v>
      </c>
      <c r="G1031" s="4" t="str">
        <f>_xlfn.LET(_xlpm.ig, _xlfn.XLOOKUP(Clean_Data[[#This Row],[Country_Code]], Metadata_Country!$A:$A, Metadata_Country!$C:$C, "Unknown"), IF(OR(_xlpm.ig=0, _xlpm.ig=""), "Regional Aggregate", _xlpm.ig))</f>
        <v>Low income</v>
      </c>
      <c r="H1031" s="4">
        <f>Clean_Data[[#This Row],[Exports_TIV]] - Clean_Data[[#This Row],[Imports_TIV]]</f>
        <v>-1000000</v>
      </c>
      <c r="I1031" s="4">
        <f>Clean_Data[[#This Row],[Exports_TIV]] + Clean_Data[[#This Row],[Imports_TIV]]</f>
        <v>1000000</v>
      </c>
    </row>
    <row r="1032" spans="1:9">
      <c r="A1032" s="4" t="s">
        <v>97</v>
      </c>
      <c r="B1032" s="4" t="s">
        <v>98</v>
      </c>
      <c r="C1032" s="5">
        <v>2018</v>
      </c>
      <c r="D1032" s="4">
        <v>0</v>
      </c>
      <c r="E1032" s="4">
        <v>0</v>
      </c>
      <c r="F1032" s="4" t="str">
        <f>_xlfn.LET(_xlpm.r, _xlfn.XLOOKUP(Clean_Data[[#This Row],[Country_Code]], Metadata_Country!$A:$A, Metadata_Country!$B:$B, "Unknown"), IF(OR(_xlpm.r=0, _xlpm.r=""), "Regional Aggregate", _xlpm.r))</f>
        <v>Sub-Saharan Africa</v>
      </c>
      <c r="G1032" s="4" t="str">
        <f>_xlfn.LET(_xlpm.ig, _xlfn.XLOOKUP(Clean_Data[[#This Row],[Country_Code]], Metadata_Country!$A:$A, Metadata_Country!$C:$C, "Unknown"), IF(OR(_xlpm.ig=0, _xlpm.ig=""), "Regional Aggregate", _xlpm.ig))</f>
        <v>Lower middle income</v>
      </c>
      <c r="H1032" s="4">
        <f>Clean_Data[[#This Row],[Exports_TIV]] - Clean_Data[[#This Row],[Imports_TIV]]</f>
        <v>0</v>
      </c>
      <c r="I1032" s="4">
        <f>Clean_Data[[#This Row],[Exports_TIV]] + Clean_Data[[#This Row],[Imports_TIV]]</f>
        <v>0</v>
      </c>
    </row>
    <row r="1033" spans="1:9">
      <c r="A1033" s="4" t="s">
        <v>105</v>
      </c>
      <c r="B1033" s="4" t="s">
        <v>106</v>
      </c>
      <c r="C1033" s="5">
        <v>2018</v>
      </c>
      <c r="D1033" s="4">
        <v>0</v>
      </c>
      <c r="E1033" s="4">
        <v>0</v>
      </c>
      <c r="F1033" s="4" t="str">
        <f>_xlfn.LET(_xlpm.r, _xlfn.XLOOKUP(Clean_Data[[#This Row],[Country_Code]], Metadata_Country!$A:$A, Metadata_Country!$B:$B, "Unknown"), IF(OR(_xlpm.r=0, _xlpm.r=""), "Regional Aggregate", _xlpm.r))</f>
        <v>Latin America &amp; Caribbean</v>
      </c>
      <c r="G1033" s="4" t="str">
        <f>_xlfn.LET(_xlpm.ig, _xlfn.XLOOKUP(Clean_Data[[#This Row],[Country_Code]], Metadata_Country!$A:$A, Metadata_Country!$C:$C, "Unknown"), IF(OR(_xlpm.ig=0, _xlpm.ig=""), "Regional Aggregate", _xlpm.ig))</f>
        <v>High income</v>
      </c>
      <c r="H1033" s="4">
        <f>Clean_Data[[#This Row],[Exports_TIV]] - Clean_Data[[#This Row],[Imports_TIV]]</f>
        <v>0</v>
      </c>
      <c r="I1033" s="4">
        <f>Clean_Data[[#This Row],[Exports_TIV]] + Clean_Data[[#This Row],[Imports_TIV]]</f>
        <v>0</v>
      </c>
    </row>
    <row r="1034" spans="1:9">
      <c r="A1034" s="4" t="s">
        <v>91</v>
      </c>
      <c r="B1034" s="4" t="s">
        <v>92</v>
      </c>
      <c r="C1034" s="5">
        <v>2018</v>
      </c>
      <c r="D1034" s="4">
        <v>0</v>
      </c>
      <c r="E1034" s="4">
        <v>10000000</v>
      </c>
      <c r="F1034" s="4" t="str">
        <f>_xlfn.LET(_xlpm.r, _xlfn.XLOOKUP(Clean_Data[[#This Row],[Country_Code]], Metadata_Country!$A:$A, Metadata_Country!$B:$B, "Unknown"), IF(OR(_xlpm.r=0, _xlpm.r=""), "Regional Aggregate", _xlpm.r))</f>
        <v>Sub-Saharan Africa</v>
      </c>
      <c r="G1034" s="4" t="str">
        <f>_xlfn.LET(_xlpm.ig, _xlfn.XLOOKUP(Clean_Data[[#This Row],[Country_Code]], Metadata_Country!$A:$A, Metadata_Country!$C:$C, "Unknown"), IF(OR(_xlpm.ig=0, _xlpm.ig=""), "Regional Aggregate", _xlpm.ig))</f>
        <v>Lower middle income</v>
      </c>
      <c r="H1034" s="4">
        <f>Clean_Data[[#This Row],[Exports_TIV]] - Clean_Data[[#This Row],[Imports_TIV]]</f>
        <v>-10000000</v>
      </c>
      <c r="I1034" s="4">
        <f>Clean_Data[[#This Row],[Exports_TIV]] + Clean_Data[[#This Row],[Imports_TIV]]</f>
        <v>10000000</v>
      </c>
    </row>
    <row r="1035" spans="1:9">
      <c r="A1035" s="4" t="s">
        <v>207</v>
      </c>
      <c r="B1035" s="4" t="s">
        <v>208</v>
      </c>
      <c r="C1035" s="5">
        <v>2018</v>
      </c>
      <c r="D1035" s="4">
        <v>0</v>
      </c>
      <c r="E1035" s="4">
        <v>3000000</v>
      </c>
      <c r="F1035" s="4" t="str">
        <f>_xlfn.LET(_xlpm.r, _xlfn.XLOOKUP(Clean_Data[[#This Row],[Country_Code]], Metadata_Country!$A:$A, Metadata_Country!$B:$B, "Unknown"), IF(OR(_xlpm.r=0, _xlpm.r=""), "Regional Aggregate", _xlpm.r))</f>
        <v>Europe &amp; Central Asia</v>
      </c>
      <c r="G1035" s="4" t="str">
        <f>_xlfn.LET(_xlpm.ig, _xlfn.XLOOKUP(Clean_Data[[#This Row],[Country_Code]], Metadata_Country!$A:$A, Metadata_Country!$C:$C, "Unknown"), IF(OR(_xlpm.ig=0, _xlpm.ig=""), "Regional Aggregate", _xlpm.ig))</f>
        <v>High income</v>
      </c>
      <c r="H1035" s="4">
        <f>Clean_Data[[#This Row],[Exports_TIV]] - Clean_Data[[#This Row],[Imports_TIV]]</f>
        <v>-3000000</v>
      </c>
      <c r="I1035" s="4">
        <f>Clean_Data[[#This Row],[Exports_TIV]] + Clean_Data[[#This Row],[Imports_TIV]]</f>
        <v>3000000</v>
      </c>
    </row>
    <row r="1036" spans="1:9">
      <c r="A1036" s="4" t="s">
        <v>117</v>
      </c>
      <c r="B1036" s="4" t="s">
        <v>118</v>
      </c>
      <c r="C1036" s="5">
        <v>2018</v>
      </c>
      <c r="D1036" s="4">
        <v>92000000</v>
      </c>
      <c r="E1036" s="4">
        <v>7000000</v>
      </c>
      <c r="F1036" s="4" t="str">
        <f>_xlfn.LET(_xlpm.r, _xlfn.XLOOKUP(Clean_Data[[#This Row],[Country_Code]], Metadata_Country!$A:$A, Metadata_Country!$B:$B, "Unknown"), IF(OR(_xlpm.r=0, _xlpm.r=""), "Regional Aggregate", _xlpm.r))</f>
        <v>Europe &amp; Central Asia</v>
      </c>
      <c r="G1036" s="4" t="str">
        <f>_xlfn.LET(_xlpm.ig, _xlfn.XLOOKUP(Clean_Data[[#This Row],[Country_Code]], Metadata_Country!$A:$A, Metadata_Country!$C:$C, "Unknown"), IF(OR(_xlpm.ig=0, _xlpm.ig=""), "Regional Aggregate", _xlpm.ig))</f>
        <v>High income</v>
      </c>
      <c r="H1036" s="4">
        <f>Clean_Data[[#This Row],[Exports_TIV]] - Clean_Data[[#This Row],[Imports_TIV]]</f>
        <v>85000000</v>
      </c>
      <c r="I1036" s="4">
        <f>Clean_Data[[#This Row],[Exports_TIV]] + Clean_Data[[#This Row],[Imports_TIV]]</f>
        <v>99000000</v>
      </c>
    </row>
    <row r="1037" spans="1:9">
      <c r="A1037" s="4" t="s">
        <v>125</v>
      </c>
      <c r="B1037" s="4" t="s">
        <v>126</v>
      </c>
      <c r="C1037" s="5">
        <v>2018</v>
      </c>
      <c r="D1037" s="4">
        <v>25000000</v>
      </c>
      <c r="E1037" s="4">
        <v>54000000</v>
      </c>
      <c r="F1037" s="4" t="str">
        <f>_xlfn.LET(_xlpm.r, _xlfn.XLOOKUP(Clean_Data[[#This Row],[Country_Code]], Metadata_Country!$A:$A, Metadata_Country!$B:$B, "Unknown"), IF(OR(_xlpm.r=0, _xlpm.r=""), "Regional Aggregate", _xlpm.r))</f>
        <v>Europe &amp; Central Asia</v>
      </c>
      <c r="G1037" s="4" t="str">
        <f>_xlfn.LET(_xlpm.ig, _xlfn.XLOOKUP(Clean_Data[[#This Row],[Country_Code]], Metadata_Country!$A:$A, Metadata_Country!$C:$C, "Unknown"), IF(OR(_xlpm.ig=0, _xlpm.ig=""), "Regional Aggregate", _xlpm.ig))</f>
        <v>High income</v>
      </c>
      <c r="H1037" s="4">
        <f>Clean_Data[[#This Row],[Exports_TIV]] - Clean_Data[[#This Row],[Imports_TIV]]</f>
        <v>-29000000</v>
      </c>
      <c r="I1037" s="4">
        <f>Clean_Data[[#This Row],[Exports_TIV]] + Clean_Data[[#This Row],[Imports_TIV]]</f>
        <v>79000000</v>
      </c>
    </row>
    <row r="1038" spans="1:9">
      <c r="A1038" s="4" t="s">
        <v>133</v>
      </c>
      <c r="B1038" s="4" t="s">
        <v>134</v>
      </c>
      <c r="C1038" s="5">
        <v>2018</v>
      </c>
      <c r="D1038" s="4">
        <v>0</v>
      </c>
      <c r="E1038" s="4">
        <v>11364000000</v>
      </c>
      <c r="F1038" s="4" t="str">
        <f>_xlfn.LET(_xlpm.r, _xlfn.XLOOKUP(Clean_Data[[#This Row],[Country_Code]], Metadata_Country!$A:$A, Metadata_Country!$B:$B, "Unknown"), IF(OR(_xlpm.r=0, _xlpm.r=""), "Regional Aggregate", _xlpm.r))</f>
        <v>Regional Aggregate</v>
      </c>
      <c r="G1038" s="4" t="str">
        <f>_xlfn.LET(_xlpm.ig, _xlfn.XLOOKUP(Clean_Data[[#This Row],[Country_Code]], Metadata_Country!$A:$A, Metadata_Country!$C:$C, "Unknown"), IF(OR(_xlpm.ig=0, _xlpm.ig=""), "Regional Aggregate", _xlpm.ig))</f>
        <v>Regional Aggregate</v>
      </c>
      <c r="H1038" s="4">
        <f>Clean_Data[[#This Row],[Exports_TIV]] - Clean_Data[[#This Row],[Imports_TIV]]</f>
        <v>-11364000000</v>
      </c>
      <c r="I1038" s="4">
        <f>Clean_Data[[#This Row],[Exports_TIV]] + Clean_Data[[#This Row],[Imports_TIV]]</f>
        <v>11364000000</v>
      </c>
    </row>
    <row r="1039" spans="1:9">
      <c r="A1039" s="4" t="s">
        <v>135</v>
      </c>
      <c r="B1039" s="4" t="s">
        <v>136</v>
      </c>
      <c r="C1039" s="5">
        <v>2018</v>
      </c>
      <c r="D1039" s="4">
        <v>0</v>
      </c>
      <c r="E1039" s="4">
        <v>8320000000</v>
      </c>
      <c r="F1039" s="4" t="str">
        <f>_xlfn.LET(_xlpm.r, _xlfn.XLOOKUP(Clean_Data[[#This Row],[Country_Code]], Metadata_Country!$A:$A, Metadata_Country!$B:$B, "Unknown"), IF(OR(_xlpm.r=0, _xlpm.r=""), "Regional Aggregate", _xlpm.r))</f>
        <v>Regional Aggregate</v>
      </c>
      <c r="G1039" s="4" t="str">
        <f>_xlfn.LET(_xlpm.ig, _xlfn.XLOOKUP(Clean_Data[[#This Row],[Country_Code]], Metadata_Country!$A:$A, Metadata_Country!$C:$C, "Unknown"), IF(OR(_xlpm.ig=0, _xlpm.ig=""), "Regional Aggregate", _xlpm.ig))</f>
        <v>Regional Aggregate</v>
      </c>
      <c r="H1039" s="4">
        <f>Clean_Data[[#This Row],[Exports_TIV]] - Clean_Data[[#This Row],[Imports_TIV]]</f>
        <v>-8320000000</v>
      </c>
      <c r="I1039" s="4">
        <f>Clean_Data[[#This Row],[Exports_TIV]] + Clean_Data[[#This Row],[Imports_TIV]]</f>
        <v>8320000000</v>
      </c>
    </row>
    <row r="1040" spans="1:9">
      <c r="A1040" s="4" t="s">
        <v>131</v>
      </c>
      <c r="B1040" s="4" t="s">
        <v>132</v>
      </c>
      <c r="C1040" s="5">
        <v>2018</v>
      </c>
      <c r="D1040" s="4">
        <v>1416000000</v>
      </c>
      <c r="E1040" s="4">
        <v>4313000000</v>
      </c>
      <c r="F1040" s="4" t="str">
        <f>_xlfn.LET(_xlpm.r, _xlfn.XLOOKUP(Clean_Data[[#This Row],[Country_Code]], Metadata_Country!$A:$A, Metadata_Country!$B:$B, "Unknown"), IF(OR(_xlpm.r=0, _xlpm.r=""), "Regional Aggregate", _xlpm.r))</f>
        <v>Regional Aggregate</v>
      </c>
      <c r="G1040" s="4" t="str">
        <f>_xlfn.LET(_xlpm.ig, _xlfn.XLOOKUP(Clean_Data[[#This Row],[Country_Code]], Metadata_Country!$A:$A, Metadata_Country!$C:$C, "Unknown"), IF(OR(_xlpm.ig=0, _xlpm.ig=""), "Regional Aggregate", _xlpm.ig))</f>
        <v>Regional Aggregate</v>
      </c>
      <c r="H1040" s="4">
        <f>Clean_Data[[#This Row],[Exports_TIV]] - Clean_Data[[#This Row],[Imports_TIV]]</f>
        <v>-2897000000</v>
      </c>
      <c r="I1040" s="4">
        <f>Clean_Data[[#This Row],[Exports_TIV]] + Clean_Data[[#This Row],[Imports_TIV]]</f>
        <v>5729000000</v>
      </c>
    </row>
    <row r="1041" spans="1:9">
      <c r="A1041" s="4" t="s">
        <v>469</v>
      </c>
      <c r="B1041" s="4" t="s">
        <v>470</v>
      </c>
      <c r="C1041" s="5">
        <v>2018</v>
      </c>
      <c r="D1041" s="4">
        <v>1416000000</v>
      </c>
      <c r="E1041" s="4">
        <v>4313000000</v>
      </c>
      <c r="F1041" s="4" t="str">
        <f>_xlfn.LET(_xlpm.r, _xlfn.XLOOKUP(Clean_Data[[#This Row],[Country_Code]], Metadata_Country!$A:$A, Metadata_Country!$B:$B, "Unknown"), IF(OR(_xlpm.r=0, _xlpm.r=""), "Regional Aggregate", _xlpm.r))</f>
        <v>Regional Aggregate</v>
      </c>
      <c r="G1041" s="4" t="str">
        <f>_xlfn.LET(_xlpm.ig, _xlfn.XLOOKUP(Clean_Data[[#This Row],[Country_Code]], Metadata_Country!$A:$A, Metadata_Country!$C:$C, "Unknown"), IF(OR(_xlpm.ig=0, _xlpm.ig=""), "Regional Aggregate", _xlpm.ig))</f>
        <v>Regional Aggregate</v>
      </c>
      <c r="H1041" s="4">
        <f>Clean_Data[[#This Row],[Exports_TIV]] - Clean_Data[[#This Row],[Imports_TIV]]</f>
        <v>-2897000000</v>
      </c>
      <c r="I1041" s="4">
        <f>Clean_Data[[#This Row],[Exports_TIV]] + Clean_Data[[#This Row],[Imports_TIV]]</f>
        <v>5729000000</v>
      </c>
    </row>
    <row r="1042" spans="1:9">
      <c r="A1042" s="4" t="s">
        <v>141</v>
      </c>
      <c r="B1042" s="4" t="s">
        <v>142</v>
      </c>
      <c r="C1042" s="5">
        <v>2018</v>
      </c>
      <c r="D1042" s="4">
        <v>2000000</v>
      </c>
      <c r="E1042" s="4">
        <v>5000000</v>
      </c>
      <c r="F1042" s="4" t="str">
        <f>_xlfn.LET(_xlpm.r, _xlfn.XLOOKUP(Clean_Data[[#This Row],[Country_Code]], Metadata_Country!$A:$A, Metadata_Country!$B:$B, "Unknown"), IF(OR(_xlpm.r=0, _xlpm.r=""), "Regional Aggregate", _xlpm.r))</f>
        <v>Latin America &amp; Caribbean</v>
      </c>
      <c r="G1042" s="4" t="str">
        <f>_xlfn.LET(_xlpm.ig, _xlfn.XLOOKUP(Clean_Data[[#This Row],[Country_Code]], Metadata_Country!$A:$A, Metadata_Country!$C:$C, "Unknown"), IF(OR(_xlpm.ig=0, _xlpm.ig=""), "Regional Aggregate", _xlpm.ig))</f>
        <v>Upper middle income</v>
      </c>
      <c r="H1042" s="4">
        <f>Clean_Data[[#This Row],[Exports_TIV]] - Clean_Data[[#This Row],[Imports_TIV]]</f>
        <v>-3000000</v>
      </c>
      <c r="I1042" s="4">
        <f>Clean_Data[[#This Row],[Exports_TIV]] + Clean_Data[[#This Row],[Imports_TIV]]</f>
        <v>7000000</v>
      </c>
    </row>
    <row r="1043" spans="1:9">
      <c r="A1043" s="4" t="s">
        <v>143</v>
      </c>
      <c r="B1043" s="4" t="s">
        <v>144</v>
      </c>
      <c r="C1043" s="5">
        <v>2018</v>
      </c>
      <c r="D1043" s="4">
        <v>0</v>
      </c>
      <c r="E1043" s="4">
        <v>1637000000</v>
      </c>
      <c r="F1043" s="4" t="str">
        <f>_xlfn.LET(_xlpm.r, _xlfn.XLOOKUP(Clean_Data[[#This Row],[Country_Code]], Metadata_Country!$A:$A, Metadata_Country!$B:$B, "Unknown"), IF(OR(_xlpm.r=0, _xlpm.r=""), "Regional Aggregate", _xlpm.r))</f>
        <v>Middle East &amp; North Africa</v>
      </c>
      <c r="G1043" s="4" t="str">
        <f>_xlfn.LET(_xlpm.ig, _xlfn.XLOOKUP(Clean_Data[[#This Row],[Country_Code]], Metadata_Country!$A:$A, Metadata_Country!$C:$C, "Unknown"), IF(OR(_xlpm.ig=0, _xlpm.ig=""), "Regional Aggregate", _xlpm.ig))</f>
        <v>Lower middle income</v>
      </c>
      <c r="H1043" s="4">
        <f>Clean_Data[[#This Row],[Exports_TIV]] - Clean_Data[[#This Row],[Imports_TIV]]</f>
        <v>-1637000000</v>
      </c>
      <c r="I1043" s="4">
        <f>Clean_Data[[#This Row],[Exports_TIV]] + Clean_Data[[#This Row],[Imports_TIV]]</f>
        <v>1637000000</v>
      </c>
    </row>
    <row r="1044" spans="1:9">
      <c r="A1044" s="4" t="s">
        <v>431</v>
      </c>
      <c r="B1044" s="4" t="s">
        <v>432</v>
      </c>
      <c r="C1044" s="5">
        <v>2018</v>
      </c>
      <c r="D1044" s="4">
        <v>0</v>
      </c>
      <c r="E1044" s="4">
        <v>1000000</v>
      </c>
      <c r="F1044" s="4" t="str">
        <f>_xlfn.LET(_xlpm.r, _xlfn.XLOOKUP(Clean_Data[[#This Row],[Country_Code]], Metadata_Country!$A:$A, Metadata_Country!$B:$B, "Unknown"), IF(OR(_xlpm.r=0, _xlpm.r=""), "Regional Aggregate", _xlpm.r))</f>
        <v>Latin America &amp; Caribbean</v>
      </c>
      <c r="G1044" s="4" t="str">
        <f>_xlfn.LET(_xlpm.ig, _xlfn.XLOOKUP(Clean_Data[[#This Row],[Country_Code]], Metadata_Country!$A:$A, Metadata_Country!$C:$C, "Unknown"), IF(OR(_xlpm.ig=0, _xlpm.ig=""), "Regional Aggregate", _xlpm.ig))</f>
        <v>Upper middle income</v>
      </c>
      <c r="H1044" s="4">
        <f>Clean_Data[[#This Row],[Exports_TIV]] - Clean_Data[[#This Row],[Imports_TIV]]</f>
        <v>-1000000</v>
      </c>
      <c r="I1044" s="4">
        <f>Clean_Data[[#This Row],[Exports_TIV]] + Clean_Data[[#This Row],[Imports_TIV]]</f>
        <v>1000000</v>
      </c>
    </row>
    <row r="1045" spans="1:9">
      <c r="A1045" s="4" t="s">
        <v>185</v>
      </c>
      <c r="B1045" s="4" t="s">
        <v>186</v>
      </c>
      <c r="C1045" s="5">
        <v>2018</v>
      </c>
      <c r="D1045" s="4">
        <v>0</v>
      </c>
      <c r="E1045" s="4">
        <v>20000000</v>
      </c>
      <c r="F1045" s="4" t="str">
        <f>_xlfn.LET(_xlpm.r, _xlfn.XLOOKUP(Clean_Data[[#This Row],[Country_Code]], Metadata_Country!$A:$A, Metadata_Country!$B:$B, "Unknown"), IF(OR(_xlpm.r=0, _xlpm.r=""), "Regional Aggregate", _xlpm.r))</f>
        <v>Sub-Saharan Africa</v>
      </c>
      <c r="G1045" s="4" t="str">
        <f>_xlfn.LET(_xlpm.ig, _xlfn.XLOOKUP(Clean_Data[[#This Row],[Country_Code]], Metadata_Country!$A:$A, Metadata_Country!$C:$C, "Unknown"), IF(OR(_xlpm.ig=0, _xlpm.ig=""), "Regional Aggregate", _xlpm.ig))</f>
        <v>Upper middle income</v>
      </c>
      <c r="H1045" s="4">
        <f>Clean_Data[[#This Row],[Exports_TIV]] - Clean_Data[[#This Row],[Imports_TIV]]</f>
        <v>-20000000</v>
      </c>
      <c r="I1045" s="4">
        <f>Clean_Data[[#This Row],[Exports_TIV]] + Clean_Data[[#This Row],[Imports_TIV]]</f>
        <v>20000000</v>
      </c>
    </row>
    <row r="1046" spans="1:9">
      <c r="A1046" s="4" t="s">
        <v>151</v>
      </c>
      <c r="B1046" s="4" t="s">
        <v>152</v>
      </c>
      <c r="C1046" s="5">
        <v>2018</v>
      </c>
      <c r="D1046" s="4">
        <v>0</v>
      </c>
      <c r="E1046" s="4">
        <v>19000000</v>
      </c>
      <c r="F1046" s="4" t="str">
        <f>_xlfn.LET(_xlpm.r, _xlfn.XLOOKUP(Clean_Data[[#This Row],[Country_Code]], Metadata_Country!$A:$A, Metadata_Country!$B:$B, "Unknown"), IF(OR(_xlpm.r=0, _xlpm.r=""), "Regional Aggregate", _xlpm.r))</f>
        <v>Europe &amp; Central Asia</v>
      </c>
      <c r="G1046" s="4" t="str">
        <f>_xlfn.LET(_xlpm.ig, _xlfn.XLOOKUP(Clean_Data[[#This Row],[Country_Code]], Metadata_Country!$A:$A, Metadata_Country!$C:$C, "Unknown"), IF(OR(_xlpm.ig=0, _xlpm.ig=""), "Regional Aggregate", _xlpm.ig))</f>
        <v>High income</v>
      </c>
      <c r="H1046" s="4">
        <f>Clean_Data[[#This Row],[Exports_TIV]] - Clean_Data[[#This Row],[Imports_TIV]]</f>
        <v>-19000000</v>
      </c>
      <c r="I1046" s="4">
        <f>Clean_Data[[#This Row],[Exports_TIV]] + Clean_Data[[#This Row],[Imports_TIV]]</f>
        <v>19000000</v>
      </c>
    </row>
    <row r="1047" spans="1:9">
      <c r="A1047" s="4" t="s">
        <v>153</v>
      </c>
      <c r="B1047" s="4" t="s">
        <v>154</v>
      </c>
      <c r="C1047" s="5">
        <v>2018</v>
      </c>
      <c r="D1047" s="4">
        <v>0</v>
      </c>
      <c r="E1047" s="4">
        <v>14000000</v>
      </c>
      <c r="F1047" s="4" t="str">
        <f>_xlfn.LET(_xlpm.r, _xlfn.XLOOKUP(Clean_Data[[#This Row],[Country_Code]], Metadata_Country!$A:$A, Metadata_Country!$B:$B, "Unknown"), IF(OR(_xlpm.r=0, _xlpm.r=""), "Regional Aggregate", _xlpm.r))</f>
        <v>Sub-Saharan Africa</v>
      </c>
      <c r="G1047" s="4" t="str">
        <f>_xlfn.LET(_xlpm.ig, _xlfn.XLOOKUP(Clean_Data[[#This Row],[Country_Code]], Metadata_Country!$A:$A, Metadata_Country!$C:$C, "Unknown"), IF(OR(_xlpm.ig=0, _xlpm.ig=""), "Regional Aggregate", _xlpm.ig))</f>
        <v>Low income</v>
      </c>
      <c r="H1047" s="4">
        <f>Clean_Data[[#This Row],[Exports_TIV]] - Clean_Data[[#This Row],[Imports_TIV]]</f>
        <v>-14000000</v>
      </c>
      <c r="I1047" s="4">
        <f>Clean_Data[[#This Row],[Exports_TIV]] + Clean_Data[[#This Row],[Imports_TIV]]</f>
        <v>14000000</v>
      </c>
    </row>
    <row r="1048" spans="1:9">
      <c r="A1048" s="4" t="s">
        <v>145</v>
      </c>
      <c r="B1048" s="4" t="s">
        <v>146</v>
      </c>
      <c r="C1048" s="5">
        <v>2018</v>
      </c>
      <c r="D1048" s="4">
        <v>4834000000</v>
      </c>
      <c r="E1048" s="4">
        <v>1015000000</v>
      </c>
      <c r="F1048" s="4" t="str">
        <f>_xlfn.LET(_xlpm.r, _xlfn.XLOOKUP(Clean_Data[[#This Row],[Country_Code]], Metadata_Country!$A:$A, Metadata_Country!$B:$B, "Unknown"), IF(OR(_xlpm.r=0, _xlpm.r=""), "Regional Aggregate", _xlpm.r))</f>
        <v>Regional Aggregate</v>
      </c>
      <c r="G1048" s="4" t="str">
        <f>_xlfn.LET(_xlpm.ig, _xlfn.XLOOKUP(Clean_Data[[#This Row],[Country_Code]], Metadata_Country!$A:$A, Metadata_Country!$C:$C, "Unknown"), IF(OR(_xlpm.ig=0, _xlpm.ig=""), "Regional Aggregate", _xlpm.ig))</f>
        <v>Regional Aggregate</v>
      </c>
      <c r="H1048" s="4">
        <f>Clean_Data[[#This Row],[Exports_TIV]] - Clean_Data[[#This Row],[Imports_TIV]]</f>
        <v>3819000000</v>
      </c>
      <c r="I1048" s="4">
        <f>Clean_Data[[#This Row],[Exports_TIV]] + Clean_Data[[#This Row],[Imports_TIV]]</f>
        <v>5849000000</v>
      </c>
    </row>
    <row r="1049" spans="1:9">
      <c r="A1049" s="4" t="s">
        <v>139</v>
      </c>
      <c r="B1049" s="4" t="s">
        <v>140</v>
      </c>
      <c r="C1049" s="5">
        <v>2018</v>
      </c>
      <c r="D1049" s="4">
        <v>13921000000</v>
      </c>
      <c r="E1049" s="4">
        <v>3771000000</v>
      </c>
      <c r="F1049" s="4" t="str">
        <f>_xlfn.LET(_xlpm.r, _xlfn.XLOOKUP(Clean_Data[[#This Row],[Country_Code]], Metadata_Country!$A:$A, Metadata_Country!$B:$B, "Unknown"), IF(OR(_xlpm.r=0, _xlpm.r=""), "Regional Aggregate", _xlpm.r))</f>
        <v>Regional Aggregate</v>
      </c>
      <c r="G1049" s="4" t="str">
        <f>_xlfn.LET(_xlpm.ig, _xlfn.XLOOKUP(Clean_Data[[#This Row],[Country_Code]], Metadata_Country!$A:$A, Metadata_Country!$C:$C, "Unknown"), IF(OR(_xlpm.ig=0, _xlpm.ig=""), "Regional Aggregate", _xlpm.ig))</f>
        <v>Regional Aggregate</v>
      </c>
      <c r="H1049" s="4">
        <f>Clean_Data[[#This Row],[Exports_TIV]] - Clean_Data[[#This Row],[Imports_TIV]]</f>
        <v>10150000000</v>
      </c>
      <c r="I1049" s="4">
        <f>Clean_Data[[#This Row],[Exports_TIV]] + Clean_Data[[#This Row],[Imports_TIV]]</f>
        <v>17692000000</v>
      </c>
    </row>
    <row r="1050" spans="1:9">
      <c r="A1050" s="4" t="s">
        <v>137</v>
      </c>
      <c r="B1050" s="4" t="s">
        <v>138</v>
      </c>
      <c r="C1050" s="5">
        <v>2018</v>
      </c>
      <c r="D1050" s="4">
        <v>682000000</v>
      </c>
      <c r="E1050" s="4">
        <v>1530000000</v>
      </c>
      <c r="F1050" s="4" t="str">
        <f>_xlfn.LET(_xlpm.r, _xlfn.XLOOKUP(Clean_Data[[#This Row],[Country_Code]], Metadata_Country!$A:$A, Metadata_Country!$B:$B, "Unknown"), IF(OR(_xlpm.r=0, _xlpm.r=""), "Regional Aggregate", _xlpm.r))</f>
        <v>Regional Aggregate</v>
      </c>
      <c r="G1050" s="4" t="str">
        <f>_xlfn.LET(_xlpm.ig, _xlfn.XLOOKUP(Clean_Data[[#This Row],[Country_Code]], Metadata_Country!$A:$A, Metadata_Country!$C:$C, "Unknown"), IF(OR(_xlpm.ig=0, _xlpm.ig=""), "Regional Aggregate", _xlpm.ig))</f>
        <v>Regional Aggregate</v>
      </c>
      <c r="H1050" s="4">
        <f>Clean_Data[[#This Row],[Exports_TIV]] - Clean_Data[[#This Row],[Imports_TIV]]</f>
        <v>-848000000</v>
      </c>
      <c r="I1050" s="4">
        <f>Clean_Data[[#This Row],[Exports_TIV]] + Clean_Data[[#This Row],[Imports_TIV]]</f>
        <v>2212000000</v>
      </c>
    </row>
    <row r="1051" spans="1:9">
      <c r="A1051" s="4" t="s">
        <v>471</v>
      </c>
      <c r="B1051" s="4" t="s">
        <v>472</v>
      </c>
      <c r="C1051" s="5">
        <v>2018</v>
      </c>
      <c r="D1051" s="4">
        <v>7852000000</v>
      </c>
      <c r="E1051" s="4">
        <v>1681000000</v>
      </c>
      <c r="F1051" s="4" t="str">
        <f>_xlfn.LET(_xlpm.r, _xlfn.XLOOKUP(Clean_Data[[#This Row],[Country_Code]], Metadata_Country!$A:$A, Metadata_Country!$B:$B, "Unknown"), IF(OR(_xlpm.r=0, _xlpm.r=""), "Regional Aggregate", _xlpm.r))</f>
        <v>Regional Aggregate</v>
      </c>
      <c r="G1051" s="4" t="str">
        <f>_xlfn.LET(_xlpm.ig, _xlfn.XLOOKUP(Clean_Data[[#This Row],[Country_Code]], Metadata_Country!$A:$A, Metadata_Country!$C:$C, "Unknown"), IF(OR(_xlpm.ig=0, _xlpm.ig=""), "Regional Aggregate", _xlpm.ig))</f>
        <v>Regional Aggregate</v>
      </c>
      <c r="H1051" s="4">
        <f>Clean_Data[[#This Row],[Exports_TIV]] - Clean_Data[[#This Row],[Imports_TIV]]</f>
        <v>6171000000</v>
      </c>
      <c r="I1051" s="4">
        <f>Clean_Data[[#This Row],[Exports_TIV]] + Clean_Data[[#This Row],[Imports_TIV]]</f>
        <v>9533000000</v>
      </c>
    </row>
    <row r="1052" spans="1:9">
      <c r="A1052" s="4" t="s">
        <v>155</v>
      </c>
      <c r="B1052" s="4" t="s">
        <v>156</v>
      </c>
      <c r="C1052" s="5">
        <v>2018</v>
      </c>
      <c r="D1052" s="4">
        <v>5097000000</v>
      </c>
      <c r="E1052" s="4">
        <v>1196000000</v>
      </c>
      <c r="F1052" s="4" t="str">
        <f>_xlfn.LET(_xlpm.r, _xlfn.XLOOKUP(Clean_Data[[#This Row],[Country_Code]], Metadata_Country!$A:$A, Metadata_Country!$B:$B, "Unknown"), IF(OR(_xlpm.r=0, _xlpm.r=""), "Regional Aggregate", _xlpm.r))</f>
        <v>Regional Aggregate</v>
      </c>
      <c r="G1052" s="4" t="str">
        <f>_xlfn.LET(_xlpm.ig, _xlfn.XLOOKUP(Clean_Data[[#This Row],[Country_Code]], Metadata_Country!$A:$A, Metadata_Country!$C:$C, "Unknown"), IF(OR(_xlpm.ig=0, _xlpm.ig=""), "Regional Aggregate", _xlpm.ig))</f>
        <v>Regional Aggregate</v>
      </c>
      <c r="H1052" s="4">
        <f>Clean_Data[[#This Row],[Exports_TIV]] - Clean_Data[[#This Row],[Imports_TIV]]</f>
        <v>3901000000</v>
      </c>
      <c r="I1052" s="4">
        <f>Clean_Data[[#This Row],[Exports_TIV]] + Clean_Data[[#This Row],[Imports_TIV]]</f>
        <v>6293000000</v>
      </c>
    </row>
    <row r="1053" spans="1:9">
      <c r="A1053" s="4" t="s">
        <v>159</v>
      </c>
      <c r="B1053" s="4" t="s">
        <v>160</v>
      </c>
      <c r="C1053" s="5">
        <v>2018</v>
      </c>
      <c r="D1053" s="4">
        <v>43000000</v>
      </c>
      <c r="E1053" s="4">
        <v>82000000</v>
      </c>
      <c r="F1053" s="4" t="str">
        <f>_xlfn.LET(_xlpm.r, _xlfn.XLOOKUP(Clean_Data[[#This Row],[Country_Code]], Metadata_Country!$A:$A, Metadata_Country!$B:$B, "Unknown"), IF(OR(_xlpm.r=0, _xlpm.r=""), "Regional Aggregate", _xlpm.r))</f>
        <v>Europe &amp; Central Asia</v>
      </c>
      <c r="G1053" s="4" t="str">
        <f>_xlfn.LET(_xlpm.ig, _xlfn.XLOOKUP(Clean_Data[[#This Row],[Country_Code]], Metadata_Country!$A:$A, Metadata_Country!$C:$C, "Unknown"), IF(OR(_xlpm.ig=0, _xlpm.ig=""), "Regional Aggregate", _xlpm.ig))</f>
        <v>High income</v>
      </c>
      <c r="H1053" s="4">
        <f>Clean_Data[[#This Row],[Exports_TIV]] - Clean_Data[[#This Row],[Imports_TIV]]</f>
        <v>-39000000</v>
      </c>
      <c r="I1053" s="4">
        <f>Clean_Data[[#This Row],[Exports_TIV]] + Clean_Data[[#This Row],[Imports_TIV]]</f>
        <v>125000000</v>
      </c>
    </row>
    <row r="1054" spans="1:9">
      <c r="A1054" s="4" t="s">
        <v>157</v>
      </c>
      <c r="B1054" s="4" t="s">
        <v>158</v>
      </c>
      <c r="C1054" s="5">
        <v>2018</v>
      </c>
      <c r="D1054" s="4">
        <v>0</v>
      </c>
      <c r="E1054" s="4">
        <v>1466000000</v>
      </c>
      <c r="F1054" s="4" t="str">
        <f>_xlfn.LET(_xlpm.r, _xlfn.XLOOKUP(Clean_Data[[#This Row],[Country_Code]], Metadata_Country!$A:$A, Metadata_Country!$B:$B, "Unknown"), IF(OR(_xlpm.r=0, _xlpm.r=""), "Regional Aggregate", _xlpm.r))</f>
        <v>Regional Aggregate</v>
      </c>
      <c r="G1054" s="4" t="str">
        <f>_xlfn.LET(_xlpm.ig, _xlfn.XLOOKUP(Clean_Data[[#This Row],[Country_Code]], Metadata_Country!$A:$A, Metadata_Country!$C:$C, "Unknown"), IF(OR(_xlpm.ig=0, _xlpm.ig=""), "Regional Aggregate", _xlpm.ig))</f>
        <v>Regional Aggregate</v>
      </c>
      <c r="H1054" s="4">
        <f>Clean_Data[[#This Row],[Exports_TIV]] - Clean_Data[[#This Row],[Imports_TIV]]</f>
        <v>-1466000000</v>
      </c>
      <c r="I1054" s="4">
        <f>Clean_Data[[#This Row],[Exports_TIV]] + Clean_Data[[#This Row],[Imports_TIV]]</f>
        <v>1466000000</v>
      </c>
    </row>
    <row r="1055" spans="1:9">
      <c r="A1055" s="4" t="s">
        <v>163</v>
      </c>
      <c r="B1055" s="4" t="s">
        <v>164</v>
      </c>
      <c r="C1055" s="5">
        <v>2018</v>
      </c>
      <c r="D1055" s="4">
        <v>1867000000</v>
      </c>
      <c r="E1055" s="4">
        <v>201000000</v>
      </c>
      <c r="F1055" s="4" t="str">
        <f>_xlfn.LET(_xlpm.r, _xlfn.XLOOKUP(Clean_Data[[#This Row],[Country_Code]], Metadata_Country!$A:$A, Metadata_Country!$B:$B, "Unknown"), IF(OR(_xlpm.r=0, _xlpm.r=""), "Regional Aggregate", _xlpm.r))</f>
        <v>Europe &amp; Central Asia</v>
      </c>
      <c r="G1055" s="4" t="str">
        <f>_xlfn.LET(_xlpm.ig, _xlfn.XLOOKUP(Clean_Data[[#This Row],[Country_Code]], Metadata_Country!$A:$A, Metadata_Country!$C:$C, "Unknown"), IF(OR(_xlpm.ig=0, _xlpm.ig=""), "Regional Aggregate", _xlpm.ig))</f>
        <v>High income</v>
      </c>
      <c r="H1055" s="4">
        <f>Clean_Data[[#This Row],[Exports_TIV]] - Clean_Data[[#This Row],[Imports_TIV]]</f>
        <v>1666000000</v>
      </c>
      <c r="I1055" s="4">
        <f>Clean_Data[[#This Row],[Exports_TIV]] + Clean_Data[[#This Row],[Imports_TIV]]</f>
        <v>2068000000</v>
      </c>
    </row>
    <row r="1056" spans="1:9">
      <c r="A1056" s="4" t="s">
        <v>173</v>
      </c>
      <c r="B1056" s="4" t="s">
        <v>174</v>
      </c>
      <c r="C1056" s="5">
        <v>2018</v>
      </c>
      <c r="D1056" s="4">
        <v>0</v>
      </c>
      <c r="E1056" s="4">
        <v>41000000</v>
      </c>
      <c r="F1056" s="4" t="str">
        <f>_xlfn.LET(_xlpm.r, _xlfn.XLOOKUP(Clean_Data[[#This Row],[Country_Code]], Metadata_Country!$A:$A, Metadata_Country!$B:$B, "Unknown"), IF(OR(_xlpm.r=0, _xlpm.r=""), "Regional Aggregate", _xlpm.r))</f>
        <v>Europe &amp; Central Asia</v>
      </c>
      <c r="G1056" s="4" t="str">
        <f>_xlfn.LET(_xlpm.ig, _xlfn.XLOOKUP(Clean_Data[[#This Row],[Country_Code]], Metadata_Country!$A:$A, Metadata_Country!$C:$C, "Unknown"), IF(OR(_xlpm.ig=0, _xlpm.ig=""), "Regional Aggregate", _xlpm.ig))</f>
        <v>Upper middle income</v>
      </c>
      <c r="H1056" s="4">
        <f>Clean_Data[[#This Row],[Exports_TIV]] - Clean_Data[[#This Row],[Imports_TIV]]</f>
        <v>-41000000</v>
      </c>
      <c r="I1056" s="4">
        <f>Clean_Data[[#This Row],[Exports_TIV]] + Clean_Data[[#This Row],[Imports_TIV]]</f>
        <v>41000000</v>
      </c>
    </row>
    <row r="1057" spans="1:9">
      <c r="A1057" s="4" t="s">
        <v>119</v>
      </c>
      <c r="B1057" s="4" t="s">
        <v>120</v>
      </c>
      <c r="C1057" s="5">
        <v>2018</v>
      </c>
      <c r="D1057" s="4">
        <v>1098000000</v>
      </c>
      <c r="E1057" s="4">
        <v>14000000</v>
      </c>
      <c r="F1057" s="4" t="str">
        <f>_xlfn.LET(_xlpm.r, _xlfn.XLOOKUP(Clean_Data[[#This Row],[Country_Code]], Metadata_Country!$A:$A, Metadata_Country!$B:$B, "Unknown"), IF(OR(_xlpm.r=0, _xlpm.r=""), "Regional Aggregate", _xlpm.r))</f>
        <v>Europe &amp; Central Asia</v>
      </c>
      <c r="G1057" s="4" t="str">
        <f>_xlfn.LET(_xlpm.ig, _xlfn.XLOOKUP(Clean_Data[[#This Row],[Country_Code]], Metadata_Country!$A:$A, Metadata_Country!$C:$C, "Unknown"), IF(OR(_xlpm.ig=0, _xlpm.ig=""), "Regional Aggregate", _xlpm.ig))</f>
        <v>High income</v>
      </c>
      <c r="H1057" s="4">
        <f>Clean_Data[[#This Row],[Exports_TIV]] - Clean_Data[[#This Row],[Imports_TIV]]</f>
        <v>1084000000</v>
      </c>
      <c r="I1057" s="4">
        <f>Clean_Data[[#This Row],[Exports_TIV]] + Clean_Data[[#This Row],[Imports_TIV]]</f>
        <v>1112000000</v>
      </c>
    </row>
    <row r="1058" spans="1:9">
      <c r="A1058" s="4" t="s">
        <v>175</v>
      </c>
      <c r="B1058" s="4" t="s">
        <v>176</v>
      </c>
      <c r="C1058" s="5">
        <v>2018</v>
      </c>
      <c r="D1058" s="4">
        <v>0</v>
      </c>
      <c r="E1058" s="4">
        <v>0</v>
      </c>
      <c r="F1058" s="4" t="str">
        <f>_xlfn.LET(_xlpm.r, _xlfn.XLOOKUP(Clean_Data[[#This Row],[Country_Code]], Metadata_Country!$A:$A, Metadata_Country!$B:$B, "Unknown"), IF(OR(_xlpm.r=0, _xlpm.r=""), "Regional Aggregate", _xlpm.r))</f>
        <v>Sub-Saharan Africa</v>
      </c>
      <c r="G1058" s="4" t="str">
        <f>_xlfn.LET(_xlpm.ig, _xlfn.XLOOKUP(Clean_Data[[#This Row],[Country_Code]], Metadata_Country!$A:$A, Metadata_Country!$C:$C, "Unknown"), IF(OR(_xlpm.ig=0, _xlpm.ig=""), "Regional Aggregate", _xlpm.ig))</f>
        <v>Lower middle income</v>
      </c>
      <c r="H1058" s="4">
        <f>Clean_Data[[#This Row],[Exports_TIV]] - Clean_Data[[#This Row],[Imports_TIV]]</f>
        <v>0</v>
      </c>
      <c r="I1058" s="4">
        <f>Clean_Data[[#This Row],[Exports_TIV]] + Clean_Data[[#This Row],[Imports_TIV]]</f>
        <v>0</v>
      </c>
    </row>
    <row r="1059" spans="1:9">
      <c r="A1059" s="4" t="s">
        <v>187</v>
      </c>
      <c r="B1059" s="4" t="s">
        <v>188</v>
      </c>
      <c r="C1059" s="5">
        <v>2018</v>
      </c>
      <c r="D1059" s="4">
        <v>0</v>
      </c>
      <c r="E1059" s="4">
        <v>39000000</v>
      </c>
      <c r="F1059" s="4" t="str">
        <f>_xlfn.LET(_xlpm.r, _xlfn.XLOOKUP(Clean_Data[[#This Row],[Country_Code]], Metadata_Country!$A:$A, Metadata_Country!$B:$B, "Unknown"), IF(OR(_xlpm.r=0, _xlpm.r=""), "Regional Aggregate", _xlpm.r))</f>
        <v>Europe &amp; Central Asia</v>
      </c>
      <c r="G1059" s="4" t="str">
        <f>_xlfn.LET(_xlpm.ig, _xlfn.XLOOKUP(Clean_Data[[#This Row],[Country_Code]], Metadata_Country!$A:$A, Metadata_Country!$C:$C, "Unknown"), IF(OR(_xlpm.ig=0, _xlpm.ig=""), "Regional Aggregate", _xlpm.ig))</f>
        <v>High income</v>
      </c>
      <c r="H1059" s="4">
        <f>Clean_Data[[#This Row],[Exports_TIV]] - Clean_Data[[#This Row],[Imports_TIV]]</f>
        <v>-39000000</v>
      </c>
      <c r="I1059" s="4">
        <f>Clean_Data[[#This Row],[Exports_TIV]] + Clean_Data[[#This Row],[Imports_TIV]]</f>
        <v>39000000</v>
      </c>
    </row>
    <row r="1060" spans="1:9">
      <c r="A1060" s="4" t="s">
        <v>193</v>
      </c>
      <c r="B1060" s="4" t="s">
        <v>194</v>
      </c>
      <c r="C1060" s="5">
        <v>2018</v>
      </c>
      <c r="D1060" s="4">
        <v>0</v>
      </c>
      <c r="E1060" s="4">
        <v>4000000</v>
      </c>
      <c r="F1060" s="4" t="str">
        <f>_xlfn.LET(_xlpm.r, _xlfn.XLOOKUP(Clean_Data[[#This Row],[Country_Code]], Metadata_Country!$A:$A, Metadata_Country!$B:$B, "Unknown"), IF(OR(_xlpm.r=0, _xlpm.r=""), "Regional Aggregate", _xlpm.r))</f>
        <v>Latin America &amp; Caribbean</v>
      </c>
      <c r="G1060" s="4" t="str">
        <f>_xlfn.LET(_xlpm.ig, _xlfn.XLOOKUP(Clean_Data[[#This Row],[Country_Code]], Metadata_Country!$A:$A, Metadata_Country!$C:$C, "Unknown"), IF(OR(_xlpm.ig=0, _xlpm.ig=""), "Regional Aggregate", _xlpm.ig))</f>
        <v>Upper middle income</v>
      </c>
      <c r="H1060" s="4">
        <f>Clean_Data[[#This Row],[Exports_TIV]] - Clean_Data[[#This Row],[Imports_TIV]]</f>
        <v>-4000000</v>
      </c>
      <c r="I1060" s="4">
        <f>Clean_Data[[#This Row],[Exports_TIV]] + Clean_Data[[#This Row],[Imports_TIV]]</f>
        <v>4000000</v>
      </c>
    </row>
    <row r="1061" spans="1:9">
      <c r="A1061" s="4" t="s">
        <v>179</v>
      </c>
      <c r="B1061" s="4" t="s">
        <v>180</v>
      </c>
      <c r="C1061" s="5">
        <v>2018</v>
      </c>
      <c r="D1061" s="4">
        <v>0</v>
      </c>
      <c r="E1061" s="4">
        <v>1000000</v>
      </c>
      <c r="F1061" s="4" t="str">
        <f>_xlfn.LET(_xlpm.r, _xlfn.XLOOKUP(Clean_Data[[#This Row],[Country_Code]], Metadata_Country!$A:$A, Metadata_Country!$B:$B, "Unknown"), IF(OR(_xlpm.r=0, _xlpm.r=""), "Regional Aggregate", _xlpm.r))</f>
        <v>Sub-Saharan Africa</v>
      </c>
      <c r="G1061" s="4" t="str">
        <f>_xlfn.LET(_xlpm.ig, _xlfn.XLOOKUP(Clean_Data[[#This Row],[Country_Code]], Metadata_Country!$A:$A, Metadata_Country!$C:$C, "Unknown"), IF(OR(_xlpm.ig=0, _xlpm.ig=""), "Regional Aggregate", _xlpm.ig))</f>
        <v>Lower middle income</v>
      </c>
      <c r="H1061" s="4">
        <f>Clean_Data[[#This Row],[Exports_TIV]] - Clean_Data[[#This Row],[Imports_TIV]]</f>
        <v>-1000000</v>
      </c>
      <c r="I1061" s="4">
        <f>Clean_Data[[#This Row],[Exports_TIV]] + Clean_Data[[#This Row],[Imports_TIV]]</f>
        <v>1000000</v>
      </c>
    </row>
    <row r="1062" spans="1:9">
      <c r="A1062" s="4" t="s">
        <v>197</v>
      </c>
      <c r="B1062" s="4" t="s">
        <v>198</v>
      </c>
      <c r="C1062" s="5">
        <v>2018</v>
      </c>
      <c r="D1062" s="4">
        <v>0</v>
      </c>
      <c r="E1062" s="4">
        <v>0</v>
      </c>
      <c r="F1062" s="4" t="str">
        <f>_xlfn.LET(_xlpm.r, _xlfn.XLOOKUP(Clean_Data[[#This Row],[Country_Code]], Metadata_Country!$A:$A, Metadata_Country!$B:$B, "Unknown"), IF(OR(_xlpm.r=0, _xlpm.r=""), "Regional Aggregate", _xlpm.r))</f>
        <v>Latin America &amp; Caribbean</v>
      </c>
      <c r="G1062" s="4" t="str">
        <f>_xlfn.LET(_xlpm.ig, _xlfn.XLOOKUP(Clean_Data[[#This Row],[Country_Code]], Metadata_Country!$A:$A, Metadata_Country!$C:$C, "Unknown"), IF(OR(_xlpm.ig=0, _xlpm.ig=""), "Regional Aggregate", _xlpm.ig))</f>
        <v>High income</v>
      </c>
      <c r="H1062" s="4">
        <f>Clean_Data[[#This Row],[Exports_TIV]] - Clean_Data[[#This Row],[Imports_TIV]]</f>
        <v>0</v>
      </c>
      <c r="I1062" s="4">
        <f>Clean_Data[[#This Row],[Exports_TIV]] + Clean_Data[[#This Row],[Imports_TIV]]</f>
        <v>0</v>
      </c>
    </row>
    <row r="1063" spans="1:9">
      <c r="A1063" s="4" t="s">
        <v>205</v>
      </c>
      <c r="B1063" s="4" t="s">
        <v>206</v>
      </c>
      <c r="C1063" s="5">
        <v>2018</v>
      </c>
      <c r="D1063" s="4">
        <v>0</v>
      </c>
      <c r="E1063" s="4">
        <v>490000000</v>
      </c>
      <c r="F1063" s="4" t="str">
        <f>_xlfn.LET(_xlpm.r, _xlfn.XLOOKUP(Clean_Data[[#This Row],[Country_Code]], Metadata_Country!$A:$A, Metadata_Country!$B:$B, "Unknown"), IF(OR(_xlpm.r=0, _xlpm.r=""), "Regional Aggregate", _xlpm.r))</f>
        <v>Regional Aggregate</v>
      </c>
      <c r="G1063" s="4" t="str">
        <f>_xlfn.LET(_xlpm.ig, _xlfn.XLOOKUP(Clean_Data[[#This Row],[Country_Code]], Metadata_Country!$A:$A, Metadata_Country!$C:$C, "Unknown"), IF(OR(_xlpm.ig=0, _xlpm.ig=""), "Regional Aggregate", _xlpm.ig))</f>
        <v>Regional Aggregate</v>
      </c>
      <c r="H1063" s="4">
        <f>Clean_Data[[#This Row],[Exports_TIV]] - Clean_Data[[#This Row],[Imports_TIV]]</f>
        <v>-490000000</v>
      </c>
      <c r="I1063" s="4">
        <f>Clean_Data[[#This Row],[Exports_TIV]] + Clean_Data[[#This Row],[Imports_TIV]]</f>
        <v>490000000</v>
      </c>
    </row>
    <row r="1064" spans="1:9">
      <c r="A1064" s="4" t="s">
        <v>199</v>
      </c>
      <c r="B1064" s="4" t="s">
        <v>200</v>
      </c>
      <c r="C1064" s="5">
        <v>2018</v>
      </c>
      <c r="D1064" s="4">
        <v>24979000000</v>
      </c>
      <c r="E1064" s="4">
        <v>12569000000</v>
      </c>
      <c r="F1064" s="4" t="str">
        <f>_xlfn.LET(_xlpm.r, _xlfn.XLOOKUP(Clean_Data[[#This Row],[Country_Code]], Metadata_Country!$A:$A, Metadata_Country!$B:$B, "Unknown"), IF(OR(_xlpm.r=0, _xlpm.r=""), "Regional Aggregate", _xlpm.r))</f>
        <v>Regional Aggregate</v>
      </c>
      <c r="G1064" s="4" t="str">
        <f>_xlfn.LET(_xlpm.ig, _xlfn.XLOOKUP(Clean_Data[[#This Row],[Country_Code]], Metadata_Country!$A:$A, Metadata_Country!$C:$C, "Unknown"), IF(OR(_xlpm.ig=0, _xlpm.ig=""), "Regional Aggregate", _xlpm.ig))</f>
        <v>Regional Aggregate</v>
      </c>
      <c r="H1064" s="4">
        <f>Clean_Data[[#This Row],[Exports_TIV]] - Clean_Data[[#This Row],[Imports_TIV]]</f>
        <v>12410000000</v>
      </c>
      <c r="I1064" s="4">
        <f>Clean_Data[[#This Row],[Exports_TIV]] + Clean_Data[[#This Row],[Imports_TIV]]</f>
        <v>37548000000</v>
      </c>
    </row>
    <row r="1065" spans="1:9">
      <c r="A1065" s="4" t="s">
        <v>203</v>
      </c>
      <c r="B1065" s="4" t="s">
        <v>204</v>
      </c>
      <c r="C1065" s="5">
        <v>2018</v>
      </c>
      <c r="D1065" s="4">
        <v>0</v>
      </c>
      <c r="E1065" s="4">
        <v>1000000</v>
      </c>
      <c r="F1065" s="4" t="str">
        <f>_xlfn.LET(_xlpm.r, _xlfn.XLOOKUP(Clean_Data[[#This Row],[Country_Code]], Metadata_Country!$A:$A, Metadata_Country!$B:$B, "Unknown"), IF(OR(_xlpm.r=0, _xlpm.r=""), "Regional Aggregate", _xlpm.r))</f>
        <v>Latin America &amp; Caribbean</v>
      </c>
      <c r="G1065" s="4" t="str">
        <f>_xlfn.LET(_xlpm.ig, _xlfn.XLOOKUP(Clean_Data[[#This Row],[Country_Code]], Metadata_Country!$A:$A, Metadata_Country!$C:$C, "Unknown"), IF(OR(_xlpm.ig=0, _xlpm.ig=""), "Regional Aggregate", _xlpm.ig))</f>
        <v>Lower middle income</v>
      </c>
      <c r="H1065" s="4">
        <f>Clean_Data[[#This Row],[Exports_TIV]] - Clean_Data[[#This Row],[Imports_TIV]]</f>
        <v>-1000000</v>
      </c>
      <c r="I1065" s="4">
        <f>Clean_Data[[#This Row],[Exports_TIV]] + Clean_Data[[#This Row],[Imports_TIV]]</f>
        <v>1000000</v>
      </c>
    </row>
    <row r="1066" spans="1:9">
      <c r="A1066" s="4" t="s">
        <v>211</v>
      </c>
      <c r="B1066" s="4" t="s">
        <v>212</v>
      </c>
      <c r="C1066" s="5">
        <v>2018</v>
      </c>
      <c r="D1066" s="4">
        <v>0</v>
      </c>
      <c r="E1066" s="4">
        <v>27000000</v>
      </c>
      <c r="F1066" s="4" t="str">
        <f>_xlfn.LET(_xlpm.r, _xlfn.XLOOKUP(Clean_Data[[#This Row],[Country_Code]], Metadata_Country!$A:$A, Metadata_Country!$B:$B, "Unknown"), IF(OR(_xlpm.r=0, _xlpm.r=""), "Regional Aggregate", _xlpm.r))</f>
        <v>Europe &amp; Central Asia</v>
      </c>
      <c r="G1066" s="4" t="str">
        <f>_xlfn.LET(_xlpm.ig, _xlfn.XLOOKUP(Clean_Data[[#This Row],[Country_Code]], Metadata_Country!$A:$A, Metadata_Country!$C:$C, "Unknown"), IF(OR(_xlpm.ig=0, _xlpm.ig=""), "Regional Aggregate", _xlpm.ig))</f>
        <v>High income</v>
      </c>
      <c r="H1066" s="4">
        <f>Clean_Data[[#This Row],[Exports_TIV]] - Clean_Data[[#This Row],[Imports_TIV]]</f>
        <v>-27000000</v>
      </c>
      <c r="I1066" s="4">
        <f>Clean_Data[[#This Row],[Exports_TIV]] + Clean_Data[[#This Row],[Imports_TIV]]</f>
        <v>27000000</v>
      </c>
    </row>
    <row r="1067" spans="1:9">
      <c r="A1067" s="4" t="s">
        <v>213</v>
      </c>
      <c r="B1067" s="4" t="s">
        <v>214</v>
      </c>
      <c r="C1067" s="5">
        <v>2018</v>
      </c>
      <c r="D1067" s="4">
        <v>9548000000</v>
      </c>
      <c r="E1067" s="4">
        <v>12582000000</v>
      </c>
      <c r="F1067" s="4" t="str">
        <f>_xlfn.LET(_xlpm.r, _xlfn.XLOOKUP(Clean_Data[[#This Row],[Country_Code]], Metadata_Country!$A:$A, Metadata_Country!$B:$B, "Unknown"), IF(OR(_xlpm.r=0, _xlpm.r=""), "Regional Aggregate", _xlpm.r))</f>
        <v>Regional Aggregate</v>
      </c>
      <c r="G1067" s="4" t="str">
        <f>_xlfn.LET(_xlpm.ig, _xlfn.XLOOKUP(Clean_Data[[#This Row],[Country_Code]], Metadata_Country!$A:$A, Metadata_Country!$C:$C, "Unknown"), IF(OR(_xlpm.ig=0, _xlpm.ig=""), "Regional Aggregate", _xlpm.ig))</f>
        <v>Regional Aggregate</v>
      </c>
      <c r="H1067" s="4">
        <f>Clean_Data[[#This Row],[Exports_TIV]] - Clean_Data[[#This Row],[Imports_TIV]]</f>
        <v>-3034000000</v>
      </c>
      <c r="I1067" s="4">
        <f>Clean_Data[[#This Row],[Exports_TIV]] + Clean_Data[[#This Row],[Imports_TIV]]</f>
        <v>22130000000</v>
      </c>
    </row>
    <row r="1068" spans="1:9">
      <c r="A1068" s="4" t="s">
        <v>215</v>
      </c>
      <c r="B1068" s="4" t="s">
        <v>216</v>
      </c>
      <c r="C1068" s="5">
        <v>2018</v>
      </c>
      <c r="D1068" s="4">
        <v>9551000000</v>
      </c>
      <c r="E1068" s="4">
        <v>14978000000</v>
      </c>
      <c r="F1068" s="4" t="str">
        <f>_xlfn.LET(_xlpm.r, _xlfn.XLOOKUP(Clean_Data[[#This Row],[Country_Code]], Metadata_Country!$A:$A, Metadata_Country!$B:$B, "Unknown"), IF(OR(_xlpm.r=0, _xlpm.r=""), "Regional Aggregate", _xlpm.r))</f>
        <v>Regional Aggregate</v>
      </c>
      <c r="G1068" s="4" t="str">
        <f>_xlfn.LET(_xlpm.ig, _xlfn.XLOOKUP(Clean_Data[[#This Row],[Country_Code]], Metadata_Country!$A:$A, Metadata_Country!$C:$C, "Unknown"), IF(OR(_xlpm.ig=0, _xlpm.ig=""), "Regional Aggregate", _xlpm.ig))</f>
        <v>Regional Aggregate</v>
      </c>
      <c r="H1068" s="4">
        <f>Clean_Data[[#This Row],[Exports_TIV]] - Clean_Data[[#This Row],[Imports_TIV]]</f>
        <v>-5427000000</v>
      </c>
      <c r="I1068" s="4">
        <f>Clean_Data[[#This Row],[Exports_TIV]] + Clean_Data[[#This Row],[Imports_TIV]]</f>
        <v>24529000000</v>
      </c>
    </row>
    <row r="1069" spans="1:9">
      <c r="A1069" s="4" t="s">
        <v>219</v>
      </c>
      <c r="B1069" s="4" t="s">
        <v>220</v>
      </c>
      <c r="C1069" s="5">
        <v>2018</v>
      </c>
      <c r="D1069" s="4">
        <v>0</v>
      </c>
      <c r="E1069" s="4">
        <v>1093000000</v>
      </c>
      <c r="F1069" s="4" t="str">
        <f>_xlfn.LET(_xlpm.r, _xlfn.XLOOKUP(Clean_Data[[#This Row],[Country_Code]], Metadata_Country!$A:$A, Metadata_Country!$B:$B, "Unknown"), IF(OR(_xlpm.r=0, _xlpm.r=""), "Regional Aggregate", _xlpm.r))</f>
        <v>Regional Aggregate</v>
      </c>
      <c r="G1069" s="4" t="str">
        <f>_xlfn.LET(_xlpm.ig, _xlfn.XLOOKUP(Clean_Data[[#This Row],[Country_Code]], Metadata_Country!$A:$A, Metadata_Country!$C:$C, "Unknown"), IF(OR(_xlpm.ig=0, _xlpm.ig=""), "Regional Aggregate", _xlpm.ig))</f>
        <v>Regional Aggregate</v>
      </c>
      <c r="H1069" s="4">
        <f>Clean_Data[[#This Row],[Exports_TIV]] - Clean_Data[[#This Row],[Imports_TIV]]</f>
        <v>-1093000000</v>
      </c>
      <c r="I1069" s="4">
        <f>Clean_Data[[#This Row],[Exports_TIV]] + Clean_Data[[#This Row],[Imports_TIV]]</f>
        <v>1093000000</v>
      </c>
    </row>
    <row r="1070" spans="1:9">
      <c r="A1070" s="4" t="s">
        <v>223</v>
      </c>
      <c r="B1070" s="4" t="s">
        <v>224</v>
      </c>
      <c r="C1070" s="5">
        <v>2018</v>
      </c>
      <c r="D1070" s="4">
        <v>0</v>
      </c>
      <c r="E1070" s="4">
        <v>1303000000</v>
      </c>
      <c r="F1070" s="4" t="str">
        <f>_xlfn.LET(_xlpm.r, _xlfn.XLOOKUP(Clean_Data[[#This Row],[Country_Code]], Metadata_Country!$A:$A, Metadata_Country!$B:$B, "Unknown"), IF(OR(_xlpm.r=0, _xlpm.r=""), "Regional Aggregate", _xlpm.r))</f>
        <v>Regional Aggregate</v>
      </c>
      <c r="G1070" s="4" t="str">
        <f>_xlfn.LET(_xlpm.ig, _xlfn.XLOOKUP(Clean_Data[[#This Row],[Country_Code]], Metadata_Country!$A:$A, Metadata_Country!$C:$C, "Unknown"), IF(OR(_xlpm.ig=0, _xlpm.ig=""), "Regional Aggregate", _xlpm.ig))</f>
        <v>Regional Aggregate</v>
      </c>
      <c r="H1070" s="4">
        <f>Clean_Data[[#This Row],[Exports_TIV]] - Clean_Data[[#This Row],[Imports_TIV]]</f>
        <v>-1303000000</v>
      </c>
      <c r="I1070" s="4">
        <f>Clean_Data[[#This Row],[Exports_TIV]] + Clean_Data[[#This Row],[Imports_TIV]]</f>
        <v>1303000000</v>
      </c>
    </row>
    <row r="1071" spans="1:9">
      <c r="A1071" s="4" t="s">
        <v>217</v>
      </c>
      <c r="B1071" s="4" t="s">
        <v>218</v>
      </c>
      <c r="C1071" s="5">
        <v>2018</v>
      </c>
      <c r="D1071" s="4">
        <v>0</v>
      </c>
      <c r="E1071" s="4">
        <v>2396000000</v>
      </c>
      <c r="F1071" s="4" t="str">
        <f>_xlfn.LET(_xlpm.r, _xlfn.XLOOKUP(Clean_Data[[#This Row],[Country_Code]], Metadata_Country!$A:$A, Metadata_Country!$B:$B, "Unknown"), IF(OR(_xlpm.r=0, _xlpm.r=""), "Regional Aggregate", _xlpm.r))</f>
        <v>Regional Aggregate</v>
      </c>
      <c r="G1071" s="4" t="str">
        <f>_xlfn.LET(_xlpm.ig, _xlfn.XLOOKUP(Clean_Data[[#This Row],[Country_Code]], Metadata_Country!$A:$A, Metadata_Country!$C:$C, "Unknown"), IF(OR(_xlpm.ig=0, _xlpm.ig=""), "Regional Aggregate", _xlpm.ig))</f>
        <v>Regional Aggregate</v>
      </c>
      <c r="H1071" s="4">
        <f>Clean_Data[[#This Row],[Exports_TIV]] - Clean_Data[[#This Row],[Imports_TIV]]</f>
        <v>-2396000000</v>
      </c>
      <c r="I1071" s="4">
        <f>Clean_Data[[#This Row],[Exports_TIV]] + Clean_Data[[#This Row],[Imports_TIV]]</f>
        <v>2396000000</v>
      </c>
    </row>
    <row r="1072" spans="1:9">
      <c r="A1072" s="4" t="s">
        <v>227</v>
      </c>
      <c r="B1072" s="4" t="s">
        <v>228</v>
      </c>
      <c r="C1072" s="5">
        <v>2018</v>
      </c>
      <c r="D1072" s="4">
        <v>47000000</v>
      </c>
      <c r="E1072" s="4">
        <v>1982000000</v>
      </c>
      <c r="F1072" s="4" t="str">
        <f>_xlfn.LET(_xlpm.r, _xlfn.XLOOKUP(Clean_Data[[#This Row],[Country_Code]], Metadata_Country!$A:$A, Metadata_Country!$B:$B, "Unknown"), IF(OR(_xlpm.r=0, _xlpm.r=""), "Regional Aggregate", _xlpm.r))</f>
        <v>South Asia</v>
      </c>
      <c r="G1072" s="4" t="str">
        <f>_xlfn.LET(_xlpm.ig, _xlfn.XLOOKUP(Clean_Data[[#This Row],[Country_Code]], Metadata_Country!$A:$A, Metadata_Country!$C:$C, "Unknown"), IF(OR(_xlpm.ig=0, _xlpm.ig=""), "Regional Aggregate", _xlpm.ig))</f>
        <v>Lower middle income</v>
      </c>
      <c r="H1072" s="4">
        <f>Clean_Data[[#This Row],[Exports_TIV]] - Clean_Data[[#This Row],[Imports_TIV]]</f>
        <v>-1935000000</v>
      </c>
      <c r="I1072" s="4">
        <f>Clean_Data[[#This Row],[Exports_TIV]] + Clean_Data[[#This Row],[Imports_TIV]]</f>
        <v>2029000000</v>
      </c>
    </row>
    <row r="1073" spans="1:9">
      <c r="A1073" s="4" t="s">
        <v>221</v>
      </c>
      <c r="B1073" s="4" t="s">
        <v>222</v>
      </c>
      <c r="C1073" s="5">
        <v>2018</v>
      </c>
      <c r="D1073" s="4">
        <v>15000000</v>
      </c>
      <c r="E1073" s="4">
        <v>357000000</v>
      </c>
      <c r="F1073" s="4" t="str">
        <f>_xlfn.LET(_xlpm.r, _xlfn.XLOOKUP(Clean_Data[[#This Row],[Country_Code]], Metadata_Country!$A:$A, Metadata_Country!$B:$B, "Unknown"), IF(OR(_xlpm.r=0, _xlpm.r=""), "Regional Aggregate", _xlpm.r))</f>
        <v>East Asia &amp; Pacific</v>
      </c>
      <c r="G1073" s="4" t="str">
        <f>_xlfn.LET(_xlpm.ig, _xlfn.XLOOKUP(Clean_Data[[#This Row],[Country_Code]], Metadata_Country!$A:$A, Metadata_Country!$C:$C, "Unknown"), IF(OR(_xlpm.ig=0, _xlpm.ig=""), "Regional Aggregate", _xlpm.ig))</f>
        <v>Upper middle income</v>
      </c>
      <c r="H1073" s="4">
        <f>Clean_Data[[#This Row],[Exports_TIV]] - Clean_Data[[#This Row],[Imports_TIV]]</f>
        <v>-342000000</v>
      </c>
      <c r="I1073" s="4">
        <f>Clean_Data[[#This Row],[Exports_TIV]] + Clean_Data[[#This Row],[Imports_TIV]]</f>
        <v>372000000</v>
      </c>
    </row>
    <row r="1074" spans="1:9">
      <c r="A1074" s="4" t="s">
        <v>233</v>
      </c>
      <c r="B1074" s="4" t="s">
        <v>234</v>
      </c>
      <c r="C1074" s="5">
        <v>2018</v>
      </c>
      <c r="D1074" s="4">
        <v>9000000</v>
      </c>
      <c r="E1074" s="4">
        <v>3000000</v>
      </c>
      <c r="F1074" s="4" t="str">
        <f>_xlfn.LET(_xlpm.r, _xlfn.XLOOKUP(Clean_Data[[#This Row],[Country_Code]], Metadata_Country!$A:$A, Metadata_Country!$B:$B, "Unknown"), IF(OR(_xlpm.r=0, _xlpm.r=""), "Regional Aggregate", _xlpm.r))</f>
        <v>Middle East &amp; North Africa</v>
      </c>
      <c r="G1074" s="4" t="str">
        <f>_xlfn.LET(_xlpm.ig, _xlfn.XLOOKUP(Clean_Data[[#This Row],[Country_Code]], Metadata_Country!$A:$A, Metadata_Country!$C:$C, "Unknown"), IF(OR(_xlpm.ig=0, _xlpm.ig=""), "Regional Aggregate", _xlpm.ig))</f>
        <v>Upper middle income</v>
      </c>
      <c r="H1074" s="4">
        <f>Clean_Data[[#This Row],[Exports_TIV]] - Clean_Data[[#This Row],[Imports_TIV]]</f>
        <v>6000000</v>
      </c>
      <c r="I1074" s="4">
        <f>Clean_Data[[#This Row],[Exports_TIV]] + Clean_Data[[#This Row],[Imports_TIV]]</f>
        <v>12000000</v>
      </c>
    </row>
    <row r="1075" spans="1:9">
      <c r="A1075" s="4" t="s">
        <v>235</v>
      </c>
      <c r="B1075" s="4" t="s">
        <v>236</v>
      </c>
      <c r="C1075" s="5">
        <v>2018</v>
      </c>
      <c r="D1075" s="4">
        <v>0</v>
      </c>
      <c r="E1075" s="4">
        <v>454000000</v>
      </c>
      <c r="F1075" s="4" t="str">
        <f>_xlfn.LET(_xlpm.r, _xlfn.XLOOKUP(Clean_Data[[#This Row],[Country_Code]], Metadata_Country!$A:$A, Metadata_Country!$B:$B, "Unknown"), IF(OR(_xlpm.r=0, _xlpm.r=""), "Regional Aggregate", _xlpm.r))</f>
        <v>Middle East &amp; North Africa</v>
      </c>
      <c r="G1075" s="4" t="str">
        <f>_xlfn.LET(_xlpm.ig, _xlfn.XLOOKUP(Clean_Data[[#This Row],[Country_Code]], Metadata_Country!$A:$A, Metadata_Country!$C:$C, "Unknown"), IF(OR(_xlpm.ig=0, _xlpm.ig=""), "Regional Aggregate", _xlpm.ig))</f>
        <v>Upper middle income</v>
      </c>
      <c r="H1075" s="4">
        <f>Clean_Data[[#This Row],[Exports_TIV]] - Clean_Data[[#This Row],[Imports_TIV]]</f>
        <v>-454000000</v>
      </c>
      <c r="I1075" s="4">
        <f>Clean_Data[[#This Row],[Exports_TIV]] + Clean_Data[[#This Row],[Imports_TIV]]</f>
        <v>454000000</v>
      </c>
    </row>
    <row r="1076" spans="1:9">
      <c r="A1076" s="4" t="s">
        <v>231</v>
      </c>
      <c r="B1076" s="4" t="s">
        <v>232</v>
      </c>
      <c r="C1076" s="5">
        <v>2018</v>
      </c>
      <c r="D1076" s="4">
        <v>0</v>
      </c>
      <c r="E1076" s="4">
        <v>5000000</v>
      </c>
      <c r="F1076" s="4" t="str">
        <f>_xlfn.LET(_xlpm.r, _xlfn.XLOOKUP(Clean_Data[[#This Row],[Country_Code]], Metadata_Country!$A:$A, Metadata_Country!$B:$B, "Unknown"), IF(OR(_xlpm.r=0, _xlpm.r=""), "Regional Aggregate", _xlpm.r))</f>
        <v>Europe &amp; Central Asia</v>
      </c>
      <c r="G1076" s="4" t="str">
        <f>_xlfn.LET(_xlpm.ig, _xlfn.XLOOKUP(Clean_Data[[#This Row],[Country_Code]], Metadata_Country!$A:$A, Metadata_Country!$C:$C, "Unknown"), IF(OR(_xlpm.ig=0, _xlpm.ig=""), "Regional Aggregate", _xlpm.ig))</f>
        <v>High income</v>
      </c>
      <c r="H1076" s="4">
        <f>Clean_Data[[#This Row],[Exports_TIV]] - Clean_Data[[#This Row],[Imports_TIV]]</f>
        <v>-5000000</v>
      </c>
      <c r="I1076" s="4">
        <f>Clean_Data[[#This Row],[Exports_TIV]] + Clean_Data[[#This Row],[Imports_TIV]]</f>
        <v>5000000</v>
      </c>
    </row>
    <row r="1077" spans="1:9">
      <c r="A1077" s="4" t="s">
        <v>239</v>
      </c>
      <c r="B1077" s="4" t="s">
        <v>240</v>
      </c>
      <c r="C1077" s="5">
        <v>2018</v>
      </c>
      <c r="D1077" s="4">
        <v>1142000000</v>
      </c>
      <c r="E1077" s="4">
        <v>491000000</v>
      </c>
      <c r="F1077" s="4" t="str">
        <f>_xlfn.LET(_xlpm.r, _xlfn.XLOOKUP(Clean_Data[[#This Row],[Country_Code]], Metadata_Country!$A:$A, Metadata_Country!$B:$B, "Unknown"), IF(OR(_xlpm.r=0, _xlpm.r=""), "Regional Aggregate", _xlpm.r))</f>
        <v>Middle East &amp; North Africa</v>
      </c>
      <c r="G1077" s="4" t="str">
        <f>_xlfn.LET(_xlpm.ig, _xlfn.XLOOKUP(Clean_Data[[#This Row],[Country_Code]], Metadata_Country!$A:$A, Metadata_Country!$C:$C, "Unknown"), IF(OR(_xlpm.ig=0, _xlpm.ig=""), "Regional Aggregate", _xlpm.ig))</f>
        <v>High income</v>
      </c>
      <c r="H1077" s="4">
        <f>Clean_Data[[#This Row],[Exports_TIV]] - Clean_Data[[#This Row],[Imports_TIV]]</f>
        <v>651000000</v>
      </c>
      <c r="I1077" s="4">
        <f>Clean_Data[[#This Row],[Exports_TIV]] + Clean_Data[[#This Row],[Imports_TIV]]</f>
        <v>1633000000</v>
      </c>
    </row>
    <row r="1078" spans="1:9">
      <c r="A1078" s="4" t="s">
        <v>241</v>
      </c>
      <c r="B1078" s="4" t="s">
        <v>242</v>
      </c>
      <c r="C1078" s="5">
        <v>2018</v>
      </c>
      <c r="D1078" s="4">
        <v>535000000</v>
      </c>
      <c r="E1078" s="4">
        <v>275000000</v>
      </c>
      <c r="F1078" s="4" t="str">
        <f>_xlfn.LET(_xlpm.r, _xlfn.XLOOKUP(Clean_Data[[#This Row],[Country_Code]], Metadata_Country!$A:$A, Metadata_Country!$B:$B, "Unknown"), IF(OR(_xlpm.r=0, _xlpm.r=""), "Regional Aggregate", _xlpm.r))</f>
        <v>Europe &amp; Central Asia</v>
      </c>
      <c r="G1078" s="4" t="str">
        <f>_xlfn.LET(_xlpm.ig, _xlfn.XLOOKUP(Clean_Data[[#This Row],[Country_Code]], Metadata_Country!$A:$A, Metadata_Country!$C:$C, "Unknown"), IF(OR(_xlpm.ig=0, _xlpm.ig=""), "Regional Aggregate", _xlpm.ig))</f>
        <v>High income</v>
      </c>
      <c r="H1078" s="4">
        <f>Clean_Data[[#This Row],[Exports_TIV]] - Clean_Data[[#This Row],[Imports_TIV]]</f>
        <v>260000000</v>
      </c>
      <c r="I1078" s="4">
        <f>Clean_Data[[#This Row],[Exports_TIV]] + Clean_Data[[#This Row],[Imports_TIV]]</f>
        <v>810000000</v>
      </c>
    </row>
    <row r="1079" spans="1:9">
      <c r="A1079" s="4" t="s">
        <v>243</v>
      </c>
      <c r="B1079" s="4" t="s">
        <v>244</v>
      </c>
      <c r="C1079" s="5">
        <v>2018</v>
      </c>
      <c r="D1079" s="4">
        <v>0</v>
      </c>
      <c r="E1079" s="4">
        <v>19000000</v>
      </c>
      <c r="F1079" s="4" t="str">
        <f>_xlfn.LET(_xlpm.r, _xlfn.XLOOKUP(Clean_Data[[#This Row],[Country_Code]], Metadata_Country!$A:$A, Metadata_Country!$B:$B, "Unknown"), IF(OR(_xlpm.r=0, _xlpm.r=""), "Regional Aggregate", _xlpm.r))</f>
        <v>Latin America &amp; Caribbean</v>
      </c>
      <c r="G1079" s="4" t="str">
        <f>_xlfn.LET(_xlpm.ig, _xlfn.XLOOKUP(Clean_Data[[#This Row],[Country_Code]], Metadata_Country!$A:$A, Metadata_Country!$C:$C, "Unknown"), IF(OR(_xlpm.ig=0, _xlpm.ig=""), "Regional Aggregate", _xlpm.ig))</f>
        <v>Upper middle income</v>
      </c>
      <c r="H1079" s="4">
        <f>Clean_Data[[#This Row],[Exports_TIV]] - Clean_Data[[#This Row],[Imports_TIV]]</f>
        <v>-19000000</v>
      </c>
      <c r="I1079" s="4">
        <f>Clean_Data[[#This Row],[Exports_TIV]] + Clean_Data[[#This Row],[Imports_TIV]]</f>
        <v>19000000</v>
      </c>
    </row>
    <row r="1080" spans="1:9">
      <c r="A1080" s="4" t="s">
        <v>247</v>
      </c>
      <c r="B1080" s="4" t="s">
        <v>248</v>
      </c>
      <c r="C1080" s="5">
        <v>2018</v>
      </c>
      <c r="D1080" s="4">
        <v>3000000</v>
      </c>
      <c r="E1080" s="4">
        <v>764000000</v>
      </c>
      <c r="F1080" s="4" t="str">
        <f>_xlfn.LET(_xlpm.r, _xlfn.XLOOKUP(Clean_Data[[#This Row],[Country_Code]], Metadata_Country!$A:$A, Metadata_Country!$B:$B, "Unknown"), IF(OR(_xlpm.r=0, _xlpm.r=""), "Regional Aggregate", _xlpm.r))</f>
        <v>East Asia &amp; Pacific</v>
      </c>
      <c r="G1080" s="4" t="str">
        <f>_xlfn.LET(_xlpm.ig, _xlfn.XLOOKUP(Clean_Data[[#This Row],[Country_Code]], Metadata_Country!$A:$A, Metadata_Country!$C:$C, "Unknown"), IF(OR(_xlpm.ig=0, _xlpm.ig=""), "Regional Aggregate", _xlpm.ig))</f>
        <v>High income</v>
      </c>
      <c r="H1080" s="4">
        <f>Clean_Data[[#This Row],[Exports_TIV]] - Clean_Data[[#This Row],[Imports_TIV]]</f>
        <v>-761000000</v>
      </c>
      <c r="I1080" s="4">
        <f>Clean_Data[[#This Row],[Exports_TIV]] + Clean_Data[[#This Row],[Imports_TIV]]</f>
        <v>767000000</v>
      </c>
    </row>
    <row r="1081" spans="1:9">
      <c r="A1081" s="4" t="s">
        <v>245</v>
      </c>
      <c r="B1081" s="4" t="s">
        <v>246</v>
      </c>
      <c r="C1081" s="5">
        <v>2018</v>
      </c>
      <c r="D1081" s="4">
        <v>2000000</v>
      </c>
      <c r="E1081" s="4">
        <v>170000000</v>
      </c>
      <c r="F1081" s="4" t="str">
        <f>_xlfn.LET(_xlpm.r, _xlfn.XLOOKUP(Clean_Data[[#This Row],[Country_Code]], Metadata_Country!$A:$A, Metadata_Country!$B:$B, "Unknown"), IF(OR(_xlpm.r=0, _xlpm.r=""), "Regional Aggregate", _xlpm.r))</f>
        <v>Middle East &amp; North Africa</v>
      </c>
      <c r="G1081" s="4" t="str">
        <f>_xlfn.LET(_xlpm.ig, _xlfn.XLOOKUP(Clean_Data[[#This Row],[Country_Code]], Metadata_Country!$A:$A, Metadata_Country!$C:$C, "Unknown"), IF(OR(_xlpm.ig=0, _xlpm.ig=""), "Regional Aggregate", _xlpm.ig))</f>
        <v>Upper middle income</v>
      </c>
      <c r="H1081" s="4">
        <f>Clean_Data[[#This Row],[Exports_TIV]] - Clean_Data[[#This Row],[Imports_TIV]]</f>
        <v>-168000000</v>
      </c>
      <c r="I1081" s="4">
        <f>Clean_Data[[#This Row],[Exports_TIV]] + Clean_Data[[#This Row],[Imports_TIV]]</f>
        <v>172000000</v>
      </c>
    </row>
    <row r="1082" spans="1:9">
      <c r="A1082" s="4" t="s">
        <v>249</v>
      </c>
      <c r="B1082" s="4" t="s">
        <v>250</v>
      </c>
      <c r="C1082" s="5">
        <v>2018</v>
      </c>
      <c r="D1082" s="4">
        <v>0</v>
      </c>
      <c r="E1082" s="4">
        <v>279000000</v>
      </c>
      <c r="F1082" s="4" t="str">
        <f>_xlfn.LET(_xlpm.r, _xlfn.XLOOKUP(Clean_Data[[#This Row],[Country_Code]], Metadata_Country!$A:$A, Metadata_Country!$B:$B, "Unknown"), IF(OR(_xlpm.r=0, _xlpm.r=""), "Regional Aggregate", _xlpm.r))</f>
        <v>Europe &amp; Central Asia</v>
      </c>
      <c r="G1082" s="4" t="str">
        <f>_xlfn.LET(_xlpm.ig, _xlfn.XLOOKUP(Clean_Data[[#This Row],[Country_Code]], Metadata_Country!$A:$A, Metadata_Country!$C:$C, "Unknown"), IF(OR(_xlpm.ig=0, _xlpm.ig=""), "Regional Aggregate", _xlpm.ig))</f>
        <v>Upper middle income</v>
      </c>
      <c r="H1082" s="4">
        <f>Clean_Data[[#This Row],[Exports_TIV]] - Clean_Data[[#This Row],[Imports_TIV]]</f>
        <v>-279000000</v>
      </c>
      <c r="I1082" s="4">
        <f>Clean_Data[[#This Row],[Exports_TIV]] + Clean_Data[[#This Row],[Imports_TIV]]</f>
        <v>279000000</v>
      </c>
    </row>
    <row r="1083" spans="1:9">
      <c r="A1083" s="4" t="s">
        <v>251</v>
      </c>
      <c r="B1083" s="4" t="s">
        <v>252</v>
      </c>
      <c r="C1083" s="5">
        <v>2018</v>
      </c>
      <c r="D1083" s="4">
        <v>0</v>
      </c>
      <c r="E1083" s="4">
        <v>7000000</v>
      </c>
      <c r="F1083" s="4" t="str">
        <f>_xlfn.LET(_xlpm.r, _xlfn.XLOOKUP(Clean_Data[[#This Row],[Country_Code]], Metadata_Country!$A:$A, Metadata_Country!$B:$B, "Unknown"), IF(OR(_xlpm.r=0, _xlpm.r=""), "Regional Aggregate", _xlpm.r))</f>
        <v>Sub-Saharan Africa</v>
      </c>
      <c r="G1083" s="4" t="str">
        <f>_xlfn.LET(_xlpm.ig, _xlfn.XLOOKUP(Clean_Data[[#This Row],[Country_Code]], Metadata_Country!$A:$A, Metadata_Country!$C:$C, "Unknown"), IF(OR(_xlpm.ig=0, _xlpm.ig=""), "Regional Aggregate", _xlpm.ig))</f>
        <v>Lower middle income</v>
      </c>
      <c r="H1083" s="4">
        <f>Clean_Data[[#This Row],[Exports_TIV]] - Clean_Data[[#This Row],[Imports_TIV]]</f>
        <v>-7000000</v>
      </c>
      <c r="I1083" s="4">
        <f>Clean_Data[[#This Row],[Exports_TIV]] + Clean_Data[[#This Row],[Imports_TIV]]</f>
        <v>7000000</v>
      </c>
    </row>
    <row r="1084" spans="1:9">
      <c r="A1084" s="4" t="s">
        <v>261</v>
      </c>
      <c r="B1084" s="4" t="s">
        <v>262</v>
      </c>
      <c r="C1084" s="5">
        <v>2018</v>
      </c>
      <c r="D1084" s="4">
        <v>1054000000</v>
      </c>
      <c r="E1084" s="4">
        <v>1030000000</v>
      </c>
      <c r="F1084" s="4" t="str">
        <f>_xlfn.LET(_xlpm.r, _xlfn.XLOOKUP(Clean_Data[[#This Row],[Country_Code]], Metadata_Country!$A:$A, Metadata_Country!$B:$B, "Unknown"), IF(OR(_xlpm.r=0, _xlpm.r=""), "Regional Aggregate", _xlpm.r))</f>
        <v>East Asia &amp; Pacific</v>
      </c>
      <c r="G1084" s="4" t="str">
        <f>_xlfn.LET(_xlpm.ig, _xlfn.XLOOKUP(Clean_Data[[#This Row],[Country_Code]], Metadata_Country!$A:$A, Metadata_Country!$C:$C, "Unknown"), IF(OR(_xlpm.ig=0, _xlpm.ig=""), "Regional Aggregate", _xlpm.ig))</f>
        <v>High income</v>
      </c>
      <c r="H1084" s="4">
        <f>Clean_Data[[#This Row],[Exports_TIV]] - Clean_Data[[#This Row],[Imports_TIV]]</f>
        <v>24000000</v>
      </c>
      <c r="I1084" s="4">
        <f>Clean_Data[[#This Row],[Exports_TIV]] + Clean_Data[[#This Row],[Imports_TIV]]</f>
        <v>2084000000</v>
      </c>
    </row>
    <row r="1085" spans="1:9">
      <c r="A1085" s="4" t="s">
        <v>531</v>
      </c>
      <c r="B1085" s="4" t="s">
        <v>532</v>
      </c>
      <c r="C1085" s="5">
        <v>2018</v>
      </c>
      <c r="D1085" s="4">
        <v>0</v>
      </c>
      <c r="E1085" s="4">
        <v>1000000</v>
      </c>
      <c r="F1085" s="4" t="str">
        <f>_xlfn.LET(_xlpm.r, _xlfn.XLOOKUP(Clean_Data[[#This Row],[Country_Code]], Metadata_Country!$A:$A, Metadata_Country!$B:$B, "Unknown"), IF(OR(_xlpm.r=0, _xlpm.r=""), "Regional Aggregate", _xlpm.r))</f>
        <v>Europe &amp; Central Asia</v>
      </c>
      <c r="G1085" s="4" t="str">
        <f>_xlfn.LET(_xlpm.ig, _xlfn.XLOOKUP(Clean_Data[[#This Row],[Country_Code]], Metadata_Country!$A:$A, Metadata_Country!$C:$C, "Unknown"), IF(OR(_xlpm.ig=0, _xlpm.ig=""), "Regional Aggregate", _xlpm.ig))</f>
        <v>Upper middle income</v>
      </c>
      <c r="H1085" s="4">
        <f>Clean_Data[[#This Row],[Exports_TIV]] - Clean_Data[[#This Row],[Imports_TIV]]</f>
        <v>-1000000</v>
      </c>
      <c r="I1085" s="4">
        <f>Clean_Data[[#This Row],[Exports_TIV]] + Clean_Data[[#This Row],[Imports_TIV]]</f>
        <v>1000000</v>
      </c>
    </row>
    <row r="1086" spans="1:9">
      <c r="A1086" s="4" t="s">
        <v>263</v>
      </c>
      <c r="B1086" s="4" t="s">
        <v>264</v>
      </c>
      <c r="C1086" s="5">
        <v>2018</v>
      </c>
      <c r="D1086" s="4">
        <v>0</v>
      </c>
      <c r="E1086" s="4">
        <v>96000000</v>
      </c>
      <c r="F1086" s="4" t="str">
        <f>_xlfn.LET(_xlpm.r, _xlfn.XLOOKUP(Clean_Data[[#This Row],[Country_Code]], Metadata_Country!$A:$A, Metadata_Country!$B:$B, "Unknown"), IF(OR(_xlpm.r=0, _xlpm.r=""), "Regional Aggregate", _xlpm.r))</f>
        <v>Middle East &amp; North Africa</v>
      </c>
      <c r="G1086" s="4" t="str">
        <f>_xlfn.LET(_xlpm.ig, _xlfn.XLOOKUP(Clean_Data[[#This Row],[Country_Code]], Metadata_Country!$A:$A, Metadata_Country!$C:$C, "Unknown"), IF(OR(_xlpm.ig=0, _xlpm.ig=""), "Regional Aggregate", _xlpm.ig))</f>
        <v>High income</v>
      </c>
      <c r="H1086" s="4">
        <f>Clean_Data[[#This Row],[Exports_TIV]] - Clean_Data[[#This Row],[Imports_TIV]]</f>
        <v>-96000000</v>
      </c>
      <c r="I1086" s="4">
        <f>Clean_Data[[#This Row],[Exports_TIV]] + Clean_Data[[#This Row],[Imports_TIV]]</f>
        <v>96000000</v>
      </c>
    </row>
    <row r="1087" spans="1:9">
      <c r="A1087" s="4" t="s">
        <v>253</v>
      </c>
      <c r="B1087" s="4" t="s">
        <v>254</v>
      </c>
      <c r="C1087" s="5">
        <v>2018</v>
      </c>
      <c r="D1087" s="4">
        <v>0</v>
      </c>
      <c r="E1087" s="4">
        <v>1000000</v>
      </c>
      <c r="F1087" s="4" t="str">
        <f>_xlfn.LET(_xlpm.r, _xlfn.XLOOKUP(Clean_Data[[#This Row],[Country_Code]], Metadata_Country!$A:$A, Metadata_Country!$B:$B, "Unknown"), IF(OR(_xlpm.r=0, _xlpm.r=""), "Regional Aggregate", _xlpm.r))</f>
        <v>Europe &amp; Central Asia</v>
      </c>
      <c r="G1087" s="4" t="str">
        <f>_xlfn.LET(_xlpm.ig, _xlfn.XLOOKUP(Clean_Data[[#This Row],[Country_Code]], Metadata_Country!$A:$A, Metadata_Country!$C:$C, "Unknown"), IF(OR(_xlpm.ig=0, _xlpm.ig=""), "Regional Aggregate", _xlpm.ig))</f>
        <v>Lower middle income</v>
      </c>
      <c r="H1087" s="4">
        <f>Clean_Data[[#This Row],[Exports_TIV]] - Clean_Data[[#This Row],[Imports_TIV]]</f>
        <v>-1000000</v>
      </c>
      <c r="I1087" s="4">
        <f>Clean_Data[[#This Row],[Exports_TIV]] + Clean_Data[[#This Row],[Imports_TIV]]</f>
        <v>1000000</v>
      </c>
    </row>
    <row r="1088" spans="1:9">
      <c r="A1088" s="4" t="s">
        <v>267</v>
      </c>
      <c r="B1088" s="4" t="s">
        <v>268</v>
      </c>
      <c r="C1088" s="5">
        <v>2018</v>
      </c>
      <c r="D1088" s="4">
        <v>0</v>
      </c>
      <c r="E1088" s="4">
        <v>136000000</v>
      </c>
      <c r="F1088" s="4" t="str">
        <f>_xlfn.LET(_xlpm.r, _xlfn.XLOOKUP(Clean_Data[[#This Row],[Country_Code]], Metadata_Country!$A:$A, Metadata_Country!$B:$B, "Unknown"), IF(OR(_xlpm.r=0, _xlpm.r=""), "Regional Aggregate", _xlpm.r))</f>
        <v>East Asia &amp; Pacific</v>
      </c>
      <c r="G1088" s="4" t="str">
        <f>_xlfn.LET(_xlpm.ig, _xlfn.XLOOKUP(Clean_Data[[#This Row],[Country_Code]], Metadata_Country!$A:$A, Metadata_Country!$C:$C, "Unknown"), IF(OR(_xlpm.ig=0, _xlpm.ig=""), "Regional Aggregate", _xlpm.ig))</f>
        <v>Lower middle income</v>
      </c>
      <c r="H1088" s="4">
        <f>Clean_Data[[#This Row],[Exports_TIV]] - Clean_Data[[#This Row],[Imports_TIV]]</f>
        <v>-136000000</v>
      </c>
      <c r="I1088" s="4">
        <f>Clean_Data[[#This Row],[Exports_TIV]] + Clean_Data[[#This Row],[Imports_TIV]]</f>
        <v>136000000</v>
      </c>
    </row>
    <row r="1089" spans="1:9">
      <c r="A1089" s="4" t="s">
        <v>293</v>
      </c>
      <c r="B1089" s="4" t="s">
        <v>294</v>
      </c>
      <c r="C1089" s="5">
        <v>2018</v>
      </c>
      <c r="D1089" s="4">
        <v>8823000000</v>
      </c>
      <c r="E1089" s="4">
        <v>7869000000</v>
      </c>
      <c r="F1089" s="4" t="str">
        <f>_xlfn.LET(_xlpm.r, _xlfn.XLOOKUP(Clean_Data[[#This Row],[Country_Code]], Metadata_Country!$A:$A, Metadata_Country!$B:$B, "Unknown"), IF(OR(_xlpm.r=0, _xlpm.r=""), "Regional Aggregate", _xlpm.r))</f>
        <v>Regional Aggregate</v>
      </c>
      <c r="G1089" s="4" t="str">
        <f>_xlfn.LET(_xlpm.ig, _xlfn.XLOOKUP(Clean_Data[[#This Row],[Country_Code]], Metadata_Country!$A:$A, Metadata_Country!$C:$C, "Unknown"), IF(OR(_xlpm.ig=0, _xlpm.ig=""), "Regional Aggregate", _xlpm.ig))</f>
        <v>Regional Aggregate</v>
      </c>
      <c r="H1089" s="4">
        <f>Clean_Data[[#This Row],[Exports_TIV]] - Clean_Data[[#This Row],[Imports_TIV]]</f>
        <v>954000000</v>
      </c>
      <c r="I1089" s="4">
        <f>Clean_Data[[#This Row],[Exports_TIV]] + Clean_Data[[#This Row],[Imports_TIV]]</f>
        <v>16692000000</v>
      </c>
    </row>
    <row r="1090" spans="1:9">
      <c r="A1090" s="4" t="s">
        <v>277</v>
      </c>
      <c r="B1090" s="4" t="s">
        <v>278</v>
      </c>
      <c r="C1090" s="5">
        <v>2018</v>
      </c>
      <c r="D1090" s="4">
        <v>0</v>
      </c>
      <c r="E1090" s="4">
        <v>542000000</v>
      </c>
      <c r="F1090" s="4" t="str">
        <f>_xlfn.LET(_xlpm.r, _xlfn.XLOOKUP(Clean_Data[[#This Row],[Country_Code]], Metadata_Country!$A:$A, Metadata_Country!$B:$B, "Unknown"), IF(OR(_xlpm.r=0, _xlpm.r=""), "Regional Aggregate", _xlpm.r))</f>
        <v>Regional Aggregate</v>
      </c>
      <c r="G1090" s="4" t="str">
        <f>_xlfn.LET(_xlpm.ig, _xlfn.XLOOKUP(Clean_Data[[#This Row],[Country_Code]], Metadata_Country!$A:$A, Metadata_Country!$C:$C, "Unknown"), IF(OR(_xlpm.ig=0, _xlpm.ig=""), "Regional Aggregate", _xlpm.ig))</f>
        <v>Regional Aggregate</v>
      </c>
      <c r="H1090" s="4">
        <f>Clean_Data[[#This Row],[Exports_TIV]] - Clean_Data[[#This Row],[Imports_TIV]]</f>
        <v>-542000000</v>
      </c>
      <c r="I1090" s="4">
        <f>Clean_Data[[#This Row],[Exports_TIV]] + Clean_Data[[#This Row],[Imports_TIV]]</f>
        <v>542000000</v>
      </c>
    </row>
    <row r="1091" spans="1:9">
      <c r="A1091" s="4" t="s">
        <v>265</v>
      </c>
      <c r="B1091" s="4" t="s">
        <v>266</v>
      </c>
      <c r="C1091" s="5">
        <v>2018</v>
      </c>
      <c r="D1091" s="4">
        <v>0</v>
      </c>
      <c r="E1091" s="4">
        <v>458000000</v>
      </c>
      <c r="F1091" s="4" t="str">
        <f>_xlfn.LET(_xlpm.r, _xlfn.XLOOKUP(Clean_Data[[#This Row],[Country_Code]], Metadata_Country!$A:$A, Metadata_Country!$B:$B, "Unknown"), IF(OR(_xlpm.r=0, _xlpm.r=""), "Regional Aggregate", _xlpm.r))</f>
        <v>Regional Aggregate</v>
      </c>
      <c r="G1091" s="4" t="str">
        <f>_xlfn.LET(_xlpm.ig, _xlfn.XLOOKUP(Clean_Data[[#This Row],[Country_Code]], Metadata_Country!$A:$A, Metadata_Country!$C:$C, "Unknown"), IF(OR(_xlpm.ig=0, _xlpm.ig=""), "Regional Aggregate", _xlpm.ig))</f>
        <v>Regional Aggregate</v>
      </c>
      <c r="H1091" s="4">
        <f>Clean_Data[[#This Row],[Exports_TIV]] - Clean_Data[[#This Row],[Imports_TIV]]</f>
        <v>-458000000</v>
      </c>
      <c r="I1091" s="4">
        <f>Clean_Data[[#This Row],[Exports_TIV]] + Clean_Data[[#This Row],[Imports_TIV]]</f>
        <v>458000000</v>
      </c>
    </row>
    <row r="1092" spans="1:9">
      <c r="A1092" s="4" t="s">
        <v>481</v>
      </c>
      <c r="B1092" s="4" t="s">
        <v>482</v>
      </c>
      <c r="C1092" s="5">
        <v>2018</v>
      </c>
      <c r="D1092" s="4">
        <v>0</v>
      </c>
      <c r="E1092" s="4">
        <v>542000000</v>
      </c>
      <c r="F1092" s="4" t="str">
        <f>_xlfn.LET(_xlpm.r, _xlfn.XLOOKUP(Clean_Data[[#This Row],[Country_Code]], Metadata_Country!$A:$A, Metadata_Country!$B:$B, "Unknown"), IF(OR(_xlpm.r=0, _xlpm.r=""), "Regional Aggregate", _xlpm.r))</f>
        <v>Regional Aggregate</v>
      </c>
      <c r="G1092" s="4" t="str">
        <f>_xlfn.LET(_xlpm.ig, _xlfn.XLOOKUP(Clean_Data[[#This Row],[Country_Code]], Metadata_Country!$A:$A, Metadata_Country!$C:$C, "Unknown"), IF(OR(_xlpm.ig=0, _xlpm.ig=""), "Regional Aggregate", _xlpm.ig))</f>
        <v>Regional Aggregate</v>
      </c>
      <c r="H1092" s="4">
        <f>Clean_Data[[#This Row],[Exports_TIV]] - Clean_Data[[#This Row],[Imports_TIV]]</f>
        <v>-542000000</v>
      </c>
      <c r="I1092" s="4">
        <f>Clean_Data[[#This Row],[Exports_TIV]] + Clean_Data[[#This Row],[Imports_TIV]]</f>
        <v>542000000</v>
      </c>
    </row>
    <row r="1093" spans="1:9">
      <c r="A1093" s="4" t="s">
        <v>299</v>
      </c>
      <c r="B1093" s="4" t="s">
        <v>300</v>
      </c>
      <c r="C1093" s="5">
        <v>2018</v>
      </c>
      <c r="D1093" s="4">
        <v>0</v>
      </c>
      <c r="E1093" s="4">
        <v>21000000</v>
      </c>
      <c r="F1093" s="4" t="str">
        <f>_xlfn.LET(_xlpm.r, _xlfn.XLOOKUP(Clean_Data[[#This Row],[Country_Code]], Metadata_Country!$A:$A, Metadata_Country!$B:$B, "Unknown"), IF(OR(_xlpm.r=0, _xlpm.r=""), "Regional Aggregate", _xlpm.r))</f>
        <v>Europe &amp; Central Asia</v>
      </c>
      <c r="G1093" s="4" t="str">
        <f>_xlfn.LET(_xlpm.ig, _xlfn.XLOOKUP(Clean_Data[[#This Row],[Country_Code]], Metadata_Country!$A:$A, Metadata_Country!$C:$C, "Unknown"), IF(OR(_xlpm.ig=0, _xlpm.ig=""), "Regional Aggregate", _xlpm.ig))</f>
        <v>High income</v>
      </c>
      <c r="H1093" s="4">
        <f>Clean_Data[[#This Row],[Exports_TIV]] - Clean_Data[[#This Row],[Imports_TIV]]</f>
        <v>-21000000</v>
      </c>
      <c r="I1093" s="4">
        <f>Clean_Data[[#This Row],[Exports_TIV]] + Clean_Data[[#This Row],[Imports_TIV]]</f>
        <v>21000000</v>
      </c>
    </row>
    <row r="1094" spans="1:9">
      <c r="A1094" s="4" t="s">
        <v>279</v>
      </c>
      <c r="B1094" s="4" t="s">
        <v>280</v>
      </c>
      <c r="C1094" s="5">
        <v>2018</v>
      </c>
      <c r="D1094" s="4">
        <v>0</v>
      </c>
      <c r="E1094" s="4">
        <v>1271000000</v>
      </c>
      <c r="F1094" s="4" t="str">
        <f>_xlfn.LET(_xlpm.r, _xlfn.XLOOKUP(Clean_Data[[#This Row],[Country_Code]], Metadata_Country!$A:$A, Metadata_Country!$B:$B, "Unknown"), IF(OR(_xlpm.r=0, _xlpm.r=""), "Regional Aggregate", _xlpm.r))</f>
        <v>Regional Aggregate</v>
      </c>
      <c r="G1094" s="4" t="str">
        <f>_xlfn.LET(_xlpm.ig, _xlfn.XLOOKUP(Clean_Data[[#This Row],[Country_Code]], Metadata_Country!$A:$A, Metadata_Country!$C:$C, "Unknown"), IF(OR(_xlpm.ig=0, _xlpm.ig=""), "Regional Aggregate", _xlpm.ig))</f>
        <v>Regional Aggregate</v>
      </c>
      <c r="H1094" s="4">
        <f>Clean_Data[[#This Row],[Exports_TIV]] - Clean_Data[[#This Row],[Imports_TIV]]</f>
        <v>-1271000000</v>
      </c>
      <c r="I1094" s="4">
        <f>Clean_Data[[#This Row],[Exports_TIV]] + Clean_Data[[#This Row],[Imports_TIV]]</f>
        <v>1271000000</v>
      </c>
    </row>
    <row r="1095" spans="1:9">
      <c r="A1095" s="4" t="s">
        <v>269</v>
      </c>
      <c r="B1095" s="4" t="s">
        <v>270</v>
      </c>
      <c r="C1095" s="5">
        <v>2018</v>
      </c>
      <c r="D1095" s="4">
        <v>0</v>
      </c>
      <c r="E1095" s="4">
        <v>53000000</v>
      </c>
      <c r="F1095" s="4" t="str">
        <f>_xlfn.LET(_xlpm.r, _xlfn.XLOOKUP(Clean_Data[[#This Row],[Country_Code]], Metadata_Country!$A:$A, Metadata_Country!$B:$B, "Unknown"), IF(OR(_xlpm.r=0, _xlpm.r=""), "Regional Aggregate", _xlpm.r))</f>
        <v>Middle East &amp; North Africa</v>
      </c>
      <c r="G1095" s="4" t="str">
        <f>_xlfn.LET(_xlpm.ig, _xlfn.XLOOKUP(Clean_Data[[#This Row],[Country_Code]], Metadata_Country!$A:$A, Metadata_Country!$C:$C, "Unknown"), IF(OR(_xlpm.ig=0, _xlpm.ig=""), "Regional Aggregate", _xlpm.ig))</f>
        <v>Lower middle income</v>
      </c>
      <c r="H1095" s="4">
        <f>Clean_Data[[#This Row],[Exports_TIV]] - Clean_Data[[#This Row],[Imports_TIV]]</f>
        <v>-53000000</v>
      </c>
      <c r="I1095" s="4">
        <f>Clean_Data[[#This Row],[Exports_TIV]] + Clean_Data[[#This Row],[Imports_TIV]]</f>
        <v>53000000</v>
      </c>
    </row>
    <row r="1096" spans="1:9">
      <c r="A1096" s="4" t="s">
        <v>291</v>
      </c>
      <c r="B1096" s="4" t="s">
        <v>292</v>
      </c>
      <c r="C1096" s="5">
        <v>2018</v>
      </c>
      <c r="D1096" s="4">
        <v>0</v>
      </c>
      <c r="E1096" s="4">
        <v>1000000</v>
      </c>
      <c r="F1096" s="4" t="str">
        <f>_xlfn.LET(_xlpm.r, _xlfn.XLOOKUP(Clean_Data[[#This Row],[Country_Code]], Metadata_Country!$A:$A, Metadata_Country!$B:$B, "Unknown"), IF(OR(_xlpm.r=0, _xlpm.r=""), "Regional Aggregate", _xlpm.r))</f>
        <v>Sub-Saharan Africa</v>
      </c>
      <c r="G1096" s="4" t="str">
        <f>_xlfn.LET(_xlpm.ig, _xlfn.XLOOKUP(Clean_Data[[#This Row],[Country_Code]], Metadata_Country!$A:$A, Metadata_Country!$C:$C, "Unknown"), IF(OR(_xlpm.ig=0, _xlpm.ig=""), "Regional Aggregate", _xlpm.ig))</f>
        <v>Lower middle income</v>
      </c>
      <c r="H1096" s="4">
        <f>Clean_Data[[#This Row],[Exports_TIV]] - Clean_Data[[#This Row],[Imports_TIV]]</f>
        <v>-1000000</v>
      </c>
      <c r="I1096" s="4">
        <f>Clean_Data[[#This Row],[Exports_TIV]] + Clean_Data[[#This Row],[Imports_TIV]]</f>
        <v>1000000</v>
      </c>
    </row>
    <row r="1097" spans="1:9">
      <c r="A1097" s="4" t="s">
        <v>295</v>
      </c>
      <c r="B1097" s="4" t="s">
        <v>296</v>
      </c>
      <c r="C1097" s="5">
        <v>2018</v>
      </c>
      <c r="D1097" s="4">
        <v>60000000</v>
      </c>
      <c r="E1097" s="4">
        <v>8000000</v>
      </c>
      <c r="F1097" s="4" t="str">
        <f>_xlfn.LET(_xlpm.r, _xlfn.XLOOKUP(Clean_Data[[#This Row],[Country_Code]], Metadata_Country!$A:$A, Metadata_Country!$B:$B, "Unknown"), IF(OR(_xlpm.r=0, _xlpm.r=""), "Regional Aggregate", _xlpm.r))</f>
        <v>Europe &amp; Central Asia</v>
      </c>
      <c r="G1097" s="4" t="str">
        <f>_xlfn.LET(_xlpm.ig, _xlfn.XLOOKUP(Clean_Data[[#This Row],[Country_Code]], Metadata_Country!$A:$A, Metadata_Country!$C:$C, "Unknown"), IF(OR(_xlpm.ig=0, _xlpm.ig=""), "Regional Aggregate", _xlpm.ig))</f>
        <v>High income</v>
      </c>
      <c r="H1097" s="4">
        <f>Clean_Data[[#This Row],[Exports_TIV]] - Clean_Data[[#This Row],[Imports_TIV]]</f>
        <v>52000000</v>
      </c>
      <c r="I1097" s="4">
        <f>Clean_Data[[#This Row],[Exports_TIV]] + Clean_Data[[#This Row],[Imports_TIV]]</f>
        <v>68000000</v>
      </c>
    </row>
    <row r="1098" spans="1:9">
      <c r="A1098" s="4" t="s">
        <v>289</v>
      </c>
      <c r="B1098" s="4" t="s">
        <v>290</v>
      </c>
      <c r="C1098" s="5">
        <v>2018</v>
      </c>
      <c r="D1098" s="4">
        <v>0</v>
      </c>
      <c r="E1098" s="4">
        <v>14733000000</v>
      </c>
      <c r="F1098" s="4" t="str">
        <f>_xlfn.LET(_xlpm.r, _xlfn.XLOOKUP(Clean_Data[[#This Row],[Country_Code]], Metadata_Country!$A:$A, Metadata_Country!$B:$B, "Unknown"), IF(OR(_xlpm.r=0, _xlpm.r=""), "Regional Aggregate", _xlpm.r))</f>
        <v>Regional Aggregate</v>
      </c>
      <c r="G1098" s="4" t="str">
        <f>_xlfn.LET(_xlpm.ig, _xlfn.XLOOKUP(Clean_Data[[#This Row],[Country_Code]], Metadata_Country!$A:$A, Metadata_Country!$C:$C, "Unknown"), IF(OR(_xlpm.ig=0, _xlpm.ig=""), "Regional Aggregate", _xlpm.ig))</f>
        <v>Regional Aggregate</v>
      </c>
      <c r="H1098" s="4">
        <f>Clean_Data[[#This Row],[Exports_TIV]] - Clean_Data[[#This Row],[Imports_TIV]]</f>
        <v>-14733000000</v>
      </c>
      <c r="I1098" s="4">
        <f>Clean_Data[[#This Row],[Exports_TIV]] + Clean_Data[[#This Row],[Imports_TIV]]</f>
        <v>14733000000</v>
      </c>
    </row>
    <row r="1099" spans="1:9">
      <c r="A1099" s="4" t="s">
        <v>281</v>
      </c>
      <c r="B1099" s="4" t="s">
        <v>282</v>
      </c>
      <c r="C1099" s="5">
        <v>2018</v>
      </c>
      <c r="D1099" s="4">
        <v>0</v>
      </c>
      <c r="E1099" s="4">
        <v>649000000</v>
      </c>
      <c r="F1099" s="4" t="str">
        <f>_xlfn.LET(_xlpm.r, _xlfn.XLOOKUP(Clean_Data[[#This Row],[Country_Code]], Metadata_Country!$A:$A, Metadata_Country!$B:$B, "Unknown"), IF(OR(_xlpm.r=0, _xlpm.r=""), "Regional Aggregate", _xlpm.r))</f>
        <v>Regional Aggregate</v>
      </c>
      <c r="G1099" s="4" t="str">
        <f>_xlfn.LET(_xlpm.ig, _xlfn.XLOOKUP(Clean_Data[[#This Row],[Country_Code]], Metadata_Country!$A:$A, Metadata_Country!$C:$C, "Unknown"), IF(OR(_xlpm.ig=0, _xlpm.ig=""), "Regional Aggregate", _xlpm.ig))</f>
        <v>Regional Aggregate</v>
      </c>
      <c r="H1099" s="4">
        <f>Clean_Data[[#This Row],[Exports_TIV]] - Clean_Data[[#This Row],[Imports_TIV]]</f>
        <v>-649000000</v>
      </c>
      <c r="I1099" s="4">
        <f>Clean_Data[[#This Row],[Exports_TIV]] + Clean_Data[[#This Row],[Imports_TIV]]</f>
        <v>649000000</v>
      </c>
    </row>
    <row r="1100" spans="1:9">
      <c r="A1100" s="4" t="s">
        <v>287</v>
      </c>
      <c r="B1100" s="4" t="s">
        <v>288</v>
      </c>
      <c r="C1100" s="5">
        <v>2018</v>
      </c>
      <c r="D1100" s="4">
        <v>0</v>
      </c>
      <c r="E1100" s="4">
        <v>6251000000</v>
      </c>
      <c r="F1100" s="4" t="str">
        <f>_xlfn.LET(_xlpm.r, _xlfn.XLOOKUP(Clean_Data[[#This Row],[Country_Code]], Metadata_Country!$A:$A, Metadata_Country!$B:$B, "Unknown"), IF(OR(_xlpm.r=0, _xlpm.r=""), "Regional Aggregate", _xlpm.r))</f>
        <v>Regional Aggregate</v>
      </c>
      <c r="G1100" s="4" t="str">
        <f>_xlfn.LET(_xlpm.ig, _xlfn.XLOOKUP(Clean_Data[[#This Row],[Country_Code]], Metadata_Country!$A:$A, Metadata_Country!$C:$C, "Unknown"), IF(OR(_xlpm.ig=0, _xlpm.ig=""), "Regional Aggregate", _xlpm.ig))</f>
        <v>Regional Aggregate</v>
      </c>
      <c r="H1100" s="4">
        <f>Clean_Data[[#This Row],[Exports_TIV]] - Clean_Data[[#This Row],[Imports_TIV]]</f>
        <v>-6251000000</v>
      </c>
      <c r="I1100" s="4">
        <f>Clean_Data[[#This Row],[Exports_TIV]] + Clean_Data[[#This Row],[Imports_TIV]]</f>
        <v>6251000000</v>
      </c>
    </row>
    <row r="1101" spans="1:9">
      <c r="A1101" s="4" t="s">
        <v>311</v>
      </c>
      <c r="B1101" s="4" t="s">
        <v>312</v>
      </c>
      <c r="C1101" s="5">
        <v>2018</v>
      </c>
      <c r="D1101" s="4">
        <v>0</v>
      </c>
      <c r="E1101" s="4">
        <v>2000000</v>
      </c>
      <c r="F1101" s="4" t="str">
        <f>_xlfn.LET(_xlpm.r, _xlfn.XLOOKUP(Clean_Data[[#This Row],[Country_Code]], Metadata_Country!$A:$A, Metadata_Country!$B:$B, "Unknown"), IF(OR(_xlpm.r=0, _xlpm.r=""), "Regional Aggregate", _xlpm.r))</f>
        <v>Sub-Saharan Africa</v>
      </c>
      <c r="G1101" s="4" t="str">
        <f>_xlfn.LET(_xlpm.ig, _xlfn.XLOOKUP(Clean_Data[[#This Row],[Country_Code]], Metadata_Country!$A:$A, Metadata_Country!$C:$C, "Unknown"), IF(OR(_xlpm.ig=0, _xlpm.ig=""), "Regional Aggregate", _xlpm.ig))</f>
        <v>Low income</v>
      </c>
      <c r="H1101" s="4">
        <f>Clean_Data[[#This Row],[Exports_TIV]] - Clean_Data[[#This Row],[Imports_TIV]]</f>
        <v>-2000000</v>
      </c>
      <c r="I1101" s="4">
        <f>Clean_Data[[#This Row],[Exports_TIV]] + Clean_Data[[#This Row],[Imports_TIV]]</f>
        <v>2000000</v>
      </c>
    </row>
    <row r="1102" spans="1:9">
      <c r="A1102" s="4" t="s">
        <v>347</v>
      </c>
      <c r="B1102" s="4" t="s">
        <v>348</v>
      </c>
      <c r="C1102" s="5">
        <v>2018</v>
      </c>
      <c r="D1102" s="4">
        <v>0</v>
      </c>
      <c r="E1102" s="4">
        <v>93000000</v>
      </c>
      <c r="F1102" s="4" t="str">
        <f>_xlfn.LET(_xlpm.r, _xlfn.XLOOKUP(Clean_Data[[#This Row],[Country_Code]], Metadata_Country!$A:$A, Metadata_Country!$B:$B, "Unknown"), IF(OR(_xlpm.r=0, _xlpm.r=""), "Regional Aggregate", _xlpm.r))</f>
        <v>East Asia &amp; Pacific</v>
      </c>
      <c r="G1102" s="4" t="str">
        <f>_xlfn.LET(_xlpm.ig, _xlfn.XLOOKUP(Clean_Data[[#This Row],[Country_Code]], Metadata_Country!$A:$A, Metadata_Country!$C:$C, "Unknown"), IF(OR(_xlpm.ig=0, _xlpm.ig=""), "Regional Aggregate", _xlpm.ig))</f>
        <v>Upper middle income</v>
      </c>
      <c r="H1102" s="4">
        <f>Clean_Data[[#This Row],[Exports_TIV]] - Clean_Data[[#This Row],[Imports_TIV]]</f>
        <v>-93000000</v>
      </c>
      <c r="I1102" s="4">
        <f>Clean_Data[[#This Row],[Exports_TIV]] + Clean_Data[[#This Row],[Imports_TIV]]</f>
        <v>93000000</v>
      </c>
    </row>
    <row r="1103" spans="1:9">
      <c r="A1103" s="4" t="s">
        <v>325</v>
      </c>
      <c r="B1103" s="4" t="s">
        <v>326</v>
      </c>
      <c r="C1103" s="5">
        <v>2018</v>
      </c>
      <c r="D1103" s="4">
        <v>0</v>
      </c>
      <c r="E1103" s="4">
        <v>27000000</v>
      </c>
      <c r="F1103" s="4" t="str">
        <f>_xlfn.LET(_xlpm.r, _xlfn.XLOOKUP(Clean_Data[[#This Row],[Country_Code]], Metadata_Country!$A:$A, Metadata_Country!$B:$B, "Unknown"), IF(OR(_xlpm.r=0, _xlpm.r=""), "Regional Aggregate", _xlpm.r))</f>
        <v>Sub-Saharan Africa</v>
      </c>
      <c r="G1103" s="4" t="str">
        <f>_xlfn.LET(_xlpm.ig, _xlfn.XLOOKUP(Clean_Data[[#This Row],[Country_Code]], Metadata_Country!$A:$A, Metadata_Country!$C:$C, "Unknown"), IF(OR(_xlpm.ig=0, _xlpm.ig=""), "Regional Aggregate", _xlpm.ig))</f>
        <v>Low income</v>
      </c>
      <c r="H1103" s="4">
        <f>Clean_Data[[#This Row],[Exports_TIV]] - Clean_Data[[#This Row],[Imports_TIV]]</f>
        <v>-27000000</v>
      </c>
      <c r="I1103" s="4">
        <f>Clean_Data[[#This Row],[Exports_TIV]] + Clean_Data[[#This Row],[Imports_TIV]]</f>
        <v>27000000</v>
      </c>
    </row>
    <row r="1104" spans="1:9">
      <c r="A1104" s="4" t="s">
        <v>341</v>
      </c>
      <c r="B1104" s="4" t="s">
        <v>342</v>
      </c>
      <c r="C1104" s="5">
        <v>2018</v>
      </c>
      <c r="D1104" s="4">
        <v>0</v>
      </c>
      <c r="E1104" s="4">
        <v>1000000</v>
      </c>
      <c r="F1104" s="4" t="str">
        <f>_xlfn.LET(_xlpm.r, _xlfn.XLOOKUP(Clean_Data[[#This Row],[Country_Code]], Metadata_Country!$A:$A, Metadata_Country!$B:$B, "Unknown"), IF(OR(_xlpm.r=0, _xlpm.r=""), "Regional Aggregate", _xlpm.r))</f>
        <v>Sub-Saharan Africa</v>
      </c>
      <c r="G1104" s="4" t="str">
        <f>_xlfn.LET(_xlpm.ig, _xlfn.XLOOKUP(Clean_Data[[#This Row],[Country_Code]], Metadata_Country!$A:$A, Metadata_Country!$C:$C, "Unknown"), IF(OR(_xlpm.ig=0, _xlpm.ig=""), "Regional Aggregate", _xlpm.ig))</f>
        <v>Lower middle income</v>
      </c>
      <c r="H1104" s="4">
        <f>Clean_Data[[#This Row],[Exports_TIV]] - Clean_Data[[#This Row],[Imports_TIV]]</f>
        <v>-1000000</v>
      </c>
      <c r="I1104" s="4">
        <f>Clean_Data[[#This Row],[Exports_TIV]] + Clean_Data[[#This Row],[Imports_TIV]]</f>
        <v>1000000</v>
      </c>
    </row>
    <row r="1105" spans="1:9">
      <c r="A1105" s="4" t="s">
        <v>317</v>
      </c>
      <c r="B1105" s="4" t="s">
        <v>318</v>
      </c>
      <c r="C1105" s="5">
        <v>2018</v>
      </c>
      <c r="D1105" s="4">
        <v>0</v>
      </c>
      <c r="E1105" s="4">
        <v>16000000</v>
      </c>
      <c r="F1105" s="4" t="str">
        <f>_xlfn.LET(_xlpm.r, _xlfn.XLOOKUP(Clean_Data[[#This Row],[Country_Code]], Metadata_Country!$A:$A, Metadata_Country!$B:$B, "Unknown"), IF(OR(_xlpm.r=0, _xlpm.r=""), "Regional Aggregate", _xlpm.r))</f>
        <v>Latin America &amp; Caribbean</v>
      </c>
      <c r="G1105" s="4" t="str">
        <f>_xlfn.LET(_xlpm.ig, _xlfn.XLOOKUP(Clean_Data[[#This Row],[Country_Code]], Metadata_Country!$A:$A, Metadata_Country!$C:$C, "Unknown"), IF(OR(_xlpm.ig=0, _xlpm.ig=""), "Regional Aggregate", _xlpm.ig))</f>
        <v>Upper middle income</v>
      </c>
      <c r="H1105" s="4">
        <f>Clean_Data[[#This Row],[Exports_TIV]] - Clean_Data[[#This Row],[Imports_TIV]]</f>
        <v>-16000000</v>
      </c>
      <c r="I1105" s="4">
        <f>Clean_Data[[#This Row],[Exports_TIV]] + Clean_Data[[#This Row],[Imports_TIV]]</f>
        <v>16000000</v>
      </c>
    </row>
    <row r="1106" spans="1:9">
      <c r="A1106" s="4" t="s">
        <v>315</v>
      </c>
      <c r="B1106" s="4" t="s">
        <v>316</v>
      </c>
      <c r="C1106" s="5">
        <v>2018</v>
      </c>
      <c r="D1106" s="4">
        <v>0</v>
      </c>
      <c r="E1106" s="4">
        <v>11314000000</v>
      </c>
      <c r="F1106" s="4" t="str">
        <f>_xlfn.LET(_xlpm.r, _xlfn.XLOOKUP(Clean_Data[[#This Row],[Country_Code]], Metadata_Country!$A:$A, Metadata_Country!$B:$B, "Unknown"), IF(OR(_xlpm.r=0, _xlpm.r=""), "Regional Aggregate", _xlpm.r))</f>
        <v>Regional Aggregate</v>
      </c>
      <c r="G1106" s="4" t="str">
        <f>_xlfn.LET(_xlpm.ig, _xlfn.XLOOKUP(Clean_Data[[#This Row],[Country_Code]], Metadata_Country!$A:$A, Metadata_Country!$C:$C, "Unknown"), IF(OR(_xlpm.ig=0, _xlpm.ig=""), "Regional Aggregate", _xlpm.ig))</f>
        <v>Regional Aggregate</v>
      </c>
      <c r="H1106" s="4">
        <f>Clean_Data[[#This Row],[Exports_TIV]] - Clean_Data[[#This Row],[Imports_TIV]]</f>
        <v>-11314000000</v>
      </c>
      <c r="I1106" s="4">
        <f>Clean_Data[[#This Row],[Exports_TIV]] + Clean_Data[[#This Row],[Imports_TIV]]</f>
        <v>11314000000</v>
      </c>
    </row>
    <row r="1107" spans="1:9">
      <c r="A1107" s="4" t="s">
        <v>331</v>
      </c>
      <c r="B1107" s="4" t="s">
        <v>332</v>
      </c>
      <c r="C1107" s="5">
        <v>2018</v>
      </c>
      <c r="D1107" s="4">
        <v>0</v>
      </c>
      <c r="E1107" s="4">
        <v>5651000000</v>
      </c>
      <c r="F1107" s="4" t="str">
        <f>_xlfn.LET(_xlpm.r, _xlfn.XLOOKUP(Clean_Data[[#This Row],[Country_Code]], Metadata_Country!$A:$A, Metadata_Country!$B:$B, "Unknown"), IF(OR(_xlpm.r=0, _xlpm.r=""), "Regional Aggregate", _xlpm.r))</f>
        <v>Regional Aggregate</v>
      </c>
      <c r="G1107" s="4" t="str">
        <f>_xlfn.LET(_xlpm.ig, _xlfn.XLOOKUP(Clean_Data[[#This Row],[Country_Code]], Metadata_Country!$A:$A, Metadata_Country!$C:$C, "Unknown"), IF(OR(_xlpm.ig=0, _xlpm.ig=""), "Regional Aggregate", _xlpm.ig))</f>
        <v>Regional Aggregate</v>
      </c>
      <c r="H1107" s="4">
        <f>Clean_Data[[#This Row],[Exports_TIV]] - Clean_Data[[#This Row],[Imports_TIV]]</f>
        <v>-5651000000</v>
      </c>
      <c r="I1107" s="4">
        <f>Clean_Data[[#This Row],[Exports_TIV]] + Clean_Data[[#This Row],[Imports_TIV]]</f>
        <v>5651000000</v>
      </c>
    </row>
    <row r="1108" spans="1:9">
      <c r="A1108" s="4" t="s">
        <v>485</v>
      </c>
      <c r="B1108" s="4" t="s">
        <v>486</v>
      </c>
      <c r="C1108" s="5">
        <v>2018</v>
      </c>
      <c r="D1108" s="4">
        <v>0</v>
      </c>
      <c r="E1108" s="4">
        <v>5651000000</v>
      </c>
      <c r="F1108" s="4" t="str">
        <f>_xlfn.LET(_xlpm.r, _xlfn.XLOOKUP(Clean_Data[[#This Row],[Country_Code]], Metadata_Country!$A:$A, Metadata_Country!$B:$B, "Unknown"), IF(OR(_xlpm.r=0, _xlpm.r=""), "Regional Aggregate", _xlpm.r))</f>
        <v>Regional Aggregate</v>
      </c>
      <c r="G1108" s="4" t="str">
        <f>_xlfn.LET(_xlpm.ig, _xlfn.XLOOKUP(Clean_Data[[#This Row],[Country_Code]], Metadata_Country!$A:$A, Metadata_Country!$C:$C, "Unknown"), IF(OR(_xlpm.ig=0, _xlpm.ig=""), "Regional Aggregate", _xlpm.ig))</f>
        <v>Regional Aggregate</v>
      </c>
      <c r="H1108" s="4">
        <f>Clean_Data[[#This Row],[Exports_TIV]] - Clean_Data[[#This Row],[Imports_TIV]]</f>
        <v>-5651000000</v>
      </c>
      <c r="I1108" s="4">
        <f>Clean_Data[[#This Row],[Exports_TIV]] + Clean_Data[[#This Row],[Imports_TIV]]</f>
        <v>5651000000</v>
      </c>
    </row>
    <row r="1109" spans="1:9">
      <c r="A1109" s="4" t="s">
        <v>321</v>
      </c>
      <c r="B1109" s="4" t="s">
        <v>322</v>
      </c>
      <c r="C1109" s="5">
        <v>2018</v>
      </c>
      <c r="D1109" s="4">
        <v>2381000000</v>
      </c>
      <c r="E1109" s="4">
        <v>14084000000</v>
      </c>
      <c r="F1109" s="4" t="str">
        <f>_xlfn.LET(_xlpm.r, _xlfn.XLOOKUP(Clean_Data[[#This Row],[Country_Code]], Metadata_Country!$A:$A, Metadata_Country!$B:$B, "Unknown"), IF(OR(_xlpm.r=0, _xlpm.r=""), "Regional Aggregate", _xlpm.r))</f>
        <v>Regional Aggregate</v>
      </c>
      <c r="G1109" s="4" t="str">
        <f>_xlfn.LET(_xlpm.ig, _xlfn.XLOOKUP(Clean_Data[[#This Row],[Country_Code]], Metadata_Country!$A:$A, Metadata_Country!$C:$C, "Unknown"), IF(OR(_xlpm.ig=0, _xlpm.ig=""), "Regional Aggregate", _xlpm.ig))</f>
        <v>Regional Aggregate</v>
      </c>
      <c r="H1109" s="4">
        <f>Clean_Data[[#This Row],[Exports_TIV]] - Clean_Data[[#This Row],[Imports_TIV]]</f>
        <v>-11703000000</v>
      </c>
      <c r="I1109" s="4">
        <f>Clean_Data[[#This Row],[Exports_TIV]] + Clean_Data[[#This Row],[Imports_TIV]]</f>
        <v>16465000000</v>
      </c>
    </row>
    <row r="1110" spans="1:9">
      <c r="A1110" s="4" t="s">
        <v>333</v>
      </c>
      <c r="B1110" s="4" t="s">
        <v>334</v>
      </c>
      <c r="C1110" s="5">
        <v>2018</v>
      </c>
      <c r="D1110" s="4">
        <v>0</v>
      </c>
      <c r="E1110" s="4">
        <v>15000000</v>
      </c>
      <c r="F1110" s="4" t="str">
        <f>_xlfn.LET(_xlpm.r, _xlfn.XLOOKUP(Clean_Data[[#This Row],[Country_Code]], Metadata_Country!$A:$A, Metadata_Country!$B:$B, "Unknown"), IF(OR(_xlpm.r=0, _xlpm.r=""), "Regional Aggregate", _xlpm.r))</f>
        <v>Europe &amp; Central Asia</v>
      </c>
      <c r="G1110" s="4" t="str">
        <f>_xlfn.LET(_xlpm.ig, _xlfn.XLOOKUP(Clean_Data[[#This Row],[Country_Code]], Metadata_Country!$A:$A, Metadata_Country!$C:$C, "Unknown"), IF(OR(_xlpm.ig=0, _xlpm.ig=""), "Regional Aggregate", _xlpm.ig))</f>
        <v>Upper middle income</v>
      </c>
      <c r="H1110" s="4">
        <f>Clean_Data[[#This Row],[Exports_TIV]] - Clean_Data[[#This Row],[Imports_TIV]]</f>
        <v>-15000000</v>
      </c>
      <c r="I1110" s="4">
        <f>Clean_Data[[#This Row],[Exports_TIV]] + Clean_Data[[#This Row],[Imports_TIV]]</f>
        <v>15000000</v>
      </c>
    </row>
    <row r="1111" spans="1:9">
      <c r="A1111" s="4" t="s">
        <v>305</v>
      </c>
      <c r="B1111" s="4" t="s">
        <v>306</v>
      </c>
      <c r="C1111" s="5">
        <v>2018</v>
      </c>
      <c r="D1111" s="4">
        <v>0</v>
      </c>
      <c r="E1111" s="4">
        <v>462000000</v>
      </c>
      <c r="F1111" s="4" t="str">
        <f>_xlfn.LET(_xlpm.r, _xlfn.XLOOKUP(Clean_Data[[#This Row],[Country_Code]], Metadata_Country!$A:$A, Metadata_Country!$B:$B, "Unknown"), IF(OR(_xlpm.r=0, _xlpm.r=""), "Regional Aggregate", _xlpm.r))</f>
        <v>Middle East &amp; North Africa</v>
      </c>
      <c r="G1111" s="4" t="str">
        <f>_xlfn.LET(_xlpm.ig, _xlfn.XLOOKUP(Clean_Data[[#This Row],[Country_Code]], Metadata_Country!$A:$A, Metadata_Country!$C:$C, "Unknown"), IF(OR(_xlpm.ig=0, _xlpm.ig=""), "Regional Aggregate", _xlpm.ig))</f>
        <v>Lower middle income</v>
      </c>
      <c r="H1111" s="4">
        <f>Clean_Data[[#This Row],[Exports_TIV]] - Clean_Data[[#This Row],[Imports_TIV]]</f>
        <v>-462000000</v>
      </c>
      <c r="I1111" s="4">
        <f>Clean_Data[[#This Row],[Exports_TIV]] + Clean_Data[[#This Row],[Imports_TIV]]</f>
        <v>462000000</v>
      </c>
    </row>
    <row r="1112" spans="1:9">
      <c r="A1112" s="4" t="s">
        <v>339</v>
      </c>
      <c r="B1112" s="4" t="s">
        <v>340</v>
      </c>
      <c r="C1112" s="5">
        <v>2018</v>
      </c>
      <c r="D1112" s="4">
        <v>0</v>
      </c>
      <c r="E1112" s="4">
        <v>3000000</v>
      </c>
      <c r="F1112" s="4" t="str">
        <f>_xlfn.LET(_xlpm.r, _xlfn.XLOOKUP(Clean_Data[[#This Row],[Country_Code]], Metadata_Country!$A:$A, Metadata_Country!$B:$B, "Unknown"), IF(OR(_xlpm.r=0, _xlpm.r=""), "Regional Aggregate", _xlpm.r))</f>
        <v>Sub-Saharan Africa</v>
      </c>
      <c r="G1112" s="4" t="str">
        <f>_xlfn.LET(_xlpm.ig, _xlfn.XLOOKUP(Clean_Data[[#This Row],[Country_Code]], Metadata_Country!$A:$A, Metadata_Country!$C:$C, "Unknown"), IF(OR(_xlpm.ig=0, _xlpm.ig=""), "Regional Aggregate", _xlpm.ig))</f>
        <v>Low income</v>
      </c>
      <c r="H1112" s="4">
        <f>Clean_Data[[#This Row],[Exports_TIV]] - Clean_Data[[#This Row],[Imports_TIV]]</f>
        <v>-3000000</v>
      </c>
      <c r="I1112" s="4">
        <f>Clean_Data[[#This Row],[Exports_TIV]] + Clean_Data[[#This Row],[Imports_TIV]]</f>
        <v>3000000</v>
      </c>
    </row>
    <row r="1113" spans="1:9">
      <c r="A1113" s="4" t="s">
        <v>329</v>
      </c>
      <c r="B1113" s="4" t="s">
        <v>330</v>
      </c>
      <c r="C1113" s="5">
        <v>2018</v>
      </c>
      <c r="D1113" s="4">
        <v>0</v>
      </c>
      <c r="E1113" s="4">
        <v>203000000</v>
      </c>
      <c r="F1113" s="4" t="str">
        <f>_xlfn.LET(_xlpm.r, _xlfn.XLOOKUP(Clean_Data[[#This Row],[Country_Code]], Metadata_Country!$A:$A, Metadata_Country!$B:$B, "Unknown"), IF(OR(_xlpm.r=0, _xlpm.r=""), "Regional Aggregate", _xlpm.r))</f>
        <v>East Asia &amp; Pacific</v>
      </c>
      <c r="G1113" s="4" t="str">
        <f>_xlfn.LET(_xlpm.ig, _xlfn.XLOOKUP(Clean_Data[[#This Row],[Country_Code]], Metadata_Country!$A:$A, Metadata_Country!$C:$C, "Unknown"), IF(OR(_xlpm.ig=0, _xlpm.ig=""), "Regional Aggregate", _xlpm.ig))</f>
        <v>Lower middle income</v>
      </c>
      <c r="H1113" s="4">
        <f>Clean_Data[[#This Row],[Exports_TIV]] - Clean_Data[[#This Row],[Imports_TIV]]</f>
        <v>-203000000</v>
      </c>
      <c r="I1113" s="4">
        <f>Clean_Data[[#This Row],[Exports_TIV]] + Clean_Data[[#This Row],[Imports_TIV]]</f>
        <v>203000000</v>
      </c>
    </row>
    <row r="1114" spans="1:9">
      <c r="A1114" s="4" t="s">
        <v>365</v>
      </c>
      <c r="B1114" s="4" t="s">
        <v>366</v>
      </c>
      <c r="C1114" s="5">
        <v>2018</v>
      </c>
      <c r="D1114" s="4">
        <v>0</v>
      </c>
      <c r="E1114" s="4">
        <v>7000000</v>
      </c>
      <c r="F1114" s="4" t="str">
        <f>_xlfn.LET(_xlpm.r, _xlfn.XLOOKUP(Clean_Data[[#This Row],[Country_Code]], Metadata_Country!$A:$A, Metadata_Country!$B:$B, "Unknown"), IF(OR(_xlpm.r=0, _xlpm.r=""), "Regional Aggregate", _xlpm.r))</f>
        <v>South Asia</v>
      </c>
      <c r="G1114" s="4" t="str">
        <f>_xlfn.LET(_xlpm.ig, _xlfn.XLOOKUP(Clean_Data[[#This Row],[Country_Code]], Metadata_Country!$A:$A, Metadata_Country!$C:$C, "Unknown"), IF(OR(_xlpm.ig=0, _xlpm.ig=""), "Regional Aggregate", _xlpm.ig))</f>
        <v>Lower middle income</v>
      </c>
      <c r="H1114" s="4">
        <f>Clean_Data[[#This Row],[Exports_TIV]] - Clean_Data[[#This Row],[Imports_TIV]]</f>
        <v>-7000000</v>
      </c>
      <c r="I1114" s="4">
        <f>Clean_Data[[#This Row],[Exports_TIV]] + Clean_Data[[#This Row],[Imports_TIV]]</f>
        <v>7000000</v>
      </c>
    </row>
    <row r="1115" spans="1:9">
      <c r="A1115" s="4" t="s">
        <v>361</v>
      </c>
      <c r="B1115" s="4" t="s">
        <v>362</v>
      </c>
      <c r="C1115" s="5">
        <v>2018</v>
      </c>
      <c r="D1115" s="4">
        <v>468000000</v>
      </c>
      <c r="E1115" s="4">
        <v>139000000</v>
      </c>
      <c r="F1115" s="4" t="str">
        <f>_xlfn.LET(_xlpm.r, _xlfn.XLOOKUP(Clean_Data[[#This Row],[Country_Code]], Metadata_Country!$A:$A, Metadata_Country!$B:$B, "Unknown"), IF(OR(_xlpm.r=0, _xlpm.r=""), "Regional Aggregate", _xlpm.r))</f>
        <v>Europe &amp; Central Asia</v>
      </c>
      <c r="G1115" s="4" t="str">
        <f>_xlfn.LET(_xlpm.ig, _xlfn.XLOOKUP(Clean_Data[[#This Row],[Country_Code]], Metadata_Country!$A:$A, Metadata_Country!$C:$C, "Unknown"), IF(OR(_xlpm.ig=0, _xlpm.ig=""), "Regional Aggregate", _xlpm.ig))</f>
        <v>High income</v>
      </c>
      <c r="H1115" s="4">
        <f>Clean_Data[[#This Row],[Exports_TIV]] - Clean_Data[[#This Row],[Imports_TIV]]</f>
        <v>329000000</v>
      </c>
      <c r="I1115" s="4">
        <f>Clean_Data[[#This Row],[Exports_TIV]] + Clean_Data[[#This Row],[Imports_TIV]]</f>
        <v>607000000</v>
      </c>
    </row>
    <row r="1116" spans="1:9">
      <c r="A1116" s="4" t="s">
        <v>369</v>
      </c>
      <c r="B1116" s="4" t="s">
        <v>370</v>
      </c>
      <c r="C1116" s="5">
        <v>2018</v>
      </c>
      <c r="D1116" s="4">
        <v>7000000</v>
      </c>
      <c r="E1116" s="4">
        <v>6000000</v>
      </c>
      <c r="F1116" s="4" t="str">
        <f>_xlfn.LET(_xlpm.r, _xlfn.XLOOKUP(Clean_Data[[#This Row],[Country_Code]], Metadata_Country!$A:$A, Metadata_Country!$B:$B, "Unknown"), IF(OR(_xlpm.r=0, _xlpm.r=""), "Regional Aggregate", _xlpm.r))</f>
        <v>East Asia &amp; Pacific</v>
      </c>
      <c r="G1116" s="4" t="str">
        <f>_xlfn.LET(_xlpm.ig, _xlfn.XLOOKUP(Clean_Data[[#This Row],[Country_Code]], Metadata_Country!$A:$A, Metadata_Country!$C:$C, "Unknown"), IF(OR(_xlpm.ig=0, _xlpm.ig=""), "Regional Aggregate", _xlpm.ig))</f>
        <v>High income</v>
      </c>
      <c r="H1116" s="4">
        <f>Clean_Data[[#This Row],[Exports_TIV]] - Clean_Data[[#This Row],[Imports_TIV]]</f>
        <v>1000000</v>
      </c>
      <c r="I1116" s="4">
        <f>Clean_Data[[#This Row],[Exports_TIV]] + Clean_Data[[#This Row],[Imports_TIV]]</f>
        <v>13000000</v>
      </c>
    </row>
    <row r="1117" spans="1:9">
      <c r="A1117" s="4" t="s">
        <v>355</v>
      </c>
      <c r="B1117" s="4" t="s">
        <v>356</v>
      </c>
      <c r="C1117" s="5">
        <v>2018</v>
      </c>
      <c r="D1117" s="4">
        <v>0</v>
      </c>
      <c r="E1117" s="4">
        <v>1000000</v>
      </c>
      <c r="F1117" s="4" t="str">
        <f>_xlfn.LET(_xlpm.r, _xlfn.XLOOKUP(Clean_Data[[#This Row],[Country_Code]], Metadata_Country!$A:$A, Metadata_Country!$B:$B, "Unknown"), IF(OR(_xlpm.r=0, _xlpm.r=""), "Regional Aggregate", _xlpm.r))</f>
        <v>Sub-Saharan Africa</v>
      </c>
      <c r="G1117" s="4" t="str">
        <f>_xlfn.LET(_xlpm.ig, _xlfn.XLOOKUP(Clean_Data[[#This Row],[Country_Code]], Metadata_Country!$A:$A, Metadata_Country!$C:$C, "Unknown"), IF(OR(_xlpm.ig=0, _xlpm.ig=""), "Regional Aggregate", _xlpm.ig))</f>
        <v>Low income</v>
      </c>
      <c r="H1117" s="4">
        <f>Clean_Data[[#This Row],[Exports_TIV]] - Clean_Data[[#This Row],[Imports_TIV]]</f>
        <v>-1000000</v>
      </c>
      <c r="I1117" s="4">
        <f>Clean_Data[[#This Row],[Exports_TIV]] + Clean_Data[[#This Row],[Imports_TIV]]</f>
        <v>1000000</v>
      </c>
    </row>
    <row r="1118" spans="1:9">
      <c r="A1118" s="4" t="s">
        <v>357</v>
      </c>
      <c r="B1118" s="4" t="s">
        <v>358</v>
      </c>
      <c r="C1118" s="5">
        <v>2018</v>
      </c>
      <c r="D1118" s="4">
        <v>0</v>
      </c>
      <c r="E1118" s="4">
        <v>49000000</v>
      </c>
      <c r="F1118" s="4" t="str">
        <f>_xlfn.LET(_xlpm.r, _xlfn.XLOOKUP(Clean_Data[[#This Row],[Country_Code]], Metadata_Country!$A:$A, Metadata_Country!$B:$B, "Unknown"), IF(OR(_xlpm.r=0, _xlpm.r=""), "Regional Aggregate", _xlpm.r))</f>
        <v>Sub-Saharan Africa</v>
      </c>
      <c r="G1118" s="4" t="str">
        <f>_xlfn.LET(_xlpm.ig, _xlfn.XLOOKUP(Clean_Data[[#This Row],[Country_Code]], Metadata_Country!$A:$A, Metadata_Country!$C:$C, "Unknown"), IF(OR(_xlpm.ig=0, _xlpm.ig=""), "Regional Aggregate", _xlpm.ig))</f>
        <v>Lower middle income</v>
      </c>
      <c r="H1118" s="4">
        <f>Clean_Data[[#This Row],[Exports_TIV]] - Clean_Data[[#This Row],[Imports_TIV]]</f>
        <v>-49000000</v>
      </c>
      <c r="I1118" s="4">
        <f>Clean_Data[[#This Row],[Exports_TIV]] + Clean_Data[[#This Row],[Imports_TIV]]</f>
        <v>49000000</v>
      </c>
    </row>
    <row r="1119" spans="1:9">
      <c r="A1119" s="4" t="s">
        <v>349</v>
      </c>
      <c r="B1119" s="4" t="s">
        <v>350</v>
      </c>
      <c r="C1119" s="5">
        <v>2018</v>
      </c>
      <c r="D1119" s="4">
        <v>9372000000</v>
      </c>
      <c r="E1119" s="4">
        <v>564000000</v>
      </c>
      <c r="F1119" s="4" t="str">
        <f>_xlfn.LET(_xlpm.r, _xlfn.XLOOKUP(Clean_Data[[#This Row],[Country_Code]], Metadata_Country!$A:$A, Metadata_Country!$B:$B, "Unknown"), IF(OR(_xlpm.r=0, _xlpm.r=""), "Regional Aggregate", _xlpm.r))</f>
        <v>Regional Aggregate</v>
      </c>
      <c r="G1119" s="4" t="str">
        <f>_xlfn.LET(_xlpm.ig, _xlfn.XLOOKUP(Clean_Data[[#This Row],[Country_Code]], Metadata_Country!$A:$A, Metadata_Country!$C:$C, "Unknown"), IF(OR(_xlpm.ig=0, _xlpm.ig=""), "Regional Aggregate", _xlpm.ig))</f>
        <v>Regional Aggregate</v>
      </c>
      <c r="H1119" s="4">
        <f>Clean_Data[[#This Row],[Exports_TIV]] - Clean_Data[[#This Row],[Imports_TIV]]</f>
        <v>8808000000</v>
      </c>
      <c r="I1119" s="4">
        <f>Clean_Data[[#This Row],[Exports_TIV]] + Clean_Data[[#This Row],[Imports_TIV]]</f>
        <v>9936000000</v>
      </c>
    </row>
    <row r="1120" spans="1:9">
      <c r="A1120" s="4" t="s">
        <v>363</v>
      </c>
      <c r="B1120" s="4" t="s">
        <v>364</v>
      </c>
      <c r="C1120" s="5">
        <v>2018</v>
      </c>
      <c r="D1120" s="4">
        <v>71000000</v>
      </c>
      <c r="E1120" s="4">
        <v>520000000</v>
      </c>
      <c r="F1120" s="4" t="str">
        <f>_xlfn.LET(_xlpm.r, _xlfn.XLOOKUP(Clean_Data[[#This Row],[Country_Code]], Metadata_Country!$A:$A, Metadata_Country!$B:$B, "Unknown"), IF(OR(_xlpm.r=0, _xlpm.r=""), "Regional Aggregate", _xlpm.r))</f>
        <v>Europe &amp; Central Asia</v>
      </c>
      <c r="G1120" s="4" t="str">
        <f>_xlfn.LET(_xlpm.ig, _xlfn.XLOOKUP(Clean_Data[[#This Row],[Country_Code]], Metadata_Country!$A:$A, Metadata_Country!$C:$C, "Unknown"), IF(OR(_xlpm.ig=0, _xlpm.ig=""), "Regional Aggregate", _xlpm.ig))</f>
        <v>High income</v>
      </c>
      <c r="H1120" s="4">
        <f>Clean_Data[[#This Row],[Exports_TIV]] - Clean_Data[[#This Row],[Imports_TIV]]</f>
        <v>-449000000</v>
      </c>
      <c r="I1120" s="4">
        <f>Clean_Data[[#This Row],[Exports_TIV]] + Clean_Data[[#This Row],[Imports_TIV]]</f>
        <v>591000000</v>
      </c>
    </row>
    <row r="1121" spans="1:9">
      <c r="A1121" s="4" t="s">
        <v>371</v>
      </c>
      <c r="B1121" s="4" t="s">
        <v>372</v>
      </c>
      <c r="C1121" s="5">
        <v>2018</v>
      </c>
      <c r="D1121" s="4">
        <v>17954000000</v>
      </c>
      <c r="E1121" s="4">
        <v>7130000000</v>
      </c>
      <c r="F1121" s="4" t="str">
        <f>_xlfn.LET(_xlpm.r, _xlfn.XLOOKUP(Clean_Data[[#This Row],[Country_Code]], Metadata_Country!$A:$A, Metadata_Country!$B:$B, "Unknown"), IF(OR(_xlpm.r=0, _xlpm.r=""), "Regional Aggregate", _xlpm.r))</f>
        <v>Regional Aggregate</v>
      </c>
      <c r="G1121" s="4" t="str">
        <f>_xlfn.LET(_xlpm.ig, _xlfn.XLOOKUP(Clean_Data[[#This Row],[Country_Code]], Metadata_Country!$A:$A, Metadata_Country!$C:$C, "Unknown"), IF(OR(_xlpm.ig=0, _xlpm.ig=""), "Regional Aggregate", _xlpm.ig))</f>
        <v>Regional Aggregate</v>
      </c>
      <c r="H1121" s="4">
        <f>Clean_Data[[#This Row],[Exports_TIV]] - Clean_Data[[#This Row],[Imports_TIV]]</f>
        <v>10824000000</v>
      </c>
      <c r="I1121" s="4">
        <f>Clean_Data[[#This Row],[Exports_TIV]] + Clean_Data[[#This Row],[Imports_TIV]]</f>
        <v>25084000000</v>
      </c>
    </row>
    <row r="1122" spans="1:9">
      <c r="A1122" s="4" t="s">
        <v>373</v>
      </c>
      <c r="B1122" s="4" t="s">
        <v>374</v>
      </c>
      <c r="C1122" s="5">
        <v>2018</v>
      </c>
      <c r="D1122" s="4">
        <v>0</v>
      </c>
      <c r="E1122" s="4">
        <v>282000000</v>
      </c>
      <c r="F1122" s="4" t="str">
        <f>_xlfn.LET(_xlpm.r, _xlfn.XLOOKUP(Clean_Data[[#This Row],[Country_Code]], Metadata_Country!$A:$A, Metadata_Country!$B:$B, "Unknown"), IF(OR(_xlpm.r=0, _xlpm.r=""), "Regional Aggregate", _xlpm.r))</f>
        <v>Middle East &amp; North Africa</v>
      </c>
      <c r="G1122" s="4" t="str">
        <f>_xlfn.LET(_xlpm.ig, _xlfn.XLOOKUP(Clean_Data[[#This Row],[Country_Code]], Metadata_Country!$A:$A, Metadata_Country!$C:$C, "Unknown"), IF(OR(_xlpm.ig=0, _xlpm.ig=""), "Regional Aggregate", _xlpm.ig))</f>
        <v>High income</v>
      </c>
      <c r="H1122" s="4">
        <f>Clean_Data[[#This Row],[Exports_TIV]] - Clean_Data[[#This Row],[Imports_TIV]]</f>
        <v>-282000000</v>
      </c>
      <c r="I1122" s="4">
        <f>Clean_Data[[#This Row],[Exports_TIV]] + Clean_Data[[#This Row],[Imports_TIV]]</f>
        <v>282000000</v>
      </c>
    </row>
    <row r="1123" spans="1:9">
      <c r="A1123" s="4" t="s">
        <v>377</v>
      </c>
      <c r="B1123" s="4" t="s">
        <v>378</v>
      </c>
      <c r="C1123" s="5">
        <v>2018</v>
      </c>
      <c r="D1123" s="4">
        <v>3000000</v>
      </c>
      <c r="E1123" s="4">
        <v>893000000</v>
      </c>
      <c r="F1123" s="4" t="str">
        <f>_xlfn.LET(_xlpm.r, _xlfn.XLOOKUP(Clean_Data[[#This Row],[Country_Code]], Metadata_Country!$A:$A, Metadata_Country!$B:$B, "Unknown"), IF(OR(_xlpm.r=0, _xlpm.r=""), "Regional Aggregate", _xlpm.r))</f>
        <v>Middle East &amp; North Africa</v>
      </c>
      <c r="G1123" s="4" t="str">
        <f>_xlfn.LET(_xlpm.ig, _xlfn.XLOOKUP(Clean_Data[[#This Row],[Country_Code]], Metadata_Country!$A:$A, Metadata_Country!$C:$C, "Unknown"), IF(OR(_xlpm.ig=0, _xlpm.ig=""), "Regional Aggregate", _xlpm.ig))</f>
        <v>Lower middle income</v>
      </c>
      <c r="H1123" s="4">
        <f>Clean_Data[[#This Row],[Exports_TIV]] - Clean_Data[[#This Row],[Imports_TIV]]</f>
        <v>-890000000</v>
      </c>
      <c r="I1123" s="4">
        <f>Clean_Data[[#This Row],[Exports_TIV]] + Clean_Data[[#This Row],[Imports_TIV]]</f>
        <v>896000000</v>
      </c>
    </row>
    <row r="1124" spans="1:9">
      <c r="A1124" s="4" t="s">
        <v>387</v>
      </c>
      <c r="B1124" s="4" t="s">
        <v>388</v>
      </c>
      <c r="C1124" s="5">
        <v>2018</v>
      </c>
      <c r="D1124" s="4">
        <v>0</v>
      </c>
      <c r="E1124" s="4">
        <v>8000000</v>
      </c>
      <c r="F1124" s="4" t="str">
        <f>_xlfn.LET(_xlpm.r, _xlfn.XLOOKUP(Clean_Data[[#This Row],[Country_Code]], Metadata_Country!$A:$A, Metadata_Country!$B:$B, "Unknown"), IF(OR(_xlpm.r=0, _xlpm.r=""), "Regional Aggregate", _xlpm.r))</f>
        <v>East Asia &amp; Pacific</v>
      </c>
      <c r="G1124" s="4" t="str">
        <f>_xlfn.LET(_xlpm.ig, _xlfn.XLOOKUP(Clean_Data[[#This Row],[Country_Code]], Metadata_Country!$A:$A, Metadata_Country!$C:$C, "Unknown"), IF(OR(_xlpm.ig=0, _xlpm.ig=""), "Regional Aggregate", _xlpm.ig))</f>
        <v>Lower middle income</v>
      </c>
      <c r="H1124" s="4">
        <f>Clean_Data[[#This Row],[Exports_TIV]] - Clean_Data[[#This Row],[Imports_TIV]]</f>
        <v>-8000000</v>
      </c>
      <c r="I1124" s="4">
        <f>Clean_Data[[#This Row],[Exports_TIV]] + Clean_Data[[#This Row],[Imports_TIV]]</f>
        <v>8000000</v>
      </c>
    </row>
    <row r="1125" spans="1:9">
      <c r="A1125" s="4" t="s">
        <v>381</v>
      </c>
      <c r="B1125" s="4" t="s">
        <v>382</v>
      </c>
      <c r="C1125" s="5">
        <v>2018</v>
      </c>
      <c r="D1125" s="4">
        <v>0</v>
      </c>
      <c r="E1125" s="4">
        <v>103000000</v>
      </c>
      <c r="F1125" s="4" t="str">
        <f>_xlfn.LET(_xlpm.r, _xlfn.XLOOKUP(Clean_Data[[#This Row],[Country_Code]], Metadata_Country!$A:$A, Metadata_Country!$B:$B, "Unknown"), IF(OR(_xlpm.r=0, _xlpm.r=""), "Regional Aggregate", _xlpm.r))</f>
        <v>Latin America &amp; Caribbean</v>
      </c>
      <c r="G1125" s="4" t="str">
        <f>_xlfn.LET(_xlpm.ig, _xlfn.XLOOKUP(Clean_Data[[#This Row],[Country_Code]], Metadata_Country!$A:$A, Metadata_Country!$C:$C, "Unknown"), IF(OR(_xlpm.ig=0, _xlpm.ig=""), "Regional Aggregate", _xlpm.ig))</f>
        <v>Upper middle income</v>
      </c>
      <c r="H1125" s="4">
        <f>Clean_Data[[#This Row],[Exports_TIV]] - Clean_Data[[#This Row],[Imports_TIV]]</f>
        <v>-103000000</v>
      </c>
      <c r="I1125" s="4">
        <f>Clean_Data[[#This Row],[Exports_TIV]] + Clean_Data[[#This Row],[Imports_TIV]]</f>
        <v>103000000</v>
      </c>
    </row>
    <row r="1126" spans="1:9">
      <c r="A1126" s="4" t="s">
        <v>383</v>
      </c>
      <c r="B1126" s="4" t="s">
        <v>384</v>
      </c>
      <c r="C1126" s="5">
        <v>2018</v>
      </c>
      <c r="D1126" s="4">
        <v>0</v>
      </c>
      <c r="E1126" s="4">
        <v>17000000</v>
      </c>
      <c r="F1126" s="4" t="str">
        <f>_xlfn.LET(_xlpm.r, _xlfn.XLOOKUP(Clean_Data[[#This Row],[Country_Code]], Metadata_Country!$A:$A, Metadata_Country!$B:$B, "Unknown"), IF(OR(_xlpm.r=0, _xlpm.r=""), "Regional Aggregate", _xlpm.r))</f>
        <v>East Asia &amp; Pacific</v>
      </c>
      <c r="G1126" s="4" t="str">
        <f>_xlfn.LET(_xlpm.ig, _xlfn.XLOOKUP(Clean_Data[[#This Row],[Country_Code]], Metadata_Country!$A:$A, Metadata_Country!$C:$C, "Unknown"), IF(OR(_xlpm.ig=0, _xlpm.ig=""), "Regional Aggregate", _xlpm.ig))</f>
        <v>Upper middle income</v>
      </c>
      <c r="H1126" s="4">
        <f>Clean_Data[[#This Row],[Exports_TIV]] - Clean_Data[[#This Row],[Imports_TIV]]</f>
        <v>-17000000</v>
      </c>
      <c r="I1126" s="4">
        <f>Clean_Data[[#This Row],[Exports_TIV]] + Clean_Data[[#This Row],[Imports_TIV]]</f>
        <v>17000000</v>
      </c>
    </row>
    <row r="1127" spans="1:9">
      <c r="A1127" s="4" t="s">
        <v>389</v>
      </c>
      <c r="B1127" s="4" t="s">
        <v>390</v>
      </c>
      <c r="C1127" s="5">
        <v>2018</v>
      </c>
      <c r="D1127" s="4">
        <v>11000000</v>
      </c>
      <c r="E1127" s="4">
        <v>50000000</v>
      </c>
      <c r="F1127" s="4" t="str">
        <f>_xlfn.LET(_xlpm.r, _xlfn.XLOOKUP(Clean_Data[[#This Row],[Country_Code]], Metadata_Country!$A:$A, Metadata_Country!$B:$B, "Unknown"), IF(OR(_xlpm.r=0, _xlpm.r=""), "Regional Aggregate", _xlpm.r))</f>
        <v>Europe &amp; Central Asia</v>
      </c>
      <c r="G1127" s="4" t="str">
        <f>_xlfn.LET(_xlpm.ig, _xlfn.XLOOKUP(Clean_Data[[#This Row],[Country_Code]], Metadata_Country!$A:$A, Metadata_Country!$C:$C, "Unknown"), IF(OR(_xlpm.ig=0, _xlpm.ig=""), "Regional Aggregate", _xlpm.ig))</f>
        <v>High income</v>
      </c>
      <c r="H1127" s="4">
        <f>Clean_Data[[#This Row],[Exports_TIV]] - Clean_Data[[#This Row],[Imports_TIV]]</f>
        <v>-39000000</v>
      </c>
      <c r="I1127" s="4">
        <f>Clean_Data[[#This Row],[Exports_TIV]] + Clean_Data[[#This Row],[Imports_TIV]]</f>
        <v>61000000</v>
      </c>
    </row>
    <row r="1128" spans="1:9">
      <c r="A1128" s="4" t="s">
        <v>397</v>
      </c>
      <c r="B1128" s="4" t="s">
        <v>398</v>
      </c>
      <c r="C1128" s="5">
        <v>2018</v>
      </c>
      <c r="D1128" s="4">
        <v>3000000</v>
      </c>
      <c r="E1128" s="4">
        <v>19000000</v>
      </c>
      <c r="F1128" s="4" t="str">
        <f>_xlfn.LET(_xlpm.r, _xlfn.XLOOKUP(Clean_Data[[#This Row],[Country_Code]], Metadata_Country!$A:$A, Metadata_Country!$B:$B, "Unknown"), IF(OR(_xlpm.r=0, _xlpm.r=""), "Regional Aggregate", _xlpm.r))</f>
        <v>Europe &amp; Central Asia</v>
      </c>
      <c r="G1128" s="4" t="str">
        <f>_xlfn.LET(_xlpm.ig, _xlfn.XLOOKUP(Clean_Data[[#This Row],[Country_Code]], Metadata_Country!$A:$A, Metadata_Country!$C:$C, "Unknown"), IF(OR(_xlpm.ig=0, _xlpm.ig=""), "Regional Aggregate", _xlpm.ig))</f>
        <v>High income</v>
      </c>
      <c r="H1128" s="4">
        <f>Clean_Data[[#This Row],[Exports_TIV]] - Clean_Data[[#This Row],[Imports_TIV]]</f>
        <v>-16000000</v>
      </c>
      <c r="I1128" s="4">
        <f>Clean_Data[[#This Row],[Exports_TIV]] + Clean_Data[[#This Row],[Imports_TIV]]</f>
        <v>22000000</v>
      </c>
    </row>
    <row r="1129" spans="1:9">
      <c r="A1129" s="4" t="s">
        <v>405</v>
      </c>
      <c r="B1129" s="4" t="s">
        <v>406</v>
      </c>
      <c r="C1129" s="5">
        <v>2018</v>
      </c>
      <c r="D1129" s="4">
        <v>16942000000</v>
      </c>
      <c r="E1129" s="4">
        <v>6702000000</v>
      </c>
      <c r="F1129" s="4" t="str">
        <f>_xlfn.LET(_xlpm.r, _xlfn.XLOOKUP(Clean_Data[[#This Row],[Country_Code]], Metadata_Country!$A:$A, Metadata_Country!$B:$B, "Unknown"), IF(OR(_xlpm.r=0, _xlpm.r=""), "Regional Aggregate", _xlpm.r))</f>
        <v>Regional Aggregate</v>
      </c>
      <c r="G1129" s="4" t="str">
        <f>_xlfn.LET(_xlpm.ig, _xlfn.XLOOKUP(Clean_Data[[#This Row],[Country_Code]], Metadata_Country!$A:$A, Metadata_Country!$C:$C, "Unknown"), IF(OR(_xlpm.ig=0, _xlpm.ig=""), "Regional Aggregate", _xlpm.ig))</f>
        <v>Regional Aggregate</v>
      </c>
      <c r="H1129" s="4">
        <f>Clean_Data[[#This Row],[Exports_TIV]] - Clean_Data[[#This Row],[Imports_TIV]]</f>
        <v>10240000000</v>
      </c>
      <c r="I1129" s="4">
        <f>Clean_Data[[#This Row],[Exports_TIV]] + Clean_Data[[#This Row],[Imports_TIV]]</f>
        <v>23644000000</v>
      </c>
    </row>
    <row r="1130" spans="1:9">
      <c r="A1130" s="4" t="s">
        <v>391</v>
      </c>
      <c r="B1130" s="4" t="s">
        <v>392</v>
      </c>
      <c r="C1130" s="5">
        <v>2018</v>
      </c>
      <c r="D1130" s="4">
        <v>0</v>
      </c>
      <c r="E1130" s="4">
        <v>1274000000</v>
      </c>
      <c r="F1130" s="4" t="str">
        <f>_xlfn.LET(_xlpm.r, _xlfn.XLOOKUP(Clean_Data[[#This Row],[Country_Code]], Metadata_Country!$A:$A, Metadata_Country!$B:$B, "Unknown"), IF(OR(_xlpm.r=0, _xlpm.r=""), "Regional Aggregate", _xlpm.r))</f>
        <v>Regional Aggregate</v>
      </c>
      <c r="G1130" s="4" t="str">
        <f>_xlfn.LET(_xlpm.ig, _xlfn.XLOOKUP(Clean_Data[[#This Row],[Country_Code]], Metadata_Country!$A:$A, Metadata_Country!$C:$C, "Unknown"), IF(OR(_xlpm.ig=0, _xlpm.ig=""), "Regional Aggregate", _xlpm.ig))</f>
        <v>Regional Aggregate</v>
      </c>
      <c r="H1130" s="4">
        <f>Clean_Data[[#This Row],[Exports_TIV]] - Clean_Data[[#This Row],[Imports_TIV]]</f>
        <v>-1274000000</v>
      </c>
      <c r="I1130" s="4">
        <f>Clean_Data[[#This Row],[Exports_TIV]] + Clean_Data[[#This Row],[Imports_TIV]]</f>
        <v>1274000000</v>
      </c>
    </row>
    <row r="1131" spans="1:9">
      <c r="A1131" s="4" t="s">
        <v>409</v>
      </c>
      <c r="B1131" s="4" t="s">
        <v>410</v>
      </c>
      <c r="C1131" s="5">
        <v>2018</v>
      </c>
      <c r="D1131" s="4">
        <v>3000000</v>
      </c>
      <c r="E1131" s="4">
        <v>613000000</v>
      </c>
      <c r="F1131" s="4" t="str">
        <f>_xlfn.LET(_xlpm.r, _xlfn.XLOOKUP(Clean_Data[[#This Row],[Country_Code]], Metadata_Country!$A:$A, Metadata_Country!$B:$B, "Unknown"), IF(OR(_xlpm.r=0, _xlpm.r=""), "Regional Aggregate", _xlpm.r))</f>
        <v>Middle East &amp; North Africa</v>
      </c>
      <c r="G1131" s="4" t="str">
        <f>_xlfn.LET(_xlpm.ig, _xlfn.XLOOKUP(Clean_Data[[#This Row],[Country_Code]], Metadata_Country!$A:$A, Metadata_Country!$C:$C, "Unknown"), IF(OR(_xlpm.ig=0, _xlpm.ig=""), "Regional Aggregate", _xlpm.ig))</f>
        <v>High income</v>
      </c>
      <c r="H1131" s="4">
        <f>Clean_Data[[#This Row],[Exports_TIV]] - Clean_Data[[#This Row],[Imports_TIV]]</f>
        <v>-610000000</v>
      </c>
      <c r="I1131" s="4">
        <f>Clean_Data[[#This Row],[Exports_TIV]] + Clean_Data[[#This Row],[Imports_TIV]]</f>
        <v>616000000</v>
      </c>
    </row>
    <row r="1132" spans="1:9">
      <c r="A1132" s="4" t="s">
        <v>411</v>
      </c>
      <c r="B1132" s="4" t="s">
        <v>412</v>
      </c>
      <c r="C1132" s="5">
        <v>2018</v>
      </c>
      <c r="D1132" s="4">
        <v>0</v>
      </c>
      <c r="E1132" s="4">
        <v>36000000</v>
      </c>
      <c r="F1132" s="4" t="str">
        <f>_xlfn.LET(_xlpm.r, _xlfn.XLOOKUP(Clean_Data[[#This Row],[Country_Code]], Metadata_Country!$A:$A, Metadata_Country!$B:$B, "Unknown"), IF(OR(_xlpm.r=0, _xlpm.r=""), "Regional Aggregate", _xlpm.r))</f>
        <v>Europe &amp; Central Asia</v>
      </c>
      <c r="G1132" s="4" t="str">
        <f>_xlfn.LET(_xlpm.ig, _xlfn.XLOOKUP(Clean_Data[[#This Row],[Country_Code]], Metadata_Country!$A:$A, Metadata_Country!$C:$C, "Unknown"), IF(OR(_xlpm.ig=0, _xlpm.ig=""), "Regional Aggregate", _xlpm.ig))</f>
        <v>High income</v>
      </c>
      <c r="H1132" s="4">
        <f>Clean_Data[[#This Row],[Exports_TIV]] - Clean_Data[[#This Row],[Imports_TIV]]</f>
        <v>-36000000</v>
      </c>
      <c r="I1132" s="4">
        <f>Clean_Data[[#This Row],[Exports_TIV]] + Clean_Data[[#This Row],[Imports_TIV]]</f>
        <v>36000000</v>
      </c>
    </row>
    <row r="1133" spans="1:9">
      <c r="A1133" s="4" t="s">
        <v>413</v>
      </c>
      <c r="B1133" s="4" t="s">
        <v>414</v>
      </c>
      <c r="C1133" s="5">
        <v>2018</v>
      </c>
      <c r="D1133" s="4">
        <v>7145000000</v>
      </c>
      <c r="E1133" s="4">
        <v>62000000</v>
      </c>
      <c r="F1133" s="4" t="str">
        <f>_xlfn.LET(_xlpm.r, _xlfn.XLOOKUP(Clean_Data[[#This Row],[Country_Code]], Metadata_Country!$A:$A, Metadata_Country!$B:$B, "Unknown"), IF(OR(_xlpm.r=0, _xlpm.r=""), "Regional Aggregate", _xlpm.r))</f>
        <v>Europe &amp; Central Asia</v>
      </c>
      <c r="G1133" s="4" t="str">
        <f>_xlfn.LET(_xlpm.ig, _xlfn.XLOOKUP(Clean_Data[[#This Row],[Country_Code]], Metadata_Country!$A:$A, Metadata_Country!$C:$C, "Unknown"), IF(OR(_xlpm.ig=0, _xlpm.ig=""), "Regional Aggregate", _xlpm.ig))</f>
        <v>High income</v>
      </c>
      <c r="H1133" s="4">
        <f>Clean_Data[[#This Row],[Exports_TIV]] - Clean_Data[[#This Row],[Imports_TIV]]</f>
        <v>7083000000</v>
      </c>
      <c r="I1133" s="4">
        <f>Clean_Data[[#This Row],[Exports_TIV]] + Clean_Data[[#This Row],[Imports_TIV]]</f>
        <v>7207000000</v>
      </c>
    </row>
    <row r="1134" spans="1:9">
      <c r="A1134" s="4" t="s">
        <v>415</v>
      </c>
      <c r="B1134" s="4" t="s">
        <v>416</v>
      </c>
      <c r="C1134" s="5">
        <v>2018</v>
      </c>
      <c r="D1134" s="4">
        <v>0</v>
      </c>
      <c r="E1134" s="4">
        <v>3000000</v>
      </c>
      <c r="F1134" s="4" t="str">
        <f>_xlfn.LET(_xlpm.r, _xlfn.XLOOKUP(Clean_Data[[#This Row],[Country_Code]], Metadata_Country!$A:$A, Metadata_Country!$B:$B, "Unknown"), IF(OR(_xlpm.r=0, _xlpm.r=""), "Regional Aggregate", _xlpm.r))</f>
        <v>Sub-Saharan Africa</v>
      </c>
      <c r="G1134" s="4" t="str">
        <f>_xlfn.LET(_xlpm.ig, _xlfn.XLOOKUP(Clean_Data[[#This Row],[Country_Code]], Metadata_Country!$A:$A, Metadata_Country!$C:$C, "Unknown"), IF(OR(_xlpm.ig=0, _xlpm.ig=""), "Regional Aggregate", _xlpm.ig))</f>
        <v>Low income</v>
      </c>
      <c r="H1134" s="4">
        <f>Clean_Data[[#This Row],[Exports_TIV]] - Clean_Data[[#This Row],[Imports_TIV]]</f>
        <v>-3000000</v>
      </c>
      <c r="I1134" s="4">
        <f>Clean_Data[[#This Row],[Exports_TIV]] + Clean_Data[[#This Row],[Imports_TIV]]</f>
        <v>3000000</v>
      </c>
    </row>
    <row r="1135" spans="1:9">
      <c r="A1135" s="4" t="s">
        <v>419</v>
      </c>
      <c r="B1135" s="4" t="s">
        <v>420</v>
      </c>
      <c r="C1135" s="5">
        <v>2018</v>
      </c>
      <c r="D1135" s="4">
        <v>0</v>
      </c>
      <c r="E1135" s="4">
        <v>2944000000</v>
      </c>
      <c r="F1135" s="4" t="str">
        <f>_xlfn.LET(_xlpm.r, _xlfn.XLOOKUP(Clean_Data[[#This Row],[Country_Code]], Metadata_Country!$A:$A, Metadata_Country!$B:$B, "Unknown"), IF(OR(_xlpm.r=0, _xlpm.r=""), "Regional Aggregate", _xlpm.r))</f>
        <v>Middle East &amp; North Africa</v>
      </c>
      <c r="G1135" s="4" t="str">
        <f>_xlfn.LET(_xlpm.ig, _xlfn.XLOOKUP(Clean_Data[[#This Row],[Country_Code]], Metadata_Country!$A:$A, Metadata_Country!$C:$C, "Unknown"), IF(OR(_xlpm.ig=0, _xlpm.ig=""), "Regional Aggregate", _xlpm.ig))</f>
        <v>High income</v>
      </c>
      <c r="H1135" s="4">
        <f>Clean_Data[[#This Row],[Exports_TIV]] - Clean_Data[[#This Row],[Imports_TIV]]</f>
        <v>-2944000000</v>
      </c>
      <c r="I1135" s="4">
        <f>Clean_Data[[#This Row],[Exports_TIV]] + Clean_Data[[#This Row],[Imports_TIV]]</f>
        <v>2944000000</v>
      </c>
    </row>
    <row r="1136" spans="1:9">
      <c r="A1136" s="4" t="s">
        <v>423</v>
      </c>
      <c r="B1136" s="4" t="s">
        <v>424</v>
      </c>
      <c r="C1136" s="5">
        <v>2018</v>
      </c>
      <c r="D1136" s="4">
        <v>0</v>
      </c>
      <c r="E1136" s="4">
        <v>15000000</v>
      </c>
      <c r="F1136" s="4" t="str">
        <f>_xlfn.LET(_xlpm.r, _xlfn.XLOOKUP(Clean_Data[[#This Row],[Country_Code]], Metadata_Country!$A:$A, Metadata_Country!$B:$B, "Unknown"), IF(OR(_xlpm.r=0, _xlpm.r=""), "Regional Aggregate", _xlpm.r))</f>
        <v>Sub-Saharan Africa</v>
      </c>
      <c r="G1136" s="4" t="str">
        <f>_xlfn.LET(_xlpm.ig, _xlfn.XLOOKUP(Clean_Data[[#This Row],[Country_Code]], Metadata_Country!$A:$A, Metadata_Country!$C:$C, "Unknown"), IF(OR(_xlpm.ig=0, _xlpm.ig=""), "Regional Aggregate", _xlpm.ig))</f>
        <v>Lower middle income</v>
      </c>
      <c r="H1136" s="4">
        <f>Clean_Data[[#This Row],[Exports_TIV]] - Clean_Data[[#This Row],[Imports_TIV]]</f>
        <v>-15000000</v>
      </c>
      <c r="I1136" s="4">
        <f>Clean_Data[[#This Row],[Exports_TIV]] + Clean_Data[[#This Row],[Imports_TIV]]</f>
        <v>15000000</v>
      </c>
    </row>
    <row r="1137" spans="1:9">
      <c r="A1137" s="4" t="s">
        <v>437</v>
      </c>
      <c r="B1137" s="4" t="s">
        <v>438</v>
      </c>
      <c r="C1137" s="5">
        <v>2018</v>
      </c>
      <c r="D1137" s="4">
        <v>29000000</v>
      </c>
      <c r="E1137" s="4">
        <v>4000000</v>
      </c>
      <c r="F1137" s="4" t="str">
        <f>_xlfn.LET(_xlpm.r, _xlfn.XLOOKUP(Clean_Data[[#This Row],[Country_Code]], Metadata_Country!$A:$A, Metadata_Country!$B:$B, "Unknown"), IF(OR(_xlpm.r=0, _xlpm.r=""), "Regional Aggregate", _xlpm.r))</f>
        <v>Europe &amp; Central Asia</v>
      </c>
      <c r="G1137" s="4" t="str">
        <f>_xlfn.LET(_xlpm.ig, _xlfn.XLOOKUP(Clean_Data[[#This Row],[Country_Code]], Metadata_Country!$A:$A, Metadata_Country!$C:$C, "Unknown"), IF(OR(_xlpm.ig=0, _xlpm.ig=""), "Regional Aggregate", _xlpm.ig))</f>
        <v>Upper middle income</v>
      </c>
      <c r="H1137" s="4">
        <f>Clean_Data[[#This Row],[Exports_TIV]] - Clean_Data[[#This Row],[Imports_TIV]]</f>
        <v>25000000</v>
      </c>
      <c r="I1137" s="4">
        <f>Clean_Data[[#This Row],[Exports_TIV]] + Clean_Data[[#This Row],[Imports_TIV]]</f>
        <v>33000000</v>
      </c>
    </row>
    <row r="1138" spans="1:9">
      <c r="A1138" s="4" t="s">
        <v>461</v>
      </c>
      <c r="B1138" s="4" t="s">
        <v>462</v>
      </c>
      <c r="C1138" s="5">
        <v>2018</v>
      </c>
      <c r="D1138" s="4">
        <v>0</v>
      </c>
      <c r="E1138" s="4">
        <v>10000000</v>
      </c>
      <c r="F1138" s="4" t="str">
        <f>_xlfn.LET(_xlpm.r, _xlfn.XLOOKUP(Clean_Data[[#This Row],[Country_Code]], Metadata_Country!$A:$A, Metadata_Country!$B:$B, "Unknown"), IF(OR(_xlpm.r=0, _xlpm.r=""), "Regional Aggregate", _xlpm.r))</f>
        <v>Sub-Saharan Africa</v>
      </c>
      <c r="G1138" s="4" t="str">
        <f>_xlfn.LET(_xlpm.ig, _xlfn.XLOOKUP(Clean_Data[[#This Row],[Country_Code]], Metadata_Country!$A:$A, Metadata_Country!$C:$C, "Unknown"), IF(OR(_xlpm.ig=0, _xlpm.ig=""), "Regional Aggregate", _xlpm.ig))</f>
        <v>High income</v>
      </c>
      <c r="H1138" s="4">
        <f>Clean_Data[[#This Row],[Exports_TIV]] - Clean_Data[[#This Row],[Imports_TIV]]</f>
        <v>-10000000</v>
      </c>
      <c r="I1138" s="4">
        <f>Clean_Data[[#This Row],[Exports_TIV]] + Clean_Data[[#This Row],[Imports_TIV]]</f>
        <v>10000000</v>
      </c>
    </row>
    <row r="1139" spans="1:9">
      <c r="A1139" s="4" t="s">
        <v>425</v>
      </c>
      <c r="B1139" s="4" t="s">
        <v>426</v>
      </c>
      <c r="C1139" s="5">
        <v>2018</v>
      </c>
      <c r="D1139" s="4">
        <v>0</v>
      </c>
      <c r="E1139" s="4">
        <v>562000000</v>
      </c>
      <c r="F1139" s="4" t="str">
        <f>_xlfn.LET(_xlpm.r, _xlfn.XLOOKUP(Clean_Data[[#This Row],[Country_Code]], Metadata_Country!$A:$A, Metadata_Country!$B:$B, "Unknown"), IF(OR(_xlpm.r=0, _xlpm.r=""), "Regional Aggregate", _xlpm.r))</f>
        <v>East Asia &amp; Pacific</v>
      </c>
      <c r="G1139" s="4" t="str">
        <f>_xlfn.LET(_xlpm.ig, _xlfn.XLOOKUP(Clean_Data[[#This Row],[Country_Code]], Metadata_Country!$A:$A, Metadata_Country!$C:$C, "Unknown"), IF(OR(_xlpm.ig=0, _xlpm.ig=""), "Regional Aggregate", _xlpm.ig))</f>
        <v>High income</v>
      </c>
      <c r="H1139" s="4">
        <f>Clean_Data[[#This Row],[Exports_TIV]] - Clean_Data[[#This Row],[Imports_TIV]]</f>
        <v>-562000000</v>
      </c>
      <c r="I1139" s="4">
        <f>Clean_Data[[#This Row],[Exports_TIV]] + Clean_Data[[#This Row],[Imports_TIV]]</f>
        <v>562000000</v>
      </c>
    </row>
    <row r="1140" spans="1:9">
      <c r="A1140" s="4" t="s">
        <v>451</v>
      </c>
      <c r="B1140" s="4" t="s">
        <v>452</v>
      </c>
      <c r="C1140" s="5">
        <v>2018</v>
      </c>
      <c r="D1140" s="4">
        <v>12000000</v>
      </c>
      <c r="E1140" s="4">
        <v>34000000</v>
      </c>
      <c r="F1140" s="4" t="str">
        <f>_xlfn.LET(_xlpm.r, _xlfn.XLOOKUP(Clean_Data[[#This Row],[Country_Code]], Metadata_Country!$A:$A, Metadata_Country!$B:$B, "Unknown"), IF(OR(_xlpm.r=0, _xlpm.r=""), "Regional Aggregate", _xlpm.r))</f>
        <v>Europe &amp; Central Asia</v>
      </c>
      <c r="G1140" s="4" t="str">
        <f>_xlfn.LET(_xlpm.ig, _xlfn.XLOOKUP(Clean_Data[[#This Row],[Country_Code]], Metadata_Country!$A:$A, Metadata_Country!$C:$C, "Unknown"), IF(OR(_xlpm.ig=0, _xlpm.ig=""), "Regional Aggregate", _xlpm.ig))</f>
        <v>High income</v>
      </c>
      <c r="H1140" s="4">
        <f>Clean_Data[[#This Row],[Exports_TIV]] - Clean_Data[[#This Row],[Imports_TIV]]</f>
        <v>-22000000</v>
      </c>
      <c r="I1140" s="4">
        <f>Clean_Data[[#This Row],[Exports_TIV]] + Clean_Data[[#This Row],[Imports_TIV]]</f>
        <v>46000000</v>
      </c>
    </row>
    <row r="1141" spans="1:9">
      <c r="A1141" s="4" t="s">
        <v>535</v>
      </c>
      <c r="B1141" s="4" t="s">
        <v>536</v>
      </c>
      <c r="C1141" s="5">
        <v>2018</v>
      </c>
      <c r="D1141" s="4">
        <v>118000000</v>
      </c>
      <c r="E1141" s="4">
        <v>0</v>
      </c>
      <c r="F1141" s="4" t="str">
        <f>_xlfn.LET(_xlpm.r, _xlfn.XLOOKUP(Clean_Data[[#This Row],[Country_Code]], Metadata_Country!$A:$A, Metadata_Country!$B:$B, "Unknown"), IF(OR(_xlpm.r=0, _xlpm.r=""), "Regional Aggregate", _xlpm.r))</f>
        <v>Sub-Saharan Africa</v>
      </c>
      <c r="G1141" s="4" t="str">
        <f>_xlfn.LET(_xlpm.ig, _xlfn.XLOOKUP(Clean_Data[[#This Row],[Country_Code]], Metadata_Country!$A:$A, Metadata_Country!$C:$C, "Unknown"), IF(OR(_xlpm.ig=0, _xlpm.ig=""), "Regional Aggregate", _xlpm.ig))</f>
        <v>Upper middle income</v>
      </c>
      <c r="H1141" s="4">
        <f>Clean_Data[[#This Row],[Exports_TIV]] - Clean_Data[[#This Row],[Imports_TIV]]</f>
        <v>118000000</v>
      </c>
      <c r="I1141" s="4">
        <f>Clean_Data[[#This Row],[Exports_TIV]] + Clean_Data[[#This Row],[Imports_TIV]]</f>
        <v>118000000</v>
      </c>
    </row>
    <row r="1142" spans="1:9">
      <c r="A1142" s="4" t="s">
        <v>417</v>
      </c>
      <c r="B1142" s="4" t="s">
        <v>418</v>
      </c>
      <c r="C1142" s="5">
        <v>2018</v>
      </c>
      <c r="D1142" s="4">
        <v>47000000</v>
      </c>
      <c r="E1142" s="4">
        <v>2250000000</v>
      </c>
      <c r="F1142" s="4" t="str">
        <f>_xlfn.LET(_xlpm.r, _xlfn.XLOOKUP(Clean_Data[[#This Row],[Country_Code]], Metadata_Country!$A:$A, Metadata_Country!$B:$B, "Unknown"), IF(OR(_xlpm.r=0, _xlpm.r=""), "Regional Aggregate", _xlpm.r))</f>
        <v>Regional Aggregate</v>
      </c>
      <c r="G1142" s="4" t="str">
        <f>_xlfn.LET(_xlpm.ig, _xlfn.XLOOKUP(Clean_Data[[#This Row],[Country_Code]], Metadata_Country!$A:$A, Metadata_Country!$C:$C, "Unknown"), IF(OR(_xlpm.ig=0, _xlpm.ig=""), "Regional Aggregate", _xlpm.ig))</f>
        <v>Regional Aggregate</v>
      </c>
      <c r="H1142" s="4">
        <f>Clean_Data[[#This Row],[Exports_TIV]] - Clean_Data[[#This Row],[Imports_TIV]]</f>
        <v>-2203000000</v>
      </c>
      <c r="I1142" s="4">
        <f>Clean_Data[[#This Row],[Exports_TIV]] + Clean_Data[[#This Row],[Imports_TIV]]</f>
        <v>2297000000</v>
      </c>
    </row>
    <row r="1143" spans="1:9">
      <c r="A1143" s="4" t="s">
        <v>489</v>
      </c>
      <c r="B1143" s="4" t="s">
        <v>490</v>
      </c>
      <c r="C1143" s="5">
        <v>2018</v>
      </c>
      <c r="D1143" s="4">
        <v>47000000</v>
      </c>
      <c r="E1143" s="4">
        <v>2250000000</v>
      </c>
      <c r="F1143" s="4" t="str">
        <f>_xlfn.LET(_xlpm.r, _xlfn.XLOOKUP(Clean_Data[[#This Row],[Country_Code]], Metadata_Country!$A:$A, Metadata_Country!$B:$B, "Unknown"), IF(OR(_xlpm.r=0, _xlpm.r=""), "Regional Aggregate", _xlpm.r))</f>
        <v>Regional Aggregate</v>
      </c>
      <c r="G1143" s="4" t="str">
        <f>_xlfn.LET(_xlpm.ig, _xlfn.XLOOKUP(Clean_Data[[#This Row],[Country_Code]], Metadata_Country!$A:$A, Metadata_Country!$C:$C, "Unknown"), IF(OR(_xlpm.ig=0, _xlpm.ig=""), "Regional Aggregate", _xlpm.ig))</f>
        <v>Regional Aggregate</v>
      </c>
      <c r="H1143" s="4">
        <f>Clean_Data[[#This Row],[Exports_TIV]] - Clean_Data[[#This Row],[Imports_TIV]]</f>
        <v>-2203000000</v>
      </c>
      <c r="I1143" s="4">
        <f>Clean_Data[[#This Row],[Exports_TIV]] + Clean_Data[[#This Row],[Imports_TIV]]</f>
        <v>2297000000</v>
      </c>
    </row>
    <row r="1144" spans="1:9">
      <c r="A1144" s="4" t="s">
        <v>149</v>
      </c>
      <c r="B1144" s="4" t="s">
        <v>150</v>
      </c>
      <c r="C1144" s="5">
        <v>2018</v>
      </c>
      <c r="D1144" s="4">
        <v>705000000</v>
      </c>
      <c r="E1144" s="4">
        <v>149000000</v>
      </c>
      <c r="F1144" s="4" t="str">
        <f>_xlfn.LET(_xlpm.r, _xlfn.XLOOKUP(Clean_Data[[#This Row],[Country_Code]], Metadata_Country!$A:$A, Metadata_Country!$B:$B, "Unknown"), IF(OR(_xlpm.r=0, _xlpm.r=""), "Regional Aggregate", _xlpm.r))</f>
        <v>Europe &amp; Central Asia</v>
      </c>
      <c r="G1144" s="4" t="str">
        <f>_xlfn.LET(_xlpm.ig, _xlfn.XLOOKUP(Clean_Data[[#This Row],[Country_Code]], Metadata_Country!$A:$A, Metadata_Country!$C:$C, "Unknown"), IF(OR(_xlpm.ig=0, _xlpm.ig=""), "Regional Aggregate", _xlpm.ig))</f>
        <v>High income</v>
      </c>
      <c r="H1144" s="4">
        <f>Clean_Data[[#This Row],[Exports_TIV]] - Clean_Data[[#This Row],[Imports_TIV]]</f>
        <v>556000000</v>
      </c>
      <c r="I1144" s="4">
        <f>Clean_Data[[#This Row],[Exports_TIV]] + Clean_Data[[#This Row],[Imports_TIV]]</f>
        <v>854000000</v>
      </c>
    </row>
    <row r="1145" spans="1:9">
      <c r="A1145" s="4" t="s">
        <v>285</v>
      </c>
      <c r="B1145" s="4" t="s">
        <v>286</v>
      </c>
      <c r="C1145" s="5">
        <v>2018</v>
      </c>
      <c r="D1145" s="4">
        <v>0</v>
      </c>
      <c r="E1145" s="4">
        <v>100000000</v>
      </c>
      <c r="F1145" s="4" t="str">
        <f>_xlfn.LET(_xlpm.r, _xlfn.XLOOKUP(Clean_Data[[#This Row],[Country_Code]], Metadata_Country!$A:$A, Metadata_Country!$B:$B, "Unknown"), IF(OR(_xlpm.r=0, _xlpm.r=""), "Regional Aggregate", _xlpm.r))</f>
        <v>South Asia</v>
      </c>
      <c r="G1145" s="4" t="str">
        <f>_xlfn.LET(_xlpm.ig, _xlfn.XLOOKUP(Clean_Data[[#This Row],[Country_Code]], Metadata_Country!$A:$A, Metadata_Country!$C:$C, "Unknown"), IF(OR(_xlpm.ig=0, _xlpm.ig=""), "Regional Aggregate", _xlpm.ig))</f>
        <v>Upper middle income</v>
      </c>
      <c r="H1145" s="4">
        <f>Clean_Data[[#This Row],[Exports_TIV]] - Clean_Data[[#This Row],[Imports_TIV]]</f>
        <v>-100000000</v>
      </c>
      <c r="I1145" s="4">
        <f>Clean_Data[[#This Row],[Exports_TIV]] + Clean_Data[[#This Row],[Imports_TIV]]</f>
        <v>100000000</v>
      </c>
    </row>
    <row r="1146" spans="1:9">
      <c r="A1146" s="4" t="s">
        <v>421</v>
      </c>
      <c r="B1146" s="4" t="s">
        <v>422</v>
      </c>
      <c r="C1146" s="5">
        <v>2018</v>
      </c>
      <c r="D1146" s="4">
        <v>0</v>
      </c>
      <c r="E1146" s="4">
        <v>35000000</v>
      </c>
      <c r="F1146" s="4" t="str">
        <f>_xlfn.LET(_xlpm.r, _xlfn.XLOOKUP(Clean_Data[[#This Row],[Country_Code]], Metadata_Country!$A:$A, Metadata_Country!$B:$B, "Unknown"), IF(OR(_xlpm.r=0, _xlpm.r=""), "Regional Aggregate", _xlpm.r))</f>
        <v>Sub-Saharan Africa</v>
      </c>
      <c r="G1146" s="4" t="str">
        <f>_xlfn.LET(_xlpm.ig, _xlfn.XLOOKUP(Clean_Data[[#This Row],[Country_Code]], Metadata_Country!$A:$A, Metadata_Country!$C:$C, "Unknown"), IF(OR(_xlpm.ig=0, _xlpm.ig=""), "Regional Aggregate", _xlpm.ig))</f>
        <v>Low income</v>
      </c>
      <c r="H1146" s="4">
        <f>Clean_Data[[#This Row],[Exports_TIV]] - Clean_Data[[#This Row],[Imports_TIV]]</f>
        <v>-35000000</v>
      </c>
      <c r="I1146" s="4">
        <f>Clean_Data[[#This Row],[Exports_TIV]] + Clean_Data[[#This Row],[Imports_TIV]]</f>
        <v>35000000</v>
      </c>
    </row>
    <row r="1147" spans="1:9">
      <c r="A1147" s="4" t="s">
        <v>455</v>
      </c>
      <c r="B1147" s="4" t="s">
        <v>456</v>
      </c>
      <c r="C1147" s="5">
        <v>2018</v>
      </c>
      <c r="D1147" s="4">
        <v>135000000</v>
      </c>
      <c r="E1147" s="4">
        <v>7000000</v>
      </c>
      <c r="F1147" s="4" t="str">
        <f>_xlfn.LET(_xlpm.r, _xlfn.XLOOKUP(Clean_Data[[#This Row],[Country_Code]], Metadata_Country!$A:$A, Metadata_Country!$B:$B, "Unknown"), IF(OR(_xlpm.r=0, _xlpm.r=""), "Regional Aggregate", _xlpm.r))</f>
        <v>Europe &amp; Central Asia</v>
      </c>
      <c r="G1147" s="4" t="str">
        <f>_xlfn.LET(_xlpm.ig, _xlfn.XLOOKUP(Clean_Data[[#This Row],[Country_Code]], Metadata_Country!$A:$A, Metadata_Country!$C:$C, "Unknown"), IF(OR(_xlpm.ig=0, _xlpm.ig=""), "Regional Aggregate", _xlpm.ig))</f>
        <v>High income</v>
      </c>
      <c r="H1147" s="4">
        <f>Clean_Data[[#This Row],[Exports_TIV]] - Clean_Data[[#This Row],[Imports_TIV]]</f>
        <v>128000000</v>
      </c>
      <c r="I1147" s="4">
        <f>Clean_Data[[#This Row],[Exports_TIV]] + Clean_Data[[#This Row],[Imports_TIV]]</f>
        <v>142000000</v>
      </c>
    </row>
    <row r="1148" spans="1:9">
      <c r="A1148" s="4" t="s">
        <v>83</v>
      </c>
      <c r="B1148" s="4" t="s">
        <v>84</v>
      </c>
      <c r="C1148" s="5">
        <v>2018</v>
      </c>
      <c r="D1148" s="4">
        <v>244000000</v>
      </c>
      <c r="E1148" s="4">
        <v>0</v>
      </c>
      <c r="F1148" s="4" t="str">
        <f>_xlfn.LET(_xlpm.r, _xlfn.XLOOKUP(Clean_Data[[#This Row],[Country_Code]], Metadata_Country!$A:$A, Metadata_Country!$B:$B, "Unknown"), IF(OR(_xlpm.r=0, _xlpm.r=""), "Regional Aggregate", _xlpm.r))</f>
        <v>Europe &amp; Central Asia</v>
      </c>
      <c r="G1148" s="4" t="str">
        <f>_xlfn.LET(_xlpm.ig, _xlfn.XLOOKUP(Clean_Data[[#This Row],[Country_Code]], Metadata_Country!$A:$A, Metadata_Country!$C:$C, "Unknown"), IF(OR(_xlpm.ig=0, _xlpm.ig=""), "Regional Aggregate", _xlpm.ig))</f>
        <v>High income</v>
      </c>
      <c r="H1148" s="4">
        <f>Clean_Data[[#This Row],[Exports_TIV]] - Clean_Data[[#This Row],[Imports_TIV]]</f>
        <v>244000000</v>
      </c>
      <c r="I1148" s="4">
        <f>Clean_Data[[#This Row],[Exports_TIV]] + Clean_Data[[#This Row],[Imports_TIV]]</f>
        <v>244000000</v>
      </c>
    </row>
    <row r="1149" spans="1:9">
      <c r="A1149" s="4" t="s">
        <v>463</v>
      </c>
      <c r="B1149" s="4" t="s">
        <v>464</v>
      </c>
      <c r="C1149" s="5">
        <v>2018</v>
      </c>
      <c r="D1149" s="4">
        <v>0</v>
      </c>
      <c r="E1149" s="4">
        <v>199000000</v>
      </c>
      <c r="F1149" s="4" t="str">
        <f>_xlfn.LET(_xlpm.r, _xlfn.XLOOKUP(Clean_Data[[#This Row],[Country_Code]], Metadata_Country!$A:$A, Metadata_Country!$B:$B, "Unknown"), IF(OR(_xlpm.r=0, _xlpm.r=""), "Regional Aggregate", _xlpm.r))</f>
        <v>Middle East &amp; North Africa</v>
      </c>
      <c r="G1149" s="4" t="str">
        <f>_xlfn.LET(_xlpm.ig, _xlfn.XLOOKUP(Clean_Data[[#This Row],[Country_Code]], Metadata_Country!$A:$A, Metadata_Country!$C:$C, "Unknown"), IF(OR(_xlpm.ig=0, _xlpm.ig=""), "Regional Aggregate", _xlpm.ig))</f>
        <v>Low income</v>
      </c>
      <c r="H1149" s="4">
        <f>Clean_Data[[#This Row],[Exports_TIV]] - Clean_Data[[#This Row],[Imports_TIV]]</f>
        <v>-199000000</v>
      </c>
      <c r="I1149" s="4">
        <f>Clean_Data[[#This Row],[Exports_TIV]] + Clean_Data[[#This Row],[Imports_TIV]]</f>
        <v>199000000</v>
      </c>
    </row>
    <row r="1150" spans="1:9">
      <c r="A1150" s="4" t="s">
        <v>477</v>
      </c>
      <c r="B1150" s="4" t="s">
        <v>478</v>
      </c>
      <c r="C1150" s="5">
        <v>2018</v>
      </c>
      <c r="D1150" s="4">
        <v>0</v>
      </c>
      <c r="E1150" s="4">
        <v>4000000</v>
      </c>
      <c r="F1150" s="4" t="str">
        <f>_xlfn.LET(_xlpm.r, _xlfn.XLOOKUP(Clean_Data[[#This Row],[Country_Code]], Metadata_Country!$A:$A, Metadata_Country!$B:$B, "Unknown"), IF(OR(_xlpm.r=0, _xlpm.r=""), "Regional Aggregate", _xlpm.r))</f>
        <v>Europe &amp; Central Asia</v>
      </c>
      <c r="G1150" s="4" t="str">
        <f>_xlfn.LET(_xlpm.ig, _xlfn.XLOOKUP(Clean_Data[[#This Row],[Country_Code]], Metadata_Country!$A:$A, Metadata_Country!$C:$C, "Unknown"), IF(OR(_xlpm.ig=0, _xlpm.ig=""), "Regional Aggregate", _xlpm.ig))</f>
        <v>Lower middle income</v>
      </c>
      <c r="H1150" s="4">
        <f>Clean_Data[[#This Row],[Exports_TIV]] - Clean_Data[[#This Row],[Imports_TIV]]</f>
        <v>-4000000</v>
      </c>
      <c r="I1150" s="4">
        <f>Clean_Data[[#This Row],[Exports_TIV]] + Clean_Data[[#This Row],[Imports_TIV]]</f>
        <v>4000000</v>
      </c>
    </row>
    <row r="1151" spans="1:9">
      <c r="A1151" s="4" t="s">
        <v>501</v>
      </c>
      <c r="B1151" s="4" t="s">
        <v>502</v>
      </c>
      <c r="C1151" s="5">
        <v>2018</v>
      </c>
      <c r="D1151" s="4">
        <v>0</v>
      </c>
      <c r="E1151" s="4">
        <v>17000000</v>
      </c>
      <c r="F1151" s="4" t="str">
        <f>_xlfn.LET(_xlpm.r, _xlfn.XLOOKUP(Clean_Data[[#This Row],[Country_Code]], Metadata_Country!$A:$A, Metadata_Country!$B:$B, "Unknown"), IF(OR(_xlpm.r=0, _xlpm.r=""), "Regional Aggregate", _xlpm.r))</f>
        <v>Sub-Saharan Africa</v>
      </c>
      <c r="G1151" s="4" t="str">
        <f>_xlfn.LET(_xlpm.ig, _xlfn.XLOOKUP(Clean_Data[[#This Row],[Country_Code]], Metadata_Country!$A:$A, Metadata_Country!$C:$C, "Unknown"), IF(OR(_xlpm.ig=0, _xlpm.ig=""), "Regional Aggregate", _xlpm.ig))</f>
        <v>Lower middle income</v>
      </c>
      <c r="H1151" s="4">
        <f>Clean_Data[[#This Row],[Exports_TIV]] - Clean_Data[[#This Row],[Imports_TIV]]</f>
        <v>-17000000</v>
      </c>
      <c r="I1151" s="4">
        <f>Clean_Data[[#This Row],[Exports_TIV]] + Clean_Data[[#This Row],[Imports_TIV]]</f>
        <v>17000000</v>
      </c>
    </row>
    <row r="1152" spans="1:9">
      <c r="A1152" s="4" t="s">
        <v>475</v>
      </c>
      <c r="B1152" s="4" t="s">
        <v>476</v>
      </c>
      <c r="C1152" s="5">
        <v>2018</v>
      </c>
      <c r="D1152" s="4">
        <v>0</v>
      </c>
      <c r="E1152" s="4">
        <v>636000000</v>
      </c>
      <c r="F1152" s="4" t="str">
        <f>_xlfn.LET(_xlpm.r, _xlfn.XLOOKUP(Clean_Data[[#This Row],[Country_Code]], Metadata_Country!$A:$A, Metadata_Country!$B:$B, "Unknown"), IF(OR(_xlpm.r=0, _xlpm.r=""), "Regional Aggregate", _xlpm.r))</f>
        <v>East Asia &amp; Pacific</v>
      </c>
      <c r="G1152" s="4" t="str">
        <f>_xlfn.LET(_xlpm.ig, _xlfn.XLOOKUP(Clean_Data[[#This Row],[Country_Code]], Metadata_Country!$A:$A, Metadata_Country!$C:$C, "Unknown"), IF(OR(_xlpm.ig=0, _xlpm.ig=""), "Regional Aggregate", _xlpm.ig))</f>
        <v>Upper middle income</v>
      </c>
      <c r="H1152" s="4">
        <f>Clean_Data[[#This Row],[Exports_TIV]] - Clean_Data[[#This Row],[Imports_TIV]]</f>
        <v>-636000000</v>
      </c>
      <c r="I1152" s="4">
        <f>Clean_Data[[#This Row],[Exports_TIV]] + Clean_Data[[#This Row],[Imports_TIV]]</f>
        <v>636000000</v>
      </c>
    </row>
    <row r="1153" spans="1:9">
      <c r="A1153" s="4" t="s">
        <v>495</v>
      </c>
      <c r="B1153" s="4" t="s">
        <v>496</v>
      </c>
      <c r="C1153" s="5">
        <v>2018</v>
      </c>
      <c r="D1153" s="4">
        <v>0</v>
      </c>
      <c r="E1153" s="4">
        <v>181000000</v>
      </c>
      <c r="F1153" s="4" t="str">
        <f>_xlfn.LET(_xlpm.r, _xlfn.XLOOKUP(Clean_Data[[#This Row],[Country_Code]], Metadata_Country!$A:$A, Metadata_Country!$B:$B, "Unknown"), IF(OR(_xlpm.r=0, _xlpm.r=""), "Regional Aggregate", _xlpm.r))</f>
        <v>Middle East &amp; North Africa</v>
      </c>
      <c r="G1153" s="4" t="str">
        <f>_xlfn.LET(_xlpm.ig, _xlfn.XLOOKUP(Clean_Data[[#This Row],[Country_Code]], Metadata_Country!$A:$A, Metadata_Country!$C:$C, "Unknown"), IF(OR(_xlpm.ig=0, _xlpm.ig=""), "Regional Aggregate", _xlpm.ig))</f>
        <v>Lower middle income</v>
      </c>
      <c r="H1153" s="4">
        <f>Clean_Data[[#This Row],[Exports_TIV]] - Clean_Data[[#This Row],[Imports_TIV]]</f>
        <v>-181000000</v>
      </c>
      <c r="I1153" s="4">
        <f>Clean_Data[[#This Row],[Exports_TIV]] + Clean_Data[[#This Row],[Imports_TIV]]</f>
        <v>181000000</v>
      </c>
    </row>
    <row r="1154" spans="1:9">
      <c r="A1154" s="4" t="s">
        <v>497</v>
      </c>
      <c r="B1154" s="4" t="s">
        <v>498</v>
      </c>
      <c r="C1154" s="5">
        <v>2018</v>
      </c>
      <c r="D1154" s="4">
        <v>257000000</v>
      </c>
      <c r="E1154" s="4">
        <v>476000000</v>
      </c>
      <c r="F1154" s="4" t="str">
        <f>_xlfn.LET(_xlpm.r, _xlfn.XLOOKUP(Clean_Data[[#This Row],[Country_Code]], Metadata_Country!$A:$A, Metadata_Country!$B:$B, "Unknown"), IF(OR(_xlpm.r=0, _xlpm.r=""), "Regional Aggregate", _xlpm.r))</f>
        <v>Europe &amp; Central Asia</v>
      </c>
      <c r="G1154" s="4" t="str">
        <f>_xlfn.LET(_xlpm.ig, _xlfn.XLOOKUP(Clean_Data[[#This Row],[Country_Code]], Metadata_Country!$A:$A, Metadata_Country!$C:$C, "Unknown"), IF(OR(_xlpm.ig=0, _xlpm.ig=""), "Regional Aggregate", _xlpm.ig))</f>
        <v>Upper middle income</v>
      </c>
      <c r="H1154" s="4">
        <f>Clean_Data[[#This Row],[Exports_TIV]] - Clean_Data[[#This Row],[Imports_TIV]]</f>
        <v>-219000000</v>
      </c>
      <c r="I1154" s="4">
        <f>Clean_Data[[#This Row],[Exports_TIV]] + Clean_Data[[#This Row],[Imports_TIV]]</f>
        <v>733000000</v>
      </c>
    </row>
    <row r="1155" spans="1:9">
      <c r="A1155" s="4" t="s">
        <v>503</v>
      </c>
      <c r="B1155" s="4" t="s">
        <v>504</v>
      </c>
      <c r="C1155" s="5">
        <v>2018</v>
      </c>
      <c r="D1155" s="4">
        <v>0</v>
      </c>
      <c r="E1155" s="4">
        <v>10000000</v>
      </c>
      <c r="F1155" s="4" t="str">
        <f>_xlfn.LET(_xlpm.r, _xlfn.XLOOKUP(Clean_Data[[#This Row],[Country_Code]], Metadata_Country!$A:$A, Metadata_Country!$B:$B, "Unknown"), IF(OR(_xlpm.r=0, _xlpm.r=""), "Regional Aggregate", _xlpm.r))</f>
        <v>Sub-Saharan Africa</v>
      </c>
      <c r="G1155" s="4" t="str">
        <f>_xlfn.LET(_xlpm.ig, _xlfn.XLOOKUP(Clean_Data[[#This Row],[Country_Code]], Metadata_Country!$A:$A, Metadata_Country!$C:$C, "Unknown"), IF(OR(_xlpm.ig=0, _xlpm.ig=""), "Regional Aggregate", _xlpm.ig))</f>
        <v>Low income</v>
      </c>
      <c r="H1155" s="4">
        <f>Clean_Data[[#This Row],[Exports_TIV]] - Clean_Data[[#This Row],[Imports_TIV]]</f>
        <v>-10000000</v>
      </c>
      <c r="I1155" s="4">
        <f>Clean_Data[[#This Row],[Exports_TIV]] + Clean_Data[[#This Row],[Imports_TIV]]</f>
        <v>10000000</v>
      </c>
    </row>
    <row r="1156" spans="1:9">
      <c r="A1156" s="4" t="s">
        <v>505</v>
      </c>
      <c r="B1156" s="4" t="s">
        <v>506</v>
      </c>
      <c r="C1156" s="5">
        <v>2018</v>
      </c>
      <c r="D1156" s="4">
        <v>310000000</v>
      </c>
      <c r="E1156" s="4">
        <v>67000000</v>
      </c>
      <c r="F1156" s="4" t="str">
        <f>_xlfn.LET(_xlpm.r, _xlfn.XLOOKUP(Clean_Data[[#This Row],[Country_Code]], Metadata_Country!$A:$A, Metadata_Country!$B:$B, "Unknown"), IF(OR(_xlpm.r=0, _xlpm.r=""), "Regional Aggregate", _xlpm.r))</f>
        <v>Europe &amp; Central Asia</v>
      </c>
      <c r="G1156" s="4" t="str">
        <f>_xlfn.LET(_xlpm.ig, _xlfn.XLOOKUP(Clean_Data[[#This Row],[Country_Code]], Metadata_Country!$A:$A, Metadata_Country!$C:$C, "Unknown"), IF(OR(_xlpm.ig=0, _xlpm.ig=""), "Regional Aggregate", _xlpm.ig))</f>
        <v>Upper middle income</v>
      </c>
      <c r="H1156" s="4">
        <f>Clean_Data[[#This Row],[Exports_TIV]] - Clean_Data[[#This Row],[Imports_TIV]]</f>
        <v>243000000</v>
      </c>
      <c r="I1156" s="4">
        <f>Clean_Data[[#This Row],[Exports_TIV]] + Clean_Data[[#This Row],[Imports_TIV]]</f>
        <v>377000000</v>
      </c>
    </row>
    <row r="1157" spans="1:9">
      <c r="A1157" s="4" t="s">
        <v>25</v>
      </c>
      <c r="B1157" s="4" t="s">
        <v>26</v>
      </c>
      <c r="C1157" s="5">
        <v>2018</v>
      </c>
      <c r="D1157" s="4">
        <v>120000000</v>
      </c>
      <c r="E1157" s="4">
        <v>1165000000</v>
      </c>
      <c r="F1157" s="4" t="str">
        <f>_xlfn.LET(_xlpm.r, _xlfn.XLOOKUP(Clean_Data[[#This Row],[Country_Code]], Metadata_Country!$A:$A, Metadata_Country!$B:$B, "Unknown"), IF(OR(_xlpm.r=0, _xlpm.r=""), "Regional Aggregate", _xlpm.r))</f>
        <v>Middle East &amp; North Africa</v>
      </c>
      <c r="G1157" s="4" t="str">
        <f>_xlfn.LET(_xlpm.ig, _xlfn.XLOOKUP(Clean_Data[[#This Row],[Country_Code]], Metadata_Country!$A:$A, Metadata_Country!$C:$C, "Unknown"), IF(OR(_xlpm.ig=0, _xlpm.ig=""), "Regional Aggregate", _xlpm.ig))</f>
        <v>High income</v>
      </c>
      <c r="H1157" s="4">
        <f>Clean_Data[[#This Row],[Exports_TIV]] - Clean_Data[[#This Row],[Imports_TIV]]</f>
        <v>-1045000000</v>
      </c>
      <c r="I1157" s="4">
        <f>Clean_Data[[#This Row],[Exports_TIV]] + Clean_Data[[#This Row],[Imports_TIV]]</f>
        <v>1285000000</v>
      </c>
    </row>
    <row r="1158" spans="1:9">
      <c r="A1158" s="4" t="s">
        <v>171</v>
      </c>
      <c r="B1158" s="4" t="s">
        <v>172</v>
      </c>
      <c r="C1158" s="5">
        <v>2018</v>
      </c>
      <c r="D1158" s="4">
        <v>682000000</v>
      </c>
      <c r="E1158" s="4">
        <v>463000000</v>
      </c>
      <c r="F1158" s="4" t="str">
        <f>_xlfn.LET(_xlpm.r, _xlfn.XLOOKUP(Clean_Data[[#This Row],[Country_Code]], Metadata_Country!$A:$A, Metadata_Country!$B:$B, "Unknown"), IF(OR(_xlpm.r=0, _xlpm.r=""), "Regional Aggregate", _xlpm.r))</f>
        <v>Europe &amp; Central Asia</v>
      </c>
      <c r="G1158" s="4" t="str">
        <f>_xlfn.LET(_xlpm.ig, _xlfn.XLOOKUP(Clean_Data[[#This Row],[Country_Code]], Metadata_Country!$A:$A, Metadata_Country!$C:$C, "Unknown"), IF(OR(_xlpm.ig=0, _xlpm.ig=""), "Regional Aggregate", _xlpm.ig))</f>
        <v>High income</v>
      </c>
      <c r="H1158" s="4">
        <f>Clean_Data[[#This Row],[Exports_TIV]] - Clean_Data[[#This Row],[Imports_TIV]]</f>
        <v>219000000</v>
      </c>
      <c r="I1158" s="4">
        <f>Clean_Data[[#This Row],[Exports_TIV]] + Clean_Data[[#This Row],[Imports_TIV]]</f>
        <v>1145000000</v>
      </c>
    </row>
    <row r="1159" spans="1:9">
      <c r="A1159" s="4" t="s">
        <v>511</v>
      </c>
      <c r="B1159" s="4" t="s">
        <v>512</v>
      </c>
      <c r="C1159" s="5">
        <v>2018</v>
      </c>
      <c r="D1159" s="4">
        <v>9264000000</v>
      </c>
      <c r="E1159" s="4">
        <v>379000000</v>
      </c>
      <c r="F1159" s="4" t="str">
        <f>_xlfn.LET(_xlpm.r, _xlfn.XLOOKUP(Clean_Data[[#This Row],[Country_Code]], Metadata_Country!$A:$A, Metadata_Country!$B:$B, "Unknown"), IF(OR(_xlpm.r=0, _xlpm.r=""), "Regional Aggregate", _xlpm.r))</f>
        <v>North America</v>
      </c>
      <c r="G1159" s="4" t="str">
        <f>_xlfn.LET(_xlpm.ig, _xlfn.XLOOKUP(Clean_Data[[#This Row],[Country_Code]], Metadata_Country!$A:$A, Metadata_Country!$C:$C, "Unknown"), IF(OR(_xlpm.ig=0, _xlpm.ig=""), "Regional Aggregate", _xlpm.ig))</f>
        <v>High income</v>
      </c>
      <c r="H1159" s="4">
        <f>Clean_Data[[#This Row],[Exports_TIV]] - Clean_Data[[#This Row],[Imports_TIV]]</f>
        <v>8885000000</v>
      </c>
      <c r="I1159" s="4">
        <f>Clean_Data[[#This Row],[Exports_TIV]] + Clean_Data[[#This Row],[Imports_TIV]]</f>
        <v>9643000000</v>
      </c>
    </row>
    <row r="1160" spans="1:9">
      <c r="A1160" s="4" t="s">
        <v>507</v>
      </c>
      <c r="B1160" s="4" t="s">
        <v>508</v>
      </c>
      <c r="C1160" s="5">
        <v>2018</v>
      </c>
      <c r="D1160" s="4">
        <v>2331000000</v>
      </c>
      <c r="E1160" s="4">
        <v>7833000000</v>
      </c>
      <c r="F1160" s="4" t="str">
        <f>_xlfn.LET(_xlpm.r, _xlfn.XLOOKUP(Clean_Data[[#This Row],[Country_Code]], Metadata_Country!$A:$A, Metadata_Country!$B:$B, "Unknown"), IF(OR(_xlpm.r=0, _xlpm.r=""), "Regional Aggregate", _xlpm.r))</f>
        <v>Regional Aggregate</v>
      </c>
      <c r="G1160" s="4" t="str">
        <f>_xlfn.LET(_xlpm.ig, _xlfn.XLOOKUP(Clean_Data[[#This Row],[Country_Code]], Metadata_Country!$A:$A, Metadata_Country!$C:$C, "Unknown"), IF(OR(_xlpm.ig=0, _xlpm.ig=""), "Regional Aggregate", _xlpm.ig))</f>
        <v>Regional Aggregate</v>
      </c>
      <c r="H1160" s="4">
        <f>Clean_Data[[#This Row],[Exports_TIV]] - Clean_Data[[#This Row],[Imports_TIV]]</f>
        <v>-5502000000</v>
      </c>
      <c r="I1160" s="4">
        <f>Clean_Data[[#This Row],[Exports_TIV]] + Clean_Data[[#This Row],[Imports_TIV]]</f>
        <v>10164000000</v>
      </c>
    </row>
    <row r="1161" spans="1:9">
      <c r="A1161" s="4" t="s">
        <v>509</v>
      </c>
      <c r="B1161" s="4" t="s">
        <v>510</v>
      </c>
      <c r="C1161" s="5">
        <v>2018</v>
      </c>
      <c r="D1161" s="4">
        <v>0</v>
      </c>
      <c r="E1161" s="4">
        <v>10000000</v>
      </c>
      <c r="F1161" s="4" t="str">
        <f>_xlfn.LET(_xlpm.r, _xlfn.XLOOKUP(Clean_Data[[#This Row],[Country_Code]], Metadata_Country!$A:$A, Metadata_Country!$B:$B, "Unknown"), IF(OR(_xlpm.r=0, _xlpm.r=""), "Regional Aggregate", _xlpm.r))</f>
        <v>Latin America &amp; Caribbean</v>
      </c>
      <c r="G1161" s="4" t="str">
        <f>_xlfn.LET(_xlpm.ig, _xlfn.XLOOKUP(Clean_Data[[#This Row],[Country_Code]], Metadata_Country!$A:$A, Metadata_Country!$C:$C, "Unknown"), IF(OR(_xlpm.ig=0, _xlpm.ig=""), "Regional Aggregate", _xlpm.ig))</f>
        <v>High income</v>
      </c>
      <c r="H1161" s="4">
        <f>Clean_Data[[#This Row],[Exports_TIV]] - Clean_Data[[#This Row],[Imports_TIV]]</f>
        <v>-10000000</v>
      </c>
      <c r="I1161" s="4">
        <f>Clean_Data[[#This Row],[Exports_TIV]] + Clean_Data[[#This Row],[Imports_TIV]]</f>
        <v>10000000</v>
      </c>
    </row>
    <row r="1162" spans="1:9">
      <c r="A1162" s="4" t="s">
        <v>513</v>
      </c>
      <c r="B1162" s="4" t="s">
        <v>514</v>
      </c>
      <c r="C1162" s="5">
        <v>2018</v>
      </c>
      <c r="D1162" s="4">
        <v>0</v>
      </c>
      <c r="E1162" s="4">
        <v>124000000</v>
      </c>
      <c r="F1162" s="4" t="str">
        <f>_xlfn.LET(_xlpm.r, _xlfn.XLOOKUP(Clean_Data[[#This Row],[Country_Code]], Metadata_Country!$A:$A, Metadata_Country!$B:$B, "Unknown"), IF(OR(_xlpm.r=0, _xlpm.r=""), "Regional Aggregate", _xlpm.r))</f>
        <v>Europe &amp; Central Asia</v>
      </c>
      <c r="G1162" s="4" t="str">
        <f>_xlfn.LET(_xlpm.ig, _xlfn.XLOOKUP(Clean_Data[[#This Row],[Country_Code]], Metadata_Country!$A:$A, Metadata_Country!$C:$C, "Unknown"), IF(OR(_xlpm.ig=0, _xlpm.ig=""), "Regional Aggregate", _xlpm.ig))</f>
        <v>Lower middle income</v>
      </c>
      <c r="H1162" s="4">
        <f>Clean_Data[[#This Row],[Exports_TIV]] - Clean_Data[[#This Row],[Imports_TIV]]</f>
        <v>-124000000</v>
      </c>
      <c r="I1162" s="4">
        <f>Clean_Data[[#This Row],[Exports_TIV]] + Clean_Data[[#This Row],[Imports_TIV]]</f>
        <v>124000000</v>
      </c>
    </row>
    <row r="1163" spans="1:9">
      <c r="A1163" s="4" t="s">
        <v>517</v>
      </c>
      <c r="B1163" s="4" t="s">
        <v>518</v>
      </c>
      <c r="C1163" s="5">
        <v>2018</v>
      </c>
      <c r="D1163" s="4">
        <v>0</v>
      </c>
      <c r="E1163" s="4">
        <v>14000000</v>
      </c>
      <c r="F1163" s="4" t="str">
        <f>_xlfn.LET(_xlpm.r, _xlfn.XLOOKUP(Clean_Data[[#This Row],[Country_Code]], Metadata_Country!$A:$A, Metadata_Country!$B:$B, "Unknown"), IF(OR(_xlpm.r=0, _xlpm.r=""), "Regional Aggregate", _xlpm.r))</f>
        <v>Latin America &amp; Caribbean</v>
      </c>
      <c r="G1163" s="4" t="str">
        <f>_xlfn.LET(_xlpm.ig, _xlfn.XLOOKUP(Clean_Data[[#This Row],[Country_Code]], Metadata_Country!$A:$A, Metadata_Country!$C:$C, "Unknown"), IF(OR(_xlpm.ig=0, _xlpm.ig=""), "Regional Aggregate", _xlpm.ig))</f>
        <v>Lower middle income</v>
      </c>
      <c r="H1163" s="4">
        <f>Clean_Data[[#This Row],[Exports_TIV]] - Clean_Data[[#This Row],[Imports_TIV]]</f>
        <v>-14000000</v>
      </c>
      <c r="I1163" s="4">
        <f>Clean_Data[[#This Row],[Exports_TIV]] + Clean_Data[[#This Row],[Imports_TIV]]</f>
        <v>14000000</v>
      </c>
    </row>
    <row r="1164" spans="1:9">
      <c r="A1164" s="4" t="s">
        <v>523</v>
      </c>
      <c r="B1164" s="4" t="s">
        <v>524</v>
      </c>
      <c r="C1164" s="5">
        <v>2018</v>
      </c>
      <c r="D1164" s="4">
        <v>10000000</v>
      </c>
      <c r="E1164" s="4">
        <v>604000000</v>
      </c>
      <c r="F1164" s="4" t="str">
        <f>_xlfn.LET(_xlpm.r, _xlfn.XLOOKUP(Clean_Data[[#This Row],[Country_Code]], Metadata_Country!$A:$A, Metadata_Country!$B:$B, "Unknown"), IF(OR(_xlpm.r=0, _xlpm.r=""), "Regional Aggregate", _xlpm.r))</f>
        <v>East Asia &amp; Pacific</v>
      </c>
      <c r="G1164" s="4" t="str">
        <f>_xlfn.LET(_xlpm.ig, _xlfn.XLOOKUP(Clean_Data[[#This Row],[Country_Code]], Metadata_Country!$A:$A, Metadata_Country!$C:$C, "Unknown"), IF(OR(_xlpm.ig=0, _xlpm.ig=""), "Regional Aggregate", _xlpm.ig))</f>
        <v>Upper middle income</v>
      </c>
      <c r="H1164" s="4">
        <f>Clean_Data[[#This Row],[Exports_TIV]] - Clean_Data[[#This Row],[Imports_TIV]]</f>
        <v>-594000000</v>
      </c>
      <c r="I1164" s="4">
        <f>Clean_Data[[#This Row],[Exports_TIV]] + Clean_Data[[#This Row],[Imports_TIV]]</f>
        <v>614000000</v>
      </c>
    </row>
    <row r="1165" spans="1:9">
      <c r="A1165" s="4" t="s">
        <v>527</v>
      </c>
      <c r="B1165" s="4" t="s">
        <v>528</v>
      </c>
      <c r="C1165" s="5">
        <v>2018</v>
      </c>
      <c r="D1165" s="4">
        <v>27368000000</v>
      </c>
      <c r="E1165" s="4">
        <v>27302000000</v>
      </c>
      <c r="F1165" s="4" t="str">
        <f>_xlfn.LET(_xlpm.r, _xlfn.XLOOKUP(Clean_Data[[#This Row],[Country_Code]], Metadata_Country!$A:$A, Metadata_Country!$B:$B, "Unknown"), IF(OR(_xlpm.r=0, _xlpm.r=""), "Regional Aggregate", _xlpm.r))</f>
        <v>Regional Aggregate</v>
      </c>
      <c r="G1165" s="4" t="str">
        <f>_xlfn.LET(_xlpm.ig, _xlfn.XLOOKUP(Clean_Data[[#This Row],[Country_Code]], Metadata_Country!$A:$A, Metadata_Country!$C:$C, "Unknown"), IF(OR(_xlpm.ig=0, _xlpm.ig=""), "Regional Aggregate", _xlpm.ig))</f>
        <v>Regional Aggregate</v>
      </c>
      <c r="H1165" s="4">
        <f>Clean_Data[[#This Row],[Exports_TIV]] - Clean_Data[[#This Row],[Imports_TIV]]</f>
        <v>66000000</v>
      </c>
      <c r="I1165" s="4">
        <f>Clean_Data[[#This Row],[Exports_TIV]] + Clean_Data[[#This Row],[Imports_TIV]]</f>
        <v>54670000000</v>
      </c>
    </row>
    <row r="1166" spans="1:9">
      <c r="A1166" s="4" t="s">
        <v>533</v>
      </c>
      <c r="B1166" s="4" t="s">
        <v>534</v>
      </c>
      <c r="C1166" s="5">
        <v>2018</v>
      </c>
      <c r="D1166" s="4">
        <v>0</v>
      </c>
      <c r="E1166" s="4">
        <v>9000000</v>
      </c>
      <c r="F1166" s="4" t="str">
        <f>_xlfn.LET(_xlpm.r, _xlfn.XLOOKUP(Clean_Data[[#This Row],[Country_Code]], Metadata_Country!$A:$A, Metadata_Country!$B:$B, "Unknown"), IF(OR(_xlpm.r=0, _xlpm.r=""), "Regional Aggregate", _xlpm.r))</f>
        <v>Middle East &amp; North Africa</v>
      </c>
      <c r="G1166" s="4" t="str">
        <f>_xlfn.LET(_xlpm.ig, _xlfn.XLOOKUP(Clean_Data[[#This Row],[Country_Code]], Metadata_Country!$A:$A, Metadata_Country!$C:$C, "Unknown"), IF(OR(_xlpm.ig=0, _xlpm.ig=""), "Regional Aggregate", _xlpm.ig))</f>
        <v>Low income</v>
      </c>
      <c r="H1166" s="4">
        <f>Clean_Data[[#This Row],[Exports_TIV]] - Clean_Data[[#This Row],[Imports_TIV]]</f>
        <v>-9000000</v>
      </c>
      <c r="I1166" s="4">
        <f>Clean_Data[[#This Row],[Exports_TIV]] + Clean_Data[[#This Row],[Imports_TIV]]</f>
        <v>9000000</v>
      </c>
    </row>
    <row r="1167" spans="1:9">
      <c r="A1167" s="4" t="s">
        <v>13</v>
      </c>
      <c r="B1167" s="4" t="s">
        <v>14</v>
      </c>
      <c r="C1167" s="5">
        <v>2017</v>
      </c>
      <c r="D1167" s="4">
        <v>0</v>
      </c>
      <c r="E1167" s="4">
        <v>235000000</v>
      </c>
      <c r="F1167" s="4" t="str">
        <f>_xlfn.LET(_xlpm.r, _xlfn.XLOOKUP(Clean_Data[[#This Row],[Country_Code]], Metadata_Country!$A:$A, Metadata_Country!$B:$B, "Unknown"), IF(OR(_xlpm.r=0, _xlpm.r=""), "Regional Aggregate", _xlpm.r))</f>
        <v>Middle East &amp; North Africa</v>
      </c>
      <c r="G1167" s="4" t="str">
        <f>_xlfn.LET(_xlpm.ig, _xlfn.XLOOKUP(Clean_Data[[#This Row],[Country_Code]], Metadata_Country!$A:$A, Metadata_Country!$C:$C, "Unknown"), IF(OR(_xlpm.ig=0, _xlpm.ig=""), "Regional Aggregate", _xlpm.ig))</f>
        <v>Low income</v>
      </c>
      <c r="H1167" s="4">
        <f>Clean_Data[[#This Row],[Exports_TIV]] - Clean_Data[[#This Row],[Imports_TIV]]</f>
        <v>-235000000</v>
      </c>
      <c r="I1167" s="4">
        <f>Clean_Data[[#This Row],[Exports_TIV]] + Clean_Data[[#This Row],[Imports_TIV]]</f>
        <v>235000000</v>
      </c>
    </row>
    <row r="1168" spans="1:9">
      <c r="A1168" s="4" t="s">
        <v>15</v>
      </c>
      <c r="B1168" s="4" t="s">
        <v>16</v>
      </c>
      <c r="C1168" s="5">
        <v>2017</v>
      </c>
      <c r="D1168" s="4">
        <v>0</v>
      </c>
      <c r="E1168" s="4">
        <v>157000000</v>
      </c>
      <c r="F1168" s="4" t="str">
        <f>_xlfn.LET(_xlpm.r, _xlfn.XLOOKUP(Clean_Data[[#This Row],[Country_Code]], Metadata_Country!$A:$A, Metadata_Country!$B:$B, "Unknown"), IF(OR(_xlpm.r=0, _xlpm.r=""), "Regional Aggregate", _xlpm.r))</f>
        <v>Regional Aggregate</v>
      </c>
      <c r="G1168" s="4" t="str">
        <f>_xlfn.LET(_xlpm.ig, _xlfn.XLOOKUP(Clean_Data[[#This Row],[Country_Code]], Metadata_Country!$A:$A, Metadata_Country!$C:$C, "Unknown"), IF(OR(_xlpm.ig=0, _xlpm.ig=""), "Regional Aggregate", _xlpm.ig))</f>
        <v>Regional Aggregate</v>
      </c>
      <c r="H1168" s="4">
        <f>Clean_Data[[#This Row],[Exports_TIV]] - Clean_Data[[#This Row],[Imports_TIV]]</f>
        <v>-157000000</v>
      </c>
      <c r="I1168" s="4">
        <f>Clean_Data[[#This Row],[Exports_TIV]] + Clean_Data[[#This Row],[Imports_TIV]]</f>
        <v>157000000</v>
      </c>
    </row>
    <row r="1169" spans="1:9">
      <c r="A1169" s="4" t="s">
        <v>19</v>
      </c>
      <c r="B1169" s="4" t="s">
        <v>20</v>
      </c>
      <c r="C1169" s="5">
        <v>2017</v>
      </c>
      <c r="D1169" s="4">
        <v>0</v>
      </c>
      <c r="E1169" s="4">
        <v>1000000</v>
      </c>
      <c r="F1169" s="4" t="str">
        <f>_xlfn.LET(_xlpm.r, _xlfn.XLOOKUP(Clean_Data[[#This Row],[Country_Code]], Metadata_Country!$A:$A, Metadata_Country!$B:$B, "Unknown"), IF(OR(_xlpm.r=0, _xlpm.r=""), "Regional Aggregate", _xlpm.r))</f>
        <v>Europe &amp; Central Asia</v>
      </c>
      <c r="G1169" s="4" t="str">
        <f>_xlfn.LET(_xlpm.ig, _xlfn.XLOOKUP(Clean_Data[[#This Row],[Country_Code]], Metadata_Country!$A:$A, Metadata_Country!$C:$C, "Unknown"), IF(OR(_xlpm.ig=0, _xlpm.ig=""), "Regional Aggregate", _xlpm.ig))</f>
        <v>Upper middle income</v>
      </c>
      <c r="H1169" s="4">
        <f>Clean_Data[[#This Row],[Exports_TIV]] - Clean_Data[[#This Row],[Imports_TIV]]</f>
        <v>-1000000</v>
      </c>
      <c r="I1169" s="4">
        <f>Clean_Data[[#This Row],[Exports_TIV]] + Clean_Data[[#This Row],[Imports_TIV]]</f>
        <v>1000000</v>
      </c>
    </row>
    <row r="1170" spans="1:9">
      <c r="A1170" s="4" t="s">
        <v>129</v>
      </c>
      <c r="B1170" s="4" t="s">
        <v>130</v>
      </c>
      <c r="C1170" s="5">
        <v>2017</v>
      </c>
      <c r="D1170" s="4">
        <v>0</v>
      </c>
      <c r="E1170" s="4">
        <v>1158000000</v>
      </c>
      <c r="F1170" s="4" t="str">
        <f>_xlfn.LET(_xlpm.r, _xlfn.XLOOKUP(Clean_Data[[#This Row],[Country_Code]], Metadata_Country!$A:$A, Metadata_Country!$B:$B, "Unknown"), IF(OR(_xlpm.r=0, _xlpm.r=""), "Regional Aggregate", _xlpm.r))</f>
        <v>Middle East &amp; North Africa</v>
      </c>
      <c r="G1170" s="4" t="str">
        <f>_xlfn.LET(_xlpm.ig, _xlfn.XLOOKUP(Clean_Data[[#This Row],[Country_Code]], Metadata_Country!$A:$A, Metadata_Country!$C:$C, "Unknown"), IF(OR(_xlpm.ig=0, _xlpm.ig=""), "Regional Aggregate", _xlpm.ig))</f>
        <v>Upper middle income</v>
      </c>
      <c r="H1170" s="4">
        <f>Clean_Data[[#This Row],[Exports_TIV]] - Clean_Data[[#This Row],[Imports_TIV]]</f>
        <v>-1158000000</v>
      </c>
      <c r="I1170" s="4">
        <f>Clean_Data[[#This Row],[Exports_TIV]] + Clean_Data[[#This Row],[Imports_TIV]]</f>
        <v>1158000000</v>
      </c>
    </row>
    <row r="1171" spans="1:9">
      <c r="A1171" s="4" t="s">
        <v>17</v>
      </c>
      <c r="B1171" s="4" t="s">
        <v>18</v>
      </c>
      <c r="C1171" s="5">
        <v>2017</v>
      </c>
      <c r="D1171" s="4">
        <v>0</v>
      </c>
      <c r="E1171" s="4">
        <v>113000000</v>
      </c>
      <c r="F1171" s="4" t="str">
        <f>_xlfn.LET(_xlpm.r, _xlfn.XLOOKUP(Clean_Data[[#This Row],[Country_Code]], Metadata_Country!$A:$A, Metadata_Country!$B:$B, "Unknown"), IF(OR(_xlpm.r=0, _xlpm.r=""), "Regional Aggregate", _xlpm.r))</f>
        <v>Sub-Saharan Africa</v>
      </c>
      <c r="G1171" s="4" t="str">
        <f>_xlfn.LET(_xlpm.ig, _xlfn.XLOOKUP(Clean_Data[[#This Row],[Country_Code]], Metadata_Country!$A:$A, Metadata_Country!$C:$C, "Unknown"), IF(OR(_xlpm.ig=0, _xlpm.ig=""), "Regional Aggregate", _xlpm.ig))</f>
        <v>Lower middle income</v>
      </c>
      <c r="H1171" s="4">
        <f>Clean_Data[[#This Row],[Exports_TIV]] - Clean_Data[[#This Row],[Imports_TIV]]</f>
        <v>-113000000</v>
      </c>
      <c r="I1171" s="4">
        <f>Clean_Data[[#This Row],[Exports_TIV]] + Clean_Data[[#This Row],[Imports_TIV]]</f>
        <v>113000000</v>
      </c>
    </row>
    <row r="1172" spans="1:9">
      <c r="A1172" s="4" t="s">
        <v>23</v>
      </c>
      <c r="B1172" s="4" t="s">
        <v>24</v>
      </c>
      <c r="C1172" s="5">
        <v>2017</v>
      </c>
      <c r="D1172" s="4">
        <v>0</v>
      </c>
      <c r="E1172" s="4">
        <v>11766000000</v>
      </c>
      <c r="F1172" s="4" t="str">
        <f>_xlfn.LET(_xlpm.r, _xlfn.XLOOKUP(Clean_Data[[#This Row],[Country_Code]], Metadata_Country!$A:$A, Metadata_Country!$B:$B, "Unknown"), IF(OR(_xlpm.r=0, _xlpm.r=""), "Regional Aggregate", _xlpm.r))</f>
        <v>Regional Aggregate</v>
      </c>
      <c r="G1172" s="4" t="str">
        <f>_xlfn.LET(_xlpm.ig, _xlfn.XLOOKUP(Clean_Data[[#This Row],[Country_Code]], Metadata_Country!$A:$A, Metadata_Country!$C:$C, "Unknown"), IF(OR(_xlpm.ig=0, _xlpm.ig=""), "Regional Aggregate", _xlpm.ig))</f>
        <v>Regional Aggregate</v>
      </c>
      <c r="H1172" s="4">
        <f>Clean_Data[[#This Row],[Exports_TIV]] - Clean_Data[[#This Row],[Imports_TIV]]</f>
        <v>-11766000000</v>
      </c>
      <c r="I1172" s="4">
        <f>Clean_Data[[#This Row],[Exports_TIV]] + Clean_Data[[#This Row],[Imports_TIV]]</f>
        <v>11766000000</v>
      </c>
    </row>
    <row r="1173" spans="1:9">
      <c r="A1173" s="4" t="s">
        <v>27</v>
      </c>
      <c r="B1173" s="4" t="s">
        <v>28</v>
      </c>
      <c r="C1173" s="5">
        <v>2017</v>
      </c>
      <c r="D1173" s="4">
        <v>0</v>
      </c>
      <c r="E1173" s="4">
        <v>47000000</v>
      </c>
      <c r="F1173" s="4" t="str">
        <f>_xlfn.LET(_xlpm.r, _xlfn.XLOOKUP(Clean_Data[[#This Row],[Country_Code]], Metadata_Country!$A:$A, Metadata_Country!$B:$B, "Unknown"), IF(OR(_xlpm.r=0, _xlpm.r=""), "Regional Aggregate", _xlpm.r))</f>
        <v>Latin America &amp; Caribbean</v>
      </c>
      <c r="G1173" s="4" t="str">
        <f>_xlfn.LET(_xlpm.ig, _xlfn.XLOOKUP(Clean_Data[[#This Row],[Country_Code]], Metadata_Country!$A:$A, Metadata_Country!$C:$C, "Unknown"), IF(OR(_xlpm.ig=0, _xlpm.ig=""), "Regional Aggregate", _xlpm.ig))</f>
        <v>Upper middle income</v>
      </c>
      <c r="H1173" s="4">
        <f>Clean_Data[[#This Row],[Exports_TIV]] - Clean_Data[[#This Row],[Imports_TIV]]</f>
        <v>-47000000</v>
      </c>
      <c r="I1173" s="4">
        <f>Clean_Data[[#This Row],[Exports_TIV]] + Clean_Data[[#This Row],[Imports_TIV]]</f>
        <v>47000000</v>
      </c>
    </row>
    <row r="1174" spans="1:9">
      <c r="A1174" s="4" t="s">
        <v>29</v>
      </c>
      <c r="B1174" s="4" t="s">
        <v>30</v>
      </c>
      <c r="C1174" s="5">
        <v>2017</v>
      </c>
      <c r="D1174" s="4">
        <v>0</v>
      </c>
      <c r="E1174" s="4">
        <v>22000000</v>
      </c>
      <c r="F1174" s="4" t="str">
        <f>_xlfn.LET(_xlpm.r, _xlfn.XLOOKUP(Clean_Data[[#This Row],[Country_Code]], Metadata_Country!$A:$A, Metadata_Country!$B:$B, "Unknown"), IF(OR(_xlpm.r=0, _xlpm.r=""), "Regional Aggregate", _xlpm.r))</f>
        <v>Europe &amp; Central Asia</v>
      </c>
      <c r="G1174" s="4" t="str">
        <f>_xlfn.LET(_xlpm.ig, _xlfn.XLOOKUP(Clean_Data[[#This Row],[Country_Code]], Metadata_Country!$A:$A, Metadata_Country!$C:$C, "Unknown"), IF(OR(_xlpm.ig=0, _xlpm.ig=""), "Regional Aggregate", _xlpm.ig))</f>
        <v>Upper middle income</v>
      </c>
      <c r="H1174" s="4">
        <f>Clean_Data[[#This Row],[Exports_TIV]] - Clean_Data[[#This Row],[Imports_TIV]]</f>
        <v>-22000000</v>
      </c>
      <c r="I1174" s="4">
        <f>Clean_Data[[#This Row],[Exports_TIV]] + Clean_Data[[#This Row],[Imports_TIV]]</f>
        <v>22000000</v>
      </c>
    </row>
    <row r="1175" spans="1:9">
      <c r="A1175" s="4" t="s">
        <v>35</v>
      </c>
      <c r="B1175" s="4" t="s">
        <v>36</v>
      </c>
      <c r="C1175" s="5">
        <v>2017</v>
      </c>
      <c r="D1175" s="4">
        <v>101000000</v>
      </c>
      <c r="E1175" s="4">
        <v>1664000000</v>
      </c>
      <c r="F1175" s="4" t="str">
        <f>_xlfn.LET(_xlpm.r, _xlfn.XLOOKUP(Clean_Data[[#This Row],[Country_Code]], Metadata_Country!$A:$A, Metadata_Country!$B:$B, "Unknown"), IF(OR(_xlpm.r=0, _xlpm.r=""), "Regional Aggregate", _xlpm.r))</f>
        <v>East Asia &amp; Pacific</v>
      </c>
      <c r="G1175" s="4" t="str">
        <f>_xlfn.LET(_xlpm.ig, _xlfn.XLOOKUP(Clean_Data[[#This Row],[Country_Code]], Metadata_Country!$A:$A, Metadata_Country!$C:$C, "Unknown"), IF(OR(_xlpm.ig=0, _xlpm.ig=""), "Regional Aggregate", _xlpm.ig))</f>
        <v>High income</v>
      </c>
      <c r="H1175" s="4">
        <f>Clean_Data[[#This Row],[Exports_TIV]] - Clean_Data[[#This Row],[Imports_TIV]]</f>
        <v>-1563000000</v>
      </c>
      <c r="I1175" s="4">
        <f>Clean_Data[[#This Row],[Exports_TIV]] + Clean_Data[[#This Row],[Imports_TIV]]</f>
        <v>1765000000</v>
      </c>
    </row>
    <row r="1176" spans="1:9">
      <c r="A1176" s="4" t="s">
        <v>37</v>
      </c>
      <c r="B1176" s="4" t="s">
        <v>38</v>
      </c>
      <c r="C1176" s="5">
        <v>2017</v>
      </c>
      <c r="D1176" s="4">
        <v>22000000</v>
      </c>
      <c r="E1176" s="4">
        <v>10000000</v>
      </c>
      <c r="F1176" s="4" t="str">
        <f>_xlfn.LET(_xlpm.r, _xlfn.XLOOKUP(Clean_Data[[#This Row],[Country_Code]], Metadata_Country!$A:$A, Metadata_Country!$B:$B, "Unknown"), IF(OR(_xlpm.r=0, _xlpm.r=""), "Regional Aggregate", _xlpm.r))</f>
        <v>Europe &amp; Central Asia</v>
      </c>
      <c r="G1176" s="4" t="str">
        <f>_xlfn.LET(_xlpm.ig, _xlfn.XLOOKUP(Clean_Data[[#This Row],[Country_Code]], Metadata_Country!$A:$A, Metadata_Country!$C:$C, "Unknown"), IF(OR(_xlpm.ig=0, _xlpm.ig=""), "Regional Aggregate", _xlpm.ig))</f>
        <v>High income</v>
      </c>
      <c r="H1176" s="4">
        <f>Clean_Data[[#This Row],[Exports_TIV]] - Clean_Data[[#This Row],[Imports_TIV]]</f>
        <v>12000000</v>
      </c>
      <c r="I1176" s="4">
        <f>Clean_Data[[#This Row],[Exports_TIV]] + Clean_Data[[#This Row],[Imports_TIV]]</f>
        <v>32000000</v>
      </c>
    </row>
    <row r="1177" spans="1:9">
      <c r="A1177" s="4" t="s">
        <v>39</v>
      </c>
      <c r="B1177" s="4" t="s">
        <v>40</v>
      </c>
      <c r="C1177" s="5">
        <v>2017</v>
      </c>
      <c r="D1177" s="4">
        <v>0</v>
      </c>
      <c r="E1177" s="4">
        <v>290000000</v>
      </c>
      <c r="F1177" s="4" t="str">
        <f>_xlfn.LET(_xlpm.r, _xlfn.XLOOKUP(Clean_Data[[#This Row],[Country_Code]], Metadata_Country!$A:$A, Metadata_Country!$B:$B, "Unknown"), IF(OR(_xlpm.r=0, _xlpm.r=""), "Regional Aggregate", _xlpm.r))</f>
        <v>Europe &amp; Central Asia</v>
      </c>
      <c r="G1177" s="4" t="str">
        <f>_xlfn.LET(_xlpm.ig, _xlfn.XLOOKUP(Clean_Data[[#This Row],[Country_Code]], Metadata_Country!$A:$A, Metadata_Country!$C:$C, "Unknown"), IF(OR(_xlpm.ig=0, _xlpm.ig=""), "Regional Aggregate", _xlpm.ig))</f>
        <v>Upper middle income</v>
      </c>
      <c r="H1177" s="4">
        <f>Clean_Data[[#This Row],[Exports_TIV]] - Clean_Data[[#This Row],[Imports_TIV]]</f>
        <v>-290000000</v>
      </c>
      <c r="I1177" s="4">
        <f>Clean_Data[[#This Row],[Exports_TIV]] + Clean_Data[[#This Row],[Imports_TIV]]</f>
        <v>290000000</v>
      </c>
    </row>
    <row r="1178" spans="1:9">
      <c r="A1178" s="4" t="s">
        <v>55</v>
      </c>
      <c r="B1178" s="4" t="s">
        <v>56</v>
      </c>
      <c r="C1178" s="5">
        <v>2017</v>
      </c>
      <c r="D1178" s="4">
        <v>0</v>
      </c>
      <c r="E1178" s="4">
        <v>12000000</v>
      </c>
      <c r="F1178" s="4" t="str">
        <f>_xlfn.LET(_xlpm.r, _xlfn.XLOOKUP(Clean_Data[[#This Row],[Country_Code]], Metadata_Country!$A:$A, Metadata_Country!$B:$B, "Unknown"), IF(OR(_xlpm.r=0, _xlpm.r=""), "Regional Aggregate", _xlpm.r))</f>
        <v>Latin America &amp; Caribbean</v>
      </c>
      <c r="G1178" s="4" t="str">
        <f>_xlfn.LET(_xlpm.ig, _xlfn.XLOOKUP(Clean_Data[[#This Row],[Country_Code]], Metadata_Country!$A:$A, Metadata_Country!$C:$C, "Unknown"), IF(OR(_xlpm.ig=0, _xlpm.ig=""), "Regional Aggregate", _xlpm.ig))</f>
        <v>High income</v>
      </c>
      <c r="H1178" s="4">
        <f>Clean_Data[[#This Row],[Exports_TIV]] - Clean_Data[[#This Row],[Imports_TIV]]</f>
        <v>-12000000</v>
      </c>
      <c r="I1178" s="4">
        <f>Clean_Data[[#This Row],[Exports_TIV]] + Clean_Data[[#This Row],[Imports_TIV]]</f>
        <v>12000000</v>
      </c>
    </row>
    <row r="1179" spans="1:9">
      <c r="A1179" s="4" t="s">
        <v>53</v>
      </c>
      <c r="B1179" s="4" t="s">
        <v>54</v>
      </c>
      <c r="C1179" s="5">
        <v>2017</v>
      </c>
      <c r="D1179" s="4">
        <v>0</v>
      </c>
      <c r="E1179" s="4">
        <v>27000000</v>
      </c>
      <c r="F1179" s="4" t="str">
        <f>_xlfn.LET(_xlpm.r, _xlfn.XLOOKUP(Clean_Data[[#This Row],[Country_Code]], Metadata_Country!$A:$A, Metadata_Country!$B:$B, "Unknown"), IF(OR(_xlpm.r=0, _xlpm.r=""), "Regional Aggregate", _xlpm.r))</f>
        <v>Middle East &amp; North Africa</v>
      </c>
      <c r="G1179" s="4" t="str">
        <f>_xlfn.LET(_xlpm.ig, _xlfn.XLOOKUP(Clean_Data[[#This Row],[Country_Code]], Metadata_Country!$A:$A, Metadata_Country!$C:$C, "Unknown"), IF(OR(_xlpm.ig=0, _xlpm.ig=""), "Regional Aggregate", _xlpm.ig))</f>
        <v>High income</v>
      </c>
      <c r="H1179" s="4">
        <f>Clean_Data[[#This Row],[Exports_TIV]] - Clean_Data[[#This Row],[Imports_TIV]]</f>
        <v>-27000000</v>
      </c>
      <c r="I1179" s="4">
        <f>Clean_Data[[#This Row],[Exports_TIV]] + Clean_Data[[#This Row],[Imports_TIV]]</f>
        <v>27000000</v>
      </c>
    </row>
    <row r="1180" spans="1:9">
      <c r="A1180" s="4" t="s">
        <v>49</v>
      </c>
      <c r="B1180" s="4" t="s">
        <v>50</v>
      </c>
      <c r="C1180" s="5">
        <v>2017</v>
      </c>
      <c r="D1180" s="4">
        <v>0</v>
      </c>
      <c r="E1180" s="4">
        <v>334000000</v>
      </c>
      <c r="F1180" s="4" t="str">
        <f>_xlfn.LET(_xlpm.r, _xlfn.XLOOKUP(Clean_Data[[#This Row],[Country_Code]], Metadata_Country!$A:$A, Metadata_Country!$B:$B, "Unknown"), IF(OR(_xlpm.r=0, _xlpm.r=""), "Regional Aggregate", _xlpm.r))</f>
        <v>South Asia</v>
      </c>
      <c r="G1180" s="4" t="str">
        <f>_xlfn.LET(_xlpm.ig, _xlfn.XLOOKUP(Clean_Data[[#This Row],[Country_Code]], Metadata_Country!$A:$A, Metadata_Country!$C:$C, "Unknown"), IF(OR(_xlpm.ig=0, _xlpm.ig=""), "Regional Aggregate", _xlpm.ig))</f>
        <v>Lower middle income</v>
      </c>
      <c r="H1180" s="4">
        <f>Clean_Data[[#This Row],[Exports_TIV]] - Clean_Data[[#This Row],[Imports_TIV]]</f>
        <v>-334000000</v>
      </c>
      <c r="I1180" s="4">
        <f>Clean_Data[[#This Row],[Exports_TIV]] + Clean_Data[[#This Row],[Imports_TIV]]</f>
        <v>334000000</v>
      </c>
    </row>
    <row r="1181" spans="1:9">
      <c r="A1181" s="4" t="s">
        <v>59</v>
      </c>
      <c r="B1181" s="4" t="s">
        <v>60</v>
      </c>
      <c r="C1181" s="5">
        <v>2017</v>
      </c>
      <c r="D1181" s="4">
        <v>52000000</v>
      </c>
      <c r="E1181" s="4">
        <v>158000000</v>
      </c>
      <c r="F1181" s="4" t="str">
        <f>_xlfn.LET(_xlpm.r, _xlfn.XLOOKUP(Clean_Data[[#This Row],[Country_Code]], Metadata_Country!$A:$A, Metadata_Country!$B:$B, "Unknown"), IF(OR(_xlpm.r=0, _xlpm.r=""), "Regional Aggregate", _xlpm.r))</f>
        <v>Europe &amp; Central Asia</v>
      </c>
      <c r="G1181" s="4" t="str">
        <f>_xlfn.LET(_xlpm.ig, _xlfn.XLOOKUP(Clean_Data[[#This Row],[Country_Code]], Metadata_Country!$A:$A, Metadata_Country!$C:$C, "Unknown"), IF(OR(_xlpm.ig=0, _xlpm.ig=""), "Regional Aggregate", _xlpm.ig))</f>
        <v>Upper middle income</v>
      </c>
      <c r="H1181" s="4">
        <f>Clean_Data[[#This Row],[Exports_TIV]] - Clean_Data[[#This Row],[Imports_TIV]]</f>
        <v>-106000000</v>
      </c>
      <c r="I1181" s="4">
        <f>Clean_Data[[#This Row],[Exports_TIV]] + Clean_Data[[#This Row],[Imports_TIV]]</f>
        <v>210000000</v>
      </c>
    </row>
    <row r="1182" spans="1:9">
      <c r="A1182" s="4" t="s">
        <v>43</v>
      </c>
      <c r="B1182" s="4" t="s">
        <v>44</v>
      </c>
      <c r="C1182" s="5">
        <v>2017</v>
      </c>
      <c r="D1182" s="4">
        <v>17000000</v>
      </c>
      <c r="E1182" s="4">
        <v>7000000</v>
      </c>
      <c r="F1182" s="4" t="str">
        <f>_xlfn.LET(_xlpm.r, _xlfn.XLOOKUP(Clean_Data[[#This Row],[Country_Code]], Metadata_Country!$A:$A, Metadata_Country!$B:$B, "Unknown"), IF(OR(_xlpm.r=0, _xlpm.r=""), "Regional Aggregate", _xlpm.r))</f>
        <v>Europe &amp; Central Asia</v>
      </c>
      <c r="G1182" s="4" t="str">
        <f>_xlfn.LET(_xlpm.ig, _xlfn.XLOOKUP(Clean_Data[[#This Row],[Country_Code]], Metadata_Country!$A:$A, Metadata_Country!$C:$C, "Unknown"), IF(OR(_xlpm.ig=0, _xlpm.ig=""), "Regional Aggregate", _xlpm.ig))</f>
        <v>High income</v>
      </c>
      <c r="H1182" s="4">
        <f>Clean_Data[[#This Row],[Exports_TIV]] - Clean_Data[[#This Row],[Imports_TIV]]</f>
        <v>10000000</v>
      </c>
      <c r="I1182" s="4">
        <f>Clean_Data[[#This Row],[Exports_TIV]] + Clean_Data[[#This Row],[Imports_TIV]]</f>
        <v>24000000</v>
      </c>
    </row>
    <row r="1183" spans="1:9">
      <c r="A1183" s="4" t="s">
        <v>65</v>
      </c>
      <c r="B1183" s="4" t="s">
        <v>66</v>
      </c>
      <c r="C1183" s="5">
        <v>2017</v>
      </c>
      <c r="D1183" s="4">
        <v>0</v>
      </c>
      <c r="E1183" s="4">
        <v>7000000</v>
      </c>
      <c r="F1183" s="4" t="str">
        <f>_xlfn.LET(_xlpm.r, _xlfn.XLOOKUP(Clean_Data[[#This Row],[Country_Code]], Metadata_Country!$A:$A, Metadata_Country!$B:$B, "Unknown"), IF(OR(_xlpm.r=0, _xlpm.r=""), "Regional Aggregate", _xlpm.r))</f>
        <v>Latin America &amp; Caribbean</v>
      </c>
      <c r="G1183" s="4" t="str">
        <f>_xlfn.LET(_xlpm.ig, _xlfn.XLOOKUP(Clean_Data[[#This Row],[Country_Code]], Metadata_Country!$A:$A, Metadata_Country!$C:$C, "Unknown"), IF(OR(_xlpm.ig=0, _xlpm.ig=""), "Regional Aggregate", _xlpm.ig))</f>
        <v>Lower middle income</v>
      </c>
      <c r="H1183" s="4">
        <f>Clean_Data[[#This Row],[Exports_TIV]] - Clean_Data[[#This Row],[Imports_TIV]]</f>
        <v>-7000000</v>
      </c>
      <c r="I1183" s="4">
        <f>Clean_Data[[#This Row],[Exports_TIV]] + Clean_Data[[#This Row],[Imports_TIV]]</f>
        <v>7000000</v>
      </c>
    </row>
    <row r="1184" spans="1:9">
      <c r="A1184" s="4" t="s">
        <v>57</v>
      </c>
      <c r="B1184" s="4" t="s">
        <v>58</v>
      </c>
      <c r="C1184" s="5">
        <v>2017</v>
      </c>
      <c r="D1184" s="4">
        <v>0</v>
      </c>
      <c r="E1184" s="4">
        <v>0</v>
      </c>
      <c r="F1184" s="4" t="str">
        <f>_xlfn.LET(_xlpm.r, _xlfn.XLOOKUP(Clean_Data[[#This Row],[Country_Code]], Metadata_Country!$A:$A, Metadata_Country!$B:$B, "Unknown"), IF(OR(_xlpm.r=0, _xlpm.r=""), "Regional Aggregate", _xlpm.r))</f>
        <v>Europe &amp; Central Asia</v>
      </c>
      <c r="G1184" s="4" t="str">
        <f>_xlfn.LET(_xlpm.ig, _xlfn.XLOOKUP(Clean_Data[[#This Row],[Country_Code]], Metadata_Country!$A:$A, Metadata_Country!$C:$C, "Unknown"), IF(OR(_xlpm.ig=0, _xlpm.ig=""), "Regional Aggregate", _xlpm.ig))</f>
        <v>Upper middle income</v>
      </c>
      <c r="H1184" s="4">
        <f>Clean_Data[[#This Row],[Exports_TIV]] - Clean_Data[[#This Row],[Imports_TIV]]</f>
        <v>0</v>
      </c>
      <c r="I1184" s="4">
        <f>Clean_Data[[#This Row],[Exports_TIV]] + Clean_Data[[#This Row],[Imports_TIV]]</f>
        <v>0</v>
      </c>
    </row>
    <row r="1185" spans="1:9">
      <c r="A1185" s="4" t="s">
        <v>67</v>
      </c>
      <c r="B1185" s="4" t="s">
        <v>68</v>
      </c>
      <c r="C1185" s="5">
        <v>2017</v>
      </c>
      <c r="D1185" s="4">
        <v>36000000</v>
      </c>
      <c r="E1185" s="4">
        <v>96000000</v>
      </c>
      <c r="F1185" s="4" t="str">
        <f>_xlfn.LET(_xlpm.r, _xlfn.XLOOKUP(Clean_Data[[#This Row],[Country_Code]], Metadata_Country!$A:$A, Metadata_Country!$B:$B, "Unknown"), IF(OR(_xlpm.r=0, _xlpm.r=""), "Regional Aggregate", _xlpm.r))</f>
        <v>Latin America &amp; Caribbean</v>
      </c>
      <c r="G1185" s="4" t="str">
        <f>_xlfn.LET(_xlpm.ig, _xlfn.XLOOKUP(Clean_Data[[#This Row],[Country_Code]], Metadata_Country!$A:$A, Metadata_Country!$C:$C, "Unknown"), IF(OR(_xlpm.ig=0, _xlpm.ig=""), "Regional Aggregate", _xlpm.ig))</f>
        <v>Upper middle income</v>
      </c>
      <c r="H1185" s="4">
        <f>Clean_Data[[#This Row],[Exports_TIV]] - Clean_Data[[#This Row],[Imports_TIV]]</f>
        <v>-60000000</v>
      </c>
      <c r="I1185" s="4">
        <f>Clean_Data[[#This Row],[Exports_TIV]] + Clean_Data[[#This Row],[Imports_TIV]]</f>
        <v>132000000</v>
      </c>
    </row>
    <row r="1186" spans="1:9">
      <c r="A1186" s="4" t="s">
        <v>51</v>
      </c>
      <c r="B1186" s="4" t="s">
        <v>52</v>
      </c>
      <c r="C1186" s="5">
        <v>2017</v>
      </c>
      <c r="D1186" s="4">
        <v>33000000</v>
      </c>
      <c r="E1186" s="4">
        <v>0</v>
      </c>
      <c r="F1186" s="4" t="str">
        <f>_xlfn.LET(_xlpm.r, _xlfn.XLOOKUP(Clean_Data[[#This Row],[Country_Code]], Metadata_Country!$A:$A, Metadata_Country!$B:$B, "Unknown"), IF(OR(_xlpm.r=0, _xlpm.r=""), "Regional Aggregate", _xlpm.r))</f>
        <v>Europe &amp; Central Asia</v>
      </c>
      <c r="G1186" s="4" t="str">
        <f>_xlfn.LET(_xlpm.ig, _xlfn.XLOOKUP(Clean_Data[[#This Row],[Country_Code]], Metadata_Country!$A:$A, Metadata_Country!$C:$C, "Unknown"), IF(OR(_xlpm.ig=0, _xlpm.ig=""), "Regional Aggregate", _xlpm.ig))</f>
        <v>High income</v>
      </c>
      <c r="H1186" s="4">
        <f>Clean_Data[[#This Row],[Exports_TIV]] - Clean_Data[[#This Row],[Imports_TIV]]</f>
        <v>33000000</v>
      </c>
      <c r="I1186" s="4">
        <f>Clean_Data[[#This Row],[Exports_TIV]] + Clean_Data[[#This Row],[Imports_TIV]]</f>
        <v>33000000</v>
      </c>
    </row>
    <row r="1187" spans="1:9">
      <c r="A1187" s="4" t="s">
        <v>47</v>
      </c>
      <c r="B1187" s="4" t="s">
        <v>48</v>
      </c>
      <c r="C1187" s="5">
        <v>2017</v>
      </c>
      <c r="D1187" s="4">
        <v>0</v>
      </c>
      <c r="E1187" s="4">
        <v>2000000</v>
      </c>
      <c r="F1187" s="4" t="str">
        <f>_xlfn.LET(_xlpm.r, _xlfn.XLOOKUP(Clean_Data[[#This Row],[Country_Code]], Metadata_Country!$A:$A, Metadata_Country!$B:$B, "Unknown"), IF(OR(_xlpm.r=0, _xlpm.r=""), "Regional Aggregate", _xlpm.r))</f>
        <v>Sub-Saharan Africa</v>
      </c>
      <c r="G1187" s="4" t="str">
        <f>_xlfn.LET(_xlpm.ig, _xlfn.XLOOKUP(Clean_Data[[#This Row],[Country_Code]], Metadata_Country!$A:$A, Metadata_Country!$C:$C, "Unknown"), IF(OR(_xlpm.ig=0, _xlpm.ig=""), "Regional Aggregate", _xlpm.ig))</f>
        <v>Low income</v>
      </c>
      <c r="H1187" s="4">
        <f>Clean_Data[[#This Row],[Exports_TIV]] - Clean_Data[[#This Row],[Imports_TIV]]</f>
        <v>-2000000</v>
      </c>
      <c r="I1187" s="4">
        <f>Clean_Data[[#This Row],[Exports_TIV]] + Clean_Data[[#This Row],[Imports_TIV]]</f>
        <v>2000000</v>
      </c>
    </row>
    <row r="1188" spans="1:9">
      <c r="A1188" s="4" t="s">
        <v>93</v>
      </c>
      <c r="B1188" s="4" t="s">
        <v>94</v>
      </c>
      <c r="C1188" s="5">
        <v>2017</v>
      </c>
      <c r="D1188" s="4">
        <v>0</v>
      </c>
      <c r="E1188" s="4">
        <v>8000000</v>
      </c>
      <c r="F1188" s="4" t="str">
        <f>_xlfn.LET(_xlpm.r, _xlfn.XLOOKUP(Clean_Data[[#This Row],[Country_Code]], Metadata_Country!$A:$A, Metadata_Country!$B:$B, "Unknown"), IF(OR(_xlpm.r=0, _xlpm.r=""), "Regional Aggregate", _xlpm.r))</f>
        <v>Sub-Saharan Africa</v>
      </c>
      <c r="G1188" s="4" t="str">
        <f>_xlfn.LET(_xlpm.ig, _xlfn.XLOOKUP(Clean_Data[[#This Row],[Country_Code]], Metadata_Country!$A:$A, Metadata_Country!$C:$C, "Unknown"), IF(OR(_xlpm.ig=0, _xlpm.ig=""), "Regional Aggregate", _xlpm.ig))</f>
        <v>Lower middle income</v>
      </c>
      <c r="H1188" s="4">
        <f>Clean_Data[[#This Row],[Exports_TIV]] - Clean_Data[[#This Row],[Imports_TIV]]</f>
        <v>-8000000</v>
      </c>
      <c r="I1188" s="4">
        <f>Clean_Data[[#This Row],[Exports_TIV]] + Clean_Data[[#This Row],[Imports_TIV]]</f>
        <v>8000000</v>
      </c>
    </row>
    <row r="1189" spans="1:9">
      <c r="A1189" s="4" t="s">
        <v>79</v>
      </c>
      <c r="B1189" s="4" t="s">
        <v>80</v>
      </c>
      <c r="C1189" s="5">
        <v>2017</v>
      </c>
      <c r="D1189" s="4">
        <v>63000000</v>
      </c>
      <c r="E1189" s="4">
        <v>354000000</v>
      </c>
      <c r="F1189" s="4" t="str">
        <f>_xlfn.LET(_xlpm.r, _xlfn.XLOOKUP(Clean_Data[[#This Row],[Country_Code]], Metadata_Country!$A:$A, Metadata_Country!$B:$B, "Unknown"), IF(OR(_xlpm.r=0, _xlpm.r=""), "Regional Aggregate", _xlpm.r))</f>
        <v>North America</v>
      </c>
      <c r="G1189" s="4" t="str">
        <f>_xlfn.LET(_xlpm.ig, _xlfn.XLOOKUP(Clean_Data[[#This Row],[Country_Code]], Metadata_Country!$A:$A, Metadata_Country!$C:$C, "Unknown"), IF(OR(_xlpm.ig=0, _xlpm.ig=""), "Regional Aggregate", _xlpm.ig))</f>
        <v>High income</v>
      </c>
      <c r="H1189" s="4">
        <f>Clean_Data[[#This Row],[Exports_TIV]] - Clean_Data[[#This Row],[Imports_TIV]]</f>
        <v>-291000000</v>
      </c>
      <c r="I1189" s="4">
        <f>Clean_Data[[#This Row],[Exports_TIV]] + Clean_Data[[#This Row],[Imports_TIV]]</f>
        <v>417000000</v>
      </c>
    </row>
    <row r="1190" spans="1:9">
      <c r="A1190" s="4" t="s">
        <v>81</v>
      </c>
      <c r="B1190" s="4" t="s">
        <v>82</v>
      </c>
      <c r="C1190" s="5">
        <v>2017</v>
      </c>
      <c r="D1190" s="4">
        <v>0</v>
      </c>
      <c r="E1190" s="4">
        <v>352000000</v>
      </c>
      <c r="F1190" s="4" t="str">
        <f>_xlfn.LET(_xlpm.r, _xlfn.XLOOKUP(Clean_Data[[#This Row],[Country_Code]], Metadata_Country!$A:$A, Metadata_Country!$B:$B, "Unknown"), IF(OR(_xlpm.r=0, _xlpm.r=""), "Regional Aggregate", _xlpm.r))</f>
        <v>Regional Aggregate</v>
      </c>
      <c r="G1190" s="4" t="str">
        <f>_xlfn.LET(_xlpm.ig, _xlfn.XLOOKUP(Clean_Data[[#This Row],[Country_Code]], Metadata_Country!$A:$A, Metadata_Country!$C:$C, "Unknown"), IF(OR(_xlpm.ig=0, _xlpm.ig=""), "Regional Aggregate", _xlpm.ig))</f>
        <v>Regional Aggregate</v>
      </c>
      <c r="H1190" s="4">
        <f>Clean_Data[[#This Row],[Exports_TIV]] - Clean_Data[[#This Row],[Imports_TIV]]</f>
        <v>-352000000</v>
      </c>
      <c r="I1190" s="4">
        <f>Clean_Data[[#This Row],[Exports_TIV]] + Clean_Data[[#This Row],[Imports_TIV]]</f>
        <v>352000000</v>
      </c>
    </row>
    <row r="1191" spans="1:9">
      <c r="A1191" s="4" t="s">
        <v>467</v>
      </c>
      <c r="B1191" s="4" t="s">
        <v>468</v>
      </c>
      <c r="C1191" s="5">
        <v>2017</v>
      </c>
      <c r="D1191" s="4">
        <v>0</v>
      </c>
      <c r="E1191" s="4">
        <v>6000000</v>
      </c>
      <c r="F1191" s="4" t="str">
        <f>_xlfn.LET(_xlpm.r, _xlfn.XLOOKUP(Clean_Data[[#This Row],[Country_Code]], Metadata_Country!$A:$A, Metadata_Country!$B:$B, "Unknown"), IF(OR(_xlpm.r=0, _xlpm.r=""), "Regional Aggregate", _xlpm.r))</f>
        <v>Sub-Saharan Africa</v>
      </c>
      <c r="G1191" s="4" t="str">
        <f>_xlfn.LET(_xlpm.ig, _xlfn.XLOOKUP(Clean_Data[[#This Row],[Country_Code]], Metadata_Country!$A:$A, Metadata_Country!$C:$C, "Unknown"), IF(OR(_xlpm.ig=0, _xlpm.ig=""), "Regional Aggregate", _xlpm.ig))</f>
        <v>Low income</v>
      </c>
      <c r="H1191" s="4">
        <f>Clean_Data[[#This Row],[Exports_TIV]] - Clean_Data[[#This Row],[Imports_TIV]]</f>
        <v>-6000000</v>
      </c>
      <c r="I1191" s="4">
        <f>Clean_Data[[#This Row],[Exports_TIV]] + Clean_Data[[#This Row],[Imports_TIV]]</f>
        <v>6000000</v>
      </c>
    </row>
    <row r="1192" spans="1:9">
      <c r="A1192" s="4" t="s">
        <v>87</v>
      </c>
      <c r="B1192" s="4" t="s">
        <v>88</v>
      </c>
      <c r="C1192" s="5">
        <v>2017</v>
      </c>
      <c r="D1192" s="4">
        <v>0</v>
      </c>
      <c r="E1192" s="4">
        <v>49000000</v>
      </c>
      <c r="F1192" s="4" t="str">
        <f>_xlfn.LET(_xlpm.r, _xlfn.XLOOKUP(Clean_Data[[#This Row],[Country_Code]], Metadata_Country!$A:$A, Metadata_Country!$B:$B, "Unknown"), IF(OR(_xlpm.r=0, _xlpm.r=""), "Regional Aggregate", _xlpm.r))</f>
        <v>Latin America &amp; Caribbean</v>
      </c>
      <c r="G1192" s="4" t="str">
        <f>_xlfn.LET(_xlpm.ig, _xlfn.XLOOKUP(Clean_Data[[#This Row],[Country_Code]], Metadata_Country!$A:$A, Metadata_Country!$C:$C, "Unknown"), IF(OR(_xlpm.ig=0, _xlpm.ig=""), "Regional Aggregate", _xlpm.ig))</f>
        <v>High income</v>
      </c>
      <c r="H1192" s="4">
        <f>Clean_Data[[#This Row],[Exports_TIV]] - Clean_Data[[#This Row],[Imports_TIV]]</f>
        <v>-49000000</v>
      </c>
      <c r="I1192" s="4">
        <f>Clean_Data[[#This Row],[Exports_TIV]] + Clean_Data[[#This Row],[Imports_TIV]]</f>
        <v>49000000</v>
      </c>
    </row>
    <row r="1193" spans="1:9">
      <c r="A1193" s="4" t="s">
        <v>89</v>
      </c>
      <c r="B1193" s="4" t="s">
        <v>90</v>
      </c>
      <c r="C1193" s="5">
        <v>2017</v>
      </c>
      <c r="D1193" s="4">
        <v>1643000000</v>
      </c>
      <c r="E1193" s="4">
        <v>1546000000</v>
      </c>
      <c r="F1193" s="4" t="str">
        <f>_xlfn.LET(_xlpm.r, _xlfn.XLOOKUP(Clean_Data[[#This Row],[Country_Code]], Metadata_Country!$A:$A, Metadata_Country!$B:$B, "Unknown"), IF(OR(_xlpm.r=0, _xlpm.r=""), "Regional Aggregate", _xlpm.r))</f>
        <v>East Asia &amp; Pacific</v>
      </c>
      <c r="G1193" s="4" t="str">
        <f>_xlfn.LET(_xlpm.ig, _xlfn.XLOOKUP(Clean_Data[[#This Row],[Country_Code]], Metadata_Country!$A:$A, Metadata_Country!$C:$C, "Unknown"), IF(OR(_xlpm.ig=0, _xlpm.ig=""), "Regional Aggregate", _xlpm.ig))</f>
        <v>Upper middle income</v>
      </c>
      <c r="H1193" s="4">
        <f>Clean_Data[[#This Row],[Exports_TIV]] - Clean_Data[[#This Row],[Imports_TIV]]</f>
        <v>97000000</v>
      </c>
      <c r="I1193" s="4">
        <f>Clean_Data[[#This Row],[Exports_TIV]] + Clean_Data[[#This Row],[Imports_TIV]]</f>
        <v>3189000000</v>
      </c>
    </row>
    <row r="1194" spans="1:9">
      <c r="A1194" s="4" t="s">
        <v>99</v>
      </c>
      <c r="B1194" s="4" t="s">
        <v>100</v>
      </c>
      <c r="C1194" s="5">
        <v>2017</v>
      </c>
      <c r="D1194" s="4">
        <v>10000000</v>
      </c>
      <c r="E1194" s="4">
        <v>91000000</v>
      </c>
      <c r="F1194" s="4" t="str">
        <f>_xlfn.LET(_xlpm.r, _xlfn.XLOOKUP(Clean_Data[[#This Row],[Country_Code]], Metadata_Country!$A:$A, Metadata_Country!$B:$B, "Unknown"), IF(OR(_xlpm.r=0, _xlpm.r=""), "Regional Aggregate", _xlpm.r))</f>
        <v>Latin America &amp; Caribbean</v>
      </c>
      <c r="G1194" s="4" t="str">
        <f>_xlfn.LET(_xlpm.ig, _xlfn.XLOOKUP(Clean_Data[[#This Row],[Country_Code]], Metadata_Country!$A:$A, Metadata_Country!$C:$C, "Unknown"), IF(OR(_xlpm.ig=0, _xlpm.ig=""), "Regional Aggregate", _xlpm.ig))</f>
        <v>Upper middle income</v>
      </c>
      <c r="H1194" s="4">
        <f>Clean_Data[[#This Row],[Exports_TIV]] - Clean_Data[[#This Row],[Imports_TIV]]</f>
        <v>-81000000</v>
      </c>
      <c r="I1194" s="4">
        <f>Clean_Data[[#This Row],[Exports_TIV]] + Clean_Data[[#This Row],[Imports_TIV]]</f>
        <v>101000000</v>
      </c>
    </row>
    <row r="1195" spans="1:9">
      <c r="A1195" s="4" t="s">
        <v>91</v>
      </c>
      <c r="B1195" s="4" t="s">
        <v>92</v>
      </c>
      <c r="C1195" s="5">
        <v>2017</v>
      </c>
      <c r="D1195" s="4">
        <v>0</v>
      </c>
      <c r="E1195" s="4">
        <v>14000000</v>
      </c>
      <c r="F1195" s="4" t="str">
        <f>_xlfn.LET(_xlpm.r, _xlfn.XLOOKUP(Clean_Data[[#This Row],[Country_Code]], Metadata_Country!$A:$A, Metadata_Country!$B:$B, "Unknown"), IF(OR(_xlpm.r=0, _xlpm.r=""), "Regional Aggregate", _xlpm.r))</f>
        <v>Sub-Saharan Africa</v>
      </c>
      <c r="G1195" s="4" t="str">
        <f>_xlfn.LET(_xlpm.ig, _xlfn.XLOOKUP(Clean_Data[[#This Row],[Country_Code]], Metadata_Country!$A:$A, Metadata_Country!$C:$C, "Unknown"), IF(OR(_xlpm.ig=0, _xlpm.ig=""), "Regional Aggregate", _xlpm.ig))</f>
        <v>Lower middle income</v>
      </c>
      <c r="H1195" s="4">
        <f>Clean_Data[[#This Row],[Exports_TIV]] - Clean_Data[[#This Row],[Imports_TIV]]</f>
        <v>-14000000</v>
      </c>
      <c r="I1195" s="4">
        <f>Clean_Data[[#This Row],[Exports_TIV]] + Clean_Data[[#This Row],[Imports_TIV]]</f>
        <v>14000000</v>
      </c>
    </row>
    <row r="1196" spans="1:9">
      <c r="A1196" s="4" t="s">
        <v>207</v>
      </c>
      <c r="B1196" s="4" t="s">
        <v>208</v>
      </c>
      <c r="C1196" s="5">
        <v>2017</v>
      </c>
      <c r="D1196" s="4">
        <v>3000000</v>
      </c>
      <c r="E1196" s="4">
        <v>13000000</v>
      </c>
      <c r="F1196" s="4" t="str">
        <f>_xlfn.LET(_xlpm.r, _xlfn.XLOOKUP(Clean_Data[[#This Row],[Country_Code]], Metadata_Country!$A:$A, Metadata_Country!$B:$B, "Unknown"), IF(OR(_xlpm.r=0, _xlpm.r=""), "Regional Aggregate", _xlpm.r))</f>
        <v>Europe &amp; Central Asia</v>
      </c>
      <c r="G1196" s="4" t="str">
        <f>_xlfn.LET(_xlpm.ig, _xlfn.XLOOKUP(Clean_Data[[#This Row],[Country_Code]], Metadata_Country!$A:$A, Metadata_Country!$C:$C, "Unknown"), IF(OR(_xlpm.ig=0, _xlpm.ig=""), "Regional Aggregate", _xlpm.ig))</f>
        <v>High income</v>
      </c>
      <c r="H1196" s="4">
        <f>Clean_Data[[#This Row],[Exports_TIV]] - Clean_Data[[#This Row],[Imports_TIV]]</f>
        <v>-10000000</v>
      </c>
      <c r="I1196" s="4">
        <f>Clean_Data[[#This Row],[Exports_TIV]] + Clean_Data[[#This Row],[Imports_TIV]]</f>
        <v>16000000</v>
      </c>
    </row>
    <row r="1197" spans="1:9">
      <c r="A1197" s="4" t="s">
        <v>115</v>
      </c>
      <c r="B1197" s="4" t="s">
        <v>116</v>
      </c>
      <c r="C1197" s="5">
        <v>2017</v>
      </c>
      <c r="D1197" s="4">
        <v>0</v>
      </c>
      <c r="E1197" s="4">
        <v>30000000</v>
      </c>
      <c r="F1197" s="4" t="str">
        <f>_xlfn.LET(_xlpm.r, _xlfn.XLOOKUP(Clean_Data[[#This Row],[Country_Code]], Metadata_Country!$A:$A, Metadata_Country!$B:$B, "Unknown"), IF(OR(_xlpm.r=0, _xlpm.r=""), "Regional Aggregate", _xlpm.r))</f>
        <v>Europe &amp; Central Asia</v>
      </c>
      <c r="G1197" s="4" t="str">
        <f>_xlfn.LET(_xlpm.ig, _xlfn.XLOOKUP(Clean_Data[[#This Row],[Country_Code]], Metadata_Country!$A:$A, Metadata_Country!$C:$C, "Unknown"), IF(OR(_xlpm.ig=0, _xlpm.ig=""), "Regional Aggregate", _xlpm.ig))</f>
        <v>High income</v>
      </c>
      <c r="H1197" s="4">
        <f>Clean_Data[[#This Row],[Exports_TIV]] - Clean_Data[[#This Row],[Imports_TIV]]</f>
        <v>-30000000</v>
      </c>
      <c r="I1197" s="4">
        <f>Clean_Data[[#This Row],[Exports_TIV]] + Clean_Data[[#This Row],[Imports_TIV]]</f>
        <v>30000000</v>
      </c>
    </row>
    <row r="1198" spans="1:9">
      <c r="A1198" s="4" t="s">
        <v>117</v>
      </c>
      <c r="B1198" s="4" t="s">
        <v>118</v>
      </c>
      <c r="C1198" s="5">
        <v>2017</v>
      </c>
      <c r="D1198" s="4">
        <v>89000000</v>
      </c>
      <c r="E1198" s="4">
        <v>0</v>
      </c>
      <c r="F1198" s="4" t="str">
        <f>_xlfn.LET(_xlpm.r, _xlfn.XLOOKUP(Clean_Data[[#This Row],[Country_Code]], Metadata_Country!$A:$A, Metadata_Country!$B:$B, "Unknown"), IF(OR(_xlpm.r=0, _xlpm.r=""), "Regional Aggregate", _xlpm.r))</f>
        <v>Europe &amp; Central Asia</v>
      </c>
      <c r="G1198" s="4" t="str">
        <f>_xlfn.LET(_xlpm.ig, _xlfn.XLOOKUP(Clean_Data[[#This Row],[Country_Code]], Metadata_Country!$A:$A, Metadata_Country!$C:$C, "Unknown"), IF(OR(_xlpm.ig=0, _xlpm.ig=""), "Regional Aggregate", _xlpm.ig))</f>
        <v>High income</v>
      </c>
      <c r="H1198" s="4">
        <f>Clean_Data[[#This Row],[Exports_TIV]] - Clean_Data[[#This Row],[Imports_TIV]]</f>
        <v>89000000</v>
      </c>
      <c r="I1198" s="4">
        <f>Clean_Data[[#This Row],[Exports_TIV]] + Clean_Data[[#This Row],[Imports_TIV]]</f>
        <v>89000000</v>
      </c>
    </row>
    <row r="1199" spans="1:9">
      <c r="A1199" s="4" t="s">
        <v>125</v>
      </c>
      <c r="B1199" s="4" t="s">
        <v>126</v>
      </c>
      <c r="C1199" s="5">
        <v>2017</v>
      </c>
      <c r="D1199" s="4">
        <v>13000000</v>
      </c>
      <c r="E1199" s="4">
        <v>53000000</v>
      </c>
      <c r="F1199" s="4" t="str">
        <f>_xlfn.LET(_xlpm.r, _xlfn.XLOOKUP(Clean_Data[[#This Row],[Country_Code]], Metadata_Country!$A:$A, Metadata_Country!$B:$B, "Unknown"), IF(OR(_xlpm.r=0, _xlpm.r=""), "Regional Aggregate", _xlpm.r))</f>
        <v>Europe &amp; Central Asia</v>
      </c>
      <c r="G1199" s="4" t="str">
        <f>_xlfn.LET(_xlpm.ig, _xlfn.XLOOKUP(Clean_Data[[#This Row],[Country_Code]], Metadata_Country!$A:$A, Metadata_Country!$C:$C, "Unknown"), IF(OR(_xlpm.ig=0, _xlpm.ig=""), "Regional Aggregate", _xlpm.ig))</f>
        <v>High income</v>
      </c>
      <c r="H1199" s="4">
        <f>Clean_Data[[#This Row],[Exports_TIV]] - Clean_Data[[#This Row],[Imports_TIV]]</f>
        <v>-40000000</v>
      </c>
      <c r="I1199" s="4">
        <f>Clean_Data[[#This Row],[Exports_TIV]] + Clean_Data[[#This Row],[Imports_TIV]]</f>
        <v>66000000</v>
      </c>
    </row>
    <row r="1200" spans="1:9">
      <c r="A1200" s="4" t="s">
        <v>127</v>
      </c>
      <c r="B1200" s="4" t="s">
        <v>128</v>
      </c>
      <c r="C1200" s="5">
        <v>2017</v>
      </c>
      <c r="D1200" s="4">
        <v>4000000</v>
      </c>
      <c r="E1200" s="4">
        <v>0</v>
      </c>
      <c r="F1200" s="4" t="str">
        <f>_xlfn.LET(_xlpm.r, _xlfn.XLOOKUP(Clean_Data[[#This Row],[Country_Code]], Metadata_Country!$A:$A, Metadata_Country!$B:$B, "Unknown"), IF(OR(_xlpm.r=0, _xlpm.r=""), "Regional Aggregate", _xlpm.r))</f>
        <v>Latin America &amp; Caribbean</v>
      </c>
      <c r="G1200" s="4" t="str">
        <f>_xlfn.LET(_xlpm.ig, _xlfn.XLOOKUP(Clean_Data[[#This Row],[Country_Code]], Metadata_Country!$A:$A, Metadata_Country!$C:$C, "Unknown"), IF(OR(_xlpm.ig=0, _xlpm.ig=""), "Regional Aggregate", _xlpm.ig))</f>
        <v>Upper middle income</v>
      </c>
      <c r="H1200" s="4">
        <f>Clean_Data[[#This Row],[Exports_TIV]] - Clean_Data[[#This Row],[Imports_TIV]]</f>
        <v>4000000</v>
      </c>
      <c r="I1200" s="4">
        <f>Clean_Data[[#This Row],[Exports_TIV]] + Clean_Data[[#This Row],[Imports_TIV]]</f>
        <v>4000000</v>
      </c>
    </row>
    <row r="1201" spans="1:9">
      <c r="A1201" s="4" t="s">
        <v>133</v>
      </c>
      <c r="B1201" s="4" t="s">
        <v>134</v>
      </c>
      <c r="C1201" s="5">
        <v>2017</v>
      </c>
      <c r="D1201" s="4">
        <v>0</v>
      </c>
      <c r="E1201" s="4">
        <v>15043000000</v>
      </c>
      <c r="F1201" s="4" t="str">
        <f>_xlfn.LET(_xlpm.r, _xlfn.XLOOKUP(Clean_Data[[#This Row],[Country_Code]], Metadata_Country!$A:$A, Metadata_Country!$B:$B, "Unknown"), IF(OR(_xlpm.r=0, _xlpm.r=""), "Regional Aggregate", _xlpm.r))</f>
        <v>Regional Aggregate</v>
      </c>
      <c r="G1201" s="4" t="str">
        <f>_xlfn.LET(_xlpm.ig, _xlfn.XLOOKUP(Clean_Data[[#This Row],[Country_Code]], Metadata_Country!$A:$A, Metadata_Country!$C:$C, "Unknown"), IF(OR(_xlpm.ig=0, _xlpm.ig=""), "Regional Aggregate", _xlpm.ig))</f>
        <v>Regional Aggregate</v>
      </c>
      <c r="H1201" s="4">
        <f>Clean_Data[[#This Row],[Exports_TIV]] - Clean_Data[[#This Row],[Imports_TIV]]</f>
        <v>-15043000000</v>
      </c>
      <c r="I1201" s="4">
        <f>Clean_Data[[#This Row],[Exports_TIV]] + Clean_Data[[#This Row],[Imports_TIV]]</f>
        <v>15043000000</v>
      </c>
    </row>
    <row r="1202" spans="1:9">
      <c r="A1202" s="4" t="s">
        <v>135</v>
      </c>
      <c r="B1202" s="4" t="s">
        <v>136</v>
      </c>
      <c r="C1202" s="5">
        <v>2017</v>
      </c>
      <c r="D1202" s="4">
        <v>2546000000</v>
      </c>
      <c r="E1202" s="4">
        <v>8472000000</v>
      </c>
      <c r="F1202" s="4" t="str">
        <f>_xlfn.LET(_xlpm.r, _xlfn.XLOOKUP(Clean_Data[[#This Row],[Country_Code]], Metadata_Country!$A:$A, Metadata_Country!$B:$B, "Unknown"), IF(OR(_xlpm.r=0, _xlpm.r=""), "Regional Aggregate", _xlpm.r))</f>
        <v>Regional Aggregate</v>
      </c>
      <c r="G1202" s="4" t="str">
        <f>_xlfn.LET(_xlpm.ig, _xlfn.XLOOKUP(Clean_Data[[#This Row],[Country_Code]], Metadata_Country!$A:$A, Metadata_Country!$C:$C, "Unknown"), IF(OR(_xlpm.ig=0, _xlpm.ig=""), "Regional Aggregate", _xlpm.ig))</f>
        <v>Regional Aggregate</v>
      </c>
      <c r="H1202" s="4">
        <f>Clean_Data[[#This Row],[Exports_TIV]] - Clean_Data[[#This Row],[Imports_TIV]]</f>
        <v>-5926000000</v>
      </c>
      <c r="I1202" s="4">
        <f>Clean_Data[[#This Row],[Exports_TIV]] + Clean_Data[[#This Row],[Imports_TIV]]</f>
        <v>11018000000</v>
      </c>
    </row>
    <row r="1203" spans="1:9">
      <c r="A1203" s="4" t="s">
        <v>131</v>
      </c>
      <c r="B1203" s="4" t="s">
        <v>132</v>
      </c>
      <c r="C1203" s="5">
        <v>2017</v>
      </c>
      <c r="D1203" s="4">
        <v>1741000000</v>
      </c>
      <c r="E1203" s="4">
        <v>4505000000</v>
      </c>
      <c r="F1203" s="4" t="str">
        <f>_xlfn.LET(_xlpm.r, _xlfn.XLOOKUP(Clean_Data[[#This Row],[Country_Code]], Metadata_Country!$A:$A, Metadata_Country!$B:$B, "Unknown"), IF(OR(_xlpm.r=0, _xlpm.r=""), "Regional Aggregate", _xlpm.r))</f>
        <v>Regional Aggregate</v>
      </c>
      <c r="G1203" s="4" t="str">
        <f>_xlfn.LET(_xlpm.ig, _xlfn.XLOOKUP(Clean_Data[[#This Row],[Country_Code]], Metadata_Country!$A:$A, Metadata_Country!$C:$C, "Unknown"), IF(OR(_xlpm.ig=0, _xlpm.ig=""), "Regional Aggregate", _xlpm.ig))</f>
        <v>Regional Aggregate</v>
      </c>
      <c r="H1203" s="4">
        <f>Clean_Data[[#This Row],[Exports_TIV]] - Clean_Data[[#This Row],[Imports_TIV]]</f>
        <v>-2764000000</v>
      </c>
      <c r="I1203" s="4">
        <f>Clean_Data[[#This Row],[Exports_TIV]] + Clean_Data[[#This Row],[Imports_TIV]]</f>
        <v>6246000000</v>
      </c>
    </row>
    <row r="1204" spans="1:9">
      <c r="A1204" s="4" t="s">
        <v>469</v>
      </c>
      <c r="B1204" s="4" t="s">
        <v>470</v>
      </c>
      <c r="C1204" s="5">
        <v>2017</v>
      </c>
      <c r="D1204" s="4">
        <v>1741000000</v>
      </c>
      <c r="E1204" s="4">
        <v>4505000000</v>
      </c>
      <c r="F1204" s="4" t="str">
        <f>_xlfn.LET(_xlpm.r, _xlfn.XLOOKUP(Clean_Data[[#This Row],[Country_Code]], Metadata_Country!$A:$A, Metadata_Country!$B:$B, "Unknown"), IF(OR(_xlpm.r=0, _xlpm.r=""), "Regional Aggregate", _xlpm.r))</f>
        <v>Regional Aggregate</v>
      </c>
      <c r="G1204" s="4" t="str">
        <f>_xlfn.LET(_xlpm.ig, _xlfn.XLOOKUP(Clean_Data[[#This Row],[Country_Code]], Metadata_Country!$A:$A, Metadata_Country!$C:$C, "Unknown"), IF(OR(_xlpm.ig=0, _xlpm.ig=""), "Regional Aggregate", _xlpm.ig))</f>
        <v>Regional Aggregate</v>
      </c>
      <c r="H1204" s="4">
        <f>Clean_Data[[#This Row],[Exports_TIV]] - Clean_Data[[#This Row],[Imports_TIV]]</f>
        <v>-2764000000</v>
      </c>
      <c r="I1204" s="4">
        <f>Clean_Data[[#This Row],[Exports_TIV]] + Clean_Data[[#This Row],[Imports_TIV]]</f>
        <v>6246000000</v>
      </c>
    </row>
    <row r="1205" spans="1:9">
      <c r="A1205" s="4" t="s">
        <v>141</v>
      </c>
      <c r="B1205" s="4" t="s">
        <v>142</v>
      </c>
      <c r="C1205" s="5">
        <v>2017</v>
      </c>
      <c r="D1205" s="4">
        <v>0</v>
      </c>
      <c r="E1205" s="4">
        <v>20000000</v>
      </c>
      <c r="F1205" s="4" t="str">
        <f>_xlfn.LET(_xlpm.r, _xlfn.XLOOKUP(Clean_Data[[#This Row],[Country_Code]], Metadata_Country!$A:$A, Metadata_Country!$B:$B, "Unknown"), IF(OR(_xlpm.r=0, _xlpm.r=""), "Regional Aggregate", _xlpm.r))</f>
        <v>Latin America &amp; Caribbean</v>
      </c>
      <c r="G1205" s="4" t="str">
        <f>_xlfn.LET(_xlpm.ig, _xlfn.XLOOKUP(Clean_Data[[#This Row],[Country_Code]], Metadata_Country!$A:$A, Metadata_Country!$C:$C, "Unknown"), IF(OR(_xlpm.ig=0, _xlpm.ig=""), "Regional Aggregate", _xlpm.ig))</f>
        <v>Upper middle income</v>
      </c>
      <c r="H1205" s="4">
        <f>Clean_Data[[#This Row],[Exports_TIV]] - Clean_Data[[#This Row],[Imports_TIV]]</f>
        <v>-20000000</v>
      </c>
      <c r="I1205" s="4">
        <f>Clean_Data[[#This Row],[Exports_TIV]] + Clean_Data[[#This Row],[Imports_TIV]]</f>
        <v>20000000</v>
      </c>
    </row>
    <row r="1206" spans="1:9">
      <c r="A1206" s="4" t="s">
        <v>143</v>
      </c>
      <c r="B1206" s="4" t="s">
        <v>144</v>
      </c>
      <c r="C1206" s="5">
        <v>2017</v>
      </c>
      <c r="D1206" s="4">
        <v>0</v>
      </c>
      <c r="E1206" s="4">
        <v>2480000000</v>
      </c>
      <c r="F1206" s="4" t="str">
        <f>_xlfn.LET(_xlpm.r, _xlfn.XLOOKUP(Clean_Data[[#This Row],[Country_Code]], Metadata_Country!$A:$A, Metadata_Country!$B:$B, "Unknown"), IF(OR(_xlpm.r=0, _xlpm.r=""), "Regional Aggregate", _xlpm.r))</f>
        <v>Middle East &amp; North Africa</v>
      </c>
      <c r="G1206" s="4" t="str">
        <f>_xlfn.LET(_xlpm.ig, _xlfn.XLOOKUP(Clean_Data[[#This Row],[Country_Code]], Metadata_Country!$A:$A, Metadata_Country!$C:$C, "Unknown"), IF(OR(_xlpm.ig=0, _xlpm.ig=""), "Regional Aggregate", _xlpm.ig))</f>
        <v>Lower middle income</v>
      </c>
      <c r="H1206" s="4">
        <f>Clean_Data[[#This Row],[Exports_TIV]] - Clean_Data[[#This Row],[Imports_TIV]]</f>
        <v>-2480000000</v>
      </c>
      <c r="I1206" s="4">
        <f>Clean_Data[[#This Row],[Exports_TIV]] + Clean_Data[[#This Row],[Imports_TIV]]</f>
        <v>2480000000</v>
      </c>
    </row>
    <row r="1207" spans="1:9">
      <c r="A1207" s="4" t="s">
        <v>431</v>
      </c>
      <c r="B1207" s="4" t="s">
        <v>432</v>
      </c>
      <c r="C1207" s="5">
        <v>2017</v>
      </c>
      <c r="D1207" s="4">
        <v>0</v>
      </c>
      <c r="E1207" s="4">
        <v>1000000</v>
      </c>
      <c r="F1207" s="4" t="str">
        <f>_xlfn.LET(_xlpm.r, _xlfn.XLOOKUP(Clean_Data[[#This Row],[Country_Code]], Metadata_Country!$A:$A, Metadata_Country!$B:$B, "Unknown"), IF(OR(_xlpm.r=0, _xlpm.r=""), "Regional Aggregate", _xlpm.r))</f>
        <v>Latin America &amp; Caribbean</v>
      </c>
      <c r="G1207" s="4" t="str">
        <f>_xlfn.LET(_xlpm.ig, _xlfn.XLOOKUP(Clean_Data[[#This Row],[Country_Code]], Metadata_Country!$A:$A, Metadata_Country!$C:$C, "Unknown"), IF(OR(_xlpm.ig=0, _xlpm.ig=""), "Regional Aggregate", _xlpm.ig))</f>
        <v>Upper middle income</v>
      </c>
      <c r="H1207" s="4">
        <f>Clean_Data[[#This Row],[Exports_TIV]] - Clean_Data[[#This Row],[Imports_TIV]]</f>
        <v>-1000000</v>
      </c>
      <c r="I1207" s="4">
        <f>Clean_Data[[#This Row],[Exports_TIV]] + Clean_Data[[#This Row],[Imports_TIV]]</f>
        <v>1000000</v>
      </c>
    </row>
    <row r="1208" spans="1:9">
      <c r="A1208" s="4" t="s">
        <v>151</v>
      </c>
      <c r="B1208" s="4" t="s">
        <v>152</v>
      </c>
      <c r="C1208" s="5">
        <v>2017</v>
      </c>
      <c r="D1208" s="4">
        <v>0</v>
      </c>
      <c r="E1208" s="4">
        <v>36000000</v>
      </c>
      <c r="F1208" s="4" t="str">
        <f>_xlfn.LET(_xlpm.r, _xlfn.XLOOKUP(Clean_Data[[#This Row],[Country_Code]], Metadata_Country!$A:$A, Metadata_Country!$B:$B, "Unknown"), IF(OR(_xlpm.r=0, _xlpm.r=""), "Regional Aggregate", _xlpm.r))</f>
        <v>Europe &amp; Central Asia</v>
      </c>
      <c r="G1208" s="4" t="str">
        <f>_xlfn.LET(_xlpm.ig, _xlfn.XLOOKUP(Clean_Data[[#This Row],[Country_Code]], Metadata_Country!$A:$A, Metadata_Country!$C:$C, "Unknown"), IF(OR(_xlpm.ig=0, _xlpm.ig=""), "Regional Aggregate", _xlpm.ig))</f>
        <v>High income</v>
      </c>
      <c r="H1208" s="4">
        <f>Clean_Data[[#This Row],[Exports_TIV]] - Clean_Data[[#This Row],[Imports_TIV]]</f>
        <v>-36000000</v>
      </c>
      <c r="I1208" s="4">
        <f>Clean_Data[[#This Row],[Exports_TIV]] + Clean_Data[[#This Row],[Imports_TIV]]</f>
        <v>36000000</v>
      </c>
    </row>
    <row r="1209" spans="1:9">
      <c r="A1209" s="4" t="s">
        <v>153</v>
      </c>
      <c r="B1209" s="4" t="s">
        <v>154</v>
      </c>
      <c r="C1209" s="5">
        <v>2017</v>
      </c>
      <c r="D1209" s="4">
        <v>0</v>
      </c>
      <c r="E1209" s="4">
        <v>51000000</v>
      </c>
      <c r="F1209" s="4" t="str">
        <f>_xlfn.LET(_xlpm.r, _xlfn.XLOOKUP(Clean_Data[[#This Row],[Country_Code]], Metadata_Country!$A:$A, Metadata_Country!$B:$B, "Unknown"), IF(OR(_xlpm.r=0, _xlpm.r=""), "Regional Aggregate", _xlpm.r))</f>
        <v>Sub-Saharan Africa</v>
      </c>
      <c r="G1209" s="4" t="str">
        <f>_xlfn.LET(_xlpm.ig, _xlfn.XLOOKUP(Clean_Data[[#This Row],[Country_Code]], Metadata_Country!$A:$A, Metadata_Country!$C:$C, "Unknown"), IF(OR(_xlpm.ig=0, _xlpm.ig=""), "Regional Aggregate", _xlpm.ig))</f>
        <v>Low income</v>
      </c>
      <c r="H1209" s="4">
        <f>Clean_Data[[#This Row],[Exports_TIV]] - Clean_Data[[#This Row],[Imports_TIV]]</f>
        <v>-51000000</v>
      </c>
      <c r="I1209" s="4">
        <f>Clean_Data[[#This Row],[Exports_TIV]] + Clean_Data[[#This Row],[Imports_TIV]]</f>
        <v>51000000</v>
      </c>
    </row>
    <row r="1210" spans="1:9">
      <c r="A1210" s="4" t="s">
        <v>145</v>
      </c>
      <c r="B1210" s="4" t="s">
        <v>146</v>
      </c>
      <c r="C1210" s="5">
        <v>2017</v>
      </c>
      <c r="D1210" s="4">
        <v>7040000000</v>
      </c>
      <c r="E1210" s="4">
        <v>1247000000</v>
      </c>
      <c r="F1210" s="4" t="str">
        <f>_xlfn.LET(_xlpm.r, _xlfn.XLOOKUP(Clean_Data[[#This Row],[Country_Code]], Metadata_Country!$A:$A, Metadata_Country!$B:$B, "Unknown"), IF(OR(_xlpm.r=0, _xlpm.r=""), "Regional Aggregate", _xlpm.r))</f>
        <v>Regional Aggregate</v>
      </c>
      <c r="G1210" s="4" t="str">
        <f>_xlfn.LET(_xlpm.ig, _xlfn.XLOOKUP(Clean_Data[[#This Row],[Country_Code]], Metadata_Country!$A:$A, Metadata_Country!$C:$C, "Unknown"), IF(OR(_xlpm.ig=0, _xlpm.ig=""), "Regional Aggregate", _xlpm.ig))</f>
        <v>Regional Aggregate</v>
      </c>
      <c r="H1210" s="4">
        <f>Clean_Data[[#This Row],[Exports_TIV]] - Clean_Data[[#This Row],[Imports_TIV]]</f>
        <v>5793000000</v>
      </c>
      <c r="I1210" s="4">
        <f>Clean_Data[[#This Row],[Exports_TIV]] + Clean_Data[[#This Row],[Imports_TIV]]</f>
        <v>8287000000</v>
      </c>
    </row>
    <row r="1211" spans="1:9">
      <c r="A1211" s="4" t="s">
        <v>139</v>
      </c>
      <c r="B1211" s="4" t="s">
        <v>140</v>
      </c>
      <c r="C1211" s="5">
        <v>2017</v>
      </c>
      <c r="D1211" s="4">
        <v>15643000000</v>
      </c>
      <c r="E1211" s="4">
        <v>4331000000</v>
      </c>
      <c r="F1211" s="4" t="str">
        <f>_xlfn.LET(_xlpm.r, _xlfn.XLOOKUP(Clean_Data[[#This Row],[Country_Code]], Metadata_Country!$A:$A, Metadata_Country!$B:$B, "Unknown"), IF(OR(_xlpm.r=0, _xlpm.r=""), "Regional Aggregate", _xlpm.r))</f>
        <v>Regional Aggregate</v>
      </c>
      <c r="G1211" s="4" t="str">
        <f>_xlfn.LET(_xlpm.ig, _xlfn.XLOOKUP(Clean_Data[[#This Row],[Country_Code]], Metadata_Country!$A:$A, Metadata_Country!$C:$C, "Unknown"), IF(OR(_xlpm.ig=0, _xlpm.ig=""), "Regional Aggregate", _xlpm.ig))</f>
        <v>Regional Aggregate</v>
      </c>
      <c r="H1211" s="4">
        <f>Clean_Data[[#This Row],[Exports_TIV]] - Clean_Data[[#This Row],[Imports_TIV]]</f>
        <v>11312000000</v>
      </c>
      <c r="I1211" s="4">
        <f>Clean_Data[[#This Row],[Exports_TIV]] + Clean_Data[[#This Row],[Imports_TIV]]</f>
        <v>19974000000</v>
      </c>
    </row>
    <row r="1212" spans="1:9">
      <c r="A1212" s="4" t="s">
        <v>137</v>
      </c>
      <c r="B1212" s="4" t="s">
        <v>138</v>
      </c>
      <c r="C1212" s="5">
        <v>2017</v>
      </c>
      <c r="D1212" s="4">
        <v>646000000</v>
      </c>
      <c r="E1212" s="4">
        <v>1339000000</v>
      </c>
      <c r="F1212" s="4" t="str">
        <f>_xlfn.LET(_xlpm.r, _xlfn.XLOOKUP(Clean_Data[[#This Row],[Country_Code]], Metadata_Country!$A:$A, Metadata_Country!$B:$B, "Unknown"), IF(OR(_xlpm.r=0, _xlpm.r=""), "Regional Aggregate", _xlpm.r))</f>
        <v>Regional Aggregate</v>
      </c>
      <c r="G1212" s="4" t="str">
        <f>_xlfn.LET(_xlpm.ig, _xlfn.XLOOKUP(Clean_Data[[#This Row],[Country_Code]], Metadata_Country!$A:$A, Metadata_Country!$C:$C, "Unknown"), IF(OR(_xlpm.ig=0, _xlpm.ig=""), "Regional Aggregate", _xlpm.ig))</f>
        <v>Regional Aggregate</v>
      </c>
      <c r="H1212" s="4">
        <f>Clean_Data[[#This Row],[Exports_TIV]] - Clean_Data[[#This Row],[Imports_TIV]]</f>
        <v>-693000000</v>
      </c>
      <c r="I1212" s="4">
        <f>Clean_Data[[#This Row],[Exports_TIV]] + Clean_Data[[#This Row],[Imports_TIV]]</f>
        <v>1985000000</v>
      </c>
    </row>
    <row r="1213" spans="1:9">
      <c r="A1213" s="4" t="s">
        <v>471</v>
      </c>
      <c r="B1213" s="4" t="s">
        <v>472</v>
      </c>
      <c r="C1213" s="5">
        <v>2017</v>
      </c>
      <c r="D1213" s="4">
        <v>7085000000</v>
      </c>
      <c r="E1213" s="4">
        <v>1660000000</v>
      </c>
      <c r="F1213" s="4" t="str">
        <f>_xlfn.LET(_xlpm.r, _xlfn.XLOOKUP(Clean_Data[[#This Row],[Country_Code]], Metadata_Country!$A:$A, Metadata_Country!$B:$B, "Unknown"), IF(OR(_xlpm.r=0, _xlpm.r=""), "Regional Aggregate", _xlpm.r))</f>
        <v>Regional Aggregate</v>
      </c>
      <c r="G1213" s="4" t="str">
        <f>_xlfn.LET(_xlpm.ig, _xlfn.XLOOKUP(Clean_Data[[#This Row],[Country_Code]], Metadata_Country!$A:$A, Metadata_Country!$C:$C, "Unknown"), IF(OR(_xlpm.ig=0, _xlpm.ig=""), "Regional Aggregate", _xlpm.ig))</f>
        <v>Regional Aggregate</v>
      </c>
      <c r="H1213" s="4">
        <f>Clean_Data[[#This Row],[Exports_TIV]] - Clean_Data[[#This Row],[Imports_TIV]]</f>
        <v>5425000000</v>
      </c>
      <c r="I1213" s="4">
        <f>Clean_Data[[#This Row],[Exports_TIV]] + Clean_Data[[#This Row],[Imports_TIV]]</f>
        <v>8745000000</v>
      </c>
    </row>
    <row r="1214" spans="1:9">
      <c r="A1214" s="4" t="s">
        <v>155</v>
      </c>
      <c r="B1214" s="4" t="s">
        <v>156</v>
      </c>
      <c r="C1214" s="5">
        <v>2017</v>
      </c>
      <c r="D1214" s="4">
        <v>7225000000</v>
      </c>
      <c r="E1214" s="4">
        <v>1551000000</v>
      </c>
      <c r="F1214" s="4" t="str">
        <f>_xlfn.LET(_xlpm.r, _xlfn.XLOOKUP(Clean_Data[[#This Row],[Country_Code]], Metadata_Country!$A:$A, Metadata_Country!$B:$B, "Unknown"), IF(OR(_xlpm.r=0, _xlpm.r=""), "Regional Aggregate", _xlpm.r))</f>
        <v>Regional Aggregate</v>
      </c>
      <c r="G1214" s="4" t="str">
        <f>_xlfn.LET(_xlpm.ig, _xlfn.XLOOKUP(Clean_Data[[#This Row],[Country_Code]], Metadata_Country!$A:$A, Metadata_Country!$C:$C, "Unknown"), IF(OR(_xlpm.ig=0, _xlpm.ig=""), "Regional Aggregate", _xlpm.ig))</f>
        <v>Regional Aggregate</v>
      </c>
      <c r="H1214" s="4">
        <f>Clean_Data[[#This Row],[Exports_TIV]] - Clean_Data[[#This Row],[Imports_TIV]]</f>
        <v>5674000000</v>
      </c>
      <c r="I1214" s="4">
        <f>Clean_Data[[#This Row],[Exports_TIV]] + Clean_Data[[#This Row],[Imports_TIV]]</f>
        <v>8776000000</v>
      </c>
    </row>
    <row r="1215" spans="1:9">
      <c r="A1215" s="4" t="s">
        <v>161</v>
      </c>
      <c r="B1215" s="4" t="s">
        <v>162</v>
      </c>
      <c r="C1215" s="5">
        <v>2017</v>
      </c>
      <c r="D1215" s="4">
        <v>0</v>
      </c>
      <c r="E1215" s="4">
        <v>1000000</v>
      </c>
      <c r="F1215" s="4" t="str">
        <f>_xlfn.LET(_xlpm.r, _xlfn.XLOOKUP(Clean_Data[[#This Row],[Country_Code]], Metadata_Country!$A:$A, Metadata_Country!$B:$B, "Unknown"), IF(OR(_xlpm.r=0, _xlpm.r=""), "Regional Aggregate", _xlpm.r))</f>
        <v>East Asia &amp; Pacific</v>
      </c>
      <c r="G1215" s="4" t="str">
        <f>_xlfn.LET(_xlpm.ig, _xlfn.XLOOKUP(Clean_Data[[#This Row],[Country_Code]], Metadata_Country!$A:$A, Metadata_Country!$C:$C, "Unknown"), IF(OR(_xlpm.ig=0, _xlpm.ig=""), "Regional Aggregate", _xlpm.ig))</f>
        <v>Upper middle income</v>
      </c>
      <c r="H1215" s="4">
        <f>Clean_Data[[#This Row],[Exports_TIV]] - Clean_Data[[#This Row],[Imports_TIV]]</f>
        <v>-1000000</v>
      </c>
      <c r="I1215" s="4">
        <f>Clean_Data[[#This Row],[Exports_TIV]] + Clean_Data[[#This Row],[Imports_TIV]]</f>
        <v>1000000</v>
      </c>
    </row>
    <row r="1216" spans="1:9">
      <c r="A1216" s="4" t="s">
        <v>159</v>
      </c>
      <c r="B1216" s="4" t="s">
        <v>160</v>
      </c>
      <c r="C1216" s="5">
        <v>2017</v>
      </c>
      <c r="D1216" s="4">
        <v>32000000</v>
      </c>
      <c r="E1216" s="4">
        <v>47000000</v>
      </c>
      <c r="F1216" s="4" t="str">
        <f>_xlfn.LET(_xlpm.r, _xlfn.XLOOKUP(Clean_Data[[#This Row],[Country_Code]], Metadata_Country!$A:$A, Metadata_Country!$B:$B, "Unknown"), IF(OR(_xlpm.r=0, _xlpm.r=""), "Regional Aggregate", _xlpm.r))</f>
        <v>Europe &amp; Central Asia</v>
      </c>
      <c r="G1216" s="4" t="str">
        <f>_xlfn.LET(_xlpm.ig, _xlfn.XLOOKUP(Clean_Data[[#This Row],[Country_Code]], Metadata_Country!$A:$A, Metadata_Country!$C:$C, "Unknown"), IF(OR(_xlpm.ig=0, _xlpm.ig=""), "Regional Aggregate", _xlpm.ig))</f>
        <v>High income</v>
      </c>
      <c r="H1216" s="4">
        <f>Clean_Data[[#This Row],[Exports_TIV]] - Clean_Data[[#This Row],[Imports_TIV]]</f>
        <v>-15000000</v>
      </c>
      <c r="I1216" s="4">
        <f>Clean_Data[[#This Row],[Exports_TIV]] + Clean_Data[[#This Row],[Imports_TIV]]</f>
        <v>79000000</v>
      </c>
    </row>
    <row r="1217" spans="1:9">
      <c r="A1217" s="4" t="s">
        <v>157</v>
      </c>
      <c r="B1217" s="4" t="s">
        <v>158</v>
      </c>
      <c r="C1217" s="5">
        <v>2017</v>
      </c>
      <c r="D1217" s="4">
        <v>0</v>
      </c>
      <c r="E1217" s="4">
        <v>1709000000</v>
      </c>
      <c r="F1217" s="4" t="str">
        <f>_xlfn.LET(_xlpm.r, _xlfn.XLOOKUP(Clean_Data[[#This Row],[Country_Code]], Metadata_Country!$A:$A, Metadata_Country!$B:$B, "Unknown"), IF(OR(_xlpm.r=0, _xlpm.r=""), "Regional Aggregate", _xlpm.r))</f>
        <v>Regional Aggregate</v>
      </c>
      <c r="G1217" s="4" t="str">
        <f>_xlfn.LET(_xlpm.ig, _xlfn.XLOOKUP(Clean_Data[[#This Row],[Country_Code]], Metadata_Country!$A:$A, Metadata_Country!$C:$C, "Unknown"), IF(OR(_xlpm.ig=0, _xlpm.ig=""), "Regional Aggregate", _xlpm.ig))</f>
        <v>Regional Aggregate</v>
      </c>
      <c r="H1217" s="4">
        <f>Clean_Data[[#This Row],[Exports_TIV]] - Clean_Data[[#This Row],[Imports_TIV]]</f>
        <v>-1709000000</v>
      </c>
      <c r="I1217" s="4">
        <f>Clean_Data[[#This Row],[Exports_TIV]] + Clean_Data[[#This Row],[Imports_TIV]]</f>
        <v>1709000000</v>
      </c>
    </row>
    <row r="1218" spans="1:9">
      <c r="A1218" s="4" t="s">
        <v>163</v>
      </c>
      <c r="B1218" s="4" t="s">
        <v>164</v>
      </c>
      <c r="C1218" s="5">
        <v>2017</v>
      </c>
      <c r="D1218" s="4">
        <v>2336000000</v>
      </c>
      <c r="E1218" s="4">
        <v>84000000</v>
      </c>
      <c r="F1218" s="4" t="str">
        <f>_xlfn.LET(_xlpm.r, _xlfn.XLOOKUP(Clean_Data[[#This Row],[Country_Code]], Metadata_Country!$A:$A, Metadata_Country!$B:$B, "Unknown"), IF(OR(_xlpm.r=0, _xlpm.r=""), "Regional Aggregate", _xlpm.r))</f>
        <v>Europe &amp; Central Asia</v>
      </c>
      <c r="G1218" s="4" t="str">
        <f>_xlfn.LET(_xlpm.ig, _xlfn.XLOOKUP(Clean_Data[[#This Row],[Country_Code]], Metadata_Country!$A:$A, Metadata_Country!$C:$C, "Unknown"), IF(OR(_xlpm.ig=0, _xlpm.ig=""), "Regional Aggregate", _xlpm.ig))</f>
        <v>High income</v>
      </c>
      <c r="H1218" s="4">
        <f>Clean_Data[[#This Row],[Exports_TIV]] - Clean_Data[[#This Row],[Imports_TIV]]</f>
        <v>2252000000</v>
      </c>
      <c r="I1218" s="4">
        <f>Clean_Data[[#This Row],[Exports_TIV]] + Clean_Data[[#This Row],[Imports_TIV]]</f>
        <v>2420000000</v>
      </c>
    </row>
    <row r="1219" spans="1:9">
      <c r="A1219" s="4" t="s">
        <v>173</v>
      </c>
      <c r="B1219" s="4" t="s">
        <v>174</v>
      </c>
      <c r="C1219" s="5">
        <v>2017</v>
      </c>
      <c r="D1219" s="4">
        <v>7000000</v>
      </c>
      <c r="E1219" s="4">
        <v>7000000</v>
      </c>
      <c r="F1219" s="4" t="str">
        <f>_xlfn.LET(_xlpm.r, _xlfn.XLOOKUP(Clean_Data[[#This Row],[Country_Code]], Metadata_Country!$A:$A, Metadata_Country!$B:$B, "Unknown"), IF(OR(_xlpm.r=0, _xlpm.r=""), "Regional Aggregate", _xlpm.r))</f>
        <v>Europe &amp; Central Asia</v>
      </c>
      <c r="G1219" s="4" t="str">
        <f>_xlfn.LET(_xlpm.ig, _xlfn.XLOOKUP(Clean_Data[[#This Row],[Country_Code]], Metadata_Country!$A:$A, Metadata_Country!$C:$C, "Unknown"), IF(OR(_xlpm.ig=0, _xlpm.ig=""), "Regional Aggregate", _xlpm.ig))</f>
        <v>Upper middle income</v>
      </c>
      <c r="H1219" s="4">
        <f>Clean_Data[[#This Row],[Exports_TIV]] - Clean_Data[[#This Row],[Imports_TIV]]</f>
        <v>0</v>
      </c>
      <c r="I1219" s="4">
        <f>Clean_Data[[#This Row],[Exports_TIV]] + Clean_Data[[#This Row],[Imports_TIV]]</f>
        <v>14000000</v>
      </c>
    </row>
    <row r="1220" spans="1:9">
      <c r="A1220" s="4" t="s">
        <v>119</v>
      </c>
      <c r="B1220" s="4" t="s">
        <v>120</v>
      </c>
      <c r="C1220" s="5">
        <v>2017</v>
      </c>
      <c r="D1220" s="4">
        <v>1826000000</v>
      </c>
      <c r="E1220" s="4">
        <v>43000000</v>
      </c>
      <c r="F1220" s="4" t="str">
        <f>_xlfn.LET(_xlpm.r, _xlfn.XLOOKUP(Clean_Data[[#This Row],[Country_Code]], Metadata_Country!$A:$A, Metadata_Country!$B:$B, "Unknown"), IF(OR(_xlpm.r=0, _xlpm.r=""), "Regional Aggregate", _xlpm.r))</f>
        <v>Europe &amp; Central Asia</v>
      </c>
      <c r="G1220" s="4" t="str">
        <f>_xlfn.LET(_xlpm.ig, _xlfn.XLOOKUP(Clean_Data[[#This Row],[Country_Code]], Metadata_Country!$A:$A, Metadata_Country!$C:$C, "Unknown"), IF(OR(_xlpm.ig=0, _xlpm.ig=""), "Regional Aggregate", _xlpm.ig))</f>
        <v>High income</v>
      </c>
      <c r="H1220" s="4">
        <f>Clean_Data[[#This Row],[Exports_TIV]] - Clean_Data[[#This Row],[Imports_TIV]]</f>
        <v>1783000000</v>
      </c>
      <c r="I1220" s="4">
        <f>Clean_Data[[#This Row],[Exports_TIV]] + Clean_Data[[#This Row],[Imports_TIV]]</f>
        <v>1869000000</v>
      </c>
    </row>
    <row r="1221" spans="1:9">
      <c r="A1221" s="4" t="s">
        <v>187</v>
      </c>
      <c r="B1221" s="4" t="s">
        <v>188</v>
      </c>
      <c r="C1221" s="5">
        <v>2017</v>
      </c>
      <c r="D1221" s="4">
        <v>30000000</v>
      </c>
      <c r="E1221" s="4">
        <v>51000000</v>
      </c>
      <c r="F1221" s="4" t="str">
        <f>_xlfn.LET(_xlpm.r, _xlfn.XLOOKUP(Clean_Data[[#This Row],[Country_Code]], Metadata_Country!$A:$A, Metadata_Country!$B:$B, "Unknown"), IF(OR(_xlpm.r=0, _xlpm.r=""), "Regional Aggregate", _xlpm.r))</f>
        <v>Europe &amp; Central Asia</v>
      </c>
      <c r="G1221" s="4" t="str">
        <f>_xlfn.LET(_xlpm.ig, _xlfn.XLOOKUP(Clean_Data[[#This Row],[Country_Code]], Metadata_Country!$A:$A, Metadata_Country!$C:$C, "Unknown"), IF(OR(_xlpm.ig=0, _xlpm.ig=""), "Regional Aggregate", _xlpm.ig))</f>
        <v>High income</v>
      </c>
      <c r="H1221" s="4">
        <f>Clean_Data[[#This Row],[Exports_TIV]] - Clean_Data[[#This Row],[Imports_TIV]]</f>
        <v>-21000000</v>
      </c>
      <c r="I1221" s="4">
        <f>Clean_Data[[#This Row],[Exports_TIV]] + Clean_Data[[#This Row],[Imports_TIV]]</f>
        <v>81000000</v>
      </c>
    </row>
    <row r="1222" spans="1:9">
      <c r="A1222" s="4" t="s">
        <v>179</v>
      </c>
      <c r="B1222" s="4" t="s">
        <v>180</v>
      </c>
      <c r="C1222" s="5">
        <v>2017</v>
      </c>
      <c r="D1222" s="4">
        <v>0</v>
      </c>
      <c r="E1222" s="4">
        <v>2000000</v>
      </c>
      <c r="F1222" s="4" t="str">
        <f>_xlfn.LET(_xlpm.r, _xlfn.XLOOKUP(Clean_Data[[#This Row],[Country_Code]], Metadata_Country!$A:$A, Metadata_Country!$B:$B, "Unknown"), IF(OR(_xlpm.r=0, _xlpm.r=""), "Regional Aggregate", _xlpm.r))</f>
        <v>Sub-Saharan Africa</v>
      </c>
      <c r="G1222" s="4" t="str">
        <f>_xlfn.LET(_xlpm.ig, _xlfn.XLOOKUP(Clean_Data[[#This Row],[Country_Code]], Metadata_Country!$A:$A, Metadata_Country!$C:$C, "Unknown"), IF(OR(_xlpm.ig=0, _xlpm.ig=""), "Regional Aggregate", _xlpm.ig))</f>
        <v>Lower middle income</v>
      </c>
      <c r="H1222" s="4">
        <f>Clean_Data[[#This Row],[Exports_TIV]] - Clean_Data[[#This Row],[Imports_TIV]]</f>
        <v>-2000000</v>
      </c>
      <c r="I1222" s="4">
        <f>Clean_Data[[#This Row],[Exports_TIV]] + Clean_Data[[#This Row],[Imports_TIV]]</f>
        <v>2000000</v>
      </c>
    </row>
    <row r="1223" spans="1:9">
      <c r="A1223" s="4" t="s">
        <v>199</v>
      </c>
      <c r="B1223" s="4" t="s">
        <v>200</v>
      </c>
      <c r="C1223" s="5">
        <v>2017</v>
      </c>
      <c r="D1223" s="4">
        <v>28574000000</v>
      </c>
      <c r="E1223" s="4">
        <v>14394000000</v>
      </c>
      <c r="F1223" s="4" t="str">
        <f>_xlfn.LET(_xlpm.r, _xlfn.XLOOKUP(Clean_Data[[#This Row],[Country_Code]], Metadata_Country!$A:$A, Metadata_Country!$B:$B, "Unknown"), IF(OR(_xlpm.r=0, _xlpm.r=""), "Regional Aggregate", _xlpm.r))</f>
        <v>Regional Aggregate</v>
      </c>
      <c r="G1223" s="4" t="str">
        <f>_xlfn.LET(_xlpm.ig, _xlfn.XLOOKUP(Clean_Data[[#This Row],[Country_Code]], Metadata_Country!$A:$A, Metadata_Country!$C:$C, "Unknown"), IF(OR(_xlpm.ig=0, _xlpm.ig=""), "Regional Aggregate", _xlpm.ig))</f>
        <v>Regional Aggregate</v>
      </c>
      <c r="H1223" s="4">
        <f>Clean_Data[[#This Row],[Exports_TIV]] - Clean_Data[[#This Row],[Imports_TIV]]</f>
        <v>14180000000</v>
      </c>
      <c r="I1223" s="4">
        <f>Clean_Data[[#This Row],[Exports_TIV]] + Clean_Data[[#This Row],[Imports_TIV]]</f>
        <v>42968000000</v>
      </c>
    </row>
    <row r="1224" spans="1:9">
      <c r="A1224" s="4" t="s">
        <v>203</v>
      </c>
      <c r="B1224" s="4" t="s">
        <v>204</v>
      </c>
      <c r="C1224" s="5">
        <v>2017</v>
      </c>
      <c r="D1224" s="4">
        <v>0</v>
      </c>
      <c r="E1224" s="4">
        <v>10000000</v>
      </c>
      <c r="F1224" s="4" t="str">
        <f>_xlfn.LET(_xlpm.r, _xlfn.XLOOKUP(Clean_Data[[#This Row],[Country_Code]], Metadata_Country!$A:$A, Metadata_Country!$B:$B, "Unknown"), IF(OR(_xlpm.r=0, _xlpm.r=""), "Regional Aggregate", _xlpm.r))</f>
        <v>Latin America &amp; Caribbean</v>
      </c>
      <c r="G1224" s="4" t="str">
        <f>_xlfn.LET(_xlpm.ig, _xlfn.XLOOKUP(Clean_Data[[#This Row],[Country_Code]], Metadata_Country!$A:$A, Metadata_Country!$C:$C, "Unknown"), IF(OR(_xlpm.ig=0, _xlpm.ig=""), "Regional Aggregate", _xlpm.ig))</f>
        <v>Lower middle income</v>
      </c>
      <c r="H1224" s="4">
        <f>Clean_Data[[#This Row],[Exports_TIV]] - Clean_Data[[#This Row],[Imports_TIV]]</f>
        <v>-10000000</v>
      </c>
      <c r="I1224" s="4">
        <f>Clean_Data[[#This Row],[Exports_TIV]] + Clean_Data[[#This Row],[Imports_TIV]]</f>
        <v>10000000</v>
      </c>
    </row>
    <row r="1225" spans="1:9">
      <c r="A1225" s="4" t="s">
        <v>211</v>
      </c>
      <c r="B1225" s="4" t="s">
        <v>212</v>
      </c>
      <c r="C1225" s="5">
        <v>2017</v>
      </c>
      <c r="D1225" s="4">
        <v>0</v>
      </c>
      <c r="E1225" s="4">
        <v>5000000</v>
      </c>
      <c r="F1225" s="4" t="str">
        <f>_xlfn.LET(_xlpm.r, _xlfn.XLOOKUP(Clean_Data[[#This Row],[Country_Code]], Metadata_Country!$A:$A, Metadata_Country!$B:$B, "Unknown"), IF(OR(_xlpm.r=0, _xlpm.r=""), "Regional Aggregate", _xlpm.r))</f>
        <v>Europe &amp; Central Asia</v>
      </c>
      <c r="G1225" s="4" t="str">
        <f>_xlfn.LET(_xlpm.ig, _xlfn.XLOOKUP(Clean_Data[[#This Row],[Country_Code]], Metadata_Country!$A:$A, Metadata_Country!$C:$C, "Unknown"), IF(OR(_xlpm.ig=0, _xlpm.ig=""), "Regional Aggregate", _xlpm.ig))</f>
        <v>High income</v>
      </c>
      <c r="H1225" s="4">
        <f>Clean_Data[[#This Row],[Exports_TIV]] - Clean_Data[[#This Row],[Imports_TIV]]</f>
        <v>-5000000</v>
      </c>
      <c r="I1225" s="4">
        <f>Clean_Data[[#This Row],[Exports_TIV]] + Clean_Data[[#This Row],[Imports_TIV]]</f>
        <v>5000000</v>
      </c>
    </row>
    <row r="1226" spans="1:9">
      <c r="A1226" s="4" t="s">
        <v>213</v>
      </c>
      <c r="B1226" s="4" t="s">
        <v>214</v>
      </c>
      <c r="C1226" s="5">
        <v>2017</v>
      </c>
      <c r="D1226" s="4">
        <v>9131000000</v>
      </c>
      <c r="E1226" s="4">
        <v>15019000000</v>
      </c>
      <c r="F1226" s="4" t="str">
        <f>_xlfn.LET(_xlpm.r, _xlfn.XLOOKUP(Clean_Data[[#This Row],[Country_Code]], Metadata_Country!$A:$A, Metadata_Country!$B:$B, "Unknown"), IF(OR(_xlpm.r=0, _xlpm.r=""), "Regional Aggregate", _xlpm.r))</f>
        <v>Regional Aggregate</v>
      </c>
      <c r="G1226" s="4" t="str">
        <f>_xlfn.LET(_xlpm.ig, _xlfn.XLOOKUP(Clean_Data[[#This Row],[Country_Code]], Metadata_Country!$A:$A, Metadata_Country!$C:$C, "Unknown"), IF(OR(_xlpm.ig=0, _xlpm.ig=""), "Regional Aggregate", _xlpm.ig))</f>
        <v>Regional Aggregate</v>
      </c>
      <c r="H1226" s="4">
        <f>Clean_Data[[#This Row],[Exports_TIV]] - Clean_Data[[#This Row],[Imports_TIV]]</f>
        <v>-5888000000</v>
      </c>
      <c r="I1226" s="4">
        <f>Clean_Data[[#This Row],[Exports_TIV]] + Clean_Data[[#This Row],[Imports_TIV]]</f>
        <v>24150000000</v>
      </c>
    </row>
    <row r="1227" spans="1:9">
      <c r="A1227" s="4" t="s">
        <v>215</v>
      </c>
      <c r="B1227" s="4" t="s">
        <v>216</v>
      </c>
      <c r="C1227" s="5">
        <v>2017</v>
      </c>
      <c r="D1227" s="4">
        <v>9139000000</v>
      </c>
      <c r="E1227" s="4">
        <v>17200000000</v>
      </c>
      <c r="F1227" s="4" t="str">
        <f>_xlfn.LET(_xlpm.r, _xlfn.XLOOKUP(Clean_Data[[#This Row],[Country_Code]], Metadata_Country!$A:$A, Metadata_Country!$B:$B, "Unknown"), IF(OR(_xlpm.r=0, _xlpm.r=""), "Regional Aggregate", _xlpm.r))</f>
        <v>Regional Aggregate</v>
      </c>
      <c r="G1227" s="4" t="str">
        <f>_xlfn.LET(_xlpm.ig, _xlfn.XLOOKUP(Clean_Data[[#This Row],[Country_Code]], Metadata_Country!$A:$A, Metadata_Country!$C:$C, "Unknown"), IF(OR(_xlpm.ig=0, _xlpm.ig=""), "Regional Aggregate", _xlpm.ig))</f>
        <v>Regional Aggregate</v>
      </c>
      <c r="H1227" s="4">
        <f>Clean_Data[[#This Row],[Exports_TIV]] - Clean_Data[[#This Row],[Imports_TIV]]</f>
        <v>-8061000000</v>
      </c>
      <c r="I1227" s="4">
        <f>Clean_Data[[#This Row],[Exports_TIV]] + Clean_Data[[#This Row],[Imports_TIV]]</f>
        <v>26339000000</v>
      </c>
    </row>
    <row r="1228" spans="1:9">
      <c r="A1228" s="4" t="s">
        <v>219</v>
      </c>
      <c r="B1228" s="4" t="s">
        <v>220</v>
      </c>
      <c r="C1228" s="5">
        <v>2017</v>
      </c>
      <c r="D1228" s="4">
        <v>0</v>
      </c>
      <c r="E1228" s="4">
        <v>957000000</v>
      </c>
      <c r="F1228" s="4" t="str">
        <f>_xlfn.LET(_xlpm.r, _xlfn.XLOOKUP(Clean_Data[[#This Row],[Country_Code]], Metadata_Country!$A:$A, Metadata_Country!$B:$B, "Unknown"), IF(OR(_xlpm.r=0, _xlpm.r=""), "Regional Aggregate", _xlpm.r))</f>
        <v>Regional Aggregate</v>
      </c>
      <c r="G1228" s="4" t="str">
        <f>_xlfn.LET(_xlpm.ig, _xlfn.XLOOKUP(Clean_Data[[#This Row],[Country_Code]], Metadata_Country!$A:$A, Metadata_Country!$C:$C, "Unknown"), IF(OR(_xlpm.ig=0, _xlpm.ig=""), "Regional Aggregate", _xlpm.ig))</f>
        <v>Regional Aggregate</v>
      </c>
      <c r="H1228" s="4">
        <f>Clean_Data[[#This Row],[Exports_TIV]] - Clean_Data[[#This Row],[Imports_TIV]]</f>
        <v>-957000000</v>
      </c>
      <c r="I1228" s="4">
        <f>Clean_Data[[#This Row],[Exports_TIV]] + Clean_Data[[#This Row],[Imports_TIV]]</f>
        <v>957000000</v>
      </c>
    </row>
    <row r="1229" spans="1:9">
      <c r="A1229" s="4" t="s">
        <v>223</v>
      </c>
      <c r="B1229" s="4" t="s">
        <v>224</v>
      </c>
      <c r="C1229" s="5">
        <v>2017</v>
      </c>
      <c r="D1229" s="4">
        <v>0</v>
      </c>
      <c r="E1229" s="4">
        <v>1224000000</v>
      </c>
      <c r="F1229" s="4" t="str">
        <f>_xlfn.LET(_xlpm.r, _xlfn.XLOOKUP(Clean_Data[[#This Row],[Country_Code]], Metadata_Country!$A:$A, Metadata_Country!$B:$B, "Unknown"), IF(OR(_xlpm.r=0, _xlpm.r=""), "Regional Aggregate", _xlpm.r))</f>
        <v>Regional Aggregate</v>
      </c>
      <c r="G1229" s="4" t="str">
        <f>_xlfn.LET(_xlpm.ig, _xlfn.XLOOKUP(Clean_Data[[#This Row],[Country_Code]], Metadata_Country!$A:$A, Metadata_Country!$C:$C, "Unknown"), IF(OR(_xlpm.ig=0, _xlpm.ig=""), "Regional Aggregate", _xlpm.ig))</f>
        <v>Regional Aggregate</v>
      </c>
      <c r="H1229" s="4">
        <f>Clean_Data[[#This Row],[Exports_TIV]] - Clean_Data[[#This Row],[Imports_TIV]]</f>
        <v>-1224000000</v>
      </c>
      <c r="I1229" s="4">
        <f>Clean_Data[[#This Row],[Exports_TIV]] + Clean_Data[[#This Row],[Imports_TIV]]</f>
        <v>1224000000</v>
      </c>
    </row>
    <row r="1230" spans="1:9">
      <c r="A1230" s="4" t="s">
        <v>217</v>
      </c>
      <c r="B1230" s="4" t="s">
        <v>218</v>
      </c>
      <c r="C1230" s="5">
        <v>2017</v>
      </c>
      <c r="D1230" s="4">
        <v>0</v>
      </c>
      <c r="E1230" s="4">
        <v>2181000000</v>
      </c>
      <c r="F1230" s="4" t="str">
        <f>_xlfn.LET(_xlpm.r, _xlfn.XLOOKUP(Clean_Data[[#This Row],[Country_Code]], Metadata_Country!$A:$A, Metadata_Country!$B:$B, "Unknown"), IF(OR(_xlpm.r=0, _xlpm.r=""), "Regional Aggregate", _xlpm.r))</f>
        <v>Regional Aggregate</v>
      </c>
      <c r="G1230" s="4" t="str">
        <f>_xlfn.LET(_xlpm.ig, _xlfn.XLOOKUP(Clean_Data[[#This Row],[Country_Code]], Metadata_Country!$A:$A, Metadata_Country!$C:$C, "Unknown"), IF(OR(_xlpm.ig=0, _xlpm.ig=""), "Regional Aggregate", _xlpm.ig))</f>
        <v>Regional Aggregate</v>
      </c>
      <c r="H1230" s="4">
        <f>Clean_Data[[#This Row],[Exports_TIV]] - Clean_Data[[#This Row],[Imports_TIV]]</f>
        <v>-2181000000</v>
      </c>
      <c r="I1230" s="4">
        <f>Clean_Data[[#This Row],[Exports_TIV]] + Clean_Data[[#This Row],[Imports_TIV]]</f>
        <v>2181000000</v>
      </c>
    </row>
    <row r="1231" spans="1:9">
      <c r="A1231" s="4" t="s">
        <v>227</v>
      </c>
      <c r="B1231" s="4" t="s">
        <v>228</v>
      </c>
      <c r="C1231" s="5">
        <v>2017</v>
      </c>
      <c r="D1231" s="4">
        <v>56000000</v>
      </c>
      <c r="E1231" s="4">
        <v>2682000000</v>
      </c>
      <c r="F1231" s="4" t="str">
        <f>_xlfn.LET(_xlpm.r, _xlfn.XLOOKUP(Clean_Data[[#This Row],[Country_Code]], Metadata_Country!$A:$A, Metadata_Country!$B:$B, "Unknown"), IF(OR(_xlpm.r=0, _xlpm.r=""), "Regional Aggregate", _xlpm.r))</f>
        <v>South Asia</v>
      </c>
      <c r="G1231" s="4" t="str">
        <f>_xlfn.LET(_xlpm.ig, _xlfn.XLOOKUP(Clean_Data[[#This Row],[Country_Code]], Metadata_Country!$A:$A, Metadata_Country!$C:$C, "Unknown"), IF(OR(_xlpm.ig=0, _xlpm.ig=""), "Regional Aggregate", _xlpm.ig))</f>
        <v>Lower middle income</v>
      </c>
      <c r="H1231" s="4">
        <f>Clean_Data[[#This Row],[Exports_TIV]] - Clean_Data[[#This Row],[Imports_TIV]]</f>
        <v>-2626000000</v>
      </c>
      <c r="I1231" s="4">
        <f>Clean_Data[[#This Row],[Exports_TIV]] + Clean_Data[[#This Row],[Imports_TIV]]</f>
        <v>2738000000</v>
      </c>
    </row>
    <row r="1232" spans="1:9">
      <c r="A1232" s="4" t="s">
        <v>221</v>
      </c>
      <c r="B1232" s="4" t="s">
        <v>222</v>
      </c>
      <c r="C1232" s="5">
        <v>2017</v>
      </c>
      <c r="D1232" s="4">
        <v>94000000</v>
      </c>
      <c r="E1232" s="4">
        <v>1171000000</v>
      </c>
      <c r="F1232" s="4" t="str">
        <f>_xlfn.LET(_xlpm.r, _xlfn.XLOOKUP(Clean_Data[[#This Row],[Country_Code]], Metadata_Country!$A:$A, Metadata_Country!$B:$B, "Unknown"), IF(OR(_xlpm.r=0, _xlpm.r=""), "Regional Aggregate", _xlpm.r))</f>
        <v>East Asia &amp; Pacific</v>
      </c>
      <c r="G1232" s="4" t="str">
        <f>_xlfn.LET(_xlpm.ig, _xlfn.XLOOKUP(Clean_Data[[#This Row],[Country_Code]], Metadata_Country!$A:$A, Metadata_Country!$C:$C, "Unknown"), IF(OR(_xlpm.ig=0, _xlpm.ig=""), "Regional Aggregate", _xlpm.ig))</f>
        <v>Upper middle income</v>
      </c>
      <c r="H1232" s="4">
        <f>Clean_Data[[#This Row],[Exports_TIV]] - Clean_Data[[#This Row],[Imports_TIV]]</f>
        <v>-1077000000</v>
      </c>
      <c r="I1232" s="4">
        <f>Clean_Data[[#This Row],[Exports_TIV]] + Clean_Data[[#This Row],[Imports_TIV]]</f>
        <v>1265000000</v>
      </c>
    </row>
    <row r="1233" spans="1:9">
      <c r="A1233" s="4" t="s">
        <v>233</v>
      </c>
      <c r="B1233" s="4" t="s">
        <v>234</v>
      </c>
      <c r="C1233" s="5">
        <v>2017</v>
      </c>
      <c r="D1233" s="4">
        <v>24000000</v>
      </c>
      <c r="E1233" s="4">
        <v>3000000</v>
      </c>
      <c r="F1233" s="4" t="str">
        <f>_xlfn.LET(_xlpm.r, _xlfn.XLOOKUP(Clean_Data[[#This Row],[Country_Code]], Metadata_Country!$A:$A, Metadata_Country!$B:$B, "Unknown"), IF(OR(_xlpm.r=0, _xlpm.r=""), "Regional Aggregate", _xlpm.r))</f>
        <v>Middle East &amp; North Africa</v>
      </c>
      <c r="G1233" s="4" t="str">
        <f>_xlfn.LET(_xlpm.ig, _xlfn.XLOOKUP(Clean_Data[[#This Row],[Country_Code]], Metadata_Country!$A:$A, Metadata_Country!$C:$C, "Unknown"), IF(OR(_xlpm.ig=0, _xlpm.ig=""), "Regional Aggregate", _xlpm.ig))</f>
        <v>Upper middle income</v>
      </c>
      <c r="H1233" s="4">
        <f>Clean_Data[[#This Row],[Exports_TIV]] - Clean_Data[[#This Row],[Imports_TIV]]</f>
        <v>21000000</v>
      </c>
      <c r="I1233" s="4">
        <f>Clean_Data[[#This Row],[Exports_TIV]] + Clean_Data[[#This Row],[Imports_TIV]]</f>
        <v>27000000</v>
      </c>
    </row>
    <row r="1234" spans="1:9">
      <c r="A1234" s="4" t="s">
        <v>235</v>
      </c>
      <c r="B1234" s="4" t="s">
        <v>236</v>
      </c>
      <c r="C1234" s="5">
        <v>2017</v>
      </c>
      <c r="D1234" s="4">
        <v>0</v>
      </c>
      <c r="E1234" s="4">
        <v>945000000</v>
      </c>
      <c r="F1234" s="4" t="str">
        <f>_xlfn.LET(_xlpm.r, _xlfn.XLOOKUP(Clean_Data[[#This Row],[Country_Code]], Metadata_Country!$A:$A, Metadata_Country!$B:$B, "Unknown"), IF(OR(_xlpm.r=0, _xlpm.r=""), "Regional Aggregate", _xlpm.r))</f>
        <v>Middle East &amp; North Africa</v>
      </c>
      <c r="G1234" s="4" t="str">
        <f>_xlfn.LET(_xlpm.ig, _xlfn.XLOOKUP(Clean_Data[[#This Row],[Country_Code]], Metadata_Country!$A:$A, Metadata_Country!$C:$C, "Unknown"), IF(OR(_xlpm.ig=0, _xlpm.ig=""), "Regional Aggregate", _xlpm.ig))</f>
        <v>Upper middle income</v>
      </c>
      <c r="H1234" s="4">
        <f>Clean_Data[[#This Row],[Exports_TIV]] - Clean_Data[[#This Row],[Imports_TIV]]</f>
        <v>-945000000</v>
      </c>
      <c r="I1234" s="4">
        <f>Clean_Data[[#This Row],[Exports_TIV]] + Clean_Data[[#This Row],[Imports_TIV]]</f>
        <v>945000000</v>
      </c>
    </row>
    <row r="1235" spans="1:9">
      <c r="A1235" s="4" t="s">
        <v>231</v>
      </c>
      <c r="B1235" s="4" t="s">
        <v>232</v>
      </c>
      <c r="C1235" s="5">
        <v>2017</v>
      </c>
      <c r="D1235" s="4">
        <v>0</v>
      </c>
      <c r="E1235" s="4">
        <v>2000000</v>
      </c>
      <c r="F1235" s="4" t="str">
        <f>_xlfn.LET(_xlpm.r, _xlfn.XLOOKUP(Clean_Data[[#This Row],[Country_Code]], Metadata_Country!$A:$A, Metadata_Country!$B:$B, "Unknown"), IF(OR(_xlpm.r=0, _xlpm.r=""), "Regional Aggregate", _xlpm.r))</f>
        <v>Europe &amp; Central Asia</v>
      </c>
      <c r="G1235" s="4" t="str">
        <f>_xlfn.LET(_xlpm.ig, _xlfn.XLOOKUP(Clean_Data[[#This Row],[Country_Code]], Metadata_Country!$A:$A, Metadata_Country!$C:$C, "Unknown"), IF(OR(_xlpm.ig=0, _xlpm.ig=""), "Regional Aggregate", _xlpm.ig))</f>
        <v>High income</v>
      </c>
      <c r="H1235" s="4">
        <f>Clean_Data[[#This Row],[Exports_TIV]] - Clean_Data[[#This Row],[Imports_TIV]]</f>
        <v>-2000000</v>
      </c>
      <c r="I1235" s="4">
        <f>Clean_Data[[#This Row],[Exports_TIV]] + Clean_Data[[#This Row],[Imports_TIV]]</f>
        <v>2000000</v>
      </c>
    </row>
    <row r="1236" spans="1:9">
      <c r="A1236" s="4" t="s">
        <v>239</v>
      </c>
      <c r="B1236" s="4" t="s">
        <v>240</v>
      </c>
      <c r="C1236" s="5">
        <v>2017</v>
      </c>
      <c r="D1236" s="4">
        <v>1215000000</v>
      </c>
      <c r="E1236" s="4">
        <v>565000000</v>
      </c>
      <c r="F1236" s="4" t="str">
        <f>_xlfn.LET(_xlpm.r, _xlfn.XLOOKUP(Clean_Data[[#This Row],[Country_Code]], Metadata_Country!$A:$A, Metadata_Country!$B:$B, "Unknown"), IF(OR(_xlpm.r=0, _xlpm.r=""), "Regional Aggregate", _xlpm.r))</f>
        <v>Middle East &amp; North Africa</v>
      </c>
      <c r="G1236" s="4" t="str">
        <f>_xlfn.LET(_xlpm.ig, _xlfn.XLOOKUP(Clean_Data[[#This Row],[Country_Code]], Metadata_Country!$A:$A, Metadata_Country!$C:$C, "Unknown"), IF(OR(_xlpm.ig=0, _xlpm.ig=""), "Regional Aggregate", _xlpm.ig))</f>
        <v>High income</v>
      </c>
      <c r="H1236" s="4">
        <f>Clean_Data[[#This Row],[Exports_TIV]] - Clean_Data[[#This Row],[Imports_TIV]]</f>
        <v>650000000</v>
      </c>
      <c r="I1236" s="4">
        <f>Clean_Data[[#This Row],[Exports_TIV]] + Clean_Data[[#This Row],[Imports_TIV]]</f>
        <v>1780000000</v>
      </c>
    </row>
    <row r="1237" spans="1:9">
      <c r="A1237" s="4" t="s">
        <v>241</v>
      </c>
      <c r="B1237" s="4" t="s">
        <v>242</v>
      </c>
      <c r="C1237" s="5">
        <v>2017</v>
      </c>
      <c r="D1237" s="4">
        <v>703000000</v>
      </c>
      <c r="E1237" s="4">
        <v>709000000</v>
      </c>
      <c r="F1237" s="4" t="str">
        <f>_xlfn.LET(_xlpm.r, _xlfn.XLOOKUP(Clean_Data[[#This Row],[Country_Code]], Metadata_Country!$A:$A, Metadata_Country!$B:$B, "Unknown"), IF(OR(_xlpm.r=0, _xlpm.r=""), "Regional Aggregate", _xlpm.r))</f>
        <v>Europe &amp; Central Asia</v>
      </c>
      <c r="G1237" s="4" t="str">
        <f>_xlfn.LET(_xlpm.ig, _xlfn.XLOOKUP(Clean_Data[[#This Row],[Country_Code]], Metadata_Country!$A:$A, Metadata_Country!$C:$C, "Unknown"), IF(OR(_xlpm.ig=0, _xlpm.ig=""), "Regional Aggregate", _xlpm.ig))</f>
        <v>High income</v>
      </c>
      <c r="H1237" s="4">
        <f>Clean_Data[[#This Row],[Exports_TIV]] - Clean_Data[[#This Row],[Imports_TIV]]</f>
        <v>-6000000</v>
      </c>
      <c r="I1237" s="4">
        <f>Clean_Data[[#This Row],[Exports_TIV]] + Clean_Data[[#This Row],[Imports_TIV]]</f>
        <v>1412000000</v>
      </c>
    </row>
    <row r="1238" spans="1:9">
      <c r="A1238" s="4" t="s">
        <v>247</v>
      </c>
      <c r="B1238" s="4" t="s">
        <v>248</v>
      </c>
      <c r="C1238" s="5">
        <v>2017</v>
      </c>
      <c r="D1238" s="4">
        <v>2000000</v>
      </c>
      <c r="E1238" s="4">
        <v>446000000</v>
      </c>
      <c r="F1238" s="4" t="str">
        <f>_xlfn.LET(_xlpm.r, _xlfn.XLOOKUP(Clean_Data[[#This Row],[Country_Code]], Metadata_Country!$A:$A, Metadata_Country!$B:$B, "Unknown"), IF(OR(_xlpm.r=0, _xlpm.r=""), "Regional Aggregate", _xlpm.r))</f>
        <v>East Asia &amp; Pacific</v>
      </c>
      <c r="G1238" s="4" t="str">
        <f>_xlfn.LET(_xlpm.ig, _xlfn.XLOOKUP(Clean_Data[[#This Row],[Country_Code]], Metadata_Country!$A:$A, Metadata_Country!$C:$C, "Unknown"), IF(OR(_xlpm.ig=0, _xlpm.ig=""), "Regional Aggregate", _xlpm.ig))</f>
        <v>High income</v>
      </c>
      <c r="H1238" s="4">
        <f>Clean_Data[[#This Row],[Exports_TIV]] - Clean_Data[[#This Row],[Imports_TIV]]</f>
        <v>-444000000</v>
      </c>
      <c r="I1238" s="4">
        <f>Clean_Data[[#This Row],[Exports_TIV]] + Clean_Data[[#This Row],[Imports_TIV]]</f>
        <v>448000000</v>
      </c>
    </row>
    <row r="1239" spans="1:9">
      <c r="A1239" s="4" t="s">
        <v>245</v>
      </c>
      <c r="B1239" s="4" t="s">
        <v>246</v>
      </c>
      <c r="C1239" s="5">
        <v>2017</v>
      </c>
      <c r="D1239" s="4">
        <v>80000000</v>
      </c>
      <c r="E1239" s="4">
        <v>363000000</v>
      </c>
      <c r="F1239" s="4" t="str">
        <f>_xlfn.LET(_xlpm.r, _xlfn.XLOOKUP(Clean_Data[[#This Row],[Country_Code]], Metadata_Country!$A:$A, Metadata_Country!$B:$B, "Unknown"), IF(OR(_xlpm.r=0, _xlpm.r=""), "Regional Aggregate", _xlpm.r))</f>
        <v>Middle East &amp; North Africa</v>
      </c>
      <c r="G1239" s="4" t="str">
        <f>_xlfn.LET(_xlpm.ig, _xlfn.XLOOKUP(Clean_Data[[#This Row],[Country_Code]], Metadata_Country!$A:$A, Metadata_Country!$C:$C, "Unknown"), IF(OR(_xlpm.ig=0, _xlpm.ig=""), "Regional Aggregate", _xlpm.ig))</f>
        <v>Upper middle income</v>
      </c>
      <c r="H1239" s="4">
        <f>Clean_Data[[#This Row],[Exports_TIV]] - Clean_Data[[#This Row],[Imports_TIV]]</f>
        <v>-283000000</v>
      </c>
      <c r="I1239" s="4">
        <f>Clean_Data[[#This Row],[Exports_TIV]] + Clean_Data[[#This Row],[Imports_TIV]]</f>
        <v>443000000</v>
      </c>
    </row>
    <row r="1240" spans="1:9">
      <c r="A1240" s="4" t="s">
        <v>249</v>
      </c>
      <c r="B1240" s="4" t="s">
        <v>250</v>
      </c>
      <c r="C1240" s="5">
        <v>2017</v>
      </c>
      <c r="D1240" s="4">
        <v>0</v>
      </c>
      <c r="E1240" s="4">
        <v>221000000</v>
      </c>
      <c r="F1240" s="4" t="str">
        <f>_xlfn.LET(_xlpm.r, _xlfn.XLOOKUP(Clean_Data[[#This Row],[Country_Code]], Metadata_Country!$A:$A, Metadata_Country!$B:$B, "Unknown"), IF(OR(_xlpm.r=0, _xlpm.r=""), "Regional Aggregate", _xlpm.r))</f>
        <v>Europe &amp; Central Asia</v>
      </c>
      <c r="G1240" s="4" t="str">
        <f>_xlfn.LET(_xlpm.ig, _xlfn.XLOOKUP(Clean_Data[[#This Row],[Country_Code]], Metadata_Country!$A:$A, Metadata_Country!$C:$C, "Unknown"), IF(OR(_xlpm.ig=0, _xlpm.ig=""), "Regional Aggregate", _xlpm.ig))</f>
        <v>Upper middle income</v>
      </c>
      <c r="H1240" s="4">
        <f>Clean_Data[[#This Row],[Exports_TIV]] - Clean_Data[[#This Row],[Imports_TIV]]</f>
        <v>-221000000</v>
      </c>
      <c r="I1240" s="4">
        <f>Clean_Data[[#This Row],[Exports_TIV]] + Clean_Data[[#This Row],[Imports_TIV]]</f>
        <v>221000000</v>
      </c>
    </row>
    <row r="1241" spans="1:9">
      <c r="A1241" s="4" t="s">
        <v>251</v>
      </c>
      <c r="B1241" s="4" t="s">
        <v>252</v>
      </c>
      <c r="C1241" s="5">
        <v>2017</v>
      </c>
      <c r="D1241" s="4">
        <v>0</v>
      </c>
      <c r="E1241" s="4">
        <v>17000000</v>
      </c>
      <c r="F1241" s="4" t="str">
        <f>_xlfn.LET(_xlpm.r, _xlfn.XLOOKUP(Clean_Data[[#This Row],[Country_Code]], Metadata_Country!$A:$A, Metadata_Country!$B:$B, "Unknown"), IF(OR(_xlpm.r=0, _xlpm.r=""), "Regional Aggregate", _xlpm.r))</f>
        <v>Sub-Saharan Africa</v>
      </c>
      <c r="G1241" s="4" t="str">
        <f>_xlfn.LET(_xlpm.ig, _xlfn.XLOOKUP(Clean_Data[[#This Row],[Country_Code]], Metadata_Country!$A:$A, Metadata_Country!$C:$C, "Unknown"), IF(OR(_xlpm.ig=0, _xlpm.ig=""), "Regional Aggregate", _xlpm.ig))</f>
        <v>Lower middle income</v>
      </c>
      <c r="H1241" s="4">
        <f>Clean_Data[[#This Row],[Exports_TIV]] - Clean_Data[[#This Row],[Imports_TIV]]</f>
        <v>-17000000</v>
      </c>
      <c r="I1241" s="4">
        <f>Clean_Data[[#This Row],[Exports_TIV]] + Clean_Data[[#This Row],[Imports_TIV]]</f>
        <v>17000000</v>
      </c>
    </row>
    <row r="1242" spans="1:9">
      <c r="A1242" s="4" t="s">
        <v>261</v>
      </c>
      <c r="B1242" s="4" t="s">
        <v>262</v>
      </c>
      <c r="C1242" s="5">
        <v>2017</v>
      </c>
      <c r="D1242" s="4">
        <v>700000000</v>
      </c>
      <c r="E1242" s="4">
        <v>962000000</v>
      </c>
      <c r="F1242" s="4" t="str">
        <f>_xlfn.LET(_xlpm.r, _xlfn.XLOOKUP(Clean_Data[[#This Row],[Country_Code]], Metadata_Country!$A:$A, Metadata_Country!$B:$B, "Unknown"), IF(OR(_xlpm.r=0, _xlpm.r=""), "Regional Aggregate", _xlpm.r))</f>
        <v>East Asia &amp; Pacific</v>
      </c>
      <c r="G1242" s="4" t="str">
        <f>_xlfn.LET(_xlpm.ig, _xlfn.XLOOKUP(Clean_Data[[#This Row],[Country_Code]], Metadata_Country!$A:$A, Metadata_Country!$C:$C, "Unknown"), IF(OR(_xlpm.ig=0, _xlpm.ig=""), "Regional Aggregate", _xlpm.ig))</f>
        <v>High income</v>
      </c>
      <c r="H1242" s="4">
        <f>Clean_Data[[#This Row],[Exports_TIV]] - Clean_Data[[#This Row],[Imports_TIV]]</f>
        <v>-262000000</v>
      </c>
      <c r="I1242" s="4">
        <f>Clean_Data[[#This Row],[Exports_TIV]] + Clean_Data[[#This Row],[Imports_TIV]]</f>
        <v>1662000000</v>
      </c>
    </row>
    <row r="1243" spans="1:9">
      <c r="A1243" s="4" t="s">
        <v>263</v>
      </c>
      <c r="B1243" s="4" t="s">
        <v>264</v>
      </c>
      <c r="C1243" s="5">
        <v>2017</v>
      </c>
      <c r="D1243" s="4">
        <v>0</v>
      </c>
      <c r="E1243" s="4">
        <v>113000000</v>
      </c>
      <c r="F1243" s="4" t="str">
        <f>_xlfn.LET(_xlpm.r, _xlfn.XLOOKUP(Clean_Data[[#This Row],[Country_Code]], Metadata_Country!$A:$A, Metadata_Country!$B:$B, "Unknown"), IF(OR(_xlpm.r=0, _xlpm.r=""), "Regional Aggregate", _xlpm.r))</f>
        <v>Middle East &amp; North Africa</v>
      </c>
      <c r="G1243" s="4" t="str">
        <f>_xlfn.LET(_xlpm.ig, _xlfn.XLOOKUP(Clean_Data[[#This Row],[Country_Code]], Metadata_Country!$A:$A, Metadata_Country!$C:$C, "Unknown"), IF(OR(_xlpm.ig=0, _xlpm.ig=""), "Regional Aggregate", _xlpm.ig))</f>
        <v>High income</v>
      </c>
      <c r="H1243" s="4">
        <f>Clean_Data[[#This Row],[Exports_TIV]] - Clean_Data[[#This Row],[Imports_TIV]]</f>
        <v>-113000000</v>
      </c>
      <c r="I1243" s="4">
        <f>Clean_Data[[#This Row],[Exports_TIV]] + Clean_Data[[#This Row],[Imports_TIV]]</f>
        <v>113000000</v>
      </c>
    </row>
    <row r="1244" spans="1:9">
      <c r="A1244" s="4" t="s">
        <v>253</v>
      </c>
      <c r="B1244" s="4" t="s">
        <v>254</v>
      </c>
      <c r="C1244" s="5">
        <v>2017</v>
      </c>
      <c r="D1244" s="4">
        <v>5000000</v>
      </c>
      <c r="E1244" s="4">
        <v>12000000</v>
      </c>
      <c r="F1244" s="4" t="str">
        <f>_xlfn.LET(_xlpm.r, _xlfn.XLOOKUP(Clean_Data[[#This Row],[Country_Code]], Metadata_Country!$A:$A, Metadata_Country!$B:$B, "Unknown"), IF(OR(_xlpm.r=0, _xlpm.r=""), "Regional Aggregate", _xlpm.r))</f>
        <v>Europe &amp; Central Asia</v>
      </c>
      <c r="G1244" s="4" t="str">
        <f>_xlfn.LET(_xlpm.ig, _xlfn.XLOOKUP(Clean_Data[[#This Row],[Country_Code]], Metadata_Country!$A:$A, Metadata_Country!$C:$C, "Unknown"), IF(OR(_xlpm.ig=0, _xlpm.ig=""), "Regional Aggregate", _xlpm.ig))</f>
        <v>Lower middle income</v>
      </c>
      <c r="H1244" s="4">
        <f>Clean_Data[[#This Row],[Exports_TIV]] - Clean_Data[[#This Row],[Imports_TIV]]</f>
        <v>-7000000</v>
      </c>
      <c r="I1244" s="4">
        <f>Clean_Data[[#This Row],[Exports_TIV]] + Clean_Data[[#This Row],[Imports_TIV]]</f>
        <v>17000000</v>
      </c>
    </row>
    <row r="1245" spans="1:9">
      <c r="A1245" s="4" t="s">
        <v>267</v>
      </c>
      <c r="B1245" s="4" t="s">
        <v>268</v>
      </c>
      <c r="C1245" s="5">
        <v>2017</v>
      </c>
      <c r="D1245" s="4">
        <v>0</v>
      </c>
      <c r="E1245" s="4">
        <v>2000000</v>
      </c>
      <c r="F1245" s="4" t="str">
        <f>_xlfn.LET(_xlpm.r, _xlfn.XLOOKUP(Clean_Data[[#This Row],[Country_Code]], Metadata_Country!$A:$A, Metadata_Country!$B:$B, "Unknown"), IF(OR(_xlpm.r=0, _xlpm.r=""), "Regional Aggregate", _xlpm.r))</f>
        <v>East Asia &amp; Pacific</v>
      </c>
      <c r="G1245" s="4" t="str">
        <f>_xlfn.LET(_xlpm.ig, _xlfn.XLOOKUP(Clean_Data[[#This Row],[Country_Code]], Metadata_Country!$A:$A, Metadata_Country!$C:$C, "Unknown"), IF(OR(_xlpm.ig=0, _xlpm.ig=""), "Regional Aggregate", _xlpm.ig))</f>
        <v>Lower middle income</v>
      </c>
      <c r="H1245" s="4">
        <f>Clean_Data[[#This Row],[Exports_TIV]] - Clean_Data[[#This Row],[Imports_TIV]]</f>
        <v>-2000000</v>
      </c>
      <c r="I1245" s="4">
        <f>Clean_Data[[#This Row],[Exports_TIV]] + Clean_Data[[#This Row],[Imports_TIV]]</f>
        <v>2000000</v>
      </c>
    </row>
    <row r="1246" spans="1:9">
      <c r="A1246" s="4" t="s">
        <v>293</v>
      </c>
      <c r="B1246" s="4" t="s">
        <v>294</v>
      </c>
      <c r="C1246" s="5">
        <v>2017</v>
      </c>
      <c r="D1246" s="4">
        <v>8264000000</v>
      </c>
      <c r="E1246" s="4">
        <v>7042000000</v>
      </c>
      <c r="F1246" s="4" t="str">
        <f>_xlfn.LET(_xlpm.r, _xlfn.XLOOKUP(Clean_Data[[#This Row],[Country_Code]], Metadata_Country!$A:$A, Metadata_Country!$B:$B, "Unknown"), IF(OR(_xlpm.r=0, _xlpm.r=""), "Regional Aggregate", _xlpm.r))</f>
        <v>Regional Aggregate</v>
      </c>
      <c r="G1246" s="4" t="str">
        <f>_xlfn.LET(_xlpm.ig, _xlfn.XLOOKUP(Clean_Data[[#This Row],[Country_Code]], Metadata_Country!$A:$A, Metadata_Country!$C:$C, "Unknown"), IF(OR(_xlpm.ig=0, _xlpm.ig=""), "Regional Aggregate", _xlpm.ig))</f>
        <v>Regional Aggregate</v>
      </c>
      <c r="H1246" s="4">
        <f>Clean_Data[[#This Row],[Exports_TIV]] - Clean_Data[[#This Row],[Imports_TIV]]</f>
        <v>1222000000</v>
      </c>
      <c r="I1246" s="4">
        <f>Clean_Data[[#This Row],[Exports_TIV]] + Clean_Data[[#This Row],[Imports_TIV]]</f>
        <v>15306000000</v>
      </c>
    </row>
    <row r="1247" spans="1:9">
      <c r="A1247" s="4" t="s">
        <v>277</v>
      </c>
      <c r="B1247" s="4" t="s">
        <v>278</v>
      </c>
      <c r="C1247" s="5">
        <v>2017</v>
      </c>
      <c r="D1247" s="4">
        <v>0</v>
      </c>
      <c r="E1247" s="4">
        <v>583000000</v>
      </c>
      <c r="F1247" s="4" t="str">
        <f>_xlfn.LET(_xlpm.r, _xlfn.XLOOKUP(Clean_Data[[#This Row],[Country_Code]], Metadata_Country!$A:$A, Metadata_Country!$B:$B, "Unknown"), IF(OR(_xlpm.r=0, _xlpm.r=""), "Regional Aggregate", _xlpm.r))</f>
        <v>Regional Aggregate</v>
      </c>
      <c r="G1247" s="4" t="str">
        <f>_xlfn.LET(_xlpm.ig, _xlfn.XLOOKUP(Clean_Data[[#This Row],[Country_Code]], Metadata_Country!$A:$A, Metadata_Country!$C:$C, "Unknown"), IF(OR(_xlpm.ig=0, _xlpm.ig=""), "Regional Aggregate", _xlpm.ig))</f>
        <v>Regional Aggregate</v>
      </c>
      <c r="H1247" s="4">
        <f>Clean_Data[[#This Row],[Exports_TIV]] - Clean_Data[[#This Row],[Imports_TIV]]</f>
        <v>-583000000</v>
      </c>
      <c r="I1247" s="4">
        <f>Clean_Data[[#This Row],[Exports_TIV]] + Clean_Data[[#This Row],[Imports_TIV]]</f>
        <v>583000000</v>
      </c>
    </row>
    <row r="1248" spans="1:9">
      <c r="A1248" s="4" t="s">
        <v>265</v>
      </c>
      <c r="B1248" s="4" t="s">
        <v>266</v>
      </c>
      <c r="C1248" s="5">
        <v>2017</v>
      </c>
      <c r="D1248" s="4">
        <v>0</v>
      </c>
      <c r="E1248" s="4">
        <v>522000000</v>
      </c>
      <c r="F1248" s="4" t="str">
        <f>_xlfn.LET(_xlpm.r, _xlfn.XLOOKUP(Clean_Data[[#This Row],[Country_Code]], Metadata_Country!$A:$A, Metadata_Country!$B:$B, "Unknown"), IF(OR(_xlpm.r=0, _xlpm.r=""), "Regional Aggregate", _xlpm.r))</f>
        <v>Regional Aggregate</v>
      </c>
      <c r="G1248" s="4" t="str">
        <f>_xlfn.LET(_xlpm.ig, _xlfn.XLOOKUP(Clean_Data[[#This Row],[Country_Code]], Metadata_Country!$A:$A, Metadata_Country!$C:$C, "Unknown"), IF(OR(_xlpm.ig=0, _xlpm.ig=""), "Regional Aggregate", _xlpm.ig))</f>
        <v>Regional Aggregate</v>
      </c>
      <c r="H1248" s="4">
        <f>Clean_Data[[#This Row],[Exports_TIV]] - Clean_Data[[#This Row],[Imports_TIV]]</f>
        <v>-522000000</v>
      </c>
      <c r="I1248" s="4">
        <f>Clean_Data[[#This Row],[Exports_TIV]] + Clean_Data[[#This Row],[Imports_TIV]]</f>
        <v>522000000</v>
      </c>
    </row>
    <row r="1249" spans="1:9">
      <c r="A1249" s="4" t="s">
        <v>481</v>
      </c>
      <c r="B1249" s="4" t="s">
        <v>482</v>
      </c>
      <c r="C1249" s="5">
        <v>2017</v>
      </c>
      <c r="D1249" s="4">
        <v>0</v>
      </c>
      <c r="E1249" s="4">
        <v>571000000</v>
      </c>
      <c r="F1249" s="4" t="str">
        <f>_xlfn.LET(_xlpm.r, _xlfn.XLOOKUP(Clean_Data[[#This Row],[Country_Code]], Metadata_Country!$A:$A, Metadata_Country!$B:$B, "Unknown"), IF(OR(_xlpm.r=0, _xlpm.r=""), "Regional Aggregate", _xlpm.r))</f>
        <v>Regional Aggregate</v>
      </c>
      <c r="G1249" s="4" t="str">
        <f>_xlfn.LET(_xlpm.ig, _xlfn.XLOOKUP(Clean_Data[[#This Row],[Country_Code]], Metadata_Country!$A:$A, Metadata_Country!$C:$C, "Unknown"), IF(OR(_xlpm.ig=0, _xlpm.ig=""), "Regional Aggregate", _xlpm.ig))</f>
        <v>Regional Aggregate</v>
      </c>
      <c r="H1249" s="4">
        <f>Clean_Data[[#This Row],[Exports_TIV]] - Clean_Data[[#This Row],[Imports_TIV]]</f>
        <v>-571000000</v>
      </c>
      <c r="I1249" s="4">
        <f>Clean_Data[[#This Row],[Exports_TIV]] + Clean_Data[[#This Row],[Imports_TIV]]</f>
        <v>571000000</v>
      </c>
    </row>
    <row r="1250" spans="1:9">
      <c r="A1250" s="4" t="s">
        <v>299</v>
      </c>
      <c r="B1250" s="4" t="s">
        <v>300</v>
      </c>
      <c r="C1250" s="5">
        <v>2017</v>
      </c>
      <c r="D1250" s="4">
        <v>0</v>
      </c>
      <c r="E1250" s="4">
        <v>30000000</v>
      </c>
      <c r="F1250" s="4" t="str">
        <f>_xlfn.LET(_xlpm.r, _xlfn.XLOOKUP(Clean_Data[[#This Row],[Country_Code]], Metadata_Country!$A:$A, Metadata_Country!$B:$B, "Unknown"), IF(OR(_xlpm.r=0, _xlpm.r=""), "Regional Aggregate", _xlpm.r))</f>
        <v>Europe &amp; Central Asia</v>
      </c>
      <c r="G1250" s="4" t="str">
        <f>_xlfn.LET(_xlpm.ig, _xlfn.XLOOKUP(Clean_Data[[#This Row],[Country_Code]], Metadata_Country!$A:$A, Metadata_Country!$C:$C, "Unknown"), IF(OR(_xlpm.ig=0, _xlpm.ig=""), "Regional Aggregate", _xlpm.ig))</f>
        <v>High income</v>
      </c>
      <c r="H1250" s="4">
        <f>Clean_Data[[#This Row],[Exports_TIV]] - Clean_Data[[#This Row],[Imports_TIV]]</f>
        <v>-30000000</v>
      </c>
      <c r="I1250" s="4">
        <f>Clean_Data[[#This Row],[Exports_TIV]] + Clean_Data[[#This Row],[Imports_TIV]]</f>
        <v>30000000</v>
      </c>
    </row>
    <row r="1251" spans="1:9">
      <c r="A1251" s="4" t="s">
        <v>279</v>
      </c>
      <c r="B1251" s="4" t="s">
        <v>280</v>
      </c>
      <c r="C1251" s="5">
        <v>2017</v>
      </c>
      <c r="D1251" s="4">
        <v>0</v>
      </c>
      <c r="E1251" s="4">
        <v>1192000000</v>
      </c>
      <c r="F1251" s="4" t="str">
        <f>_xlfn.LET(_xlpm.r, _xlfn.XLOOKUP(Clean_Data[[#This Row],[Country_Code]], Metadata_Country!$A:$A, Metadata_Country!$B:$B, "Unknown"), IF(OR(_xlpm.r=0, _xlpm.r=""), "Regional Aggregate", _xlpm.r))</f>
        <v>Regional Aggregate</v>
      </c>
      <c r="G1251" s="4" t="str">
        <f>_xlfn.LET(_xlpm.ig, _xlfn.XLOOKUP(Clean_Data[[#This Row],[Country_Code]], Metadata_Country!$A:$A, Metadata_Country!$C:$C, "Unknown"), IF(OR(_xlpm.ig=0, _xlpm.ig=""), "Regional Aggregate", _xlpm.ig))</f>
        <v>Regional Aggregate</v>
      </c>
      <c r="H1251" s="4">
        <f>Clean_Data[[#This Row],[Exports_TIV]] - Clean_Data[[#This Row],[Imports_TIV]]</f>
        <v>-1192000000</v>
      </c>
      <c r="I1251" s="4">
        <f>Clean_Data[[#This Row],[Exports_TIV]] + Clean_Data[[#This Row],[Imports_TIV]]</f>
        <v>1192000000</v>
      </c>
    </row>
    <row r="1252" spans="1:9">
      <c r="A1252" s="4" t="s">
        <v>269</v>
      </c>
      <c r="B1252" s="4" t="s">
        <v>270</v>
      </c>
      <c r="C1252" s="5">
        <v>2017</v>
      </c>
      <c r="D1252" s="4">
        <v>0</v>
      </c>
      <c r="E1252" s="4">
        <v>48000000</v>
      </c>
      <c r="F1252" s="4" t="str">
        <f>_xlfn.LET(_xlpm.r, _xlfn.XLOOKUP(Clean_Data[[#This Row],[Country_Code]], Metadata_Country!$A:$A, Metadata_Country!$B:$B, "Unknown"), IF(OR(_xlpm.r=0, _xlpm.r=""), "Regional Aggregate", _xlpm.r))</f>
        <v>Middle East &amp; North Africa</v>
      </c>
      <c r="G1252" s="4" t="str">
        <f>_xlfn.LET(_xlpm.ig, _xlfn.XLOOKUP(Clean_Data[[#This Row],[Country_Code]], Metadata_Country!$A:$A, Metadata_Country!$C:$C, "Unknown"), IF(OR(_xlpm.ig=0, _xlpm.ig=""), "Regional Aggregate", _xlpm.ig))</f>
        <v>Lower middle income</v>
      </c>
      <c r="H1252" s="4">
        <f>Clean_Data[[#This Row],[Exports_TIV]] - Clean_Data[[#This Row],[Imports_TIV]]</f>
        <v>-48000000</v>
      </c>
      <c r="I1252" s="4">
        <f>Clean_Data[[#This Row],[Exports_TIV]] + Clean_Data[[#This Row],[Imports_TIV]]</f>
        <v>48000000</v>
      </c>
    </row>
    <row r="1253" spans="1:9">
      <c r="A1253" s="4" t="s">
        <v>291</v>
      </c>
      <c r="B1253" s="4" t="s">
        <v>292</v>
      </c>
      <c r="C1253" s="5">
        <v>2017</v>
      </c>
      <c r="D1253" s="4">
        <v>0</v>
      </c>
      <c r="E1253" s="4">
        <v>1000000</v>
      </c>
      <c r="F1253" s="4" t="str">
        <f>_xlfn.LET(_xlpm.r, _xlfn.XLOOKUP(Clean_Data[[#This Row],[Country_Code]], Metadata_Country!$A:$A, Metadata_Country!$B:$B, "Unknown"), IF(OR(_xlpm.r=0, _xlpm.r=""), "Regional Aggregate", _xlpm.r))</f>
        <v>Sub-Saharan Africa</v>
      </c>
      <c r="G1253" s="4" t="str">
        <f>_xlfn.LET(_xlpm.ig, _xlfn.XLOOKUP(Clean_Data[[#This Row],[Country_Code]], Metadata_Country!$A:$A, Metadata_Country!$C:$C, "Unknown"), IF(OR(_xlpm.ig=0, _xlpm.ig=""), "Regional Aggregate", _xlpm.ig))</f>
        <v>Lower middle income</v>
      </c>
      <c r="H1253" s="4">
        <f>Clean_Data[[#This Row],[Exports_TIV]] - Clean_Data[[#This Row],[Imports_TIV]]</f>
        <v>-1000000</v>
      </c>
      <c r="I1253" s="4">
        <f>Clean_Data[[#This Row],[Exports_TIV]] + Clean_Data[[#This Row],[Imports_TIV]]</f>
        <v>1000000</v>
      </c>
    </row>
    <row r="1254" spans="1:9">
      <c r="A1254" s="4" t="s">
        <v>295</v>
      </c>
      <c r="B1254" s="4" t="s">
        <v>296</v>
      </c>
      <c r="C1254" s="5">
        <v>2017</v>
      </c>
      <c r="D1254" s="4">
        <v>0</v>
      </c>
      <c r="E1254" s="4">
        <v>7000000</v>
      </c>
      <c r="F1254" s="4" t="str">
        <f>_xlfn.LET(_xlpm.r, _xlfn.XLOOKUP(Clean_Data[[#This Row],[Country_Code]], Metadata_Country!$A:$A, Metadata_Country!$B:$B, "Unknown"), IF(OR(_xlpm.r=0, _xlpm.r=""), "Regional Aggregate", _xlpm.r))</f>
        <v>Europe &amp; Central Asia</v>
      </c>
      <c r="G1254" s="4" t="str">
        <f>_xlfn.LET(_xlpm.ig, _xlfn.XLOOKUP(Clean_Data[[#This Row],[Country_Code]], Metadata_Country!$A:$A, Metadata_Country!$C:$C, "Unknown"), IF(OR(_xlpm.ig=0, _xlpm.ig=""), "Regional Aggregate", _xlpm.ig))</f>
        <v>High income</v>
      </c>
      <c r="H1254" s="4">
        <f>Clean_Data[[#This Row],[Exports_TIV]] - Clean_Data[[#This Row],[Imports_TIV]]</f>
        <v>-7000000</v>
      </c>
      <c r="I1254" s="4">
        <f>Clean_Data[[#This Row],[Exports_TIV]] + Clean_Data[[#This Row],[Imports_TIV]]</f>
        <v>7000000</v>
      </c>
    </row>
    <row r="1255" spans="1:9">
      <c r="A1255" s="4" t="s">
        <v>289</v>
      </c>
      <c r="B1255" s="4" t="s">
        <v>290</v>
      </c>
      <c r="C1255" s="5">
        <v>2017</v>
      </c>
      <c r="D1255" s="4">
        <v>2700000000</v>
      </c>
      <c r="E1255" s="4">
        <v>16830000000</v>
      </c>
      <c r="F1255" s="4" t="str">
        <f>_xlfn.LET(_xlpm.r, _xlfn.XLOOKUP(Clean_Data[[#This Row],[Country_Code]], Metadata_Country!$A:$A, Metadata_Country!$B:$B, "Unknown"), IF(OR(_xlpm.r=0, _xlpm.r=""), "Regional Aggregate", _xlpm.r))</f>
        <v>Regional Aggregate</v>
      </c>
      <c r="G1255" s="4" t="str">
        <f>_xlfn.LET(_xlpm.ig, _xlfn.XLOOKUP(Clean_Data[[#This Row],[Country_Code]], Metadata_Country!$A:$A, Metadata_Country!$C:$C, "Unknown"), IF(OR(_xlpm.ig=0, _xlpm.ig=""), "Regional Aggregate", _xlpm.ig))</f>
        <v>Regional Aggregate</v>
      </c>
      <c r="H1255" s="4">
        <f>Clean_Data[[#This Row],[Exports_TIV]] - Clean_Data[[#This Row],[Imports_TIV]]</f>
        <v>-14130000000</v>
      </c>
      <c r="I1255" s="4">
        <f>Clean_Data[[#This Row],[Exports_TIV]] + Clean_Data[[#This Row],[Imports_TIV]]</f>
        <v>19530000000</v>
      </c>
    </row>
    <row r="1256" spans="1:9">
      <c r="A1256" s="4" t="s">
        <v>287</v>
      </c>
      <c r="B1256" s="4" t="s">
        <v>288</v>
      </c>
      <c r="C1256" s="5">
        <v>2017</v>
      </c>
      <c r="D1256" s="4">
        <v>0</v>
      </c>
      <c r="E1256" s="4">
        <v>7718000000</v>
      </c>
      <c r="F1256" s="4" t="str">
        <f>_xlfn.LET(_xlpm.r, _xlfn.XLOOKUP(Clean_Data[[#This Row],[Country_Code]], Metadata_Country!$A:$A, Metadata_Country!$B:$B, "Unknown"), IF(OR(_xlpm.r=0, _xlpm.r=""), "Regional Aggregate", _xlpm.r))</f>
        <v>Regional Aggregate</v>
      </c>
      <c r="G1256" s="4" t="str">
        <f>_xlfn.LET(_xlpm.ig, _xlfn.XLOOKUP(Clean_Data[[#This Row],[Country_Code]], Metadata_Country!$A:$A, Metadata_Country!$C:$C, "Unknown"), IF(OR(_xlpm.ig=0, _xlpm.ig=""), "Regional Aggregate", _xlpm.ig))</f>
        <v>Regional Aggregate</v>
      </c>
      <c r="H1256" s="4">
        <f>Clean_Data[[#This Row],[Exports_TIV]] - Clean_Data[[#This Row],[Imports_TIV]]</f>
        <v>-7718000000</v>
      </c>
      <c r="I1256" s="4">
        <f>Clean_Data[[#This Row],[Exports_TIV]] + Clean_Data[[#This Row],[Imports_TIV]]</f>
        <v>7718000000</v>
      </c>
    </row>
    <row r="1257" spans="1:9">
      <c r="A1257" s="4" t="s">
        <v>347</v>
      </c>
      <c r="B1257" s="4" t="s">
        <v>348</v>
      </c>
      <c r="C1257" s="5">
        <v>2017</v>
      </c>
      <c r="D1257" s="4">
        <v>0</v>
      </c>
      <c r="E1257" s="4">
        <v>197000000</v>
      </c>
      <c r="F1257" s="4" t="str">
        <f>_xlfn.LET(_xlpm.r, _xlfn.XLOOKUP(Clean_Data[[#This Row],[Country_Code]], Metadata_Country!$A:$A, Metadata_Country!$B:$B, "Unknown"), IF(OR(_xlpm.r=0, _xlpm.r=""), "Regional Aggregate", _xlpm.r))</f>
        <v>East Asia &amp; Pacific</v>
      </c>
      <c r="G1257" s="4" t="str">
        <f>_xlfn.LET(_xlpm.ig, _xlfn.XLOOKUP(Clean_Data[[#This Row],[Country_Code]], Metadata_Country!$A:$A, Metadata_Country!$C:$C, "Unknown"), IF(OR(_xlpm.ig=0, _xlpm.ig=""), "Regional Aggregate", _xlpm.ig))</f>
        <v>Upper middle income</v>
      </c>
      <c r="H1257" s="4">
        <f>Clean_Data[[#This Row],[Exports_TIV]] - Clean_Data[[#This Row],[Imports_TIV]]</f>
        <v>-197000000</v>
      </c>
      <c r="I1257" s="4">
        <f>Clean_Data[[#This Row],[Exports_TIV]] + Clean_Data[[#This Row],[Imports_TIV]]</f>
        <v>197000000</v>
      </c>
    </row>
    <row r="1258" spans="1:9">
      <c r="A1258" s="4" t="s">
        <v>325</v>
      </c>
      <c r="B1258" s="4" t="s">
        <v>326</v>
      </c>
      <c r="C1258" s="5">
        <v>2017</v>
      </c>
      <c r="D1258" s="4">
        <v>0</v>
      </c>
      <c r="E1258" s="4">
        <v>32000000</v>
      </c>
      <c r="F1258" s="4" t="str">
        <f>_xlfn.LET(_xlpm.r, _xlfn.XLOOKUP(Clean_Data[[#This Row],[Country_Code]], Metadata_Country!$A:$A, Metadata_Country!$B:$B, "Unknown"), IF(OR(_xlpm.r=0, _xlpm.r=""), "Regional Aggregate", _xlpm.r))</f>
        <v>Sub-Saharan Africa</v>
      </c>
      <c r="G1258" s="4" t="str">
        <f>_xlfn.LET(_xlpm.ig, _xlfn.XLOOKUP(Clean_Data[[#This Row],[Country_Code]], Metadata_Country!$A:$A, Metadata_Country!$C:$C, "Unknown"), IF(OR(_xlpm.ig=0, _xlpm.ig=""), "Regional Aggregate", _xlpm.ig))</f>
        <v>Low income</v>
      </c>
      <c r="H1258" s="4">
        <f>Clean_Data[[#This Row],[Exports_TIV]] - Clean_Data[[#This Row],[Imports_TIV]]</f>
        <v>-32000000</v>
      </c>
      <c r="I1258" s="4">
        <f>Clean_Data[[#This Row],[Exports_TIV]] + Clean_Data[[#This Row],[Imports_TIV]]</f>
        <v>32000000</v>
      </c>
    </row>
    <row r="1259" spans="1:9">
      <c r="A1259" s="4" t="s">
        <v>327</v>
      </c>
      <c r="B1259" s="4" t="s">
        <v>328</v>
      </c>
      <c r="C1259" s="5">
        <v>2017</v>
      </c>
      <c r="D1259" s="4">
        <v>0</v>
      </c>
      <c r="E1259" s="4">
        <v>8000000</v>
      </c>
      <c r="F1259" s="4" t="str">
        <f>_xlfn.LET(_xlpm.r, _xlfn.XLOOKUP(Clean_Data[[#This Row],[Country_Code]], Metadata_Country!$A:$A, Metadata_Country!$B:$B, "Unknown"), IF(OR(_xlpm.r=0, _xlpm.r=""), "Regional Aggregate", _xlpm.r))</f>
        <v>Middle East &amp; North Africa</v>
      </c>
      <c r="G1259" s="4" t="str">
        <f>_xlfn.LET(_xlpm.ig, _xlfn.XLOOKUP(Clean_Data[[#This Row],[Country_Code]], Metadata_Country!$A:$A, Metadata_Country!$C:$C, "Unknown"), IF(OR(_xlpm.ig=0, _xlpm.ig=""), "Regional Aggregate", _xlpm.ig))</f>
        <v>High income</v>
      </c>
      <c r="H1259" s="4">
        <f>Clean_Data[[#This Row],[Exports_TIV]] - Clean_Data[[#This Row],[Imports_TIV]]</f>
        <v>-8000000</v>
      </c>
      <c r="I1259" s="4">
        <f>Clean_Data[[#This Row],[Exports_TIV]] + Clean_Data[[#This Row],[Imports_TIV]]</f>
        <v>8000000</v>
      </c>
    </row>
    <row r="1260" spans="1:9">
      <c r="A1260" s="4" t="s">
        <v>343</v>
      </c>
      <c r="B1260" s="4" t="s">
        <v>344</v>
      </c>
      <c r="C1260" s="5">
        <v>2017</v>
      </c>
      <c r="D1260" s="4">
        <v>0</v>
      </c>
      <c r="E1260" s="4">
        <v>19000000</v>
      </c>
      <c r="F1260" s="4" t="str">
        <f>_xlfn.LET(_xlpm.r, _xlfn.XLOOKUP(Clean_Data[[#This Row],[Country_Code]], Metadata_Country!$A:$A, Metadata_Country!$B:$B, "Unknown"), IF(OR(_xlpm.r=0, _xlpm.r=""), "Regional Aggregate", _xlpm.r))</f>
        <v>Sub-Saharan Africa</v>
      </c>
      <c r="G1260" s="4" t="str">
        <f>_xlfn.LET(_xlpm.ig, _xlfn.XLOOKUP(Clean_Data[[#This Row],[Country_Code]], Metadata_Country!$A:$A, Metadata_Country!$C:$C, "Unknown"), IF(OR(_xlpm.ig=0, _xlpm.ig=""), "Regional Aggregate", _xlpm.ig))</f>
        <v>Upper middle income</v>
      </c>
      <c r="H1260" s="4">
        <f>Clean_Data[[#This Row],[Exports_TIV]] - Clean_Data[[#This Row],[Imports_TIV]]</f>
        <v>-19000000</v>
      </c>
      <c r="I1260" s="4">
        <f>Clean_Data[[#This Row],[Exports_TIV]] + Clean_Data[[#This Row],[Imports_TIV]]</f>
        <v>19000000</v>
      </c>
    </row>
    <row r="1261" spans="1:9">
      <c r="A1261" s="4" t="s">
        <v>317</v>
      </c>
      <c r="B1261" s="4" t="s">
        <v>318</v>
      </c>
      <c r="C1261" s="5">
        <v>2017</v>
      </c>
      <c r="D1261" s="4">
        <v>0</v>
      </c>
      <c r="E1261" s="4">
        <v>215000000</v>
      </c>
      <c r="F1261" s="4" t="str">
        <f>_xlfn.LET(_xlpm.r, _xlfn.XLOOKUP(Clean_Data[[#This Row],[Country_Code]], Metadata_Country!$A:$A, Metadata_Country!$B:$B, "Unknown"), IF(OR(_xlpm.r=0, _xlpm.r=""), "Regional Aggregate", _xlpm.r))</f>
        <v>Latin America &amp; Caribbean</v>
      </c>
      <c r="G1261" s="4" t="str">
        <f>_xlfn.LET(_xlpm.ig, _xlfn.XLOOKUP(Clean_Data[[#This Row],[Country_Code]], Metadata_Country!$A:$A, Metadata_Country!$C:$C, "Unknown"), IF(OR(_xlpm.ig=0, _xlpm.ig=""), "Regional Aggregate", _xlpm.ig))</f>
        <v>Upper middle income</v>
      </c>
      <c r="H1261" s="4">
        <f>Clean_Data[[#This Row],[Exports_TIV]] - Clean_Data[[#This Row],[Imports_TIV]]</f>
        <v>-215000000</v>
      </c>
      <c r="I1261" s="4">
        <f>Clean_Data[[#This Row],[Exports_TIV]] + Clean_Data[[#This Row],[Imports_TIV]]</f>
        <v>215000000</v>
      </c>
    </row>
    <row r="1262" spans="1:9">
      <c r="A1262" s="4" t="s">
        <v>315</v>
      </c>
      <c r="B1262" s="4" t="s">
        <v>316</v>
      </c>
      <c r="C1262" s="5">
        <v>2017</v>
      </c>
      <c r="D1262" s="4">
        <v>0</v>
      </c>
      <c r="E1262" s="4">
        <v>13379000000</v>
      </c>
      <c r="F1262" s="4" t="str">
        <f>_xlfn.LET(_xlpm.r, _xlfn.XLOOKUP(Clean_Data[[#This Row],[Country_Code]], Metadata_Country!$A:$A, Metadata_Country!$B:$B, "Unknown"), IF(OR(_xlpm.r=0, _xlpm.r=""), "Regional Aggregate", _xlpm.r))</f>
        <v>Regional Aggregate</v>
      </c>
      <c r="G1262" s="4" t="str">
        <f>_xlfn.LET(_xlpm.ig, _xlfn.XLOOKUP(Clean_Data[[#This Row],[Country_Code]], Metadata_Country!$A:$A, Metadata_Country!$C:$C, "Unknown"), IF(OR(_xlpm.ig=0, _xlpm.ig=""), "Regional Aggregate", _xlpm.ig))</f>
        <v>Regional Aggregate</v>
      </c>
      <c r="H1262" s="4">
        <f>Clean_Data[[#This Row],[Exports_TIV]] - Clean_Data[[#This Row],[Imports_TIV]]</f>
        <v>-13379000000</v>
      </c>
      <c r="I1262" s="4">
        <f>Clean_Data[[#This Row],[Exports_TIV]] + Clean_Data[[#This Row],[Imports_TIV]]</f>
        <v>13379000000</v>
      </c>
    </row>
    <row r="1263" spans="1:9">
      <c r="A1263" s="4" t="s">
        <v>331</v>
      </c>
      <c r="B1263" s="4" t="s">
        <v>332</v>
      </c>
      <c r="C1263" s="5">
        <v>2017</v>
      </c>
      <c r="D1263" s="4">
        <v>0</v>
      </c>
      <c r="E1263" s="4">
        <v>6863000000</v>
      </c>
      <c r="F1263" s="4" t="str">
        <f>_xlfn.LET(_xlpm.r, _xlfn.XLOOKUP(Clean_Data[[#This Row],[Country_Code]], Metadata_Country!$A:$A, Metadata_Country!$B:$B, "Unknown"), IF(OR(_xlpm.r=0, _xlpm.r=""), "Regional Aggregate", _xlpm.r))</f>
        <v>Regional Aggregate</v>
      </c>
      <c r="G1263" s="4" t="str">
        <f>_xlfn.LET(_xlpm.ig, _xlfn.XLOOKUP(Clean_Data[[#This Row],[Country_Code]], Metadata_Country!$A:$A, Metadata_Country!$C:$C, "Unknown"), IF(OR(_xlpm.ig=0, _xlpm.ig=""), "Regional Aggregate", _xlpm.ig))</f>
        <v>Regional Aggregate</v>
      </c>
      <c r="H1263" s="4">
        <f>Clean_Data[[#This Row],[Exports_TIV]] - Clean_Data[[#This Row],[Imports_TIV]]</f>
        <v>-6863000000</v>
      </c>
      <c r="I1263" s="4">
        <f>Clean_Data[[#This Row],[Exports_TIV]] + Clean_Data[[#This Row],[Imports_TIV]]</f>
        <v>6863000000</v>
      </c>
    </row>
    <row r="1264" spans="1:9">
      <c r="A1264" s="4" t="s">
        <v>485</v>
      </c>
      <c r="B1264" s="4" t="s">
        <v>486</v>
      </c>
      <c r="C1264" s="5">
        <v>2017</v>
      </c>
      <c r="D1264" s="4">
        <v>0</v>
      </c>
      <c r="E1264" s="4">
        <v>6863000000</v>
      </c>
      <c r="F1264" s="4" t="str">
        <f>_xlfn.LET(_xlpm.r, _xlfn.XLOOKUP(Clean_Data[[#This Row],[Country_Code]], Metadata_Country!$A:$A, Metadata_Country!$B:$B, "Unknown"), IF(OR(_xlpm.r=0, _xlpm.r=""), "Regional Aggregate", _xlpm.r))</f>
        <v>Regional Aggregate</v>
      </c>
      <c r="G1264" s="4" t="str">
        <f>_xlfn.LET(_xlpm.ig, _xlfn.XLOOKUP(Clean_Data[[#This Row],[Country_Code]], Metadata_Country!$A:$A, Metadata_Country!$C:$C, "Unknown"), IF(OR(_xlpm.ig=0, _xlpm.ig=""), "Regional Aggregate", _xlpm.ig))</f>
        <v>Regional Aggregate</v>
      </c>
      <c r="H1264" s="4">
        <f>Clean_Data[[#This Row],[Exports_TIV]] - Clean_Data[[#This Row],[Imports_TIV]]</f>
        <v>-6863000000</v>
      </c>
      <c r="I1264" s="4">
        <f>Clean_Data[[#This Row],[Exports_TIV]] + Clean_Data[[#This Row],[Imports_TIV]]</f>
        <v>6863000000</v>
      </c>
    </row>
    <row r="1265" spans="1:9">
      <c r="A1265" s="4" t="s">
        <v>321</v>
      </c>
      <c r="B1265" s="4" t="s">
        <v>322</v>
      </c>
      <c r="C1265" s="5">
        <v>2017</v>
      </c>
      <c r="D1265" s="4">
        <v>2700000000</v>
      </c>
      <c r="E1265" s="4">
        <v>16345000000</v>
      </c>
      <c r="F1265" s="4" t="str">
        <f>_xlfn.LET(_xlpm.r, _xlfn.XLOOKUP(Clean_Data[[#This Row],[Country_Code]], Metadata_Country!$A:$A, Metadata_Country!$B:$B, "Unknown"), IF(OR(_xlpm.r=0, _xlpm.r=""), "Regional Aggregate", _xlpm.r))</f>
        <v>Regional Aggregate</v>
      </c>
      <c r="G1265" s="4" t="str">
        <f>_xlfn.LET(_xlpm.ig, _xlfn.XLOOKUP(Clean_Data[[#This Row],[Country_Code]], Metadata_Country!$A:$A, Metadata_Country!$C:$C, "Unknown"), IF(OR(_xlpm.ig=0, _xlpm.ig=""), "Regional Aggregate", _xlpm.ig))</f>
        <v>Regional Aggregate</v>
      </c>
      <c r="H1265" s="4">
        <f>Clean_Data[[#This Row],[Exports_TIV]] - Clean_Data[[#This Row],[Imports_TIV]]</f>
        <v>-13645000000</v>
      </c>
      <c r="I1265" s="4">
        <f>Clean_Data[[#This Row],[Exports_TIV]] + Clean_Data[[#This Row],[Imports_TIV]]</f>
        <v>19045000000</v>
      </c>
    </row>
    <row r="1266" spans="1:9">
      <c r="A1266" s="4" t="s">
        <v>333</v>
      </c>
      <c r="B1266" s="4" t="s">
        <v>334</v>
      </c>
      <c r="C1266" s="5">
        <v>2017</v>
      </c>
      <c r="D1266" s="4">
        <v>1000000</v>
      </c>
      <c r="E1266" s="4">
        <v>0</v>
      </c>
      <c r="F1266" s="4" t="str">
        <f>_xlfn.LET(_xlpm.r, _xlfn.XLOOKUP(Clean_Data[[#This Row],[Country_Code]], Metadata_Country!$A:$A, Metadata_Country!$B:$B, "Unknown"), IF(OR(_xlpm.r=0, _xlpm.r=""), "Regional Aggregate", _xlpm.r))</f>
        <v>Europe &amp; Central Asia</v>
      </c>
      <c r="G1266" s="4" t="str">
        <f>_xlfn.LET(_xlpm.ig, _xlfn.XLOOKUP(Clean_Data[[#This Row],[Country_Code]], Metadata_Country!$A:$A, Metadata_Country!$C:$C, "Unknown"), IF(OR(_xlpm.ig=0, _xlpm.ig=""), "Regional Aggregate", _xlpm.ig))</f>
        <v>Upper middle income</v>
      </c>
      <c r="H1266" s="4">
        <f>Clean_Data[[#This Row],[Exports_TIV]] - Clean_Data[[#This Row],[Imports_TIV]]</f>
        <v>1000000</v>
      </c>
      <c r="I1266" s="4">
        <f>Clean_Data[[#This Row],[Exports_TIV]] + Clean_Data[[#This Row],[Imports_TIV]]</f>
        <v>1000000</v>
      </c>
    </row>
    <row r="1267" spans="1:9">
      <c r="A1267" s="4" t="s">
        <v>305</v>
      </c>
      <c r="B1267" s="4" t="s">
        <v>306</v>
      </c>
      <c r="C1267" s="5">
        <v>2017</v>
      </c>
      <c r="D1267" s="4">
        <v>0</v>
      </c>
      <c r="E1267" s="4">
        <v>605000000</v>
      </c>
      <c r="F1267" s="4" t="str">
        <f>_xlfn.LET(_xlpm.r, _xlfn.XLOOKUP(Clean_Data[[#This Row],[Country_Code]], Metadata_Country!$A:$A, Metadata_Country!$B:$B, "Unknown"), IF(OR(_xlpm.r=0, _xlpm.r=""), "Regional Aggregate", _xlpm.r))</f>
        <v>Middle East &amp; North Africa</v>
      </c>
      <c r="G1267" s="4" t="str">
        <f>_xlfn.LET(_xlpm.ig, _xlfn.XLOOKUP(Clean_Data[[#This Row],[Country_Code]], Metadata_Country!$A:$A, Metadata_Country!$C:$C, "Unknown"), IF(OR(_xlpm.ig=0, _xlpm.ig=""), "Regional Aggregate", _xlpm.ig))</f>
        <v>Lower middle income</v>
      </c>
      <c r="H1267" s="4">
        <f>Clean_Data[[#This Row],[Exports_TIV]] - Clean_Data[[#This Row],[Imports_TIV]]</f>
        <v>-605000000</v>
      </c>
      <c r="I1267" s="4">
        <f>Clean_Data[[#This Row],[Exports_TIV]] + Clean_Data[[#This Row],[Imports_TIV]]</f>
        <v>605000000</v>
      </c>
    </row>
    <row r="1268" spans="1:9">
      <c r="A1268" s="4" t="s">
        <v>329</v>
      </c>
      <c r="B1268" s="4" t="s">
        <v>330</v>
      </c>
      <c r="C1268" s="5">
        <v>2017</v>
      </c>
      <c r="D1268" s="4">
        <v>0</v>
      </c>
      <c r="E1268" s="4">
        <v>210000000</v>
      </c>
      <c r="F1268" s="4" t="str">
        <f>_xlfn.LET(_xlpm.r, _xlfn.XLOOKUP(Clean_Data[[#This Row],[Country_Code]], Metadata_Country!$A:$A, Metadata_Country!$B:$B, "Unknown"), IF(OR(_xlpm.r=0, _xlpm.r=""), "Regional Aggregate", _xlpm.r))</f>
        <v>East Asia &amp; Pacific</v>
      </c>
      <c r="G1268" s="4" t="str">
        <f>_xlfn.LET(_xlpm.ig, _xlfn.XLOOKUP(Clean_Data[[#This Row],[Country_Code]], Metadata_Country!$A:$A, Metadata_Country!$C:$C, "Unknown"), IF(OR(_xlpm.ig=0, _xlpm.ig=""), "Regional Aggregate", _xlpm.ig))</f>
        <v>Lower middle income</v>
      </c>
      <c r="H1268" s="4">
        <f>Clean_Data[[#This Row],[Exports_TIV]] - Clean_Data[[#This Row],[Imports_TIV]]</f>
        <v>-210000000</v>
      </c>
      <c r="I1268" s="4">
        <f>Clean_Data[[#This Row],[Exports_TIV]] + Clean_Data[[#This Row],[Imports_TIV]]</f>
        <v>210000000</v>
      </c>
    </row>
    <row r="1269" spans="1:9">
      <c r="A1269" s="4" t="s">
        <v>351</v>
      </c>
      <c r="B1269" s="4" t="s">
        <v>352</v>
      </c>
      <c r="C1269" s="5">
        <v>2017</v>
      </c>
      <c r="D1269" s="4">
        <v>0</v>
      </c>
      <c r="E1269" s="4">
        <v>35000000</v>
      </c>
      <c r="F1269" s="4" t="str">
        <f>_xlfn.LET(_xlpm.r, _xlfn.XLOOKUP(Clean_Data[[#This Row],[Country_Code]], Metadata_Country!$A:$A, Metadata_Country!$B:$B, "Unknown"), IF(OR(_xlpm.r=0, _xlpm.r=""), "Regional Aggregate", _xlpm.r))</f>
        <v>Sub-Saharan Africa</v>
      </c>
      <c r="G1269" s="4" t="str">
        <f>_xlfn.LET(_xlpm.ig, _xlfn.XLOOKUP(Clean_Data[[#This Row],[Country_Code]], Metadata_Country!$A:$A, Metadata_Country!$C:$C, "Unknown"), IF(OR(_xlpm.ig=0, _xlpm.ig=""), "Regional Aggregate", _xlpm.ig))</f>
        <v>Lower middle income</v>
      </c>
      <c r="H1269" s="4">
        <f>Clean_Data[[#This Row],[Exports_TIV]] - Clean_Data[[#This Row],[Imports_TIV]]</f>
        <v>-35000000</v>
      </c>
      <c r="I1269" s="4">
        <f>Clean_Data[[#This Row],[Exports_TIV]] + Clean_Data[[#This Row],[Imports_TIV]]</f>
        <v>35000000</v>
      </c>
    </row>
    <row r="1270" spans="1:9">
      <c r="A1270" s="4" t="s">
        <v>365</v>
      </c>
      <c r="B1270" s="4" t="s">
        <v>366</v>
      </c>
      <c r="C1270" s="5">
        <v>2017</v>
      </c>
      <c r="D1270" s="4">
        <v>0</v>
      </c>
      <c r="E1270" s="4">
        <v>1000000</v>
      </c>
      <c r="F1270" s="4" t="str">
        <f>_xlfn.LET(_xlpm.r, _xlfn.XLOOKUP(Clean_Data[[#This Row],[Country_Code]], Metadata_Country!$A:$A, Metadata_Country!$B:$B, "Unknown"), IF(OR(_xlpm.r=0, _xlpm.r=""), "Regional Aggregate", _xlpm.r))</f>
        <v>South Asia</v>
      </c>
      <c r="G1270" s="4" t="str">
        <f>_xlfn.LET(_xlpm.ig, _xlfn.XLOOKUP(Clean_Data[[#This Row],[Country_Code]], Metadata_Country!$A:$A, Metadata_Country!$C:$C, "Unknown"), IF(OR(_xlpm.ig=0, _xlpm.ig=""), "Regional Aggregate", _xlpm.ig))</f>
        <v>Lower middle income</v>
      </c>
      <c r="H1270" s="4">
        <f>Clean_Data[[#This Row],[Exports_TIV]] - Clean_Data[[#This Row],[Imports_TIV]]</f>
        <v>-1000000</v>
      </c>
      <c r="I1270" s="4">
        <f>Clean_Data[[#This Row],[Exports_TIV]] + Clean_Data[[#This Row],[Imports_TIV]]</f>
        <v>1000000</v>
      </c>
    </row>
    <row r="1271" spans="1:9">
      <c r="A1271" s="4" t="s">
        <v>361</v>
      </c>
      <c r="B1271" s="4" t="s">
        <v>362</v>
      </c>
      <c r="C1271" s="5">
        <v>2017</v>
      </c>
      <c r="D1271" s="4">
        <v>1140000000</v>
      </c>
      <c r="E1271" s="4">
        <v>33000000</v>
      </c>
      <c r="F1271" s="4" t="str">
        <f>_xlfn.LET(_xlpm.r, _xlfn.XLOOKUP(Clean_Data[[#This Row],[Country_Code]], Metadata_Country!$A:$A, Metadata_Country!$B:$B, "Unknown"), IF(OR(_xlpm.r=0, _xlpm.r=""), "Regional Aggregate", _xlpm.r))</f>
        <v>Europe &amp; Central Asia</v>
      </c>
      <c r="G1271" s="4" t="str">
        <f>_xlfn.LET(_xlpm.ig, _xlfn.XLOOKUP(Clean_Data[[#This Row],[Country_Code]], Metadata_Country!$A:$A, Metadata_Country!$C:$C, "Unknown"), IF(OR(_xlpm.ig=0, _xlpm.ig=""), "Regional Aggregate", _xlpm.ig))</f>
        <v>High income</v>
      </c>
      <c r="H1271" s="4">
        <f>Clean_Data[[#This Row],[Exports_TIV]] - Clean_Data[[#This Row],[Imports_TIV]]</f>
        <v>1107000000</v>
      </c>
      <c r="I1271" s="4">
        <f>Clean_Data[[#This Row],[Exports_TIV]] + Clean_Data[[#This Row],[Imports_TIV]]</f>
        <v>1173000000</v>
      </c>
    </row>
    <row r="1272" spans="1:9">
      <c r="A1272" s="4" t="s">
        <v>359</v>
      </c>
      <c r="B1272" s="4" t="s">
        <v>360</v>
      </c>
      <c r="C1272" s="5">
        <v>2017</v>
      </c>
      <c r="D1272" s="4">
        <v>0</v>
      </c>
      <c r="E1272" s="4">
        <v>7000000</v>
      </c>
      <c r="F1272" s="4" t="str">
        <f>_xlfn.LET(_xlpm.r, _xlfn.XLOOKUP(Clean_Data[[#This Row],[Country_Code]], Metadata_Country!$A:$A, Metadata_Country!$B:$B, "Unknown"), IF(OR(_xlpm.r=0, _xlpm.r=""), "Regional Aggregate", _xlpm.r))</f>
        <v>Latin America &amp; Caribbean</v>
      </c>
      <c r="G1272" s="4" t="str">
        <f>_xlfn.LET(_xlpm.ig, _xlfn.XLOOKUP(Clean_Data[[#This Row],[Country_Code]], Metadata_Country!$A:$A, Metadata_Country!$C:$C, "Unknown"), IF(OR(_xlpm.ig=0, _xlpm.ig=""), "Regional Aggregate", _xlpm.ig))</f>
        <v>Lower middle income</v>
      </c>
      <c r="H1272" s="4">
        <f>Clean_Data[[#This Row],[Exports_TIV]] - Clean_Data[[#This Row],[Imports_TIV]]</f>
        <v>-7000000</v>
      </c>
      <c r="I1272" s="4">
        <f>Clean_Data[[#This Row],[Exports_TIV]] + Clean_Data[[#This Row],[Imports_TIV]]</f>
        <v>7000000</v>
      </c>
    </row>
    <row r="1273" spans="1:9">
      <c r="A1273" s="4" t="s">
        <v>355</v>
      </c>
      <c r="B1273" s="4" t="s">
        <v>356</v>
      </c>
      <c r="C1273" s="5">
        <v>2017</v>
      </c>
      <c r="D1273" s="4">
        <v>0</v>
      </c>
      <c r="E1273" s="4">
        <v>3000000</v>
      </c>
      <c r="F1273" s="4" t="str">
        <f>_xlfn.LET(_xlpm.r, _xlfn.XLOOKUP(Clean_Data[[#This Row],[Country_Code]], Metadata_Country!$A:$A, Metadata_Country!$B:$B, "Unknown"), IF(OR(_xlpm.r=0, _xlpm.r=""), "Regional Aggregate", _xlpm.r))</f>
        <v>Sub-Saharan Africa</v>
      </c>
      <c r="G1273" s="4" t="str">
        <f>_xlfn.LET(_xlpm.ig, _xlfn.XLOOKUP(Clean_Data[[#This Row],[Country_Code]], Metadata_Country!$A:$A, Metadata_Country!$C:$C, "Unknown"), IF(OR(_xlpm.ig=0, _xlpm.ig=""), "Regional Aggregate", _xlpm.ig))</f>
        <v>Low income</v>
      </c>
      <c r="H1273" s="4">
        <f>Clean_Data[[#This Row],[Exports_TIV]] - Clean_Data[[#This Row],[Imports_TIV]]</f>
        <v>-3000000</v>
      </c>
      <c r="I1273" s="4">
        <f>Clean_Data[[#This Row],[Exports_TIV]] + Clean_Data[[#This Row],[Imports_TIV]]</f>
        <v>3000000</v>
      </c>
    </row>
    <row r="1274" spans="1:9">
      <c r="A1274" s="4" t="s">
        <v>357</v>
      </c>
      <c r="B1274" s="4" t="s">
        <v>358</v>
      </c>
      <c r="C1274" s="5">
        <v>2017</v>
      </c>
      <c r="D1274" s="4">
        <v>0</v>
      </c>
      <c r="E1274" s="4">
        <v>42000000</v>
      </c>
      <c r="F1274" s="4" t="str">
        <f>_xlfn.LET(_xlpm.r, _xlfn.XLOOKUP(Clean_Data[[#This Row],[Country_Code]], Metadata_Country!$A:$A, Metadata_Country!$B:$B, "Unknown"), IF(OR(_xlpm.r=0, _xlpm.r=""), "Regional Aggregate", _xlpm.r))</f>
        <v>Sub-Saharan Africa</v>
      </c>
      <c r="G1274" s="4" t="str">
        <f>_xlfn.LET(_xlpm.ig, _xlfn.XLOOKUP(Clean_Data[[#This Row],[Country_Code]], Metadata_Country!$A:$A, Metadata_Country!$C:$C, "Unknown"), IF(OR(_xlpm.ig=0, _xlpm.ig=""), "Regional Aggregate", _xlpm.ig))</f>
        <v>Lower middle income</v>
      </c>
      <c r="H1274" s="4">
        <f>Clean_Data[[#This Row],[Exports_TIV]] - Clean_Data[[#This Row],[Imports_TIV]]</f>
        <v>-42000000</v>
      </c>
      <c r="I1274" s="4">
        <f>Clean_Data[[#This Row],[Exports_TIV]] + Clean_Data[[#This Row],[Imports_TIV]]</f>
        <v>42000000</v>
      </c>
    </row>
    <row r="1275" spans="1:9">
      <c r="A1275" s="4" t="s">
        <v>349</v>
      </c>
      <c r="B1275" s="4" t="s">
        <v>350</v>
      </c>
      <c r="C1275" s="5">
        <v>2017</v>
      </c>
      <c r="D1275" s="4">
        <v>11444000000</v>
      </c>
      <c r="E1275" s="4">
        <v>858000000</v>
      </c>
      <c r="F1275" s="4" t="str">
        <f>_xlfn.LET(_xlpm.r, _xlfn.XLOOKUP(Clean_Data[[#This Row],[Country_Code]], Metadata_Country!$A:$A, Metadata_Country!$B:$B, "Unknown"), IF(OR(_xlpm.r=0, _xlpm.r=""), "Regional Aggregate", _xlpm.r))</f>
        <v>Regional Aggregate</v>
      </c>
      <c r="G1275" s="4" t="str">
        <f>_xlfn.LET(_xlpm.ig, _xlfn.XLOOKUP(Clean_Data[[#This Row],[Country_Code]], Metadata_Country!$A:$A, Metadata_Country!$C:$C, "Unknown"), IF(OR(_xlpm.ig=0, _xlpm.ig=""), "Regional Aggregate", _xlpm.ig))</f>
        <v>Regional Aggregate</v>
      </c>
      <c r="H1275" s="4">
        <f>Clean_Data[[#This Row],[Exports_TIV]] - Clean_Data[[#This Row],[Imports_TIV]]</f>
        <v>10586000000</v>
      </c>
      <c r="I1275" s="4">
        <f>Clean_Data[[#This Row],[Exports_TIV]] + Clean_Data[[#This Row],[Imports_TIV]]</f>
        <v>12302000000</v>
      </c>
    </row>
    <row r="1276" spans="1:9">
      <c r="A1276" s="4" t="s">
        <v>363</v>
      </c>
      <c r="B1276" s="4" t="s">
        <v>364</v>
      </c>
      <c r="C1276" s="5">
        <v>2017</v>
      </c>
      <c r="D1276" s="4">
        <v>98000000</v>
      </c>
      <c r="E1276" s="4">
        <v>353000000</v>
      </c>
      <c r="F1276" s="4" t="str">
        <f>_xlfn.LET(_xlpm.r, _xlfn.XLOOKUP(Clean_Data[[#This Row],[Country_Code]], Metadata_Country!$A:$A, Metadata_Country!$B:$B, "Unknown"), IF(OR(_xlpm.r=0, _xlpm.r=""), "Regional Aggregate", _xlpm.r))</f>
        <v>Europe &amp; Central Asia</v>
      </c>
      <c r="G1276" s="4" t="str">
        <f>_xlfn.LET(_xlpm.ig, _xlfn.XLOOKUP(Clean_Data[[#This Row],[Country_Code]], Metadata_Country!$A:$A, Metadata_Country!$C:$C, "Unknown"), IF(OR(_xlpm.ig=0, _xlpm.ig=""), "Regional Aggregate", _xlpm.ig))</f>
        <v>High income</v>
      </c>
      <c r="H1276" s="4">
        <f>Clean_Data[[#This Row],[Exports_TIV]] - Clean_Data[[#This Row],[Imports_TIV]]</f>
        <v>-255000000</v>
      </c>
      <c r="I1276" s="4">
        <f>Clean_Data[[#This Row],[Exports_TIV]] + Clean_Data[[#This Row],[Imports_TIV]]</f>
        <v>451000000</v>
      </c>
    </row>
    <row r="1277" spans="1:9">
      <c r="A1277" s="4" t="s">
        <v>371</v>
      </c>
      <c r="B1277" s="4" t="s">
        <v>372</v>
      </c>
      <c r="C1277" s="5">
        <v>2017</v>
      </c>
      <c r="D1277" s="4">
        <v>22222000000</v>
      </c>
      <c r="E1277" s="4">
        <v>8044000000</v>
      </c>
      <c r="F1277" s="4" t="str">
        <f>_xlfn.LET(_xlpm.r, _xlfn.XLOOKUP(Clean_Data[[#This Row],[Country_Code]], Metadata_Country!$A:$A, Metadata_Country!$B:$B, "Unknown"), IF(OR(_xlpm.r=0, _xlpm.r=""), "Regional Aggregate", _xlpm.r))</f>
        <v>Regional Aggregate</v>
      </c>
      <c r="G1277" s="4" t="str">
        <f>_xlfn.LET(_xlpm.ig, _xlfn.XLOOKUP(Clean_Data[[#This Row],[Country_Code]], Metadata_Country!$A:$A, Metadata_Country!$C:$C, "Unknown"), IF(OR(_xlpm.ig=0, _xlpm.ig=""), "Regional Aggregate", _xlpm.ig))</f>
        <v>Regional Aggregate</v>
      </c>
      <c r="H1277" s="4">
        <f>Clean_Data[[#This Row],[Exports_TIV]] - Clean_Data[[#This Row],[Imports_TIV]]</f>
        <v>14178000000</v>
      </c>
      <c r="I1277" s="4">
        <f>Clean_Data[[#This Row],[Exports_TIV]] + Clean_Data[[#This Row],[Imports_TIV]]</f>
        <v>30266000000</v>
      </c>
    </row>
    <row r="1278" spans="1:9">
      <c r="A1278" s="4" t="s">
        <v>373</v>
      </c>
      <c r="B1278" s="4" t="s">
        <v>374</v>
      </c>
      <c r="C1278" s="5">
        <v>2017</v>
      </c>
      <c r="D1278" s="4">
        <v>7000000</v>
      </c>
      <c r="E1278" s="4">
        <v>757000000</v>
      </c>
      <c r="F1278" s="4" t="str">
        <f>_xlfn.LET(_xlpm.r, _xlfn.XLOOKUP(Clean_Data[[#This Row],[Country_Code]], Metadata_Country!$A:$A, Metadata_Country!$B:$B, "Unknown"), IF(OR(_xlpm.r=0, _xlpm.r=""), "Regional Aggregate", _xlpm.r))</f>
        <v>Middle East &amp; North Africa</v>
      </c>
      <c r="G1278" s="4" t="str">
        <f>_xlfn.LET(_xlpm.ig, _xlfn.XLOOKUP(Clean_Data[[#This Row],[Country_Code]], Metadata_Country!$A:$A, Metadata_Country!$C:$C, "Unknown"), IF(OR(_xlpm.ig=0, _xlpm.ig=""), "Regional Aggregate", _xlpm.ig))</f>
        <v>High income</v>
      </c>
      <c r="H1278" s="4">
        <f>Clean_Data[[#This Row],[Exports_TIV]] - Clean_Data[[#This Row],[Imports_TIV]]</f>
        <v>-750000000</v>
      </c>
      <c r="I1278" s="4">
        <f>Clean_Data[[#This Row],[Exports_TIV]] + Clean_Data[[#This Row],[Imports_TIV]]</f>
        <v>764000000</v>
      </c>
    </row>
    <row r="1279" spans="1:9">
      <c r="A1279" s="4" t="s">
        <v>375</v>
      </c>
      <c r="B1279" s="4" t="s">
        <v>376</v>
      </c>
      <c r="C1279" s="5">
        <v>2017</v>
      </c>
      <c r="D1279" s="4">
        <v>0</v>
      </c>
      <c r="E1279" s="4">
        <v>93000000</v>
      </c>
      <c r="F1279" s="4" t="str">
        <f>_xlfn.LET(_xlpm.r, _xlfn.XLOOKUP(Clean_Data[[#This Row],[Country_Code]], Metadata_Country!$A:$A, Metadata_Country!$B:$B, "Unknown"), IF(OR(_xlpm.r=0, _xlpm.r=""), "Regional Aggregate", _xlpm.r))</f>
        <v>Regional Aggregate</v>
      </c>
      <c r="G1279" s="4" t="str">
        <f>_xlfn.LET(_xlpm.ig, _xlfn.XLOOKUP(Clean_Data[[#This Row],[Country_Code]], Metadata_Country!$A:$A, Metadata_Country!$C:$C, "Unknown"), IF(OR(_xlpm.ig=0, _xlpm.ig=""), "Regional Aggregate", _xlpm.ig))</f>
        <v>Regional Aggregate</v>
      </c>
      <c r="H1279" s="4">
        <f>Clean_Data[[#This Row],[Exports_TIV]] - Clean_Data[[#This Row],[Imports_TIV]]</f>
        <v>-93000000</v>
      </c>
      <c r="I1279" s="4">
        <f>Clean_Data[[#This Row],[Exports_TIV]] + Clean_Data[[#This Row],[Imports_TIV]]</f>
        <v>93000000</v>
      </c>
    </row>
    <row r="1280" spans="1:9">
      <c r="A1280" s="4" t="s">
        <v>377</v>
      </c>
      <c r="B1280" s="4" t="s">
        <v>378</v>
      </c>
      <c r="C1280" s="5">
        <v>2017</v>
      </c>
      <c r="D1280" s="4">
        <v>3000000</v>
      </c>
      <c r="E1280" s="4">
        <v>870000000</v>
      </c>
      <c r="F1280" s="4" t="str">
        <f>_xlfn.LET(_xlpm.r, _xlfn.XLOOKUP(Clean_Data[[#This Row],[Country_Code]], Metadata_Country!$A:$A, Metadata_Country!$B:$B, "Unknown"), IF(OR(_xlpm.r=0, _xlpm.r=""), "Regional Aggregate", _xlpm.r))</f>
        <v>Middle East &amp; North Africa</v>
      </c>
      <c r="G1280" s="4" t="str">
        <f>_xlfn.LET(_xlpm.ig, _xlfn.XLOOKUP(Clean_Data[[#This Row],[Country_Code]], Metadata_Country!$A:$A, Metadata_Country!$C:$C, "Unknown"), IF(OR(_xlpm.ig=0, _xlpm.ig=""), "Regional Aggregate", _xlpm.ig))</f>
        <v>Lower middle income</v>
      </c>
      <c r="H1280" s="4">
        <f>Clean_Data[[#This Row],[Exports_TIV]] - Clean_Data[[#This Row],[Imports_TIV]]</f>
        <v>-867000000</v>
      </c>
      <c r="I1280" s="4">
        <f>Clean_Data[[#This Row],[Exports_TIV]] + Clean_Data[[#This Row],[Imports_TIV]]</f>
        <v>873000000</v>
      </c>
    </row>
    <row r="1281" spans="1:9">
      <c r="A1281" s="4" t="s">
        <v>387</v>
      </c>
      <c r="B1281" s="4" t="s">
        <v>388</v>
      </c>
      <c r="C1281" s="5">
        <v>2017</v>
      </c>
      <c r="D1281" s="4">
        <v>0</v>
      </c>
      <c r="E1281" s="4">
        <v>0</v>
      </c>
      <c r="F1281" s="4" t="str">
        <f>_xlfn.LET(_xlpm.r, _xlfn.XLOOKUP(Clean_Data[[#This Row],[Country_Code]], Metadata_Country!$A:$A, Metadata_Country!$B:$B, "Unknown"), IF(OR(_xlpm.r=0, _xlpm.r=""), "Regional Aggregate", _xlpm.r))</f>
        <v>East Asia &amp; Pacific</v>
      </c>
      <c r="G1281" s="4" t="str">
        <f>_xlfn.LET(_xlpm.ig, _xlfn.XLOOKUP(Clean_Data[[#This Row],[Country_Code]], Metadata_Country!$A:$A, Metadata_Country!$C:$C, "Unknown"), IF(OR(_xlpm.ig=0, _xlpm.ig=""), "Regional Aggregate", _xlpm.ig))</f>
        <v>Lower middle income</v>
      </c>
      <c r="H1281" s="4">
        <f>Clean_Data[[#This Row],[Exports_TIV]] - Clean_Data[[#This Row],[Imports_TIV]]</f>
        <v>0</v>
      </c>
      <c r="I1281" s="4">
        <f>Clean_Data[[#This Row],[Exports_TIV]] + Clean_Data[[#This Row],[Imports_TIV]]</f>
        <v>0</v>
      </c>
    </row>
    <row r="1282" spans="1:9">
      <c r="A1282" s="4" t="s">
        <v>381</v>
      </c>
      <c r="B1282" s="4" t="s">
        <v>382</v>
      </c>
      <c r="C1282" s="5">
        <v>2017</v>
      </c>
      <c r="D1282" s="4">
        <v>0</v>
      </c>
      <c r="E1282" s="4">
        <v>28000000</v>
      </c>
      <c r="F1282" s="4" t="str">
        <f>_xlfn.LET(_xlpm.r, _xlfn.XLOOKUP(Clean_Data[[#This Row],[Country_Code]], Metadata_Country!$A:$A, Metadata_Country!$B:$B, "Unknown"), IF(OR(_xlpm.r=0, _xlpm.r=""), "Regional Aggregate", _xlpm.r))</f>
        <v>Latin America &amp; Caribbean</v>
      </c>
      <c r="G1282" s="4" t="str">
        <f>_xlfn.LET(_xlpm.ig, _xlfn.XLOOKUP(Clean_Data[[#This Row],[Country_Code]], Metadata_Country!$A:$A, Metadata_Country!$C:$C, "Unknown"), IF(OR(_xlpm.ig=0, _xlpm.ig=""), "Regional Aggregate", _xlpm.ig))</f>
        <v>Upper middle income</v>
      </c>
      <c r="H1282" s="4">
        <f>Clean_Data[[#This Row],[Exports_TIV]] - Clean_Data[[#This Row],[Imports_TIV]]</f>
        <v>-28000000</v>
      </c>
      <c r="I1282" s="4">
        <f>Clean_Data[[#This Row],[Exports_TIV]] + Clean_Data[[#This Row],[Imports_TIV]]</f>
        <v>28000000</v>
      </c>
    </row>
    <row r="1283" spans="1:9">
      <c r="A1283" s="4" t="s">
        <v>383</v>
      </c>
      <c r="B1283" s="4" t="s">
        <v>384</v>
      </c>
      <c r="C1283" s="5">
        <v>2017</v>
      </c>
      <c r="D1283" s="4">
        <v>0</v>
      </c>
      <c r="E1283" s="4">
        <v>278000000</v>
      </c>
      <c r="F1283" s="4" t="str">
        <f>_xlfn.LET(_xlpm.r, _xlfn.XLOOKUP(Clean_Data[[#This Row],[Country_Code]], Metadata_Country!$A:$A, Metadata_Country!$B:$B, "Unknown"), IF(OR(_xlpm.r=0, _xlpm.r=""), "Regional Aggregate", _xlpm.r))</f>
        <v>East Asia &amp; Pacific</v>
      </c>
      <c r="G1283" s="4" t="str">
        <f>_xlfn.LET(_xlpm.ig, _xlfn.XLOOKUP(Clean_Data[[#This Row],[Country_Code]], Metadata_Country!$A:$A, Metadata_Country!$C:$C, "Unknown"), IF(OR(_xlpm.ig=0, _xlpm.ig=""), "Regional Aggregate", _xlpm.ig))</f>
        <v>Upper middle income</v>
      </c>
      <c r="H1283" s="4">
        <f>Clean_Data[[#This Row],[Exports_TIV]] - Clean_Data[[#This Row],[Imports_TIV]]</f>
        <v>-278000000</v>
      </c>
      <c r="I1283" s="4">
        <f>Clean_Data[[#This Row],[Exports_TIV]] + Clean_Data[[#This Row],[Imports_TIV]]</f>
        <v>278000000</v>
      </c>
    </row>
    <row r="1284" spans="1:9">
      <c r="A1284" s="4" t="s">
        <v>389</v>
      </c>
      <c r="B1284" s="4" t="s">
        <v>390</v>
      </c>
      <c r="C1284" s="5">
        <v>2017</v>
      </c>
      <c r="D1284" s="4">
        <v>8000000</v>
      </c>
      <c r="E1284" s="4">
        <v>126000000</v>
      </c>
      <c r="F1284" s="4" t="str">
        <f>_xlfn.LET(_xlpm.r, _xlfn.XLOOKUP(Clean_Data[[#This Row],[Country_Code]], Metadata_Country!$A:$A, Metadata_Country!$B:$B, "Unknown"), IF(OR(_xlpm.r=0, _xlpm.r=""), "Regional Aggregate", _xlpm.r))</f>
        <v>Europe &amp; Central Asia</v>
      </c>
      <c r="G1284" s="4" t="str">
        <f>_xlfn.LET(_xlpm.ig, _xlfn.XLOOKUP(Clean_Data[[#This Row],[Country_Code]], Metadata_Country!$A:$A, Metadata_Country!$C:$C, "Unknown"), IF(OR(_xlpm.ig=0, _xlpm.ig=""), "Regional Aggregate", _xlpm.ig))</f>
        <v>High income</v>
      </c>
      <c r="H1284" s="4">
        <f>Clean_Data[[#This Row],[Exports_TIV]] - Clean_Data[[#This Row],[Imports_TIV]]</f>
        <v>-118000000</v>
      </c>
      <c r="I1284" s="4">
        <f>Clean_Data[[#This Row],[Exports_TIV]] + Clean_Data[[#This Row],[Imports_TIV]]</f>
        <v>134000000</v>
      </c>
    </row>
    <row r="1285" spans="1:9">
      <c r="A1285" s="4" t="s">
        <v>397</v>
      </c>
      <c r="B1285" s="4" t="s">
        <v>398</v>
      </c>
      <c r="C1285" s="5">
        <v>2017</v>
      </c>
      <c r="D1285" s="4">
        <v>56000000</v>
      </c>
      <c r="E1285" s="4">
        <v>8000000</v>
      </c>
      <c r="F1285" s="4" t="str">
        <f>_xlfn.LET(_xlpm.r, _xlfn.XLOOKUP(Clean_Data[[#This Row],[Country_Code]], Metadata_Country!$A:$A, Metadata_Country!$B:$B, "Unknown"), IF(OR(_xlpm.r=0, _xlpm.r=""), "Regional Aggregate", _xlpm.r))</f>
        <v>Europe &amp; Central Asia</v>
      </c>
      <c r="G1285" s="4" t="str">
        <f>_xlfn.LET(_xlpm.ig, _xlfn.XLOOKUP(Clean_Data[[#This Row],[Country_Code]], Metadata_Country!$A:$A, Metadata_Country!$C:$C, "Unknown"), IF(OR(_xlpm.ig=0, _xlpm.ig=""), "Regional Aggregate", _xlpm.ig))</f>
        <v>High income</v>
      </c>
      <c r="H1285" s="4">
        <f>Clean_Data[[#This Row],[Exports_TIV]] - Clean_Data[[#This Row],[Imports_TIV]]</f>
        <v>48000000</v>
      </c>
      <c r="I1285" s="4">
        <f>Clean_Data[[#This Row],[Exports_TIV]] + Clean_Data[[#This Row],[Imports_TIV]]</f>
        <v>64000000</v>
      </c>
    </row>
    <row r="1286" spans="1:9">
      <c r="A1286" s="4" t="s">
        <v>405</v>
      </c>
      <c r="B1286" s="4" t="s">
        <v>406</v>
      </c>
      <c r="C1286" s="5">
        <v>2017</v>
      </c>
      <c r="D1286" s="4">
        <v>21248000000</v>
      </c>
      <c r="E1286" s="4">
        <v>7047000000</v>
      </c>
      <c r="F1286" s="4" t="str">
        <f>_xlfn.LET(_xlpm.r, _xlfn.XLOOKUP(Clean_Data[[#This Row],[Country_Code]], Metadata_Country!$A:$A, Metadata_Country!$B:$B, "Unknown"), IF(OR(_xlpm.r=0, _xlpm.r=""), "Regional Aggregate", _xlpm.r))</f>
        <v>Regional Aggregate</v>
      </c>
      <c r="G1286" s="4" t="str">
        <f>_xlfn.LET(_xlpm.ig, _xlfn.XLOOKUP(Clean_Data[[#This Row],[Country_Code]], Metadata_Country!$A:$A, Metadata_Country!$C:$C, "Unknown"), IF(OR(_xlpm.ig=0, _xlpm.ig=""), "Regional Aggregate", _xlpm.ig))</f>
        <v>Regional Aggregate</v>
      </c>
      <c r="H1286" s="4">
        <f>Clean_Data[[#This Row],[Exports_TIV]] - Clean_Data[[#This Row],[Imports_TIV]]</f>
        <v>14201000000</v>
      </c>
      <c r="I1286" s="4">
        <f>Clean_Data[[#This Row],[Exports_TIV]] + Clean_Data[[#This Row],[Imports_TIV]]</f>
        <v>28295000000</v>
      </c>
    </row>
    <row r="1287" spans="1:9">
      <c r="A1287" s="4" t="s">
        <v>391</v>
      </c>
      <c r="B1287" s="4" t="s">
        <v>392</v>
      </c>
      <c r="C1287" s="5">
        <v>2017</v>
      </c>
      <c r="D1287" s="4">
        <v>0</v>
      </c>
      <c r="E1287" s="4">
        <v>1605000000</v>
      </c>
      <c r="F1287" s="4" t="str">
        <f>_xlfn.LET(_xlpm.r, _xlfn.XLOOKUP(Clean_Data[[#This Row],[Country_Code]], Metadata_Country!$A:$A, Metadata_Country!$B:$B, "Unknown"), IF(OR(_xlpm.r=0, _xlpm.r=""), "Regional Aggregate", _xlpm.r))</f>
        <v>Regional Aggregate</v>
      </c>
      <c r="G1287" s="4" t="str">
        <f>_xlfn.LET(_xlpm.ig, _xlfn.XLOOKUP(Clean_Data[[#This Row],[Country_Code]], Metadata_Country!$A:$A, Metadata_Country!$C:$C, "Unknown"), IF(OR(_xlpm.ig=0, _xlpm.ig=""), "Regional Aggregate", _xlpm.ig))</f>
        <v>Regional Aggregate</v>
      </c>
      <c r="H1287" s="4">
        <f>Clean_Data[[#This Row],[Exports_TIV]] - Clean_Data[[#This Row],[Imports_TIV]]</f>
        <v>-1605000000</v>
      </c>
      <c r="I1287" s="4">
        <f>Clean_Data[[#This Row],[Exports_TIV]] + Clean_Data[[#This Row],[Imports_TIV]]</f>
        <v>1605000000</v>
      </c>
    </row>
    <row r="1288" spans="1:9">
      <c r="A1288" s="4" t="s">
        <v>409</v>
      </c>
      <c r="B1288" s="4" t="s">
        <v>410</v>
      </c>
      <c r="C1288" s="5">
        <v>2017</v>
      </c>
      <c r="D1288" s="4">
        <v>0</v>
      </c>
      <c r="E1288" s="4">
        <v>285000000</v>
      </c>
      <c r="F1288" s="4" t="str">
        <f>_xlfn.LET(_xlpm.r, _xlfn.XLOOKUP(Clean_Data[[#This Row],[Country_Code]], Metadata_Country!$A:$A, Metadata_Country!$B:$B, "Unknown"), IF(OR(_xlpm.r=0, _xlpm.r=""), "Regional Aggregate", _xlpm.r))</f>
        <v>Middle East &amp; North Africa</v>
      </c>
      <c r="G1288" s="4" t="str">
        <f>_xlfn.LET(_xlpm.ig, _xlfn.XLOOKUP(Clean_Data[[#This Row],[Country_Code]], Metadata_Country!$A:$A, Metadata_Country!$C:$C, "Unknown"), IF(OR(_xlpm.ig=0, _xlpm.ig=""), "Regional Aggregate", _xlpm.ig))</f>
        <v>High income</v>
      </c>
      <c r="H1288" s="4">
        <f>Clean_Data[[#This Row],[Exports_TIV]] - Clean_Data[[#This Row],[Imports_TIV]]</f>
        <v>-285000000</v>
      </c>
      <c r="I1288" s="4">
        <f>Clean_Data[[#This Row],[Exports_TIV]] + Clean_Data[[#This Row],[Imports_TIV]]</f>
        <v>285000000</v>
      </c>
    </row>
    <row r="1289" spans="1:9">
      <c r="A1289" s="4" t="s">
        <v>411</v>
      </c>
      <c r="B1289" s="4" t="s">
        <v>412</v>
      </c>
      <c r="C1289" s="5">
        <v>2017</v>
      </c>
      <c r="D1289" s="4">
        <v>0</v>
      </c>
      <c r="E1289" s="4">
        <v>88000000</v>
      </c>
      <c r="F1289" s="4" t="str">
        <f>_xlfn.LET(_xlpm.r, _xlfn.XLOOKUP(Clean_Data[[#This Row],[Country_Code]], Metadata_Country!$A:$A, Metadata_Country!$B:$B, "Unknown"), IF(OR(_xlpm.r=0, _xlpm.r=""), "Regional Aggregate", _xlpm.r))</f>
        <v>Europe &amp; Central Asia</v>
      </c>
      <c r="G1289" s="4" t="str">
        <f>_xlfn.LET(_xlpm.ig, _xlfn.XLOOKUP(Clean_Data[[#This Row],[Country_Code]], Metadata_Country!$A:$A, Metadata_Country!$C:$C, "Unknown"), IF(OR(_xlpm.ig=0, _xlpm.ig=""), "Regional Aggregate", _xlpm.ig))</f>
        <v>High income</v>
      </c>
      <c r="H1289" s="4">
        <f>Clean_Data[[#This Row],[Exports_TIV]] - Clean_Data[[#This Row],[Imports_TIV]]</f>
        <v>-88000000</v>
      </c>
      <c r="I1289" s="4">
        <f>Clean_Data[[#This Row],[Exports_TIV]] + Clean_Data[[#This Row],[Imports_TIV]]</f>
        <v>88000000</v>
      </c>
    </row>
    <row r="1290" spans="1:9">
      <c r="A1290" s="4" t="s">
        <v>413</v>
      </c>
      <c r="B1290" s="4" t="s">
        <v>414</v>
      </c>
      <c r="C1290" s="5">
        <v>2017</v>
      </c>
      <c r="D1290" s="4">
        <v>6395000000</v>
      </c>
      <c r="E1290" s="4">
        <v>94000000</v>
      </c>
      <c r="F1290" s="4" t="str">
        <f>_xlfn.LET(_xlpm.r, _xlfn.XLOOKUP(Clean_Data[[#This Row],[Country_Code]], Metadata_Country!$A:$A, Metadata_Country!$B:$B, "Unknown"), IF(OR(_xlpm.r=0, _xlpm.r=""), "Regional Aggregate", _xlpm.r))</f>
        <v>Europe &amp; Central Asia</v>
      </c>
      <c r="G1290" s="4" t="str">
        <f>_xlfn.LET(_xlpm.ig, _xlfn.XLOOKUP(Clean_Data[[#This Row],[Country_Code]], Metadata_Country!$A:$A, Metadata_Country!$C:$C, "Unknown"), IF(OR(_xlpm.ig=0, _xlpm.ig=""), "Regional Aggregate", _xlpm.ig))</f>
        <v>High income</v>
      </c>
      <c r="H1290" s="4">
        <f>Clean_Data[[#This Row],[Exports_TIV]] - Clean_Data[[#This Row],[Imports_TIV]]</f>
        <v>6301000000</v>
      </c>
      <c r="I1290" s="4">
        <f>Clean_Data[[#This Row],[Exports_TIV]] + Clean_Data[[#This Row],[Imports_TIV]]</f>
        <v>6489000000</v>
      </c>
    </row>
    <row r="1291" spans="1:9">
      <c r="A1291" s="4" t="s">
        <v>415</v>
      </c>
      <c r="B1291" s="4" t="s">
        <v>416</v>
      </c>
      <c r="C1291" s="5">
        <v>2017</v>
      </c>
      <c r="D1291" s="4">
        <v>0</v>
      </c>
      <c r="E1291" s="4">
        <v>8000000</v>
      </c>
      <c r="F1291" s="4" t="str">
        <f>_xlfn.LET(_xlpm.r, _xlfn.XLOOKUP(Clean_Data[[#This Row],[Country_Code]], Metadata_Country!$A:$A, Metadata_Country!$B:$B, "Unknown"), IF(OR(_xlpm.r=0, _xlpm.r=""), "Regional Aggregate", _xlpm.r))</f>
        <v>Sub-Saharan Africa</v>
      </c>
      <c r="G1291" s="4" t="str">
        <f>_xlfn.LET(_xlpm.ig, _xlfn.XLOOKUP(Clean_Data[[#This Row],[Country_Code]], Metadata_Country!$A:$A, Metadata_Country!$C:$C, "Unknown"), IF(OR(_xlpm.ig=0, _xlpm.ig=""), "Regional Aggregate", _xlpm.ig))</f>
        <v>Low income</v>
      </c>
      <c r="H1291" s="4">
        <f>Clean_Data[[#This Row],[Exports_TIV]] - Clean_Data[[#This Row],[Imports_TIV]]</f>
        <v>-8000000</v>
      </c>
      <c r="I1291" s="4">
        <f>Clean_Data[[#This Row],[Exports_TIV]] + Clean_Data[[#This Row],[Imports_TIV]]</f>
        <v>8000000</v>
      </c>
    </row>
    <row r="1292" spans="1:9">
      <c r="A1292" s="4" t="s">
        <v>419</v>
      </c>
      <c r="B1292" s="4" t="s">
        <v>420</v>
      </c>
      <c r="C1292" s="5">
        <v>2017</v>
      </c>
      <c r="D1292" s="4">
        <v>0</v>
      </c>
      <c r="E1292" s="4">
        <v>3852000000</v>
      </c>
      <c r="F1292" s="4" t="str">
        <f>_xlfn.LET(_xlpm.r, _xlfn.XLOOKUP(Clean_Data[[#This Row],[Country_Code]], Metadata_Country!$A:$A, Metadata_Country!$B:$B, "Unknown"), IF(OR(_xlpm.r=0, _xlpm.r=""), "Regional Aggregate", _xlpm.r))</f>
        <v>Middle East &amp; North Africa</v>
      </c>
      <c r="G1292" s="4" t="str">
        <f>_xlfn.LET(_xlpm.ig, _xlfn.XLOOKUP(Clean_Data[[#This Row],[Country_Code]], Metadata_Country!$A:$A, Metadata_Country!$C:$C, "Unknown"), IF(OR(_xlpm.ig=0, _xlpm.ig=""), "Regional Aggregate", _xlpm.ig))</f>
        <v>High income</v>
      </c>
      <c r="H1292" s="4">
        <f>Clean_Data[[#This Row],[Exports_TIV]] - Clean_Data[[#This Row],[Imports_TIV]]</f>
        <v>-3852000000</v>
      </c>
      <c r="I1292" s="4">
        <f>Clean_Data[[#This Row],[Exports_TIV]] + Clean_Data[[#This Row],[Imports_TIV]]</f>
        <v>3852000000</v>
      </c>
    </row>
    <row r="1293" spans="1:9">
      <c r="A1293" s="4" t="s">
        <v>423</v>
      </c>
      <c r="B1293" s="4" t="s">
        <v>424</v>
      </c>
      <c r="C1293" s="5">
        <v>2017</v>
      </c>
      <c r="D1293" s="4">
        <v>0</v>
      </c>
      <c r="E1293" s="4">
        <v>48000000</v>
      </c>
      <c r="F1293" s="4" t="str">
        <f>_xlfn.LET(_xlpm.r, _xlfn.XLOOKUP(Clean_Data[[#This Row],[Country_Code]], Metadata_Country!$A:$A, Metadata_Country!$B:$B, "Unknown"), IF(OR(_xlpm.r=0, _xlpm.r=""), "Regional Aggregate", _xlpm.r))</f>
        <v>Sub-Saharan Africa</v>
      </c>
      <c r="G1293" s="4" t="str">
        <f>_xlfn.LET(_xlpm.ig, _xlfn.XLOOKUP(Clean_Data[[#This Row],[Country_Code]], Metadata_Country!$A:$A, Metadata_Country!$C:$C, "Unknown"), IF(OR(_xlpm.ig=0, _xlpm.ig=""), "Regional Aggregate", _xlpm.ig))</f>
        <v>Lower middle income</v>
      </c>
      <c r="H1293" s="4">
        <f>Clean_Data[[#This Row],[Exports_TIV]] - Clean_Data[[#This Row],[Imports_TIV]]</f>
        <v>-48000000</v>
      </c>
      <c r="I1293" s="4">
        <f>Clean_Data[[#This Row],[Exports_TIV]] + Clean_Data[[#This Row],[Imports_TIV]]</f>
        <v>48000000</v>
      </c>
    </row>
    <row r="1294" spans="1:9">
      <c r="A1294" s="4" t="s">
        <v>437</v>
      </c>
      <c r="B1294" s="4" t="s">
        <v>438</v>
      </c>
      <c r="C1294" s="5">
        <v>2017</v>
      </c>
      <c r="D1294" s="4">
        <v>20000000</v>
      </c>
      <c r="E1294" s="4">
        <v>65000000</v>
      </c>
      <c r="F1294" s="4" t="str">
        <f>_xlfn.LET(_xlpm.r, _xlfn.XLOOKUP(Clean_Data[[#This Row],[Country_Code]], Metadata_Country!$A:$A, Metadata_Country!$B:$B, "Unknown"), IF(OR(_xlpm.r=0, _xlpm.r=""), "Regional Aggregate", _xlpm.r))</f>
        <v>Europe &amp; Central Asia</v>
      </c>
      <c r="G1294" s="4" t="str">
        <f>_xlfn.LET(_xlpm.ig, _xlfn.XLOOKUP(Clean_Data[[#This Row],[Country_Code]], Metadata_Country!$A:$A, Metadata_Country!$C:$C, "Unknown"), IF(OR(_xlpm.ig=0, _xlpm.ig=""), "Regional Aggregate", _xlpm.ig))</f>
        <v>Upper middle income</v>
      </c>
      <c r="H1294" s="4">
        <f>Clean_Data[[#This Row],[Exports_TIV]] - Clean_Data[[#This Row],[Imports_TIV]]</f>
        <v>-45000000</v>
      </c>
      <c r="I1294" s="4">
        <f>Clean_Data[[#This Row],[Exports_TIV]] + Clean_Data[[#This Row],[Imports_TIV]]</f>
        <v>85000000</v>
      </c>
    </row>
    <row r="1295" spans="1:9">
      <c r="A1295" s="4" t="s">
        <v>425</v>
      </c>
      <c r="B1295" s="4" t="s">
        <v>426</v>
      </c>
      <c r="C1295" s="5">
        <v>2017</v>
      </c>
      <c r="D1295" s="4">
        <v>0</v>
      </c>
      <c r="E1295" s="4">
        <v>408000000</v>
      </c>
      <c r="F1295" s="4" t="str">
        <f>_xlfn.LET(_xlpm.r, _xlfn.XLOOKUP(Clean_Data[[#This Row],[Country_Code]], Metadata_Country!$A:$A, Metadata_Country!$B:$B, "Unknown"), IF(OR(_xlpm.r=0, _xlpm.r=""), "Regional Aggregate", _xlpm.r))</f>
        <v>East Asia &amp; Pacific</v>
      </c>
      <c r="G1295" s="4" t="str">
        <f>_xlfn.LET(_xlpm.ig, _xlfn.XLOOKUP(Clean_Data[[#This Row],[Country_Code]], Metadata_Country!$A:$A, Metadata_Country!$C:$C, "Unknown"), IF(OR(_xlpm.ig=0, _xlpm.ig=""), "Regional Aggregate", _xlpm.ig))</f>
        <v>High income</v>
      </c>
      <c r="H1295" s="4">
        <f>Clean_Data[[#This Row],[Exports_TIV]] - Clean_Data[[#This Row],[Imports_TIV]]</f>
        <v>-408000000</v>
      </c>
      <c r="I1295" s="4">
        <f>Clean_Data[[#This Row],[Exports_TIV]] + Clean_Data[[#This Row],[Imports_TIV]]</f>
        <v>408000000</v>
      </c>
    </row>
    <row r="1296" spans="1:9">
      <c r="A1296" s="4" t="s">
        <v>451</v>
      </c>
      <c r="B1296" s="4" t="s">
        <v>452</v>
      </c>
      <c r="C1296" s="5">
        <v>2017</v>
      </c>
      <c r="D1296" s="4">
        <v>22000000</v>
      </c>
      <c r="E1296" s="4">
        <v>47000000</v>
      </c>
      <c r="F1296" s="4" t="str">
        <f>_xlfn.LET(_xlpm.r, _xlfn.XLOOKUP(Clean_Data[[#This Row],[Country_Code]], Metadata_Country!$A:$A, Metadata_Country!$B:$B, "Unknown"), IF(OR(_xlpm.r=0, _xlpm.r=""), "Regional Aggregate", _xlpm.r))</f>
        <v>Europe &amp; Central Asia</v>
      </c>
      <c r="G1296" s="4" t="str">
        <f>_xlfn.LET(_xlpm.ig, _xlfn.XLOOKUP(Clean_Data[[#This Row],[Country_Code]], Metadata_Country!$A:$A, Metadata_Country!$C:$C, "Unknown"), IF(OR(_xlpm.ig=0, _xlpm.ig=""), "Regional Aggregate", _xlpm.ig))</f>
        <v>High income</v>
      </c>
      <c r="H1296" s="4">
        <f>Clean_Data[[#This Row],[Exports_TIV]] - Clean_Data[[#This Row],[Imports_TIV]]</f>
        <v>-25000000</v>
      </c>
      <c r="I1296" s="4">
        <f>Clean_Data[[#This Row],[Exports_TIV]] + Clean_Data[[#This Row],[Imports_TIV]]</f>
        <v>69000000</v>
      </c>
    </row>
    <row r="1297" spans="1:9">
      <c r="A1297" s="4" t="s">
        <v>445</v>
      </c>
      <c r="B1297" s="4" t="s">
        <v>446</v>
      </c>
      <c r="C1297" s="5">
        <v>2017</v>
      </c>
      <c r="D1297" s="4">
        <v>0</v>
      </c>
      <c r="E1297" s="4">
        <v>106000000</v>
      </c>
      <c r="F1297" s="4" t="str">
        <f>_xlfn.LET(_xlpm.r, _xlfn.XLOOKUP(Clean_Data[[#This Row],[Country_Code]], Metadata_Country!$A:$A, Metadata_Country!$B:$B, "Unknown"), IF(OR(_xlpm.r=0, _xlpm.r=""), "Regional Aggregate", _xlpm.r))</f>
        <v>Regional Aggregate</v>
      </c>
      <c r="G1297" s="4" t="str">
        <f>_xlfn.LET(_xlpm.ig, _xlfn.XLOOKUP(Clean_Data[[#This Row],[Country_Code]], Metadata_Country!$A:$A, Metadata_Country!$C:$C, "Unknown"), IF(OR(_xlpm.ig=0, _xlpm.ig=""), "Regional Aggregate", _xlpm.ig))</f>
        <v>Regional Aggregate</v>
      </c>
      <c r="H1297" s="4">
        <f>Clean_Data[[#This Row],[Exports_TIV]] - Clean_Data[[#This Row],[Imports_TIV]]</f>
        <v>-106000000</v>
      </c>
      <c r="I1297" s="4">
        <f>Clean_Data[[#This Row],[Exports_TIV]] + Clean_Data[[#This Row],[Imports_TIV]]</f>
        <v>106000000</v>
      </c>
    </row>
    <row r="1298" spans="1:9">
      <c r="A1298" s="4" t="s">
        <v>435</v>
      </c>
      <c r="B1298" s="4" t="s">
        <v>436</v>
      </c>
      <c r="C1298" s="5">
        <v>2017</v>
      </c>
      <c r="D1298" s="4">
        <v>0</v>
      </c>
      <c r="E1298" s="4">
        <v>2000000</v>
      </c>
      <c r="F1298" s="4" t="str">
        <f>_xlfn.LET(_xlpm.r, _xlfn.XLOOKUP(Clean_Data[[#This Row],[Country_Code]], Metadata_Country!$A:$A, Metadata_Country!$B:$B, "Unknown"), IF(OR(_xlpm.r=0, _xlpm.r=""), "Regional Aggregate", _xlpm.r))</f>
        <v>Sub-Saharan Africa</v>
      </c>
      <c r="G1298" s="4" t="str">
        <f>_xlfn.LET(_xlpm.ig, _xlfn.XLOOKUP(Clean_Data[[#This Row],[Country_Code]], Metadata_Country!$A:$A, Metadata_Country!$C:$C, "Unknown"), IF(OR(_xlpm.ig=0, _xlpm.ig=""), "Regional Aggregate", _xlpm.ig))</f>
        <v>Low income</v>
      </c>
      <c r="H1298" s="4">
        <f>Clean_Data[[#This Row],[Exports_TIV]] - Clean_Data[[#This Row],[Imports_TIV]]</f>
        <v>-2000000</v>
      </c>
      <c r="I1298" s="4">
        <f>Clean_Data[[#This Row],[Exports_TIV]] + Clean_Data[[#This Row],[Imports_TIV]]</f>
        <v>2000000</v>
      </c>
    </row>
    <row r="1299" spans="1:9">
      <c r="A1299" s="4" t="s">
        <v>535</v>
      </c>
      <c r="B1299" s="4" t="s">
        <v>536</v>
      </c>
      <c r="C1299" s="5">
        <v>2017</v>
      </c>
      <c r="D1299" s="4">
        <v>100000000</v>
      </c>
      <c r="E1299" s="4">
        <v>0</v>
      </c>
      <c r="F1299" s="4" t="str">
        <f>_xlfn.LET(_xlpm.r, _xlfn.XLOOKUP(Clean_Data[[#This Row],[Country_Code]], Metadata_Country!$A:$A, Metadata_Country!$B:$B, "Unknown"), IF(OR(_xlpm.r=0, _xlpm.r=""), "Regional Aggregate", _xlpm.r))</f>
        <v>Sub-Saharan Africa</v>
      </c>
      <c r="G1299" s="4" t="str">
        <f>_xlfn.LET(_xlpm.ig, _xlfn.XLOOKUP(Clean_Data[[#This Row],[Country_Code]], Metadata_Country!$A:$A, Metadata_Country!$C:$C, "Unknown"), IF(OR(_xlpm.ig=0, _xlpm.ig=""), "Regional Aggregate", _xlpm.ig))</f>
        <v>Upper middle income</v>
      </c>
      <c r="H1299" s="4">
        <f>Clean_Data[[#This Row],[Exports_TIV]] - Clean_Data[[#This Row],[Imports_TIV]]</f>
        <v>100000000</v>
      </c>
      <c r="I1299" s="4">
        <f>Clean_Data[[#This Row],[Exports_TIV]] + Clean_Data[[#This Row],[Imports_TIV]]</f>
        <v>100000000</v>
      </c>
    </row>
    <row r="1300" spans="1:9">
      <c r="A1300" s="4" t="s">
        <v>417</v>
      </c>
      <c r="B1300" s="4" t="s">
        <v>418</v>
      </c>
      <c r="C1300" s="5">
        <v>2017</v>
      </c>
      <c r="D1300" s="4">
        <v>56000000</v>
      </c>
      <c r="E1300" s="4">
        <v>3062000000</v>
      </c>
      <c r="F1300" s="4" t="str">
        <f>_xlfn.LET(_xlpm.r, _xlfn.XLOOKUP(Clean_Data[[#This Row],[Country_Code]], Metadata_Country!$A:$A, Metadata_Country!$B:$B, "Unknown"), IF(OR(_xlpm.r=0, _xlpm.r=""), "Regional Aggregate", _xlpm.r))</f>
        <v>Regional Aggregate</v>
      </c>
      <c r="G1300" s="4" t="str">
        <f>_xlfn.LET(_xlpm.ig, _xlfn.XLOOKUP(Clean_Data[[#This Row],[Country_Code]], Metadata_Country!$A:$A, Metadata_Country!$C:$C, "Unknown"), IF(OR(_xlpm.ig=0, _xlpm.ig=""), "Regional Aggregate", _xlpm.ig))</f>
        <v>Regional Aggregate</v>
      </c>
      <c r="H1300" s="4">
        <f>Clean_Data[[#This Row],[Exports_TIV]] - Clean_Data[[#This Row],[Imports_TIV]]</f>
        <v>-3006000000</v>
      </c>
      <c r="I1300" s="4">
        <f>Clean_Data[[#This Row],[Exports_TIV]] + Clean_Data[[#This Row],[Imports_TIV]]</f>
        <v>3118000000</v>
      </c>
    </row>
    <row r="1301" spans="1:9">
      <c r="A1301" s="4" t="s">
        <v>489</v>
      </c>
      <c r="B1301" s="4" t="s">
        <v>490</v>
      </c>
      <c r="C1301" s="5">
        <v>2017</v>
      </c>
      <c r="D1301" s="4">
        <v>56000000</v>
      </c>
      <c r="E1301" s="4">
        <v>3062000000</v>
      </c>
      <c r="F1301" s="4" t="str">
        <f>_xlfn.LET(_xlpm.r, _xlfn.XLOOKUP(Clean_Data[[#This Row],[Country_Code]], Metadata_Country!$A:$A, Metadata_Country!$B:$B, "Unknown"), IF(OR(_xlpm.r=0, _xlpm.r=""), "Regional Aggregate", _xlpm.r))</f>
        <v>Regional Aggregate</v>
      </c>
      <c r="G1301" s="4" t="str">
        <f>_xlfn.LET(_xlpm.ig, _xlfn.XLOOKUP(Clean_Data[[#This Row],[Country_Code]], Metadata_Country!$A:$A, Metadata_Country!$C:$C, "Unknown"), IF(OR(_xlpm.ig=0, _xlpm.ig=""), "Regional Aggregate", _xlpm.ig))</f>
        <v>Regional Aggregate</v>
      </c>
      <c r="H1301" s="4">
        <f>Clean_Data[[#This Row],[Exports_TIV]] - Clean_Data[[#This Row],[Imports_TIV]]</f>
        <v>-3006000000</v>
      </c>
      <c r="I1301" s="4">
        <f>Clean_Data[[#This Row],[Exports_TIV]] + Clean_Data[[#This Row],[Imports_TIV]]</f>
        <v>3118000000</v>
      </c>
    </row>
    <row r="1302" spans="1:9">
      <c r="A1302" s="4" t="s">
        <v>149</v>
      </c>
      <c r="B1302" s="4" t="s">
        <v>150</v>
      </c>
      <c r="C1302" s="5">
        <v>2017</v>
      </c>
      <c r="D1302" s="4">
        <v>820000000</v>
      </c>
      <c r="E1302" s="4">
        <v>82000000</v>
      </c>
      <c r="F1302" s="4" t="str">
        <f>_xlfn.LET(_xlpm.r, _xlfn.XLOOKUP(Clean_Data[[#This Row],[Country_Code]], Metadata_Country!$A:$A, Metadata_Country!$B:$B, "Unknown"), IF(OR(_xlpm.r=0, _xlpm.r=""), "Regional Aggregate", _xlpm.r))</f>
        <v>Europe &amp; Central Asia</v>
      </c>
      <c r="G1302" s="4" t="str">
        <f>_xlfn.LET(_xlpm.ig, _xlfn.XLOOKUP(Clean_Data[[#This Row],[Country_Code]], Metadata_Country!$A:$A, Metadata_Country!$C:$C, "Unknown"), IF(OR(_xlpm.ig=0, _xlpm.ig=""), "Regional Aggregate", _xlpm.ig))</f>
        <v>High income</v>
      </c>
      <c r="H1302" s="4">
        <f>Clean_Data[[#This Row],[Exports_TIV]] - Clean_Data[[#This Row],[Imports_TIV]]</f>
        <v>738000000</v>
      </c>
      <c r="I1302" s="4">
        <f>Clean_Data[[#This Row],[Exports_TIV]] + Clean_Data[[#This Row],[Imports_TIV]]</f>
        <v>902000000</v>
      </c>
    </row>
    <row r="1303" spans="1:9">
      <c r="A1303" s="4" t="s">
        <v>285</v>
      </c>
      <c r="B1303" s="4" t="s">
        <v>286</v>
      </c>
      <c r="C1303" s="5">
        <v>2017</v>
      </c>
      <c r="D1303" s="4">
        <v>0</v>
      </c>
      <c r="E1303" s="4">
        <v>45000000</v>
      </c>
      <c r="F1303" s="4" t="str">
        <f>_xlfn.LET(_xlpm.r, _xlfn.XLOOKUP(Clean_Data[[#This Row],[Country_Code]], Metadata_Country!$A:$A, Metadata_Country!$B:$B, "Unknown"), IF(OR(_xlpm.r=0, _xlpm.r=""), "Regional Aggregate", _xlpm.r))</f>
        <v>South Asia</v>
      </c>
      <c r="G1303" s="4" t="str">
        <f>_xlfn.LET(_xlpm.ig, _xlfn.XLOOKUP(Clean_Data[[#This Row],[Country_Code]], Metadata_Country!$A:$A, Metadata_Country!$C:$C, "Unknown"), IF(OR(_xlpm.ig=0, _xlpm.ig=""), "Regional Aggregate", _xlpm.ig))</f>
        <v>Upper middle income</v>
      </c>
      <c r="H1303" s="4">
        <f>Clean_Data[[#This Row],[Exports_TIV]] - Clean_Data[[#This Row],[Imports_TIV]]</f>
        <v>-45000000</v>
      </c>
      <c r="I1303" s="4">
        <f>Clean_Data[[#This Row],[Exports_TIV]] + Clean_Data[[#This Row],[Imports_TIV]]</f>
        <v>45000000</v>
      </c>
    </row>
    <row r="1304" spans="1:9">
      <c r="A1304" s="4" t="s">
        <v>421</v>
      </c>
      <c r="B1304" s="4" t="s">
        <v>422</v>
      </c>
      <c r="C1304" s="5">
        <v>2017</v>
      </c>
      <c r="D1304" s="4">
        <v>0</v>
      </c>
      <c r="E1304" s="4">
        <v>66000000</v>
      </c>
      <c r="F1304" s="4" t="str">
        <f>_xlfn.LET(_xlpm.r, _xlfn.XLOOKUP(Clean_Data[[#This Row],[Country_Code]], Metadata_Country!$A:$A, Metadata_Country!$B:$B, "Unknown"), IF(OR(_xlpm.r=0, _xlpm.r=""), "Regional Aggregate", _xlpm.r))</f>
        <v>Sub-Saharan Africa</v>
      </c>
      <c r="G1304" s="4" t="str">
        <f>_xlfn.LET(_xlpm.ig, _xlfn.XLOOKUP(Clean_Data[[#This Row],[Country_Code]], Metadata_Country!$A:$A, Metadata_Country!$C:$C, "Unknown"), IF(OR(_xlpm.ig=0, _xlpm.ig=""), "Regional Aggregate", _xlpm.ig))</f>
        <v>Low income</v>
      </c>
      <c r="H1304" s="4">
        <f>Clean_Data[[#This Row],[Exports_TIV]] - Clean_Data[[#This Row],[Imports_TIV]]</f>
        <v>-66000000</v>
      </c>
      <c r="I1304" s="4">
        <f>Clean_Data[[#This Row],[Exports_TIV]] + Clean_Data[[#This Row],[Imports_TIV]]</f>
        <v>66000000</v>
      </c>
    </row>
    <row r="1305" spans="1:9">
      <c r="A1305" s="4" t="s">
        <v>455</v>
      </c>
      <c r="B1305" s="4" t="s">
        <v>456</v>
      </c>
      <c r="C1305" s="5">
        <v>2017</v>
      </c>
      <c r="D1305" s="4">
        <v>75000000</v>
      </c>
      <c r="E1305" s="4">
        <v>32000000</v>
      </c>
      <c r="F1305" s="4" t="str">
        <f>_xlfn.LET(_xlpm.r, _xlfn.XLOOKUP(Clean_Data[[#This Row],[Country_Code]], Metadata_Country!$A:$A, Metadata_Country!$B:$B, "Unknown"), IF(OR(_xlpm.r=0, _xlpm.r=""), "Regional Aggregate", _xlpm.r))</f>
        <v>Europe &amp; Central Asia</v>
      </c>
      <c r="G1305" s="4" t="str">
        <f>_xlfn.LET(_xlpm.ig, _xlfn.XLOOKUP(Clean_Data[[#This Row],[Country_Code]], Metadata_Country!$A:$A, Metadata_Country!$C:$C, "Unknown"), IF(OR(_xlpm.ig=0, _xlpm.ig=""), "Regional Aggregate", _xlpm.ig))</f>
        <v>High income</v>
      </c>
      <c r="H1305" s="4">
        <f>Clean_Data[[#This Row],[Exports_TIV]] - Clean_Data[[#This Row],[Imports_TIV]]</f>
        <v>43000000</v>
      </c>
      <c r="I1305" s="4">
        <f>Clean_Data[[#This Row],[Exports_TIV]] + Clean_Data[[#This Row],[Imports_TIV]]</f>
        <v>107000000</v>
      </c>
    </row>
    <row r="1306" spans="1:9">
      <c r="A1306" s="4" t="s">
        <v>83</v>
      </c>
      <c r="B1306" s="4" t="s">
        <v>84</v>
      </c>
      <c r="C1306" s="5">
        <v>2017</v>
      </c>
      <c r="D1306" s="4">
        <v>175000000</v>
      </c>
      <c r="E1306" s="4">
        <v>0</v>
      </c>
      <c r="F1306" s="4" t="str">
        <f>_xlfn.LET(_xlpm.r, _xlfn.XLOOKUP(Clean_Data[[#This Row],[Country_Code]], Metadata_Country!$A:$A, Metadata_Country!$B:$B, "Unknown"), IF(OR(_xlpm.r=0, _xlpm.r=""), "Regional Aggregate", _xlpm.r))</f>
        <v>Europe &amp; Central Asia</v>
      </c>
      <c r="G1306" s="4" t="str">
        <f>_xlfn.LET(_xlpm.ig, _xlfn.XLOOKUP(Clean_Data[[#This Row],[Country_Code]], Metadata_Country!$A:$A, Metadata_Country!$C:$C, "Unknown"), IF(OR(_xlpm.ig=0, _xlpm.ig=""), "Regional Aggregate", _xlpm.ig))</f>
        <v>High income</v>
      </c>
      <c r="H1306" s="4">
        <f>Clean_Data[[#This Row],[Exports_TIV]] - Clean_Data[[#This Row],[Imports_TIV]]</f>
        <v>175000000</v>
      </c>
      <c r="I1306" s="4">
        <f>Clean_Data[[#This Row],[Exports_TIV]] + Clean_Data[[#This Row],[Imports_TIV]]</f>
        <v>175000000</v>
      </c>
    </row>
    <row r="1307" spans="1:9">
      <c r="A1307" s="4" t="s">
        <v>463</v>
      </c>
      <c r="B1307" s="4" t="s">
        <v>464</v>
      </c>
      <c r="C1307" s="5">
        <v>2017</v>
      </c>
      <c r="D1307" s="4">
        <v>0</v>
      </c>
      <c r="E1307" s="4">
        <v>52000000</v>
      </c>
      <c r="F1307" s="4" t="str">
        <f>_xlfn.LET(_xlpm.r, _xlfn.XLOOKUP(Clean_Data[[#This Row],[Country_Code]], Metadata_Country!$A:$A, Metadata_Country!$B:$B, "Unknown"), IF(OR(_xlpm.r=0, _xlpm.r=""), "Regional Aggregate", _xlpm.r))</f>
        <v>Middle East &amp; North Africa</v>
      </c>
      <c r="G1307" s="4" t="str">
        <f>_xlfn.LET(_xlpm.ig, _xlfn.XLOOKUP(Clean_Data[[#This Row],[Country_Code]], Metadata_Country!$A:$A, Metadata_Country!$C:$C, "Unknown"), IF(OR(_xlpm.ig=0, _xlpm.ig=""), "Regional Aggregate", _xlpm.ig))</f>
        <v>Low income</v>
      </c>
      <c r="H1307" s="4">
        <f>Clean_Data[[#This Row],[Exports_TIV]] - Clean_Data[[#This Row],[Imports_TIV]]</f>
        <v>-52000000</v>
      </c>
      <c r="I1307" s="4">
        <f>Clean_Data[[#This Row],[Exports_TIV]] + Clean_Data[[#This Row],[Imports_TIV]]</f>
        <v>52000000</v>
      </c>
    </row>
    <row r="1308" spans="1:9">
      <c r="A1308" s="4" t="s">
        <v>477</v>
      </c>
      <c r="B1308" s="4" t="s">
        <v>478</v>
      </c>
      <c r="C1308" s="5">
        <v>2017</v>
      </c>
      <c r="D1308" s="4">
        <v>0</v>
      </c>
      <c r="E1308" s="4">
        <v>19000000</v>
      </c>
      <c r="F1308" s="4" t="str">
        <f>_xlfn.LET(_xlpm.r, _xlfn.XLOOKUP(Clean_Data[[#This Row],[Country_Code]], Metadata_Country!$A:$A, Metadata_Country!$B:$B, "Unknown"), IF(OR(_xlpm.r=0, _xlpm.r=""), "Regional Aggregate", _xlpm.r))</f>
        <v>Europe &amp; Central Asia</v>
      </c>
      <c r="G1308" s="4" t="str">
        <f>_xlfn.LET(_xlpm.ig, _xlfn.XLOOKUP(Clean_Data[[#This Row],[Country_Code]], Metadata_Country!$A:$A, Metadata_Country!$C:$C, "Unknown"), IF(OR(_xlpm.ig=0, _xlpm.ig=""), "Regional Aggregate", _xlpm.ig))</f>
        <v>Lower middle income</v>
      </c>
      <c r="H1308" s="4">
        <f>Clean_Data[[#This Row],[Exports_TIV]] - Clean_Data[[#This Row],[Imports_TIV]]</f>
        <v>-19000000</v>
      </c>
      <c r="I1308" s="4">
        <f>Clean_Data[[#This Row],[Exports_TIV]] + Clean_Data[[#This Row],[Imports_TIV]]</f>
        <v>19000000</v>
      </c>
    </row>
    <row r="1309" spans="1:9">
      <c r="A1309" s="4" t="s">
        <v>501</v>
      </c>
      <c r="B1309" s="4" t="s">
        <v>502</v>
      </c>
      <c r="C1309" s="5">
        <v>2017</v>
      </c>
      <c r="D1309" s="4">
        <v>0</v>
      </c>
      <c r="E1309" s="4">
        <v>2000000</v>
      </c>
      <c r="F1309" s="4" t="str">
        <f>_xlfn.LET(_xlpm.r, _xlfn.XLOOKUP(Clean_Data[[#This Row],[Country_Code]], Metadata_Country!$A:$A, Metadata_Country!$B:$B, "Unknown"), IF(OR(_xlpm.r=0, _xlpm.r=""), "Regional Aggregate", _xlpm.r))</f>
        <v>Sub-Saharan Africa</v>
      </c>
      <c r="G1309" s="4" t="str">
        <f>_xlfn.LET(_xlpm.ig, _xlfn.XLOOKUP(Clean_Data[[#This Row],[Country_Code]], Metadata_Country!$A:$A, Metadata_Country!$C:$C, "Unknown"), IF(OR(_xlpm.ig=0, _xlpm.ig=""), "Regional Aggregate", _xlpm.ig))</f>
        <v>Lower middle income</v>
      </c>
      <c r="H1309" s="4">
        <f>Clean_Data[[#This Row],[Exports_TIV]] - Clean_Data[[#This Row],[Imports_TIV]]</f>
        <v>-2000000</v>
      </c>
      <c r="I1309" s="4">
        <f>Clean_Data[[#This Row],[Exports_TIV]] + Clean_Data[[#This Row],[Imports_TIV]]</f>
        <v>2000000</v>
      </c>
    </row>
    <row r="1310" spans="1:9">
      <c r="A1310" s="4" t="s">
        <v>475</v>
      </c>
      <c r="B1310" s="4" t="s">
        <v>476</v>
      </c>
      <c r="C1310" s="5">
        <v>2017</v>
      </c>
      <c r="D1310" s="4">
        <v>4000000</v>
      </c>
      <c r="E1310" s="4">
        <v>317000000</v>
      </c>
      <c r="F1310" s="4" t="str">
        <f>_xlfn.LET(_xlpm.r, _xlfn.XLOOKUP(Clean_Data[[#This Row],[Country_Code]], Metadata_Country!$A:$A, Metadata_Country!$B:$B, "Unknown"), IF(OR(_xlpm.r=0, _xlpm.r=""), "Regional Aggregate", _xlpm.r))</f>
        <v>East Asia &amp; Pacific</v>
      </c>
      <c r="G1310" s="4" t="str">
        <f>_xlfn.LET(_xlpm.ig, _xlfn.XLOOKUP(Clean_Data[[#This Row],[Country_Code]], Metadata_Country!$A:$A, Metadata_Country!$C:$C, "Unknown"), IF(OR(_xlpm.ig=0, _xlpm.ig=""), "Regional Aggregate", _xlpm.ig))</f>
        <v>Upper middle income</v>
      </c>
      <c r="H1310" s="4">
        <f>Clean_Data[[#This Row],[Exports_TIV]] - Clean_Data[[#This Row],[Imports_TIV]]</f>
        <v>-313000000</v>
      </c>
      <c r="I1310" s="4">
        <f>Clean_Data[[#This Row],[Exports_TIV]] + Clean_Data[[#This Row],[Imports_TIV]]</f>
        <v>321000000</v>
      </c>
    </row>
    <row r="1311" spans="1:9">
      <c r="A1311" s="4" t="s">
        <v>495</v>
      </c>
      <c r="B1311" s="4" t="s">
        <v>496</v>
      </c>
      <c r="C1311" s="5">
        <v>2017</v>
      </c>
      <c r="D1311" s="4">
        <v>0</v>
      </c>
      <c r="E1311" s="4">
        <v>98000000</v>
      </c>
      <c r="F1311" s="4" t="str">
        <f>_xlfn.LET(_xlpm.r, _xlfn.XLOOKUP(Clean_Data[[#This Row],[Country_Code]], Metadata_Country!$A:$A, Metadata_Country!$B:$B, "Unknown"), IF(OR(_xlpm.r=0, _xlpm.r=""), "Regional Aggregate", _xlpm.r))</f>
        <v>Middle East &amp; North Africa</v>
      </c>
      <c r="G1311" s="4" t="str">
        <f>_xlfn.LET(_xlpm.ig, _xlfn.XLOOKUP(Clean_Data[[#This Row],[Country_Code]], Metadata_Country!$A:$A, Metadata_Country!$C:$C, "Unknown"), IF(OR(_xlpm.ig=0, _xlpm.ig=""), "Regional Aggregate", _xlpm.ig))</f>
        <v>Lower middle income</v>
      </c>
      <c r="H1311" s="4">
        <f>Clean_Data[[#This Row],[Exports_TIV]] - Clean_Data[[#This Row],[Imports_TIV]]</f>
        <v>-98000000</v>
      </c>
      <c r="I1311" s="4">
        <f>Clean_Data[[#This Row],[Exports_TIV]] + Clean_Data[[#This Row],[Imports_TIV]]</f>
        <v>98000000</v>
      </c>
    </row>
    <row r="1312" spans="1:9">
      <c r="A1312" s="4" t="s">
        <v>497</v>
      </c>
      <c r="B1312" s="4" t="s">
        <v>498</v>
      </c>
      <c r="C1312" s="5">
        <v>2017</v>
      </c>
      <c r="D1312" s="4">
        <v>184000000</v>
      </c>
      <c r="E1312" s="4">
        <v>427000000</v>
      </c>
      <c r="F1312" s="4" t="str">
        <f>_xlfn.LET(_xlpm.r, _xlfn.XLOOKUP(Clean_Data[[#This Row],[Country_Code]], Metadata_Country!$A:$A, Metadata_Country!$B:$B, "Unknown"), IF(OR(_xlpm.r=0, _xlpm.r=""), "Regional Aggregate", _xlpm.r))</f>
        <v>Europe &amp; Central Asia</v>
      </c>
      <c r="G1312" s="4" t="str">
        <f>_xlfn.LET(_xlpm.ig, _xlfn.XLOOKUP(Clean_Data[[#This Row],[Country_Code]], Metadata_Country!$A:$A, Metadata_Country!$C:$C, "Unknown"), IF(OR(_xlpm.ig=0, _xlpm.ig=""), "Regional Aggregate", _xlpm.ig))</f>
        <v>Upper middle income</v>
      </c>
      <c r="H1312" s="4">
        <f>Clean_Data[[#This Row],[Exports_TIV]] - Clean_Data[[#This Row],[Imports_TIV]]</f>
        <v>-243000000</v>
      </c>
      <c r="I1312" s="4">
        <f>Clean_Data[[#This Row],[Exports_TIV]] + Clean_Data[[#This Row],[Imports_TIV]]</f>
        <v>611000000</v>
      </c>
    </row>
    <row r="1313" spans="1:9">
      <c r="A1313" s="4" t="s">
        <v>479</v>
      </c>
      <c r="B1313" s="4" t="s">
        <v>480</v>
      </c>
      <c r="C1313" s="5">
        <v>2017</v>
      </c>
      <c r="D1313" s="4">
        <v>0</v>
      </c>
      <c r="E1313" s="4">
        <v>108000000</v>
      </c>
      <c r="F1313" s="4" t="str">
        <f>_xlfn.LET(_xlpm.r, _xlfn.XLOOKUP(Clean_Data[[#This Row],[Country_Code]], Metadata_Country!$A:$A, Metadata_Country!$B:$B, "Unknown"), IF(OR(_xlpm.r=0, _xlpm.r=""), "Regional Aggregate", _xlpm.r))</f>
        <v>Europe &amp; Central Asia</v>
      </c>
      <c r="G1313" s="4" t="str">
        <f>_xlfn.LET(_xlpm.ig, _xlfn.XLOOKUP(Clean_Data[[#This Row],[Country_Code]], Metadata_Country!$A:$A, Metadata_Country!$C:$C, "Unknown"), IF(OR(_xlpm.ig=0, _xlpm.ig=""), "Regional Aggregate", _xlpm.ig))</f>
        <v>Upper middle income</v>
      </c>
      <c r="H1313" s="4">
        <f>Clean_Data[[#This Row],[Exports_TIV]] - Clean_Data[[#This Row],[Imports_TIV]]</f>
        <v>-108000000</v>
      </c>
      <c r="I1313" s="4">
        <f>Clean_Data[[#This Row],[Exports_TIV]] + Clean_Data[[#This Row],[Imports_TIV]]</f>
        <v>108000000</v>
      </c>
    </row>
    <row r="1314" spans="1:9">
      <c r="A1314" s="4" t="s">
        <v>503</v>
      </c>
      <c r="B1314" s="4" t="s">
        <v>504</v>
      </c>
      <c r="C1314" s="5">
        <v>2017</v>
      </c>
      <c r="D1314" s="4">
        <v>0</v>
      </c>
      <c r="E1314" s="4">
        <v>22000000</v>
      </c>
      <c r="F1314" s="4" t="str">
        <f>_xlfn.LET(_xlpm.r, _xlfn.XLOOKUP(Clean_Data[[#This Row],[Country_Code]], Metadata_Country!$A:$A, Metadata_Country!$B:$B, "Unknown"), IF(OR(_xlpm.r=0, _xlpm.r=""), "Regional Aggregate", _xlpm.r))</f>
        <v>Sub-Saharan Africa</v>
      </c>
      <c r="G1314" s="4" t="str">
        <f>_xlfn.LET(_xlpm.ig, _xlfn.XLOOKUP(Clean_Data[[#This Row],[Country_Code]], Metadata_Country!$A:$A, Metadata_Country!$C:$C, "Unknown"), IF(OR(_xlpm.ig=0, _xlpm.ig=""), "Regional Aggregate", _xlpm.ig))</f>
        <v>Low income</v>
      </c>
      <c r="H1314" s="4">
        <f>Clean_Data[[#This Row],[Exports_TIV]] - Clean_Data[[#This Row],[Imports_TIV]]</f>
        <v>-22000000</v>
      </c>
      <c r="I1314" s="4">
        <f>Clean_Data[[#This Row],[Exports_TIV]] + Clean_Data[[#This Row],[Imports_TIV]]</f>
        <v>22000000</v>
      </c>
    </row>
    <row r="1315" spans="1:9">
      <c r="A1315" s="4" t="s">
        <v>505</v>
      </c>
      <c r="B1315" s="4" t="s">
        <v>506</v>
      </c>
      <c r="C1315" s="5">
        <v>2017</v>
      </c>
      <c r="D1315" s="4">
        <v>377000000</v>
      </c>
      <c r="E1315" s="4">
        <v>4000000</v>
      </c>
      <c r="F1315" s="4" t="str">
        <f>_xlfn.LET(_xlpm.r, _xlfn.XLOOKUP(Clean_Data[[#This Row],[Country_Code]], Metadata_Country!$A:$A, Metadata_Country!$B:$B, "Unknown"), IF(OR(_xlpm.r=0, _xlpm.r=""), "Regional Aggregate", _xlpm.r))</f>
        <v>Europe &amp; Central Asia</v>
      </c>
      <c r="G1315" s="4" t="str">
        <f>_xlfn.LET(_xlpm.ig, _xlfn.XLOOKUP(Clean_Data[[#This Row],[Country_Code]], Metadata_Country!$A:$A, Metadata_Country!$C:$C, "Unknown"), IF(OR(_xlpm.ig=0, _xlpm.ig=""), "Regional Aggregate", _xlpm.ig))</f>
        <v>Upper middle income</v>
      </c>
      <c r="H1315" s="4">
        <f>Clean_Data[[#This Row],[Exports_TIV]] - Clean_Data[[#This Row],[Imports_TIV]]</f>
        <v>373000000</v>
      </c>
      <c r="I1315" s="4">
        <f>Clean_Data[[#This Row],[Exports_TIV]] + Clean_Data[[#This Row],[Imports_TIV]]</f>
        <v>381000000</v>
      </c>
    </row>
    <row r="1316" spans="1:9">
      <c r="A1316" s="4" t="s">
        <v>25</v>
      </c>
      <c r="B1316" s="4" t="s">
        <v>26</v>
      </c>
      <c r="C1316" s="5">
        <v>2017</v>
      </c>
      <c r="D1316" s="4">
        <v>106000000</v>
      </c>
      <c r="E1316" s="4">
        <v>909000000</v>
      </c>
      <c r="F1316" s="4" t="str">
        <f>_xlfn.LET(_xlpm.r, _xlfn.XLOOKUP(Clean_Data[[#This Row],[Country_Code]], Metadata_Country!$A:$A, Metadata_Country!$B:$B, "Unknown"), IF(OR(_xlpm.r=0, _xlpm.r=""), "Regional Aggregate", _xlpm.r))</f>
        <v>Middle East &amp; North Africa</v>
      </c>
      <c r="G1316" s="4" t="str">
        <f>_xlfn.LET(_xlpm.ig, _xlfn.XLOOKUP(Clean_Data[[#This Row],[Country_Code]], Metadata_Country!$A:$A, Metadata_Country!$C:$C, "Unknown"), IF(OR(_xlpm.ig=0, _xlpm.ig=""), "Regional Aggregate", _xlpm.ig))</f>
        <v>High income</v>
      </c>
      <c r="H1316" s="4">
        <f>Clean_Data[[#This Row],[Exports_TIV]] - Clean_Data[[#This Row],[Imports_TIV]]</f>
        <v>-803000000</v>
      </c>
      <c r="I1316" s="4">
        <f>Clean_Data[[#This Row],[Exports_TIV]] + Clean_Data[[#This Row],[Imports_TIV]]</f>
        <v>1015000000</v>
      </c>
    </row>
    <row r="1317" spans="1:9">
      <c r="A1317" s="4" t="s">
        <v>171</v>
      </c>
      <c r="B1317" s="4" t="s">
        <v>172</v>
      </c>
      <c r="C1317" s="5">
        <v>2017</v>
      </c>
      <c r="D1317" s="4">
        <v>1104000000</v>
      </c>
      <c r="E1317" s="4">
        <v>1002000000</v>
      </c>
      <c r="F1317" s="4" t="str">
        <f>_xlfn.LET(_xlpm.r, _xlfn.XLOOKUP(Clean_Data[[#This Row],[Country_Code]], Metadata_Country!$A:$A, Metadata_Country!$B:$B, "Unknown"), IF(OR(_xlpm.r=0, _xlpm.r=""), "Regional Aggregate", _xlpm.r))</f>
        <v>Europe &amp; Central Asia</v>
      </c>
      <c r="G1317" s="4" t="str">
        <f>_xlfn.LET(_xlpm.ig, _xlfn.XLOOKUP(Clean_Data[[#This Row],[Country_Code]], Metadata_Country!$A:$A, Metadata_Country!$C:$C, "Unknown"), IF(OR(_xlpm.ig=0, _xlpm.ig=""), "Regional Aggregate", _xlpm.ig))</f>
        <v>High income</v>
      </c>
      <c r="H1317" s="4">
        <f>Clean_Data[[#This Row],[Exports_TIV]] - Clean_Data[[#This Row],[Imports_TIV]]</f>
        <v>102000000</v>
      </c>
      <c r="I1317" s="4">
        <f>Clean_Data[[#This Row],[Exports_TIV]] + Clean_Data[[#This Row],[Imports_TIV]]</f>
        <v>2106000000</v>
      </c>
    </row>
    <row r="1318" spans="1:9">
      <c r="A1318" s="4" t="s">
        <v>511</v>
      </c>
      <c r="B1318" s="4" t="s">
        <v>512</v>
      </c>
      <c r="C1318" s="5">
        <v>2017</v>
      </c>
      <c r="D1318" s="4">
        <v>11381000000</v>
      </c>
      <c r="E1318" s="4">
        <v>504000000</v>
      </c>
      <c r="F1318" s="4" t="str">
        <f>_xlfn.LET(_xlpm.r, _xlfn.XLOOKUP(Clean_Data[[#This Row],[Country_Code]], Metadata_Country!$A:$A, Metadata_Country!$B:$B, "Unknown"), IF(OR(_xlpm.r=0, _xlpm.r=""), "Regional Aggregate", _xlpm.r))</f>
        <v>North America</v>
      </c>
      <c r="G1318" s="4" t="str">
        <f>_xlfn.LET(_xlpm.ig, _xlfn.XLOOKUP(Clean_Data[[#This Row],[Country_Code]], Metadata_Country!$A:$A, Metadata_Country!$C:$C, "Unknown"), IF(OR(_xlpm.ig=0, _xlpm.ig=""), "Regional Aggregate", _xlpm.ig))</f>
        <v>High income</v>
      </c>
      <c r="H1318" s="4">
        <f>Clean_Data[[#This Row],[Exports_TIV]] - Clean_Data[[#This Row],[Imports_TIV]]</f>
        <v>10877000000</v>
      </c>
      <c r="I1318" s="4">
        <f>Clean_Data[[#This Row],[Exports_TIV]] + Clean_Data[[#This Row],[Imports_TIV]]</f>
        <v>11885000000</v>
      </c>
    </row>
    <row r="1319" spans="1:9">
      <c r="A1319" s="4" t="s">
        <v>507</v>
      </c>
      <c r="B1319" s="4" t="s">
        <v>508</v>
      </c>
      <c r="C1319" s="5">
        <v>2017</v>
      </c>
      <c r="D1319" s="4">
        <v>2636000000</v>
      </c>
      <c r="E1319" s="4">
        <v>8627000000</v>
      </c>
      <c r="F1319" s="4" t="str">
        <f>_xlfn.LET(_xlpm.r, _xlfn.XLOOKUP(Clean_Data[[#This Row],[Country_Code]], Metadata_Country!$A:$A, Metadata_Country!$B:$B, "Unknown"), IF(OR(_xlpm.r=0, _xlpm.r=""), "Regional Aggregate", _xlpm.r))</f>
        <v>Regional Aggregate</v>
      </c>
      <c r="G1319" s="4" t="str">
        <f>_xlfn.LET(_xlpm.ig, _xlfn.XLOOKUP(Clean_Data[[#This Row],[Country_Code]], Metadata_Country!$A:$A, Metadata_Country!$C:$C, "Unknown"), IF(OR(_xlpm.ig=0, _xlpm.ig=""), "Regional Aggregate", _xlpm.ig))</f>
        <v>Regional Aggregate</v>
      </c>
      <c r="H1319" s="4">
        <f>Clean_Data[[#This Row],[Exports_TIV]] - Clean_Data[[#This Row],[Imports_TIV]]</f>
        <v>-5991000000</v>
      </c>
      <c r="I1319" s="4">
        <f>Clean_Data[[#This Row],[Exports_TIV]] + Clean_Data[[#This Row],[Imports_TIV]]</f>
        <v>11263000000</v>
      </c>
    </row>
    <row r="1320" spans="1:9">
      <c r="A1320" s="4" t="s">
        <v>513</v>
      </c>
      <c r="B1320" s="4" t="s">
        <v>514</v>
      </c>
      <c r="C1320" s="5">
        <v>2017</v>
      </c>
      <c r="D1320" s="4">
        <v>0</v>
      </c>
      <c r="E1320" s="4">
        <v>5000000</v>
      </c>
      <c r="F1320" s="4" t="str">
        <f>_xlfn.LET(_xlpm.r, _xlfn.XLOOKUP(Clean_Data[[#This Row],[Country_Code]], Metadata_Country!$A:$A, Metadata_Country!$B:$B, "Unknown"), IF(OR(_xlpm.r=0, _xlpm.r=""), "Regional Aggregate", _xlpm.r))</f>
        <v>Europe &amp; Central Asia</v>
      </c>
      <c r="G1320" s="4" t="str">
        <f>_xlfn.LET(_xlpm.ig, _xlfn.XLOOKUP(Clean_Data[[#This Row],[Country_Code]], Metadata_Country!$A:$A, Metadata_Country!$C:$C, "Unknown"), IF(OR(_xlpm.ig=0, _xlpm.ig=""), "Regional Aggregate", _xlpm.ig))</f>
        <v>Lower middle income</v>
      </c>
      <c r="H1320" s="4">
        <f>Clean_Data[[#This Row],[Exports_TIV]] - Clean_Data[[#This Row],[Imports_TIV]]</f>
        <v>-5000000</v>
      </c>
      <c r="I1320" s="4">
        <f>Clean_Data[[#This Row],[Exports_TIV]] + Clean_Data[[#This Row],[Imports_TIV]]</f>
        <v>5000000</v>
      </c>
    </row>
    <row r="1321" spans="1:9">
      <c r="A1321" s="4" t="s">
        <v>523</v>
      </c>
      <c r="B1321" s="4" t="s">
        <v>524</v>
      </c>
      <c r="C1321" s="5">
        <v>2017</v>
      </c>
      <c r="D1321" s="4">
        <v>0</v>
      </c>
      <c r="E1321" s="4">
        <v>783000000</v>
      </c>
      <c r="F1321" s="4" t="str">
        <f>_xlfn.LET(_xlpm.r, _xlfn.XLOOKUP(Clean_Data[[#This Row],[Country_Code]], Metadata_Country!$A:$A, Metadata_Country!$B:$B, "Unknown"), IF(OR(_xlpm.r=0, _xlpm.r=""), "Regional Aggregate", _xlpm.r))</f>
        <v>East Asia &amp; Pacific</v>
      </c>
      <c r="G1321" s="4" t="str">
        <f>_xlfn.LET(_xlpm.ig, _xlfn.XLOOKUP(Clean_Data[[#This Row],[Country_Code]], Metadata_Country!$A:$A, Metadata_Country!$C:$C, "Unknown"), IF(OR(_xlpm.ig=0, _xlpm.ig=""), "Regional Aggregate", _xlpm.ig))</f>
        <v>Upper middle income</v>
      </c>
      <c r="H1321" s="4">
        <f>Clean_Data[[#This Row],[Exports_TIV]] - Clean_Data[[#This Row],[Imports_TIV]]</f>
        <v>-783000000</v>
      </c>
      <c r="I1321" s="4">
        <f>Clean_Data[[#This Row],[Exports_TIV]] + Clean_Data[[#This Row],[Imports_TIV]]</f>
        <v>783000000</v>
      </c>
    </row>
    <row r="1322" spans="1:9">
      <c r="A1322" s="4" t="s">
        <v>527</v>
      </c>
      <c r="B1322" s="4" t="s">
        <v>528</v>
      </c>
      <c r="C1322" s="5">
        <v>2017</v>
      </c>
      <c r="D1322" s="4">
        <v>31279000000</v>
      </c>
      <c r="E1322" s="4">
        <v>31224000000</v>
      </c>
      <c r="F1322" s="4" t="str">
        <f>_xlfn.LET(_xlpm.r, _xlfn.XLOOKUP(Clean_Data[[#This Row],[Country_Code]], Metadata_Country!$A:$A, Metadata_Country!$B:$B, "Unknown"), IF(OR(_xlpm.r=0, _xlpm.r=""), "Regional Aggregate", _xlpm.r))</f>
        <v>Regional Aggregate</v>
      </c>
      <c r="G1322" s="4" t="str">
        <f>_xlfn.LET(_xlpm.ig, _xlfn.XLOOKUP(Clean_Data[[#This Row],[Country_Code]], Metadata_Country!$A:$A, Metadata_Country!$C:$C, "Unknown"), IF(OR(_xlpm.ig=0, _xlpm.ig=""), "Regional Aggregate", _xlpm.ig))</f>
        <v>Regional Aggregate</v>
      </c>
      <c r="H1322" s="4">
        <f>Clean_Data[[#This Row],[Exports_TIV]] - Clean_Data[[#This Row],[Imports_TIV]]</f>
        <v>55000000</v>
      </c>
      <c r="I1322" s="4">
        <f>Clean_Data[[#This Row],[Exports_TIV]] + Clean_Data[[#This Row],[Imports_TIV]]</f>
        <v>62503000000</v>
      </c>
    </row>
    <row r="1323" spans="1:9">
      <c r="A1323" s="4" t="s">
        <v>533</v>
      </c>
      <c r="B1323" s="4" t="s">
        <v>534</v>
      </c>
      <c r="C1323" s="5">
        <v>2017</v>
      </c>
      <c r="D1323" s="4">
        <v>0</v>
      </c>
      <c r="E1323" s="4">
        <v>6000000</v>
      </c>
      <c r="F1323" s="4" t="str">
        <f>_xlfn.LET(_xlpm.r, _xlfn.XLOOKUP(Clean_Data[[#This Row],[Country_Code]], Metadata_Country!$A:$A, Metadata_Country!$B:$B, "Unknown"), IF(OR(_xlpm.r=0, _xlpm.r=""), "Regional Aggregate", _xlpm.r))</f>
        <v>Middle East &amp; North Africa</v>
      </c>
      <c r="G1323" s="4" t="str">
        <f>_xlfn.LET(_xlpm.ig, _xlfn.XLOOKUP(Clean_Data[[#This Row],[Country_Code]], Metadata_Country!$A:$A, Metadata_Country!$C:$C, "Unknown"), IF(OR(_xlpm.ig=0, _xlpm.ig=""), "Regional Aggregate", _xlpm.ig))</f>
        <v>Low income</v>
      </c>
      <c r="H1323" s="4">
        <f>Clean_Data[[#This Row],[Exports_TIV]] - Clean_Data[[#This Row],[Imports_TIV]]</f>
        <v>-6000000</v>
      </c>
      <c r="I1323" s="4">
        <f>Clean_Data[[#This Row],[Exports_TIV]] + Clean_Data[[#This Row],[Imports_TIV]]</f>
        <v>6000000</v>
      </c>
    </row>
    <row r="1324" spans="1:9">
      <c r="A1324" s="4" t="s">
        <v>537</v>
      </c>
      <c r="B1324" s="4" t="s">
        <v>538</v>
      </c>
      <c r="C1324" s="5">
        <v>2017</v>
      </c>
      <c r="D1324" s="4">
        <v>0</v>
      </c>
      <c r="E1324" s="4">
        <v>46000000</v>
      </c>
      <c r="F1324" s="4" t="str">
        <f>_xlfn.LET(_xlpm.r, _xlfn.XLOOKUP(Clean_Data[[#This Row],[Country_Code]], Metadata_Country!$A:$A, Metadata_Country!$B:$B, "Unknown"), IF(OR(_xlpm.r=0, _xlpm.r=""), "Regional Aggregate", _xlpm.r))</f>
        <v>Sub-Saharan Africa</v>
      </c>
      <c r="G1324" s="4" t="str">
        <f>_xlfn.LET(_xlpm.ig, _xlfn.XLOOKUP(Clean_Data[[#This Row],[Country_Code]], Metadata_Country!$A:$A, Metadata_Country!$C:$C, "Unknown"), IF(OR(_xlpm.ig=0, _xlpm.ig=""), "Regional Aggregate", _xlpm.ig))</f>
        <v>Lower middle income</v>
      </c>
      <c r="H1324" s="4">
        <f>Clean_Data[[#This Row],[Exports_TIV]] - Clean_Data[[#This Row],[Imports_TIV]]</f>
        <v>-46000000</v>
      </c>
      <c r="I1324" s="4">
        <f>Clean_Data[[#This Row],[Exports_TIV]] + Clean_Data[[#This Row],[Imports_TIV]]</f>
        <v>46000000</v>
      </c>
    </row>
    <row r="1325" spans="1:9">
      <c r="A1325" s="4" t="s">
        <v>13</v>
      </c>
      <c r="B1325" s="4" t="s">
        <v>14</v>
      </c>
      <c r="C1325" s="5">
        <v>2016</v>
      </c>
      <c r="D1325" s="4">
        <v>0</v>
      </c>
      <c r="E1325" s="4">
        <v>170000000</v>
      </c>
      <c r="F1325" s="4" t="str">
        <f>_xlfn.LET(_xlpm.r, _xlfn.XLOOKUP(Clean_Data[[#This Row],[Country_Code]], Metadata_Country!$A:$A, Metadata_Country!$B:$B, "Unknown"), IF(OR(_xlpm.r=0, _xlpm.r=""), "Regional Aggregate", _xlpm.r))</f>
        <v>Middle East &amp; North Africa</v>
      </c>
      <c r="G1325" s="4" t="str">
        <f>_xlfn.LET(_xlpm.ig, _xlfn.XLOOKUP(Clean_Data[[#This Row],[Country_Code]], Metadata_Country!$A:$A, Metadata_Country!$C:$C, "Unknown"), IF(OR(_xlpm.ig=0, _xlpm.ig=""), "Regional Aggregate", _xlpm.ig))</f>
        <v>Low income</v>
      </c>
      <c r="H1325" s="4">
        <f>Clean_Data[[#This Row],[Exports_TIV]] - Clean_Data[[#This Row],[Imports_TIV]]</f>
        <v>-170000000</v>
      </c>
      <c r="I1325" s="4">
        <f>Clean_Data[[#This Row],[Exports_TIV]] + Clean_Data[[#This Row],[Imports_TIV]]</f>
        <v>170000000</v>
      </c>
    </row>
    <row r="1326" spans="1:9">
      <c r="A1326" s="4" t="s">
        <v>15</v>
      </c>
      <c r="B1326" s="4" t="s">
        <v>16</v>
      </c>
      <c r="C1326" s="5">
        <v>2016</v>
      </c>
      <c r="D1326" s="4">
        <v>0</v>
      </c>
      <c r="E1326" s="4">
        <v>223000000</v>
      </c>
      <c r="F1326" s="4" t="str">
        <f>_xlfn.LET(_xlpm.r, _xlfn.XLOOKUP(Clean_Data[[#This Row],[Country_Code]], Metadata_Country!$A:$A, Metadata_Country!$B:$B, "Unknown"), IF(OR(_xlpm.r=0, _xlpm.r=""), "Regional Aggregate", _xlpm.r))</f>
        <v>Regional Aggregate</v>
      </c>
      <c r="G1326" s="4" t="str">
        <f>_xlfn.LET(_xlpm.ig, _xlfn.XLOOKUP(Clean_Data[[#This Row],[Country_Code]], Metadata_Country!$A:$A, Metadata_Country!$C:$C, "Unknown"), IF(OR(_xlpm.ig=0, _xlpm.ig=""), "Regional Aggregate", _xlpm.ig))</f>
        <v>Regional Aggregate</v>
      </c>
      <c r="H1326" s="4">
        <f>Clean_Data[[#This Row],[Exports_TIV]] - Clean_Data[[#This Row],[Imports_TIV]]</f>
        <v>-223000000</v>
      </c>
      <c r="I1326" s="4">
        <f>Clean_Data[[#This Row],[Exports_TIV]] + Clean_Data[[#This Row],[Imports_TIV]]</f>
        <v>223000000</v>
      </c>
    </row>
    <row r="1327" spans="1:9">
      <c r="A1327" s="4" t="s">
        <v>129</v>
      </c>
      <c r="B1327" s="4" t="s">
        <v>130</v>
      </c>
      <c r="C1327" s="5">
        <v>2016</v>
      </c>
      <c r="D1327" s="4">
        <v>0</v>
      </c>
      <c r="E1327" s="4">
        <v>2916000000</v>
      </c>
      <c r="F1327" s="4" t="str">
        <f>_xlfn.LET(_xlpm.r, _xlfn.XLOOKUP(Clean_Data[[#This Row],[Country_Code]], Metadata_Country!$A:$A, Metadata_Country!$B:$B, "Unknown"), IF(OR(_xlpm.r=0, _xlpm.r=""), "Regional Aggregate", _xlpm.r))</f>
        <v>Middle East &amp; North Africa</v>
      </c>
      <c r="G1327" s="4" t="str">
        <f>_xlfn.LET(_xlpm.ig, _xlfn.XLOOKUP(Clean_Data[[#This Row],[Country_Code]], Metadata_Country!$A:$A, Metadata_Country!$C:$C, "Unknown"), IF(OR(_xlpm.ig=0, _xlpm.ig=""), "Regional Aggregate", _xlpm.ig))</f>
        <v>Upper middle income</v>
      </c>
      <c r="H1327" s="4">
        <f>Clean_Data[[#This Row],[Exports_TIV]] - Clean_Data[[#This Row],[Imports_TIV]]</f>
        <v>-2916000000</v>
      </c>
      <c r="I1327" s="4">
        <f>Clean_Data[[#This Row],[Exports_TIV]] + Clean_Data[[#This Row],[Imports_TIV]]</f>
        <v>2916000000</v>
      </c>
    </row>
    <row r="1328" spans="1:9">
      <c r="A1328" s="4" t="s">
        <v>17</v>
      </c>
      <c r="B1328" s="4" t="s">
        <v>18</v>
      </c>
      <c r="C1328" s="5">
        <v>2016</v>
      </c>
      <c r="D1328" s="4">
        <v>0</v>
      </c>
      <c r="E1328" s="4">
        <v>156000000</v>
      </c>
      <c r="F1328" s="4" t="str">
        <f>_xlfn.LET(_xlpm.r, _xlfn.XLOOKUP(Clean_Data[[#This Row],[Country_Code]], Metadata_Country!$A:$A, Metadata_Country!$B:$B, "Unknown"), IF(OR(_xlpm.r=0, _xlpm.r=""), "Regional Aggregate", _xlpm.r))</f>
        <v>Sub-Saharan Africa</v>
      </c>
      <c r="G1328" s="4" t="str">
        <f>_xlfn.LET(_xlpm.ig, _xlfn.XLOOKUP(Clean_Data[[#This Row],[Country_Code]], Metadata_Country!$A:$A, Metadata_Country!$C:$C, "Unknown"), IF(OR(_xlpm.ig=0, _xlpm.ig=""), "Regional Aggregate", _xlpm.ig))</f>
        <v>Lower middle income</v>
      </c>
      <c r="H1328" s="4">
        <f>Clean_Data[[#This Row],[Exports_TIV]] - Clean_Data[[#This Row],[Imports_TIV]]</f>
        <v>-156000000</v>
      </c>
      <c r="I1328" s="4">
        <f>Clean_Data[[#This Row],[Exports_TIV]] + Clean_Data[[#This Row],[Imports_TIV]]</f>
        <v>156000000</v>
      </c>
    </row>
    <row r="1329" spans="1:9">
      <c r="A1329" s="4" t="s">
        <v>23</v>
      </c>
      <c r="B1329" s="4" t="s">
        <v>24</v>
      </c>
      <c r="C1329" s="5">
        <v>2016</v>
      </c>
      <c r="D1329" s="4">
        <v>0</v>
      </c>
      <c r="E1329" s="4">
        <v>12782000000</v>
      </c>
      <c r="F1329" s="4" t="str">
        <f>_xlfn.LET(_xlpm.r, _xlfn.XLOOKUP(Clean_Data[[#This Row],[Country_Code]], Metadata_Country!$A:$A, Metadata_Country!$B:$B, "Unknown"), IF(OR(_xlpm.r=0, _xlpm.r=""), "Regional Aggregate", _xlpm.r))</f>
        <v>Regional Aggregate</v>
      </c>
      <c r="G1329" s="4" t="str">
        <f>_xlfn.LET(_xlpm.ig, _xlfn.XLOOKUP(Clean_Data[[#This Row],[Country_Code]], Metadata_Country!$A:$A, Metadata_Country!$C:$C, "Unknown"), IF(OR(_xlpm.ig=0, _xlpm.ig=""), "Regional Aggregate", _xlpm.ig))</f>
        <v>Regional Aggregate</v>
      </c>
      <c r="H1329" s="4">
        <f>Clean_Data[[#This Row],[Exports_TIV]] - Clean_Data[[#This Row],[Imports_TIV]]</f>
        <v>-12782000000</v>
      </c>
      <c r="I1329" s="4">
        <f>Clean_Data[[#This Row],[Exports_TIV]] + Clean_Data[[#This Row],[Imports_TIV]]</f>
        <v>12782000000</v>
      </c>
    </row>
    <row r="1330" spans="1:9">
      <c r="A1330" s="4" t="s">
        <v>27</v>
      </c>
      <c r="B1330" s="4" t="s">
        <v>28</v>
      </c>
      <c r="C1330" s="5">
        <v>2016</v>
      </c>
      <c r="D1330" s="4">
        <v>0</v>
      </c>
      <c r="E1330" s="4">
        <v>17000000</v>
      </c>
      <c r="F1330" s="4" t="str">
        <f>_xlfn.LET(_xlpm.r, _xlfn.XLOOKUP(Clean_Data[[#This Row],[Country_Code]], Metadata_Country!$A:$A, Metadata_Country!$B:$B, "Unknown"), IF(OR(_xlpm.r=0, _xlpm.r=""), "Regional Aggregate", _xlpm.r))</f>
        <v>Latin America &amp; Caribbean</v>
      </c>
      <c r="G1330" s="4" t="str">
        <f>_xlfn.LET(_xlpm.ig, _xlfn.XLOOKUP(Clean_Data[[#This Row],[Country_Code]], Metadata_Country!$A:$A, Metadata_Country!$C:$C, "Unknown"), IF(OR(_xlpm.ig=0, _xlpm.ig=""), "Regional Aggregate", _xlpm.ig))</f>
        <v>Upper middle income</v>
      </c>
      <c r="H1330" s="4">
        <f>Clean_Data[[#This Row],[Exports_TIV]] - Clean_Data[[#This Row],[Imports_TIV]]</f>
        <v>-17000000</v>
      </c>
      <c r="I1330" s="4">
        <f>Clean_Data[[#This Row],[Exports_TIV]] + Clean_Data[[#This Row],[Imports_TIV]]</f>
        <v>17000000</v>
      </c>
    </row>
    <row r="1331" spans="1:9">
      <c r="A1331" s="4" t="s">
        <v>29</v>
      </c>
      <c r="B1331" s="4" t="s">
        <v>30</v>
      </c>
      <c r="C1331" s="5">
        <v>2016</v>
      </c>
      <c r="D1331" s="4">
        <v>0</v>
      </c>
      <c r="E1331" s="4">
        <v>112000000</v>
      </c>
      <c r="F1331" s="4" t="str">
        <f>_xlfn.LET(_xlpm.r, _xlfn.XLOOKUP(Clean_Data[[#This Row],[Country_Code]], Metadata_Country!$A:$A, Metadata_Country!$B:$B, "Unknown"), IF(OR(_xlpm.r=0, _xlpm.r=""), "Regional Aggregate", _xlpm.r))</f>
        <v>Europe &amp; Central Asia</v>
      </c>
      <c r="G1331" s="4" t="str">
        <f>_xlfn.LET(_xlpm.ig, _xlfn.XLOOKUP(Clean_Data[[#This Row],[Country_Code]], Metadata_Country!$A:$A, Metadata_Country!$C:$C, "Unknown"), IF(OR(_xlpm.ig=0, _xlpm.ig=""), "Regional Aggregate", _xlpm.ig))</f>
        <v>Upper middle income</v>
      </c>
      <c r="H1331" s="4">
        <f>Clean_Data[[#This Row],[Exports_TIV]] - Clean_Data[[#This Row],[Imports_TIV]]</f>
        <v>-112000000</v>
      </c>
      <c r="I1331" s="4">
        <f>Clean_Data[[#This Row],[Exports_TIV]] + Clean_Data[[#This Row],[Imports_TIV]]</f>
        <v>112000000</v>
      </c>
    </row>
    <row r="1332" spans="1:9">
      <c r="A1332" s="4" t="s">
        <v>35</v>
      </c>
      <c r="B1332" s="4" t="s">
        <v>36</v>
      </c>
      <c r="C1332" s="5">
        <v>2016</v>
      </c>
      <c r="D1332" s="4">
        <v>136000000</v>
      </c>
      <c r="E1332" s="4">
        <v>1012000000</v>
      </c>
      <c r="F1332" s="4" t="str">
        <f>_xlfn.LET(_xlpm.r, _xlfn.XLOOKUP(Clean_Data[[#This Row],[Country_Code]], Metadata_Country!$A:$A, Metadata_Country!$B:$B, "Unknown"), IF(OR(_xlpm.r=0, _xlpm.r=""), "Regional Aggregate", _xlpm.r))</f>
        <v>East Asia &amp; Pacific</v>
      </c>
      <c r="G1332" s="4" t="str">
        <f>_xlfn.LET(_xlpm.ig, _xlfn.XLOOKUP(Clean_Data[[#This Row],[Country_Code]], Metadata_Country!$A:$A, Metadata_Country!$C:$C, "Unknown"), IF(OR(_xlpm.ig=0, _xlpm.ig=""), "Regional Aggregate", _xlpm.ig))</f>
        <v>High income</v>
      </c>
      <c r="H1332" s="4">
        <f>Clean_Data[[#This Row],[Exports_TIV]] - Clean_Data[[#This Row],[Imports_TIV]]</f>
        <v>-876000000</v>
      </c>
      <c r="I1332" s="4">
        <f>Clean_Data[[#This Row],[Exports_TIV]] + Clean_Data[[#This Row],[Imports_TIV]]</f>
        <v>1148000000</v>
      </c>
    </row>
    <row r="1333" spans="1:9">
      <c r="A1333" s="4" t="s">
        <v>37</v>
      </c>
      <c r="B1333" s="4" t="s">
        <v>38</v>
      </c>
      <c r="C1333" s="5">
        <v>2016</v>
      </c>
      <c r="D1333" s="4">
        <v>17000000</v>
      </c>
      <c r="E1333" s="4">
        <v>13000000</v>
      </c>
      <c r="F1333" s="4" t="str">
        <f>_xlfn.LET(_xlpm.r, _xlfn.XLOOKUP(Clean_Data[[#This Row],[Country_Code]], Metadata_Country!$A:$A, Metadata_Country!$B:$B, "Unknown"), IF(OR(_xlpm.r=0, _xlpm.r=""), "Regional Aggregate", _xlpm.r))</f>
        <v>Europe &amp; Central Asia</v>
      </c>
      <c r="G1333" s="4" t="str">
        <f>_xlfn.LET(_xlpm.ig, _xlfn.XLOOKUP(Clean_Data[[#This Row],[Country_Code]], Metadata_Country!$A:$A, Metadata_Country!$C:$C, "Unknown"), IF(OR(_xlpm.ig=0, _xlpm.ig=""), "Regional Aggregate", _xlpm.ig))</f>
        <v>High income</v>
      </c>
      <c r="H1333" s="4">
        <f>Clean_Data[[#This Row],[Exports_TIV]] - Clean_Data[[#This Row],[Imports_TIV]]</f>
        <v>4000000</v>
      </c>
      <c r="I1333" s="4">
        <f>Clean_Data[[#This Row],[Exports_TIV]] + Clean_Data[[#This Row],[Imports_TIV]]</f>
        <v>30000000</v>
      </c>
    </row>
    <row r="1334" spans="1:9">
      <c r="A1334" s="4" t="s">
        <v>39</v>
      </c>
      <c r="B1334" s="4" t="s">
        <v>40</v>
      </c>
      <c r="C1334" s="5">
        <v>2016</v>
      </c>
      <c r="D1334" s="4">
        <v>0</v>
      </c>
      <c r="E1334" s="4">
        <v>287000000</v>
      </c>
      <c r="F1334" s="4" t="str">
        <f>_xlfn.LET(_xlpm.r, _xlfn.XLOOKUP(Clean_Data[[#This Row],[Country_Code]], Metadata_Country!$A:$A, Metadata_Country!$B:$B, "Unknown"), IF(OR(_xlpm.r=0, _xlpm.r=""), "Regional Aggregate", _xlpm.r))</f>
        <v>Europe &amp; Central Asia</v>
      </c>
      <c r="G1334" s="4" t="str">
        <f>_xlfn.LET(_xlpm.ig, _xlfn.XLOOKUP(Clean_Data[[#This Row],[Country_Code]], Metadata_Country!$A:$A, Metadata_Country!$C:$C, "Unknown"), IF(OR(_xlpm.ig=0, _xlpm.ig=""), "Regional Aggregate", _xlpm.ig))</f>
        <v>Upper middle income</v>
      </c>
      <c r="H1334" s="4">
        <f>Clean_Data[[#This Row],[Exports_TIV]] - Clean_Data[[#This Row],[Imports_TIV]]</f>
        <v>-287000000</v>
      </c>
      <c r="I1334" s="4">
        <f>Clean_Data[[#This Row],[Exports_TIV]] + Clean_Data[[#This Row],[Imports_TIV]]</f>
        <v>287000000</v>
      </c>
    </row>
    <row r="1335" spans="1:9">
      <c r="A1335" s="4" t="s">
        <v>55</v>
      </c>
      <c r="B1335" s="4" t="s">
        <v>56</v>
      </c>
      <c r="C1335" s="5">
        <v>2016</v>
      </c>
      <c r="D1335" s="4">
        <v>0</v>
      </c>
      <c r="E1335" s="4">
        <v>20000000</v>
      </c>
      <c r="F1335" s="4" t="str">
        <f>_xlfn.LET(_xlpm.r, _xlfn.XLOOKUP(Clean_Data[[#This Row],[Country_Code]], Metadata_Country!$A:$A, Metadata_Country!$B:$B, "Unknown"), IF(OR(_xlpm.r=0, _xlpm.r=""), "Regional Aggregate", _xlpm.r))</f>
        <v>Latin America &amp; Caribbean</v>
      </c>
      <c r="G1335" s="4" t="str">
        <f>_xlfn.LET(_xlpm.ig, _xlfn.XLOOKUP(Clean_Data[[#This Row],[Country_Code]], Metadata_Country!$A:$A, Metadata_Country!$C:$C, "Unknown"), IF(OR(_xlpm.ig=0, _xlpm.ig=""), "Regional Aggregate", _xlpm.ig))</f>
        <v>High income</v>
      </c>
      <c r="H1335" s="4">
        <f>Clean_Data[[#This Row],[Exports_TIV]] - Clean_Data[[#This Row],[Imports_TIV]]</f>
        <v>-20000000</v>
      </c>
      <c r="I1335" s="4">
        <f>Clean_Data[[#This Row],[Exports_TIV]] + Clean_Data[[#This Row],[Imports_TIV]]</f>
        <v>20000000</v>
      </c>
    </row>
    <row r="1336" spans="1:9">
      <c r="A1336" s="4" t="s">
        <v>53</v>
      </c>
      <c r="B1336" s="4" t="s">
        <v>54</v>
      </c>
      <c r="C1336" s="5">
        <v>2016</v>
      </c>
      <c r="D1336" s="4">
        <v>0</v>
      </c>
      <c r="E1336" s="4">
        <v>30000000</v>
      </c>
      <c r="F1336" s="4" t="str">
        <f>_xlfn.LET(_xlpm.r, _xlfn.XLOOKUP(Clean_Data[[#This Row],[Country_Code]], Metadata_Country!$A:$A, Metadata_Country!$B:$B, "Unknown"), IF(OR(_xlpm.r=0, _xlpm.r=""), "Regional Aggregate", _xlpm.r))</f>
        <v>Middle East &amp; North Africa</v>
      </c>
      <c r="G1336" s="4" t="str">
        <f>_xlfn.LET(_xlpm.ig, _xlfn.XLOOKUP(Clean_Data[[#This Row],[Country_Code]], Metadata_Country!$A:$A, Metadata_Country!$C:$C, "Unknown"), IF(OR(_xlpm.ig=0, _xlpm.ig=""), "Regional Aggregate", _xlpm.ig))</f>
        <v>High income</v>
      </c>
      <c r="H1336" s="4">
        <f>Clean_Data[[#This Row],[Exports_TIV]] - Clean_Data[[#This Row],[Imports_TIV]]</f>
        <v>-30000000</v>
      </c>
      <c r="I1336" s="4">
        <f>Clean_Data[[#This Row],[Exports_TIV]] + Clean_Data[[#This Row],[Imports_TIV]]</f>
        <v>30000000</v>
      </c>
    </row>
    <row r="1337" spans="1:9">
      <c r="A1337" s="4" t="s">
        <v>49</v>
      </c>
      <c r="B1337" s="4" t="s">
        <v>50</v>
      </c>
      <c r="C1337" s="5">
        <v>2016</v>
      </c>
      <c r="D1337" s="4">
        <v>0</v>
      </c>
      <c r="E1337" s="4">
        <v>455000000</v>
      </c>
      <c r="F1337" s="4" t="str">
        <f>_xlfn.LET(_xlpm.r, _xlfn.XLOOKUP(Clean_Data[[#This Row],[Country_Code]], Metadata_Country!$A:$A, Metadata_Country!$B:$B, "Unknown"), IF(OR(_xlpm.r=0, _xlpm.r=""), "Regional Aggregate", _xlpm.r))</f>
        <v>South Asia</v>
      </c>
      <c r="G1337" s="4" t="str">
        <f>_xlfn.LET(_xlpm.ig, _xlfn.XLOOKUP(Clean_Data[[#This Row],[Country_Code]], Metadata_Country!$A:$A, Metadata_Country!$C:$C, "Unknown"), IF(OR(_xlpm.ig=0, _xlpm.ig=""), "Regional Aggregate", _xlpm.ig))</f>
        <v>Lower middle income</v>
      </c>
      <c r="H1337" s="4">
        <f>Clean_Data[[#This Row],[Exports_TIV]] - Clean_Data[[#This Row],[Imports_TIV]]</f>
        <v>-455000000</v>
      </c>
      <c r="I1337" s="4">
        <f>Clean_Data[[#This Row],[Exports_TIV]] + Clean_Data[[#This Row],[Imports_TIV]]</f>
        <v>455000000</v>
      </c>
    </row>
    <row r="1338" spans="1:9">
      <c r="A1338" s="4" t="s">
        <v>59</v>
      </c>
      <c r="B1338" s="4" t="s">
        <v>60</v>
      </c>
      <c r="C1338" s="5">
        <v>2016</v>
      </c>
      <c r="D1338" s="4">
        <v>152000000</v>
      </c>
      <c r="E1338" s="4">
        <v>120000000</v>
      </c>
      <c r="F1338" s="4" t="str">
        <f>_xlfn.LET(_xlpm.r, _xlfn.XLOOKUP(Clean_Data[[#This Row],[Country_Code]], Metadata_Country!$A:$A, Metadata_Country!$B:$B, "Unknown"), IF(OR(_xlpm.r=0, _xlpm.r=""), "Regional Aggregate", _xlpm.r))</f>
        <v>Europe &amp; Central Asia</v>
      </c>
      <c r="G1338" s="4" t="str">
        <f>_xlfn.LET(_xlpm.ig, _xlfn.XLOOKUP(Clean_Data[[#This Row],[Country_Code]], Metadata_Country!$A:$A, Metadata_Country!$C:$C, "Unknown"), IF(OR(_xlpm.ig=0, _xlpm.ig=""), "Regional Aggregate", _xlpm.ig))</f>
        <v>Upper middle income</v>
      </c>
      <c r="H1338" s="4">
        <f>Clean_Data[[#This Row],[Exports_TIV]] - Clean_Data[[#This Row],[Imports_TIV]]</f>
        <v>32000000</v>
      </c>
      <c r="I1338" s="4">
        <f>Clean_Data[[#This Row],[Exports_TIV]] + Clean_Data[[#This Row],[Imports_TIV]]</f>
        <v>272000000</v>
      </c>
    </row>
    <row r="1339" spans="1:9">
      <c r="A1339" s="4" t="s">
        <v>43</v>
      </c>
      <c r="B1339" s="4" t="s">
        <v>44</v>
      </c>
      <c r="C1339" s="5">
        <v>2016</v>
      </c>
      <c r="D1339" s="4">
        <v>7000000</v>
      </c>
      <c r="E1339" s="4">
        <v>4000000</v>
      </c>
      <c r="F1339" s="4" t="str">
        <f>_xlfn.LET(_xlpm.r, _xlfn.XLOOKUP(Clean_Data[[#This Row],[Country_Code]], Metadata_Country!$A:$A, Metadata_Country!$B:$B, "Unknown"), IF(OR(_xlpm.r=0, _xlpm.r=""), "Regional Aggregate", _xlpm.r))</f>
        <v>Europe &amp; Central Asia</v>
      </c>
      <c r="G1339" s="4" t="str">
        <f>_xlfn.LET(_xlpm.ig, _xlfn.XLOOKUP(Clean_Data[[#This Row],[Country_Code]], Metadata_Country!$A:$A, Metadata_Country!$C:$C, "Unknown"), IF(OR(_xlpm.ig=0, _xlpm.ig=""), "Regional Aggregate", _xlpm.ig))</f>
        <v>High income</v>
      </c>
      <c r="H1339" s="4">
        <f>Clean_Data[[#This Row],[Exports_TIV]] - Clean_Data[[#This Row],[Imports_TIV]]</f>
        <v>3000000</v>
      </c>
      <c r="I1339" s="4">
        <f>Clean_Data[[#This Row],[Exports_TIV]] + Clean_Data[[#This Row],[Imports_TIV]]</f>
        <v>11000000</v>
      </c>
    </row>
    <row r="1340" spans="1:9">
      <c r="A1340" s="4" t="s">
        <v>61</v>
      </c>
      <c r="B1340" s="4" t="s">
        <v>62</v>
      </c>
      <c r="C1340" s="5">
        <v>2016</v>
      </c>
      <c r="D1340" s="4">
        <v>0</v>
      </c>
      <c r="E1340" s="4">
        <v>2000000</v>
      </c>
      <c r="F1340" s="4" t="str">
        <f>_xlfn.LET(_xlpm.r, _xlfn.XLOOKUP(Clean_Data[[#This Row],[Country_Code]], Metadata_Country!$A:$A, Metadata_Country!$B:$B, "Unknown"), IF(OR(_xlpm.r=0, _xlpm.r=""), "Regional Aggregate", _xlpm.r))</f>
        <v>Latin America &amp; Caribbean</v>
      </c>
      <c r="G1340" s="4" t="str">
        <f>_xlfn.LET(_xlpm.ig, _xlfn.XLOOKUP(Clean_Data[[#This Row],[Country_Code]], Metadata_Country!$A:$A, Metadata_Country!$C:$C, "Unknown"), IF(OR(_xlpm.ig=0, _xlpm.ig=""), "Regional Aggregate", _xlpm.ig))</f>
        <v>Upper middle income</v>
      </c>
      <c r="H1340" s="4">
        <f>Clean_Data[[#This Row],[Exports_TIV]] - Clean_Data[[#This Row],[Imports_TIV]]</f>
        <v>-2000000</v>
      </c>
      <c r="I1340" s="4">
        <f>Clean_Data[[#This Row],[Exports_TIV]] + Clean_Data[[#This Row],[Imports_TIV]]</f>
        <v>2000000</v>
      </c>
    </row>
    <row r="1341" spans="1:9">
      <c r="A1341" s="4" t="s">
        <v>45</v>
      </c>
      <c r="B1341" s="4" t="s">
        <v>46</v>
      </c>
      <c r="C1341" s="5">
        <v>2016</v>
      </c>
      <c r="D1341" s="4">
        <v>0</v>
      </c>
      <c r="E1341" s="4">
        <v>1000000</v>
      </c>
      <c r="F1341" s="4" t="str">
        <f>_xlfn.LET(_xlpm.r, _xlfn.XLOOKUP(Clean_Data[[#This Row],[Country_Code]], Metadata_Country!$A:$A, Metadata_Country!$B:$B, "Unknown"), IF(OR(_xlpm.r=0, _xlpm.r=""), "Regional Aggregate", _xlpm.r))</f>
        <v>Sub-Saharan Africa</v>
      </c>
      <c r="G1341" s="4" t="str">
        <f>_xlfn.LET(_xlpm.ig, _xlfn.XLOOKUP(Clean_Data[[#This Row],[Country_Code]], Metadata_Country!$A:$A, Metadata_Country!$C:$C, "Unknown"), IF(OR(_xlpm.ig=0, _xlpm.ig=""), "Regional Aggregate", _xlpm.ig))</f>
        <v>Lower middle income</v>
      </c>
      <c r="H1341" s="4">
        <f>Clean_Data[[#This Row],[Exports_TIV]] - Clean_Data[[#This Row],[Imports_TIV]]</f>
        <v>-1000000</v>
      </c>
      <c r="I1341" s="4">
        <f>Clean_Data[[#This Row],[Exports_TIV]] + Clean_Data[[#This Row],[Imports_TIV]]</f>
        <v>1000000</v>
      </c>
    </row>
    <row r="1342" spans="1:9">
      <c r="A1342" s="4" t="s">
        <v>73</v>
      </c>
      <c r="B1342" s="4" t="s">
        <v>74</v>
      </c>
      <c r="C1342" s="5">
        <v>2016</v>
      </c>
      <c r="D1342" s="4">
        <v>0</v>
      </c>
      <c r="E1342" s="4">
        <v>1000000</v>
      </c>
      <c r="F1342" s="4" t="str">
        <f>_xlfn.LET(_xlpm.r, _xlfn.XLOOKUP(Clean_Data[[#This Row],[Country_Code]], Metadata_Country!$A:$A, Metadata_Country!$B:$B, "Unknown"), IF(OR(_xlpm.r=0, _xlpm.r=""), "Regional Aggregate", _xlpm.r))</f>
        <v>South Asia</v>
      </c>
      <c r="G1342" s="4" t="str">
        <f>_xlfn.LET(_xlpm.ig, _xlfn.XLOOKUP(Clean_Data[[#This Row],[Country_Code]], Metadata_Country!$A:$A, Metadata_Country!$C:$C, "Unknown"), IF(OR(_xlpm.ig=0, _xlpm.ig=""), "Regional Aggregate", _xlpm.ig))</f>
        <v>Lower middle income</v>
      </c>
      <c r="H1342" s="4">
        <f>Clean_Data[[#This Row],[Exports_TIV]] - Clean_Data[[#This Row],[Imports_TIV]]</f>
        <v>-1000000</v>
      </c>
      <c r="I1342" s="4">
        <f>Clean_Data[[#This Row],[Exports_TIV]] + Clean_Data[[#This Row],[Imports_TIV]]</f>
        <v>1000000</v>
      </c>
    </row>
    <row r="1343" spans="1:9">
      <c r="A1343" s="4" t="s">
        <v>65</v>
      </c>
      <c r="B1343" s="4" t="s">
        <v>66</v>
      </c>
      <c r="C1343" s="5">
        <v>2016</v>
      </c>
      <c r="D1343" s="4">
        <v>0</v>
      </c>
      <c r="E1343" s="4">
        <v>27000000</v>
      </c>
      <c r="F1343" s="4" t="str">
        <f>_xlfn.LET(_xlpm.r, _xlfn.XLOOKUP(Clean_Data[[#This Row],[Country_Code]], Metadata_Country!$A:$A, Metadata_Country!$B:$B, "Unknown"), IF(OR(_xlpm.r=0, _xlpm.r=""), "Regional Aggregate", _xlpm.r))</f>
        <v>Latin America &amp; Caribbean</v>
      </c>
      <c r="G1343" s="4" t="str">
        <f>_xlfn.LET(_xlpm.ig, _xlfn.XLOOKUP(Clean_Data[[#This Row],[Country_Code]], Metadata_Country!$A:$A, Metadata_Country!$C:$C, "Unknown"), IF(OR(_xlpm.ig=0, _xlpm.ig=""), "Regional Aggregate", _xlpm.ig))</f>
        <v>Lower middle income</v>
      </c>
      <c r="H1343" s="4">
        <f>Clean_Data[[#This Row],[Exports_TIV]] - Clean_Data[[#This Row],[Imports_TIV]]</f>
        <v>-27000000</v>
      </c>
      <c r="I1343" s="4">
        <f>Clean_Data[[#This Row],[Exports_TIV]] + Clean_Data[[#This Row],[Imports_TIV]]</f>
        <v>27000000</v>
      </c>
    </row>
    <row r="1344" spans="1:9">
      <c r="A1344" s="4" t="s">
        <v>75</v>
      </c>
      <c r="B1344" s="4" t="s">
        <v>76</v>
      </c>
      <c r="C1344" s="5">
        <v>2016</v>
      </c>
      <c r="D1344" s="4">
        <v>0</v>
      </c>
      <c r="E1344" s="4">
        <v>5000000</v>
      </c>
      <c r="F1344" s="4" t="str">
        <f>_xlfn.LET(_xlpm.r, _xlfn.XLOOKUP(Clean_Data[[#This Row],[Country_Code]], Metadata_Country!$A:$A, Metadata_Country!$B:$B, "Unknown"), IF(OR(_xlpm.r=0, _xlpm.r=""), "Regional Aggregate", _xlpm.r))</f>
        <v>Sub-Saharan Africa</v>
      </c>
      <c r="G1344" s="4" t="str">
        <f>_xlfn.LET(_xlpm.ig, _xlfn.XLOOKUP(Clean_Data[[#This Row],[Country_Code]], Metadata_Country!$A:$A, Metadata_Country!$C:$C, "Unknown"), IF(OR(_xlpm.ig=0, _xlpm.ig=""), "Regional Aggregate", _xlpm.ig))</f>
        <v>Upper middle income</v>
      </c>
      <c r="H1344" s="4">
        <f>Clean_Data[[#This Row],[Exports_TIV]] - Clean_Data[[#This Row],[Imports_TIV]]</f>
        <v>-5000000</v>
      </c>
      <c r="I1344" s="4">
        <f>Clean_Data[[#This Row],[Exports_TIV]] + Clean_Data[[#This Row],[Imports_TIV]]</f>
        <v>5000000</v>
      </c>
    </row>
    <row r="1345" spans="1:9">
      <c r="A1345" s="4" t="s">
        <v>67</v>
      </c>
      <c r="B1345" s="4" t="s">
        <v>68</v>
      </c>
      <c r="C1345" s="5">
        <v>2016</v>
      </c>
      <c r="D1345" s="4">
        <v>134000000</v>
      </c>
      <c r="E1345" s="4">
        <v>111000000</v>
      </c>
      <c r="F1345" s="4" t="str">
        <f>_xlfn.LET(_xlpm.r, _xlfn.XLOOKUP(Clean_Data[[#This Row],[Country_Code]], Metadata_Country!$A:$A, Metadata_Country!$B:$B, "Unknown"), IF(OR(_xlpm.r=0, _xlpm.r=""), "Regional Aggregate", _xlpm.r))</f>
        <v>Latin America &amp; Caribbean</v>
      </c>
      <c r="G1345" s="4" t="str">
        <f>_xlfn.LET(_xlpm.ig, _xlfn.XLOOKUP(Clean_Data[[#This Row],[Country_Code]], Metadata_Country!$A:$A, Metadata_Country!$C:$C, "Unknown"), IF(OR(_xlpm.ig=0, _xlpm.ig=""), "Regional Aggregate", _xlpm.ig))</f>
        <v>Upper middle income</v>
      </c>
      <c r="H1345" s="4">
        <f>Clean_Data[[#This Row],[Exports_TIV]] - Clean_Data[[#This Row],[Imports_TIV]]</f>
        <v>23000000</v>
      </c>
      <c r="I1345" s="4">
        <f>Clean_Data[[#This Row],[Exports_TIV]] + Clean_Data[[#This Row],[Imports_TIV]]</f>
        <v>245000000</v>
      </c>
    </row>
    <row r="1346" spans="1:9">
      <c r="A1346" s="4" t="s">
        <v>71</v>
      </c>
      <c r="B1346" s="4" t="s">
        <v>72</v>
      </c>
      <c r="C1346" s="5">
        <v>2016</v>
      </c>
      <c r="D1346" s="4">
        <v>12000000</v>
      </c>
      <c r="E1346" s="4">
        <v>0</v>
      </c>
      <c r="F1346" s="4" t="str">
        <f>_xlfn.LET(_xlpm.r, _xlfn.XLOOKUP(Clean_Data[[#This Row],[Country_Code]], Metadata_Country!$A:$A, Metadata_Country!$B:$B, "Unknown"), IF(OR(_xlpm.r=0, _xlpm.r=""), "Regional Aggregate", _xlpm.r))</f>
        <v>East Asia &amp; Pacific</v>
      </c>
      <c r="G1346" s="4" t="str">
        <f>_xlfn.LET(_xlpm.ig, _xlfn.XLOOKUP(Clean_Data[[#This Row],[Country_Code]], Metadata_Country!$A:$A, Metadata_Country!$C:$C, "Unknown"), IF(OR(_xlpm.ig=0, _xlpm.ig=""), "Regional Aggregate", _xlpm.ig))</f>
        <v>High income</v>
      </c>
      <c r="H1346" s="4">
        <f>Clean_Data[[#This Row],[Exports_TIV]] - Clean_Data[[#This Row],[Imports_TIV]]</f>
        <v>12000000</v>
      </c>
      <c r="I1346" s="4">
        <f>Clean_Data[[#This Row],[Exports_TIV]] + Clean_Data[[#This Row],[Imports_TIV]]</f>
        <v>12000000</v>
      </c>
    </row>
    <row r="1347" spans="1:9">
      <c r="A1347" s="4" t="s">
        <v>51</v>
      </c>
      <c r="B1347" s="4" t="s">
        <v>52</v>
      </c>
      <c r="C1347" s="5">
        <v>2016</v>
      </c>
      <c r="D1347" s="4">
        <v>83000000</v>
      </c>
      <c r="E1347" s="4">
        <v>0</v>
      </c>
      <c r="F1347" s="4" t="str">
        <f>_xlfn.LET(_xlpm.r, _xlfn.XLOOKUP(Clean_Data[[#This Row],[Country_Code]], Metadata_Country!$A:$A, Metadata_Country!$B:$B, "Unknown"), IF(OR(_xlpm.r=0, _xlpm.r=""), "Regional Aggregate", _xlpm.r))</f>
        <v>Europe &amp; Central Asia</v>
      </c>
      <c r="G1347" s="4" t="str">
        <f>_xlfn.LET(_xlpm.ig, _xlfn.XLOOKUP(Clean_Data[[#This Row],[Country_Code]], Metadata_Country!$A:$A, Metadata_Country!$C:$C, "Unknown"), IF(OR(_xlpm.ig=0, _xlpm.ig=""), "Regional Aggregate", _xlpm.ig))</f>
        <v>High income</v>
      </c>
      <c r="H1347" s="4">
        <f>Clean_Data[[#This Row],[Exports_TIV]] - Clean_Data[[#This Row],[Imports_TIV]]</f>
        <v>83000000</v>
      </c>
      <c r="I1347" s="4">
        <f>Clean_Data[[#This Row],[Exports_TIV]] + Clean_Data[[#This Row],[Imports_TIV]]</f>
        <v>83000000</v>
      </c>
    </row>
    <row r="1348" spans="1:9">
      <c r="A1348" s="4" t="s">
        <v>47</v>
      </c>
      <c r="B1348" s="4" t="s">
        <v>48</v>
      </c>
      <c r="C1348" s="5">
        <v>2016</v>
      </c>
      <c r="D1348" s="4">
        <v>0</v>
      </c>
      <c r="E1348" s="4">
        <v>7000000</v>
      </c>
      <c r="F1348" s="4" t="str">
        <f>_xlfn.LET(_xlpm.r, _xlfn.XLOOKUP(Clean_Data[[#This Row],[Country_Code]], Metadata_Country!$A:$A, Metadata_Country!$B:$B, "Unknown"), IF(OR(_xlpm.r=0, _xlpm.r=""), "Regional Aggregate", _xlpm.r))</f>
        <v>Sub-Saharan Africa</v>
      </c>
      <c r="G1348" s="4" t="str">
        <f>_xlfn.LET(_xlpm.ig, _xlfn.XLOOKUP(Clean_Data[[#This Row],[Country_Code]], Metadata_Country!$A:$A, Metadata_Country!$C:$C, "Unknown"), IF(OR(_xlpm.ig=0, _xlpm.ig=""), "Regional Aggregate", _xlpm.ig))</f>
        <v>Low income</v>
      </c>
      <c r="H1348" s="4">
        <f>Clean_Data[[#This Row],[Exports_TIV]] - Clean_Data[[#This Row],[Imports_TIV]]</f>
        <v>-7000000</v>
      </c>
      <c r="I1348" s="4">
        <f>Clean_Data[[#This Row],[Exports_TIV]] + Clean_Data[[#This Row],[Imports_TIV]]</f>
        <v>7000000</v>
      </c>
    </row>
    <row r="1349" spans="1:9">
      <c r="A1349" s="4" t="s">
        <v>41</v>
      </c>
      <c r="B1349" s="4" t="s">
        <v>42</v>
      </c>
      <c r="C1349" s="5">
        <v>2016</v>
      </c>
      <c r="D1349" s="4">
        <v>0</v>
      </c>
      <c r="E1349" s="4">
        <v>3000000</v>
      </c>
      <c r="F1349" s="4" t="str">
        <f>_xlfn.LET(_xlpm.r, _xlfn.XLOOKUP(Clean_Data[[#This Row],[Country_Code]], Metadata_Country!$A:$A, Metadata_Country!$B:$B, "Unknown"), IF(OR(_xlpm.r=0, _xlpm.r=""), "Regional Aggregate", _xlpm.r))</f>
        <v>Sub-Saharan Africa</v>
      </c>
      <c r="G1349" s="4" t="str">
        <f>_xlfn.LET(_xlpm.ig, _xlfn.XLOOKUP(Clean_Data[[#This Row],[Country_Code]], Metadata_Country!$A:$A, Metadata_Country!$C:$C, "Unknown"), IF(OR(_xlpm.ig=0, _xlpm.ig=""), "Regional Aggregate", _xlpm.ig))</f>
        <v>Low income</v>
      </c>
      <c r="H1349" s="4">
        <f>Clean_Data[[#This Row],[Exports_TIV]] - Clean_Data[[#This Row],[Imports_TIV]]</f>
        <v>-3000000</v>
      </c>
      <c r="I1349" s="4">
        <f>Clean_Data[[#This Row],[Exports_TIV]] + Clean_Data[[#This Row],[Imports_TIV]]</f>
        <v>3000000</v>
      </c>
    </row>
    <row r="1350" spans="1:9">
      <c r="A1350" s="4" t="s">
        <v>93</v>
      </c>
      <c r="B1350" s="4" t="s">
        <v>94</v>
      </c>
      <c r="C1350" s="5">
        <v>2016</v>
      </c>
      <c r="D1350" s="4">
        <v>0</v>
      </c>
      <c r="E1350" s="4">
        <v>23000000</v>
      </c>
      <c r="F1350" s="4" t="str">
        <f>_xlfn.LET(_xlpm.r, _xlfn.XLOOKUP(Clean_Data[[#This Row],[Country_Code]], Metadata_Country!$A:$A, Metadata_Country!$B:$B, "Unknown"), IF(OR(_xlpm.r=0, _xlpm.r=""), "Regional Aggregate", _xlpm.r))</f>
        <v>Sub-Saharan Africa</v>
      </c>
      <c r="G1350" s="4" t="str">
        <f>_xlfn.LET(_xlpm.ig, _xlfn.XLOOKUP(Clean_Data[[#This Row],[Country_Code]], Metadata_Country!$A:$A, Metadata_Country!$C:$C, "Unknown"), IF(OR(_xlpm.ig=0, _xlpm.ig=""), "Regional Aggregate", _xlpm.ig))</f>
        <v>Lower middle income</v>
      </c>
      <c r="H1350" s="4">
        <f>Clean_Data[[#This Row],[Exports_TIV]] - Clean_Data[[#This Row],[Imports_TIV]]</f>
        <v>-23000000</v>
      </c>
      <c r="I1350" s="4">
        <f>Clean_Data[[#This Row],[Exports_TIV]] + Clean_Data[[#This Row],[Imports_TIV]]</f>
        <v>23000000</v>
      </c>
    </row>
    <row r="1351" spans="1:9">
      <c r="A1351" s="4" t="s">
        <v>79</v>
      </c>
      <c r="B1351" s="4" t="s">
        <v>80</v>
      </c>
      <c r="C1351" s="5">
        <v>2016</v>
      </c>
      <c r="D1351" s="4">
        <v>96000000</v>
      </c>
      <c r="E1351" s="4">
        <v>246000000</v>
      </c>
      <c r="F1351" s="4" t="str">
        <f>_xlfn.LET(_xlpm.r, _xlfn.XLOOKUP(Clean_Data[[#This Row],[Country_Code]], Metadata_Country!$A:$A, Metadata_Country!$B:$B, "Unknown"), IF(OR(_xlpm.r=0, _xlpm.r=""), "Regional Aggregate", _xlpm.r))</f>
        <v>North America</v>
      </c>
      <c r="G1351" s="4" t="str">
        <f>_xlfn.LET(_xlpm.ig, _xlfn.XLOOKUP(Clean_Data[[#This Row],[Country_Code]], Metadata_Country!$A:$A, Metadata_Country!$C:$C, "Unknown"), IF(OR(_xlpm.ig=0, _xlpm.ig=""), "Regional Aggregate", _xlpm.ig))</f>
        <v>High income</v>
      </c>
      <c r="H1351" s="4">
        <f>Clean_Data[[#This Row],[Exports_TIV]] - Clean_Data[[#This Row],[Imports_TIV]]</f>
        <v>-150000000</v>
      </c>
      <c r="I1351" s="4">
        <f>Clean_Data[[#This Row],[Exports_TIV]] + Clean_Data[[#This Row],[Imports_TIV]]</f>
        <v>342000000</v>
      </c>
    </row>
    <row r="1352" spans="1:9">
      <c r="A1352" s="4" t="s">
        <v>81</v>
      </c>
      <c r="B1352" s="4" t="s">
        <v>82</v>
      </c>
      <c r="C1352" s="5">
        <v>2016</v>
      </c>
      <c r="D1352" s="4">
        <v>0</v>
      </c>
      <c r="E1352" s="4">
        <v>357000000</v>
      </c>
      <c r="F1352" s="4" t="str">
        <f>_xlfn.LET(_xlpm.r, _xlfn.XLOOKUP(Clean_Data[[#This Row],[Country_Code]], Metadata_Country!$A:$A, Metadata_Country!$B:$B, "Unknown"), IF(OR(_xlpm.r=0, _xlpm.r=""), "Regional Aggregate", _xlpm.r))</f>
        <v>Regional Aggregate</v>
      </c>
      <c r="G1352" s="4" t="str">
        <f>_xlfn.LET(_xlpm.ig, _xlfn.XLOOKUP(Clean_Data[[#This Row],[Country_Code]], Metadata_Country!$A:$A, Metadata_Country!$C:$C, "Unknown"), IF(OR(_xlpm.ig=0, _xlpm.ig=""), "Regional Aggregate", _xlpm.ig))</f>
        <v>Regional Aggregate</v>
      </c>
      <c r="H1352" s="4">
        <f>Clean_Data[[#This Row],[Exports_TIV]] - Clean_Data[[#This Row],[Imports_TIV]]</f>
        <v>-357000000</v>
      </c>
      <c r="I1352" s="4">
        <f>Clean_Data[[#This Row],[Exports_TIV]] + Clean_Data[[#This Row],[Imports_TIV]]</f>
        <v>357000000</v>
      </c>
    </row>
    <row r="1353" spans="1:9">
      <c r="A1353" s="4" t="s">
        <v>467</v>
      </c>
      <c r="B1353" s="4" t="s">
        <v>468</v>
      </c>
      <c r="C1353" s="5">
        <v>2016</v>
      </c>
      <c r="D1353" s="4">
        <v>0</v>
      </c>
      <c r="E1353" s="4">
        <v>2000000</v>
      </c>
      <c r="F1353" s="4" t="str">
        <f>_xlfn.LET(_xlpm.r, _xlfn.XLOOKUP(Clean_Data[[#This Row],[Country_Code]], Metadata_Country!$A:$A, Metadata_Country!$B:$B, "Unknown"), IF(OR(_xlpm.r=0, _xlpm.r=""), "Regional Aggregate", _xlpm.r))</f>
        <v>Sub-Saharan Africa</v>
      </c>
      <c r="G1353" s="4" t="str">
        <f>_xlfn.LET(_xlpm.ig, _xlfn.XLOOKUP(Clean_Data[[#This Row],[Country_Code]], Metadata_Country!$A:$A, Metadata_Country!$C:$C, "Unknown"), IF(OR(_xlpm.ig=0, _xlpm.ig=""), "Regional Aggregate", _xlpm.ig))</f>
        <v>Low income</v>
      </c>
      <c r="H1353" s="4">
        <f>Clean_Data[[#This Row],[Exports_TIV]] - Clean_Data[[#This Row],[Imports_TIV]]</f>
        <v>-2000000</v>
      </c>
      <c r="I1353" s="4">
        <f>Clean_Data[[#This Row],[Exports_TIV]] + Clean_Data[[#This Row],[Imports_TIV]]</f>
        <v>2000000</v>
      </c>
    </row>
    <row r="1354" spans="1:9">
      <c r="A1354" s="4" t="s">
        <v>87</v>
      </c>
      <c r="B1354" s="4" t="s">
        <v>88</v>
      </c>
      <c r="C1354" s="5">
        <v>2016</v>
      </c>
      <c r="D1354" s="4">
        <v>0</v>
      </c>
      <c r="E1354" s="4">
        <v>70000000</v>
      </c>
      <c r="F1354" s="4" t="str">
        <f>_xlfn.LET(_xlpm.r, _xlfn.XLOOKUP(Clean_Data[[#This Row],[Country_Code]], Metadata_Country!$A:$A, Metadata_Country!$B:$B, "Unknown"), IF(OR(_xlpm.r=0, _xlpm.r=""), "Regional Aggregate", _xlpm.r))</f>
        <v>Latin America &amp; Caribbean</v>
      </c>
      <c r="G1354" s="4" t="str">
        <f>_xlfn.LET(_xlpm.ig, _xlfn.XLOOKUP(Clean_Data[[#This Row],[Country_Code]], Metadata_Country!$A:$A, Metadata_Country!$C:$C, "Unknown"), IF(OR(_xlpm.ig=0, _xlpm.ig=""), "Regional Aggregate", _xlpm.ig))</f>
        <v>High income</v>
      </c>
      <c r="H1354" s="4">
        <f>Clean_Data[[#This Row],[Exports_TIV]] - Clean_Data[[#This Row],[Imports_TIV]]</f>
        <v>-70000000</v>
      </c>
      <c r="I1354" s="4">
        <f>Clean_Data[[#This Row],[Exports_TIV]] + Clean_Data[[#This Row],[Imports_TIV]]</f>
        <v>70000000</v>
      </c>
    </row>
    <row r="1355" spans="1:9">
      <c r="A1355" s="4" t="s">
        <v>89</v>
      </c>
      <c r="B1355" s="4" t="s">
        <v>90</v>
      </c>
      <c r="C1355" s="5">
        <v>2016</v>
      </c>
      <c r="D1355" s="4">
        <v>2480000000</v>
      </c>
      <c r="E1355" s="4">
        <v>1209000000</v>
      </c>
      <c r="F1355" s="4" t="str">
        <f>_xlfn.LET(_xlpm.r, _xlfn.XLOOKUP(Clean_Data[[#This Row],[Country_Code]], Metadata_Country!$A:$A, Metadata_Country!$B:$B, "Unknown"), IF(OR(_xlpm.r=0, _xlpm.r=""), "Regional Aggregate", _xlpm.r))</f>
        <v>East Asia &amp; Pacific</v>
      </c>
      <c r="G1355" s="4" t="str">
        <f>_xlfn.LET(_xlpm.ig, _xlfn.XLOOKUP(Clean_Data[[#This Row],[Country_Code]], Metadata_Country!$A:$A, Metadata_Country!$C:$C, "Unknown"), IF(OR(_xlpm.ig=0, _xlpm.ig=""), "Regional Aggregate", _xlpm.ig))</f>
        <v>Upper middle income</v>
      </c>
      <c r="H1355" s="4">
        <f>Clean_Data[[#This Row],[Exports_TIV]] - Clean_Data[[#This Row],[Imports_TIV]]</f>
        <v>1271000000</v>
      </c>
      <c r="I1355" s="4">
        <f>Clean_Data[[#This Row],[Exports_TIV]] + Clean_Data[[#This Row],[Imports_TIV]]</f>
        <v>3689000000</v>
      </c>
    </row>
    <row r="1356" spans="1:9">
      <c r="A1356" s="4" t="s">
        <v>99</v>
      </c>
      <c r="B1356" s="4" t="s">
        <v>100</v>
      </c>
      <c r="C1356" s="5">
        <v>2016</v>
      </c>
      <c r="D1356" s="4">
        <v>0</v>
      </c>
      <c r="E1356" s="4">
        <v>18000000</v>
      </c>
      <c r="F1356" s="4" t="str">
        <f>_xlfn.LET(_xlpm.r, _xlfn.XLOOKUP(Clean_Data[[#This Row],[Country_Code]], Metadata_Country!$A:$A, Metadata_Country!$B:$B, "Unknown"), IF(OR(_xlpm.r=0, _xlpm.r=""), "Regional Aggregate", _xlpm.r))</f>
        <v>Latin America &amp; Caribbean</v>
      </c>
      <c r="G1356" s="4" t="str">
        <f>_xlfn.LET(_xlpm.ig, _xlfn.XLOOKUP(Clean_Data[[#This Row],[Country_Code]], Metadata_Country!$A:$A, Metadata_Country!$C:$C, "Unknown"), IF(OR(_xlpm.ig=0, _xlpm.ig=""), "Regional Aggregate", _xlpm.ig))</f>
        <v>Upper middle income</v>
      </c>
      <c r="H1356" s="4">
        <f>Clean_Data[[#This Row],[Exports_TIV]] - Clean_Data[[#This Row],[Imports_TIV]]</f>
        <v>-18000000</v>
      </c>
      <c r="I1356" s="4">
        <f>Clean_Data[[#This Row],[Exports_TIV]] + Clean_Data[[#This Row],[Imports_TIV]]</f>
        <v>18000000</v>
      </c>
    </row>
    <row r="1357" spans="1:9">
      <c r="A1357" s="4" t="s">
        <v>95</v>
      </c>
      <c r="B1357" s="4" t="s">
        <v>96</v>
      </c>
      <c r="C1357" s="5">
        <v>2016</v>
      </c>
      <c r="D1357" s="4">
        <v>0</v>
      </c>
      <c r="E1357" s="4">
        <v>43000000</v>
      </c>
      <c r="F1357" s="4" t="str">
        <f>_xlfn.LET(_xlpm.r, _xlfn.XLOOKUP(Clean_Data[[#This Row],[Country_Code]], Metadata_Country!$A:$A, Metadata_Country!$B:$B, "Unknown"), IF(OR(_xlpm.r=0, _xlpm.r=""), "Regional Aggregate", _xlpm.r))</f>
        <v>Sub-Saharan Africa</v>
      </c>
      <c r="G1357" s="4" t="str">
        <f>_xlfn.LET(_xlpm.ig, _xlfn.XLOOKUP(Clean_Data[[#This Row],[Country_Code]], Metadata_Country!$A:$A, Metadata_Country!$C:$C, "Unknown"), IF(OR(_xlpm.ig=0, _xlpm.ig=""), "Regional Aggregate", _xlpm.ig))</f>
        <v>Low income</v>
      </c>
      <c r="H1357" s="4">
        <f>Clean_Data[[#This Row],[Exports_TIV]] - Clean_Data[[#This Row],[Imports_TIV]]</f>
        <v>-43000000</v>
      </c>
      <c r="I1357" s="4">
        <f>Clean_Data[[#This Row],[Exports_TIV]] + Clean_Data[[#This Row],[Imports_TIV]]</f>
        <v>43000000</v>
      </c>
    </row>
    <row r="1358" spans="1:9">
      <c r="A1358" s="4" t="s">
        <v>91</v>
      </c>
      <c r="B1358" s="4" t="s">
        <v>92</v>
      </c>
      <c r="C1358" s="5">
        <v>2016</v>
      </c>
      <c r="D1358" s="4">
        <v>0</v>
      </c>
      <c r="E1358" s="4">
        <v>5000000</v>
      </c>
      <c r="F1358" s="4" t="str">
        <f>_xlfn.LET(_xlpm.r, _xlfn.XLOOKUP(Clean_Data[[#This Row],[Country_Code]], Metadata_Country!$A:$A, Metadata_Country!$B:$B, "Unknown"), IF(OR(_xlpm.r=0, _xlpm.r=""), "Regional Aggregate", _xlpm.r))</f>
        <v>Sub-Saharan Africa</v>
      </c>
      <c r="G1358" s="4" t="str">
        <f>_xlfn.LET(_xlpm.ig, _xlfn.XLOOKUP(Clean_Data[[#This Row],[Country_Code]], Metadata_Country!$A:$A, Metadata_Country!$C:$C, "Unknown"), IF(OR(_xlpm.ig=0, _xlpm.ig=""), "Regional Aggregate", _xlpm.ig))</f>
        <v>Lower middle income</v>
      </c>
      <c r="H1358" s="4">
        <f>Clean_Data[[#This Row],[Exports_TIV]] - Clean_Data[[#This Row],[Imports_TIV]]</f>
        <v>-5000000</v>
      </c>
      <c r="I1358" s="4">
        <f>Clean_Data[[#This Row],[Exports_TIV]] + Clean_Data[[#This Row],[Imports_TIV]]</f>
        <v>5000000</v>
      </c>
    </row>
    <row r="1359" spans="1:9">
      <c r="A1359" s="4" t="s">
        <v>207</v>
      </c>
      <c r="B1359" s="4" t="s">
        <v>208</v>
      </c>
      <c r="C1359" s="5">
        <v>2016</v>
      </c>
      <c r="D1359" s="4">
        <v>0</v>
      </c>
      <c r="E1359" s="4">
        <v>20000000</v>
      </c>
      <c r="F1359" s="4" t="str">
        <f>_xlfn.LET(_xlpm.r, _xlfn.XLOOKUP(Clean_Data[[#This Row],[Country_Code]], Metadata_Country!$A:$A, Metadata_Country!$B:$B, "Unknown"), IF(OR(_xlpm.r=0, _xlpm.r=""), "Regional Aggregate", _xlpm.r))</f>
        <v>Europe &amp; Central Asia</v>
      </c>
      <c r="G1359" s="4" t="str">
        <f>_xlfn.LET(_xlpm.ig, _xlfn.XLOOKUP(Clean_Data[[#This Row],[Country_Code]], Metadata_Country!$A:$A, Metadata_Country!$C:$C, "Unknown"), IF(OR(_xlpm.ig=0, _xlpm.ig=""), "Regional Aggregate", _xlpm.ig))</f>
        <v>High income</v>
      </c>
      <c r="H1359" s="4">
        <f>Clean_Data[[#This Row],[Exports_TIV]] - Clean_Data[[#This Row],[Imports_TIV]]</f>
        <v>-20000000</v>
      </c>
      <c r="I1359" s="4">
        <f>Clean_Data[[#This Row],[Exports_TIV]] + Clean_Data[[#This Row],[Imports_TIV]]</f>
        <v>20000000</v>
      </c>
    </row>
    <row r="1360" spans="1:9">
      <c r="A1360" s="4" t="s">
        <v>117</v>
      </c>
      <c r="B1360" s="4" t="s">
        <v>118</v>
      </c>
      <c r="C1360" s="5">
        <v>2016</v>
      </c>
      <c r="D1360" s="4">
        <v>153000000</v>
      </c>
      <c r="E1360" s="4">
        <v>7000000</v>
      </c>
      <c r="F1360" s="4" t="str">
        <f>_xlfn.LET(_xlpm.r, _xlfn.XLOOKUP(Clean_Data[[#This Row],[Country_Code]], Metadata_Country!$A:$A, Metadata_Country!$B:$B, "Unknown"), IF(OR(_xlpm.r=0, _xlpm.r=""), "Regional Aggregate", _xlpm.r))</f>
        <v>Europe &amp; Central Asia</v>
      </c>
      <c r="G1360" s="4" t="str">
        <f>_xlfn.LET(_xlpm.ig, _xlfn.XLOOKUP(Clean_Data[[#This Row],[Country_Code]], Metadata_Country!$A:$A, Metadata_Country!$C:$C, "Unknown"), IF(OR(_xlpm.ig=0, _xlpm.ig=""), "Regional Aggregate", _xlpm.ig))</f>
        <v>High income</v>
      </c>
      <c r="H1360" s="4">
        <f>Clean_Data[[#This Row],[Exports_TIV]] - Clean_Data[[#This Row],[Imports_TIV]]</f>
        <v>146000000</v>
      </c>
      <c r="I1360" s="4">
        <f>Clean_Data[[#This Row],[Exports_TIV]] + Clean_Data[[#This Row],[Imports_TIV]]</f>
        <v>160000000</v>
      </c>
    </row>
    <row r="1361" spans="1:9">
      <c r="A1361" s="4" t="s">
        <v>125</v>
      </c>
      <c r="B1361" s="4" t="s">
        <v>126</v>
      </c>
      <c r="C1361" s="5">
        <v>2016</v>
      </c>
      <c r="D1361" s="4">
        <v>21000000</v>
      </c>
      <c r="E1361" s="4">
        <v>103000000</v>
      </c>
      <c r="F1361" s="4" t="str">
        <f>_xlfn.LET(_xlpm.r, _xlfn.XLOOKUP(Clean_Data[[#This Row],[Country_Code]], Metadata_Country!$A:$A, Metadata_Country!$B:$B, "Unknown"), IF(OR(_xlpm.r=0, _xlpm.r=""), "Regional Aggregate", _xlpm.r))</f>
        <v>Europe &amp; Central Asia</v>
      </c>
      <c r="G1361" s="4" t="str">
        <f>_xlfn.LET(_xlpm.ig, _xlfn.XLOOKUP(Clean_Data[[#This Row],[Country_Code]], Metadata_Country!$A:$A, Metadata_Country!$C:$C, "Unknown"), IF(OR(_xlpm.ig=0, _xlpm.ig=""), "Regional Aggregate", _xlpm.ig))</f>
        <v>High income</v>
      </c>
      <c r="H1361" s="4">
        <f>Clean_Data[[#This Row],[Exports_TIV]] - Clean_Data[[#This Row],[Imports_TIV]]</f>
        <v>-82000000</v>
      </c>
      <c r="I1361" s="4">
        <f>Clean_Data[[#This Row],[Exports_TIV]] + Clean_Data[[#This Row],[Imports_TIV]]</f>
        <v>124000000</v>
      </c>
    </row>
    <row r="1362" spans="1:9">
      <c r="A1362" s="4" t="s">
        <v>121</v>
      </c>
      <c r="B1362" s="4" t="s">
        <v>122</v>
      </c>
      <c r="C1362" s="5">
        <v>2016</v>
      </c>
      <c r="D1362" s="4">
        <v>0</v>
      </c>
      <c r="E1362" s="4">
        <v>11000000</v>
      </c>
      <c r="F1362" s="4" t="str">
        <f>_xlfn.LET(_xlpm.r, _xlfn.XLOOKUP(Clean_Data[[#This Row],[Country_Code]], Metadata_Country!$A:$A, Metadata_Country!$B:$B, "Unknown"), IF(OR(_xlpm.r=0, _xlpm.r=""), "Regional Aggregate", _xlpm.r))</f>
        <v>Middle East &amp; North Africa</v>
      </c>
      <c r="G1362" s="4" t="str">
        <f>_xlfn.LET(_xlpm.ig, _xlfn.XLOOKUP(Clean_Data[[#This Row],[Country_Code]], Metadata_Country!$A:$A, Metadata_Country!$C:$C, "Unknown"), IF(OR(_xlpm.ig=0, _xlpm.ig=""), "Regional Aggregate", _xlpm.ig))</f>
        <v>Lower middle income</v>
      </c>
      <c r="H1362" s="4">
        <f>Clean_Data[[#This Row],[Exports_TIV]] - Clean_Data[[#This Row],[Imports_TIV]]</f>
        <v>-11000000</v>
      </c>
      <c r="I1362" s="4">
        <f>Clean_Data[[#This Row],[Exports_TIV]] + Clean_Data[[#This Row],[Imports_TIV]]</f>
        <v>11000000</v>
      </c>
    </row>
    <row r="1363" spans="1:9">
      <c r="A1363" s="4" t="s">
        <v>127</v>
      </c>
      <c r="B1363" s="4" t="s">
        <v>128</v>
      </c>
      <c r="C1363" s="5">
        <v>2016</v>
      </c>
      <c r="D1363" s="4">
        <v>0</v>
      </c>
      <c r="E1363" s="4">
        <v>0</v>
      </c>
      <c r="F1363" s="4" t="str">
        <f>_xlfn.LET(_xlpm.r, _xlfn.XLOOKUP(Clean_Data[[#This Row],[Country_Code]], Metadata_Country!$A:$A, Metadata_Country!$B:$B, "Unknown"), IF(OR(_xlpm.r=0, _xlpm.r=""), "Regional Aggregate", _xlpm.r))</f>
        <v>Latin America &amp; Caribbean</v>
      </c>
      <c r="G1363" s="4" t="str">
        <f>_xlfn.LET(_xlpm.ig, _xlfn.XLOOKUP(Clean_Data[[#This Row],[Country_Code]], Metadata_Country!$A:$A, Metadata_Country!$C:$C, "Unknown"), IF(OR(_xlpm.ig=0, _xlpm.ig=""), "Regional Aggregate", _xlpm.ig))</f>
        <v>Upper middle income</v>
      </c>
      <c r="H1363" s="4">
        <f>Clean_Data[[#This Row],[Exports_TIV]] - Clean_Data[[#This Row],[Imports_TIV]]</f>
        <v>0</v>
      </c>
      <c r="I1363" s="4">
        <f>Clean_Data[[#This Row],[Exports_TIV]] + Clean_Data[[#This Row],[Imports_TIV]]</f>
        <v>0</v>
      </c>
    </row>
    <row r="1364" spans="1:9">
      <c r="A1364" s="4" t="s">
        <v>133</v>
      </c>
      <c r="B1364" s="4" t="s">
        <v>134</v>
      </c>
      <c r="C1364" s="5">
        <v>2016</v>
      </c>
      <c r="D1364" s="4">
        <v>0</v>
      </c>
      <c r="E1364" s="4">
        <v>15366000000</v>
      </c>
      <c r="F1364" s="4" t="str">
        <f>_xlfn.LET(_xlpm.r, _xlfn.XLOOKUP(Clean_Data[[#This Row],[Country_Code]], Metadata_Country!$A:$A, Metadata_Country!$B:$B, "Unknown"), IF(OR(_xlpm.r=0, _xlpm.r=""), "Regional Aggregate", _xlpm.r))</f>
        <v>Regional Aggregate</v>
      </c>
      <c r="G1364" s="4" t="str">
        <f>_xlfn.LET(_xlpm.ig, _xlfn.XLOOKUP(Clean_Data[[#This Row],[Country_Code]], Metadata_Country!$A:$A, Metadata_Country!$C:$C, "Unknown"), IF(OR(_xlpm.ig=0, _xlpm.ig=""), "Regional Aggregate", _xlpm.ig))</f>
        <v>Regional Aggregate</v>
      </c>
      <c r="H1364" s="4">
        <f>Clean_Data[[#This Row],[Exports_TIV]] - Clean_Data[[#This Row],[Imports_TIV]]</f>
        <v>-15366000000</v>
      </c>
      <c r="I1364" s="4">
        <f>Clean_Data[[#This Row],[Exports_TIV]] + Clean_Data[[#This Row],[Imports_TIV]]</f>
        <v>15366000000</v>
      </c>
    </row>
    <row r="1365" spans="1:9">
      <c r="A1365" s="4" t="s">
        <v>135</v>
      </c>
      <c r="B1365" s="4" t="s">
        <v>136</v>
      </c>
      <c r="C1365" s="5">
        <v>2016</v>
      </c>
      <c r="D1365" s="4">
        <v>3235000000</v>
      </c>
      <c r="E1365" s="4">
        <v>6730000000</v>
      </c>
      <c r="F1365" s="4" t="str">
        <f>_xlfn.LET(_xlpm.r, _xlfn.XLOOKUP(Clean_Data[[#This Row],[Country_Code]], Metadata_Country!$A:$A, Metadata_Country!$B:$B, "Unknown"), IF(OR(_xlpm.r=0, _xlpm.r=""), "Regional Aggregate", _xlpm.r))</f>
        <v>Regional Aggregate</v>
      </c>
      <c r="G1365" s="4" t="str">
        <f>_xlfn.LET(_xlpm.ig, _xlfn.XLOOKUP(Clean_Data[[#This Row],[Country_Code]], Metadata_Country!$A:$A, Metadata_Country!$C:$C, "Unknown"), IF(OR(_xlpm.ig=0, _xlpm.ig=""), "Regional Aggregate", _xlpm.ig))</f>
        <v>Regional Aggregate</v>
      </c>
      <c r="H1365" s="4">
        <f>Clean_Data[[#This Row],[Exports_TIV]] - Clean_Data[[#This Row],[Imports_TIV]]</f>
        <v>-3495000000</v>
      </c>
      <c r="I1365" s="4">
        <f>Clean_Data[[#This Row],[Exports_TIV]] + Clean_Data[[#This Row],[Imports_TIV]]</f>
        <v>9965000000</v>
      </c>
    </row>
    <row r="1366" spans="1:9">
      <c r="A1366" s="4" t="s">
        <v>131</v>
      </c>
      <c r="B1366" s="4" t="s">
        <v>132</v>
      </c>
      <c r="C1366" s="5">
        <v>2016</v>
      </c>
      <c r="D1366" s="4">
        <v>2567000000</v>
      </c>
      <c r="E1366" s="4">
        <v>3613000000</v>
      </c>
      <c r="F1366" s="4" t="str">
        <f>_xlfn.LET(_xlpm.r, _xlfn.XLOOKUP(Clean_Data[[#This Row],[Country_Code]], Metadata_Country!$A:$A, Metadata_Country!$B:$B, "Unknown"), IF(OR(_xlpm.r=0, _xlpm.r=""), "Regional Aggregate", _xlpm.r))</f>
        <v>Regional Aggregate</v>
      </c>
      <c r="G1366" s="4" t="str">
        <f>_xlfn.LET(_xlpm.ig, _xlfn.XLOOKUP(Clean_Data[[#This Row],[Country_Code]], Metadata_Country!$A:$A, Metadata_Country!$C:$C, "Unknown"), IF(OR(_xlpm.ig=0, _xlpm.ig=""), "Regional Aggregate", _xlpm.ig))</f>
        <v>Regional Aggregate</v>
      </c>
      <c r="H1366" s="4">
        <f>Clean_Data[[#This Row],[Exports_TIV]] - Clean_Data[[#This Row],[Imports_TIV]]</f>
        <v>-1046000000</v>
      </c>
      <c r="I1366" s="4">
        <f>Clean_Data[[#This Row],[Exports_TIV]] + Clean_Data[[#This Row],[Imports_TIV]]</f>
        <v>6180000000</v>
      </c>
    </row>
    <row r="1367" spans="1:9">
      <c r="A1367" s="4" t="s">
        <v>469</v>
      </c>
      <c r="B1367" s="4" t="s">
        <v>470</v>
      </c>
      <c r="C1367" s="5">
        <v>2016</v>
      </c>
      <c r="D1367" s="4">
        <v>2567000000</v>
      </c>
      <c r="E1367" s="4">
        <v>3613000000</v>
      </c>
      <c r="F1367" s="4" t="str">
        <f>_xlfn.LET(_xlpm.r, _xlfn.XLOOKUP(Clean_Data[[#This Row],[Country_Code]], Metadata_Country!$A:$A, Metadata_Country!$B:$B, "Unknown"), IF(OR(_xlpm.r=0, _xlpm.r=""), "Regional Aggregate", _xlpm.r))</f>
        <v>Regional Aggregate</v>
      </c>
      <c r="G1367" s="4" t="str">
        <f>_xlfn.LET(_xlpm.ig, _xlfn.XLOOKUP(Clean_Data[[#This Row],[Country_Code]], Metadata_Country!$A:$A, Metadata_Country!$C:$C, "Unknown"), IF(OR(_xlpm.ig=0, _xlpm.ig=""), "Regional Aggregate", _xlpm.ig))</f>
        <v>Regional Aggregate</v>
      </c>
      <c r="H1367" s="4">
        <f>Clean_Data[[#This Row],[Exports_TIV]] - Clean_Data[[#This Row],[Imports_TIV]]</f>
        <v>-1046000000</v>
      </c>
      <c r="I1367" s="4">
        <f>Clean_Data[[#This Row],[Exports_TIV]] + Clean_Data[[#This Row],[Imports_TIV]]</f>
        <v>6180000000</v>
      </c>
    </row>
    <row r="1368" spans="1:9">
      <c r="A1368" s="4" t="s">
        <v>141</v>
      </c>
      <c r="B1368" s="4" t="s">
        <v>142</v>
      </c>
      <c r="C1368" s="5">
        <v>2016</v>
      </c>
      <c r="D1368" s="4">
        <v>0</v>
      </c>
      <c r="E1368" s="4">
        <v>26000000</v>
      </c>
      <c r="F1368" s="4" t="str">
        <f>_xlfn.LET(_xlpm.r, _xlfn.XLOOKUP(Clean_Data[[#This Row],[Country_Code]], Metadata_Country!$A:$A, Metadata_Country!$B:$B, "Unknown"), IF(OR(_xlpm.r=0, _xlpm.r=""), "Regional Aggregate", _xlpm.r))</f>
        <v>Latin America &amp; Caribbean</v>
      </c>
      <c r="G1368" s="4" t="str">
        <f>_xlfn.LET(_xlpm.ig, _xlfn.XLOOKUP(Clean_Data[[#This Row],[Country_Code]], Metadata_Country!$A:$A, Metadata_Country!$C:$C, "Unknown"), IF(OR(_xlpm.ig=0, _xlpm.ig=""), "Regional Aggregate", _xlpm.ig))</f>
        <v>Upper middle income</v>
      </c>
      <c r="H1368" s="4">
        <f>Clean_Data[[#This Row],[Exports_TIV]] - Clean_Data[[#This Row],[Imports_TIV]]</f>
        <v>-26000000</v>
      </c>
      <c r="I1368" s="4">
        <f>Clean_Data[[#This Row],[Exports_TIV]] + Clean_Data[[#This Row],[Imports_TIV]]</f>
        <v>26000000</v>
      </c>
    </row>
    <row r="1369" spans="1:9">
      <c r="A1369" s="4" t="s">
        <v>143</v>
      </c>
      <c r="B1369" s="4" t="s">
        <v>144</v>
      </c>
      <c r="C1369" s="5">
        <v>2016</v>
      </c>
      <c r="D1369" s="4">
        <v>0</v>
      </c>
      <c r="E1369" s="4">
        <v>1653000000</v>
      </c>
      <c r="F1369" s="4" t="str">
        <f>_xlfn.LET(_xlpm.r, _xlfn.XLOOKUP(Clean_Data[[#This Row],[Country_Code]], Metadata_Country!$A:$A, Metadata_Country!$B:$B, "Unknown"), IF(OR(_xlpm.r=0, _xlpm.r=""), "Regional Aggregate", _xlpm.r))</f>
        <v>Middle East &amp; North Africa</v>
      </c>
      <c r="G1369" s="4" t="str">
        <f>_xlfn.LET(_xlpm.ig, _xlfn.XLOOKUP(Clean_Data[[#This Row],[Country_Code]], Metadata_Country!$A:$A, Metadata_Country!$C:$C, "Unknown"), IF(OR(_xlpm.ig=0, _xlpm.ig=""), "Regional Aggregate", _xlpm.ig))</f>
        <v>Lower middle income</v>
      </c>
      <c r="H1369" s="4">
        <f>Clean_Data[[#This Row],[Exports_TIV]] - Clean_Data[[#This Row],[Imports_TIV]]</f>
        <v>-1653000000</v>
      </c>
      <c r="I1369" s="4">
        <f>Clean_Data[[#This Row],[Exports_TIV]] + Clean_Data[[#This Row],[Imports_TIV]]</f>
        <v>1653000000</v>
      </c>
    </row>
    <row r="1370" spans="1:9">
      <c r="A1370" s="4" t="s">
        <v>151</v>
      </c>
      <c r="B1370" s="4" t="s">
        <v>152</v>
      </c>
      <c r="C1370" s="5">
        <v>2016</v>
      </c>
      <c r="D1370" s="4">
        <v>0</v>
      </c>
      <c r="E1370" s="4">
        <v>32000000</v>
      </c>
      <c r="F1370" s="4" t="str">
        <f>_xlfn.LET(_xlpm.r, _xlfn.XLOOKUP(Clean_Data[[#This Row],[Country_Code]], Metadata_Country!$A:$A, Metadata_Country!$B:$B, "Unknown"), IF(OR(_xlpm.r=0, _xlpm.r=""), "Regional Aggregate", _xlpm.r))</f>
        <v>Europe &amp; Central Asia</v>
      </c>
      <c r="G1370" s="4" t="str">
        <f>_xlfn.LET(_xlpm.ig, _xlfn.XLOOKUP(Clean_Data[[#This Row],[Country_Code]], Metadata_Country!$A:$A, Metadata_Country!$C:$C, "Unknown"), IF(OR(_xlpm.ig=0, _xlpm.ig=""), "Regional Aggregate", _xlpm.ig))</f>
        <v>High income</v>
      </c>
      <c r="H1370" s="4">
        <f>Clean_Data[[#This Row],[Exports_TIV]] - Clean_Data[[#This Row],[Imports_TIV]]</f>
        <v>-32000000</v>
      </c>
      <c r="I1370" s="4">
        <f>Clean_Data[[#This Row],[Exports_TIV]] + Clean_Data[[#This Row],[Imports_TIV]]</f>
        <v>32000000</v>
      </c>
    </row>
    <row r="1371" spans="1:9">
      <c r="A1371" s="4" t="s">
        <v>153</v>
      </c>
      <c r="B1371" s="4" t="s">
        <v>154</v>
      </c>
      <c r="C1371" s="5">
        <v>2016</v>
      </c>
      <c r="D1371" s="4">
        <v>0</v>
      </c>
      <c r="E1371" s="4">
        <v>55000000</v>
      </c>
      <c r="F1371" s="4" t="str">
        <f>_xlfn.LET(_xlpm.r, _xlfn.XLOOKUP(Clean_Data[[#This Row],[Country_Code]], Metadata_Country!$A:$A, Metadata_Country!$B:$B, "Unknown"), IF(OR(_xlpm.r=0, _xlpm.r=""), "Regional Aggregate", _xlpm.r))</f>
        <v>Sub-Saharan Africa</v>
      </c>
      <c r="G1371" s="4" t="str">
        <f>_xlfn.LET(_xlpm.ig, _xlfn.XLOOKUP(Clean_Data[[#This Row],[Country_Code]], Metadata_Country!$A:$A, Metadata_Country!$C:$C, "Unknown"), IF(OR(_xlpm.ig=0, _xlpm.ig=""), "Regional Aggregate", _xlpm.ig))</f>
        <v>Low income</v>
      </c>
      <c r="H1371" s="4">
        <f>Clean_Data[[#This Row],[Exports_TIV]] - Clean_Data[[#This Row],[Imports_TIV]]</f>
        <v>-55000000</v>
      </c>
      <c r="I1371" s="4">
        <f>Clean_Data[[#This Row],[Exports_TIV]] + Clean_Data[[#This Row],[Imports_TIV]]</f>
        <v>55000000</v>
      </c>
    </row>
    <row r="1372" spans="1:9">
      <c r="A1372" s="4" t="s">
        <v>145</v>
      </c>
      <c r="B1372" s="4" t="s">
        <v>146</v>
      </c>
      <c r="C1372" s="5">
        <v>2016</v>
      </c>
      <c r="D1372" s="4">
        <v>6659000000</v>
      </c>
      <c r="E1372" s="4">
        <v>1625000000</v>
      </c>
      <c r="F1372" s="4" t="str">
        <f>_xlfn.LET(_xlpm.r, _xlfn.XLOOKUP(Clean_Data[[#This Row],[Country_Code]], Metadata_Country!$A:$A, Metadata_Country!$B:$B, "Unknown"), IF(OR(_xlpm.r=0, _xlpm.r=""), "Regional Aggregate", _xlpm.r))</f>
        <v>Regional Aggregate</v>
      </c>
      <c r="G1372" s="4" t="str">
        <f>_xlfn.LET(_xlpm.ig, _xlfn.XLOOKUP(Clean_Data[[#This Row],[Country_Code]], Metadata_Country!$A:$A, Metadata_Country!$C:$C, "Unknown"), IF(OR(_xlpm.ig=0, _xlpm.ig=""), "Regional Aggregate", _xlpm.ig))</f>
        <v>Regional Aggregate</v>
      </c>
      <c r="H1372" s="4">
        <f>Clean_Data[[#This Row],[Exports_TIV]] - Clean_Data[[#This Row],[Imports_TIV]]</f>
        <v>5034000000</v>
      </c>
      <c r="I1372" s="4">
        <f>Clean_Data[[#This Row],[Exports_TIV]] + Clean_Data[[#This Row],[Imports_TIV]]</f>
        <v>8284000000</v>
      </c>
    </row>
    <row r="1373" spans="1:9">
      <c r="A1373" s="4" t="s">
        <v>139</v>
      </c>
      <c r="B1373" s="4" t="s">
        <v>140</v>
      </c>
      <c r="C1373" s="5">
        <v>2016</v>
      </c>
      <c r="D1373" s="4">
        <v>16524000000</v>
      </c>
      <c r="E1373" s="4">
        <v>4294000000</v>
      </c>
      <c r="F1373" s="4" t="str">
        <f>_xlfn.LET(_xlpm.r, _xlfn.XLOOKUP(Clean_Data[[#This Row],[Country_Code]], Metadata_Country!$A:$A, Metadata_Country!$B:$B, "Unknown"), IF(OR(_xlpm.r=0, _xlpm.r=""), "Regional Aggregate", _xlpm.r))</f>
        <v>Regional Aggregate</v>
      </c>
      <c r="G1373" s="4" t="str">
        <f>_xlfn.LET(_xlpm.ig, _xlfn.XLOOKUP(Clean_Data[[#This Row],[Country_Code]], Metadata_Country!$A:$A, Metadata_Country!$C:$C, "Unknown"), IF(OR(_xlpm.ig=0, _xlpm.ig=""), "Regional Aggregate", _xlpm.ig))</f>
        <v>Regional Aggregate</v>
      </c>
      <c r="H1373" s="4">
        <f>Clean_Data[[#This Row],[Exports_TIV]] - Clean_Data[[#This Row],[Imports_TIV]]</f>
        <v>12230000000</v>
      </c>
      <c r="I1373" s="4">
        <f>Clean_Data[[#This Row],[Exports_TIV]] + Clean_Data[[#This Row],[Imports_TIV]]</f>
        <v>20818000000</v>
      </c>
    </row>
    <row r="1374" spans="1:9">
      <c r="A1374" s="4" t="s">
        <v>137</v>
      </c>
      <c r="B1374" s="4" t="s">
        <v>138</v>
      </c>
      <c r="C1374" s="5">
        <v>2016</v>
      </c>
      <c r="D1374" s="4">
        <v>1038000000</v>
      </c>
      <c r="E1374" s="4">
        <v>1632000000</v>
      </c>
      <c r="F1374" s="4" t="str">
        <f>_xlfn.LET(_xlpm.r, _xlfn.XLOOKUP(Clean_Data[[#This Row],[Country_Code]], Metadata_Country!$A:$A, Metadata_Country!$B:$B, "Unknown"), IF(OR(_xlpm.r=0, _xlpm.r=""), "Regional Aggregate", _xlpm.r))</f>
        <v>Regional Aggregate</v>
      </c>
      <c r="G1374" s="4" t="str">
        <f>_xlfn.LET(_xlpm.ig, _xlfn.XLOOKUP(Clean_Data[[#This Row],[Country_Code]], Metadata_Country!$A:$A, Metadata_Country!$C:$C, "Unknown"), IF(OR(_xlpm.ig=0, _xlpm.ig=""), "Regional Aggregate", _xlpm.ig))</f>
        <v>Regional Aggregate</v>
      </c>
      <c r="H1374" s="4">
        <f>Clean_Data[[#This Row],[Exports_TIV]] - Clean_Data[[#This Row],[Imports_TIV]]</f>
        <v>-594000000</v>
      </c>
      <c r="I1374" s="4">
        <f>Clean_Data[[#This Row],[Exports_TIV]] + Clean_Data[[#This Row],[Imports_TIV]]</f>
        <v>2670000000</v>
      </c>
    </row>
    <row r="1375" spans="1:9">
      <c r="A1375" s="4" t="s">
        <v>471</v>
      </c>
      <c r="B1375" s="4" t="s">
        <v>472</v>
      </c>
      <c r="C1375" s="5">
        <v>2016</v>
      </c>
      <c r="D1375" s="4">
        <v>7877000000</v>
      </c>
      <c r="E1375" s="4">
        <v>2001000000</v>
      </c>
      <c r="F1375" s="4" t="str">
        <f>_xlfn.LET(_xlpm.r, _xlfn.XLOOKUP(Clean_Data[[#This Row],[Country_Code]], Metadata_Country!$A:$A, Metadata_Country!$B:$B, "Unknown"), IF(OR(_xlpm.r=0, _xlpm.r=""), "Regional Aggregate", _xlpm.r))</f>
        <v>Regional Aggregate</v>
      </c>
      <c r="G1375" s="4" t="str">
        <f>_xlfn.LET(_xlpm.ig, _xlfn.XLOOKUP(Clean_Data[[#This Row],[Country_Code]], Metadata_Country!$A:$A, Metadata_Country!$C:$C, "Unknown"), IF(OR(_xlpm.ig=0, _xlpm.ig=""), "Regional Aggregate", _xlpm.ig))</f>
        <v>Regional Aggregate</v>
      </c>
      <c r="H1375" s="4">
        <f>Clean_Data[[#This Row],[Exports_TIV]] - Clean_Data[[#This Row],[Imports_TIV]]</f>
        <v>5876000000</v>
      </c>
      <c r="I1375" s="4">
        <f>Clean_Data[[#This Row],[Exports_TIV]] + Clean_Data[[#This Row],[Imports_TIV]]</f>
        <v>9878000000</v>
      </c>
    </row>
    <row r="1376" spans="1:9">
      <c r="A1376" s="4" t="s">
        <v>155</v>
      </c>
      <c r="B1376" s="4" t="s">
        <v>156</v>
      </c>
      <c r="C1376" s="5">
        <v>2016</v>
      </c>
      <c r="D1376" s="4">
        <v>7086000000</v>
      </c>
      <c r="E1376" s="4">
        <v>2041000000</v>
      </c>
      <c r="F1376" s="4" t="str">
        <f>_xlfn.LET(_xlpm.r, _xlfn.XLOOKUP(Clean_Data[[#This Row],[Country_Code]], Metadata_Country!$A:$A, Metadata_Country!$B:$B, "Unknown"), IF(OR(_xlpm.r=0, _xlpm.r=""), "Regional Aggregate", _xlpm.r))</f>
        <v>Regional Aggregate</v>
      </c>
      <c r="G1376" s="4" t="str">
        <f>_xlfn.LET(_xlpm.ig, _xlfn.XLOOKUP(Clean_Data[[#This Row],[Country_Code]], Metadata_Country!$A:$A, Metadata_Country!$C:$C, "Unknown"), IF(OR(_xlpm.ig=0, _xlpm.ig=""), "Regional Aggregate", _xlpm.ig))</f>
        <v>Regional Aggregate</v>
      </c>
      <c r="H1376" s="4">
        <f>Clean_Data[[#This Row],[Exports_TIV]] - Clean_Data[[#This Row],[Imports_TIV]]</f>
        <v>5045000000</v>
      </c>
      <c r="I1376" s="4">
        <f>Clean_Data[[#This Row],[Exports_TIV]] + Clean_Data[[#This Row],[Imports_TIV]]</f>
        <v>9127000000</v>
      </c>
    </row>
    <row r="1377" spans="1:9">
      <c r="A1377" s="4" t="s">
        <v>159</v>
      </c>
      <c r="B1377" s="4" t="s">
        <v>160</v>
      </c>
      <c r="C1377" s="5">
        <v>2016</v>
      </c>
      <c r="D1377" s="4">
        <v>61000000</v>
      </c>
      <c r="E1377" s="4">
        <v>122000000</v>
      </c>
      <c r="F1377" s="4" t="str">
        <f>_xlfn.LET(_xlpm.r, _xlfn.XLOOKUP(Clean_Data[[#This Row],[Country_Code]], Metadata_Country!$A:$A, Metadata_Country!$B:$B, "Unknown"), IF(OR(_xlpm.r=0, _xlpm.r=""), "Regional Aggregate", _xlpm.r))</f>
        <v>Europe &amp; Central Asia</v>
      </c>
      <c r="G1377" s="4" t="str">
        <f>_xlfn.LET(_xlpm.ig, _xlfn.XLOOKUP(Clean_Data[[#This Row],[Country_Code]], Metadata_Country!$A:$A, Metadata_Country!$C:$C, "Unknown"), IF(OR(_xlpm.ig=0, _xlpm.ig=""), "Regional Aggregate", _xlpm.ig))</f>
        <v>High income</v>
      </c>
      <c r="H1377" s="4">
        <f>Clean_Data[[#This Row],[Exports_TIV]] - Clean_Data[[#This Row],[Imports_TIV]]</f>
        <v>-61000000</v>
      </c>
      <c r="I1377" s="4">
        <f>Clean_Data[[#This Row],[Exports_TIV]] + Clean_Data[[#This Row],[Imports_TIV]]</f>
        <v>183000000</v>
      </c>
    </row>
    <row r="1378" spans="1:9">
      <c r="A1378" s="4" t="s">
        <v>157</v>
      </c>
      <c r="B1378" s="4" t="s">
        <v>158</v>
      </c>
      <c r="C1378" s="5">
        <v>2016</v>
      </c>
      <c r="D1378" s="4">
        <v>0</v>
      </c>
      <c r="E1378" s="4">
        <v>3136000000</v>
      </c>
      <c r="F1378" s="4" t="str">
        <f>_xlfn.LET(_xlpm.r, _xlfn.XLOOKUP(Clean_Data[[#This Row],[Country_Code]], Metadata_Country!$A:$A, Metadata_Country!$B:$B, "Unknown"), IF(OR(_xlpm.r=0, _xlpm.r=""), "Regional Aggregate", _xlpm.r))</f>
        <v>Regional Aggregate</v>
      </c>
      <c r="G1378" s="4" t="str">
        <f>_xlfn.LET(_xlpm.ig, _xlfn.XLOOKUP(Clean_Data[[#This Row],[Country_Code]], Metadata_Country!$A:$A, Metadata_Country!$C:$C, "Unknown"), IF(OR(_xlpm.ig=0, _xlpm.ig=""), "Regional Aggregate", _xlpm.ig))</f>
        <v>Regional Aggregate</v>
      </c>
      <c r="H1378" s="4">
        <f>Clean_Data[[#This Row],[Exports_TIV]] - Clean_Data[[#This Row],[Imports_TIV]]</f>
        <v>-3136000000</v>
      </c>
      <c r="I1378" s="4">
        <f>Clean_Data[[#This Row],[Exports_TIV]] + Clean_Data[[#This Row],[Imports_TIV]]</f>
        <v>3136000000</v>
      </c>
    </row>
    <row r="1379" spans="1:9">
      <c r="A1379" s="4" t="s">
        <v>163</v>
      </c>
      <c r="B1379" s="4" t="s">
        <v>164</v>
      </c>
      <c r="C1379" s="5">
        <v>2016</v>
      </c>
      <c r="D1379" s="4">
        <v>2193000000</v>
      </c>
      <c r="E1379" s="4">
        <v>38000000</v>
      </c>
      <c r="F1379" s="4" t="str">
        <f>_xlfn.LET(_xlpm.r, _xlfn.XLOOKUP(Clean_Data[[#This Row],[Country_Code]], Metadata_Country!$A:$A, Metadata_Country!$B:$B, "Unknown"), IF(OR(_xlpm.r=0, _xlpm.r=""), "Regional Aggregate", _xlpm.r))</f>
        <v>Europe &amp; Central Asia</v>
      </c>
      <c r="G1379" s="4" t="str">
        <f>_xlfn.LET(_xlpm.ig, _xlfn.XLOOKUP(Clean_Data[[#This Row],[Country_Code]], Metadata_Country!$A:$A, Metadata_Country!$C:$C, "Unknown"), IF(OR(_xlpm.ig=0, _xlpm.ig=""), "Regional Aggregate", _xlpm.ig))</f>
        <v>High income</v>
      </c>
      <c r="H1379" s="4">
        <f>Clean_Data[[#This Row],[Exports_TIV]] - Clean_Data[[#This Row],[Imports_TIV]]</f>
        <v>2155000000</v>
      </c>
      <c r="I1379" s="4">
        <f>Clean_Data[[#This Row],[Exports_TIV]] + Clean_Data[[#This Row],[Imports_TIV]]</f>
        <v>2231000000</v>
      </c>
    </row>
    <row r="1380" spans="1:9">
      <c r="A1380" s="4" t="s">
        <v>169</v>
      </c>
      <c r="B1380" s="4" t="s">
        <v>170</v>
      </c>
      <c r="C1380" s="5">
        <v>2016</v>
      </c>
      <c r="D1380" s="4">
        <v>0</v>
      </c>
      <c r="E1380" s="4">
        <v>3000000</v>
      </c>
      <c r="F1380" s="4" t="str">
        <f>_xlfn.LET(_xlpm.r, _xlfn.XLOOKUP(Clean_Data[[#This Row],[Country_Code]], Metadata_Country!$A:$A, Metadata_Country!$B:$B, "Unknown"), IF(OR(_xlpm.r=0, _xlpm.r=""), "Regional Aggregate", _xlpm.r))</f>
        <v>Sub-Saharan Africa</v>
      </c>
      <c r="G1380" s="4" t="str">
        <f>_xlfn.LET(_xlpm.ig, _xlfn.XLOOKUP(Clean_Data[[#This Row],[Country_Code]], Metadata_Country!$A:$A, Metadata_Country!$C:$C, "Unknown"), IF(OR(_xlpm.ig=0, _xlpm.ig=""), "Regional Aggregate", _xlpm.ig))</f>
        <v>Upper middle income</v>
      </c>
      <c r="H1380" s="4">
        <f>Clean_Data[[#This Row],[Exports_TIV]] - Clean_Data[[#This Row],[Imports_TIV]]</f>
        <v>-3000000</v>
      </c>
      <c r="I1380" s="4">
        <f>Clean_Data[[#This Row],[Exports_TIV]] + Clean_Data[[#This Row],[Imports_TIV]]</f>
        <v>3000000</v>
      </c>
    </row>
    <row r="1381" spans="1:9">
      <c r="A1381" s="4" t="s">
        <v>173</v>
      </c>
      <c r="B1381" s="4" t="s">
        <v>174</v>
      </c>
      <c r="C1381" s="5">
        <v>2016</v>
      </c>
      <c r="D1381" s="4">
        <v>6000000</v>
      </c>
      <c r="E1381" s="4">
        <v>0</v>
      </c>
      <c r="F1381" s="4" t="str">
        <f>_xlfn.LET(_xlpm.r, _xlfn.XLOOKUP(Clean_Data[[#This Row],[Country_Code]], Metadata_Country!$A:$A, Metadata_Country!$B:$B, "Unknown"), IF(OR(_xlpm.r=0, _xlpm.r=""), "Regional Aggregate", _xlpm.r))</f>
        <v>Europe &amp; Central Asia</v>
      </c>
      <c r="G1381" s="4" t="str">
        <f>_xlfn.LET(_xlpm.ig, _xlfn.XLOOKUP(Clean_Data[[#This Row],[Country_Code]], Metadata_Country!$A:$A, Metadata_Country!$C:$C, "Unknown"), IF(OR(_xlpm.ig=0, _xlpm.ig=""), "Regional Aggregate", _xlpm.ig))</f>
        <v>Upper middle income</v>
      </c>
      <c r="H1381" s="4">
        <f>Clean_Data[[#This Row],[Exports_TIV]] - Clean_Data[[#This Row],[Imports_TIV]]</f>
        <v>6000000</v>
      </c>
      <c r="I1381" s="4">
        <f>Clean_Data[[#This Row],[Exports_TIV]] + Clean_Data[[#This Row],[Imports_TIV]]</f>
        <v>6000000</v>
      </c>
    </row>
    <row r="1382" spans="1:9">
      <c r="A1382" s="4" t="s">
        <v>119</v>
      </c>
      <c r="B1382" s="4" t="s">
        <v>120</v>
      </c>
      <c r="C1382" s="5">
        <v>2016</v>
      </c>
      <c r="D1382" s="4">
        <v>2512000000</v>
      </c>
      <c r="E1382" s="4">
        <v>55000000</v>
      </c>
      <c r="F1382" s="4" t="str">
        <f>_xlfn.LET(_xlpm.r, _xlfn.XLOOKUP(Clean_Data[[#This Row],[Country_Code]], Metadata_Country!$A:$A, Metadata_Country!$B:$B, "Unknown"), IF(OR(_xlpm.r=0, _xlpm.r=""), "Regional Aggregate", _xlpm.r))</f>
        <v>Europe &amp; Central Asia</v>
      </c>
      <c r="G1382" s="4" t="str">
        <f>_xlfn.LET(_xlpm.ig, _xlfn.XLOOKUP(Clean_Data[[#This Row],[Country_Code]], Metadata_Country!$A:$A, Metadata_Country!$C:$C, "Unknown"), IF(OR(_xlpm.ig=0, _xlpm.ig=""), "Regional Aggregate", _xlpm.ig))</f>
        <v>High income</v>
      </c>
      <c r="H1382" s="4">
        <f>Clean_Data[[#This Row],[Exports_TIV]] - Clean_Data[[#This Row],[Imports_TIV]]</f>
        <v>2457000000</v>
      </c>
      <c r="I1382" s="4">
        <f>Clean_Data[[#This Row],[Exports_TIV]] + Clean_Data[[#This Row],[Imports_TIV]]</f>
        <v>2567000000</v>
      </c>
    </row>
    <row r="1383" spans="1:9">
      <c r="A1383" s="4" t="s">
        <v>175</v>
      </c>
      <c r="B1383" s="4" t="s">
        <v>176</v>
      </c>
      <c r="C1383" s="5">
        <v>2016</v>
      </c>
      <c r="D1383" s="4">
        <v>0</v>
      </c>
      <c r="E1383" s="4">
        <v>22000000</v>
      </c>
      <c r="F1383" s="4" t="str">
        <f>_xlfn.LET(_xlpm.r, _xlfn.XLOOKUP(Clean_Data[[#This Row],[Country_Code]], Metadata_Country!$A:$A, Metadata_Country!$B:$B, "Unknown"), IF(OR(_xlpm.r=0, _xlpm.r=""), "Regional Aggregate", _xlpm.r))</f>
        <v>Sub-Saharan Africa</v>
      </c>
      <c r="G1383" s="4" t="str">
        <f>_xlfn.LET(_xlpm.ig, _xlfn.XLOOKUP(Clean_Data[[#This Row],[Country_Code]], Metadata_Country!$A:$A, Metadata_Country!$C:$C, "Unknown"), IF(OR(_xlpm.ig=0, _xlpm.ig=""), "Regional Aggregate", _xlpm.ig))</f>
        <v>Lower middle income</v>
      </c>
      <c r="H1383" s="4">
        <f>Clean_Data[[#This Row],[Exports_TIV]] - Clean_Data[[#This Row],[Imports_TIV]]</f>
        <v>-22000000</v>
      </c>
      <c r="I1383" s="4">
        <f>Clean_Data[[#This Row],[Exports_TIV]] + Clean_Data[[#This Row],[Imports_TIV]]</f>
        <v>22000000</v>
      </c>
    </row>
    <row r="1384" spans="1:9">
      <c r="A1384" s="4" t="s">
        <v>187</v>
      </c>
      <c r="B1384" s="4" t="s">
        <v>188</v>
      </c>
      <c r="C1384" s="5">
        <v>2016</v>
      </c>
      <c r="D1384" s="4">
        <v>0</v>
      </c>
      <c r="E1384" s="4">
        <v>302000000</v>
      </c>
      <c r="F1384" s="4" t="str">
        <f>_xlfn.LET(_xlpm.r, _xlfn.XLOOKUP(Clean_Data[[#This Row],[Country_Code]], Metadata_Country!$A:$A, Metadata_Country!$B:$B, "Unknown"), IF(OR(_xlpm.r=0, _xlpm.r=""), "Regional Aggregate", _xlpm.r))</f>
        <v>Europe &amp; Central Asia</v>
      </c>
      <c r="G1384" s="4" t="str">
        <f>_xlfn.LET(_xlpm.ig, _xlfn.XLOOKUP(Clean_Data[[#This Row],[Country_Code]], Metadata_Country!$A:$A, Metadata_Country!$C:$C, "Unknown"), IF(OR(_xlpm.ig=0, _xlpm.ig=""), "Regional Aggregate", _xlpm.ig))</f>
        <v>High income</v>
      </c>
      <c r="H1384" s="4">
        <f>Clean_Data[[#This Row],[Exports_TIV]] - Clean_Data[[#This Row],[Imports_TIV]]</f>
        <v>-302000000</v>
      </c>
      <c r="I1384" s="4">
        <f>Clean_Data[[#This Row],[Exports_TIV]] + Clean_Data[[#This Row],[Imports_TIV]]</f>
        <v>302000000</v>
      </c>
    </row>
    <row r="1385" spans="1:9">
      <c r="A1385" s="4" t="s">
        <v>205</v>
      </c>
      <c r="B1385" s="4" t="s">
        <v>206</v>
      </c>
      <c r="C1385" s="5">
        <v>2016</v>
      </c>
      <c r="D1385" s="4">
        <v>0</v>
      </c>
      <c r="E1385" s="4">
        <v>766000000</v>
      </c>
      <c r="F1385" s="4" t="str">
        <f>_xlfn.LET(_xlpm.r, _xlfn.XLOOKUP(Clean_Data[[#This Row],[Country_Code]], Metadata_Country!$A:$A, Metadata_Country!$B:$B, "Unknown"), IF(OR(_xlpm.r=0, _xlpm.r=""), "Regional Aggregate", _xlpm.r))</f>
        <v>Regional Aggregate</v>
      </c>
      <c r="G1385" s="4" t="str">
        <f>_xlfn.LET(_xlpm.ig, _xlfn.XLOOKUP(Clean_Data[[#This Row],[Country_Code]], Metadata_Country!$A:$A, Metadata_Country!$C:$C, "Unknown"), IF(OR(_xlpm.ig=0, _xlpm.ig=""), "Regional Aggregate", _xlpm.ig))</f>
        <v>Regional Aggregate</v>
      </c>
      <c r="H1385" s="4">
        <f>Clean_Data[[#This Row],[Exports_TIV]] - Clean_Data[[#This Row],[Imports_TIV]]</f>
        <v>-766000000</v>
      </c>
      <c r="I1385" s="4">
        <f>Clean_Data[[#This Row],[Exports_TIV]] + Clean_Data[[#This Row],[Imports_TIV]]</f>
        <v>766000000</v>
      </c>
    </row>
    <row r="1386" spans="1:9">
      <c r="A1386" s="4" t="s">
        <v>199</v>
      </c>
      <c r="B1386" s="4" t="s">
        <v>200</v>
      </c>
      <c r="C1386" s="5">
        <v>2016</v>
      </c>
      <c r="D1386" s="4">
        <v>27514000000</v>
      </c>
      <c r="E1386" s="4">
        <v>12853000000</v>
      </c>
      <c r="F1386" s="4" t="str">
        <f>_xlfn.LET(_xlpm.r, _xlfn.XLOOKUP(Clean_Data[[#This Row],[Country_Code]], Metadata_Country!$A:$A, Metadata_Country!$B:$B, "Unknown"), IF(OR(_xlpm.r=0, _xlpm.r=""), "Regional Aggregate", _xlpm.r))</f>
        <v>Regional Aggregate</v>
      </c>
      <c r="G1386" s="4" t="str">
        <f>_xlfn.LET(_xlpm.ig, _xlfn.XLOOKUP(Clean_Data[[#This Row],[Country_Code]], Metadata_Country!$A:$A, Metadata_Country!$C:$C, "Unknown"), IF(OR(_xlpm.ig=0, _xlpm.ig=""), "Regional Aggregate", _xlpm.ig))</f>
        <v>Regional Aggregate</v>
      </c>
      <c r="H1386" s="4">
        <f>Clean_Data[[#This Row],[Exports_TIV]] - Clean_Data[[#This Row],[Imports_TIV]]</f>
        <v>14661000000</v>
      </c>
      <c r="I1386" s="4">
        <f>Clean_Data[[#This Row],[Exports_TIV]] + Clean_Data[[#This Row],[Imports_TIV]]</f>
        <v>40367000000</v>
      </c>
    </row>
    <row r="1387" spans="1:9">
      <c r="A1387" s="4" t="s">
        <v>211</v>
      </c>
      <c r="B1387" s="4" t="s">
        <v>212</v>
      </c>
      <c r="C1387" s="5">
        <v>2016</v>
      </c>
      <c r="D1387" s="4">
        <v>0</v>
      </c>
      <c r="E1387" s="4">
        <v>14000000</v>
      </c>
      <c r="F1387" s="4" t="str">
        <f>_xlfn.LET(_xlpm.r, _xlfn.XLOOKUP(Clean_Data[[#This Row],[Country_Code]], Metadata_Country!$A:$A, Metadata_Country!$B:$B, "Unknown"), IF(OR(_xlpm.r=0, _xlpm.r=""), "Regional Aggregate", _xlpm.r))</f>
        <v>Europe &amp; Central Asia</v>
      </c>
      <c r="G1387" s="4" t="str">
        <f>_xlfn.LET(_xlpm.ig, _xlfn.XLOOKUP(Clean_Data[[#This Row],[Country_Code]], Metadata_Country!$A:$A, Metadata_Country!$C:$C, "Unknown"), IF(OR(_xlpm.ig=0, _xlpm.ig=""), "Regional Aggregate", _xlpm.ig))</f>
        <v>High income</v>
      </c>
      <c r="H1387" s="4">
        <f>Clean_Data[[#This Row],[Exports_TIV]] - Clean_Data[[#This Row],[Imports_TIV]]</f>
        <v>-14000000</v>
      </c>
      <c r="I1387" s="4">
        <f>Clean_Data[[#This Row],[Exports_TIV]] + Clean_Data[[#This Row],[Imports_TIV]]</f>
        <v>14000000</v>
      </c>
    </row>
    <row r="1388" spans="1:9">
      <c r="A1388" s="4" t="s">
        <v>213</v>
      </c>
      <c r="B1388" s="4" t="s">
        <v>214</v>
      </c>
      <c r="C1388" s="5">
        <v>2016</v>
      </c>
      <c r="D1388" s="4">
        <v>10714000000</v>
      </c>
      <c r="E1388" s="4">
        <v>16439000000</v>
      </c>
      <c r="F1388" s="4" t="str">
        <f>_xlfn.LET(_xlpm.r, _xlfn.XLOOKUP(Clean_Data[[#This Row],[Country_Code]], Metadata_Country!$A:$A, Metadata_Country!$B:$B, "Unknown"), IF(OR(_xlpm.r=0, _xlpm.r=""), "Regional Aggregate", _xlpm.r))</f>
        <v>Regional Aggregate</v>
      </c>
      <c r="G1388" s="4" t="str">
        <f>_xlfn.LET(_xlpm.ig, _xlfn.XLOOKUP(Clean_Data[[#This Row],[Country_Code]], Metadata_Country!$A:$A, Metadata_Country!$C:$C, "Unknown"), IF(OR(_xlpm.ig=0, _xlpm.ig=""), "Regional Aggregate", _xlpm.ig))</f>
        <v>Regional Aggregate</v>
      </c>
      <c r="H1388" s="4">
        <f>Clean_Data[[#This Row],[Exports_TIV]] - Clean_Data[[#This Row],[Imports_TIV]]</f>
        <v>-5725000000</v>
      </c>
      <c r="I1388" s="4">
        <f>Clean_Data[[#This Row],[Exports_TIV]] + Clean_Data[[#This Row],[Imports_TIV]]</f>
        <v>27153000000</v>
      </c>
    </row>
    <row r="1389" spans="1:9">
      <c r="A1389" s="4" t="s">
        <v>215</v>
      </c>
      <c r="B1389" s="4" t="s">
        <v>216</v>
      </c>
      <c r="C1389" s="5">
        <v>2016</v>
      </c>
      <c r="D1389" s="4">
        <v>10792000000</v>
      </c>
      <c r="E1389" s="4">
        <v>19011000000</v>
      </c>
      <c r="F1389" s="4" t="str">
        <f>_xlfn.LET(_xlpm.r, _xlfn.XLOOKUP(Clean_Data[[#This Row],[Country_Code]], Metadata_Country!$A:$A, Metadata_Country!$B:$B, "Unknown"), IF(OR(_xlpm.r=0, _xlpm.r=""), "Regional Aggregate", _xlpm.r))</f>
        <v>Regional Aggregate</v>
      </c>
      <c r="G1389" s="4" t="str">
        <f>_xlfn.LET(_xlpm.ig, _xlfn.XLOOKUP(Clean_Data[[#This Row],[Country_Code]], Metadata_Country!$A:$A, Metadata_Country!$C:$C, "Unknown"), IF(OR(_xlpm.ig=0, _xlpm.ig=""), "Regional Aggregate", _xlpm.ig))</f>
        <v>Regional Aggregate</v>
      </c>
      <c r="H1389" s="4">
        <f>Clean_Data[[#This Row],[Exports_TIV]] - Clean_Data[[#This Row],[Imports_TIV]]</f>
        <v>-8219000000</v>
      </c>
      <c r="I1389" s="4">
        <f>Clean_Data[[#This Row],[Exports_TIV]] + Clean_Data[[#This Row],[Imports_TIV]]</f>
        <v>29803000000</v>
      </c>
    </row>
    <row r="1390" spans="1:9">
      <c r="A1390" s="4" t="s">
        <v>219</v>
      </c>
      <c r="B1390" s="4" t="s">
        <v>220</v>
      </c>
      <c r="C1390" s="5">
        <v>2016</v>
      </c>
      <c r="D1390" s="4">
        <v>0</v>
      </c>
      <c r="E1390" s="4">
        <v>1053000000</v>
      </c>
      <c r="F1390" s="4" t="str">
        <f>_xlfn.LET(_xlpm.r, _xlfn.XLOOKUP(Clean_Data[[#This Row],[Country_Code]], Metadata_Country!$A:$A, Metadata_Country!$B:$B, "Unknown"), IF(OR(_xlpm.r=0, _xlpm.r=""), "Regional Aggregate", _xlpm.r))</f>
        <v>Regional Aggregate</v>
      </c>
      <c r="G1390" s="4" t="str">
        <f>_xlfn.LET(_xlpm.ig, _xlfn.XLOOKUP(Clean_Data[[#This Row],[Country_Code]], Metadata_Country!$A:$A, Metadata_Country!$C:$C, "Unknown"), IF(OR(_xlpm.ig=0, _xlpm.ig=""), "Regional Aggregate", _xlpm.ig))</f>
        <v>Regional Aggregate</v>
      </c>
      <c r="H1390" s="4">
        <f>Clean_Data[[#This Row],[Exports_TIV]] - Clean_Data[[#This Row],[Imports_TIV]]</f>
        <v>-1053000000</v>
      </c>
      <c r="I1390" s="4">
        <f>Clean_Data[[#This Row],[Exports_TIV]] + Clean_Data[[#This Row],[Imports_TIV]]</f>
        <v>1053000000</v>
      </c>
    </row>
    <row r="1391" spans="1:9">
      <c r="A1391" s="4" t="s">
        <v>223</v>
      </c>
      <c r="B1391" s="4" t="s">
        <v>224</v>
      </c>
      <c r="C1391" s="5">
        <v>2016</v>
      </c>
      <c r="D1391" s="4">
        <v>0</v>
      </c>
      <c r="E1391" s="4">
        <v>1519000000</v>
      </c>
      <c r="F1391" s="4" t="str">
        <f>_xlfn.LET(_xlpm.r, _xlfn.XLOOKUP(Clean_Data[[#This Row],[Country_Code]], Metadata_Country!$A:$A, Metadata_Country!$B:$B, "Unknown"), IF(OR(_xlpm.r=0, _xlpm.r=""), "Regional Aggregate", _xlpm.r))</f>
        <v>Regional Aggregate</v>
      </c>
      <c r="G1391" s="4" t="str">
        <f>_xlfn.LET(_xlpm.ig, _xlfn.XLOOKUP(Clean_Data[[#This Row],[Country_Code]], Metadata_Country!$A:$A, Metadata_Country!$C:$C, "Unknown"), IF(OR(_xlpm.ig=0, _xlpm.ig=""), "Regional Aggregate", _xlpm.ig))</f>
        <v>Regional Aggregate</v>
      </c>
      <c r="H1391" s="4">
        <f>Clean_Data[[#This Row],[Exports_TIV]] - Clean_Data[[#This Row],[Imports_TIV]]</f>
        <v>-1519000000</v>
      </c>
      <c r="I1391" s="4">
        <f>Clean_Data[[#This Row],[Exports_TIV]] + Clean_Data[[#This Row],[Imports_TIV]]</f>
        <v>1519000000</v>
      </c>
    </row>
    <row r="1392" spans="1:9">
      <c r="A1392" s="4" t="s">
        <v>217</v>
      </c>
      <c r="B1392" s="4" t="s">
        <v>218</v>
      </c>
      <c r="C1392" s="5">
        <v>2016</v>
      </c>
      <c r="D1392" s="4">
        <v>0</v>
      </c>
      <c r="E1392" s="4">
        <v>2572000000</v>
      </c>
      <c r="F1392" s="4" t="str">
        <f>_xlfn.LET(_xlpm.r, _xlfn.XLOOKUP(Clean_Data[[#This Row],[Country_Code]], Metadata_Country!$A:$A, Metadata_Country!$B:$B, "Unknown"), IF(OR(_xlpm.r=0, _xlpm.r=""), "Regional Aggregate", _xlpm.r))</f>
        <v>Regional Aggregate</v>
      </c>
      <c r="G1392" s="4" t="str">
        <f>_xlfn.LET(_xlpm.ig, _xlfn.XLOOKUP(Clean_Data[[#This Row],[Country_Code]], Metadata_Country!$A:$A, Metadata_Country!$C:$C, "Unknown"), IF(OR(_xlpm.ig=0, _xlpm.ig=""), "Regional Aggregate", _xlpm.ig))</f>
        <v>Regional Aggregate</v>
      </c>
      <c r="H1392" s="4">
        <f>Clean_Data[[#This Row],[Exports_TIV]] - Clean_Data[[#This Row],[Imports_TIV]]</f>
        <v>-2572000000</v>
      </c>
      <c r="I1392" s="4">
        <f>Clean_Data[[#This Row],[Exports_TIV]] + Clean_Data[[#This Row],[Imports_TIV]]</f>
        <v>2572000000</v>
      </c>
    </row>
    <row r="1393" spans="1:9">
      <c r="A1393" s="4" t="s">
        <v>227</v>
      </c>
      <c r="B1393" s="4" t="s">
        <v>228</v>
      </c>
      <c r="C1393" s="5">
        <v>2016</v>
      </c>
      <c r="D1393" s="4">
        <v>49000000</v>
      </c>
      <c r="E1393" s="4">
        <v>2651000000</v>
      </c>
      <c r="F1393" s="4" t="str">
        <f>_xlfn.LET(_xlpm.r, _xlfn.XLOOKUP(Clean_Data[[#This Row],[Country_Code]], Metadata_Country!$A:$A, Metadata_Country!$B:$B, "Unknown"), IF(OR(_xlpm.r=0, _xlpm.r=""), "Regional Aggregate", _xlpm.r))</f>
        <v>South Asia</v>
      </c>
      <c r="G1393" s="4" t="str">
        <f>_xlfn.LET(_xlpm.ig, _xlfn.XLOOKUP(Clean_Data[[#This Row],[Country_Code]], Metadata_Country!$A:$A, Metadata_Country!$C:$C, "Unknown"), IF(OR(_xlpm.ig=0, _xlpm.ig=""), "Regional Aggregate", _xlpm.ig))</f>
        <v>Lower middle income</v>
      </c>
      <c r="H1393" s="4">
        <f>Clean_Data[[#This Row],[Exports_TIV]] - Clean_Data[[#This Row],[Imports_TIV]]</f>
        <v>-2602000000</v>
      </c>
      <c r="I1393" s="4">
        <f>Clean_Data[[#This Row],[Exports_TIV]] + Clean_Data[[#This Row],[Imports_TIV]]</f>
        <v>2700000000</v>
      </c>
    </row>
    <row r="1394" spans="1:9">
      <c r="A1394" s="4" t="s">
        <v>221</v>
      </c>
      <c r="B1394" s="4" t="s">
        <v>222</v>
      </c>
      <c r="C1394" s="5">
        <v>2016</v>
      </c>
      <c r="D1394" s="4">
        <v>85000000</v>
      </c>
      <c r="E1394" s="4">
        <v>352000000</v>
      </c>
      <c r="F1394" s="4" t="str">
        <f>_xlfn.LET(_xlpm.r, _xlfn.XLOOKUP(Clean_Data[[#This Row],[Country_Code]], Metadata_Country!$A:$A, Metadata_Country!$B:$B, "Unknown"), IF(OR(_xlpm.r=0, _xlpm.r=""), "Regional Aggregate", _xlpm.r))</f>
        <v>East Asia &amp; Pacific</v>
      </c>
      <c r="G1394" s="4" t="str">
        <f>_xlfn.LET(_xlpm.ig, _xlfn.XLOOKUP(Clean_Data[[#This Row],[Country_Code]], Metadata_Country!$A:$A, Metadata_Country!$C:$C, "Unknown"), IF(OR(_xlpm.ig=0, _xlpm.ig=""), "Regional Aggregate", _xlpm.ig))</f>
        <v>Upper middle income</v>
      </c>
      <c r="H1394" s="4">
        <f>Clean_Data[[#This Row],[Exports_TIV]] - Clean_Data[[#This Row],[Imports_TIV]]</f>
        <v>-267000000</v>
      </c>
      <c r="I1394" s="4">
        <f>Clean_Data[[#This Row],[Exports_TIV]] + Clean_Data[[#This Row],[Imports_TIV]]</f>
        <v>437000000</v>
      </c>
    </row>
    <row r="1395" spans="1:9">
      <c r="A1395" s="4" t="s">
        <v>233</v>
      </c>
      <c r="B1395" s="4" t="s">
        <v>234</v>
      </c>
      <c r="C1395" s="5">
        <v>2016</v>
      </c>
      <c r="D1395" s="4">
        <v>24000000</v>
      </c>
      <c r="E1395" s="4">
        <v>413000000</v>
      </c>
      <c r="F1395" s="4" t="str">
        <f>_xlfn.LET(_xlpm.r, _xlfn.XLOOKUP(Clean_Data[[#This Row],[Country_Code]], Metadata_Country!$A:$A, Metadata_Country!$B:$B, "Unknown"), IF(OR(_xlpm.r=0, _xlpm.r=""), "Regional Aggregate", _xlpm.r))</f>
        <v>Middle East &amp; North Africa</v>
      </c>
      <c r="G1395" s="4" t="str">
        <f>_xlfn.LET(_xlpm.ig, _xlfn.XLOOKUP(Clean_Data[[#This Row],[Country_Code]], Metadata_Country!$A:$A, Metadata_Country!$C:$C, "Unknown"), IF(OR(_xlpm.ig=0, _xlpm.ig=""), "Regional Aggregate", _xlpm.ig))</f>
        <v>Upper middle income</v>
      </c>
      <c r="H1395" s="4">
        <f>Clean_Data[[#This Row],[Exports_TIV]] - Clean_Data[[#This Row],[Imports_TIV]]</f>
        <v>-389000000</v>
      </c>
      <c r="I1395" s="4">
        <f>Clean_Data[[#This Row],[Exports_TIV]] + Clean_Data[[#This Row],[Imports_TIV]]</f>
        <v>437000000</v>
      </c>
    </row>
    <row r="1396" spans="1:9">
      <c r="A1396" s="4" t="s">
        <v>235</v>
      </c>
      <c r="B1396" s="4" t="s">
        <v>236</v>
      </c>
      <c r="C1396" s="5">
        <v>2016</v>
      </c>
      <c r="D1396" s="4">
        <v>0</v>
      </c>
      <c r="E1396" s="4">
        <v>1831000000</v>
      </c>
      <c r="F1396" s="4" t="str">
        <f>_xlfn.LET(_xlpm.r, _xlfn.XLOOKUP(Clean_Data[[#This Row],[Country_Code]], Metadata_Country!$A:$A, Metadata_Country!$B:$B, "Unknown"), IF(OR(_xlpm.r=0, _xlpm.r=""), "Regional Aggregate", _xlpm.r))</f>
        <v>Middle East &amp; North Africa</v>
      </c>
      <c r="G1396" s="4" t="str">
        <f>_xlfn.LET(_xlpm.ig, _xlfn.XLOOKUP(Clean_Data[[#This Row],[Country_Code]], Metadata_Country!$A:$A, Metadata_Country!$C:$C, "Unknown"), IF(OR(_xlpm.ig=0, _xlpm.ig=""), "Regional Aggregate", _xlpm.ig))</f>
        <v>Upper middle income</v>
      </c>
      <c r="H1396" s="4">
        <f>Clean_Data[[#This Row],[Exports_TIV]] - Clean_Data[[#This Row],[Imports_TIV]]</f>
        <v>-1831000000</v>
      </c>
      <c r="I1396" s="4">
        <f>Clean_Data[[#This Row],[Exports_TIV]] + Clean_Data[[#This Row],[Imports_TIV]]</f>
        <v>1831000000</v>
      </c>
    </row>
    <row r="1397" spans="1:9">
      <c r="A1397" s="4" t="s">
        <v>231</v>
      </c>
      <c r="B1397" s="4" t="s">
        <v>232</v>
      </c>
      <c r="C1397" s="5">
        <v>2016</v>
      </c>
      <c r="D1397" s="4">
        <v>0</v>
      </c>
      <c r="E1397" s="4">
        <v>43000000</v>
      </c>
      <c r="F1397" s="4" t="str">
        <f>_xlfn.LET(_xlpm.r, _xlfn.XLOOKUP(Clean_Data[[#This Row],[Country_Code]], Metadata_Country!$A:$A, Metadata_Country!$B:$B, "Unknown"), IF(OR(_xlpm.r=0, _xlpm.r=""), "Regional Aggregate", _xlpm.r))</f>
        <v>Europe &amp; Central Asia</v>
      </c>
      <c r="G1397" s="4" t="str">
        <f>_xlfn.LET(_xlpm.ig, _xlfn.XLOOKUP(Clean_Data[[#This Row],[Country_Code]], Metadata_Country!$A:$A, Metadata_Country!$C:$C, "Unknown"), IF(OR(_xlpm.ig=0, _xlpm.ig=""), "Regional Aggregate", _xlpm.ig))</f>
        <v>High income</v>
      </c>
      <c r="H1397" s="4">
        <f>Clean_Data[[#This Row],[Exports_TIV]] - Clean_Data[[#This Row],[Imports_TIV]]</f>
        <v>-43000000</v>
      </c>
      <c r="I1397" s="4">
        <f>Clean_Data[[#This Row],[Exports_TIV]] + Clean_Data[[#This Row],[Imports_TIV]]</f>
        <v>43000000</v>
      </c>
    </row>
    <row r="1398" spans="1:9">
      <c r="A1398" s="4" t="s">
        <v>239</v>
      </c>
      <c r="B1398" s="4" t="s">
        <v>240</v>
      </c>
      <c r="C1398" s="5">
        <v>2016</v>
      </c>
      <c r="D1398" s="4">
        <v>1258000000</v>
      </c>
      <c r="E1398" s="4">
        <v>652000000</v>
      </c>
      <c r="F1398" s="4" t="str">
        <f>_xlfn.LET(_xlpm.r, _xlfn.XLOOKUP(Clean_Data[[#This Row],[Country_Code]], Metadata_Country!$A:$A, Metadata_Country!$B:$B, "Unknown"), IF(OR(_xlpm.r=0, _xlpm.r=""), "Regional Aggregate", _xlpm.r))</f>
        <v>Middle East &amp; North Africa</v>
      </c>
      <c r="G1398" s="4" t="str">
        <f>_xlfn.LET(_xlpm.ig, _xlfn.XLOOKUP(Clean_Data[[#This Row],[Country_Code]], Metadata_Country!$A:$A, Metadata_Country!$C:$C, "Unknown"), IF(OR(_xlpm.ig=0, _xlpm.ig=""), "Regional Aggregate", _xlpm.ig))</f>
        <v>High income</v>
      </c>
      <c r="H1398" s="4">
        <f>Clean_Data[[#This Row],[Exports_TIV]] - Clean_Data[[#This Row],[Imports_TIV]]</f>
        <v>606000000</v>
      </c>
      <c r="I1398" s="4">
        <f>Clean_Data[[#This Row],[Exports_TIV]] + Clean_Data[[#This Row],[Imports_TIV]]</f>
        <v>1910000000</v>
      </c>
    </row>
    <row r="1399" spans="1:9">
      <c r="A1399" s="4" t="s">
        <v>241</v>
      </c>
      <c r="B1399" s="4" t="s">
        <v>242</v>
      </c>
      <c r="C1399" s="5">
        <v>2016</v>
      </c>
      <c r="D1399" s="4">
        <v>616000000</v>
      </c>
      <c r="E1399" s="4">
        <v>734000000</v>
      </c>
      <c r="F1399" s="4" t="str">
        <f>_xlfn.LET(_xlpm.r, _xlfn.XLOOKUP(Clean_Data[[#This Row],[Country_Code]], Metadata_Country!$A:$A, Metadata_Country!$B:$B, "Unknown"), IF(OR(_xlpm.r=0, _xlpm.r=""), "Regional Aggregate", _xlpm.r))</f>
        <v>Europe &amp; Central Asia</v>
      </c>
      <c r="G1399" s="4" t="str">
        <f>_xlfn.LET(_xlpm.ig, _xlfn.XLOOKUP(Clean_Data[[#This Row],[Country_Code]], Metadata_Country!$A:$A, Metadata_Country!$C:$C, "Unknown"), IF(OR(_xlpm.ig=0, _xlpm.ig=""), "Regional Aggregate", _xlpm.ig))</f>
        <v>High income</v>
      </c>
      <c r="H1399" s="4">
        <f>Clean_Data[[#This Row],[Exports_TIV]] - Clean_Data[[#This Row],[Imports_TIV]]</f>
        <v>-118000000</v>
      </c>
      <c r="I1399" s="4">
        <f>Clean_Data[[#This Row],[Exports_TIV]] + Clean_Data[[#This Row],[Imports_TIV]]</f>
        <v>1350000000</v>
      </c>
    </row>
    <row r="1400" spans="1:9">
      <c r="A1400" s="4" t="s">
        <v>243</v>
      </c>
      <c r="B1400" s="4" t="s">
        <v>244</v>
      </c>
      <c r="C1400" s="5">
        <v>2016</v>
      </c>
      <c r="D1400" s="4">
        <v>0</v>
      </c>
      <c r="E1400" s="4">
        <v>22000000</v>
      </c>
      <c r="F1400" s="4" t="str">
        <f>_xlfn.LET(_xlpm.r, _xlfn.XLOOKUP(Clean_Data[[#This Row],[Country_Code]], Metadata_Country!$A:$A, Metadata_Country!$B:$B, "Unknown"), IF(OR(_xlpm.r=0, _xlpm.r=""), "Regional Aggregate", _xlpm.r))</f>
        <v>Latin America &amp; Caribbean</v>
      </c>
      <c r="G1400" s="4" t="str">
        <f>_xlfn.LET(_xlpm.ig, _xlfn.XLOOKUP(Clean_Data[[#This Row],[Country_Code]], Metadata_Country!$A:$A, Metadata_Country!$C:$C, "Unknown"), IF(OR(_xlpm.ig=0, _xlpm.ig=""), "Regional Aggregate", _xlpm.ig))</f>
        <v>Upper middle income</v>
      </c>
      <c r="H1400" s="4">
        <f>Clean_Data[[#This Row],[Exports_TIV]] - Clean_Data[[#This Row],[Imports_TIV]]</f>
        <v>-22000000</v>
      </c>
      <c r="I1400" s="4">
        <f>Clean_Data[[#This Row],[Exports_TIV]] + Clean_Data[[#This Row],[Imports_TIV]]</f>
        <v>22000000</v>
      </c>
    </row>
    <row r="1401" spans="1:9">
      <c r="A1401" s="4" t="s">
        <v>247</v>
      </c>
      <c r="B1401" s="4" t="s">
        <v>248</v>
      </c>
      <c r="C1401" s="5">
        <v>2016</v>
      </c>
      <c r="D1401" s="4">
        <v>0</v>
      </c>
      <c r="E1401" s="4">
        <v>332000000</v>
      </c>
      <c r="F1401" s="4" t="str">
        <f>_xlfn.LET(_xlpm.r, _xlfn.XLOOKUP(Clean_Data[[#This Row],[Country_Code]], Metadata_Country!$A:$A, Metadata_Country!$B:$B, "Unknown"), IF(OR(_xlpm.r=0, _xlpm.r=""), "Regional Aggregate", _xlpm.r))</f>
        <v>East Asia &amp; Pacific</v>
      </c>
      <c r="G1401" s="4" t="str">
        <f>_xlfn.LET(_xlpm.ig, _xlfn.XLOOKUP(Clean_Data[[#This Row],[Country_Code]], Metadata_Country!$A:$A, Metadata_Country!$C:$C, "Unknown"), IF(OR(_xlpm.ig=0, _xlpm.ig=""), "Regional Aggregate", _xlpm.ig))</f>
        <v>High income</v>
      </c>
      <c r="H1401" s="4">
        <f>Clean_Data[[#This Row],[Exports_TIV]] - Clean_Data[[#This Row],[Imports_TIV]]</f>
        <v>-332000000</v>
      </c>
      <c r="I1401" s="4">
        <f>Clean_Data[[#This Row],[Exports_TIV]] + Clean_Data[[#This Row],[Imports_TIV]]</f>
        <v>332000000</v>
      </c>
    </row>
    <row r="1402" spans="1:9">
      <c r="A1402" s="4" t="s">
        <v>245</v>
      </c>
      <c r="B1402" s="4" t="s">
        <v>246</v>
      </c>
      <c r="C1402" s="5">
        <v>2016</v>
      </c>
      <c r="D1402" s="4">
        <v>18000000</v>
      </c>
      <c r="E1402" s="4">
        <v>243000000</v>
      </c>
      <c r="F1402" s="4" t="str">
        <f>_xlfn.LET(_xlpm.r, _xlfn.XLOOKUP(Clean_Data[[#This Row],[Country_Code]], Metadata_Country!$A:$A, Metadata_Country!$B:$B, "Unknown"), IF(OR(_xlpm.r=0, _xlpm.r=""), "Regional Aggregate", _xlpm.r))</f>
        <v>Middle East &amp; North Africa</v>
      </c>
      <c r="G1402" s="4" t="str">
        <f>_xlfn.LET(_xlpm.ig, _xlfn.XLOOKUP(Clean_Data[[#This Row],[Country_Code]], Metadata_Country!$A:$A, Metadata_Country!$C:$C, "Unknown"), IF(OR(_xlpm.ig=0, _xlpm.ig=""), "Regional Aggregate", _xlpm.ig))</f>
        <v>Upper middle income</v>
      </c>
      <c r="H1402" s="4">
        <f>Clean_Data[[#This Row],[Exports_TIV]] - Clean_Data[[#This Row],[Imports_TIV]]</f>
        <v>-225000000</v>
      </c>
      <c r="I1402" s="4">
        <f>Clean_Data[[#This Row],[Exports_TIV]] + Clean_Data[[#This Row],[Imports_TIV]]</f>
        <v>261000000</v>
      </c>
    </row>
    <row r="1403" spans="1:9">
      <c r="A1403" s="4" t="s">
        <v>249</v>
      </c>
      <c r="B1403" s="4" t="s">
        <v>250</v>
      </c>
      <c r="C1403" s="5">
        <v>2016</v>
      </c>
      <c r="D1403" s="4">
        <v>0</v>
      </c>
      <c r="E1403" s="4">
        <v>255000000</v>
      </c>
      <c r="F1403" s="4" t="str">
        <f>_xlfn.LET(_xlpm.r, _xlfn.XLOOKUP(Clean_Data[[#This Row],[Country_Code]], Metadata_Country!$A:$A, Metadata_Country!$B:$B, "Unknown"), IF(OR(_xlpm.r=0, _xlpm.r=""), "Regional Aggregate", _xlpm.r))</f>
        <v>Europe &amp; Central Asia</v>
      </c>
      <c r="G1403" s="4" t="str">
        <f>_xlfn.LET(_xlpm.ig, _xlfn.XLOOKUP(Clean_Data[[#This Row],[Country_Code]], Metadata_Country!$A:$A, Metadata_Country!$C:$C, "Unknown"), IF(OR(_xlpm.ig=0, _xlpm.ig=""), "Regional Aggregate", _xlpm.ig))</f>
        <v>Upper middle income</v>
      </c>
      <c r="H1403" s="4">
        <f>Clean_Data[[#This Row],[Exports_TIV]] - Clean_Data[[#This Row],[Imports_TIV]]</f>
        <v>-255000000</v>
      </c>
      <c r="I1403" s="4">
        <f>Clean_Data[[#This Row],[Exports_TIV]] + Clean_Data[[#This Row],[Imports_TIV]]</f>
        <v>255000000</v>
      </c>
    </row>
    <row r="1404" spans="1:9">
      <c r="A1404" s="4" t="s">
        <v>251</v>
      </c>
      <c r="B1404" s="4" t="s">
        <v>252</v>
      </c>
      <c r="C1404" s="5">
        <v>2016</v>
      </c>
      <c r="D1404" s="4">
        <v>0</v>
      </c>
      <c r="E1404" s="4">
        <v>32000000</v>
      </c>
      <c r="F1404" s="4" t="str">
        <f>_xlfn.LET(_xlpm.r, _xlfn.XLOOKUP(Clean_Data[[#This Row],[Country_Code]], Metadata_Country!$A:$A, Metadata_Country!$B:$B, "Unknown"), IF(OR(_xlpm.r=0, _xlpm.r=""), "Regional Aggregate", _xlpm.r))</f>
        <v>Sub-Saharan Africa</v>
      </c>
      <c r="G1404" s="4" t="str">
        <f>_xlfn.LET(_xlpm.ig, _xlfn.XLOOKUP(Clean_Data[[#This Row],[Country_Code]], Metadata_Country!$A:$A, Metadata_Country!$C:$C, "Unknown"), IF(OR(_xlpm.ig=0, _xlpm.ig=""), "Regional Aggregate", _xlpm.ig))</f>
        <v>Lower middle income</v>
      </c>
      <c r="H1404" s="4">
        <f>Clean_Data[[#This Row],[Exports_TIV]] - Clean_Data[[#This Row],[Imports_TIV]]</f>
        <v>-32000000</v>
      </c>
      <c r="I1404" s="4">
        <f>Clean_Data[[#This Row],[Exports_TIV]] + Clean_Data[[#This Row],[Imports_TIV]]</f>
        <v>32000000</v>
      </c>
    </row>
    <row r="1405" spans="1:9">
      <c r="A1405" s="4" t="s">
        <v>261</v>
      </c>
      <c r="B1405" s="4" t="s">
        <v>262</v>
      </c>
      <c r="C1405" s="5">
        <v>2016</v>
      </c>
      <c r="D1405" s="4">
        <v>435000000</v>
      </c>
      <c r="E1405" s="4">
        <v>1038000000</v>
      </c>
      <c r="F1405" s="4" t="str">
        <f>_xlfn.LET(_xlpm.r, _xlfn.XLOOKUP(Clean_Data[[#This Row],[Country_Code]], Metadata_Country!$A:$A, Metadata_Country!$B:$B, "Unknown"), IF(OR(_xlpm.r=0, _xlpm.r=""), "Regional Aggregate", _xlpm.r))</f>
        <v>East Asia &amp; Pacific</v>
      </c>
      <c r="G1405" s="4" t="str">
        <f>_xlfn.LET(_xlpm.ig, _xlfn.XLOOKUP(Clean_Data[[#This Row],[Country_Code]], Metadata_Country!$A:$A, Metadata_Country!$C:$C, "Unknown"), IF(OR(_xlpm.ig=0, _xlpm.ig=""), "Regional Aggregate", _xlpm.ig))</f>
        <v>High income</v>
      </c>
      <c r="H1405" s="4">
        <f>Clean_Data[[#This Row],[Exports_TIV]] - Clean_Data[[#This Row],[Imports_TIV]]</f>
        <v>-603000000</v>
      </c>
      <c r="I1405" s="4">
        <f>Clean_Data[[#This Row],[Exports_TIV]] + Clean_Data[[#This Row],[Imports_TIV]]</f>
        <v>1473000000</v>
      </c>
    </row>
    <row r="1406" spans="1:9">
      <c r="A1406" s="4" t="s">
        <v>263</v>
      </c>
      <c r="B1406" s="4" t="s">
        <v>264</v>
      </c>
      <c r="C1406" s="5">
        <v>2016</v>
      </c>
      <c r="D1406" s="4">
        <v>0</v>
      </c>
      <c r="E1406" s="4">
        <v>147000000</v>
      </c>
      <c r="F1406" s="4" t="str">
        <f>_xlfn.LET(_xlpm.r, _xlfn.XLOOKUP(Clean_Data[[#This Row],[Country_Code]], Metadata_Country!$A:$A, Metadata_Country!$B:$B, "Unknown"), IF(OR(_xlpm.r=0, _xlpm.r=""), "Regional Aggregate", _xlpm.r))</f>
        <v>Middle East &amp; North Africa</v>
      </c>
      <c r="G1406" s="4" t="str">
        <f>_xlfn.LET(_xlpm.ig, _xlfn.XLOOKUP(Clean_Data[[#This Row],[Country_Code]], Metadata_Country!$A:$A, Metadata_Country!$C:$C, "Unknown"), IF(OR(_xlpm.ig=0, _xlpm.ig=""), "Regional Aggregate", _xlpm.ig))</f>
        <v>High income</v>
      </c>
      <c r="H1406" s="4">
        <f>Clean_Data[[#This Row],[Exports_TIV]] - Clean_Data[[#This Row],[Imports_TIV]]</f>
        <v>-147000000</v>
      </c>
      <c r="I1406" s="4">
        <f>Clean_Data[[#This Row],[Exports_TIV]] + Clean_Data[[#This Row],[Imports_TIV]]</f>
        <v>147000000</v>
      </c>
    </row>
    <row r="1407" spans="1:9">
      <c r="A1407" s="4" t="s">
        <v>253</v>
      </c>
      <c r="B1407" s="4" t="s">
        <v>254</v>
      </c>
      <c r="C1407" s="5">
        <v>2016</v>
      </c>
      <c r="D1407" s="4">
        <v>5000000</v>
      </c>
      <c r="E1407" s="4">
        <v>8000000</v>
      </c>
      <c r="F1407" s="4" t="str">
        <f>_xlfn.LET(_xlpm.r, _xlfn.XLOOKUP(Clean_Data[[#This Row],[Country_Code]], Metadata_Country!$A:$A, Metadata_Country!$B:$B, "Unknown"), IF(OR(_xlpm.r=0, _xlpm.r=""), "Regional Aggregate", _xlpm.r))</f>
        <v>Europe &amp; Central Asia</v>
      </c>
      <c r="G1407" s="4" t="str">
        <f>_xlfn.LET(_xlpm.ig, _xlfn.XLOOKUP(Clean_Data[[#This Row],[Country_Code]], Metadata_Country!$A:$A, Metadata_Country!$C:$C, "Unknown"), IF(OR(_xlpm.ig=0, _xlpm.ig=""), "Regional Aggregate", _xlpm.ig))</f>
        <v>Lower middle income</v>
      </c>
      <c r="H1407" s="4">
        <f>Clean_Data[[#This Row],[Exports_TIV]] - Clean_Data[[#This Row],[Imports_TIV]]</f>
        <v>-3000000</v>
      </c>
      <c r="I1407" s="4">
        <f>Clean_Data[[#This Row],[Exports_TIV]] + Clean_Data[[#This Row],[Imports_TIV]]</f>
        <v>13000000</v>
      </c>
    </row>
    <row r="1408" spans="1:9">
      <c r="A1408" s="4" t="s">
        <v>293</v>
      </c>
      <c r="B1408" s="4" t="s">
        <v>294</v>
      </c>
      <c r="C1408" s="5">
        <v>2016</v>
      </c>
      <c r="D1408" s="4">
        <v>9612000000</v>
      </c>
      <c r="E1408" s="4">
        <v>7207000000</v>
      </c>
      <c r="F1408" s="4" t="str">
        <f>_xlfn.LET(_xlpm.r, _xlfn.XLOOKUP(Clean_Data[[#This Row],[Country_Code]], Metadata_Country!$A:$A, Metadata_Country!$B:$B, "Unknown"), IF(OR(_xlpm.r=0, _xlpm.r=""), "Regional Aggregate", _xlpm.r))</f>
        <v>Regional Aggregate</v>
      </c>
      <c r="G1408" s="4" t="str">
        <f>_xlfn.LET(_xlpm.ig, _xlfn.XLOOKUP(Clean_Data[[#This Row],[Country_Code]], Metadata_Country!$A:$A, Metadata_Country!$C:$C, "Unknown"), IF(OR(_xlpm.ig=0, _xlpm.ig=""), "Regional Aggregate", _xlpm.ig))</f>
        <v>Regional Aggregate</v>
      </c>
      <c r="H1408" s="4">
        <f>Clean_Data[[#This Row],[Exports_TIV]] - Clean_Data[[#This Row],[Imports_TIV]]</f>
        <v>2405000000</v>
      </c>
      <c r="I1408" s="4">
        <f>Clean_Data[[#This Row],[Exports_TIV]] + Clean_Data[[#This Row],[Imports_TIV]]</f>
        <v>16819000000</v>
      </c>
    </row>
    <row r="1409" spans="1:9">
      <c r="A1409" s="4" t="s">
        <v>277</v>
      </c>
      <c r="B1409" s="4" t="s">
        <v>278</v>
      </c>
      <c r="C1409" s="5">
        <v>2016</v>
      </c>
      <c r="D1409" s="4">
        <v>0</v>
      </c>
      <c r="E1409" s="4">
        <v>1020000000</v>
      </c>
      <c r="F1409" s="4" t="str">
        <f>_xlfn.LET(_xlpm.r, _xlfn.XLOOKUP(Clean_Data[[#This Row],[Country_Code]], Metadata_Country!$A:$A, Metadata_Country!$B:$B, "Unknown"), IF(OR(_xlpm.r=0, _xlpm.r=""), "Regional Aggregate", _xlpm.r))</f>
        <v>Regional Aggregate</v>
      </c>
      <c r="G1409" s="4" t="str">
        <f>_xlfn.LET(_xlpm.ig, _xlfn.XLOOKUP(Clean_Data[[#This Row],[Country_Code]], Metadata_Country!$A:$A, Metadata_Country!$C:$C, "Unknown"), IF(OR(_xlpm.ig=0, _xlpm.ig=""), "Regional Aggregate", _xlpm.ig))</f>
        <v>Regional Aggregate</v>
      </c>
      <c r="H1409" s="4">
        <f>Clean_Data[[#This Row],[Exports_TIV]] - Clean_Data[[#This Row],[Imports_TIV]]</f>
        <v>-1020000000</v>
      </c>
      <c r="I1409" s="4">
        <f>Clean_Data[[#This Row],[Exports_TIV]] + Clean_Data[[#This Row],[Imports_TIV]]</f>
        <v>1020000000</v>
      </c>
    </row>
    <row r="1410" spans="1:9">
      <c r="A1410" s="4" t="s">
        <v>265</v>
      </c>
      <c r="B1410" s="4" t="s">
        <v>266</v>
      </c>
      <c r="C1410" s="5">
        <v>2016</v>
      </c>
      <c r="D1410" s="4">
        <v>0</v>
      </c>
      <c r="E1410" s="4">
        <v>900000000</v>
      </c>
      <c r="F1410" s="4" t="str">
        <f>_xlfn.LET(_xlpm.r, _xlfn.XLOOKUP(Clean_Data[[#This Row],[Country_Code]], Metadata_Country!$A:$A, Metadata_Country!$B:$B, "Unknown"), IF(OR(_xlpm.r=0, _xlpm.r=""), "Regional Aggregate", _xlpm.r))</f>
        <v>Regional Aggregate</v>
      </c>
      <c r="G1410" s="4" t="str">
        <f>_xlfn.LET(_xlpm.ig, _xlfn.XLOOKUP(Clean_Data[[#This Row],[Country_Code]], Metadata_Country!$A:$A, Metadata_Country!$C:$C, "Unknown"), IF(OR(_xlpm.ig=0, _xlpm.ig=""), "Regional Aggregate", _xlpm.ig))</f>
        <v>Regional Aggregate</v>
      </c>
      <c r="H1410" s="4">
        <f>Clean_Data[[#This Row],[Exports_TIV]] - Clean_Data[[#This Row],[Imports_TIV]]</f>
        <v>-900000000</v>
      </c>
      <c r="I1410" s="4">
        <f>Clean_Data[[#This Row],[Exports_TIV]] + Clean_Data[[#This Row],[Imports_TIV]]</f>
        <v>900000000</v>
      </c>
    </row>
    <row r="1411" spans="1:9">
      <c r="A1411" s="4" t="s">
        <v>481</v>
      </c>
      <c r="B1411" s="4" t="s">
        <v>482</v>
      </c>
      <c r="C1411" s="5">
        <v>2016</v>
      </c>
      <c r="D1411" s="4">
        <v>0</v>
      </c>
      <c r="E1411" s="4">
        <v>1000000000</v>
      </c>
      <c r="F1411" s="4" t="str">
        <f>_xlfn.LET(_xlpm.r, _xlfn.XLOOKUP(Clean_Data[[#This Row],[Country_Code]], Metadata_Country!$A:$A, Metadata_Country!$B:$B, "Unknown"), IF(OR(_xlpm.r=0, _xlpm.r=""), "Regional Aggregate", _xlpm.r))</f>
        <v>Regional Aggregate</v>
      </c>
      <c r="G1411" s="4" t="str">
        <f>_xlfn.LET(_xlpm.ig, _xlfn.XLOOKUP(Clean_Data[[#This Row],[Country_Code]], Metadata_Country!$A:$A, Metadata_Country!$C:$C, "Unknown"), IF(OR(_xlpm.ig=0, _xlpm.ig=""), "Regional Aggregate", _xlpm.ig))</f>
        <v>Regional Aggregate</v>
      </c>
      <c r="H1411" s="4">
        <f>Clean_Data[[#This Row],[Exports_TIV]] - Clean_Data[[#This Row],[Imports_TIV]]</f>
        <v>-1000000000</v>
      </c>
      <c r="I1411" s="4">
        <f>Clean_Data[[#This Row],[Exports_TIV]] + Clean_Data[[#This Row],[Imports_TIV]]</f>
        <v>1000000000</v>
      </c>
    </row>
    <row r="1412" spans="1:9">
      <c r="A1412" s="4" t="s">
        <v>299</v>
      </c>
      <c r="B1412" s="4" t="s">
        <v>300</v>
      </c>
      <c r="C1412" s="5">
        <v>2016</v>
      </c>
      <c r="D1412" s="4">
        <v>0</v>
      </c>
      <c r="E1412" s="4">
        <v>28000000</v>
      </c>
      <c r="F1412" s="4" t="str">
        <f>_xlfn.LET(_xlpm.r, _xlfn.XLOOKUP(Clean_Data[[#This Row],[Country_Code]], Metadata_Country!$A:$A, Metadata_Country!$B:$B, "Unknown"), IF(OR(_xlpm.r=0, _xlpm.r=""), "Regional Aggregate", _xlpm.r))</f>
        <v>Europe &amp; Central Asia</v>
      </c>
      <c r="G1412" s="4" t="str">
        <f>_xlfn.LET(_xlpm.ig, _xlfn.XLOOKUP(Clean_Data[[#This Row],[Country_Code]], Metadata_Country!$A:$A, Metadata_Country!$C:$C, "Unknown"), IF(OR(_xlpm.ig=0, _xlpm.ig=""), "Regional Aggregate", _xlpm.ig))</f>
        <v>High income</v>
      </c>
      <c r="H1412" s="4">
        <f>Clean_Data[[#This Row],[Exports_TIV]] - Clean_Data[[#This Row],[Imports_TIV]]</f>
        <v>-28000000</v>
      </c>
      <c r="I1412" s="4">
        <f>Clean_Data[[#This Row],[Exports_TIV]] + Clean_Data[[#This Row],[Imports_TIV]]</f>
        <v>28000000</v>
      </c>
    </row>
    <row r="1413" spans="1:9">
      <c r="A1413" s="4" t="s">
        <v>279</v>
      </c>
      <c r="B1413" s="4" t="s">
        <v>280</v>
      </c>
      <c r="C1413" s="5">
        <v>2016</v>
      </c>
      <c r="D1413" s="4">
        <v>0</v>
      </c>
      <c r="E1413" s="4">
        <v>1533000000</v>
      </c>
      <c r="F1413" s="4" t="str">
        <f>_xlfn.LET(_xlpm.r, _xlfn.XLOOKUP(Clean_Data[[#This Row],[Country_Code]], Metadata_Country!$A:$A, Metadata_Country!$B:$B, "Unknown"), IF(OR(_xlpm.r=0, _xlpm.r=""), "Regional Aggregate", _xlpm.r))</f>
        <v>Regional Aggregate</v>
      </c>
      <c r="G1413" s="4" t="str">
        <f>_xlfn.LET(_xlpm.ig, _xlfn.XLOOKUP(Clean_Data[[#This Row],[Country_Code]], Metadata_Country!$A:$A, Metadata_Country!$C:$C, "Unknown"), IF(OR(_xlpm.ig=0, _xlpm.ig=""), "Regional Aggregate", _xlpm.ig))</f>
        <v>Regional Aggregate</v>
      </c>
      <c r="H1413" s="4">
        <f>Clean_Data[[#This Row],[Exports_TIV]] - Clean_Data[[#This Row],[Imports_TIV]]</f>
        <v>-1533000000</v>
      </c>
      <c r="I1413" s="4">
        <f>Clean_Data[[#This Row],[Exports_TIV]] + Clean_Data[[#This Row],[Imports_TIV]]</f>
        <v>1533000000</v>
      </c>
    </row>
    <row r="1414" spans="1:9">
      <c r="A1414" s="4" t="s">
        <v>269</v>
      </c>
      <c r="B1414" s="4" t="s">
        <v>270</v>
      </c>
      <c r="C1414" s="5">
        <v>2016</v>
      </c>
      <c r="D1414" s="4">
        <v>0</v>
      </c>
      <c r="E1414" s="4">
        <v>28000000</v>
      </c>
      <c r="F1414" s="4" t="str">
        <f>_xlfn.LET(_xlpm.r, _xlfn.XLOOKUP(Clean_Data[[#This Row],[Country_Code]], Metadata_Country!$A:$A, Metadata_Country!$B:$B, "Unknown"), IF(OR(_xlpm.r=0, _xlpm.r=""), "Regional Aggregate", _xlpm.r))</f>
        <v>Middle East &amp; North Africa</v>
      </c>
      <c r="G1414" s="4" t="str">
        <f>_xlfn.LET(_xlpm.ig, _xlfn.XLOOKUP(Clean_Data[[#This Row],[Country_Code]], Metadata_Country!$A:$A, Metadata_Country!$C:$C, "Unknown"), IF(OR(_xlpm.ig=0, _xlpm.ig=""), "Regional Aggregate", _xlpm.ig))</f>
        <v>Lower middle income</v>
      </c>
      <c r="H1414" s="4">
        <f>Clean_Data[[#This Row],[Exports_TIV]] - Clean_Data[[#This Row],[Imports_TIV]]</f>
        <v>-28000000</v>
      </c>
      <c r="I1414" s="4">
        <f>Clean_Data[[#This Row],[Exports_TIV]] + Clean_Data[[#This Row],[Imports_TIV]]</f>
        <v>28000000</v>
      </c>
    </row>
    <row r="1415" spans="1:9">
      <c r="A1415" s="4" t="s">
        <v>273</v>
      </c>
      <c r="B1415" s="4" t="s">
        <v>274</v>
      </c>
      <c r="C1415" s="5">
        <v>2016</v>
      </c>
      <c r="D1415" s="4">
        <v>0</v>
      </c>
      <c r="E1415" s="4">
        <v>2000000</v>
      </c>
      <c r="F1415" s="4" t="str">
        <f>_xlfn.LET(_xlpm.r, _xlfn.XLOOKUP(Clean_Data[[#This Row],[Country_Code]], Metadata_Country!$A:$A, Metadata_Country!$B:$B, "Unknown"), IF(OR(_xlpm.r=0, _xlpm.r=""), "Regional Aggregate", _xlpm.r))</f>
        <v>Middle East &amp; North Africa</v>
      </c>
      <c r="G1415" s="4" t="str">
        <f>_xlfn.LET(_xlpm.ig, _xlfn.XLOOKUP(Clean_Data[[#This Row],[Country_Code]], Metadata_Country!$A:$A, Metadata_Country!$C:$C, "Unknown"), IF(OR(_xlpm.ig=0, _xlpm.ig=""), "Regional Aggregate", _xlpm.ig))</f>
        <v>Upper middle income</v>
      </c>
      <c r="H1415" s="4">
        <f>Clean_Data[[#This Row],[Exports_TIV]] - Clean_Data[[#This Row],[Imports_TIV]]</f>
        <v>-2000000</v>
      </c>
      <c r="I1415" s="4">
        <f>Clean_Data[[#This Row],[Exports_TIV]] + Clean_Data[[#This Row],[Imports_TIV]]</f>
        <v>2000000</v>
      </c>
    </row>
    <row r="1416" spans="1:9">
      <c r="A1416" s="4" t="s">
        <v>295</v>
      </c>
      <c r="B1416" s="4" t="s">
        <v>296</v>
      </c>
      <c r="C1416" s="5">
        <v>2016</v>
      </c>
      <c r="D1416" s="4">
        <v>0</v>
      </c>
      <c r="E1416" s="4">
        <v>34000000</v>
      </c>
      <c r="F1416" s="4" t="str">
        <f>_xlfn.LET(_xlpm.r, _xlfn.XLOOKUP(Clean_Data[[#This Row],[Country_Code]], Metadata_Country!$A:$A, Metadata_Country!$B:$B, "Unknown"), IF(OR(_xlpm.r=0, _xlpm.r=""), "Regional Aggregate", _xlpm.r))</f>
        <v>Europe &amp; Central Asia</v>
      </c>
      <c r="G1416" s="4" t="str">
        <f>_xlfn.LET(_xlpm.ig, _xlfn.XLOOKUP(Clean_Data[[#This Row],[Country_Code]], Metadata_Country!$A:$A, Metadata_Country!$C:$C, "Unknown"), IF(OR(_xlpm.ig=0, _xlpm.ig=""), "Regional Aggregate", _xlpm.ig))</f>
        <v>High income</v>
      </c>
      <c r="H1416" s="4">
        <f>Clean_Data[[#This Row],[Exports_TIV]] - Clean_Data[[#This Row],[Imports_TIV]]</f>
        <v>-34000000</v>
      </c>
      <c r="I1416" s="4">
        <f>Clean_Data[[#This Row],[Exports_TIV]] + Clean_Data[[#This Row],[Imports_TIV]]</f>
        <v>34000000</v>
      </c>
    </row>
    <row r="1417" spans="1:9">
      <c r="A1417" s="4" t="s">
        <v>289</v>
      </c>
      <c r="B1417" s="4" t="s">
        <v>290</v>
      </c>
      <c r="C1417" s="5">
        <v>2016</v>
      </c>
      <c r="D1417" s="4">
        <v>3953000000</v>
      </c>
      <c r="E1417" s="4">
        <v>18535000000</v>
      </c>
      <c r="F1417" s="4" t="str">
        <f>_xlfn.LET(_xlpm.r, _xlfn.XLOOKUP(Clean_Data[[#This Row],[Country_Code]], Metadata_Country!$A:$A, Metadata_Country!$B:$B, "Unknown"), IF(OR(_xlpm.r=0, _xlpm.r=""), "Regional Aggregate", _xlpm.r))</f>
        <v>Regional Aggregate</v>
      </c>
      <c r="G1417" s="4" t="str">
        <f>_xlfn.LET(_xlpm.ig, _xlfn.XLOOKUP(Clean_Data[[#This Row],[Country_Code]], Metadata_Country!$A:$A, Metadata_Country!$C:$C, "Unknown"), IF(OR(_xlpm.ig=0, _xlpm.ig=""), "Regional Aggregate", _xlpm.ig))</f>
        <v>Regional Aggregate</v>
      </c>
      <c r="H1417" s="4">
        <f>Clean_Data[[#This Row],[Exports_TIV]] - Clean_Data[[#This Row],[Imports_TIV]]</f>
        <v>-14582000000</v>
      </c>
      <c r="I1417" s="4">
        <f>Clean_Data[[#This Row],[Exports_TIV]] + Clean_Data[[#This Row],[Imports_TIV]]</f>
        <v>22488000000</v>
      </c>
    </row>
    <row r="1418" spans="1:9">
      <c r="A1418" s="4" t="s">
        <v>281</v>
      </c>
      <c r="B1418" s="4" t="s">
        <v>282</v>
      </c>
      <c r="C1418" s="5">
        <v>2016</v>
      </c>
      <c r="D1418" s="4">
        <v>0</v>
      </c>
      <c r="E1418" s="4">
        <v>496000000</v>
      </c>
      <c r="F1418" s="4" t="str">
        <f>_xlfn.LET(_xlpm.r, _xlfn.XLOOKUP(Clean_Data[[#This Row],[Country_Code]], Metadata_Country!$A:$A, Metadata_Country!$B:$B, "Unknown"), IF(OR(_xlpm.r=0, _xlpm.r=""), "Regional Aggregate", _xlpm.r))</f>
        <v>Regional Aggregate</v>
      </c>
      <c r="G1418" s="4" t="str">
        <f>_xlfn.LET(_xlpm.ig, _xlfn.XLOOKUP(Clean_Data[[#This Row],[Country_Code]], Metadata_Country!$A:$A, Metadata_Country!$C:$C, "Unknown"), IF(OR(_xlpm.ig=0, _xlpm.ig=""), "Regional Aggregate", _xlpm.ig))</f>
        <v>Regional Aggregate</v>
      </c>
      <c r="H1418" s="4">
        <f>Clean_Data[[#This Row],[Exports_TIV]] - Clean_Data[[#This Row],[Imports_TIV]]</f>
        <v>-496000000</v>
      </c>
      <c r="I1418" s="4">
        <f>Clean_Data[[#This Row],[Exports_TIV]] + Clean_Data[[#This Row],[Imports_TIV]]</f>
        <v>496000000</v>
      </c>
    </row>
    <row r="1419" spans="1:9">
      <c r="A1419" s="4" t="s">
        <v>287</v>
      </c>
      <c r="B1419" s="4" t="s">
        <v>288</v>
      </c>
      <c r="C1419" s="5">
        <v>2016</v>
      </c>
      <c r="D1419" s="4">
        <v>0</v>
      </c>
      <c r="E1419" s="4">
        <v>7018000000</v>
      </c>
      <c r="F1419" s="4" t="str">
        <f>_xlfn.LET(_xlpm.r, _xlfn.XLOOKUP(Clean_Data[[#This Row],[Country_Code]], Metadata_Country!$A:$A, Metadata_Country!$B:$B, "Unknown"), IF(OR(_xlpm.r=0, _xlpm.r=""), "Regional Aggregate", _xlpm.r))</f>
        <v>Regional Aggregate</v>
      </c>
      <c r="G1419" s="4" t="str">
        <f>_xlfn.LET(_xlpm.ig, _xlfn.XLOOKUP(Clean_Data[[#This Row],[Country_Code]], Metadata_Country!$A:$A, Metadata_Country!$C:$C, "Unknown"), IF(OR(_xlpm.ig=0, _xlpm.ig=""), "Regional Aggregate", _xlpm.ig))</f>
        <v>Regional Aggregate</v>
      </c>
      <c r="H1419" s="4">
        <f>Clean_Data[[#This Row],[Exports_TIV]] - Clean_Data[[#This Row],[Imports_TIV]]</f>
        <v>-7018000000</v>
      </c>
      <c r="I1419" s="4">
        <f>Clean_Data[[#This Row],[Exports_TIV]] + Clean_Data[[#This Row],[Imports_TIV]]</f>
        <v>7018000000</v>
      </c>
    </row>
    <row r="1420" spans="1:9">
      <c r="A1420" s="4" t="s">
        <v>345</v>
      </c>
      <c r="B1420" s="4" t="s">
        <v>346</v>
      </c>
      <c r="C1420" s="5">
        <v>2016</v>
      </c>
      <c r="D1420" s="4">
        <v>0</v>
      </c>
      <c r="E1420" s="4">
        <v>0</v>
      </c>
      <c r="F1420" s="4" t="str">
        <f>_xlfn.LET(_xlpm.r, _xlfn.XLOOKUP(Clean_Data[[#This Row],[Country_Code]], Metadata_Country!$A:$A, Metadata_Country!$B:$B, "Unknown"), IF(OR(_xlpm.r=0, _xlpm.r=""), "Regional Aggregate", _xlpm.r))</f>
        <v>Sub-Saharan Africa</v>
      </c>
      <c r="G1420" s="4" t="str">
        <f>_xlfn.LET(_xlpm.ig, _xlfn.XLOOKUP(Clean_Data[[#This Row],[Country_Code]], Metadata_Country!$A:$A, Metadata_Country!$C:$C, "Unknown"), IF(OR(_xlpm.ig=0, _xlpm.ig=""), "Regional Aggregate", _xlpm.ig))</f>
        <v>Low income</v>
      </c>
      <c r="H1420" s="4">
        <f>Clean_Data[[#This Row],[Exports_TIV]] - Clean_Data[[#This Row],[Imports_TIV]]</f>
        <v>0</v>
      </c>
      <c r="I1420" s="4">
        <f>Clean_Data[[#This Row],[Exports_TIV]] + Clean_Data[[#This Row],[Imports_TIV]]</f>
        <v>0</v>
      </c>
    </row>
    <row r="1421" spans="1:9">
      <c r="A1421" s="4" t="s">
        <v>347</v>
      </c>
      <c r="B1421" s="4" t="s">
        <v>348</v>
      </c>
      <c r="C1421" s="5">
        <v>2016</v>
      </c>
      <c r="D1421" s="4">
        <v>0</v>
      </c>
      <c r="E1421" s="4">
        <v>270000000</v>
      </c>
      <c r="F1421" s="4" t="str">
        <f>_xlfn.LET(_xlpm.r, _xlfn.XLOOKUP(Clean_Data[[#This Row],[Country_Code]], Metadata_Country!$A:$A, Metadata_Country!$B:$B, "Unknown"), IF(OR(_xlpm.r=0, _xlpm.r=""), "Regional Aggregate", _xlpm.r))</f>
        <v>East Asia &amp; Pacific</v>
      </c>
      <c r="G1421" s="4" t="str">
        <f>_xlfn.LET(_xlpm.ig, _xlfn.XLOOKUP(Clean_Data[[#This Row],[Country_Code]], Metadata_Country!$A:$A, Metadata_Country!$C:$C, "Unknown"), IF(OR(_xlpm.ig=0, _xlpm.ig=""), "Regional Aggregate", _xlpm.ig))</f>
        <v>Upper middle income</v>
      </c>
      <c r="H1421" s="4">
        <f>Clean_Data[[#This Row],[Exports_TIV]] - Clean_Data[[#This Row],[Imports_TIV]]</f>
        <v>-270000000</v>
      </c>
      <c r="I1421" s="4">
        <f>Clean_Data[[#This Row],[Exports_TIV]] + Clean_Data[[#This Row],[Imports_TIV]]</f>
        <v>270000000</v>
      </c>
    </row>
    <row r="1422" spans="1:9">
      <c r="A1422" s="4" t="s">
        <v>325</v>
      </c>
      <c r="B1422" s="4" t="s">
        <v>326</v>
      </c>
      <c r="C1422" s="5">
        <v>2016</v>
      </c>
      <c r="D1422" s="4">
        <v>0</v>
      </c>
      <c r="E1422" s="4">
        <v>22000000</v>
      </c>
      <c r="F1422" s="4" t="str">
        <f>_xlfn.LET(_xlpm.r, _xlfn.XLOOKUP(Clean_Data[[#This Row],[Country_Code]], Metadata_Country!$A:$A, Metadata_Country!$B:$B, "Unknown"), IF(OR(_xlpm.r=0, _xlpm.r=""), "Regional Aggregate", _xlpm.r))</f>
        <v>Sub-Saharan Africa</v>
      </c>
      <c r="G1422" s="4" t="str">
        <f>_xlfn.LET(_xlpm.ig, _xlfn.XLOOKUP(Clean_Data[[#This Row],[Country_Code]], Metadata_Country!$A:$A, Metadata_Country!$C:$C, "Unknown"), IF(OR(_xlpm.ig=0, _xlpm.ig=""), "Regional Aggregate", _xlpm.ig))</f>
        <v>Low income</v>
      </c>
      <c r="H1422" s="4">
        <f>Clean_Data[[#This Row],[Exports_TIV]] - Clean_Data[[#This Row],[Imports_TIV]]</f>
        <v>-22000000</v>
      </c>
      <c r="I1422" s="4">
        <f>Clean_Data[[#This Row],[Exports_TIV]] + Clean_Data[[#This Row],[Imports_TIV]]</f>
        <v>22000000</v>
      </c>
    </row>
    <row r="1423" spans="1:9">
      <c r="A1423" s="4" t="s">
        <v>327</v>
      </c>
      <c r="B1423" s="4" t="s">
        <v>328</v>
      </c>
      <c r="C1423" s="5">
        <v>2016</v>
      </c>
      <c r="D1423" s="4">
        <v>0</v>
      </c>
      <c r="E1423" s="4">
        <v>6000000</v>
      </c>
      <c r="F1423" s="4" t="str">
        <f>_xlfn.LET(_xlpm.r, _xlfn.XLOOKUP(Clean_Data[[#This Row],[Country_Code]], Metadata_Country!$A:$A, Metadata_Country!$B:$B, "Unknown"), IF(OR(_xlpm.r=0, _xlpm.r=""), "Regional Aggregate", _xlpm.r))</f>
        <v>Middle East &amp; North Africa</v>
      </c>
      <c r="G1423" s="4" t="str">
        <f>_xlfn.LET(_xlpm.ig, _xlfn.XLOOKUP(Clean_Data[[#This Row],[Country_Code]], Metadata_Country!$A:$A, Metadata_Country!$C:$C, "Unknown"), IF(OR(_xlpm.ig=0, _xlpm.ig=""), "Regional Aggregate", _xlpm.ig))</f>
        <v>High income</v>
      </c>
      <c r="H1423" s="4">
        <f>Clean_Data[[#This Row],[Exports_TIV]] - Clean_Data[[#This Row],[Imports_TIV]]</f>
        <v>-6000000</v>
      </c>
      <c r="I1423" s="4">
        <f>Clean_Data[[#This Row],[Exports_TIV]] + Clean_Data[[#This Row],[Imports_TIV]]</f>
        <v>6000000</v>
      </c>
    </row>
    <row r="1424" spans="1:9">
      <c r="A1424" s="4" t="s">
        <v>341</v>
      </c>
      <c r="B1424" s="4" t="s">
        <v>342</v>
      </c>
      <c r="C1424" s="5">
        <v>2016</v>
      </c>
      <c r="D1424" s="4">
        <v>0</v>
      </c>
      <c r="E1424" s="4">
        <v>35000000</v>
      </c>
      <c r="F1424" s="4" t="str">
        <f>_xlfn.LET(_xlpm.r, _xlfn.XLOOKUP(Clean_Data[[#This Row],[Country_Code]], Metadata_Country!$A:$A, Metadata_Country!$B:$B, "Unknown"), IF(OR(_xlpm.r=0, _xlpm.r=""), "Regional Aggregate", _xlpm.r))</f>
        <v>Sub-Saharan Africa</v>
      </c>
      <c r="G1424" s="4" t="str">
        <f>_xlfn.LET(_xlpm.ig, _xlfn.XLOOKUP(Clean_Data[[#This Row],[Country_Code]], Metadata_Country!$A:$A, Metadata_Country!$C:$C, "Unknown"), IF(OR(_xlpm.ig=0, _xlpm.ig=""), "Regional Aggregate", _xlpm.ig))</f>
        <v>Lower middle income</v>
      </c>
      <c r="H1424" s="4">
        <f>Clean_Data[[#This Row],[Exports_TIV]] - Clean_Data[[#This Row],[Imports_TIV]]</f>
        <v>-35000000</v>
      </c>
      <c r="I1424" s="4">
        <f>Clean_Data[[#This Row],[Exports_TIV]] + Clean_Data[[#This Row],[Imports_TIV]]</f>
        <v>35000000</v>
      </c>
    </row>
    <row r="1425" spans="1:9">
      <c r="A1425" s="4" t="s">
        <v>343</v>
      </c>
      <c r="B1425" s="4" t="s">
        <v>344</v>
      </c>
      <c r="C1425" s="5">
        <v>2016</v>
      </c>
      <c r="D1425" s="4">
        <v>0</v>
      </c>
      <c r="E1425" s="4">
        <v>28000000</v>
      </c>
      <c r="F1425" s="4" t="str">
        <f>_xlfn.LET(_xlpm.r, _xlfn.XLOOKUP(Clean_Data[[#This Row],[Country_Code]], Metadata_Country!$A:$A, Metadata_Country!$B:$B, "Unknown"), IF(OR(_xlpm.r=0, _xlpm.r=""), "Regional Aggregate", _xlpm.r))</f>
        <v>Sub-Saharan Africa</v>
      </c>
      <c r="G1425" s="4" t="str">
        <f>_xlfn.LET(_xlpm.ig, _xlfn.XLOOKUP(Clean_Data[[#This Row],[Country_Code]], Metadata_Country!$A:$A, Metadata_Country!$C:$C, "Unknown"), IF(OR(_xlpm.ig=0, _xlpm.ig=""), "Regional Aggregate", _xlpm.ig))</f>
        <v>Upper middle income</v>
      </c>
      <c r="H1425" s="4">
        <f>Clean_Data[[#This Row],[Exports_TIV]] - Clean_Data[[#This Row],[Imports_TIV]]</f>
        <v>-28000000</v>
      </c>
      <c r="I1425" s="4">
        <f>Clean_Data[[#This Row],[Exports_TIV]] + Clean_Data[[#This Row],[Imports_TIV]]</f>
        <v>28000000</v>
      </c>
    </row>
    <row r="1426" spans="1:9">
      <c r="A1426" s="4" t="s">
        <v>317</v>
      </c>
      <c r="B1426" s="4" t="s">
        <v>318</v>
      </c>
      <c r="C1426" s="5">
        <v>2016</v>
      </c>
      <c r="D1426" s="4">
        <v>0</v>
      </c>
      <c r="E1426" s="4">
        <v>328000000</v>
      </c>
      <c r="F1426" s="4" t="str">
        <f>_xlfn.LET(_xlpm.r, _xlfn.XLOOKUP(Clean_Data[[#This Row],[Country_Code]], Metadata_Country!$A:$A, Metadata_Country!$B:$B, "Unknown"), IF(OR(_xlpm.r=0, _xlpm.r=""), "Regional Aggregate", _xlpm.r))</f>
        <v>Latin America &amp; Caribbean</v>
      </c>
      <c r="G1426" s="4" t="str">
        <f>_xlfn.LET(_xlpm.ig, _xlfn.XLOOKUP(Clean_Data[[#This Row],[Country_Code]], Metadata_Country!$A:$A, Metadata_Country!$C:$C, "Unknown"), IF(OR(_xlpm.ig=0, _xlpm.ig=""), "Regional Aggregate", _xlpm.ig))</f>
        <v>Upper middle income</v>
      </c>
      <c r="H1426" s="4">
        <f>Clean_Data[[#This Row],[Exports_TIV]] - Clean_Data[[#This Row],[Imports_TIV]]</f>
        <v>-328000000</v>
      </c>
      <c r="I1426" s="4">
        <f>Clean_Data[[#This Row],[Exports_TIV]] + Clean_Data[[#This Row],[Imports_TIV]]</f>
        <v>328000000</v>
      </c>
    </row>
    <row r="1427" spans="1:9">
      <c r="A1427" s="4" t="s">
        <v>315</v>
      </c>
      <c r="B1427" s="4" t="s">
        <v>316</v>
      </c>
      <c r="C1427" s="5">
        <v>2016</v>
      </c>
      <c r="D1427" s="4">
        <v>0</v>
      </c>
      <c r="E1427" s="4">
        <v>14748000000</v>
      </c>
      <c r="F1427" s="4" t="str">
        <f>_xlfn.LET(_xlpm.r, _xlfn.XLOOKUP(Clean_Data[[#This Row],[Country_Code]], Metadata_Country!$A:$A, Metadata_Country!$B:$B, "Unknown"), IF(OR(_xlpm.r=0, _xlpm.r=""), "Regional Aggregate", _xlpm.r))</f>
        <v>Regional Aggregate</v>
      </c>
      <c r="G1427" s="4" t="str">
        <f>_xlfn.LET(_xlpm.ig, _xlfn.XLOOKUP(Clean_Data[[#This Row],[Country_Code]], Metadata_Country!$A:$A, Metadata_Country!$C:$C, "Unknown"), IF(OR(_xlpm.ig=0, _xlpm.ig=""), "Regional Aggregate", _xlpm.ig))</f>
        <v>Regional Aggregate</v>
      </c>
      <c r="H1427" s="4">
        <f>Clean_Data[[#This Row],[Exports_TIV]] - Clean_Data[[#This Row],[Imports_TIV]]</f>
        <v>-14748000000</v>
      </c>
      <c r="I1427" s="4">
        <f>Clean_Data[[#This Row],[Exports_TIV]] + Clean_Data[[#This Row],[Imports_TIV]]</f>
        <v>14748000000</v>
      </c>
    </row>
    <row r="1428" spans="1:9">
      <c r="A1428" s="4" t="s">
        <v>331</v>
      </c>
      <c r="B1428" s="4" t="s">
        <v>332</v>
      </c>
      <c r="C1428" s="5">
        <v>2016</v>
      </c>
      <c r="D1428" s="4">
        <v>0</v>
      </c>
      <c r="E1428" s="4">
        <v>8495000000</v>
      </c>
      <c r="F1428" s="4" t="str">
        <f>_xlfn.LET(_xlpm.r, _xlfn.XLOOKUP(Clean_Data[[#This Row],[Country_Code]], Metadata_Country!$A:$A, Metadata_Country!$B:$B, "Unknown"), IF(OR(_xlpm.r=0, _xlpm.r=""), "Regional Aggregate", _xlpm.r))</f>
        <v>Regional Aggregate</v>
      </c>
      <c r="G1428" s="4" t="str">
        <f>_xlfn.LET(_xlpm.ig, _xlfn.XLOOKUP(Clean_Data[[#This Row],[Country_Code]], Metadata_Country!$A:$A, Metadata_Country!$C:$C, "Unknown"), IF(OR(_xlpm.ig=0, _xlpm.ig=""), "Regional Aggregate", _xlpm.ig))</f>
        <v>Regional Aggregate</v>
      </c>
      <c r="H1428" s="4">
        <f>Clean_Data[[#This Row],[Exports_TIV]] - Clean_Data[[#This Row],[Imports_TIV]]</f>
        <v>-8495000000</v>
      </c>
      <c r="I1428" s="4">
        <f>Clean_Data[[#This Row],[Exports_TIV]] + Clean_Data[[#This Row],[Imports_TIV]]</f>
        <v>8495000000</v>
      </c>
    </row>
    <row r="1429" spans="1:9">
      <c r="A1429" s="4" t="s">
        <v>485</v>
      </c>
      <c r="B1429" s="4" t="s">
        <v>486</v>
      </c>
      <c r="C1429" s="5">
        <v>2016</v>
      </c>
      <c r="D1429" s="4">
        <v>0</v>
      </c>
      <c r="E1429" s="4">
        <v>8494000000</v>
      </c>
      <c r="F1429" s="4" t="str">
        <f>_xlfn.LET(_xlpm.r, _xlfn.XLOOKUP(Clean_Data[[#This Row],[Country_Code]], Metadata_Country!$A:$A, Metadata_Country!$B:$B, "Unknown"), IF(OR(_xlpm.r=0, _xlpm.r=""), "Regional Aggregate", _xlpm.r))</f>
        <v>Regional Aggregate</v>
      </c>
      <c r="G1429" s="4" t="str">
        <f>_xlfn.LET(_xlpm.ig, _xlfn.XLOOKUP(Clean_Data[[#This Row],[Country_Code]], Metadata_Country!$A:$A, Metadata_Country!$C:$C, "Unknown"), IF(OR(_xlpm.ig=0, _xlpm.ig=""), "Regional Aggregate", _xlpm.ig))</f>
        <v>Regional Aggregate</v>
      </c>
      <c r="H1429" s="4">
        <f>Clean_Data[[#This Row],[Exports_TIV]] - Clean_Data[[#This Row],[Imports_TIV]]</f>
        <v>-8494000000</v>
      </c>
      <c r="I1429" s="4">
        <f>Clean_Data[[#This Row],[Exports_TIV]] + Clean_Data[[#This Row],[Imports_TIV]]</f>
        <v>8494000000</v>
      </c>
    </row>
    <row r="1430" spans="1:9">
      <c r="A1430" s="4" t="s">
        <v>321</v>
      </c>
      <c r="B1430" s="4" t="s">
        <v>322</v>
      </c>
      <c r="C1430" s="5">
        <v>2016</v>
      </c>
      <c r="D1430" s="4">
        <v>3949000000</v>
      </c>
      <c r="E1430" s="4">
        <v>18039000000</v>
      </c>
      <c r="F1430" s="4" t="str">
        <f>_xlfn.LET(_xlpm.r, _xlfn.XLOOKUP(Clean_Data[[#This Row],[Country_Code]], Metadata_Country!$A:$A, Metadata_Country!$B:$B, "Unknown"), IF(OR(_xlpm.r=0, _xlpm.r=""), "Regional Aggregate", _xlpm.r))</f>
        <v>Regional Aggregate</v>
      </c>
      <c r="G1430" s="4" t="str">
        <f>_xlfn.LET(_xlpm.ig, _xlfn.XLOOKUP(Clean_Data[[#This Row],[Country_Code]], Metadata_Country!$A:$A, Metadata_Country!$C:$C, "Unknown"), IF(OR(_xlpm.ig=0, _xlpm.ig=""), "Regional Aggregate", _xlpm.ig))</f>
        <v>Regional Aggregate</v>
      </c>
      <c r="H1430" s="4">
        <f>Clean_Data[[#This Row],[Exports_TIV]] - Clean_Data[[#This Row],[Imports_TIV]]</f>
        <v>-14090000000</v>
      </c>
      <c r="I1430" s="4">
        <f>Clean_Data[[#This Row],[Exports_TIV]] + Clean_Data[[#This Row],[Imports_TIV]]</f>
        <v>21988000000</v>
      </c>
    </row>
    <row r="1431" spans="1:9">
      <c r="A1431" s="4" t="s">
        <v>333</v>
      </c>
      <c r="B1431" s="4" t="s">
        <v>334</v>
      </c>
      <c r="C1431" s="5">
        <v>2016</v>
      </c>
      <c r="D1431" s="4">
        <v>0</v>
      </c>
      <c r="E1431" s="4">
        <v>0</v>
      </c>
      <c r="F1431" s="4" t="str">
        <f>_xlfn.LET(_xlpm.r, _xlfn.XLOOKUP(Clean_Data[[#This Row],[Country_Code]], Metadata_Country!$A:$A, Metadata_Country!$B:$B, "Unknown"), IF(OR(_xlpm.r=0, _xlpm.r=""), "Regional Aggregate", _xlpm.r))</f>
        <v>Europe &amp; Central Asia</v>
      </c>
      <c r="G1431" s="4" t="str">
        <f>_xlfn.LET(_xlpm.ig, _xlfn.XLOOKUP(Clean_Data[[#This Row],[Country_Code]], Metadata_Country!$A:$A, Metadata_Country!$C:$C, "Unknown"), IF(OR(_xlpm.ig=0, _xlpm.ig=""), "Regional Aggregate", _xlpm.ig))</f>
        <v>Upper middle income</v>
      </c>
      <c r="H1431" s="4">
        <f>Clean_Data[[#This Row],[Exports_TIV]] - Clean_Data[[#This Row],[Imports_TIV]]</f>
        <v>0</v>
      </c>
      <c r="I1431" s="4">
        <f>Clean_Data[[#This Row],[Exports_TIV]] + Clean_Data[[#This Row],[Imports_TIV]]</f>
        <v>0</v>
      </c>
    </row>
    <row r="1432" spans="1:9">
      <c r="A1432" s="4" t="s">
        <v>305</v>
      </c>
      <c r="B1432" s="4" t="s">
        <v>306</v>
      </c>
      <c r="C1432" s="5">
        <v>2016</v>
      </c>
      <c r="D1432" s="4">
        <v>0</v>
      </c>
      <c r="E1432" s="4">
        <v>287000000</v>
      </c>
      <c r="F1432" s="4" t="str">
        <f>_xlfn.LET(_xlpm.r, _xlfn.XLOOKUP(Clean_Data[[#This Row],[Country_Code]], Metadata_Country!$A:$A, Metadata_Country!$B:$B, "Unknown"), IF(OR(_xlpm.r=0, _xlpm.r=""), "Regional Aggregate", _xlpm.r))</f>
        <v>Middle East &amp; North Africa</v>
      </c>
      <c r="G1432" s="4" t="str">
        <f>_xlfn.LET(_xlpm.ig, _xlfn.XLOOKUP(Clean_Data[[#This Row],[Country_Code]], Metadata_Country!$A:$A, Metadata_Country!$C:$C, "Unknown"), IF(OR(_xlpm.ig=0, _xlpm.ig=""), "Regional Aggregate", _xlpm.ig))</f>
        <v>Lower middle income</v>
      </c>
      <c r="H1432" s="4">
        <f>Clean_Data[[#This Row],[Exports_TIV]] - Clean_Data[[#This Row],[Imports_TIV]]</f>
        <v>-287000000</v>
      </c>
      <c r="I1432" s="4">
        <f>Clean_Data[[#This Row],[Exports_TIV]] + Clean_Data[[#This Row],[Imports_TIV]]</f>
        <v>287000000</v>
      </c>
    </row>
    <row r="1433" spans="1:9">
      <c r="A1433" s="4" t="s">
        <v>339</v>
      </c>
      <c r="B1433" s="4" t="s">
        <v>340</v>
      </c>
      <c r="C1433" s="5">
        <v>2016</v>
      </c>
      <c r="D1433" s="4">
        <v>0</v>
      </c>
      <c r="E1433" s="4">
        <v>46000000</v>
      </c>
      <c r="F1433" s="4" t="str">
        <f>_xlfn.LET(_xlpm.r, _xlfn.XLOOKUP(Clean_Data[[#This Row],[Country_Code]], Metadata_Country!$A:$A, Metadata_Country!$B:$B, "Unknown"), IF(OR(_xlpm.r=0, _xlpm.r=""), "Regional Aggregate", _xlpm.r))</f>
        <v>Sub-Saharan Africa</v>
      </c>
      <c r="G1433" s="4" t="str">
        <f>_xlfn.LET(_xlpm.ig, _xlfn.XLOOKUP(Clean_Data[[#This Row],[Country_Code]], Metadata_Country!$A:$A, Metadata_Country!$C:$C, "Unknown"), IF(OR(_xlpm.ig=0, _xlpm.ig=""), "Regional Aggregate", _xlpm.ig))</f>
        <v>Low income</v>
      </c>
      <c r="H1433" s="4">
        <f>Clean_Data[[#This Row],[Exports_TIV]] - Clean_Data[[#This Row],[Imports_TIV]]</f>
        <v>-46000000</v>
      </c>
      <c r="I1433" s="4">
        <f>Clean_Data[[#This Row],[Exports_TIV]] + Clean_Data[[#This Row],[Imports_TIV]]</f>
        <v>46000000</v>
      </c>
    </row>
    <row r="1434" spans="1:9">
      <c r="A1434" s="4" t="s">
        <v>329</v>
      </c>
      <c r="B1434" s="4" t="s">
        <v>330</v>
      </c>
      <c r="C1434" s="5">
        <v>2016</v>
      </c>
      <c r="D1434" s="4">
        <v>0</v>
      </c>
      <c r="E1434" s="4">
        <v>284000000</v>
      </c>
      <c r="F1434" s="4" t="str">
        <f>_xlfn.LET(_xlpm.r, _xlfn.XLOOKUP(Clean_Data[[#This Row],[Country_Code]], Metadata_Country!$A:$A, Metadata_Country!$B:$B, "Unknown"), IF(OR(_xlpm.r=0, _xlpm.r=""), "Regional Aggregate", _xlpm.r))</f>
        <v>East Asia &amp; Pacific</v>
      </c>
      <c r="G1434" s="4" t="str">
        <f>_xlfn.LET(_xlpm.ig, _xlfn.XLOOKUP(Clean_Data[[#This Row],[Country_Code]], Metadata_Country!$A:$A, Metadata_Country!$C:$C, "Unknown"), IF(OR(_xlpm.ig=0, _xlpm.ig=""), "Regional Aggregate", _xlpm.ig))</f>
        <v>Lower middle income</v>
      </c>
      <c r="H1434" s="4">
        <f>Clean_Data[[#This Row],[Exports_TIV]] - Clean_Data[[#This Row],[Imports_TIV]]</f>
        <v>-284000000</v>
      </c>
      <c r="I1434" s="4">
        <f>Clean_Data[[#This Row],[Exports_TIV]] + Clean_Data[[#This Row],[Imports_TIV]]</f>
        <v>284000000</v>
      </c>
    </row>
    <row r="1435" spans="1:9">
      <c r="A1435" s="4" t="s">
        <v>351</v>
      </c>
      <c r="B1435" s="4" t="s">
        <v>352</v>
      </c>
      <c r="C1435" s="5">
        <v>2016</v>
      </c>
      <c r="D1435" s="4">
        <v>0</v>
      </c>
      <c r="E1435" s="4">
        <v>3000000</v>
      </c>
      <c r="F1435" s="4" t="str">
        <f>_xlfn.LET(_xlpm.r, _xlfn.XLOOKUP(Clean_Data[[#This Row],[Country_Code]], Metadata_Country!$A:$A, Metadata_Country!$B:$B, "Unknown"), IF(OR(_xlpm.r=0, _xlpm.r=""), "Regional Aggregate", _xlpm.r))</f>
        <v>Sub-Saharan Africa</v>
      </c>
      <c r="G1435" s="4" t="str">
        <f>_xlfn.LET(_xlpm.ig, _xlfn.XLOOKUP(Clean_Data[[#This Row],[Country_Code]], Metadata_Country!$A:$A, Metadata_Country!$C:$C, "Unknown"), IF(OR(_xlpm.ig=0, _xlpm.ig=""), "Regional Aggregate", _xlpm.ig))</f>
        <v>Lower middle income</v>
      </c>
      <c r="H1435" s="4">
        <f>Clean_Data[[#This Row],[Exports_TIV]] - Clean_Data[[#This Row],[Imports_TIV]]</f>
        <v>-3000000</v>
      </c>
      <c r="I1435" s="4">
        <f>Clean_Data[[#This Row],[Exports_TIV]] + Clean_Data[[#This Row],[Imports_TIV]]</f>
        <v>3000000</v>
      </c>
    </row>
    <row r="1436" spans="1:9">
      <c r="A1436" s="4" t="s">
        <v>365</v>
      </c>
      <c r="B1436" s="4" t="s">
        <v>366</v>
      </c>
      <c r="C1436" s="5">
        <v>2016</v>
      </c>
      <c r="D1436" s="4">
        <v>0</v>
      </c>
      <c r="E1436" s="4">
        <v>9000000</v>
      </c>
      <c r="F1436" s="4" t="str">
        <f>_xlfn.LET(_xlpm.r, _xlfn.XLOOKUP(Clean_Data[[#This Row],[Country_Code]], Metadata_Country!$A:$A, Metadata_Country!$B:$B, "Unknown"), IF(OR(_xlpm.r=0, _xlpm.r=""), "Regional Aggregate", _xlpm.r))</f>
        <v>South Asia</v>
      </c>
      <c r="G1436" s="4" t="str">
        <f>_xlfn.LET(_xlpm.ig, _xlfn.XLOOKUP(Clean_Data[[#This Row],[Country_Code]], Metadata_Country!$A:$A, Metadata_Country!$C:$C, "Unknown"), IF(OR(_xlpm.ig=0, _xlpm.ig=""), "Regional Aggregate", _xlpm.ig))</f>
        <v>Lower middle income</v>
      </c>
      <c r="H1436" s="4">
        <f>Clean_Data[[#This Row],[Exports_TIV]] - Clean_Data[[#This Row],[Imports_TIV]]</f>
        <v>-9000000</v>
      </c>
      <c r="I1436" s="4">
        <f>Clean_Data[[#This Row],[Exports_TIV]] + Clean_Data[[#This Row],[Imports_TIV]]</f>
        <v>9000000</v>
      </c>
    </row>
    <row r="1437" spans="1:9">
      <c r="A1437" s="4" t="s">
        <v>361</v>
      </c>
      <c r="B1437" s="4" t="s">
        <v>362</v>
      </c>
      <c r="C1437" s="5">
        <v>2016</v>
      </c>
      <c r="D1437" s="4">
        <v>487000000</v>
      </c>
      <c r="E1437" s="4">
        <v>69000000</v>
      </c>
      <c r="F1437" s="4" t="str">
        <f>_xlfn.LET(_xlpm.r, _xlfn.XLOOKUP(Clean_Data[[#This Row],[Country_Code]], Metadata_Country!$A:$A, Metadata_Country!$B:$B, "Unknown"), IF(OR(_xlpm.r=0, _xlpm.r=""), "Regional Aggregate", _xlpm.r))</f>
        <v>Europe &amp; Central Asia</v>
      </c>
      <c r="G1437" s="4" t="str">
        <f>_xlfn.LET(_xlpm.ig, _xlfn.XLOOKUP(Clean_Data[[#This Row],[Country_Code]], Metadata_Country!$A:$A, Metadata_Country!$C:$C, "Unknown"), IF(OR(_xlpm.ig=0, _xlpm.ig=""), "Regional Aggregate", _xlpm.ig))</f>
        <v>High income</v>
      </c>
      <c r="H1437" s="4">
        <f>Clean_Data[[#This Row],[Exports_TIV]] - Clean_Data[[#This Row],[Imports_TIV]]</f>
        <v>418000000</v>
      </c>
      <c r="I1437" s="4">
        <f>Clean_Data[[#This Row],[Exports_TIV]] + Clean_Data[[#This Row],[Imports_TIV]]</f>
        <v>556000000</v>
      </c>
    </row>
    <row r="1438" spans="1:9">
      <c r="A1438" s="4" t="s">
        <v>369</v>
      </c>
      <c r="B1438" s="4" t="s">
        <v>370</v>
      </c>
      <c r="C1438" s="5">
        <v>2016</v>
      </c>
      <c r="D1438" s="4">
        <v>6000000</v>
      </c>
      <c r="E1438" s="4">
        <v>0</v>
      </c>
      <c r="F1438" s="4" t="str">
        <f>_xlfn.LET(_xlpm.r, _xlfn.XLOOKUP(Clean_Data[[#This Row],[Country_Code]], Metadata_Country!$A:$A, Metadata_Country!$B:$B, "Unknown"), IF(OR(_xlpm.r=0, _xlpm.r=""), "Regional Aggregate", _xlpm.r))</f>
        <v>East Asia &amp; Pacific</v>
      </c>
      <c r="G1438" s="4" t="str">
        <f>_xlfn.LET(_xlpm.ig, _xlfn.XLOOKUP(Clean_Data[[#This Row],[Country_Code]], Metadata_Country!$A:$A, Metadata_Country!$C:$C, "Unknown"), IF(OR(_xlpm.ig=0, _xlpm.ig=""), "Regional Aggregate", _xlpm.ig))</f>
        <v>High income</v>
      </c>
      <c r="H1438" s="4">
        <f>Clean_Data[[#This Row],[Exports_TIV]] - Clean_Data[[#This Row],[Imports_TIV]]</f>
        <v>6000000</v>
      </c>
      <c r="I1438" s="4">
        <f>Clean_Data[[#This Row],[Exports_TIV]] + Clean_Data[[#This Row],[Imports_TIV]]</f>
        <v>6000000</v>
      </c>
    </row>
    <row r="1439" spans="1:9">
      <c r="A1439" s="4" t="s">
        <v>359</v>
      </c>
      <c r="B1439" s="4" t="s">
        <v>360</v>
      </c>
      <c r="C1439" s="5">
        <v>2016</v>
      </c>
      <c r="D1439" s="4">
        <v>0</v>
      </c>
      <c r="E1439" s="4">
        <v>86000000</v>
      </c>
      <c r="F1439" s="4" t="str">
        <f>_xlfn.LET(_xlpm.r, _xlfn.XLOOKUP(Clean_Data[[#This Row],[Country_Code]], Metadata_Country!$A:$A, Metadata_Country!$B:$B, "Unknown"), IF(OR(_xlpm.r=0, _xlpm.r=""), "Regional Aggregate", _xlpm.r))</f>
        <v>Latin America &amp; Caribbean</v>
      </c>
      <c r="G1439" s="4" t="str">
        <f>_xlfn.LET(_xlpm.ig, _xlfn.XLOOKUP(Clean_Data[[#This Row],[Country_Code]], Metadata_Country!$A:$A, Metadata_Country!$C:$C, "Unknown"), IF(OR(_xlpm.ig=0, _xlpm.ig=""), "Regional Aggregate", _xlpm.ig))</f>
        <v>Lower middle income</v>
      </c>
      <c r="H1439" s="4">
        <f>Clean_Data[[#This Row],[Exports_TIV]] - Clean_Data[[#This Row],[Imports_TIV]]</f>
        <v>-86000000</v>
      </c>
      <c r="I1439" s="4">
        <f>Clean_Data[[#This Row],[Exports_TIV]] + Clean_Data[[#This Row],[Imports_TIV]]</f>
        <v>86000000</v>
      </c>
    </row>
    <row r="1440" spans="1:9">
      <c r="A1440" s="4" t="s">
        <v>355</v>
      </c>
      <c r="B1440" s="4" t="s">
        <v>356</v>
      </c>
      <c r="C1440" s="5">
        <v>2016</v>
      </c>
      <c r="D1440" s="4">
        <v>0</v>
      </c>
      <c r="E1440" s="4">
        <v>0</v>
      </c>
      <c r="F1440" s="4" t="str">
        <f>_xlfn.LET(_xlpm.r, _xlfn.XLOOKUP(Clean_Data[[#This Row],[Country_Code]], Metadata_Country!$A:$A, Metadata_Country!$B:$B, "Unknown"), IF(OR(_xlpm.r=0, _xlpm.r=""), "Regional Aggregate", _xlpm.r))</f>
        <v>Sub-Saharan Africa</v>
      </c>
      <c r="G1440" s="4" t="str">
        <f>_xlfn.LET(_xlpm.ig, _xlfn.XLOOKUP(Clean_Data[[#This Row],[Country_Code]], Metadata_Country!$A:$A, Metadata_Country!$C:$C, "Unknown"), IF(OR(_xlpm.ig=0, _xlpm.ig=""), "Regional Aggregate", _xlpm.ig))</f>
        <v>Low income</v>
      </c>
      <c r="H1440" s="4">
        <f>Clean_Data[[#This Row],[Exports_TIV]] - Clean_Data[[#This Row],[Imports_TIV]]</f>
        <v>0</v>
      </c>
      <c r="I1440" s="4">
        <f>Clean_Data[[#This Row],[Exports_TIV]] + Clean_Data[[#This Row],[Imports_TIV]]</f>
        <v>0</v>
      </c>
    </row>
    <row r="1441" spans="1:9">
      <c r="A1441" s="4" t="s">
        <v>357</v>
      </c>
      <c r="B1441" s="4" t="s">
        <v>358</v>
      </c>
      <c r="C1441" s="5">
        <v>2016</v>
      </c>
      <c r="D1441" s="4">
        <v>0</v>
      </c>
      <c r="E1441" s="4">
        <v>61000000</v>
      </c>
      <c r="F1441" s="4" t="str">
        <f>_xlfn.LET(_xlpm.r, _xlfn.XLOOKUP(Clean_Data[[#This Row],[Country_Code]], Metadata_Country!$A:$A, Metadata_Country!$B:$B, "Unknown"), IF(OR(_xlpm.r=0, _xlpm.r=""), "Regional Aggregate", _xlpm.r))</f>
        <v>Sub-Saharan Africa</v>
      </c>
      <c r="G1441" s="4" t="str">
        <f>_xlfn.LET(_xlpm.ig, _xlfn.XLOOKUP(Clean_Data[[#This Row],[Country_Code]], Metadata_Country!$A:$A, Metadata_Country!$C:$C, "Unknown"), IF(OR(_xlpm.ig=0, _xlpm.ig=""), "Regional Aggregate", _xlpm.ig))</f>
        <v>Lower middle income</v>
      </c>
      <c r="H1441" s="4">
        <f>Clean_Data[[#This Row],[Exports_TIV]] - Clean_Data[[#This Row],[Imports_TIV]]</f>
        <v>-61000000</v>
      </c>
      <c r="I1441" s="4">
        <f>Clean_Data[[#This Row],[Exports_TIV]] + Clean_Data[[#This Row],[Imports_TIV]]</f>
        <v>61000000</v>
      </c>
    </row>
    <row r="1442" spans="1:9">
      <c r="A1442" s="4" t="s">
        <v>349</v>
      </c>
      <c r="B1442" s="4" t="s">
        <v>350</v>
      </c>
      <c r="C1442" s="5">
        <v>2016</v>
      </c>
      <c r="D1442" s="4">
        <v>9986000000</v>
      </c>
      <c r="E1442" s="4">
        <v>693000000</v>
      </c>
      <c r="F1442" s="4" t="str">
        <f>_xlfn.LET(_xlpm.r, _xlfn.XLOOKUP(Clean_Data[[#This Row],[Country_Code]], Metadata_Country!$A:$A, Metadata_Country!$B:$B, "Unknown"), IF(OR(_xlpm.r=0, _xlpm.r=""), "Regional Aggregate", _xlpm.r))</f>
        <v>Regional Aggregate</v>
      </c>
      <c r="G1442" s="4" t="str">
        <f>_xlfn.LET(_xlpm.ig, _xlfn.XLOOKUP(Clean_Data[[#This Row],[Country_Code]], Metadata_Country!$A:$A, Metadata_Country!$C:$C, "Unknown"), IF(OR(_xlpm.ig=0, _xlpm.ig=""), "Regional Aggregate", _xlpm.ig))</f>
        <v>Regional Aggregate</v>
      </c>
      <c r="H1442" s="4">
        <f>Clean_Data[[#This Row],[Exports_TIV]] - Clean_Data[[#This Row],[Imports_TIV]]</f>
        <v>9293000000</v>
      </c>
      <c r="I1442" s="4">
        <f>Clean_Data[[#This Row],[Exports_TIV]] + Clean_Data[[#This Row],[Imports_TIV]]</f>
        <v>10679000000</v>
      </c>
    </row>
    <row r="1443" spans="1:9">
      <c r="A1443" s="4" t="s">
        <v>323</v>
      </c>
      <c r="B1443" s="4" t="s">
        <v>324</v>
      </c>
      <c r="C1443" s="5">
        <v>2016</v>
      </c>
      <c r="D1443" s="4">
        <v>0</v>
      </c>
      <c r="E1443" s="4">
        <v>0</v>
      </c>
      <c r="F1443" s="4" t="str">
        <f>_xlfn.LET(_xlpm.r, _xlfn.XLOOKUP(Clean_Data[[#This Row],[Country_Code]], Metadata_Country!$A:$A, Metadata_Country!$B:$B, "Unknown"), IF(OR(_xlpm.r=0, _xlpm.r=""), "Regional Aggregate", _xlpm.r))</f>
        <v>Europe &amp; Central Asia</v>
      </c>
      <c r="G1443" s="4" t="str">
        <f>_xlfn.LET(_xlpm.ig, _xlfn.XLOOKUP(Clean_Data[[#This Row],[Country_Code]], Metadata_Country!$A:$A, Metadata_Country!$C:$C, "Unknown"), IF(OR(_xlpm.ig=0, _xlpm.ig=""), "Regional Aggregate", _xlpm.ig))</f>
        <v>Upper middle income</v>
      </c>
      <c r="H1443" s="4">
        <f>Clean_Data[[#This Row],[Exports_TIV]] - Clean_Data[[#This Row],[Imports_TIV]]</f>
        <v>0</v>
      </c>
      <c r="I1443" s="4">
        <f>Clean_Data[[#This Row],[Exports_TIV]] + Clean_Data[[#This Row],[Imports_TIV]]</f>
        <v>0</v>
      </c>
    </row>
    <row r="1444" spans="1:9">
      <c r="A1444" s="4" t="s">
        <v>363</v>
      </c>
      <c r="B1444" s="4" t="s">
        <v>364</v>
      </c>
      <c r="C1444" s="5">
        <v>2016</v>
      </c>
      <c r="D1444" s="4">
        <v>85000000</v>
      </c>
      <c r="E1444" s="4">
        <v>142000000</v>
      </c>
      <c r="F1444" s="4" t="str">
        <f>_xlfn.LET(_xlpm.r, _xlfn.XLOOKUP(Clean_Data[[#This Row],[Country_Code]], Metadata_Country!$A:$A, Metadata_Country!$B:$B, "Unknown"), IF(OR(_xlpm.r=0, _xlpm.r=""), "Regional Aggregate", _xlpm.r))</f>
        <v>Europe &amp; Central Asia</v>
      </c>
      <c r="G1444" s="4" t="str">
        <f>_xlfn.LET(_xlpm.ig, _xlfn.XLOOKUP(Clean_Data[[#This Row],[Country_Code]], Metadata_Country!$A:$A, Metadata_Country!$C:$C, "Unknown"), IF(OR(_xlpm.ig=0, _xlpm.ig=""), "Regional Aggregate", _xlpm.ig))</f>
        <v>High income</v>
      </c>
      <c r="H1444" s="4">
        <f>Clean_Data[[#This Row],[Exports_TIV]] - Clean_Data[[#This Row],[Imports_TIV]]</f>
        <v>-57000000</v>
      </c>
      <c r="I1444" s="4">
        <f>Clean_Data[[#This Row],[Exports_TIV]] + Clean_Data[[#This Row],[Imports_TIV]]</f>
        <v>227000000</v>
      </c>
    </row>
    <row r="1445" spans="1:9">
      <c r="A1445" s="4" t="s">
        <v>371</v>
      </c>
      <c r="B1445" s="4" t="s">
        <v>372</v>
      </c>
      <c r="C1445" s="5">
        <v>2016</v>
      </c>
      <c r="D1445" s="4">
        <v>20731000000</v>
      </c>
      <c r="E1445" s="4">
        <v>6805000000</v>
      </c>
      <c r="F1445" s="4" t="str">
        <f>_xlfn.LET(_xlpm.r, _xlfn.XLOOKUP(Clean_Data[[#This Row],[Country_Code]], Metadata_Country!$A:$A, Metadata_Country!$B:$B, "Unknown"), IF(OR(_xlpm.r=0, _xlpm.r=""), "Regional Aggregate", _xlpm.r))</f>
        <v>Regional Aggregate</v>
      </c>
      <c r="G1445" s="4" t="str">
        <f>_xlfn.LET(_xlpm.ig, _xlfn.XLOOKUP(Clean_Data[[#This Row],[Country_Code]], Metadata_Country!$A:$A, Metadata_Country!$C:$C, "Unknown"), IF(OR(_xlpm.ig=0, _xlpm.ig=""), "Regional Aggregate", _xlpm.ig))</f>
        <v>Regional Aggregate</v>
      </c>
      <c r="H1445" s="4">
        <f>Clean_Data[[#This Row],[Exports_TIV]] - Clean_Data[[#This Row],[Imports_TIV]]</f>
        <v>13926000000</v>
      </c>
      <c r="I1445" s="4">
        <f>Clean_Data[[#This Row],[Exports_TIV]] + Clean_Data[[#This Row],[Imports_TIV]]</f>
        <v>27536000000</v>
      </c>
    </row>
    <row r="1446" spans="1:9">
      <c r="A1446" s="4" t="s">
        <v>373</v>
      </c>
      <c r="B1446" s="4" t="s">
        <v>374</v>
      </c>
      <c r="C1446" s="5">
        <v>2016</v>
      </c>
      <c r="D1446" s="4">
        <v>0</v>
      </c>
      <c r="E1446" s="4">
        <v>422000000</v>
      </c>
      <c r="F1446" s="4" t="str">
        <f>_xlfn.LET(_xlpm.r, _xlfn.XLOOKUP(Clean_Data[[#This Row],[Country_Code]], Metadata_Country!$A:$A, Metadata_Country!$B:$B, "Unknown"), IF(OR(_xlpm.r=0, _xlpm.r=""), "Regional Aggregate", _xlpm.r))</f>
        <v>Middle East &amp; North Africa</v>
      </c>
      <c r="G1446" s="4" t="str">
        <f>_xlfn.LET(_xlpm.ig, _xlfn.XLOOKUP(Clean_Data[[#This Row],[Country_Code]], Metadata_Country!$A:$A, Metadata_Country!$C:$C, "Unknown"), IF(OR(_xlpm.ig=0, _xlpm.ig=""), "Regional Aggregate", _xlpm.ig))</f>
        <v>High income</v>
      </c>
      <c r="H1446" s="4">
        <f>Clean_Data[[#This Row],[Exports_TIV]] - Clean_Data[[#This Row],[Imports_TIV]]</f>
        <v>-422000000</v>
      </c>
      <c r="I1446" s="4">
        <f>Clean_Data[[#This Row],[Exports_TIV]] + Clean_Data[[#This Row],[Imports_TIV]]</f>
        <v>422000000</v>
      </c>
    </row>
    <row r="1447" spans="1:9">
      <c r="A1447" s="4" t="s">
        <v>377</v>
      </c>
      <c r="B1447" s="4" t="s">
        <v>378</v>
      </c>
      <c r="C1447" s="5">
        <v>2016</v>
      </c>
      <c r="D1447" s="4">
        <v>1000000</v>
      </c>
      <c r="E1447" s="4">
        <v>872000000</v>
      </c>
      <c r="F1447" s="4" t="str">
        <f>_xlfn.LET(_xlpm.r, _xlfn.XLOOKUP(Clean_Data[[#This Row],[Country_Code]], Metadata_Country!$A:$A, Metadata_Country!$B:$B, "Unknown"), IF(OR(_xlpm.r=0, _xlpm.r=""), "Regional Aggregate", _xlpm.r))</f>
        <v>Middle East &amp; North Africa</v>
      </c>
      <c r="G1447" s="4" t="str">
        <f>_xlfn.LET(_xlpm.ig, _xlfn.XLOOKUP(Clean_Data[[#This Row],[Country_Code]], Metadata_Country!$A:$A, Metadata_Country!$C:$C, "Unknown"), IF(OR(_xlpm.ig=0, _xlpm.ig=""), "Regional Aggregate", _xlpm.ig))</f>
        <v>Lower middle income</v>
      </c>
      <c r="H1447" s="4">
        <f>Clean_Data[[#This Row],[Exports_TIV]] - Clean_Data[[#This Row],[Imports_TIV]]</f>
        <v>-871000000</v>
      </c>
      <c r="I1447" s="4">
        <f>Clean_Data[[#This Row],[Exports_TIV]] + Clean_Data[[#This Row],[Imports_TIV]]</f>
        <v>873000000</v>
      </c>
    </row>
    <row r="1448" spans="1:9">
      <c r="A1448" s="4" t="s">
        <v>381</v>
      </c>
      <c r="B1448" s="4" t="s">
        <v>382</v>
      </c>
      <c r="C1448" s="5">
        <v>2016</v>
      </c>
      <c r="D1448" s="4">
        <v>0</v>
      </c>
      <c r="E1448" s="4">
        <v>168000000</v>
      </c>
      <c r="F1448" s="4" t="str">
        <f>_xlfn.LET(_xlpm.r, _xlfn.XLOOKUP(Clean_Data[[#This Row],[Country_Code]], Metadata_Country!$A:$A, Metadata_Country!$B:$B, "Unknown"), IF(OR(_xlpm.r=0, _xlpm.r=""), "Regional Aggregate", _xlpm.r))</f>
        <v>Latin America &amp; Caribbean</v>
      </c>
      <c r="G1448" s="4" t="str">
        <f>_xlfn.LET(_xlpm.ig, _xlfn.XLOOKUP(Clean_Data[[#This Row],[Country_Code]], Metadata_Country!$A:$A, Metadata_Country!$C:$C, "Unknown"), IF(OR(_xlpm.ig=0, _xlpm.ig=""), "Regional Aggregate", _xlpm.ig))</f>
        <v>Upper middle income</v>
      </c>
      <c r="H1448" s="4">
        <f>Clean_Data[[#This Row],[Exports_TIV]] - Clean_Data[[#This Row],[Imports_TIV]]</f>
        <v>-168000000</v>
      </c>
      <c r="I1448" s="4">
        <f>Clean_Data[[#This Row],[Exports_TIV]] + Clean_Data[[#This Row],[Imports_TIV]]</f>
        <v>168000000</v>
      </c>
    </row>
    <row r="1449" spans="1:9">
      <c r="A1449" s="4" t="s">
        <v>383</v>
      </c>
      <c r="B1449" s="4" t="s">
        <v>384</v>
      </c>
      <c r="C1449" s="5">
        <v>2016</v>
      </c>
      <c r="D1449" s="4">
        <v>0</v>
      </c>
      <c r="E1449" s="4">
        <v>228000000</v>
      </c>
      <c r="F1449" s="4" t="str">
        <f>_xlfn.LET(_xlpm.r, _xlfn.XLOOKUP(Clean_Data[[#This Row],[Country_Code]], Metadata_Country!$A:$A, Metadata_Country!$B:$B, "Unknown"), IF(OR(_xlpm.r=0, _xlpm.r=""), "Regional Aggregate", _xlpm.r))</f>
        <v>East Asia &amp; Pacific</v>
      </c>
      <c r="G1449" s="4" t="str">
        <f>_xlfn.LET(_xlpm.ig, _xlfn.XLOOKUP(Clean_Data[[#This Row],[Country_Code]], Metadata_Country!$A:$A, Metadata_Country!$C:$C, "Unknown"), IF(OR(_xlpm.ig=0, _xlpm.ig=""), "Regional Aggregate", _xlpm.ig))</f>
        <v>Upper middle income</v>
      </c>
      <c r="H1449" s="4">
        <f>Clean_Data[[#This Row],[Exports_TIV]] - Clean_Data[[#This Row],[Imports_TIV]]</f>
        <v>-228000000</v>
      </c>
      <c r="I1449" s="4">
        <f>Clean_Data[[#This Row],[Exports_TIV]] + Clean_Data[[#This Row],[Imports_TIV]]</f>
        <v>228000000</v>
      </c>
    </row>
    <row r="1450" spans="1:9">
      <c r="A1450" s="4" t="s">
        <v>389</v>
      </c>
      <c r="B1450" s="4" t="s">
        <v>390</v>
      </c>
      <c r="C1450" s="5">
        <v>2016</v>
      </c>
      <c r="D1450" s="4">
        <v>5000000</v>
      </c>
      <c r="E1450" s="4">
        <v>45000000</v>
      </c>
      <c r="F1450" s="4" t="str">
        <f>_xlfn.LET(_xlpm.r, _xlfn.XLOOKUP(Clean_Data[[#This Row],[Country_Code]], Metadata_Country!$A:$A, Metadata_Country!$B:$B, "Unknown"), IF(OR(_xlpm.r=0, _xlpm.r=""), "Regional Aggregate", _xlpm.r))</f>
        <v>Europe &amp; Central Asia</v>
      </c>
      <c r="G1450" s="4" t="str">
        <f>_xlfn.LET(_xlpm.ig, _xlfn.XLOOKUP(Clean_Data[[#This Row],[Country_Code]], Metadata_Country!$A:$A, Metadata_Country!$C:$C, "Unknown"), IF(OR(_xlpm.ig=0, _xlpm.ig=""), "Regional Aggregate", _xlpm.ig))</f>
        <v>High income</v>
      </c>
      <c r="H1450" s="4">
        <f>Clean_Data[[#This Row],[Exports_TIV]] - Clean_Data[[#This Row],[Imports_TIV]]</f>
        <v>-40000000</v>
      </c>
      <c r="I1450" s="4">
        <f>Clean_Data[[#This Row],[Exports_TIV]] + Clean_Data[[#This Row],[Imports_TIV]]</f>
        <v>50000000</v>
      </c>
    </row>
    <row r="1451" spans="1:9">
      <c r="A1451" s="4" t="s">
        <v>397</v>
      </c>
      <c r="B1451" s="4" t="s">
        <v>398</v>
      </c>
      <c r="C1451" s="5">
        <v>2016</v>
      </c>
      <c r="D1451" s="4">
        <v>172000000</v>
      </c>
      <c r="E1451" s="4">
        <v>21000000</v>
      </c>
      <c r="F1451" s="4" t="str">
        <f>_xlfn.LET(_xlpm.r, _xlfn.XLOOKUP(Clean_Data[[#This Row],[Country_Code]], Metadata_Country!$A:$A, Metadata_Country!$B:$B, "Unknown"), IF(OR(_xlpm.r=0, _xlpm.r=""), "Regional Aggregate", _xlpm.r))</f>
        <v>Europe &amp; Central Asia</v>
      </c>
      <c r="G1451" s="4" t="str">
        <f>_xlfn.LET(_xlpm.ig, _xlfn.XLOOKUP(Clean_Data[[#This Row],[Country_Code]], Metadata_Country!$A:$A, Metadata_Country!$C:$C, "Unknown"), IF(OR(_xlpm.ig=0, _xlpm.ig=""), "Regional Aggregate", _xlpm.ig))</f>
        <v>High income</v>
      </c>
      <c r="H1451" s="4">
        <f>Clean_Data[[#This Row],[Exports_TIV]] - Clean_Data[[#This Row],[Imports_TIV]]</f>
        <v>151000000</v>
      </c>
      <c r="I1451" s="4">
        <f>Clean_Data[[#This Row],[Exports_TIV]] + Clean_Data[[#This Row],[Imports_TIV]]</f>
        <v>193000000</v>
      </c>
    </row>
    <row r="1452" spans="1:9">
      <c r="A1452" s="4" t="s">
        <v>405</v>
      </c>
      <c r="B1452" s="4" t="s">
        <v>406</v>
      </c>
      <c r="C1452" s="5">
        <v>2016</v>
      </c>
      <c r="D1452" s="4">
        <v>19965000000</v>
      </c>
      <c r="E1452" s="4">
        <v>6058000000</v>
      </c>
      <c r="F1452" s="4" t="str">
        <f>_xlfn.LET(_xlpm.r, _xlfn.XLOOKUP(Clean_Data[[#This Row],[Country_Code]], Metadata_Country!$A:$A, Metadata_Country!$B:$B, "Unknown"), IF(OR(_xlpm.r=0, _xlpm.r=""), "Regional Aggregate", _xlpm.r))</f>
        <v>Regional Aggregate</v>
      </c>
      <c r="G1452" s="4" t="str">
        <f>_xlfn.LET(_xlpm.ig, _xlfn.XLOOKUP(Clean_Data[[#This Row],[Country_Code]], Metadata_Country!$A:$A, Metadata_Country!$C:$C, "Unknown"), IF(OR(_xlpm.ig=0, _xlpm.ig=""), "Regional Aggregate", _xlpm.ig))</f>
        <v>Regional Aggregate</v>
      </c>
      <c r="H1452" s="4">
        <f>Clean_Data[[#This Row],[Exports_TIV]] - Clean_Data[[#This Row],[Imports_TIV]]</f>
        <v>13907000000</v>
      </c>
      <c r="I1452" s="4">
        <f>Clean_Data[[#This Row],[Exports_TIV]] + Clean_Data[[#This Row],[Imports_TIV]]</f>
        <v>26023000000</v>
      </c>
    </row>
    <row r="1453" spans="1:9">
      <c r="A1453" s="4" t="s">
        <v>391</v>
      </c>
      <c r="B1453" s="4" t="s">
        <v>392</v>
      </c>
      <c r="C1453" s="5">
        <v>2016</v>
      </c>
      <c r="D1453" s="4">
        <v>0</v>
      </c>
      <c r="E1453" s="4">
        <v>2664000000</v>
      </c>
      <c r="F1453" s="4" t="str">
        <f>_xlfn.LET(_xlpm.r, _xlfn.XLOOKUP(Clean_Data[[#This Row],[Country_Code]], Metadata_Country!$A:$A, Metadata_Country!$B:$B, "Unknown"), IF(OR(_xlpm.r=0, _xlpm.r=""), "Regional Aggregate", _xlpm.r))</f>
        <v>Regional Aggregate</v>
      </c>
      <c r="G1453" s="4" t="str">
        <f>_xlfn.LET(_xlpm.ig, _xlfn.XLOOKUP(Clean_Data[[#This Row],[Country_Code]], Metadata_Country!$A:$A, Metadata_Country!$C:$C, "Unknown"), IF(OR(_xlpm.ig=0, _xlpm.ig=""), "Regional Aggregate", _xlpm.ig))</f>
        <v>Regional Aggregate</v>
      </c>
      <c r="H1453" s="4">
        <f>Clean_Data[[#This Row],[Exports_TIV]] - Clean_Data[[#This Row],[Imports_TIV]]</f>
        <v>-2664000000</v>
      </c>
      <c r="I1453" s="4">
        <f>Clean_Data[[#This Row],[Exports_TIV]] + Clean_Data[[#This Row],[Imports_TIV]]</f>
        <v>2664000000</v>
      </c>
    </row>
    <row r="1454" spans="1:9">
      <c r="A1454" s="4" t="s">
        <v>409</v>
      </c>
      <c r="B1454" s="4" t="s">
        <v>410</v>
      </c>
      <c r="C1454" s="5">
        <v>2016</v>
      </c>
      <c r="D1454" s="4">
        <v>0</v>
      </c>
      <c r="E1454" s="4">
        <v>596000000</v>
      </c>
      <c r="F1454" s="4" t="str">
        <f>_xlfn.LET(_xlpm.r, _xlfn.XLOOKUP(Clean_Data[[#This Row],[Country_Code]], Metadata_Country!$A:$A, Metadata_Country!$B:$B, "Unknown"), IF(OR(_xlpm.r=0, _xlpm.r=""), "Regional Aggregate", _xlpm.r))</f>
        <v>Middle East &amp; North Africa</v>
      </c>
      <c r="G1454" s="4" t="str">
        <f>_xlfn.LET(_xlpm.ig, _xlfn.XLOOKUP(Clean_Data[[#This Row],[Country_Code]], Metadata_Country!$A:$A, Metadata_Country!$C:$C, "Unknown"), IF(OR(_xlpm.ig=0, _xlpm.ig=""), "Regional Aggregate", _xlpm.ig))</f>
        <v>High income</v>
      </c>
      <c r="H1454" s="4">
        <f>Clean_Data[[#This Row],[Exports_TIV]] - Clean_Data[[#This Row],[Imports_TIV]]</f>
        <v>-596000000</v>
      </c>
      <c r="I1454" s="4">
        <f>Clean_Data[[#This Row],[Exports_TIV]] + Clean_Data[[#This Row],[Imports_TIV]]</f>
        <v>596000000</v>
      </c>
    </row>
    <row r="1455" spans="1:9">
      <c r="A1455" s="4" t="s">
        <v>411</v>
      </c>
      <c r="B1455" s="4" t="s">
        <v>412</v>
      </c>
      <c r="C1455" s="5">
        <v>2016</v>
      </c>
      <c r="D1455" s="4">
        <v>0</v>
      </c>
      <c r="E1455" s="4">
        <v>177000000</v>
      </c>
      <c r="F1455" s="4" t="str">
        <f>_xlfn.LET(_xlpm.r, _xlfn.XLOOKUP(Clean_Data[[#This Row],[Country_Code]], Metadata_Country!$A:$A, Metadata_Country!$B:$B, "Unknown"), IF(OR(_xlpm.r=0, _xlpm.r=""), "Regional Aggregate", _xlpm.r))</f>
        <v>Europe &amp; Central Asia</v>
      </c>
      <c r="G1455" s="4" t="str">
        <f>_xlfn.LET(_xlpm.ig, _xlfn.XLOOKUP(Clean_Data[[#This Row],[Country_Code]], Metadata_Country!$A:$A, Metadata_Country!$C:$C, "Unknown"), IF(OR(_xlpm.ig=0, _xlpm.ig=""), "Regional Aggregate", _xlpm.ig))</f>
        <v>High income</v>
      </c>
      <c r="H1455" s="4">
        <f>Clean_Data[[#This Row],[Exports_TIV]] - Clean_Data[[#This Row],[Imports_TIV]]</f>
        <v>-177000000</v>
      </c>
      <c r="I1455" s="4">
        <f>Clean_Data[[#This Row],[Exports_TIV]] + Clean_Data[[#This Row],[Imports_TIV]]</f>
        <v>177000000</v>
      </c>
    </row>
    <row r="1456" spans="1:9">
      <c r="A1456" s="4" t="s">
        <v>413</v>
      </c>
      <c r="B1456" s="4" t="s">
        <v>414</v>
      </c>
      <c r="C1456" s="5">
        <v>2016</v>
      </c>
      <c r="D1456" s="4">
        <v>6751000000</v>
      </c>
      <c r="E1456" s="4">
        <v>127000000</v>
      </c>
      <c r="F1456" s="4" t="str">
        <f>_xlfn.LET(_xlpm.r, _xlfn.XLOOKUP(Clean_Data[[#This Row],[Country_Code]], Metadata_Country!$A:$A, Metadata_Country!$B:$B, "Unknown"), IF(OR(_xlpm.r=0, _xlpm.r=""), "Regional Aggregate", _xlpm.r))</f>
        <v>Europe &amp; Central Asia</v>
      </c>
      <c r="G1456" s="4" t="str">
        <f>_xlfn.LET(_xlpm.ig, _xlfn.XLOOKUP(Clean_Data[[#This Row],[Country_Code]], Metadata_Country!$A:$A, Metadata_Country!$C:$C, "Unknown"), IF(OR(_xlpm.ig=0, _xlpm.ig=""), "Regional Aggregate", _xlpm.ig))</f>
        <v>High income</v>
      </c>
      <c r="H1456" s="4">
        <f>Clean_Data[[#This Row],[Exports_TIV]] - Clean_Data[[#This Row],[Imports_TIV]]</f>
        <v>6624000000</v>
      </c>
      <c r="I1456" s="4">
        <f>Clean_Data[[#This Row],[Exports_TIV]] + Clean_Data[[#This Row],[Imports_TIV]]</f>
        <v>6878000000</v>
      </c>
    </row>
    <row r="1457" spans="1:9">
      <c r="A1457" s="4" t="s">
        <v>419</v>
      </c>
      <c r="B1457" s="4" t="s">
        <v>420</v>
      </c>
      <c r="C1457" s="5">
        <v>2016</v>
      </c>
      <c r="D1457" s="4">
        <v>5000000</v>
      </c>
      <c r="E1457" s="4">
        <v>2909000000</v>
      </c>
      <c r="F1457" s="4" t="str">
        <f>_xlfn.LET(_xlpm.r, _xlfn.XLOOKUP(Clean_Data[[#This Row],[Country_Code]], Metadata_Country!$A:$A, Metadata_Country!$B:$B, "Unknown"), IF(OR(_xlpm.r=0, _xlpm.r=""), "Regional Aggregate", _xlpm.r))</f>
        <v>Middle East &amp; North Africa</v>
      </c>
      <c r="G1457" s="4" t="str">
        <f>_xlfn.LET(_xlpm.ig, _xlfn.XLOOKUP(Clean_Data[[#This Row],[Country_Code]], Metadata_Country!$A:$A, Metadata_Country!$C:$C, "Unknown"), IF(OR(_xlpm.ig=0, _xlpm.ig=""), "Regional Aggregate", _xlpm.ig))</f>
        <v>High income</v>
      </c>
      <c r="H1457" s="4">
        <f>Clean_Data[[#This Row],[Exports_TIV]] - Clean_Data[[#This Row],[Imports_TIV]]</f>
        <v>-2904000000</v>
      </c>
      <c r="I1457" s="4">
        <f>Clean_Data[[#This Row],[Exports_TIV]] + Clean_Data[[#This Row],[Imports_TIV]]</f>
        <v>2914000000</v>
      </c>
    </row>
    <row r="1458" spans="1:9">
      <c r="A1458" s="4" t="s">
        <v>423</v>
      </c>
      <c r="B1458" s="4" t="s">
        <v>424</v>
      </c>
      <c r="C1458" s="5">
        <v>2016</v>
      </c>
      <c r="D1458" s="4">
        <v>0</v>
      </c>
      <c r="E1458" s="4">
        <v>40000000</v>
      </c>
      <c r="F1458" s="4" t="str">
        <f>_xlfn.LET(_xlpm.r, _xlfn.XLOOKUP(Clean_Data[[#This Row],[Country_Code]], Metadata_Country!$A:$A, Metadata_Country!$B:$B, "Unknown"), IF(OR(_xlpm.r=0, _xlpm.r=""), "Regional Aggregate", _xlpm.r))</f>
        <v>Sub-Saharan Africa</v>
      </c>
      <c r="G1458" s="4" t="str">
        <f>_xlfn.LET(_xlpm.ig, _xlfn.XLOOKUP(Clean_Data[[#This Row],[Country_Code]], Metadata_Country!$A:$A, Metadata_Country!$C:$C, "Unknown"), IF(OR(_xlpm.ig=0, _xlpm.ig=""), "Regional Aggregate", _xlpm.ig))</f>
        <v>Lower middle income</v>
      </c>
      <c r="H1458" s="4">
        <f>Clean_Data[[#This Row],[Exports_TIV]] - Clean_Data[[#This Row],[Imports_TIV]]</f>
        <v>-40000000</v>
      </c>
      <c r="I1458" s="4">
        <f>Clean_Data[[#This Row],[Exports_TIV]] + Clean_Data[[#This Row],[Imports_TIV]]</f>
        <v>40000000</v>
      </c>
    </row>
    <row r="1459" spans="1:9">
      <c r="A1459" s="4" t="s">
        <v>437</v>
      </c>
      <c r="B1459" s="4" t="s">
        <v>438</v>
      </c>
      <c r="C1459" s="5">
        <v>2016</v>
      </c>
      <c r="D1459" s="4">
        <v>86000000</v>
      </c>
      <c r="E1459" s="4">
        <v>23000000</v>
      </c>
      <c r="F1459" s="4" t="str">
        <f>_xlfn.LET(_xlpm.r, _xlfn.XLOOKUP(Clean_Data[[#This Row],[Country_Code]], Metadata_Country!$A:$A, Metadata_Country!$B:$B, "Unknown"), IF(OR(_xlpm.r=0, _xlpm.r=""), "Regional Aggregate", _xlpm.r))</f>
        <v>Europe &amp; Central Asia</v>
      </c>
      <c r="G1459" s="4" t="str">
        <f>_xlfn.LET(_xlpm.ig, _xlfn.XLOOKUP(Clean_Data[[#This Row],[Country_Code]], Metadata_Country!$A:$A, Metadata_Country!$C:$C, "Unknown"), IF(OR(_xlpm.ig=0, _xlpm.ig=""), "Regional Aggregate", _xlpm.ig))</f>
        <v>Upper middle income</v>
      </c>
      <c r="H1459" s="4">
        <f>Clean_Data[[#This Row],[Exports_TIV]] - Clean_Data[[#This Row],[Imports_TIV]]</f>
        <v>63000000</v>
      </c>
      <c r="I1459" s="4">
        <f>Clean_Data[[#This Row],[Exports_TIV]] + Clean_Data[[#This Row],[Imports_TIV]]</f>
        <v>109000000</v>
      </c>
    </row>
    <row r="1460" spans="1:9">
      <c r="A1460" s="4" t="s">
        <v>461</v>
      </c>
      <c r="B1460" s="4" t="s">
        <v>462</v>
      </c>
      <c r="C1460" s="5">
        <v>2016</v>
      </c>
      <c r="D1460" s="4">
        <v>0</v>
      </c>
      <c r="E1460" s="4">
        <v>8000000</v>
      </c>
      <c r="F1460" s="4" t="str">
        <f>_xlfn.LET(_xlpm.r, _xlfn.XLOOKUP(Clean_Data[[#This Row],[Country_Code]], Metadata_Country!$A:$A, Metadata_Country!$B:$B, "Unknown"), IF(OR(_xlpm.r=0, _xlpm.r=""), "Regional Aggregate", _xlpm.r))</f>
        <v>Sub-Saharan Africa</v>
      </c>
      <c r="G1460" s="4" t="str">
        <f>_xlfn.LET(_xlpm.ig, _xlfn.XLOOKUP(Clean_Data[[#This Row],[Country_Code]], Metadata_Country!$A:$A, Metadata_Country!$C:$C, "Unknown"), IF(OR(_xlpm.ig=0, _xlpm.ig=""), "Regional Aggregate", _xlpm.ig))</f>
        <v>High income</v>
      </c>
      <c r="H1460" s="4">
        <f>Clean_Data[[#This Row],[Exports_TIV]] - Clean_Data[[#This Row],[Imports_TIV]]</f>
        <v>-8000000</v>
      </c>
      <c r="I1460" s="4">
        <f>Clean_Data[[#This Row],[Exports_TIV]] + Clean_Data[[#This Row],[Imports_TIV]]</f>
        <v>8000000</v>
      </c>
    </row>
    <row r="1461" spans="1:9">
      <c r="A1461" s="4" t="s">
        <v>429</v>
      </c>
      <c r="B1461" s="4" t="s">
        <v>430</v>
      </c>
      <c r="C1461" s="5">
        <v>2016</v>
      </c>
      <c r="D1461" s="4">
        <v>0</v>
      </c>
      <c r="E1461" s="4">
        <v>2000000</v>
      </c>
      <c r="F1461" s="4" t="str">
        <f>_xlfn.LET(_xlpm.r, _xlfn.XLOOKUP(Clean_Data[[#This Row],[Country_Code]], Metadata_Country!$A:$A, Metadata_Country!$B:$B, "Unknown"), IF(OR(_xlpm.r=0, _xlpm.r=""), "Regional Aggregate", _xlpm.r))</f>
        <v>Sub-Saharan Africa</v>
      </c>
      <c r="G1461" s="4" t="str">
        <f>_xlfn.LET(_xlpm.ig, _xlfn.XLOOKUP(Clean_Data[[#This Row],[Country_Code]], Metadata_Country!$A:$A, Metadata_Country!$C:$C, "Unknown"), IF(OR(_xlpm.ig=0, _xlpm.ig=""), "Regional Aggregate", _xlpm.ig))</f>
        <v>Low income</v>
      </c>
      <c r="H1461" s="4">
        <f>Clean_Data[[#This Row],[Exports_TIV]] - Clean_Data[[#This Row],[Imports_TIV]]</f>
        <v>-2000000</v>
      </c>
      <c r="I1461" s="4">
        <f>Clean_Data[[#This Row],[Exports_TIV]] + Clean_Data[[#This Row],[Imports_TIV]]</f>
        <v>2000000</v>
      </c>
    </row>
    <row r="1462" spans="1:9">
      <c r="A1462" s="4" t="s">
        <v>425</v>
      </c>
      <c r="B1462" s="4" t="s">
        <v>426</v>
      </c>
      <c r="C1462" s="5">
        <v>2016</v>
      </c>
      <c r="D1462" s="4">
        <v>77000000</v>
      </c>
      <c r="E1462" s="4">
        <v>642000000</v>
      </c>
      <c r="F1462" s="4" t="str">
        <f>_xlfn.LET(_xlpm.r, _xlfn.XLOOKUP(Clean_Data[[#This Row],[Country_Code]], Metadata_Country!$A:$A, Metadata_Country!$B:$B, "Unknown"), IF(OR(_xlpm.r=0, _xlpm.r=""), "Regional Aggregate", _xlpm.r))</f>
        <v>East Asia &amp; Pacific</v>
      </c>
      <c r="G1462" s="4" t="str">
        <f>_xlfn.LET(_xlpm.ig, _xlfn.XLOOKUP(Clean_Data[[#This Row],[Country_Code]], Metadata_Country!$A:$A, Metadata_Country!$C:$C, "Unknown"), IF(OR(_xlpm.ig=0, _xlpm.ig=""), "Regional Aggregate", _xlpm.ig))</f>
        <v>High income</v>
      </c>
      <c r="H1462" s="4">
        <f>Clean_Data[[#This Row],[Exports_TIV]] - Clean_Data[[#This Row],[Imports_TIV]]</f>
        <v>-565000000</v>
      </c>
      <c r="I1462" s="4">
        <f>Clean_Data[[#This Row],[Exports_TIV]] + Clean_Data[[#This Row],[Imports_TIV]]</f>
        <v>719000000</v>
      </c>
    </row>
    <row r="1463" spans="1:9">
      <c r="A1463" s="4" t="s">
        <v>451</v>
      </c>
      <c r="B1463" s="4" t="s">
        <v>452</v>
      </c>
      <c r="C1463" s="5">
        <v>2016</v>
      </c>
      <c r="D1463" s="4">
        <v>20000000</v>
      </c>
      <c r="E1463" s="4">
        <v>0</v>
      </c>
      <c r="F1463" s="4" t="str">
        <f>_xlfn.LET(_xlpm.r, _xlfn.XLOOKUP(Clean_Data[[#This Row],[Country_Code]], Metadata_Country!$A:$A, Metadata_Country!$B:$B, "Unknown"), IF(OR(_xlpm.r=0, _xlpm.r=""), "Regional Aggregate", _xlpm.r))</f>
        <v>Europe &amp; Central Asia</v>
      </c>
      <c r="G1463" s="4" t="str">
        <f>_xlfn.LET(_xlpm.ig, _xlfn.XLOOKUP(Clean_Data[[#This Row],[Country_Code]], Metadata_Country!$A:$A, Metadata_Country!$C:$C, "Unknown"), IF(OR(_xlpm.ig=0, _xlpm.ig=""), "Regional Aggregate", _xlpm.ig))</f>
        <v>High income</v>
      </c>
      <c r="H1463" s="4">
        <f>Clean_Data[[#This Row],[Exports_TIV]] - Clean_Data[[#This Row],[Imports_TIV]]</f>
        <v>20000000</v>
      </c>
      <c r="I1463" s="4">
        <f>Clean_Data[[#This Row],[Exports_TIV]] + Clean_Data[[#This Row],[Imports_TIV]]</f>
        <v>20000000</v>
      </c>
    </row>
    <row r="1464" spans="1:9">
      <c r="A1464" s="4" t="s">
        <v>453</v>
      </c>
      <c r="B1464" s="4" t="s">
        <v>454</v>
      </c>
      <c r="C1464" s="5">
        <v>2016</v>
      </c>
      <c r="D1464" s="4">
        <v>10000000</v>
      </c>
      <c r="E1464" s="4">
        <v>0</v>
      </c>
      <c r="F1464" s="4" t="str">
        <f>_xlfn.LET(_xlpm.r, _xlfn.XLOOKUP(Clean_Data[[#This Row],[Country_Code]], Metadata_Country!$A:$A, Metadata_Country!$B:$B, "Unknown"), IF(OR(_xlpm.r=0, _xlpm.r=""), "Regional Aggregate", _xlpm.r))</f>
        <v>Europe &amp; Central Asia</v>
      </c>
      <c r="G1464" s="4" t="str">
        <f>_xlfn.LET(_xlpm.ig, _xlfn.XLOOKUP(Clean_Data[[#This Row],[Country_Code]], Metadata_Country!$A:$A, Metadata_Country!$C:$C, "Unknown"), IF(OR(_xlpm.ig=0, _xlpm.ig=""), "Regional Aggregate", _xlpm.ig))</f>
        <v>High income</v>
      </c>
      <c r="H1464" s="4">
        <f>Clean_Data[[#This Row],[Exports_TIV]] - Clean_Data[[#This Row],[Imports_TIV]]</f>
        <v>10000000</v>
      </c>
      <c r="I1464" s="4">
        <f>Clean_Data[[#This Row],[Exports_TIV]] + Clean_Data[[#This Row],[Imports_TIV]]</f>
        <v>10000000</v>
      </c>
    </row>
    <row r="1465" spans="1:9">
      <c r="A1465" s="4" t="s">
        <v>435</v>
      </c>
      <c r="B1465" s="4" t="s">
        <v>436</v>
      </c>
      <c r="C1465" s="5">
        <v>2016</v>
      </c>
      <c r="D1465" s="4">
        <v>0</v>
      </c>
      <c r="E1465" s="4">
        <v>2000000</v>
      </c>
      <c r="F1465" s="4" t="str">
        <f>_xlfn.LET(_xlpm.r, _xlfn.XLOOKUP(Clean_Data[[#This Row],[Country_Code]], Metadata_Country!$A:$A, Metadata_Country!$B:$B, "Unknown"), IF(OR(_xlpm.r=0, _xlpm.r=""), "Regional Aggregate", _xlpm.r))</f>
        <v>Sub-Saharan Africa</v>
      </c>
      <c r="G1465" s="4" t="str">
        <f>_xlfn.LET(_xlpm.ig, _xlfn.XLOOKUP(Clean_Data[[#This Row],[Country_Code]], Metadata_Country!$A:$A, Metadata_Country!$C:$C, "Unknown"), IF(OR(_xlpm.ig=0, _xlpm.ig=""), "Regional Aggregate", _xlpm.ig))</f>
        <v>Low income</v>
      </c>
      <c r="H1465" s="4">
        <f>Clean_Data[[#This Row],[Exports_TIV]] - Clean_Data[[#This Row],[Imports_TIV]]</f>
        <v>-2000000</v>
      </c>
      <c r="I1465" s="4">
        <f>Clean_Data[[#This Row],[Exports_TIV]] + Clean_Data[[#This Row],[Imports_TIV]]</f>
        <v>2000000</v>
      </c>
    </row>
    <row r="1466" spans="1:9">
      <c r="A1466" s="4" t="s">
        <v>535</v>
      </c>
      <c r="B1466" s="4" t="s">
        <v>536</v>
      </c>
      <c r="C1466" s="5">
        <v>2016</v>
      </c>
      <c r="D1466" s="4">
        <v>118000000</v>
      </c>
      <c r="E1466" s="4">
        <v>0</v>
      </c>
      <c r="F1466" s="4" t="str">
        <f>_xlfn.LET(_xlpm.r, _xlfn.XLOOKUP(Clean_Data[[#This Row],[Country_Code]], Metadata_Country!$A:$A, Metadata_Country!$B:$B, "Unknown"), IF(OR(_xlpm.r=0, _xlpm.r=""), "Regional Aggregate", _xlpm.r))</f>
        <v>Sub-Saharan Africa</v>
      </c>
      <c r="G1466" s="4" t="str">
        <f>_xlfn.LET(_xlpm.ig, _xlfn.XLOOKUP(Clean_Data[[#This Row],[Country_Code]], Metadata_Country!$A:$A, Metadata_Country!$C:$C, "Unknown"), IF(OR(_xlpm.ig=0, _xlpm.ig=""), "Regional Aggregate", _xlpm.ig))</f>
        <v>Upper middle income</v>
      </c>
      <c r="H1466" s="4">
        <f>Clean_Data[[#This Row],[Exports_TIV]] - Clean_Data[[#This Row],[Imports_TIV]]</f>
        <v>118000000</v>
      </c>
      <c r="I1466" s="4">
        <f>Clean_Data[[#This Row],[Exports_TIV]] + Clean_Data[[#This Row],[Imports_TIV]]</f>
        <v>118000000</v>
      </c>
    </row>
    <row r="1467" spans="1:9">
      <c r="A1467" s="4" t="s">
        <v>417</v>
      </c>
      <c r="B1467" s="4" t="s">
        <v>418</v>
      </c>
      <c r="C1467" s="5">
        <v>2016</v>
      </c>
      <c r="D1467" s="4">
        <v>49000000</v>
      </c>
      <c r="E1467" s="4">
        <v>3116000000</v>
      </c>
      <c r="F1467" s="4" t="str">
        <f>_xlfn.LET(_xlpm.r, _xlfn.XLOOKUP(Clean_Data[[#This Row],[Country_Code]], Metadata_Country!$A:$A, Metadata_Country!$B:$B, "Unknown"), IF(OR(_xlpm.r=0, _xlpm.r=""), "Regional Aggregate", _xlpm.r))</f>
        <v>Regional Aggregate</v>
      </c>
      <c r="G1467" s="4" t="str">
        <f>_xlfn.LET(_xlpm.ig, _xlfn.XLOOKUP(Clean_Data[[#This Row],[Country_Code]], Metadata_Country!$A:$A, Metadata_Country!$C:$C, "Unknown"), IF(OR(_xlpm.ig=0, _xlpm.ig=""), "Regional Aggregate", _xlpm.ig))</f>
        <v>Regional Aggregate</v>
      </c>
      <c r="H1467" s="4">
        <f>Clean_Data[[#This Row],[Exports_TIV]] - Clean_Data[[#This Row],[Imports_TIV]]</f>
        <v>-3067000000</v>
      </c>
      <c r="I1467" s="4">
        <f>Clean_Data[[#This Row],[Exports_TIV]] + Clean_Data[[#This Row],[Imports_TIV]]</f>
        <v>3165000000</v>
      </c>
    </row>
    <row r="1468" spans="1:9">
      <c r="A1468" s="4" t="s">
        <v>489</v>
      </c>
      <c r="B1468" s="4" t="s">
        <v>490</v>
      </c>
      <c r="C1468" s="5">
        <v>2016</v>
      </c>
      <c r="D1468" s="4">
        <v>49000000</v>
      </c>
      <c r="E1468" s="4">
        <v>3116000000</v>
      </c>
      <c r="F1468" s="4" t="str">
        <f>_xlfn.LET(_xlpm.r, _xlfn.XLOOKUP(Clean_Data[[#This Row],[Country_Code]], Metadata_Country!$A:$A, Metadata_Country!$B:$B, "Unknown"), IF(OR(_xlpm.r=0, _xlpm.r=""), "Regional Aggregate", _xlpm.r))</f>
        <v>Regional Aggregate</v>
      </c>
      <c r="G1468" s="4" t="str">
        <f>_xlfn.LET(_xlpm.ig, _xlfn.XLOOKUP(Clean_Data[[#This Row],[Country_Code]], Metadata_Country!$A:$A, Metadata_Country!$C:$C, "Unknown"), IF(OR(_xlpm.ig=0, _xlpm.ig=""), "Regional Aggregate", _xlpm.ig))</f>
        <v>Regional Aggregate</v>
      </c>
      <c r="H1468" s="4">
        <f>Clean_Data[[#This Row],[Exports_TIV]] - Clean_Data[[#This Row],[Imports_TIV]]</f>
        <v>-3067000000</v>
      </c>
      <c r="I1468" s="4">
        <f>Clean_Data[[#This Row],[Exports_TIV]] + Clean_Data[[#This Row],[Imports_TIV]]</f>
        <v>3165000000</v>
      </c>
    </row>
    <row r="1469" spans="1:9">
      <c r="A1469" s="4" t="s">
        <v>441</v>
      </c>
      <c r="B1469" s="4" t="s">
        <v>442</v>
      </c>
      <c r="C1469" s="5">
        <v>2016</v>
      </c>
      <c r="D1469" s="4">
        <v>0</v>
      </c>
      <c r="E1469" s="4">
        <v>8000000</v>
      </c>
      <c r="F1469" s="4" t="str">
        <f>_xlfn.LET(_xlpm.r, _xlfn.XLOOKUP(Clean_Data[[#This Row],[Country_Code]], Metadata_Country!$A:$A, Metadata_Country!$B:$B, "Unknown"), IF(OR(_xlpm.r=0, _xlpm.r=""), "Regional Aggregate", _xlpm.r))</f>
        <v>Sub-Saharan Africa</v>
      </c>
      <c r="G1469" s="4" t="str">
        <f>_xlfn.LET(_xlpm.ig, _xlfn.XLOOKUP(Clean_Data[[#This Row],[Country_Code]], Metadata_Country!$A:$A, Metadata_Country!$C:$C, "Unknown"), IF(OR(_xlpm.ig=0, _xlpm.ig=""), "Regional Aggregate", _xlpm.ig))</f>
        <v>Low income</v>
      </c>
      <c r="H1469" s="4">
        <f>Clean_Data[[#This Row],[Exports_TIV]] - Clean_Data[[#This Row],[Imports_TIV]]</f>
        <v>-8000000</v>
      </c>
      <c r="I1469" s="4">
        <f>Clean_Data[[#This Row],[Exports_TIV]] + Clean_Data[[#This Row],[Imports_TIV]]</f>
        <v>8000000</v>
      </c>
    </row>
    <row r="1470" spans="1:9">
      <c r="A1470" s="4" t="s">
        <v>149</v>
      </c>
      <c r="B1470" s="4" t="s">
        <v>150</v>
      </c>
      <c r="C1470" s="5">
        <v>2016</v>
      </c>
      <c r="D1470" s="4">
        <v>481000000</v>
      </c>
      <c r="E1470" s="4">
        <v>104000000</v>
      </c>
      <c r="F1470" s="4" t="str">
        <f>_xlfn.LET(_xlpm.r, _xlfn.XLOOKUP(Clean_Data[[#This Row],[Country_Code]], Metadata_Country!$A:$A, Metadata_Country!$B:$B, "Unknown"), IF(OR(_xlpm.r=0, _xlpm.r=""), "Regional Aggregate", _xlpm.r))</f>
        <v>Europe &amp; Central Asia</v>
      </c>
      <c r="G1470" s="4" t="str">
        <f>_xlfn.LET(_xlpm.ig, _xlfn.XLOOKUP(Clean_Data[[#This Row],[Country_Code]], Metadata_Country!$A:$A, Metadata_Country!$C:$C, "Unknown"), IF(OR(_xlpm.ig=0, _xlpm.ig=""), "Regional Aggregate", _xlpm.ig))</f>
        <v>High income</v>
      </c>
      <c r="H1470" s="4">
        <f>Clean_Data[[#This Row],[Exports_TIV]] - Clean_Data[[#This Row],[Imports_TIV]]</f>
        <v>377000000</v>
      </c>
      <c r="I1470" s="4">
        <f>Clean_Data[[#This Row],[Exports_TIV]] + Clean_Data[[#This Row],[Imports_TIV]]</f>
        <v>585000000</v>
      </c>
    </row>
    <row r="1471" spans="1:9">
      <c r="A1471" s="4" t="s">
        <v>443</v>
      </c>
      <c r="B1471" s="4" t="s">
        <v>444</v>
      </c>
      <c r="C1471" s="5">
        <v>2016</v>
      </c>
      <c r="D1471" s="4">
        <v>0</v>
      </c>
      <c r="E1471" s="4">
        <v>787000000</v>
      </c>
      <c r="F1471" s="4" t="str">
        <f>_xlfn.LET(_xlpm.r, _xlfn.XLOOKUP(Clean_Data[[#This Row],[Country_Code]], Metadata_Country!$A:$A, Metadata_Country!$B:$B, "Unknown"), IF(OR(_xlpm.r=0, _xlpm.r=""), "Regional Aggregate", _xlpm.r))</f>
        <v>Regional Aggregate</v>
      </c>
      <c r="G1471" s="4" t="str">
        <f>_xlfn.LET(_xlpm.ig, _xlfn.XLOOKUP(Clean_Data[[#This Row],[Country_Code]], Metadata_Country!$A:$A, Metadata_Country!$C:$C, "Unknown"), IF(OR(_xlpm.ig=0, _xlpm.ig=""), "Regional Aggregate", _xlpm.ig))</f>
        <v>Regional Aggregate</v>
      </c>
      <c r="H1471" s="4">
        <f>Clean_Data[[#This Row],[Exports_TIV]] - Clean_Data[[#This Row],[Imports_TIV]]</f>
        <v>-787000000</v>
      </c>
      <c r="I1471" s="4">
        <f>Clean_Data[[#This Row],[Exports_TIV]] + Clean_Data[[#This Row],[Imports_TIV]]</f>
        <v>787000000</v>
      </c>
    </row>
    <row r="1472" spans="1:9">
      <c r="A1472" s="4" t="s">
        <v>439</v>
      </c>
      <c r="B1472" s="4" t="s">
        <v>440</v>
      </c>
      <c r="C1472" s="5">
        <v>2016</v>
      </c>
      <c r="D1472" s="4">
        <v>0</v>
      </c>
      <c r="E1472" s="4">
        <v>779000000</v>
      </c>
      <c r="F1472" s="4" t="str">
        <f>_xlfn.LET(_xlpm.r, _xlfn.XLOOKUP(Clean_Data[[#This Row],[Country_Code]], Metadata_Country!$A:$A, Metadata_Country!$B:$B, "Unknown"), IF(OR(_xlpm.r=0, _xlpm.r=""), "Regional Aggregate", _xlpm.r))</f>
        <v>Regional Aggregate</v>
      </c>
      <c r="G1472" s="4" t="str">
        <f>_xlfn.LET(_xlpm.ig, _xlfn.XLOOKUP(Clean_Data[[#This Row],[Country_Code]], Metadata_Country!$A:$A, Metadata_Country!$C:$C, "Unknown"), IF(OR(_xlpm.ig=0, _xlpm.ig=""), "Regional Aggregate", _xlpm.ig))</f>
        <v>Regional Aggregate</v>
      </c>
      <c r="H1472" s="4">
        <f>Clean_Data[[#This Row],[Exports_TIV]] - Clean_Data[[#This Row],[Imports_TIV]]</f>
        <v>-779000000</v>
      </c>
      <c r="I1472" s="4">
        <f>Clean_Data[[#This Row],[Exports_TIV]] + Clean_Data[[#This Row],[Imports_TIV]]</f>
        <v>779000000</v>
      </c>
    </row>
    <row r="1473" spans="1:9">
      <c r="A1473" s="4" t="s">
        <v>491</v>
      </c>
      <c r="B1473" s="4" t="s">
        <v>492</v>
      </c>
      <c r="C1473" s="5">
        <v>2016</v>
      </c>
      <c r="D1473" s="4">
        <v>0</v>
      </c>
      <c r="E1473" s="4">
        <v>787000000</v>
      </c>
      <c r="F1473" s="4" t="str">
        <f>_xlfn.LET(_xlpm.r, _xlfn.XLOOKUP(Clean_Data[[#This Row],[Country_Code]], Metadata_Country!$A:$A, Metadata_Country!$B:$B, "Unknown"), IF(OR(_xlpm.r=0, _xlpm.r=""), "Regional Aggregate", _xlpm.r))</f>
        <v>Regional Aggregate</v>
      </c>
      <c r="G1473" s="4" t="str">
        <f>_xlfn.LET(_xlpm.ig, _xlfn.XLOOKUP(Clean_Data[[#This Row],[Country_Code]], Metadata_Country!$A:$A, Metadata_Country!$C:$C, "Unknown"), IF(OR(_xlpm.ig=0, _xlpm.ig=""), "Regional Aggregate", _xlpm.ig))</f>
        <v>Regional Aggregate</v>
      </c>
      <c r="H1473" s="4">
        <f>Clean_Data[[#This Row],[Exports_TIV]] - Clean_Data[[#This Row],[Imports_TIV]]</f>
        <v>-787000000</v>
      </c>
      <c r="I1473" s="4">
        <f>Clean_Data[[#This Row],[Exports_TIV]] + Clean_Data[[#This Row],[Imports_TIV]]</f>
        <v>787000000</v>
      </c>
    </row>
    <row r="1474" spans="1:9">
      <c r="A1474" s="4" t="s">
        <v>421</v>
      </c>
      <c r="B1474" s="4" t="s">
        <v>422</v>
      </c>
      <c r="C1474" s="5">
        <v>2016</v>
      </c>
      <c r="D1474" s="4">
        <v>0</v>
      </c>
      <c r="E1474" s="4">
        <v>110000000</v>
      </c>
      <c r="F1474" s="4" t="str">
        <f>_xlfn.LET(_xlpm.r, _xlfn.XLOOKUP(Clean_Data[[#This Row],[Country_Code]], Metadata_Country!$A:$A, Metadata_Country!$B:$B, "Unknown"), IF(OR(_xlpm.r=0, _xlpm.r=""), "Regional Aggregate", _xlpm.r))</f>
        <v>Sub-Saharan Africa</v>
      </c>
      <c r="G1474" s="4" t="str">
        <f>_xlfn.LET(_xlpm.ig, _xlfn.XLOOKUP(Clean_Data[[#This Row],[Country_Code]], Metadata_Country!$A:$A, Metadata_Country!$C:$C, "Unknown"), IF(OR(_xlpm.ig=0, _xlpm.ig=""), "Regional Aggregate", _xlpm.ig))</f>
        <v>Low income</v>
      </c>
      <c r="H1474" s="4">
        <f>Clean_Data[[#This Row],[Exports_TIV]] - Clean_Data[[#This Row],[Imports_TIV]]</f>
        <v>-110000000</v>
      </c>
      <c r="I1474" s="4">
        <f>Clean_Data[[#This Row],[Exports_TIV]] + Clean_Data[[#This Row],[Imports_TIV]]</f>
        <v>110000000</v>
      </c>
    </row>
    <row r="1475" spans="1:9">
      <c r="A1475" s="4" t="s">
        <v>455</v>
      </c>
      <c r="B1475" s="4" t="s">
        <v>456</v>
      </c>
      <c r="C1475" s="5">
        <v>2016</v>
      </c>
      <c r="D1475" s="4">
        <v>248000000</v>
      </c>
      <c r="E1475" s="4">
        <v>70000000</v>
      </c>
      <c r="F1475" s="4" t="str">
        <f>_xlfn.LET(_xlpm.r, _xlfn.XLOOKUP(Clean_Data[[#This Row],[Country_Code]], Metadata_Country!$A:$A, Metadata_Country!$B:$B, "Unknown"), IF(OR(_xlpm.r=0, _xlpm.r=""), "Regional Aggregate", _xlpm.r))</f>
        <v>Europe &amp; Central Asia</v>
      </c>
      <c r="G1475" s="4" t="str">
        <f>_xlfn.LET(_xlpm.ig, _xlfn.XLOOKUP(Clean_Data[[#This Row],[Country_Code]], Metadata_Country!$A:$A, Metadata_Country!$C:$C, "Unknown"), IF(OR(_xlpm.ig=0, _xlpm.ig=""), "Regional Aggregate", _xlpm.ig))</f>
        <v>High income</v>
      </c>
      <c r="H1475" s="4">
        <f>Clean_Data[[#This Row],[Exports_TIV]] - Clean_Data[[#This Row],[Imports_TIV]]</f>
        <v>178000000</v>
      </c>
      <c r="I1475" s="4">
        <f>Clean_Data[[#This Row],[Exports_TIV]] + Clean_Data[[#This Row],[Imports_TIV]]</f>
        <v>318000000</v>
      </c>
    </row>
    <row r="1476" spans="1:9">
      <c r="A1476" s="4" t="s">
        <v>83</v>
      </c>
      <c r="B1476" s="4" t="s">
        <v>84</v>
      </c>
      <c r="C1476" s="5">
        <v>2016</v>
      </c>
      <c r="D1476" s="4">
        <v>220000000</v>
      </c>
      <c r="E1476" s="4">
        <v>70000000</v>
      </c>
      <c r="F1476" s="4" t="str">
        <f>_xlfn.LET(_xlpm.r, _xlfn.XLOOKUP(Clean_Data[[#This Row],[Country_Code]], Metadata_Country!$A:$A, Metadata_Country!$B:$B, "Unknown"), IF(OR(_xlpm.r=0, _xlpm.r=""), "Regional Aggregate", _xlpm.r))</f>
        <v>Europe &amp; Central Asia</v>
      </c>
      <c r="G1476" s="4" t="str">
        <f>_xlfn.LET(_xlpm.ig, _xlfn.XLOOKUP(Clean_Data[[#This Row],[Country_Code]], Metadata_Country!$A:$A, Metadata_Country!$C:$C, "Unknown"), IF(OR(_xlpm.ig=0, _xlpm.ig=""), "Regional Aggregate", _xlpm.ig))</f>
        <v>High income</v>
      </c>
      <c r="H1476" s="4">
        <f>Clean_Data[[#This Row],[Exports_TIV]] - Clean_Data[[#This Row],[Imports_TIV]]</f>
        <v>150000000</v>
      </c>
      <c r="I1476" s="4">
        <f>Clean_Data[[#This Row],[Exports_TIV]] + Clean_Data[[#This Row],[Imports_TIV]]</f>
        <v>290000000</v>
      </c>
    </row>
    <row r="1477" spans="1:9">
      <c r="A1477" s="4" t="s">
        <v>463</v>
      </c>
      <c r="B1477" s="4" t="s">
        <v>464</v>
      </c>
      <c r="C1477" s="5">
        <v>2016</v>
      </c>
      <c r="D1477" s="4">
        <v>0</v>
      </c>
      <c r="E1477" s="4">
        <v>18000000</v>
      </c>
      <c r="F1477" s="4" t="str">
        <f>_xlfn.LET(_xlpm.r, _xlfn.XLOOKUP(Clean_Data[[#This Row],[Country_Code]], Metadata_Country!$A:$A, Metadata_Country!$B:$B, "Unknown"), IF(OR(_xlpm.r=0, _xlpm.r=""), "Regional Aggregate", _xlpm.r))</f>
        <v>Middle East &amp; North Africa</v>
      </c>
      <c r="G1477" s="4" t="str">
        <f>_xlfn.LET(_xlpm.ig, _xlfn.XLOOKUP(Clean_Data[[#This Row],[Country_Code]], Metadata_Country!$A:$A, Metadata_Country!$C:$C, "Unknown"), IF(OR(_xlpm.ig=0, _xlpm.ig=""), "Regional Aggregate", _xlpm.ig))</f>
        <v>Low income</v>
      </c>
      <c r="H1477" s="4">
        <f>Clean_Data[[#This Row],[Exports_TIV]] - Clean_Data[[#This Row],[Imports_TIV]]</f>
        <v>-18000000</v>
      </c>
      <c r="I1477" s="4">
        <f>Clean_Data[[#This Row],[Exports_TIV]] + Clean_Data[[#This Row],[Imports_TIV]]</f>
        <v>18000000</v>
      </c>
    </row>
    <row r="1478" spans="1:9">
      <c r="A1478" s="4" t="s">
        <v>477</v>
      </c>
      <c r="B1478" s="4" t="s">
        <v>478</v>
      </c>
      <c r="C1478" s="5">
        <v>2016</v>
      </c>
      <c r="D1478" s="4">
        <v>0</v>
      </c>
      <c r="E1478" s="4">
        <v>7000000</v>
      </c>
      <c r="F1478" s="4" t="str">
        <f>_xlfn.LET(_xlpm.r, _xlfn.XLOOKUP(Clean_Data[[#This Row],[Country_Code]], Metadata_Country!$A:$A, Metadata_Country!$B:$B, "Unknown"), IF(OR(_xlpm.r=0, _xlpm.r=""), "Regional Aggregate", _xlpm.r))</f>
        <v>Europe &amp; Central Asia</v>
      </c>
      <c r="G1478" s="4" t="str">
        <f>_xlfn.LET(_xlpm.ig, _xlfn.XLOOKUP(Clean_Data[[#This Row],[Country_Code]], Metadata_Country!$A:$A, Metadata_Country!$C:$C, "Unknown"), IF(OR(_xlpm.ig=0, _xlpm.ig=""), "Regional Aggregate", _xlpm.ig))</f>
        <v>Lower middle income</v>
      </c>
      <c r="H1478" s="4">
        <f>Clean_Data[[#This Row],[Exports_TIV]] - Clean_Data[[#This Row],[Imports_TIV]]</f>
        <v>-7000000</v>
      </c>
      <c r="I1478" s="4">
        <f>Clean_Data[[#This Row],[Exports_TIV]] + Clean_Data[[#This Row],[Imports_TIV]]</f>
        <v>7000000</v>
      </c>
    </row>
    <row r="1479" spans="1:9">
      <c r="A1479" s="4" t="s">
        <v>501</v>
      </c>
      <c r="B1479" s="4" t="s">
        <v>502</v>
      </c>
      <c r="C1479" s="5">
        <v>2016</v>
      </c>
      <c r="D1479" s="4">
        <v>0</v>
      </c>
      <c r="E1479" s="4">
        <v>20000000</v>
      </c>
      <c r="F1479" s="4" t="str">
        <f>_xlfn.LET(_xlpm.r, _xlfn.XLOOKUP(Clean_Data[[#This Row],[Country_Code]], Metadata_Country!$A:$A, Metadata_Country!$B:$B, "Unknown"), IF(OR(_xlpm.r=0, _xlpm.r=""), "Regional Aggregate", _xlpm.r))</f>
        <v>Sub-Saharan Africa</v>
      </c>
      <c r="G1479" s="4" t="str">
        <f>_xlfn.LET(_xlpm.ig, _xlfn.XLOOKUP(Clean_Data[[#This Row],[Country_Code]], Metadata_Country!$A:$A, Metadata_Country!$C:$C, "Unknown"), IF(OR(_xlpm.ig=0, _xlpm.ig=""), "Regional Aggregate", _xlpm.ig))</f>
        <v>Lower middle income</v>
      </c>
      <c r="H1479" s="4">
        <f>Clean_Data[[#This Row],[Exports_TIV]] - Clean_Data[[#This Row],[Imports_TIV]]</f>
        <v>-20000000</v>
      </c>
      <c r="I1479" s="4">
        <f>Clean_Data[[#This Row],[Exports_TIV]] + Clean_Data[[#This Row],[Imports_TIV]]</f>
        <v>20000000</v>
      </c>
    </row>
    <row r="1480" spans="1:9">
      <c r="A1480" s="4" t="s">
        <v>475</v>
      </c>
      <c r="B1480" s="4" t="s">
        <v>476</v>
      </c>
      <c r="C1480" s="5">
        <v>2016</v>
      </c>
      <c r="D1480" s="4">
        <v>2000000</v>
      </c>
      <c r="E1480" s="4">
        <v>346000000</v>
      </c>
      <c r="F1480" s="4" t="str">
        <f>_xlfn.LET(_xlpm.r, _xlfn.XLOOKUP(Clean_Data[[#This Row],[Country_Code]], Metadata_Country!$A:$A, Metadata_Country!$B:$B, "Unknown"), IF(OR(_xlpm.r=0, _xlpm.r=""), "Regional Aggregate", _xlpm.r))</f>
        <v>East Asia &amp; Pacific</v>
      </c>
      <c r="G1480" s="4" t="str">
        <f>_xlfn.LET(_xlpm.ig, _xlfn.XLOOKUP(Clean_Data[[#This Row],[Country_Code]], Metadata_Country!$A:$A, Metadata_Country!$C:$C, "Unknown"), IF(OR(_xlpm.ig=0, _xlpm.ig=""), "Regional Aggregate", _xlpm.ig))</f>
        <v>Upper middle income</v>
      </c>
      <c r="H1480" s="4">
        <f>Clean_Data[[#This Row],[Exports_TIV]] - Clean_Data[[#This Row],[Imports_TIV]]</f>
        <v>-344000000</v>
      </c>
      <c r="I1480" s="4">
        <f>Clean_Data[[#This Row],[Exports_TIV]] + Clean_Data[[#This Row],[Imports_TIV]]</f>
        <v>348000000</v>
      </c>
    </row>
    <row r="1481" spans="1:9">
      <c r="A1481" s="4" t="s">
        <v>493</v>
      </c>
      <c r="B1481" s="4" t="s">
        <v>494</v>
      </c>
      <c r="C1481" s="5">
        <v>2016</v>
      </c>
      <c r="D1481" s="4">
        <v>0</v>
      </c>
      <c r="E1481" s="4">
        <v>30000000</v>
      </c>
      <c r="F1481" s="4" t="str">
        <f>_xlfn.LET(_xlpm.r, _xlfn.XLOOKUP(Clean_Data[[#This Row],[Country_Code]], Metadata_Country!$A:$A, Metadata_Country!$B:$B, "Unknown"), IF(OR(_xlpm.r=0, _xlpm.r=""), "Regional Aggregate", _xlpm.r))</f>
        <v>Latin America &amp; Caribbean</v>
      </c>
      <c r="G1481" s="4" t="str">
        <f>_xlfn.LET(_xlpm.ig, _xlfn.XLOOKUP(Clean_Data[[#This Row],[Country_Code]], Metadata_Country!$A:$A, Metadata_Country!$C:$C, "Unknown"), IF(OR(_xlpm.ig=0, _xlpm.ig=""), "Regional Aggregate", _xlpm.ig))</f>
        <v>High income</v>
      </c>
      <c r="H1481" s="4">
        <f>Clean_Data[[#This Row],[Exports_TIV]] - Clean_Data[[#This Row],[Imports_TIV]]</f>
        <v>-30000000</v>
      </c>
      <c r="I1481" s="4">
        <f>Clean_Data[[#This Row],[Exports_TIV]] + Clean_Data[[#This Row],[Imports_TIV]]</f>
        <v>30000000</v>
      </c>
    </row>
    <row r="1482" spans="1:9">
      <c r="A1482" s="4" t="s">
        <v>495</v>
      </c>
      <c r="B1482" s="4" t="s">
        <v>496</v>
      </c>
      <c r="C1482" s="5">
        <v>2016</v>
      </c>
      <c r="D1482" s="4">
        <v>0</v>
      </c>
      <c r="E1482" s="4">
        <v>43000000</v>
      </c>
      <c r="F1482" s="4" t="str">
        <f>_xlfn.LET(_xlpm.r, _xlfn.XLOOKUP(Clean_Data[[#This Row],[Country_Code]], Metadata_Country!$A:$A, Metadata_Country!$B:$B, "Unknown"), IF(OR(_xlpm.r=0, _xlpm.r=""), "Regional Aggregate", _xlpm.r))</f>
        <v>Middle East &amp; North Africa</v>
      </c>
      <c r="G1482" s="4" t="str">
        <f>_xlfn.LET(_xlpm.ig, _xlfn.XLOOKUP(Clean_Data[[#This Row],[Country_Code]], Metadata_Country!$A:$A, Metadata_Country!$C:$C, "Unknown"), IF(OR(_xlpm.ig=0, _xlpm.ig=""), "Regional Aggregate", _xlpm.ig))</f>
        <v>Lower middle income</v>
      </c>
      <c r="H1482" s="4">
        <f>Clean_Data[[#This Row],[Exports_TIV]] - Clean_Data[[#This Row],[Imports_TIV]]</f>
        <v>-43000000</v>
      </c>
      <c r="I1482" s="4">
        <f>Clean_Data[[#This Row],[Exports_TIV]] + Clean_Data[[#This Row],[Imports_TIV]]</f>
        <v>43000000</v>
      </c>
    </row>
    <row r="1483" spans="1:9">
      <c r="A1483" s="4" t="s">
        <v>497</v>
      </c>
      <c r="B1483" s="4" t="s">
        <v>498</v>
      </c>
      <c r="C1483" s="5">
        <v>2016</v>
      </c>
      <c r="D1483" s="4">
        <v>258000000</v>
      </c>
      <c r="E1483" s="4">
        <v>324000000</v>
      </c>
      <c r="F1483" s="4" t="str">
        <f>_xlfn.LET(_xlpm.r, _xlfn.XLOOKUP(Clean_Data[[#This Row],[Country_Code]], Metadata_Country!$A:$A, Metadata_Country!$B:$B, "Unknown"), IF(OR(_xlpm.r=0, _xlpm.r=""), "Regional Aggregate", _xlpm.r))</f>
        <v>Europe &amp; Central Asia</v>
      </c>
      <c r="G1483" s="4" t="str">
        <f>_xlfn.LET(_xlpm.ig, _xlfn.XLOOKUP(Clean_Data[[#This Row],[Country_Code]], Metadata_Country!$A:$A, Metadata_Country!$C:$C, "Unknown"), IF(OR(_xlpm.ig=0, _xlpm.ig=""), "Regional Aggregate", _xlpm.ig))</f>
        <v>Upper middle income</v>
      </c>
      <c r="H1483" s="4">
        <f>Clean_Data[[#This Row],[Exports_TIV]] - Clean_Data[[#This Row],[Imports_TIV]]</f>
        <v>-66000000</v>
      </c>
      <c r="I1483" s="4">
        <f>Clean_Data[[#This Row],[Exports_TIV]] + Clean_Data[[#This Row],[Imports_TIV]]</f>
        <v>582000000</v>
      </c>
    </row>
    <row r="1484" spans="1:9">
      <c r="A1484" s="4" t="s">
        <v>479</v>
      </c>
      <c r="B1484" s="4" t="s">
        <v>480</v>
      </c>
      <c r="C1484" s="5">
        <v>2016</v>
      </c>
      <c r="D1484" s="4">
        <v>0</v>
      </c>
      <c r="E1484" s="4">
        <v>433000000</v>
      </c>
      <c r="F1484" s="4" t="str">
        <f>_xlfn.LET(_xlpm.r, _xlfn.XLOOKUP(Clean_Data[[#This Row],[Country_Code]], Metadata_Country!$A:$A, Metadata_Country!$B:$B, "Unknown"), IF(OR(_xlpm.r=0, _xlpm.r=""), "Regional Aggregate", _xlpm.r))</f>
        <v>Europe &amp; Central Asia</v>
      </c>
      <c r="G1484" s="4" t="str">
        <f>_xlfn.LET(_xlpm.ig, _xlfn.XLOOKUP(Clean_Data[[#This Row],[Country_Code]], Metadata_Country!$A:$A, Metadata_Country!$C:$C, "Unknown"), IF(OR(_xlpm.ig=0, _xlpm.ig=""), "Regional Aggregate", _xlpm.ig))</f>
        <v>Upper middle income</v>
      </c>
      <c r="H1484" s="4">
        <f>Clean_Data[[#This Row],[Exports_TIV]] - Clean_Data[[#This Row],[Imports_TIV]]</f>
        <v>-433000000</v>
      </c>
      <c r="I1484" s="4">
        <f>Clean_Data[[#This Row],[Exports_TIV]] + Clean_Data[[#This Row],[Imports_TIV]]</f>
        <v>433000000</v>
      </c>
    </row>
    <row r="1485" spans="1:9">
      <c r="A1485" s="4" t="s">
        <v>503</v>
      </c>
      <c r="B1485" s="4" t="s">
        <v>504</v>
      </c>
      <c r="C1485" s="5">
        <v>2016</v>
      </c>
      <c r="D1485" s="4">
        <v>4000000</v>
      </c>
      <c r="E1485" s="4">
        <v>1000000</v>
      </c>
      <c r="F1485" s="4" t="str">
        <f>_xlfn.LET(_xlpm.r, _xlfn.XLOOKUP(Clean_Data[[#This Row],[Country_Code]], Metadata_Country!$A:$A, Metadata_Country!$B:$B, "Unknown"), IF(OR(_xlpm.r=0, _xlpm.r=""), "Regional Aggregate", _xlpm.r))</f>
        <v>Sub-Saharan Africa</v>
      </c>
      <c r="G1485" s="4" t="str">
        <f>_xlfn.LET(_xlpm.ig, _xlfn.XLOOKUP(Clean_Data[[#This Row],[Country_Code]], Metadata_Country!$A:$A, Metadata_Country!$C:$C, "Unknown"), IF(OR(_xlpm.ig=0, _xlpm.ig=""), "Regional Aggregate", _xlpm.ig))</f>
        <v>Low income</v>
      </c>
      <c r="H1485" s="4">
        <f>Clean_Data[[#This Row],[Exports_TIV]] - Clean_Data[[#This Row],[Imports_TIV]]</f>
        <v>3000000</v>
      </c>
      <c r="I1485" s="4">
        <f>Clean_Data[[#This Row],[Exports_TIV]] + Clean_Data[[#This Row],[Imports_TIV]]</f>
        <v>5000000</v>
      </c>
    </row>
    <row r="1486" spans="1:9">
      <c r="A1486" s="4" t="s">
        <v>505</v>
      </c>
      <c r="B1486" s="4" t="s">
        <v>506</v>
      </c>
      <c r="C1486" s="5">
        <v>2016</v>
      </c>
      <c r="D1486" s="4">
        <v>463000000</v>
      </c>
      <c r="E1486" s="4">
        <v>5000000</v>
      </c>
      <c r="F1486" s="4" t="str">
        <f>_xlfn.LET(_xlpm.r, _xlfn.XLOOKUP(Clean_Data[[#This Row],[Country_Code]], Metadata_Country!$A:$A, Metadata_Country!$B:$B, "Unknown"), IF(OR(_xlpm.r=0, _xlpm.r=""), "Regional Aggregate", _xlpm.r))</f>
        <v>Europe &amp; Central Asia</v>
      </c>
      <c r="G1486" s="4" t="str">
        <f>_xlfn.LET(_xlpm.ig, _xlfn.XLOOKUP(Clean_Data[[#This Row],[Country_Code]], Metadata_Country!$A:$A, Metadata_Country!$C:$C, "Unknown"), IF(OR(_xlpm.ig=0, _xlpm.ig=""), "Regional Aggregate", _xlpm.ig))</f>
        <v>Upper middle income</v>
      </c>
      <c r="H1486" s="4">
        <f>Clean_Data[[#This Row],[Exports_TIV]] - Clean_Data[[#This Row],[Imports_TIV]]</f>
        <v>458000000</v>
      </c>
      <c r="I1486" s="4">
        <f>Clean_Data[[#This Row],[Exports_TIV]] + Clean_Data[[#This Row],[Imports_TIV]]</f>
        <v>468000000</v>
      </c>
    </row>
    <row r="1487" spans="1:9">
      <c r="A1487" s="4" t="s">
        <v>25</v>
      </c>
      <c r="B1487" s="4" t="s">
        <v>26</v>
      </c>
      <c r="C1487" s="5">
        <v>2016</v>
      </c>
      <c r="D1487" s="4">
        <v>111000000</v>
      </c>
      <c r="E1487" s="4">
        <v>1491000000</v>
      </c>
      <c r="F1487" s="4" t="str">
        <f>_xlfn.LET(_xlpm.r, _xlfn.XLOOKUP(Clean_Data[[#This Row],[Country_Code]], Metadata_Country!$A:$A, Metadata_Country!$B:$B, "Unknown"), IF(OR(_xlpm.r=0, _xlpm.r=""), "Regional Aggregate", _xlpm.r))</f>
        <v>Middle East &amp; North Africa</v>
      </c>
      <c r="G1487" s="4" t="str">
        <f>_xlfn.LET(_xlpm.ig, _xlfn.XLOOKUP(Clean_Data[[#This Row],[Country_Code]], Metadata_Country!$A:$A, Metadata_Country!$C:$C, "Unknown"), IF(OR(_xlpm.ig=0, _xlpm.ig=""), "Regional Aggregate", _xlpm.ig))</f>
        <v>High income</v>
      </c>
      <c r="H1487" s="4">
        <f>Clean_Data[[#This Row],[Exports_TIV]] - Clean_Data[[#This Row],[Imports_TIV]]</f>
        <v>-1380000000</v>
      </c>
      <c r="I1487" s="4">
        <f>Clean_Data[[#This Row],[Exports_TIV]] + Clean_Data[[#This Row],[Imports_TIV]]</f>
        <v>1602000000</v>
      </c>
    </row>
    <row r="1488" spans="1:9">
      <c r="A1488" s="4" t="s">
        <v>171</v>
      </c>
      <c r="B1488" s="4" t="s">
        <v>172</v>
      </c>
      <c r="C1488" s="5">
        <v>2016</v>
      </c>
      <c r="D1488" s="4">
        <v>1344000000</v>
      </c>
      <c r="E1488" s="4">
        <v>288000000</v>
      </c>
      <c r="F1488" s="4" t="str">
        <f>_xlfn.LET(_xlpm.r, _xlfn.XLOOKUP(Clean_Data[[#This Row],[Country_Code]], Metadata_Country!$A:$A, Metadata_Country!$B:$B, "Unknown"), IF(OR(_xlpm.r=0, _xlpm.r=""), "Regional Aggregate", _xlpm.r))</f>
        <v>Europe &amp; Central Asia</v>
      </c>
      <c r="G1488" s="4" t="str">
        <f>_xlfn.LET(_xlpm.ig, _xlfn.XLOOKUP(Clean_Data[[#This Row],[Country_Code]], Metadata_Country!$A:$A, Metadata_Country!$C:$C, "Unknown"), IF(OR(_xlpm.ig=0, _xlpm.ig=""), "Regional Aggregate", _xlpm.ig))</f>
        <v>High income</v>
      </c>
      <c r="H1488" s="4">
        <f>Clean_Data[[#This Row],[Exports_TIV]] - Clean_Data[[#This Row],[Imports_TIV]]</f>
        <v>1056000000</v>
      </c>
      <c r="I1488" s="4">
        <f>Clean_Data[[#This Row],[Exports_TIV]] + Clean_Data[[#This Row],[Imports_TIV]]</f>
        <v>1632000000</v>
      </c>
    </row>
    <row r="1489" spans="1:9">
      <c r="A1489" s="4" t="s">
        <v>511</v>
      </c>
      <c r="B1489" s="4" t="s">
        <v>512</v>
      </c>
      <c r="C1489" s="5">
        <v>2016</v>
      </c>
      <c r="D1489" s="4">
        <v>9890000000</v>
      </c>
      <c r="E1489" s="4">
        <v>447000000</v>
      </c>
      <c r="F1489" s="4" t="str">
        <f>_xlfn.LET(_xlpm.r, _xlfn.XLOOKUP(Clean_Data[[#This Row],[Country_Code]], Metadata_Country!$A:$A, Metadata_Country!$B:$B, "Unknown"), IF(OR(_xlpm.r=0, _xlpm.r=""), "Regional Aggregate", _xlpm.r))</f>
        <v>North America</v>
      </c>
      <c r="G1489" s="4" t="str">
        <f>_xlfn.LET(_xlpm.ig, _xlfn.XLOOKUP(Clean_Data[[#This Row],[Country_Code]], Metadata_Country!$A:$A, Metadata_Country!$C:$C, "Unknown"), IF(OR(_xlpm.ig=0, _xlpm.ig=""), "Regional Aggregate", _xlpm.ig))</f>
        <v>High income</v>
      </c>
      <c r="H1489" s="4">
        <f>Clean_Data[[#This Row],[Exports_TIV]] - Clean_Data[[#This Row],[Imports_TIV]]</f>
        <v>9443000000</v>
      </c>
      <c r="I1489" s="4">
        <f>Clean_Data[[#This Row],[Exports_TIV]] + Clean_Data[[#This Row],[Imports_TIV]]</f>
        <v>10337000000</v>
      </c>
    </row>
    <row r="1490" spans="1:9">
      <c r="A1490" s="4" t="s">
        <v>507</v>
      </c>
      <c r="B1490" s="4" t="s">
        <v>508</v>
      </c>
      <c r="C1490" s="5">
        <v>2016</v>
      </c>
      <c r="D1490" s="4">
        <v>3826000000</v>
      </c>
      <c r="E1490" s="4">
        <v>11021000000</v>
      </c>
      <c r="F1490" s="4" t="str">
        <f>_xlfn.LET(_xlpm.r, _xlfn.XLOOKUP(Clean_Data[[#This Row],[Country_Code]], Metadata_Country!$A:$A, Metadata_Country!$B:$B, "Unknown"), IF(OR(_xlpm.r=0, _xlpm.r=""), "Regional Aggregate", _xlpm.r))</f>
        <v>Regional Aggregate</v>
      </c>
      <c r="G1490" s="4" t="str">
        <f>_xlfn.LET(_xlpm.ig, _xlfn.XLOOKUP(Clean_Data[[#This Row],[Country_Code]], Metadata_Country!$A:$A, Metadata_Country!$C:$C, "Unknown"), IF(OR(_xlpm.ig=0, _xlpm.ig=""), "Regional Aggregate", _xlpm.ig))</f>
        <v>Regional Aggregate</v>
      </c>
      <c r="H1490" s="4">
        <f>Clean_Data[[#This Row],[Exports_TIV]] - Clean_Data[[#This Row],[Imports_TIV]]</f>
        <v>-7195000000</v>
      </c>
      <c r="I1490" s="4">
        <f>Clean_Data[[#This Row],[Exports_TIV]] + Clean_Data[[#This Row],[Imports_TIV]]</f>
        <v>14847000000</v>
      </c>
    </row>
    <row r="1491" spans="1:9">
      <c r="A1491" s="4" t="s">
        <v>513</v>
      </c>
      <c r="B1491" s="4" t="s">
        <v>514</v>
      </c>
      <c r="C1491" s="5">
        <v>2016</v>
      </c>
      <c r="D1491" s="4">
        <v>68000000</v>
      </c>
      <c r="E1491" s="4">
        <v>58000000</v>
      </c>
      <c r="F1491" s="4" t="str">
        <f>_xlfn.LET(_xlpm.r, _xlfn.XLOOKUP(Clean_Data[[#This Row],[Country_Code]], Metadata_Country!$A:$A, Metadata_Country!$B:$B, "Unknown"), IF(OR(_xlpm.r=0, _xlpm.r=""), "Regional Aggregate", _xlpm.r))</f>
        <v>Europe &amp; Central Asia</v>
      </c>
      <c r="G1491" s="4" t="str">
        <f>_xlfn.LET(_xlpm.ig, _xlfn.XLOOKUP(Clean_Data[[#This Row],[Country_Code]], Metadata_Country!$A:$A, Metadata_Country!$C:$C, "Unknown"), IF(OR(_xlpm.ig=0, _xlpm.ig=""), "Regional Aggregate", _xlpm.ig))</f>
        <v>Lower middle income</v>
      </c>
      <c r="H1491" s="4">
        <f>Clean_Data[[#This Row],[Exports_TIV]] - Clean_Data[[#This Row],[Imports_TIV]]</f>
        <v>10000000</v>
      </c>
      <c r="I1491" s="4">
        <f>Clean_Data[[#This Row],[Exports_TIV]] + Clean_Data[[#This Row],[Imports_TIV]]</f>
        <v>126000000</v>
      </c>
    </row>
    <row r="1492" spans="1:9">
      <c r="A1492" s="4" t="s">
        <v>517</v>
      </c>
      <c r="B1492" s="4" t="s">
        <v>518</v>
      </c>
      <c r="C1492" s="5">
        <v>2016</v>
      </c>
      <c r="D1492" s="4">
        <v>0</v>
      </c>
      <c r="E1492" s="4">
        <v>95000000</v>
      </c>
      <c r="F1492" s="4" t="str">
        <f>_xlfn.LET(_xlpm.r, _xlfn.XLOOKUP(Clean_Data[[#This Row],[Country_Code]], Metadata_Country!$A:$A, Metadata_Country!$B:$B, "Unknown"), IF(OR(_xlpm.r=0, _xlpm.r=""), "Regional Aggregate", _xlpm.r))</f>
        <v>Latin America &amp; Caribbean</v>
      </c>
      <c r="G1492" s="4" t="str">
        <f>_xlfn.LET(_xlpm.ig, _xlfn.XLOOKUP(Clean_Data[[#This Row],[Country_Code]], Metadata_Country!$A:$A, Metadata_Country!$C:$C, "Unknown"), IF(OR(_xlpm.ig=0, _xlpm.ig=""), "Regional Aggregate", _xlpm.ig))</f>
        <v>Lower middle income</v>
      </c>
      <c r="H1492" s="4">
        <f>Clean_Data[[#This Row],[Exports_TIV]] - Clean_Data[[#This Row],[Imports_TIV]]</f>
        <v>-95000000</v>
      </c>
      <c r="I1492" s="4">
        <f>Clean_Data[[#This Row],[Exports_TIV]] + Clean_Data[[#This Row],[Imports_TIV]]</f>
        <v>95000000</v>
      </c>
    </row>
    <row r="1493" spans="1:9">
      <c r="A1493" s="4" t="s">
        <v>523</v>
      </c>
      <c r="B1493" s="4" t="s">
        <v>524</v>
      </c>
      <c r="C1493" s="5">
        <v>2016</v>
      </c>
      <c r="D1493" s="4">
        <v>0</v>
      </c>
      <c r="E1493" s="4">
        <v>924000000</v>
      </c>
      <c r="F1493" s="4" t="str">
        <f>_xlfn.LET(_xlpm.r, _xlfn.XLOOKUP(Clean_Data[[#This Row],[Country_Code]], Metadata_Country!$A:$A, Metadata_Country!$B:$B, "Unknown"), IF(OR(_xlpm.r=0, _xlpm.r=""), "Regional Aggregate", _xlpm.r))</f>
        <v>East Asia &amp; Pacific</v>
      </c>
      <c r="G1493" s="4" t="str">
        <f>_xlfn.LET(_xlpm.ig, _xlfn.XLOOKUP(Clean_Data[[#This Row],[Country_Code]], Metadata_Country!$A:$A, Metadata_Country!$C:$C, "Unknown"), IF(OR(_xlpm.ig=0, _xlpm.ig=""), "Regional Aggregate", _xlpm.ig))</f>
        <v>Upper middle income</v>
      </c>
      <c r="H1493" s="4">
        <f>Clean_Data[[#This Row],[Exports_TIV]] - Clean_Data[[#This Row],[Imports_TIV]]</f>
        <v>-924000000</v>
      </c>
      <c r="I1493" s="4">
        <f>Clean_Data[[#This Row],[Exports_TIV]] + Clean_Data[[#This Row],[Imports_TIV]]</f>
        <v>924000000</v>
      </c>
    </row>
    <row r="1494" spans="1:9">
      <c r="A1494" s="4" t="s">
        <v>401</v>
      </c>
      <c r="B1494" s="4" t="s">
        <v>402</v>
      </c>
      <c r="C1494" s="5">
        <v>2016</v>
      </c>
      <c r="D1494" s="4">
        <v>0</v>
      </c>
      <c r="E1494" s="4">
        <v>1000000</v>
      </c>
      <c r="F1494" s="4" t="str">
        <f>_xlfn.LET(_xlpm.r, _xlfn.XLOOKUP(Clean_Data[[#This Row],[Country_Code]], Metadata_Country!$A:$A, Metadata_Country!$B:$B, "Unknown"), IF(OR(_xlpm.r=0, _xlpm.r=""), "Regional Aggregate", _xlpm.r))</f>
        <v>Middle East &amp; North Africa</v>
      </c>
      <c r="G1494" s="4" t="str">
        <f>_xlfn.LET(_xlpm.ig, _xlfn.XLOOKUP(Clean_Data[[#This Row],[Country_Code]], Metadata_Country!$A:$A, Metadata_Country!$C:$C, "Unknown"), IF(OR(_xlpm.ig=0, _xlpm.ig=""), "Regional Aggregate", _xlpm.ig))</f>
        <v>Lower middle income</v>
      </c>
      <c r="H1494" s="4">
        <f>Clean_Data[[#This Row],[Exports_TIV]] - Clean_Data[[#This Row],[Imports_TIV]]</f>
        <v>-1000000</v>
      </c>
      <c r="I1494" s="4">
        <f>Clean_Data[[#This Row],[Exports_TIV]] + Clean_Data[[#This Row],[Imports_TIV]]</f>
        <v>1000000</v>
      </c>
    </row>
    <row r="1495" spans="1:9">
      <c r="A1495" s="4" t="s">
        <v>527</v>
      </c>
      <c r="B1495" s="4" t="s">
        <v>528</v>
      </c>
      <c r="C1495" s="5">
        <v>2016</v>
      </c>
      <c r="D1495" s="4">
        <v>31481000000</v>
      </c>
      <c r="E1495" s="4">
        <v>31388000000</v>
      </c>
      <c r="F1495" s="4" t="str">
        <f>_xlfn.LET(_xlpm.r, _xlfn.XLOOKUP(Clean_Data[[#This Row],[Country_Code]], Metadata_Country!$A:$A, Metadata_Country!$B:$B, "Unknown"), IF(OR(_xlpm.r=0, _xlpm.r=""), "Regional Aggregate", _xlpm.r))</f>
        <v>Regional Aggregate</v>
      </c>
      <c r="G1495" s="4" t="str">
        <f>_xlfn.LET(_xlpm.ig, _xlfn.XLOOKUP(Clean_Data[[#This Row],[Country_Code]], Metadata_Country!$A:$A, Metadata_Country!$C:$C, "Unknown"), IF(OR(_xlpm.ig=0, _xlpm.ig=""), "Regional Aggregate", _xlpm.ig))</f>
        <v>Regional Aggregate</v>
      </c>
      <c r="H1495" s="4">
        <f>Clean_Data[[#This Row],[Exports_TIV]] - Clean_Data[[#This Row],[Imports_TIV]]</f>
        <v>93000000</v>
      </c>
      <c r="I1495" s="4">
        <f>Clean_Data[[#This Row],[Exports_TIV]] + Clean_Data[[#This Row],[Imports_TIV]]</f>
        <v>62869000000</v>
      </c>
    </row>
    <row r="1496" spans="1:9">
      <c r="A1496" s="4" t="s">
        <v>533</v>
      </c>
      <c r="B1496" s="4" t="s">
        <v>534</v>
      </c>
      <c r="C1496" s="5">
        <v>2016</v>
      </c>
      <c r="D1496" s="4">
        <v>0</v>
      </c>
      <c r="E1496" s="4">
        <v>7000000</v>
      </c>
      <c r="F1496" s="4" t="str">
        <f>_xlfn.LET(_xlpm.r, _xlfn.XLOOKUP(Clean_Data[[#This Row],[Country_Code]], Metadata_Country!$A:$A, Metadata_Country!$B:$B, "Unknown"), IF(OR(_xlpm.r=0, _xlpm.r=""), "Regional Aggregate", _xlpm.r))</f>
        <v>Middle East &amp; North Africa</v>
      </c>
      <c r="G1496" s="4" t="str">
        <f>_xlfn.LET(_xlpm.ig, _xlfn.XLOOKUP(Clean_Data[[#This Row],[Country_Code]], Metadata_Country!$A:$A, Metadata_Country!$C:$C, "Unknown"), IF(OR(_xlpm.ig=0, _xlpm.ig=""), "Regional Aggregate", _xlpm.ig))</f>
        <v>Low income</v>
      </c>
      <c r="H1496" s="4">
        <f>Clean_Data[[#This Row],[Exports_TIV]] - Clean_Data[[#This Row],[Imports_TIV]]</f>
        <v>-7000000</v>
      </c>
      <c r="I1496" s="4">
        <f>Clean_Data[[#This Row],[Exports_TIV]] + Clean_Data[[#This Row],[Imports_TIV]]</f>
        <v>7000000</v>
      </c>
    </row>
    <row r="1497" spans="1:9">
      <c r="A1497" s="4" t="s">
        <v>537</v>
      </c>
      <c r="B1497" s="4" t="s">
        <v>538</v>
      </c>
      <c r="C1497" s="5">
        <v>2016</v>
      </c>
      <c r="D1497" s="4">
        <v>0</v>
      </c>
      <c r="E1497" s="4">
        <v>44000000</v>
      </c>
      <c r="F1497" s="4" t="str">
        <f>_xlfn.LET(_xlpm.r, _xlfn.XLOOKUP(Clean_Data[[#This Row],[Country_Code]], Metadata_Country!$A:$A, Metadata_Country!$B:$B, "Unknown"), IF(OR(_xlpm.r=0, _xlpm.r=""), "Regional Aggregate", _xlpm.r))</f>
        <v>Sub-Saharan Africa</v>
      </c>
      <c r="G1497" s="4" t="str">
        <f>_xlfn.LET(_xlpm.ig, _xlfn.XLOOKUP(Clean_Data[[#This Row],[Country_Code]], Metadata_Country!$A:$A, Metadata_Country!$C:$C, "Unknown"), IF(OR(_xlpm.ig=0, _xlpm.ig=""), "Regional Aggregate", _xlpm.ig))</f>
        <v>Lower middle income</v>
      </c>
      <c r="H1497" s="4">
        <f>Clean_Data[[#This Row],[Exports_TIV]] - Clean_Data[[#This Row],[Imports_TIV]]</f>
        <v>-44000000</v>
      </c>
      <c r="I1497" s="4">
        <f>Clean_Data[[#This Row],[Exports_TIV]] + Clean_Data[[#This Row],[Imports_TIV]]</f>
        <v>44000000</v>
      </c>
    </row>
    <row r="1498" spans="1:9">
      <c r="A1498" s="4" t="s">
        <v>13</v>
      </c>
      <c r="B1498" s="4" t="s">
        <v>14</v>
      </c>
      <c r="C1498" s="5">
        <v>2015</v>
      </c>
      <c r="D1498" s="4">
        <v>0</v>
      </c>
      <c r="E1498" s="4">
        <v>131000000</v>
      </c>
      <c r="F1498" s="4" t="str">
        <f>_xlfn.LET(_xlpm.r, _xlfn.XLOOKUP(Clean_Data[[#This Row],[Country_Code]], Metadata_Country!$A:$A, Metadata_Country!$B:$B, "Unknown"), IF(OR(_xlpm.r=0, _xlpm.r=""), "Regional Aggregate", _xlpm.r))</f>
        <v>Middle East &amp; North Africa</v>
      </c>
      <c r="G1498" s="4" t="str">
        <f>_xlfn.LET(_xlpm.ig, _xlfn.XLOOKUP(Clean_Data[[#This Row],[Country_Code]], Metadata_Country!$A:$A, Metadata_Country!$C:$C, "Unknown"), IF(OR(_xlpm.ig=0, _xlpm.ig=""), "Regional Aggregate", _xlpm.ig))</f>
        <v>Low income</v>
      </c>
      <c r="H1498" s="4">
        <f>Clean_Data[[#This Row],[Exports_TIV]] - Clean_Data[[#This Row],[Imports_TIV]]</f>
        <v>-131000000</v>
      </c>
      <c r="I1498" s="4">
        <f>Clean_Data[[#This Row],[Exports_TIV]] + Clean_Data[[#This Row],[Imports_TIV]]</f>
        <v>131000000</v>
      </c>
    </row>
    <row r="1499" spans="1:9">
      <c r="A1499" s="4" t="s">
        <v>11</v>
      </c>
      <c r="B1499" s="4" t="s">
        <v>12</v>
      </c>
      <c r="C1499" s="5">
        <v>2015</v>
      </c>
      <c r="D1499" s="4">
        <v>0</v>
      </c>
      <c r="E1499" s="4">
        <v>330000000</v>
      </c>
      <c r="F1499" s="4" t="str">
        <f>_xlfn.LET(_xlpm.r, _xlfn.XLOOKUP(Clean_Data[[#This Row],[Country_Code]], Metadata_Country!$A:$A, Metadata_Country!$B:$B, "Unknown"), IF(OR(_xlpm.r=0, _xlpm.r=""), "Regional Aggregate", _xlpm.r))</f>
        <v>Regional Aggregate</v>
      </c>
      <c r="G1499" s="4" t="str">
        <f>_xlfn.LET(_xlpm.ig, _xlfn.XLOOKUP(Clean_Data[[#This Row],[Country_Code]], Metadata_Country!$A:$A, Metadata_Country!$C:$C, "Unknown"), IF(OR(_xlpm.ig=0, _xlpm.ig=""), "Regional Aggregate", _xlpm.ig))</f>
        <v>Regional Aggregate</v>
      </c>
      <c r="H1499" s="4">
        <f>Clean_Data[[#This Row],[Exports_TIV]] - Clean_Data[[#This Row],[Imports_TIV]]</f>
        <v>-330000000</v>
      </c>
      <c r="I1499" s="4">
        <f>Clean_Data[[#This Row],[Exports_TIV]] + Clean_Data[[#This Row],[Imports_TIV]]</f>
        <v>330000000</v>
      </c>
    </row>
    <row r="1500" spans="1:9">
      <c r="A1500" s="4" t="s">
        <v>15</v>
      </c>
      <c r="B1500" s="4" t="s">
        <v>16</v>
      </c>
      <c r="C1500" s="5">
        <v>2015</v>
      </c>
      <c r="D1500" s="4">
        <v>0</v>
      </c>
      <c r="E1500" s="4">
        <v>265000000</v>
      </c>
      <c r="F1500" s="4" t="str">
        <f>_xlfn.LET(_xlpm.r, _xlfn.XLOOKUP(Clean_Data[[#This Row],[Country_Code]], Metadata_Country!$A:$A, Metadata_Country!$B:$B, "Unknown"), IF(OR(_xlpm.r=0, _xlpm.r=""), "Regional Aggregate", _xlpm.r))</f>
        <v>Regional Aggregate</v>
      </c>
      <c r="G1500" s="4" t="str">
        <f>_xlfn.LET(_xlpm.ig, _xlfn.XLOOKUP(Clean_Data[[#This Row],[Country_Code]], Metadata_Country!$A:$A, Metadata_Country!$C:$C, "Unknown"), IF(OR(_xlpm.ig=0, _xlpm.ig=""), "Regional Aggregate", _xlpm.ig))</f>
        <v>Regional Aggregate</v>
      </c>
      <c r="H1500" s="4">
        <f>Clean_Data[[#This Row],[Exports_TIV]] - Clean_Data[[#This Row],[Imports_TIV]]</f>
        <v>-265000000</v>
      </c>
      <c r="I1500" s="4">
        <f>Clean_Data[[#This Row],[Exports_TIV]] + Clean_Data[[#This Row],[Imports_TIV]]</f>
        <v>265000000</v>
      </c>
    </row>
    <row r="1501" spans="1:9">
      <c r="A1501" s="4" t="s">
        <v>19</v>
      </c>
      <c r="B1501" s="4" t="s">
        <v>20</v>
      </c>
      <c r="C1501" s="5">
        <v>2015</v>
      </c>
      <c r="D1501" s="4">
        <v>0</v>
      </c>
      <c r="E1501" s="4">
        <v>7000000</v>
      </c>
      <c r="F1501" s="4" t="str">
        <f>_xlfn.LET(_xlpm.r, _xlfn.XLOOKUP(Clean_Data[[#This Row],[Country_Code]], Metadata_Country!$A:$A, Metadata_Country!$B:$B, "Unknown"), IF(OR(_xlpm.r=0, _xlpm.r=""), "Regional Aggregate", _xlpm.r))</f>
        <v>Europe &amp; Central Asia</v>
      </c>
      <c r="G1501" s="4" t="str">
        <f>_xlfn.LET(_xlpm.ig, _xlfn.XLOOKUP(Clean_Data[[#This Row],[Country_Code]], Metadata_Country!$A:$A, Metadata_Country!$C:$C, "Unknown"), IF(OR(_xlpm.ig=0, _xlpm.ig=""), "Regional Aggregate", _xlpm.ig))</f>
        <v>Upper middle income</v>
      </c>
      <c r="H1501" s="4">
        <f>Clean_Data[[#This Row],[Exports_TIV]] - Clean_Data[[#This Row],[Imports_TIV]]</f>
        <v>-7000000</v>
      </c>
      <c r="I1501" s="4">
        <f>Clean_Data[[#This Row],[Exports_TIV]] + Clean_Data[[#This Row],[Imports_TIV]]</f>
        <v>7000000</v>
      </c>
    </row>
    <row r="1502" spans="1:9">
      <c r="A1502" s="4" t="s">
        <v>129</v>
      </c>
      <c r="B1502" s="4" t="s">
        <v>130</v>
      </c>
      <c r="C1502" s="5">
        <v>2015</v>
      </c>
      <c r="D1502" s="4">
        <v>0</v>
      </c>
      <c r="E1502" s="4">
        <v>897000000</v>
      </c>
      <c r="F1502" s="4" t="str">
        <f>_xlfn.LET(_xlpm.r, _xlfn.XLOOKUP(Clean_Data[[#This Row],[Country_Code]], Metadata_Country!$A:$A, Metadata_Country!$B:$B, "Unknown"), IF(OR(_xlpm.r=0, _xlpm.r=""), "Regional Aggregate", _xlpm.r))</f>
        <v>Middle East &amp; North Africa</v>
      </c>
      <c r="G1502" s="4" t="str">
        <f>_xlfn.LET(_xlpm.ig, _xlfn.XLOOKUP(Clean_Data[[#This Row],[Country_Code]], Metadata_Country!$A:$A, Metadata_Country!$C:$C, "Unknown"), IF(OR(_xlpm.ig=0, _xlpm.ig=""), "Regional Aggregate", _xlpm.ig))</f>
        <v>Upper middle income</v>
      </c>
      <c r="H1502" s="4">
        <f>Clean_Data[[#This Row],[Exports_TIV]] - Clean_Data[[#This Row],[Imports_TIV]]</f>
        <v>-897000000</v>
      </c>
      <c r="I1502" s="4">
        <f>Clean_Data[[#This Row],[Exports_TIV]] + Clean_Data[[#This Row],[Imports_TIV]]</f>
        <v>897000000</v>
      </c>
    </row>
    <row r="1503" spans="1:9">
      <c r="A1503" s="4" t="s">
        <v>17</v>
      </c>
      <c r="B1503" s="4" t="s">
        <v>18</v>
      </c>
      <c r="C1503" s="5">
        <v>2015</v>
      </c>
      <c r="D1503" s="4">
        <v>0</v>
      </c>
      <c r="E1503" s="4">
        <v>49000000</v>
      </c>
      <c r="F1503" s="4" t="str">
        <f>_xlfn.LET(_xlpm.r, _xlfn.XLOOKUP(Clean_Data[[#This Row],[Country_Code]], Metadata_Country!$A:$A, Metadata_Country!$B:$B, "Unknown"), IF(OR(_xlpm.r=0, _xlpm.r=""), "Regional Aggregate", _xlpm.r))</f>
        <v>Sub-Saharan Africa</v>
      </c>
      <c r="G1503" s="4" t="str">
        <f>_xlfn.LET(_xlpm.ig, _xlfn.XLOOKUP(Clean_Data[[#This Row],[Country_Code]], Metadata_Country!$A:$A, Metadata_Country!$C:$C, "Unknown"), IF(OR(_xlpm.ig=0, _xlpm.ig=""), "Regional Aggregate", _xlpm.ig))</f>
        <v>Lower middle income</v>
      </c>
      <c r="H1503" s="4">
        <f>Clean_Data[[#This Row],[Exports_TIV]] - Clean_Data[[#This Row],[Imports_TIV]]</f>
        <v>-49000000</v>
      </c>
      <c r="I1503" s="4">
        <f>Clean_Data[[#This Row],[Exports_TIV]] + Clean_Data[[#This Row],[Imports_TIV]]</f>
        <v>49000000</v>
      </c>
    </row>
    <row r="1504" spans="1:9">
      <c r="A1504" s="4" t="s">
        <v>23</v>
      </c>
      <c r="B1504" s="4" t="s">
        <v>24</v>
      </c>
      <c r="C1504" s="5">
        <v>2015</v>
      </c>
      <c r="D1504" s="4">
        <v>0</v>
      </c>
      <c r="E1504" s="4">
        <v>10490000000</v>
      </c>
      <c r="F1504" s="4" t="str">
        <f>_xlfn.LET(_xlpm.r, _xlfn.XLOOKUP(Clean_Data[[#This Row],[Country_Code]], Metadata_Country!$A:$A, Metadata_Country!$B:$B, "Unknown"), IF(OR(_xlpm.r=0, _xlpm.r=""), "Regional Aggregate", _xlpm.r))</f>
        <v>Regional Aggregate</v>
      </c>
      <c r="G1504" s="4" t="str">
        <f>_xlfn.LET(_xlpm.ig, _xlfn.XLOOKUP(Clean_Data[[#This Row],[Country_Code]], Metadata_Country!$A:$A, Metadata_Country!$C:$C, "Unknown"), IF(OR(_xlpm.ig=0, _xlpm.ig=""), "Regional Aggregate", _xlpm.ig))</f>
        <v>Regional Aggregate</v>
      </c>
      <c r="H1504" s="4">
        <f>Clean_Data[[#This Row],[Exports_TIV]] - Clean_Data[[#This Row],[Imports_TIV]]</f>
        <v>-10490000000</v>
      </c>
      <c r="I1504" s="4">
        <f>Clean_Data[[#This Row],[Exports_TIV]] + Clean_Data[[#This Row],[Imports_TIV]]</f>
        <v>10490000000</v>
      </c>
    </row>
    <row r="1505" spans="1:9">
      <c r="A1505" s="4" t="s">
        <v>27</v>
      </c>
      <c r="B1505" s="4" t="s">
        <v>28</v>
      </c>
      <c r="C1505" s="5">
        <v>2015</v>
      </c>
      <c r="D1505" s="4">
        <v>0</v>
      </c>
      <c r="E1505" s="4">
        <v>18000000</v>
      </c>
      <c r="F1505" s="4" t="str">
        <f>_xlfn.LET(_xlpm.r, _xlfn.XLOOKUP(Clean_Data[[#This Row],[Country_Code]], Metadata_Country!$A:$A, Metadata_Country!$B:$B, "Unknown"), IF(OR(_xlpm.r=0, _xlpm.r=""), "Regional Aggregate", _xlpm.r))</f>
        <v>Latin America &amp; Caribbean</v>
      </c>
      <c r="G1505" s="4" t="str">
        <f>_xlfn.LET(_xlpm.ig, _xlfn.XLOOKUP(Clean_Data[[#This Row],[Country_Code]], Metadata_Country!$A:$A, Metadata_Country!$C:$C, "Unknown"), IF(OR(_xlpm.ig=0, _xlpm.ig=""), "Regional Aggregate", _xlpm.ig))</f>
        <v>Upper middle income</v>
      </c>
      <c r="H1505" s="4">
        <f>Clean_Data[[#This Row],[Exports_TIV]] - Clean_Data[[#This Row],[Imports_TIV]]</f>
        <v>-18000000</v>
      </c>
      <c r="I1505" s="4">
        <f>Clean_Data[[#This Row],[Exports_TIV]] + Clean_Data[[#This Row],[Imports_TIV]]</f>
        <v>18000000</v>
      </c>
    </row>
    <row r="1506" spans="1:9">
      <c r="A1506" s="4" t="s">
        <v>35</v>
      </c>
      <c r="B1506" s="4" t="s">
        <v>36</v>
      </c>
      <c r="C1506" s="5">
        <v>2015</v>
      </c>
      <c r="D1506" s="4">
        <v>79000000</v>
      </c>
      <c r="E1506" s="4">
        <v>1445000000</v>
      </c>
      <c r="F1506" s="4" t="str">
        <f>_xlfn.LET(_xlpm.r, _xlfn.XLOOKUP(Clean_Data[[#This Row],[Country_Code]], Metadata_Country!$A:$A, Metadata_Country!$B:$B, "Unknown"), IF(OR(_xlpm.r=0, _xlpm.r=""), "Regional Aggregate", _xlpm.r))</f>
        <v>East Asia &amp; Pacific</v>
      </c>
      <c r="G1506" s="4" t="str">
        <f>_xlfn.LET(_xlpm.ig, _xlfn.XLOOKUP(Clean_Data[[#This Row],[Country_Code]], Metadata_Country!$A:$A, Metadata_Country!$C:$C, "Unknown"), IF(OR(_xlpm.ig=0, _xlpm.ig=""), "Regional Aggregate", _xlpm.ig))</f>
        <v>High income</v>
      </c>
      <c r="H1506" s="4">
        <f>Clean_Data[[#This Row],[Exports_TIV]] - Clean_Data[[#This Row],[Imports_TIV]]</f>
        <v>-1366000000</v>
      </c>
      <c r="I1506" s="4">
        <f>Clean_Data[[#This Row],[Exports_TIV]] + Clean_Data[[#This Row],[Imports_TIV]]</f>
        <v>1524000000</v>
      </c>
    </row>
    <row r="1507" spans="1:9">
      <c r="A1507" s="4" t="s">
        <v>37</v>
      </c>
      <c r="B1507" s="4" t="s">
        <v>38</v>
      </c>
      <c r="C1507" s="5">
        <v>2015</v>
      </c>
      <c r="D1507" s="4">
        <v>10000000</v>
      </c>
      <c r="E1507" s="4">
        <v>1000000</v>
      </c>
      <c r="F1507" s="4" t="str">
        <f>_xlfn.LET(_xlpm.r, _xlfn.XLOOKUP(Clean_Data[[#This Row],[Country_Code]], Metadata_Country!$A:$A, Metadata_Country!$B:$B, "Unknown"), IF(OR(_xlpm.r=0, _xlpm.r=""), "Regional Aggregate", _xlpm.r))</f>
        <v>Europe &amp; Central Asia</v>
      </c>
      <c r="G1507" s="4" t="str">
        <f>_xlfn.LET(_xlpm.ig, _xlfn.XLOOKUP(Clean_Data[[#This Row],[Country_Code]], Metadata_Country!$A:$A, Metadata_Country!$C:$C, "Unknown"), IF(OR(_xlpm.ig=0, _xlpm.ig=""), "Regional Aggregate", _xlpm.ig))</f>
        <v>High income</v>
      </c>
      <c r="H1507" s="4">
        <f>Clean_Data[[#This Row],[Exports_TIV]] - Clean_Data[[#This Row],[Imports_TIV]]</f>
        <v>9000000</v>
      </c>
      <c r="I1507" s="4">
        <f>Clean_Data[[#This Row],[Exports_TIV]] + Clean_Data[[#This Row],[Imports_TIV]]</f>
        <v>11000000</v>
      </c>
    </row>
    <row r="1508" spans="1:9">
      <c r="A1508" s="4" t="s">
        <v>39</v>
      </c>
      <c r="B1508" s="4" t="s">
        <v>40</v>
      </c>
      <c r="C1508" s="5">
        <v>2015</v>
      </c>
      <c r="D1508" s="4">
        <v>0</v>
      </c>
      <c r="E1508" s="4">
        <v>351000000</v>
      </c>
      <c r="F1508" s="4" t="str">
        <f>_xlfn.LET(_xlpm.r, _xlfn.XLOOKUP(Clean_Data[[#This Row],[Country_Code]], Metadata_Country!$A:$A, Metadata_Country!$B:$B, "Unknown"), IF(OR(_xlpm.r=0, _xlpm.r=""), "Regional Aggregate", _xlpm.r))</f>
        <v>Europe &amp; Central Asia</v>
      </c>
      <c r="G1508" s="4" t="str">
        <f>_xlfn.LET(_xlpm.ig, _xlfn.XLOOKUP(Clean_Data[[#This Row],[Country_Code]], Metadata_Country!$A:$A, Metadata_Country!$C:$C, "Unknown"), IF(OR(_xlpm.ig=0, _xlpm.ig=""), "Regional Aggregate", _xlpm.ig))</f>
        <v>Upper middle income</v>
      </c>
      <c r="H1508" s="4">
        <f>Clean_Data[[#This Row],[Exports_TIV]] - Clean_Data[[#This Row],[Imports_TIV]]</f>
        <v>-351000000</v>
      </c>
      <c r="I1508" s="4">
        <f>Clean_Data[[#This Row],[Exports_TIV]] + Clean_Data[[#This Row],[Imports_TIV]]</f>
        <v>351000000</v>
      </c>
    </row>
    <row r="1509" spans="1:9">
      <c r="A1509" s="4" t="s">
        <v>55</v>
      </c>
      <c r="B1509" s="4" t="s">
        <v>56</v>
      </c>
      <c r="C1509" s="5">
        <v>2015</v>
      </c>
      <c r="D1509" s="4">
        <v>0</v>
      </c>
      <c r="E1509" s="4">
        <v>16000000</v>
      </c>
      <c r="F1509" s="4" t="str">
        <f>_xlfn.LET(_xlpm.r, _xlfn.XLOOKUP(Clean_Data[[#This Row],[Country_Code]], Metadata_Country!$A:$A, Metadata_Country!$B:$B, "Unknown"), IF(OR(_xlpm.r=0, _xlpm.r=""), "Regional Aggregate", _xlpm.r))</f>
        <v>Latin America &amp; Caribbean</v>
      </c>
      <c r="G1509" s="4" t="str">
        <f>_xlfn.LET(_xlpm.ig, _xlfn.XLOOKUP(Clean_Data[[#This Row],[Country_Code]], Metadata_Country!$A:$A, Metadata_Country!$C:$C, "Unknown"), IF(OR(_xlpm.ig=0, _xlpm.ig=""), "Regional Aggregate", _xlpm.ig))</f>
        <v>High income</v>
      </c>
      <c r="H1509" s="4">
        <f>Clean_Data[[#This Row],[Exports_TIV]] - Clean_Data[[#This Row],[Imports_TIV]]</f>
        <v>-16000000</v>
      </c>
      <c r="I1509" s="4">
        <f>Clean_Data[[#This Row],[Exports_TIV]] + Clean_Data[[#This Row],[Imports_TIV]]</f>
        <v>16000000</v>
      </c>
    </row>
    <row r="1510" spans="1:9">
      <c r="A1510" s="4" t="s">
        <v>53</v>
      </c>
      <c r="B1510" s="4" t="s">
        <v>54</v>
      </c>
      <c r="C1510" s="5">
        <v>2015</v>
      </c>
      <c r="D1510" s="4">
        <v>0</v>
      </c>
      <c r="E1510" s="4">
        <v>17000000</v>
      </c>
      <c r="F1510" s="4" t="str">
        <f>_xlfn.LET(_xlpm.r, _xlfn.XLOOKUP(Clean_Data[[#This Row],[Country_Code]], Metadata_Country!$A:$A, Metadata_Country!$B:$B, "Unknown"), IF(OR(_xlpm.r=0, _xlpm.r=""), "Regional Aggregate", _xlpm.r))</f>
        <v>Middle East &amp; North Africa</v>
      </c>
      <c r="G1510" s="4" t="str">
        <f>_xlfn.LET(_xlpm.ig, _xlfn.XLOOKUP(Clean_Data[[#This Row],[Country_Code]], Metadata_Country!$A:$A, Metadata_Country!$C:$C, "Unknown"), IF(OR(_xlpm.ig=0, _xlpm.ig=""), "Regional Aggregate", _xlpm.ig))</f>
        <v>High income</v>
      </c>
      <c r="H1510" s="4">
        <f>Clean_Data[[#This Row],[Exports_TIV]] - Clean_Data[[#This Row],[Imports_TIV]]</f>
        <v>-17000000</v>
      </c>
      <c r="I1510" s="4">
        <f>Clean_Data[[#This Row],[Exports_TIV]] + Clean_Data[[#This Row],[Imports_TIV]]</f>
        <v>17000000</v>
      </c>
    </row>
    <row r="1511" spans="1:9">
      <c r="A1511" s="4" t="s">
        <v>49</v>
      </c>
      <c r="B1511" s="4" t="s">
        <v>50</v>
      </c>
      <c r="C1511" s="5">
        <v>2015</v>
      </c>
      <c r="D1511" s="4">
        <v>0</v>
      </c>
      <c r="E1511" s="4">
        <v>638000000</v>
      </c>
      <c r="F1511" s="4" t="str">
        <f>_xlfn.LET(_xlpm.r, _xlfn.XLOOKUP(Clean_Data[[#This Row],[Country_Code]], Metadata_Country!$A:$A, Metadata_Country!$B:$B, "Unknown"), IF(OR(_xlpm.r=0, _xlpm.r=""), "Regional Aggregate", _xlpm.r))</f>
        <v>South Asia</v>
      </c>
      <c r="G1511" s="4" t="str">
        <f>_xlfn.LET(_xlpm.ig, _xlfn.XLOOKUP(Clean_Data[[#This Row],[Country_Code]], Metadata_Country!$A:$A, Metadata_Country!$C:$C, "Unknown"), IF(OR(_xlpm.ig=0, _xlpm.ig=""), "Regional Aggregate", _xlpm.ig))</f>
        <v>Lower middle income</v>
      </c>
      <c r="H1511" s="4">
        <f>Clean_Data[[#This Row],[Exports_TIV]] - Clean_Data[[#This Row],[Imports_TIV]]</f>
        <v>-638000000</v>
      </c>
      <c r="I1511" s="4">
        <f>Clean_Data[[#This Row],[Exports_TIV]] + Clean_Data[[#This Row],[Imports_TIV]]</f>
        <v>638000000</v>
      </c>
    </row>
    <row r="1512" spans="1:9">
      <c r="A1512" s="4" t="s">
        <v>59</v>
      </c>
      <c r="B1512" s="4" t="s">
        <v>60</v>
      </c>
      <c r="C1512" s="5">
        <v>2015</v>
      </c>
      <c r="D1512" s="4">
        <v>142000000</v>
      </c>
      <c r="E1512" s="4">
        <v>98000000</v>
      </c>
      <c r="F1512" s="4" t="str">
        <f>_xlfn.LET(_xlpm.r, _xlfn.XLOOKUP(Clean_Data[[#This Row],[Country_Code]], Metadata_Country!$A:$A, Metadata_Country!$B:$B, "Unknown"), IF(OR(_xlpm.r=0, _xlpm.r=""), "Regional Aggregate", _xlpm.r))</f>
        <v>Europe &amp; Central Asia</v>
      </c>
      <c r="G1512" s="4" t="str">
        <f>_xlfn.LET(_xlpm.ig, _xlfn.XLOOKUP(Clean_Data[[#This Row],[Country_Code]], Metadata_Country!$A:$A, Metadata_Country!$C:$C, "Unknown"), IF(OR(_xlpm.ig=0, _xlpm.ig=""), "Regional Aggregate", _xlpm.ig))</f>
        <v>Upper middle income</v>
      </c>
      <c r="H1512" s="4">
        <f>Clean_Data[[#This Row],[Exports_TIV]] - Clean_Data[[#This Row],[Imports_TIV]]</f>
        <v>44000000</v>
      </c>
      <c r="I1512" s="4">
        <f>Clean_Data[[#This Row],[Exports_TIV]] + Clean_Data[[#This Row],[Imports_TIV]]</f>
        <v>240000000</v>
      </c>
    </row>
    <row r="1513" spans="1:9">
      <c r="A1513" s="4" t="s">
        <v>43</v>
      </c>
      <c r="B1513" s="4" t="s">
        <v>44</v>
      </c>
      <c r="C1513" s="5">
        <v>2015</v>
      </c>
      <c r="D1513" s="4">
        <v>12000000</v>
      </c>
      <c r="E1513" s="4">
        <v>52000000</v>
      </c>
      <c r="F1513" s="4" t="str">
        <f>_xlfn.LET(_xlpm.r, _xlfn.XLOOKUP(Clean_Data[[#This Row],[Country_Code]], Metadata_Country!$A:$A, Metadata_Country!$B:$B, "Unknown"), IF(OR(_xlpm.r=0, _xlpm.r=""), "Regional Aggregate", _xlpm.r))</f>
        <v>Europe &amp; Central Asia</v>
      </c>
      <c r="G1513" s="4" t="str">
        <f>_xlfn.LET(_xlpm.ig, _xlfn.XLOOKUP(Clean_Data[[#This Row],[Country_Code]], Metadata_Country!$A:$A, Metadata_Country!$C:$C, "Unknown"), IF(OR(_xlpm.ig=0, _xlpm.ig=""), "Regional Aggregate", _xlpm.ig))</f>
        <v>High income</v>
      </c>
      <c r="H1513" s="4">
        <f>Clean_Data[[#This Row],[Exports_TIV]] - Clean_Data[[#This Row],[Imports_TIV]]</f>
        <v>-40000000</v>
      </c>
      <c r="I1513" s="4">
        <f>Clean_Data[[#This Row],[Exports_TIV]] + Clean_Data[[#This Row],[Imports_TIV]]</f>
        <v>64000000</v>
      </c>
    </row>
    <row r="1514" spans="1:9">
      <c r="A1514" s="4" t="s">
        <v>73</v>
      </c>
      <c r="B1514" s="4" t="s">
        <v>74</v>
      </c>
      <c r="C1514" s="5">
        <v>2015</v>
      </c>
      <c r="D1514" s="4">
        <v>0</v>
      </c>
      <c r="E1514" s="4">
        <v>1000000</v>
      </c>
      <c r="F1514" s="4" t="str">
        <f>_xlfn.LET(_xlpm.r, _xlfn.XLOOKUP(Clean_Data[[#This Row],[Country_Code]], Metadata_Country!$A:$A, Metadata_Country!$B:$B, "Unknown"), IF(OR(_xlpm.r=0, _xlpm.r=""), "Regional Aggregate", _xlpm.r))</f>
        <v>South Asia</v>
      </c>
      <c r="G1514" s="4" t="str">
        <f>_xlfn.LET(_xlpm.ig, _xlfn.XLOOKUP(Clean_Data[[#This Row],[Country_Code]], Metadata_Country!$A:$A, Metadata_Country!$C:$C, "Unknown"), IF(OR(_xlpm.ig=0, _xlpm.ig=""), "Regional Aggregate", _xlpm.ig))</f>
        <v>Lower middle income</v>
      </c>
      <c r="H1514" s="4">
        <f>Clean_Data[[#This Row],[Exports_TIV]] - Clean_Data[[#This Row],[Imports_TIV]]</f>
        <v>-1000000</v>
      </c>
      <c r="I1514" s="4">
        <f>Clean_Data[[#This Row],[Exports_TIV]] + Clean_Data[[#This Row],[Imports_TIV]]</f>
        <v>1000000</v>
      </c>
    </row>
    <row r="1515" spans="1:9">
      <c r="A1515" s="4" t="s">
        <v>67</v>
      </c>
      <c r="B1515" s="4" t="s">
        <v>68</v>
      </c>
      <c r="C1515" s="5">
        <v>2015</v>
      </c>
      <c r="D1515" s="4">
        <v>53000000</v>
      </c>
      <c r="E1515" s="4">
        <v>202000000</v>
      </c>
      <c r="F1515" s="4" t="str">
        <f>_xlfn.LET(_xlpm.r, _xlfn.XLOOKUP(Clean_Data[[#This Row],[Country_Code]], Metadata_Country!$A:$A, Metadata_Country!$B:$B, "Unknown"), IF(OR(_xlpm.r=0, _xlpm.r=""), "Regional Aggregate", _xlpm.r))</f>
        <v>Latin America &amp; Caribbean</v>
      </c>
      <c r="G1515" s="4" t="str">
        <f>_xlfn.LET(_xlpm.ig, _xlfn.XLOOKUP(Clean_Data[[#This Row],[Country_Code]], Metadata_Country!$A:$A, Metadata_Country!$C:$C, "Unknown"), IF(OR(_xlpm.ig=0, _xlpm.ig=""), "Regional Aggregate", _xlpm.ig))</f>
        <v>Upper middle income</v>
      </c>
      <c r="H1515" s="4">
        <f>Clean_Data[[#This Row],[Exports_TIV]] - Clean_Data[[#This Row],[Imports_TIV]]</f>
        <v>-149000000</v>
      </c>
      <c r="I1515" s="4">
        <f>Clean_Data[[#This Row],[Exports_TIV]] + Clean_Data[[#This Row],[Imports_TIV]]</f>
        <v>255000000</v>
      </c>
    </row>
    <row r="1516" spans="1:9">
      <c r="A1516" s="4" t="s">
        <v>71</v>
      </c>
      <c r="B1516" s="4" t="s">
        <v>72</v>
      </c>
      <c r="C1516" s="5">
        <v>2015</v>
      </c>
      <c r="D1516" s="4">
        <v>0</v>
      </c>
      <c r="E1516" s="4">
        <v>36000000</v>
      </c>
      <c r="F1516" s="4" t="str">
        <f>_xlfn.LET(_xlpm.r, _xlfn.XLOOKUP(Clean_Data[[#This Row],[Country_Code]], Metadata_Country!$A:$A, Metadata_Country!$B:$B, "Unknown"), IF(OR(_xlpm.r=0, _xlpm.r=""), "Regional Aggregate", _xlpm.r))</f>
        <v>East Asia &amp; Pacific</v>
      </c>
      <c r="G1516" s="4" t="str">
        <f>_xlfn.LET(_xlpm.ig, _xlfn.XLOOKUP(Clean_Data[[#This Row],[Country_Code]], Metadata_Country!$A:$A, Metadata_Country!$C:$C, "Unknown"), IF(OR(_xlpm.ig=0, _xlpm.ig=""), "Regional Aggregate", _xlpm.ig))</f>
        <v>High income</v>
      </c>
      <c r="H1516" s="4">
        <f>Clean_Data[[#This Row],[Exports_TIV]] - Clean_Data[[#This Row],[Imports_TIV]]</f>
        <v>-36000000</v>
      </c>
      <c r="I1516" s="4">
        <f>Clean_Data[[#This Row],[Exports_TIV]] + Clean_Data[[#This Row],[Imports_TIV]]</f>
        <v>36000000</v>
      </c>
    </row>
    <row r="1517" spans="1:9">
      <c r="A1517" s="4" t="s">
        <v>51</v>
      </c>
      <c r="B1517" s="4" t="s">
        <v>52</v>
      </c>
      <c r="C1517" s="5">
        <v>2015</v>
      </c>
      <c r="D1517" s="4">
        <v>81000000</v>
      </c>
      <c r="E1517" s="4">
        <v>4000000</v>
      </c>
      <c r="F1517" s="4" t="str">
        <f>_xlfn.LET(_xlpm.r, _xlfn.XLOOKUP(Clean_Data[[#This Row],[Country_Code]], Metadata_Country!$A:$A, Metadata_Country!$B:$B, "Unknown"), IF(OR(_xlpm.r=0, _xlpm.r=""), "Regional Aggregate", _xlpm.r))</f>
        <v>Europe &amp; Central Asia</v>
      </c>
      <c r="G1517" s="4" t="str">
        <f>_xlfn.LET(_xlpm.ig, _xlfn.XLOOKUP(Clean_Data[[#This Row],[Country_Code]], Metadata_Country!$A:$A, Metadata_Country!$C:$C, "Unknown"), IF(OR(_xlpm.ig=0, _xlpm.ig=""), "Regional Aggregate", _xlpm.ig))</f>
        <v>High income</v>
      </c>
      <c r="H1517" s="4">
        <f>Clean_Data[[#This Row],[Exports_TIV]] - Clean_Data[[#This Row],[Imports_TIV]]</f>
        <v>77000000</v>
      </c>
      <c r="I1517" s="4">
        <f>Clean_Data[[#This Row],[Exports_TIV]] + Clean_Data[[#This Row],[Imports_TIV]]</f>
        <v>85000000</v>
      </c>
    </row>
    <row r="1518" spans="1:9">
      <c r="A1518" s="4" t="s">
        <v>47</v>
      </c>
      <c r="B1518" s="4" t="s">
        <v>48</v>
      </c>
      <c r="C1518" s="5">
        <v>2015</v>
      </c>
      <c r="D1518" s="4">
        <v>0</v>
      </c>
      <c r="E1518" s="4">
        <v>5000000</v>
      </c>
      <c r="F1518" s="4" t="str">
        <f>_xlfn.LET(_xlpm.r, _xlfn.XLOOKUP(Clean_Data[[#This Row],[Country_Code]], Metadata_Country!$A:$A, Metadata_Country!$B:$B, "Unknown"), IF(OR(_xlpm.r=0, _xlpm.r=""), "Regional Aggregate", _xlpm.r))</f>
        <v>Sub-Saharan Africa</v>
      </c>
      <c r="G1518" s="4" t="str">
        <f>_xlfn.LET(_xlpm.ig, _xlfn.XLOOKUP(Clean_Data[[#This Row],[Country_Code]], Metadata_Country!$A:$A, Metadata_Country!$C:$C, "Unknown"), IF(OR(_xlpm.ig=0, _xlpm.ig=""), "Regional Aggregate", _xlpm.ig))</f>
        <v>Low income</v>
      </c>
      <c r="H1518" s="4">
        <f>Clean_Data[[#This Row],[Exports_TIV]] - Clean_Data[[#This Row],[Imports_TIV]]</f>
        <v>-5000000</v>
      </c>
      <c r="I1518" s="4">
        <f>Clean_Data[[#This Row],[Exports_TIV]] + Clean_Data[[#This Row],[Imports_TIV]]</f>
        <v>5000000</v>
      </c>
    </row>
    <row r="1519" spans="1:9">
      <c r="A1519" s="4" t="s">
        <v>41</v>
      </c>
      <c r="B1519" s="4" t="s">
        <v>42</v>
      </c>
      <c r="C1519" s="5">
        <v>2015</v>
      </c>
      <c r="D1519" s="4">
        <v>0</v>
      </c>
      <c r="E1519" s="4">
        <v>1000000</v>
      </c>
      <c r="F1519" s="4" t="str">
        <f>_xlfn.LET(_xlpm.r, _xlfn.XLOOKUP(Clean_Data[[#This Row],[Country_Code]], Metadata_Country!$A:$A, Metadata_Country!$B:$B, "Unknown"), IF(OR(_xlpm.r=0, _xlpm.r=""), "Regional Aggregate", _xlpm.r))</f>
        <v>Sub-Saharan Africa</v>
      </c>
      <c r="G1519" s="4" t="str">
        <f>_xlfn.LET(_xlpm.ig, _xlfn.XLOOKUP(Clean_Data[[#This Row],[Country_Code]], Metadata_Country!$A:$A, Metadata_Country!$C:$C, "Unknown"), IF(OR(_xlpm.ig=0, _xlpm.ig=""), "Regional Aggregate", _xlpm.ig))</f>
        <v>Low income</v>
      </c>
      <c r="H1519" s="4">
        <f>Clean_Data[[#This Row],[Exports_TIV]] - Clean_Data[[#This Row],[Imports_TIV]]</f>
        <v>-1000000</v>
      </c>
      <c r="I1519" s="4">
        <f>Clean_Data[[#This Row],[Exports_TIV]] + Clean_Data[[#This Row],[Imports_TIV]]</f>
        <v>1000000</v>
      </c>
    </row>
    <row r="1520" spans="1:9">
      <c r="A1520" s="4" t="s">
        <v>93</v>
      </c>
      <c r="B1520" s="4" t="s">
        <v>94</v>
      </c>
      <c r="C1520" s="5">
        <v>2015</v>
      </c>
      <c r="D1520" s="4">
        <v>0</v>
      </c>
      <c r="E1520" s="4">
        <v>10000000</v>
      </c>
      <c r="F1520" s="4" t="str">
        <f>_xlfn.LET(_xlpm.r, _xlfn.XLOOKUP(Clean_Data[[#This Row],[Country_Code]], Metadata_Country!$A:$A, Metadata_Country!$B:$B, "Unknown"), IF(OR(_xlpm.r=0, _xlpm.r=""), "Regional Aggregate", _xlpm.r))</f>
        <v>Sub-Saharan Africa</v>
      </c>
      <c r="G1520" s="4" t="str">
        <f>_xlfn.LET(_xlpm.ig, _xlfn.XLOOKUP(Clean_Data[[#This Row],[Country_Code]], Metadata_Country!$A:$A, Metadata_Country!$C:$C, "Unknown"), IF(OR(_xlpm.ig=0, _xlpm.ig=""), "Regional Aggregate", _xlpm.ig))</f>
        <v>Lower middle income</v>
      </c>
      <c r="H1520" s="4">
        <f>Clean_Data[[#This Row],[Exports_TIV]] - Clean_Data[[#This Row],[Imports_TIV]]</f>
        <v>-10000000</v>
      </c>
      <c r="I1520" s="4">
        <f>Clean_Data[[#This Row],[Exports_TIV]] + Clean_Data[[#This Row],[Imports_TIV]]</f>
        <v>10000000</v>
      </c>
    </row>
    <row r="1521" spans="1:9">
      <c r="A1521" s="4" t="s">
        <v>79</v>
      </c>
      <c r="B1521" s="4" t="s">
        <v>80</v>
      </c>
      <c r="C1521" s="5">
        <v>2015</v>
      </c>
      <c r="D1521" s="4">
        <v>298000000</v>
      </c>
      <c r="E1521" s="4">
        <v>408000000</v>
      </c>
      <c r="F1521" s="4" t="str">
        <f>_xlfn.LET(_xlpm.r, _xlfn.XLOOKUP(Clean_Data[[#This Row],[Country_Code]], Metadata_Country!$A:$A, Metadata_Country!$B:$B, "Unknown"), IF(OR(_xlpm.r=0, _xlpm.r=""), "Regional Aggregate", _xlpm.r))</f>
        <v>North America</v>
      </c>
      <c r="G1521" s="4" t="str">
        <f>_xlfn.LET(_xlpm.ig, _xlfn.XLOOKUP(Clean_Data[[#This Row],[Country_Code]], Metadata_Country!$A:$A, Metadata_Country!$C:$C, "Unknown"), IF(OR(_xlpm.ig=0, _xlpm.ig=""), "Regional Aggregate", _xlpm.ig))</f>
        <v>High income</v>
      </c>
      <c r="H1521" s="4">
        <f>Clean_Data[[#This Row],[Exports_TIV]] - Clean_Data[[#This Row],[Imports_TIV]]</f>
        <v>-110000000</v>
      </c>
      <c r="I1521" s="4">
        <f>Clean_Data[[#This Row],[Exports_TIV]] + Clean_Data[[#This Row],[Imports_TIV]]</f>
        <v>706000000</v>
      </c>
    </row>
    <row r="1522" spans="1:9">
      <c r="A1522" s="4" t="s">
        <v>467</v>
      </c>
      <c r="B1522" s="4" t="s">
        <v>468</v>
      </c>
      <c r="C1522" s="5">
        <v>2015</v>
      </c>
      <c r="D1522" s="4">
        <v>0</v>
      </c>
      <c r="E1522" s="4">
        <v>1000000</v>
      </c>
      <c r="F1522" s="4" t="str">
        <f>_xlfn.LET(_xlpm.r, _xlfn.XLOOKUP(Clean_Data[[#This Row],[Country_Code]], Metadata_Country!$A:$A, Metadata_Country!$B:$B, "Unknown"), IF(OR(_xlpm.r=0, _xlpm.r=""), "Regional Aggregate", _xlpm.r))</f>
        <v>Sub-Saharan Africa</v>
      </c>
      <c r="G1522" s="4" t="str">
        <f>_xlfn.LET(_xlpm.ig, _xlfn.XLOOKUP(Clean_Data[[#This Row],[Country_Code]], Metadata_Country!$A:$A, Metadata_Country!$C:$C, "Unknown"), IF(OR(_xlpm.ig=0, _xlpm.ig=""), "Regional Aggregate", _xlpm.ig))</f>
        <v>Low income</v>
      </c>
      <c r="H1522" s="4">
        <f>Clean_Data[[#This Row],[Exports_TIV]] - Clean_Data[[#This Row],[Imports_TIV]]</f>
        <v>-1000000</v>
      </c>
      <c r="I1522" s="4">
        <f>Clean_Data[[#This Row],[Exports_TIV]] + Clean_Data[[#This Row],[Imports_TIV]]</f>
        <v>1000000</v>
      </c>
    </row>
    <row r="1523" spans="1:9">
      <c r="A1523" s="4" t="s">
        <v>87</v>
      </c>
      <c r="B1523" s="4" t="s">
        <v>88</v>
      </c>
      <c r="C1523" s="5">
        <v>2015</v>
      </c>
      <c r="D1523" s="4">
        <v>0</v>
      </c>
      <c r="E1523" s="4">
        <v>135000000</v>
      </c>
      <c r="F1523" s="4" t="str">
        <f>_xlfn.LET(_xlpm.r, _xlfn.XLOOKUP(Clean_Data[[#This Row],[Country_Code]], Metadata_Country!$A:$A, Metadata_Country!$B:$B, "Unknown"), IF(OR(_xlpm.r=0, _xlpm.r=""), "Regional Aggregate", _xlpm.r))</f>
        <v>Latin America &amp; Caribbean</v>
      </c>
      <c r="G1523" s="4" t="str">
        <f>_xlfn.LET(_xlpm.ig, _xlfn.XLOOKUP(Clean_Data[[#This Row],[Country_Code]], Metadata_Country!$A:$A, Metadata_Country!$C:$C, "Unknown"), IF(OR(_xlpm.ig=0, _xlpm.ig=""), "Regional Aggregate", _xlpm.ig))</f>
        <v>High income</v>
      </c>
      <c r="H1523" s="4">
        <f>Clean_Data[[#This Row],[Exports_TIV]] - Clean_Data[[#This Row],[Imports_TIV]]</f>
        <v>-135000000</v>
      </c>
      <c r="I1523" s="4">
        <f>Clean_Data[[#This Row],[Exports_TIV]] + Clean_Data[[#This Row],[Imports_TIV]]</f>
        <v>135000000</v>
      </c>
    </row>
    <row r="1524" spans="1:9">
      <c r="A1524" s="4" t="s">
        <v>89</v>
      </c>
      <c r="B1524" s="4" t="s">
        <v>90</v>
      </c>
      <c r="C1524" s="5">
        <v>2015</v>
      </c>
      <c r="D1524" s="4">
        <v>1841000000</v>
      </c>
      <c r="E1524" s="4">
        <v>1190000000</v>
      </c>
      <c r="F1524" s="4" t="str">
        <f>_xlfn.LET(_xlpm.r, _xlfn.XLOOKUP(Clean_Data[[#This Row],[Country_Code]], Metadata_Country!$A:$A, Metadata_Country!$B:$B, "Unknown"), IF(OR(_xlpm.r=0, _xlpm.r=""), "Regional Aggregate", _xlpm.r))</f>
        <v>East Asia &amp; Pacific</v>
      </c>
      <c r="G1524" s="4" t="str">
        <f>_xlfn.LET(_xlpm.ig, _xlfn.XLOOKUP(Clean_Data[[#This Row],[Country_Code]], Metadata_Country!$A:$A, Metadata_Country!$C:$C, "Unknown"), IF(OR(_xlpm.ig=0, _xlpm.ig=""), "Regional Aggregate", _xlpm.ig))</f>
        <v>Upper middle income</v>
      </c>
      <c r="H1524" s="4">
        <f>Clean_Data[[#This Row],[Exports_TIV]] - Clean_Data[[#This Row],[Imports_TIV]]</f>
        <v>651000000</v>
      </c>
      <c r="I1524" s="4">
        <f>Clean_Data[[#This Row],[Exports_TIV]] + Clean_Data[[#This Row],[Imports_TIV]]</f>
        <v>3031000000</v>
      </c>
    </row>
    <row r="1525" spans="1:9">
      <c r="A1525" s="4" t="s">
        <v>99</v>
      </c>
      <c r="B1525" s="4" t="s">
        <v>100</v>
      </c>
      <c r="C1525" s="5">
        <v>2015</v>
      </c>
      <c r="D1525" s="4">
        <v>0</v>
      </c>
      <c r="E1525" s="4">
        <v>193000000</v>
      </c>
      <c r="F1525" s="4" t="str">
        <f>_xlfn.LET(_xlpm.r, _xlfn.XLOOKUP(Clean_Data[[#This Row],[Country_Code]], Metadata_Country!$A:$A, Metadata_Country!$B:$B, "Unknown"), IF(OR(_xlpm.r=0, _xlpm.r=""), "Regional Aggregate", _xlpm.r))</f>
        <v>Latin America &amp; Caribbean</v>
      </c>
      <c r="G1525" s="4" t="str">
        <f>_xlfn.LET(_xlpm.ig, _xlfn.XLOOKUP(Clean_Data[[#This Row],[Country_Code]], Metadata_Country!$A:$A, Metadata_Country!$C:$C, "Unknown"), IF(OR(_xlpm.ig=0, _xlpm.ig=""), "Regional Aggregate", _xlpm.ig))</f>
        <v>Upper middle income</v>
      </c>
      <c r="H1525" s="4">
        <f>Clean_Data[[#This Row],[Exports_TIV]] - Clean_Data[[#This Row],[Imports_TIV]]</f>
        <v>-193000000</v>
      </c>
      <c r="I1525" s="4">
        <f>Clean_Data[[#This Row],[Exports_TIV]] + Clean_Data[[#This Row],[Imports_TIV]]</f>
        <v>193000000</v>
      </c>
    </row>
    <row r="1526" spans="1:9">
      <c r="A1526" s="4" t="s">
        <v>95</v>
      </c>
      <c r="B1526" s="4" t="s">
        <v>96</v>
      </c>
      <c r="C1526" s="5">
        <v>2015</v>
      </c>
      <c r="D1526" s="4">
        <v>0</v>
      </c>
      <c r="E1526" s="4">
        <v>3000000</v>
      </c>
      <c r="F1526" s="4" t="str">
        <f>_xlfn.LET(_xlpm.r, _xlfn.XLOOKUP(Clean_Data[[#This Row],[Country_Code]], Metadata_Country!$A:$A, Metadata_Country!$B:$B, "Unknown"), IF(OR(_xlpm.r=0, _xlpm.r=""), "Regional Aggregate", _xlpm.r))</f>
        <v>Sub-Saharan Africa</v>
      </c>
      <c r="G1526" s="4" t="str">
        <f>_xlfn.LET(_xlpm.ig, _xlfn.XLOOKUP(Clean_Data[[#This Row],[Country_Code]], Metadata_Country!$A:$A, Metadata_Country!$C:$C, "Unknown"), IF(OR(_xlpm.ig=0, _xlpm.ig=""), "Regional Aggregate", _xlpm.ig))</f>
        <v>Low income</v>
      </c>
      <c r="H1526" s="4">
        <f>Clean_Data[[#This Row],[Exports_TIV]] - Clean_Data[[#This Row],[Imports_TIV]]</f>
        <v>-3000000</v>
      </c>
      <c r="I1526" s="4">
        <f>Clean_Data[[#This Row],[Exports_TIV]] + Clean_Data[[#This Row],[Imports_TIV]]</f>
        <v>3000000</v>
      </c>
    </row>
    <row r="1527" spans="1:9">
      <c r="A1527" s="4" t="s">
        <v>97</v>
      </c>
      <c r="B1527" s="4" t="s">
        <v>98</v>
      </c>
      <c r="C1527" s="5">
        <v>2015</v>
      </c>
      <c r="D1527" s="4">
        <v>0</v>
      </c>
      <c r="E1527" s="4">
        <v>2000000</v>
      </c>
      <c r="F1527" s="4" t="str">
        <f>_xlfn.LET(_xlpm.r, _xlfn.XLOOKUP(Clean_Data[[#This Row],[Country_Code]], Metadata_Country!$A:$A, Metadata_Country!$B:$B, "Unknown"), IF(OR(_xlpm.r=0, _xlpm.r=""), "Regional Aggregate", _xlpm.r))</f>
        <v>Sub-Saharan Africa</v>
      </c>
      <c r="G1527" s="4" t="str">
        <f>_xlfn.LET(_xlpm.ig, _xlfn.XLOOKUP(Clean_Data[[#This Row],[Country_Code]], Metadata_Country!$A:$A, Metadata_Country!$C:$C, "Unknown"), IF(OR(_xlpm.ig=0, _xlpm.ig=""), "Regional Aggregate", _xlpm.ig))</f>
        <v>Lower middle income</v>
      </c>
      <c r="H1527" s="4">
        <f>Clean_Data[[#This Row],[Exports_TIV]] - Clean_Data[[#This Row],[Imports_TIV]]</f>
        <v>-2000000</v>
      </c>
      <c r="I1527" s="4">
        <f>Clean_Data[[#This Row],[Exports_TIV]] + Clean_Data[[#This Row],[Imports_TIV]]</f>
        <v>2000000</v>
      </c>
    </row>
    <row r="1528" spans="1:9">
      <c r="A1528" s="4" t="s">
        <v>91</v>
      </c>
      <c r="B1528" s="4" t="s">
        <v>92</v>
      </c>
      <c r="C1528" s="5">
        <v>2015</v>
      </c>
      <c r="D1528" s="4">
        <v>0</v>
      </c>
      <c r="E1528" s="4">
        <v>5000000</v>
      </c>
      <c r="F1528" s="4" t="str">
        <f>_xlfn.LET(_xlpm.r, _xlfn.XLOOKUP(Clean_Data[[#This Row],[Country_Code]], Metadata_Country!$A:$A, Metadata_Country!$B:$B, "Unknown"), IF(OR(_xlpm.r=0, _xlpm.r=""), "Regional Aggregate", _xlpm.r))</f>
        <v>Sub-Saharan Africa</v>
      </c>
      <c r="G1528" s="4" t="str">
        <f>_xlfn.LET(_xlpm.ig, _xlfn.XLOOKUP(Clean_Data[[#This Row],[Country_Code]], Metadata_Country!$A:$A, Metadata_Country!$C:$C, "Unknown"), IF(OR(_xlpm.ig=0, _xlpm.ig=""), "Regional Aggregate", _xlpm.ig))</f>
        <v>Lower middle income</v>
      </c>
      <c r="H1528" s="4">
        <f>Clean_Data[[#This Row],[Exports_TIV]] - Clean_Data[[#This Row],[Imports_TIV]]</f>
        <v>-5000000</v>
      </c>
      <c r="I1528" s="4">
        <f>Clean_Data[[#This Row],[Exports_TIV]] + Clean_Data[[#This Row],[Imports_TIV]]</f>
        <v>5000000</v>
      </c>
    </row>
    <row r="1529" spans="1:9">
      <c r="A1529" s="4" t="s">
        <v>207</v>
      </c>
      <c r="B1529" s="4" t="s">
        <v>208</v>
      </c>
      <c r="C1529" s="5">
        <v>2015</v>
      </c>
      <c r="D1529" s="4">
        <v>0</v>
      </c>
      <c r="E1529" s="4">
        <v>11000000</v>
      </c>
      <c r="F1529" s="4" t="str">
        <f>_xlfn.LET(_xlpm.r, _xlfn.XLOOKUP(Clean_Data[[#This Row],[Country_Code]], Metadata_Country!$A:$A, Metadata_Country!$B:$B, "Unknown"), IF(OR(_xlpm.r=0, _xlpm.r=""), "Regional Aggregate", _xlpm.r))</f>
        <v>Europe &amp; Central Asia</v>
      </c>
      <c r="G1529" s="4" t="str">
        <f>_xlfn.LET(_xlpm.ig, _xlfn.XLOOKUP(Clean_Data[[#This Row],[Country_Code]], Metadata_Country!$A:$A, Metadata_Country!$C:$C, "Unknown"), IF(OR(_xlpm.ig=0, _xlpm.ig=""), "Regional Aggregate", _xlpm.ig))</f>
        <v>High income</v>
      </c>
      <c r="H1529" s="4">
        <f>Clean_Data[[#This Row],[Exports_TIV]] - Clean_Data[[#This Row],[Imports_TIV]]</f>
        <v>-11000000</v>
      </c>
      <c r="I1529" s="4">
        <f>Clean_Data[[#This Row],[Exports_TIV]] + Clean_Data[[#This Row],[Imports_TIV]]</f>
        <v>11000000</v>
      </c>
    </row>
    <row r="1530" spans="1:9">
      <c r="A1530" s="4" t="s">
        <v>117</v>
      </c>
      <c r="B1530" s="4" t="s">
        <v>118</v>
      </c>
      <c r="C1530" s="5">
        <v>2015</v>
      </c>
      <c r="D1530" s="4">
        <v>151000000</v>
      </c>
      <c r="E1530" s="4">
        <v>0</v>
      </c>
      <c r="F1530" s="4" t="str">
        <f>_xlfn.LET(_xlpm.r, _xlfn.XLOOKUP(Clean_Data[[#This Row],[Country_Code]], Metadata_Country!$A:$A, Metadata_Country!$B:$B, "Unknown"), IF(OR(_xlpm.r=0, _xlpm.r=""), "Regional Aggregate", _xlpm.r))</f>
        <v>Europe &amp; Central Asia</v>
      </c>
      <c r="G1530" s="4" t="str">
        <f>_xlfn.LET(_xlpm.ig, _xlfn.XLOOKUP(Clean_Data[[#This Row],[Country_Code]], Metadata_Country!$A:$A, Metadata_Country!$C:$C, "Unknown"), IF(OR(_xlpm.ig=0, _xlpm.ig=""), "Regional Aggregate", _xlpm.ig))</f>
        <v>High income</v>
      </c>
      <c r="H1530" s="4">
        <f>Clean_Data[[#This Row],[Exports_TIV]] - Clean_Data[[#This Row],[Imports_TIV]]</f>
        <v>151000000</v>
      </c>
      <c r="I1530" s="4">
        <f>Clean_Data[[#This Row],[Exports_TIV]] + Clean_Data[[#This Row],[Imports_TIV]]</f>
        <v>151000000</v>
      </c>
    </row>
    <row r="1531" spans="1:9">
      <c r="A1531" s="4" t="s">
        <v>125</v>
      </c>
      <c r="B1531" s="4" t="s">
        <v>126</v>
      </c>
      <c r="C1531" s="5">
        <v>2015</v>
      </c>
      <c r="D1531" s="4">
        <v>22000000</v>
      </c>
      <c r="E1531" s="4">
        <v>42000000</v>
      </c>
      <c r="F1531" s="4" t="str">
        <f>_xlfn.LET(_xlpm.r, _xlfn.XLOOKUP(Clean_Data[[#This Row],[Country_Code]], Metadata_Country!$A:$A, Metadata_Country!$B:$B, "Unknown"), IF(OR(_xlpm.r=0, _xlpm.r=""), "Regional Aggregate", _xlpm.r))</f>
        <v>Europe &amp; Central Asia</v>
      </c>
      <c r="G1531" s="4" t="str">
        <f>_xlfn.LET(_xlpm.ig, _xlfn.XLOOKUP(Clean_Data[[#This Row],[Country_Code]], Metadata_Country!$A:$A, Metadata_Country!$C:$C, "Unknown"), IF(OR(_xlpm.ig=0, _xlpm.ig=""), "Regional Aggregate", _xlpm.ig))</f>
        <v>High income</v>
      </c>
      <c r="H1531" s="4">
        <f>Clean_Data[[#This Row],[Exports_TIV]] - Clean_Data[[#This Row],[Imports_TIV]]</f>
        <v>-20000000</v>
      </c>
      <c r="I1531" s="4">
        <f>Clean_Data[[#This Row],[Exports_TIV]] + Clean_Data[[#This Row],[Imports_TIV]]</f>
        <v>64000000</v>
      </c>
    </row>
    <row r="1532" spans="1:9">
      <c r="A1532" s="4" t="s">
        <v>121</v>
      </c>
      <c r="B1532" s="4" t="s">
        <v>122</v>
      </c>
      <c r="C1532" s="5">
        <v>2015</v>
      </c>
      <c r="D1532" s="4">
        <v>0</v>
      </c>
      <c r="E1532" s="4">
        <v>4000000</v>
      </c>
      <c r="F1532" s="4" t="str">
        <f>_xlfn.LET(_xlpm.r, _xlfn.XLOOKUP(Clean_Data[[#This Row],[Country_Code]], Metadata_Country!$A:$A, Metadata_Country!$B:$B, "Unknown"), IF(OR(_xlpm.r=0, _xlpm.r=""), "Regional Aggregate", _xlpm.r))</f>
        <v>Middle East &amp; North Africa</v>
      </c>
      <c r="G1532" s="4" t="str">
        <f>_xlfn.LET(_xlpm.ig, _xlfn.XLOOKUP(Clean_Data[[#This Row],[Country_Code]], Metadata_Country!$A:$A, Metadata_Country!$C:$C, "Unknown"), IF(OR(_xlpm.ig=0, _xlpm.ig=""), "Regional Aggregate", _xlpm.ig))</f>
        <v>Lower middle income</v>
      </c>
      <c r="H1532" s="4">
        <f>Clean_Data[[#This Row],[Exports_TIV]] - Clean_Data[[#This Row],[Imports_TIV]]</f>
        <v>-4000000</v>
      </c>
      <c r="I1532" s="4">
        <f>Clean_Data[[#This Row],[Exports_TIV]] + Clean_Data[[#This Row],[Imports_TIV]]</f>
        <v>4000000</v>
      </c>
    </row>
    <row r="1533" spans="1:9">
      <c r="A1533" s="4" t="s">
        <v>127</v>
      </c>
      <c r="B1533" s="4" t="s">
        <v>128</v>
      </c>
      <c r="C1533" s="5">
        <v>2015</v>
      </c>
      <c r="D1533" s="4">
        <v>0</v>
      </c>
      <c r="E1533" s="4">
        <v>1000000</v>
      </c>
      <c r="F1533" s="4" t="str">
        <f>_xlfn.LET(_xlpm.r, _xlfn.XLOOKUP(Clean_Data[[#This Row],[Country_Code]], Metadata_Country!$A:$A, Metadata_Country!$B:$B, "Unknown"), IF(OR(_xlpm.r=0, _xlpm.r=""), "Regional Aggregate", _xlpm.r))</f>
        <v>Latin America &amp; Caribbean</v>
      </c>
      <c r="G1533" s="4" t="str">
        <f>_xlfn.LET(_xlpm.ig, _xlfn.XLOOKUP(Clean_Data[[#This Row],[Country_Code]], Metadata_Country!$A:$A, Metadata_Country!$C:$C, "Unknown"), IF(OR(_xlpm.ig=0, _xlpm.ig=""), "Regional Aggregate", _xlpm.ig))</f>
        <v>Upper middle income</v>
      </c>
      <c r="H1533" s="4">
        <f>Clean_Data[[#This Row],[Exports_TIV]] - Clean_Data[[#This Row],[Imports_TIV]]</f>
        <v>-1000000</v>
      </c>
      <c r="I1533" s="4">
        <f>Clean_Data[[#This Row],[Exports_TIV]] + Clean_Data[[#This Row],[Imports_TIV]]</f>
        <v>1000000</v>
      </c>
    </row>
    <row r="1534" spans="1:9">
      <c r="A1534" s="4" t="s">
        <v>133</v>
      </c>
      <c r="B1534" s="4" t="s">
        <v>134</v>
      </c>
      <c r="C1534" s="5">
        <v>2015</v>
      </c>
      <c r="D1534" s="4">
        <v>0</v>
      </c>
      <c r="E1534" s="4">
        <v>13382000000</v>
      </c>
      <c r="F1534" s="4" t="str">
        <f>_xlfn.LET(_xlpm.r, _xlfn.XLOOKUP(Clean_Data[[#This Row],[Country_Code]], Metadata_Country!$A:$A, Metadata_Country!$B:$B, "Unknown"), IF(OR(_xlpm.r=0, _xlpm.r=""), "Regional Aggregate", _xlpm.r))</f>
        <v>Regional Aggregate</v>
      </c>
      <c r="G1534" s="4" t="str">
        <f>_xlfn.LET(_xlpm.ig, _xlfn.XLOOKUP(Clean_Data[[#This Row],[Country_Code]], Metadata_Country!$A:$A, Metadata_Country!$C:$C, "Unknown"), IF(OR(_xlpm.ig=0, _xlpm.ig=""), "Regional Aggregate", _xlpm.ig))</f>
        <v>Regional Aggregate</v>
      </c>
      <c r="H1534" s="4">
        <f>Clean_Data[[#This Row],[Exports_TIV]] - Clean_Data[[#This Row],[Imports_TIV]]</f>
        <v>-13382000000</v>
      </c>
      <c r="I1534" s="4">
        <f>Clean_Data[[#This Row],[Exports_TIV]] + Clean_Data[[#This Row],[Imports_TIV]]</f>
        <v>13382000000</v>
      </c>
    </row>
    <row r="1535" spans="1:9">
      <c r="A1535" s="4" t="s">
        <v>135</v>
      </c>
      <c r="B1535" s="4" t="s">
        <v>136</v>
      </c>
      <c r="C1535" s="5">
        <v>2015</v>
      </c>
      <c r="D1535" s="4">
        <v>0</v>
      </c>
      <c r="E1535" s="4">
        <v>6158000000</v>
      </c>
      <c r="F1535" s="4" t="str">
        <f>_xlfn.LET(_xlpm.r, _xlfn.XLOOKUP(Clean_Data[[#This Row],[Country_Code]], Metadata_Country!$A:$A, Metadata_Country!$B:$B, "Unknown"), IF(OR(_xlpm.r=0, _xlpm.r=""), "Regional Aggregate", _xlpm.r))</f>
        <v>Regional Aggregate</v>
      </c>
      <c r="G1535" s="4" t="str">
        <f>_xlfn.LET(_xlpm.ig, _xlfn.XLOOKUP(Clean_Data[[#This Row],[Country_Code]], Metadata_Country!$A:$A, Metadata_Country!$C:$C, "Unknown"), IF(OR(_xlpm.ig=0, _xlpm.ig=""), "Regional Aggregate", _xlpm.ig))</f>
        <v>Regional Aggregate</v>
      </c>
      <c r="H1535" s="4">
        <f>Clean_Data[[#This Row],[Exports_TIV]] - Clean_Data[[#This Row],[Imports_TIV]]</f>
        <v>-6158000000</v>
      </c>
      <c r="I1535" s="4">
        <f>Clean_Data[[#This Row],[Exports_TIV]] + Clean_Data[[#This Row],[Imports_TIV]]</f>
        <v>6158000000</v>
      </c>
    </row>
    <row r="1536" spans="1:9">
      <c r="A1536" s="4" t="s">
        <v>131</v>
      </c>
      <c r="B1536" s="4" t="s">
        <v>132</v>
      </c>
      <c r="C1536" s="5">
        <v>2015</v>
      </c>
      <c r="D1536" s="4">
        <v>1841000000</v>
      </c>
      <c r="E1536" s="4">
        <v>3290000000</v>
      </c>
      <c r="F1536" s="4" t="str">
        <f>_xlfn.LET(_xlpm.r, _xlfn.XLOOKUP(Clean_Data[[#This Row],[Country_Code]], Metadata_Country!$A:$A, Metadata_Country!$B:$B, "Unknown"), IF(OR(_xlpm.r=0, _xlpm.r=""), "Regional Aggregate", _xlpm.r))</f>
        <v>Regional Aggregate</v>
      </c>
      <c r="G1536" s="4" t="str">
        <f>_xlfn.LET(_xlpm.ig, _xlfn.XLOOKUP(Clean_Data[[#This Row],[Country_Code]], Metadata_Country!$A:$A, Metadata_Country!$C:$C, "Unknown"), IF(OR(_xlpm.ig=0, _xlpm.ig=""), "Regional Aggregate", _xlpm.ig))</f>
        <v>Regional Aggregate</v>
      </c>
      <c r="H1536" s="4">
        <f>Clean_Data[[#This Row],[Exports_TIV]] - Clean_Data[[#This Row],[Imports_TIV]]</f>
        <v>-1449000000</v>
      </c>
      <c r="I1536" s="4">
        <f>Clean_Data[[#This Row],[Exports_TIV]] + Clean_Data[[#This Row],[Imports_TIV]]</f>
        <v>5131000000</v>
      </c>
    </row>
    <row r="1537" spans="1:9">
      <c r="A1537" s="4" t="s">
        <v>469</v>
      </c>
      <c r="B1537" s="4" t="s">
        <v>470</v>
      </c>
      <c r="C1537" s="5">
        <v>2015</v>
      </c>
      <c r="D1537" s="4">
        <v>1841000000</v>
      </c>
      <c r="E1537" s="4">
        <v>3290000000</v>
      </c>
      <c r="F1537" s="4" t="str">
        <f>_xlfn.LET(_xlpm.r, _xlfn.XLOOKUP(Clean_Data[[#This Row],[Country_Code]], Metadata_Country!$A:$A, Metadata_Country!$B:$B, "Unknown"), IF(OR(_xlpm.r=0, _xlpm.r=""), "Regional Aggregate", _xlpm.r))</f>
        <v>Regional Aggregate</v>
      </c>
      <c r="G1537" s="4" t="str">
        <f>_xlfn.LET(_xlpm.ig, _xlfn.XLOOKUP(Clean_Data[[#This Row],[Country_Code]], Metadata_Country!$A:$A, Metadata_Country!$C:$C, "Unknown"), IF(OR(_xlpm.ig=0, _xlpm.ig=""), "Regional Aggregate", _xlpm.ig))</f>
        <v>Regional Aggregate</v>
      </c>
      <c r="H1537" s="4">
        <f>Clean_Data[[#This Row],[Exports_TIV]] - Clean_Data[[#This Row],[Imports_TIV]]</f>
        <v>-1449000000</v>
      </c>
      <c r="I1537" s="4">
        <f>Clean_Data[[#This Row],[Exports_TIV]] + Clean_Data[[#This Row],[Imports_TIV]]</f>
        <v>5131000000</v>
      </c>
    </row>
    <row r="1538" spans="1:9">
      <c r="A1538" s="4" t="s">
        <v>141</v>
      </c>
      <c r="B1538" s="4" t="s">
        <v>142</v>
      </c>
      <c r="C1538" s="5">
        <v>2015</v>
      </c>
      <c r="D1538" s="4">
        <v>0</v>
      </c>
      <c r="E1538" s="4">
        <v>27000000</v>
      </c>
      <c r="F1538" s="4" t="str">
        <f>_xlfn.LET(_xlpm.r, _xlfn.XLOOKUP(Clean_Data[[#This Row],[Country_Code]], Metadata_Country!$A:$A, Metadata_Country!$B:$B, "Unknown"), IF(OR(_xlpm.r=0, _xlpm.r=""), "Regional Aggregate", _xlpm.r))</f>
        <v>Latin America &amp; Caribbean</v>
      </c>
      <c r="G1538" s="4" t="str">
        <f>_xlfn.LET(_xlpm.ig, _xlfn.XLOOKUP(Clean_Data[[#This Row],[Country_Code]], Metadata_Country!$A:$A, Metadata_Country!$C:$C, "Unknown"), IF(OR(_xlpm.ig=0, _xlpm.ig=""), "Regional Aggregate", _xlpm.ig))</f>
        <v>Upper middle income</v>
      </c>
      <c r="H1538" s="4">
        <f>Clean_Data[[#This Row],[Exports_TIV]] - Clean_Data[[#This Row],[Imports_TIV]]</f>
        <v>-27000000</v>
      </c>
      <c r="I1538" s="4">
        <f>Clean_Data[[#This Row],[Exports_TIV]] + Clean_Data[[#This Row],[Imports_TIV]]</f>
        <v>27000000</v>
      </c>
    </row>
    <row r="1539" spans="1:9">
      <c r="A1539" s="4" t="s">
        <v>143</v>
      </c>
      <c r="B1539" s="4" t="s">
        <v>144</v>
      </c>
      <c r="C1539" s="5">
        <v>2015</v>
      </c>
      <c r="D1539" s="4">
        <v>21000000</v>
      </c>
      <c r="E1539" s="4">
        <v>1443000000</v>
      </c>
      <c r="F1539" s="4" t="str">
        <f>_xlfn.LET(_xlpm.r, _xlfn.XLOOKUP(Clean_Data[[#This Row],[Country_Code]], Metadata_Country!$A:$A, Metadata_Country!$B:$B, "Unknown"), IF(OR(_xlpm.r=0, _xlpm.r=""), "Regional Aggregate", _xlpm.r))</f>
        <v>Middle East &amp; North Africa</v>
      </c>
      <c r="G1539" s="4" t="str">
        <f>_xlfn.LET(_xlpm.ig, _xlfn.XLOOKUP(Clean_Data[[#This Row],[Country_Code]], Metadata_Country!$A:$A, Metadata_Country!$C:$C, "Unknown"), IF(OR(_xlpm.ig=0, _xlpm.ig=""), "Regional Aggregate", _xlpm.ig))</f>
        <v>Lower middle income</v>
      </c>
      <c r="H1539" s="4">
        <f>Clean_Data[[#This Row],[Exports_TIV]] - Clean_Data[[#This Row],[Imports_TIV]]</f>
        <v>-1422000000</v>
      </c>
      <c r="I1539" s="4">
        <f>Clean_Data[[#This Row],[Exports_TIV]] + Clean_Data[[#This Row],[Imports_TIV]]</f>
        <v>1464000000</v>
      </c>
    </row>
    <row r="1540" spans="1:9">
      <c r="A1540" s="4" t="s">
        <v>151</v>
      </c>
      <c r="B1540" s="4" t="s">
        <v>152</v>
      </c>
      <c r="C1540" s="5">
        <v>2015</v>
      </c>
      <c r="D1540" s="4">
        <v>1000000</v>
      </c>
      <c r="E1540" s="4">
        <v>18000000</v>
      </c>
      <c r="F1540" s="4" t="str">
        <f>_xlfn.LET(_xlpm.r, _xlfn.XLOOKUP(Clean_Data[[#This Row],[Country_Code]], Metadata_Country!$A:$A, Metadata_Country!$B:$B, "Unknown"), IF(OR(_xlpm.r=0, _xlpm.r=""), "Regional Aggregate", _xlpm.r))</f>
        <v>Europe &amp; Central Asia</v>
      </c>
      <c r="G1540" s="4" t="str">
        <f>_xlfn.LET(_xlpm.ig, _xlfn.XLOOKUP(Clean_Data[[#This Row],[Country_Code]], Metadata_Country!$A:$A, Metadata_Country!$C:$C, "Unknown"), IF(OR(_xlpm.ig=0, _xlpm.ig=""), "Regional Aggregate", _xlpm.ig))</f>
        <v>High income</v>
      </c>
      <c r="H1540" s="4">
        <f>Clean_Data[[#This Row],[Exports_TIV]] - Clean_Data[[#This Row],[Imports_TIV]]</f>
        <v>-17000000</v>
      </c>
      <c r="I1540" s="4">
        <f>Clean_Data[[#This Row],[Exports_TIV]] + Clean_Data[[#This Row],[Imports_TIV]]</f>
        <v>19000000</v>
      </c>
    </row>
    <row r="1541" spans="1:9">
      <c r="A1541" s="4" t="s">
        <v>153</v>
      </c>
      <c r="B1541" s="4" t="s">
        <v>154</v>
      </c>
      <c r="C1541" s="5">
        <v>2015</v>
      </c>
      <c r="D1541" s="4">
        <v>0</v>
      </c>
      <c r="E1541" s="4">
        <v>10000000</v>
      </c>
      <c r="F1541" s="4" t="str">
        <f>_xlfn.LET(_xlpm.r, _xlfn.XLOOKUP(Clean_Data[[#This Row],[Country_Code]], Metadata_Country!$A:$A, Metadata_Country!$B:$B, "Unknown"), IF(OR(_xlpm.r=0, _xlpm.r=""), "Regional Aggregate", _xlpm.r))</f>
        <v>Sub-Saharan Africa</v>
      </c>
      <c r="G1541" s="4" t="str">
        <f>_xlfn.LET(_xlpm.ig, _xlfn.XLOOKUP(Clean_Data[[#This Row],[Country_Code]], Metadata_Country!$A:$A, Metadata_Country!$C:$C, "Unknown"), IF(OR(_xlpm.ig=0, _xlpm.ig=""), "Regional Aggregate", _xlpm.ig))</f>
        <v>Low income</v>
      </c>
      <c r="H1541" s="4">
        <f>Clean_Data[[#This Row],[Exports_TIV]] - Clean_Data[[#This Row],[Imports_TIV]]</f>
        <v>-10000000</v>
      </c>
      <c r="I1541" s="4">
        <f>Clean_Data[[#This Row],[Exports_TIV]] + Clean_Data[[#This Row],[Imports_TIV]]</f>
        <v>10000000</v>
      </c>
    </row>
    <row r="1542" spans="1:9">
      <c r="A1542" s="4" t="s">
        <v>145</v>
      </c>
      <c r="B1542" s="4" t="s">
        <v>146</v>
      </c>
      <c r="C1542" s="5">
        <v>2015</v>
      </c>
      <c r="D1542" s="4">
        <v>6332000000</v>
      </c>
      <c r="E1542" s="4">
        <v>1748000000</v>
      </c>
      <c r="F1542" s="4" t="str">
        <f>_xlfn.LET(_xlpm.r, _xlfn.XLOOKUP(Clean_Data[[#This Row],[Country_Code]], Metadata_Country!$A:$A, Metadata_Country!$B:$B, "Unknown"), IF(OR(_xlpm.r=0, _xlpm.r=""), "Regional Aggregate", _xlpm.r))</f>
        <v>Regional Aggregate</v>
      </c>
      <c r="G1542" s="4" t="str">
        <f>_xlfn.LET(_xlpm.ig, _xlfn.XLOOKUP(Clean_Data[[#This Row],[Country_Code]], Metadata_Country!$A:$A, Metadata_Country!$C:$C, "Unknown"), IF(OR(_xlpm.ig=0, _xlpm.ig=""), "Regional Aggregate", _xlpm.ig))</f>
        <v>Regional Aggregate</v>
      </c>
      <c r="H1542" s="4">
        <f>Clean_Data[[#This Row],[Exports_TIV]] - Clean_Data[[#This Row],[Imports_TIV]]</f>
        <v>4584000000</v>
      </c>
      <c r="I1542" s="4">
        <f>Clean_Data[[#This Row],[Exports_TIV]] + Clean_Data[[#This Row],[Imports_TIV]]</f>
        <v>8080000000</v>
      </c>
    </row>
    <row r="1543" spans="1:9">
      <c r="A1543" s="4" t="s">
        <v>139</v>
      </c>
      <c r="B1543" s="4" t="s">
        <v>140</v>
      </c>
      <c r="C1543" s="5">
        <v>2015</v>
      </c>
      <c r="D1543" s="4">
        <v>15059000000</v>
      </c>
      <c r="E1543" s="4">
        <v>4287000000</v>
      </c>
      <c r="F1543" s="4" t="str">
        <f>_xlfn.LET(_xlpm.r, _xlfn.XLOOKUP(Clean_Data[[#This Row],[Country_Code]], Metadata_Country!$A:$A, Metadata_Country!$B:$B, "Unknown"), IF(OR(_xlpm.r=0, _xlpm.r=""), "Regional Aggregate", _xlpm.r))</f>
        <v>Regional Aggregate</v>
      </c>
      <c r="G1543" s="4" t="str">
        <f>_xlfn.LET(_xlpm.ig, _xlfn.XLOOKUP(Clean_Data[[#This Row],[Country_Code]], Metadata_Country!$A:$A, Metadata_Country!$C:$C, "Unknown"), IF(OR(_xlpm.ig=0, _xlpm.ig=""), "Regional Aggregate", _xlpm.ig))</f>
        <v>Regional Aggregate</v>
      </c>
      <c r="H1543" s="4">
        <f>Clean_Data[[#This Row],[Exports_TIV]] - Clean_Data[[#This Row],[Imports_TIV]]</f>
        <v>10772000000</v>
      </c>
      <c r="I1543" s="4">
        <f>Clean_Data[[#This Row],[Exports_TIV]] + Clean_Data[[#This Row],[Imports_TIV]]</f>
        <v>19346000000</v>
      </c>
    </row>
    <row r="1544" spans="1:9">
      <c r="A1544" s="4" t="s">
        <v>137</v>
      </c>
      <c r="B1544" s="4" t="s">
        <v>138</v>
      </c>
      <c r="C1544" s="5">
        <v>2015</v>
      </c>
      <c r="D1544" s="4">
        <v>789000000</v>
      </c>
      <c r="E1544" s="4">
        <v>1644000000</v>
      </c>
      <c r="F1544" s="4" t="str">
        <f>_xlfn.LET(_xlpm.r, _xlfn.XLOOKUP(Clean_Data[[#This Row],[Country_Code]], Metadata_Country!$A:$A, Metadata_Country!$B:$B, "Unknown"), IF(OR(_xlpm.r=0, _xlpm.r=""), "Regional Aggregate", _xlpm.r))</f>
        <v>Regional Aggregate</v>
      </c>
      <c r="G1544" s="4" t="str">
        <f>_xlfn.LET(_xlpm.ig, _xlfn.XLOOKUP(Clean_Data[[#This Row],[Country_Code]], Metadata_Country!$A:$A, Metadata_Country!$C:$C, "Unknown"), IF(OR(_xlpm.ig=0, _xlpm.ig=""), "Regional Aggregate", _xlpm.ig))</f>
        <v>Regional Aggregate</v>
      </c>
      <c r="H1544" s="4">
        <f>Clean_Data[[#This Row],[Exports_TIV]] - Clean_Data[[#This Row],[Imports_TIV]]</f>
        <v>-855000000</v>
      </c>
      <c r="I1544" s="4">
        <f>Clean_Data[[#This Row],[Exports_TIV]] + Clean_Data[[#This Row],[Imports_TIV]]</f>
        <v>2433000000</v>
      </c>
    </row>
    <row r="1545" spans="1:9">
      <c r="A1545" s="4" t="s">
        <v>471</v>
      </c>
      <c r="B1545" s="4" t="s">
        <v>472</v>
      </c>
      <c r="C1545" s="5">
        <v>2015</v>
      </c>
      <c r="D1545" s="4">
        <v>6671000000</v>
      </c>
      <c r="E1545" s="4">
        <v>1921000000</v>
      </c>
      <c r="F1545" s="4" t="str">
        <f>_xlfn.LET(_xlpm.r, _xlfn.XLOOKUP(Clean_Data[[#This Row],[Country_Code]], Metadata_Country!$A:$A, Metadata_Country!$B:$B, "Unknown"), IF(OR(_xlpm.r=0, _xlpm.r=""), "Regional Aggregate", _xlpm.r))</f>
        <v>Regional Aggregate</v>
      </c>
      <c r="G1545" s="4" t="str">
        <f>_xlfn.LET(_xlpm.ig, _xlfn.XLOOKUP(Clean_Data[[#This Row],[Country_Code]], Metadata_Country!$A:$A, Metadata_Country!$C:$C, "Unknown"), IF(OR(_xlpm.ig=0, _xlpm.ig=""), "Regional Aggregate", _xlpm.ig))</f>
        <v>Regional Aggregate</v>
      </c>
      <c r="H1545" s="4">
        <f>Clean_Data[[#This Row],[Exports_TIV]] - Clean_Data[[#This Row],[Imports_TIV]]</f>
        <v>4750000000</v>
      </c>
      <c r="I1545" s="4">
        <f>Clean_Data[[#This Row],[Exports_TIV]] + Clean_Data[[#This Row],[Imports_TIV]]</f>
        <v>8592000000</v>
      </c>
    </row>
    <row r="1546" spans="1:9">
      <c r="A1546" s="4" t="s">
        <v>155</v>
      </c>
      <c r="B1546" s="4" t="s">
        <v>156</v>
      </c>
      <c r="C1546" s="5">
        <v>2015</v>
      </c>
      <c r="D1546" s="4">
        <v>6685000000</v>
      </c>
      <c r="E1546" s="4">
        <v>1963000000</v>
      </c>
      <c r="F1546" s="4" t="str">
        <f>_xlfn.LET(_xlpm.r, _xlfn.XLOOKUP(Clean_Data[[#This Row],[Country_Code]], Metadata_Country!$A:$A, Metadata_Country!$B:$B, "Unknown"), IF(OR(_xlpm.r=0, _xlpm.r=""), "Regional Aggregate", _xlpm.r))</f>
        <v>Regional Aggregate</v>
      </c>
      <c r="G1546" s="4" t="str">
        <f>_xlfn.LET(_xlpm.ig, _xlfn.XLOOKUP(Clean_Data[[#This Row],[Country_Code]], Metadata_Country!$A:$A, Metadata_Country!$C:$C, "Unknown"), IF(OR(_xlpm.ig=0, _xlpm.ig=""), "Regional Aggregate", _xlpm.ig))</f>
        <v>Regional Aggregate</v>
      </c>
      <c r="H1546" s="4">
        <f>Clean_Data[[#This Row],[Exports_TIV]] - Clean_Data[[#This Row],[Imports_TIV]]</f>
        <v>4722000000</v>
      </c>
      <c r="I1546" s="4">
        <f>Clean_Data[[#This Row],[Exports_TIV]] + Clean_Data[[#This Row],[Imports_TIV]]</f>
        <v>8648000000</v>
      </c>
    </row>
    <row r="1547" spans="1:9">
      <c r="A1547" s="4" t="s">
        <v>159</v>
      </c>
      <c r="B1547" s="4" t="s">
        <v>160</v>
      </c>
      <c r="C1547" s="5">
        <v>2015</v>
      </c>
      <c r="D1547" s="4">
        <v>29000000</v>
      </c>
      <c r="E1547" s="4">
        <v>268000000</v>
      </c>
      <c r="F1547" s="4" t="str">
        <f>_xlfn.LET(_xlpm.r, _xlfn.XLOOKUP(Clean_Data[[#This Row],[Country_Code]], Metadata_Country!$A:$A, Metadata_Country!$B:$B, "Unknown"), IF(OR(_xlpm.r=0, _xlpm.r=""), "Regional Aggregate", _xlpm.r))</f>
        <v>Europe &amp; Central Asia</v>
      </c>
      <c r="G1547" s="4" t="str">
        <f>_xlfn.LET(_xlpm.ig, _xlfn.XLOOKUP(Clean_Data[[#This Row],[Country_Code]], Metadata_Country!$A:$A, Metadata_Country!$C:$C, "Unknown"), IF(OR(_xlpm.ig=0, _xlpm.ig=""), "Regional Aggregate", _xlpm.ig))</f>
        <v>High income</v>
      </c>
      <c r="H1547" s="4">
        <f>Clean_Data[[#This Row],[Exports_TIV]] - Clean_Data[[#This Row],[Imports_TIV]]</f>
        <v>-239000000</v>
      </c>
      <c r="I1547" s="4">
        <f>Clean_Data[[#This Row],[Exports_TIV]] + Clean_Data[[#This Row],[Imports_TIV]]</f>
        <v>297000000</v>
      </c>
    </row>
    <row r="1548" spans="1:9">
      <c r="A1548" s="4" t="s">
        <v>157</v>
      </c>
      <c r="B1548" s="4" t="s">
        <v>158</v>
      </c>
      <c r="C1548" s="5">
        <v>2015</v>
      </c>
      <c r="D1548" s="4">
        <v>0</v>
      </c>
      <c r="E1548" s="4">
        <v>2394000000</v>
      </c>
      <c r="F1548" s="4" t="str">
        <f>_xlfn.LET(_xlpm.r, _xlfn.XLOOKUP(Clean_Data[[#This Row],[Country_Code]], Metadata_Country!$A:$A, Metadata_Country!$B:$B, "Unknown"), IF(OR(_xlpm.r=0, _xlpm.r=""), "Regional Aggregate", _xlpm.r))</f>
        <v>Regional Aggregate</v>
      </c>
      <c r="G1548" s="4" t="str">
        <f>_xlfn.LET(_xlpm.ig, _xlfn.XLOOKUP(Clean_Data[[#This Row],[Country_Code]], Metadata_Country!$A:$A, Metadata_Country!$C:$C, "Unknown"), IF(OR(_xlpm.ig=0, _xlpm.ig=""), "Regional Aggregate", _xlpm.ig))</f>
        <v>Regional Aggregate</v>
      </c>
      <c r="H1548" s="4">
        <f>Clean_Data[[#This Row],[Exports_TIV]] - Clean_Data[[#This Row],[Imports_TIV]]</f>
        <v>-2394000000</v>
      </c>
      <c r="I1548" s="4">
        <f>Clean_Data[[#This Row],[Exports_TIV]] + Clean_Data[[#This Row],[Imports_TIV]]</f>
        <v>2394000000</v>
      </c>
    </row>
    <row r="1549" spans="1:9">
      <c r="A1549" s="4" t="s">
        <v>163</v>
      </c>
      <c r="B1549" s="4" t="s">
        <v>164</v>
      </c>
      <c r="C1549" s="5">
        <v>2015</v>
      </c>
      <c r="D1549" s="4">
        <v>2229000000</v>
      </c>
      <c r="E1549" s="4">
        <v>36000000</v>
      </c>
      <c r="F1549" s="4" t="str">
        <f>_xlfn.LET(_xlpm.r, _xlfn.XLOOKUP(Clean_Data[[#This Row],[Country_Code]], Metadata_Country!$A:$A, Metadata_Country!$B:$B, "Unknown"), IF(OR(_xlpm.r=0, _xlpm.r=""), "Regional Aggregate", _xlpm.r))</f>
        <v>Europe &amp; Central Asia</v>
      </c>
      <c r="G1549" s="4" t="str">
        <f>_xlfn.LET(_xlpm.ig, _xlfn.XLOOKUP(Clean_Data[[#This Row],[Country_Code]], Metadata_Country!$A:$A, Metadata_Country!$C:$C, "Unknown"), IF(OR(_xlpm.ig=0, _xlpm.ig=""), "Regional Aggregate", _xlpm.ig))</f>
        <v>High income</v>
      </c>
      <c r="H1549" s="4">
        <f>Clean_Data[[#This Row],[Exports_TIV]] - Clean_Data[[#This Row],[Imports_TIV]]</f>
        <v>2193000000</v>
      </c>
      <c r="I1549" s="4">
        <f>Clean_Data[[#This Row],[Exports_TIV]] + Clean_Data[[#This Row],[Imports_TIV]]</f>
        <v>2265000000</v>
      </c>
    </row>
    <row r="1550" spans="1:9">
      <c r="A1550" s="4" t="s">
        <v>169</v>
      </c>
      <c r="B1550" s="4" t="s">
        <v>170</v>
      </c>
      <c r="C1550" s="5">
        <v>2015</v>
      </c>
      <c r="D1550" s="4">
        <v>0</v>
      </c>
      <c r="E1550" s="4">
        <v>5000000</v>
      </c>
      <c r="F1550" s="4" t="str">
        <f>_xlfn.LET(_xlpm.r, _xlfn.XLOOKUP(Clean_Data[[#This Row],[Country_Code]], Metadata_Country!$A:$A, Metadata_Country!$B:$B, "Unknown"), IF(OR(_xlpm.r=0, _xlpm.r=""), "Regional Aggregate", _xlpm.r))</f>
        <v>Sub-Saharan Africa</v>
      </c>
      <c r="G1550" s="4" t="str">
        <f>_xlfn.LET(_xlpm.ig, _xlfn.XLOOKUP(Clean_Data[[#This Row],[Country_Code]], Metadata_Country!$A:$A, Metadata_Country!$C:$C, "Unknown"), IF(OR(_xlpm.ig=0, _xlpm.ig=""), "Regional Aggregate", _xlpm.ig))</f>
        <v>Upper middle income</v>
      </c>
      <c r="H1550" s="4">
        <f>Clean_Data[[#This Row],[Exports_TIV]] - Clean_Data[[#This Row],[Imports_TIV]]</f>
        <v>-5000000</v>
      </c>
      <c r="I1550" s="4">
        <f>Clean_Data[[#This Row],[Exports_TIV]] + Clean_Data[[#This Row],[Imports_TIV]]</f>
        <v>5000000</v>
      </c>
    </row>
    <row r="1551" spans="1:9">
      <c r="A1551" s="4" t="s">
        <v>119</v>
      </c>
      <c r="B1551" s="4" t="s">
        <v>120</v>
      </c>
      <c r="C1551" s="5">
        <v>2015</v>
      </c>
      <c r="D1551" s="4">
        <v>1823000000</v>
      </c>
      <c r="E1551" s="4">
        <v>119000000</v>
      </c>
      <c r="F1551" s="4" t="str">
        <f>_xlfn.LET(_xlpm.r, _xlfn.XLOOKUP(Clean_Data[[#This Row],[Country_Code]], Metadata_Country!$A:$A, Metadata_Country!$B:$B, "Unknown"), IF(OR(_xlpm.r=0, _xlpm.r=""), "Regional Aggregate", _xlpm.r))</f>
        <v>Europe &amp; Central Asia</v>
      </c>
      <c r="G1551" s="4" t="str">
        <f>_xlfn.LET(_xlpm.ig, _xlfn.XLOOKUP(Clean_Data[[#This Row],[Country_Code]], Metadata_Country!$A:$A, Metadata_Country!$C:$C, "Unknown"), IF(OR(_xlpm.ig=0, _xlpm.ig=""), "Regional Aggregate", _xlpm.ig))</f>
        <v>High income</v>
      </c>
      <c r="H1551" s="4">
        <f>Clean_Data[[#This Row],[Exports_TIV]] - Clean_Data[[#This Row],[Imports_TIV]]</f>
        <v>1704000000</v>
      </c>
      <c r="I1551" s="4">
        <f>Clean_Data[[#This Row],[Exports_TIV]] + Clean_Data[[#This Row],[Imports_TIV]]</f>
        <v>1942000000</v>
      </c>
    </row>
    <row r="1552" spans="1:9">
      <c r="A1552" s="4" t="s">
        <v>175</v>
      </c>
      <c r="B1552" s="4" t="s">
        <v>176</v>
      </c>
      <c r="C1552" s="5">
        <v>2015</v>
      </c>
      <c r="D1552" s="4">
        <v>0</v>
      </c>
      <c r="E1552" s="4">
        <v>13000000</v>
      </c>
      <c r="F1552" s="4" t="str">
        <f>_xlfn.LET(_xlpm.r, _xlfn.XLOOKUP(Clean_Data[[#This Row],[Country_Code]], Metadata_Country!$A:$A, Metadata_Country!$B:$B, "Unknown"), IF(OR(_xlpm.r=0, _xlpm.r=""), "Regional Aggregate", _xlpm.r))</f>
        <v>Sub-Saharan Africa</v>
      </c>
      <c r="G1552" s="4" t="str">
        <f>_xlfn.LET(_xlpm.ig, _xlfn.XLOOKUP(Clean_Data[[#This Row],[Country_Code]], Metadata_Country!$A:$A, Metadata_Country!$C:$C, "Unknown"), IF(OR(_xlpm.ig=0, _xlpm.ig=""), "Regional Aggregate", _xlpm.ig))</f>
        <v>Lower middle income</v>
      </c>
      <c r="H1552" s="4">
        <f>Clean_Data[[#This Row],[Exports_TIV]] - Clean_Data[[#This Row],[Imports_TIV]]</f>
        <v>-13000000</v>
      </c>
      <c r="I1552" s="4">
        <f>Clean_Data[[#This Row],[Exports_TIV]] + Clean_Data[[#This Row],[Imports_TIV]]</f>
        <v>13000000</v>
      </c>
    </row>
    <row r="1553" spans="1:9">
      <c r="A1553" s="4" t="s">
        <v>187</v>
      </c>
      <c r="B1553" s="4" t="s">
        <v>188</v>
      </c>
      <c r="C1553" s="5">
        <v>2015</v>
      </c>
      <c r="D1553" s="4">
        <v>0</v>
      </c>
      <c r="E1553" s="4">
        <v>728000000</v>
      </c>
      <c r="F1553" s="4" t="str">
        <f>_xlfn.LET(_xlpm.r, _xlfn.XLOOKUP(Clean_Data[[#This Row],[Country_Code]], Metadata_Country!$A:$A, Metadata_Country!$B:$B, "Unknown"), IF(OR(_xlpm.r=0, _xlpm.r=""), "Regional Aggregate", _xlpm.r))</f>
        <v>Europe &amp; Central Asia</v>
      </c>
      <c r="G1553" s="4" t="str">
        <f>_xlfn.LET(_xlpm.ig, _xlfn.XLOOKUP(Clean_Data[[#This Row],[Country_Code]], Metadata_Country!$A:$A, Metadata_Country!$C:$C, "Unknown"), IF(OR(_xlpm.ig=0, _xlpm.ig=""), "Regional Aggregate", _xlpm.ig))</f>
        <v>High income</v>
      </c>
      <c r="H1553" s="4">
        <f>Clean_Data[[#This Row],[Exports_TIV]] - Clean_Data[[#This Row],[Imports_TIV]]</f>
        <v>-728000000</v>
      </c>
      <c r="I1553" s="4">
        <f>Clean_Data[[#This Row],[Exports_TIV]] + Clean_Data[[#This Row],[Imports_TIV]]</f>
        <v>728000000</v>
      </c>
    </row>
    <row r="1554" spans="1:9">
      <c r="A1554" s="4" t="s">
        <v>193</v>
      </c>
      <c r="B1554" s="4" t="s">
        <v>194</v>
      </c>
      <c r="C1554" s="5">
        <v>2015</v>
      </c>
      <c r="D1554" s="4">
        <v>0</v>
      </c>
      <c r="E1554" s="4">
        <v>33000000</v>
      </c>
      <c r="F1554" s="4" t="str">
        <f>_xlfn.LET(_xlpm.r, _xlfn.XLOOKUP(Clean_Data[[#This Row],[Country_Code]], Metadata_Country!$A:$A, Metadata_Country!$B:$B, "Unknown"), IF(OR(_xlpm.r=0, _xlpm.r=""), "Regional Aggregate", _xlpm.r))</f>
        <v>Latin America &amp; Caribbean</v>
      </c>
      <c r="G1554" s="4" t="str">
        <f>_xlfn.LET(_xlpm.ig, _xlfn.XLOOKUP(Clean_Data[[#This Row],[Country_Code]], Metadata_Country!$A:$A, Metadata_Country!$C:$C, "Unknown"), IF(OR(_xlpm.ig=0, _xlpm.ig=""), "Regional Aggregate", _xlpm.ig))</f>
        <v>Upper middle income</v>
      </c>
      <c r="H1554" s="4">
        <f>Clean_Data[[#This Row],[Exports_TIV]] - Clean_Data[[#This Row],[Imports_TIV]]</f>
        <v>-33000000</v>
      </c>
      <c r="I1554" s="4">
        <f>Clean_Data[[#This Row],[Exports_TIV]] + Clean_Data[[#This Row],[Imports_TIV]]</f>
        <v>33000000</v>
      </c>
    </row>
    <row r="1555" spans="1:9">
      <c r="A1555" s="4" t="s">
        <v>205</v>
      </c>
      <c r="B1555" s="4" t="s">
        <v>206</v>
      </c>
      <c r="C1555" s="5">
        <v>2015</v>
      </c>
      <c r="D1555" s="4">
        <v>0</v>
      </c>
      <c r="E1555" s="4">
        <v>455000000</v>
      </c>
      <c r="F1555" s="4" t="str">
        <f>_xlfn.LET(_xlpm.r, _xlfn.XLOOKUP(Clean_Data[[#This Row],[Country_Code]], Metadata_Country!$A:$A, Metadata_Country!$B:$B, "Unknown"), IF(OR(_xlpm.r=0, _xlpm.r=""), "Regional Aggregate", _xlpm.r))</f>
        <v>Regional Aggregate</v>
      </c>
      <c r="G1555" s="4" t="str">
        <f>_xlfn.LET(_xlpm.ig, _xlfn.XLOOKUP(Clean_Data[[#This Row],[Country_Code]], Metadata_Country!$A:$A, Metadata_Country!$C:$C, "Unknown"), IF(OR(_xlpm.ig=0, _xlpm.ig=""), "Regional Aggregate", _xlpm.ig))</f>
        <v>Regional Aggregate</v>
      </c>
      <c r="H1555" s="4">
        <f>Clean_Data[[#This Row],[Exports_TIV]] - Clean_Data[[#This Row],[Imports_TIV]]</f>
        <v>-455000000</v>
      </c>
      <c r="I1555" s="4">
        <f>Clean_Data[[#This Row],[Exports_TIV]] + Clean_Data[[#This Row],[Imports_TIV]]</f>
        <v>455000000</v>
      </c>
    </row>
    <row r="1556" spans="1:9">
      <c r="A1556" s="4" t="s">
        <v>199</v>
      </c>
      <c r="B1556" s="4" t="s">
        <v>200</v>
      </c>
      <c r="C1556" s="5">
        <v>2015</v>
      </c>
      <c r="D1556" s="4">
        <v>25862000000</v>
      </c>
      <c r="E1556" s="4">
        <v>13456000000</v>
      </c>
      <c r="F1556" s="4" t="str">
        <f>_xlfn.LET(_xlpm.r, _xlfn.XLOOKUP(Clean_Data[[#This Row],[Country_Code]], Metadata_Country!$A:$A, Metadata_Country!$B:$B, "Unknown"), IF(OR(_xlpm.r=0, _xlpm.r=""), "Regional Aggregate", _xlpm.r))</f>
        <v>Regional Aggregate</v>
      </c>
      <c r="G1556" s="4" t="str">
        <f>_xlfn.LET(_xlpm.ig, _xlfn.XLOOKUP(Clean_Data[[#This Row],[Country_Code]], Metadata_Country!$A:$A, Metadata_Country!$C:$C, "Unknown"), IF(OR(_xlpm.ig=0, _xlpm.ig=""), "Regional Aggregate", _xlpm.ig))</f>
        <v>Regional Aggregate</v>
      </c>
      <c r="H1556" s="4">
        <f>Clean_Data[[#This Row],[Exports_TIV]] - Clean_Data[[#This Row],[Imports_TIV]]</f>
        <v>12406000000</v>
      </c>
      <c r="I1556" s="4">
        <f>Clean_Data[[#This Row],[Exports_TIV]] + Clean_Data[[#This Row],[Imports_TIV]]</f>
        <v>39318000000</v>
      </c>
    </row>
    <row r="1557" spans="1:9">
      <c r="A1557" s="4" t="s">
        <v>203</v>
      </c>
      <c r="B1557" s="4" t="s">
        <v>204</v>
      </c>
      <c r="C1557" s="5">
        <v>2015</v>
      </c>
      <c r="D1557" s="4">
        <v>0</v>
      </c>
      <c r="E1557" s="4">
        <v>8000000</v>
      </c>
      <c r="F1557" s="4" t="str">
        <f>_xlfn.LET(_xlpm.r, _xlfn.XLOOKUP(Clean_Data[[#This Row],[Country_Code]], Metadata_Country!$A:$A, Metadata_Country!$B:$B, "Unknown"), IF(OR(_xlpm.r=0, _xlpm.r=""), "Regional Aggregate", _xlpm.r))</f>
        <v>Latin America &amp; Caribbean</v>
      </c>
      <c r="G1557" s="4" t="str">
        <f>_xlfn.LET(_xlpm.ig, _xlfn.XLOOKUP(Clean_Data[[#This Row],[Country_Code]], Metadata_Country!$A:$A, Metadata_Country!$C:$C, "Unknown"), IF(OR(_xlpm.ig=0, _xlpm.ig=""), "Regional Aggregate", _xlpm.ig))</f>
        <v>Lower middle income</v>
      </c>
      <c r="H1557" s="4">
        <f>Clean_Data[[#This Row],[Exports_TIV]] - Clean_Data[[#This Row],[Imports_TIV]]</f>
        <v>-8000000</v>
      </c>
      <c r="I1557" s="4">
        <f>Clean_Data[[#This Row],[Exports_TIV]] + Clean_Data[[#This Row],[Imports_TIV]]</f>
        <v>8000000</v>
      </c>
    </row>
    <row r="1558" spans="1:9">
      <c r="A1558" s="4" t="s">
        <v>213</v>
      </c>
      <c r="B1558" s="4" t="s">
        <v>214</v>
      </c>
      <c r="C1558" s="5">
        <v>2015</v>
      </c>
      <c r="D1558" s="4">
        <v>0</v>
      </c>
      <c r="E1558" s="4">
        <v>13143000000</v>
      </c>
      <c r="F1558" s="4" t="str">
        <f>_xlfn.LET(_xlpm.r, _xlfn.XLOOKUP(Clean_Data[[#This Row],[Country_Code]], Metadata_Country!$A:$A, Metadata_Country!$B:$B, "Unknown"), IF(OR(_xlpm.r=0, _xlpm.r=""), "Regional Aggregate", _xlpm.r))</f>
        <v>Regional Aggregate</v>
      </c>
      <c r="G1558" s="4" t="str">
        <f>_xlfn.LET(_xlpm.ig, _xlfn.XLOOKUP(Clean_Data[[#This Row],[Country_Code]], Metadata_Country!$A:$A, Metadata_Country!$C:$C, "Unknown"), IF(OR(_xlpm.ig=0, _xlpm.ig=""), "Regional Aggregate", _xlpm.ig))</f>
        <v>Regional Aggregate</v>
      </c>
      <c r="H1558" s="4">
        <f>Clean_Data[[#This Row],[Exports_TIV]] - Clean_Data[[#This Row],[Imports_TIV]]</f>
        <v>-13143000000</v>
      </c>
      <c r="I1558" s="4">
        <f>Clean_Data[[#This Row],[Exports_TIV]] + Clean_Data[[#This Row],[Imports_TIV]]</f>
        <v>13143000000</v>
      </c>
    </row>
    <row r="1559" spans="1:9">
      <c r="A1559" s="4" t="s">
        <v>215</v>
      </c>
      <c r="B1559" s="4" t="s">
        <v>216</v>
      </c>
      <c r="C1559" s="5">
        <v>2015</v>
      </c>
      <c r="D1559" s="4">
        <v>0</v>
      </c>
      <c r="E1559" s="4">
        <v>15685000000</v>
      </c>
      <c r="F1559" s="4" t="str">
        <f>_xlfn.LET(_xlpm.r, _xlfn.XLOOKUP(Clean_Data[[#This Row],[Country_Code]], Metadata_Country!$A:$A, Metadata_Country!$B:$B, "Unknown"), IF(OR(_xlpm.r=0, _xlpm.r=""), "Regional Aggregate", _xlpm.r))</f>
        <v>Regional Aggregate</v>
      </c>
      <c r="G1559" s="4" t="str">
        <f>_xlfn.LET(_xlpm.ig, _xlfn.XLOOKUP(Clean_Data[[#This Row],[Country_Code]], Metadata_Country!$A:$A, Metadata_Country!$C:$C, "Unknown"), IF(OR(_xlpm.ig=0, _xlpm.ig=""), "Regional Aggregate", _xlpm.ig))</f>
        <v>Regional Aggregate</v>
      </c>
      <c r="H1559" s="4">
        <f>Clean_Data[[#This Row],[Exports_TIV]] - Clean_Data[[#This Row],[Imports_TIV]]</f>
        <v>-15685000000</v>
      </c>
      <c r="I1559" s="4">
        <f>Clean_Data[[#This Row],[Exports_TIV]] + Clean_Data[[#This Row],[Imports_TIV]]</f>
        <v>15685000000</v>
      </c>
    </row>
    <row r="1560" spans="1:9">
      <c r="A1560" s="4" t="s">
        <v>219</v>
      </c>
      <c r="B1560" s="4" t="s">
        <v>220</v>
      </c>
      <c r="C1560" s="5">
        <v>2015</v>
      </c>
      <c r="D1560" s="4">
        <v>0</v>
      </c>
      <c r="E1560" s="4">
        <v>1109000000</v>
      </c>
      <c r="F1560" s="4" t="str">
        <f>_xlfn.LET(_xlpm.r, _xlfn.XLOOKUP(Clean_Data[[#This Row],[Country_Code]], Metadata_Country!$A:$A, Metadata_Country!$B:$B, "Unknown"), IF(OR(_xlpm.r=0, _xlpm.r=""), "Regional Aggregate", _xlpm.r))</f>
        <v>Regional Aggregate</v>
      </c>
      <c r="G1560" s="4" t="str">
        <f>_xlfn.LET(_xlpm.ig, _xlfn.XLOOKUP(Clean_Data[[#This Row],[Country_Code]], Metadata_Country!$A:$A, Metadata_Country!$C:$C, "Unknown"), IF(OR(_xlpm.ig=0, _xlpm.ig=""), "Regional Aggregate", _xlpm.ig))</f>
        <v>Regional Aggregate</v>
      </c>
      <c r="H1560" s="4">
        <f>Clean_Data[[#This Row],[Exports_TIV]] - Clean_Data[[#This Row],[Imports_TIV]]</f>
        <v>-1109000000</v>
      </c>
      <c r="I1560" s="4">
        <f>Clean_Data[[#This Row],[Exports_TIV]] + Clean_Data[[#This Row],[Imports_TIV]]</f>
        <v>1109000000</v>
      </c>
    </row>
    <row r="1561" spans="1:9">
      <c r="A1561" s="4" t="s">
        <v>223</v>
      </c>
      <c r="B1561" s="4" t="s">
        <v>224</v>
      </c>
      <c r="C1561" s="5">
        <v>2015</v>
      </c>
      <c r="D1561" s="4">
        <v>0</v>
      </c>
      <c r="E1561" s="4">
        <v>1433000000</v>
      </c>
      <c r="F1561" s="4" t="str">
        <f>_xlfn.LET(_xlpm.r, _xlfn.XLOOKUP(Clean_Data[[#This Row],[Country_Code]], Metadata_Country!$A:$A, Metadata_Country!$B:$B, "Unknown"), IF(OR(_xlpm.r=0, _xlpm.r=""), "Regional Aggregate", _xlpm.r))</f>
        <v>Regional Aggregate</v>
      </c>
      <c r="G1561" s="4" t="str">
        <f>_xlfn.LET(_xlpm.ig, _xlfn.XLOOKUP(Clean_Data[[#This Row],[Country_Code]], Metadata_Country!$A:$A, Metadata_Country!$C:$C, "Unknown"), IF(OR(_xlpm.ig=0, _xlpm.ig=""), "Regional Aggregate", _xlpm.ig))</f>
        <v>Regional Aggregate</v>
      </c>
      <c r="H1561" s="4">
        <f>Clean_Data[[#This Row],[Exports_TIV]] - Clean_Data[[#This Row],[Imports_TIV]]</f>
        <v>-1433000000</v>
      </c>
      <c r="I1561" s="4">
        <f>Clean_Data[[#This Row],[Exports_TIV]] + Clean_Data[[#This Row],[Imports_TIV]]</f>
        <v>1433000000</v>
      </c>
    </row>
    <row r="1562" spans="1:9">
      <c r="A1562" s="4" t="s">
        <v>217</v>
      </c>
      <c r="B1562" s="4" t="s">
        <v>218</v>
      </c>
      <c r="C1562" s="5">
        <v>2015</v>
      </c>
      <c r="D1562" s="4">
        <v>0</v>
      </c>
      <c r="E1562" s="4">
        <v>2542000000</v>
      </c>
      <c r="F1562" s="4" t="str">
        <f>_xlfn.LET(_xlpm.r, _xlfn.XLOOKUP(Clean_Data[[#This Row],[Country_Code]], Metadata_Country!$A:$A, Metadata_Country!$B:$B, "Unknown"), IF(OR(_xlpm.r=0, _xlpm.r=""), "Regional Aggregate", _xlpm.r))</f>
        <v>Regional Aggregate</v>
      </c>
      <c r="G1562" s="4" t="str">
        <f>_xlfn.LET(_xlpm.ig, _xlfn.XLOOKUP(Clean_Data[[#This Row],[Country_Code]], Metadata_Country!$A:$A, Metadata_Country!$C:$C, "Unknown"), IF(OR(_xlpm.ig=0, _xlpm.ig=""), "Regional Aggregate", _xlpm.ig))</f>
        <v>Regional Aggregate</v>
      </c>
      <c r="H1562" s="4">
        <f>Clean_Data[[#This Row],[Exports_TIV]] - Clean_Data[[#This Row],[Imports_TIV]]</f>
        <v>-2542000000</v>
      </c>
      <c r="I1562" s="4">
        <f>Clean_Data[[#This Row],[Exports_TIV]] + Clean_Data[[#This Row],[Imports_TIV]]</f>
        <v>2542000000</v>
      </c>
    </row>
    <row r="1563" spans="1:9">
      <c r="A1563" s="4" t="s">
        <v>227</v>
      </c>
      <c r="B1563" s="4" t="s">
        <v>228</v>
      </c>
      <c r="C1563" s="5">
        <v>2015</v>
      </c>
      <c r="D1563" s="4">
        <v>42000000</v>
      </c>
      <c r="E1563" s="4">
        <v>2733000000</v>
      </c>
      <c r="F1563" s="4" t="str">
        <f>_xlfn.LET(_xlpm.r, _xlfn.XLOOKUP(Clean_Data[[#This Row],[Country_Code]], Metadata_Country!$A:$A, Metadata_Country!$B:$B, "Unknown"), IF(OR(_xlpm.r=0, _xlpm.r=""), "Regional Aggregate", _xlpm.r))</f>
        <v>South Asia</v>
      </c>
      <c r="G1563" s="4" t="str">
        <f>_xlfn.LET(_xlpm.ig, _xlfn.XLOOKUP(Clean_Data[[#This Row],[Country_Code]], Metadata_Country!$A:$A, Metadata_Country!$C:$C, "Unknown"), IF(OR(_xlpm.ig=0, _xlpm.ig=""), "Regional Aggregate", _xlpm.ig))</f>
        <v>Lower middle income</v>
      </c>
      <c r="H1563" s="4">
        <f>Clean_Data[[#This Row],[Exports_TIV]] - Clean_Data[[#This Row],[Imports_TIV]]</f>
        <v>-2691000000</v>
      </c>
      <c r="I1563" s="4">
        <f>Clean_Data[[#This Row],[Exports_TIV]] + Clean_Data[[#This Row],[Imports_TIV]]</f>
        <v>2775000000</v>
      </c>
    </row>
    <row r="1564" spans="1:9">
      <c r="A1564" s="4" t="s">
        <v>221</v>
      </c>
      <c r="B1564" s="4" t="s">
        <v>222</v>
      </c>
      <c r="C1564" s="5">
        <v>2015</v>
      </c>
      <c r="D1564" s="4">
        <v>0</v>
      </c>
      <c r="E1564" s="4">
        <v>438000000</v>
      </c>
      <c r="F1564" s="4" t="str">
        <f>_xlfn.LET(_xlpm.r, _xlfn.XLOOKUP(Clean_Data[[#This Row],[Country_Code]], Metadata_Country!$A:$A, Metadata_Country!$B:$B, "Unknown"), IF(OR(_xlpm.r=0, _xlpm.r=""), "Regional Aggregate", _xlpm.r))</f>
        <v>East Asia &amp; Pacific</v>
      </c>
      <c r="G1564" s="4" t="str">
        <f>_xlfn.LET(_xlpm.ig, _xlfn.XLOOKUP(Clean_Data[[#This Row],[Country_Code]], Metadata_Country!$A:$A, Metadata_Country!$C:$C, "Unknown"), IF(OR(_xlpm.ig=0, _xlpm.ig=""), "Regional Aggregate", _xlpm.ig))</f>
        <v>Upper middle income</v>
      </c>
      <c r="H1564" s="4">
        <f>Clean_Data[[#This Row],[Exports_TIV]] - Clean_Data[[#This Row],[Imports_TIV]]</f>
        <v>-438000000</v>
      </c>
      <c r="I1564" s="4">
        <f>Clean_Data[[#This Row],[Exports_TIV]] + Clean_Data[[#This Row],[Imports_TIV]]</f>
        <v>438000000</v>
      </c>
    </row>
    <row r="1565" spans="1:9">
      <c r="A1565" s="4" t="s">
        <v>233</v>
      </c>
      <c r="B1565" s="4" t="s">
        <v>234</v>
      </c>
      <c r="C1565" s="5">
        <v>2015</v>
      </c>
      <c r="D1565" s="4">
        <v>11000000</v>
      </c>
      <c r="E1565" s="4">
        <v>11000000</v>
      </c>
      <c r="F1565" s="4" t="str">
        <f>_xlfn.LET(_xlpm.r, _xlfn.XLOOKUP(Clean_Data[[#This Row],[Country_Code]], Metadata_Country!$A:$A, Metadata_Country!$B:$B, "Unknown"), IF(OR(_xlpm.r=0, _xlpm.r=""), "Regional Aggregate", _xlpm.r))</f>
        <v>Middle East &amp; North Africa</v>
      </c>
      <c r="G1565" s="4" t="str">
        <f>_xlfn.LET(_xlpm.ig, _xlfn.XLOOKUP(Clean_Data[[#This Row],[Country_Code]], Metadata_Country!$A:$A, Metadata_Country!$C:$C, "Unknown"), IF(OR(_xlpm.ig=0, _xlpm.ig=""), "Regional Aggregate", _xlpm.ig))</f>
        <v>Upper middle income</v>
      </c>
      <c r="H1565" s="4">
        <f>Clean_Data[[#This Row],[Exports_TIV]] - Clean_Data[[#This Row],[Imports_TIV]]</f>
        <v>0</v>
      </c>
      <c r="I1565" s="4">
        <f>Clean_Data[[#This Row],[Exports_TIV]] + Clean_Data[[#This Row],[Imports_TIV]]</f>
        <v>22000000</v>
      </c>
    </row>
    <row r="1566" spans="1:9">
      <c r="A1566" s="4" t="s">
        <v>235</v>
      </c>
      <c r="B1566" s="4" t="s">
        <v>236</v>
      </c>
      <c r="C1566" s="5">
        <v>2015</v>
      </c>
      <c r="D1566" s="4">
        <v>0</v>
      </c>
      <c r="E1566" s="4">
        <v>1488000000</v>
      </c>
      <c r="F1566" s="4" t="str">
        <f>_xlfn.LET(_xlpm.r, _xlfn.XLOOKUP(Clean_Data[[#This Row],[Country_Code]], Metadata_Country!$A:$A, Metadata_Country!$B:$B, "Unknown"), IF(OR(_xlpm.r=0, _xlpm.r=""), "Regional Aggregate", _xlpm.r))</f>
        <v>Middle East &amp; North Africa</v>
      </c>
      <c r="G1566" s="4" t="str">
        <f>_xlfn.LET(_xlpm.ig, _xlfn.XLOOKUP(Clean_Data[[#This Row],[Country_Code]], Metadata_Country!$A:$A, Metadata_Country!$C:$C, "Unknown"), IF(OR(_xlpm.ig=0, _xlpm.ig=""), "Regional Aggregate", _xlpm.ig))</f>
        <v>Upper middle income</v>
      </c>
      <c r="H1566" s="4">
        <f>Clean_Data[[#This Row],[Exports_TIV]] - Clean_Data[[#This Row],[Imports_TIV]]</f>
        <v>-1488000000</v>
      </c>
      <c r="I1566" s="4">
        <f>Clean_Data[[#This Row],[Exports_TIV]] + Clean_Data[[#This Row],[Imports_TIV]]</f>
        <v>1488000000</v>
      </c>
    </row>
    <row r="1567" spans="1:9">
      <c r="A1567" s="4" t="s">
        <v>231</v>
      </c>
      <c r="B1567" s="4" t="s">
        <v>232</v>
      </c>
      <c r="C1567" s="5">
        <v>2015</v>
      </c>
      <c r="D1567" s="4">
        <v>10000000</v>
      </c>
      <c r="E1567" s="4">
        <v>43000000</v>
      </c>
      <c r="F1567" s="4" t="str">
        <f>_xlfn.LET(_xlpm.r, _xlfn.XLOOKUP(Clean_Data[[#This Row],[Country_Code]], Metadata_Country!$A:$A, Metadata_Country!$B:$B, "Unknown"), IF(OR(_xlpm.r=0, _xlpm.r=""), "Regional Aggregate", _xlpm.r))</f>
        <v>Europe &amp; Central Asia</v>
      </c>
      <c r="G1567" s="4" t="str">
        <f>_xlfn.LET(_xlpm.ig, _xlfn.XLOOKUP(Clean_Data[[#This Row],[Country_Code]], Metadata_Country!$A:$A, Metadata_Country!$C:$C, "Unknown"), IF(OR(_xlpm.ig=0, _xlpm.ig=""), "Regional Aggregate", _xlpm.ig))</f>
        <v>High income</v>
      </c>
      <c r="H1567" s="4">
        <f>Clean_Data[[#This Row],[Exports_TIV]] - Clean_Data[[#This Row],[Imports_TIV]]</f>
        <v>-33000000</v>
      </c>
      <c r="I1567" s="4">
        <f>Clean_Data[[#This Row],[Exports_TIV]] + Clean_Data[[#This Row],[Imports_TIV]]</f>
        <v>53000000</v>
      </c>
    </row>
    <row r="1568" spans="1:9">
      <c r="A1568" s="4" t="s">
        <v>239</v>
      </c>
      <c r="B1568" s="4" t="s">
        <v>240</v>
      </c>
      <c r="C1568" s="5">
        <v>2015</v>
      </c>
      <c r="D1568" s="4">
        <v>573000000</v>
      </c>
      <c r="E1568" s="4">
        <v>694000000</v>
      </c>
      <c r="F1568" s="4" t="str">
        <f>_xlfn.LET(_xlpm.r, _xlfn.XLOOKUP(Clean_Data[[#This Row],[Country_Code]], Metadata_Country!$A:$A, Metadata_Country!$B:$B, "Unknown"), IF(OR(_xlpm.r=0, _xlpm.r=""), "Regional Aggregate", _xlpm.r))</f>
        <v>Middle East &amp; North Africa</v>
      </c>
      <c r="G1568" s="4" t="str">
        <f>_xlfn.LET(_xlpm.ig, _xlfn.XLOOKUP(Clean_Data[[#This Row],[Country_Code]], Metadata_Country!$A:$A, Metadata_Country!$C:$C, "Unknown"), IF(OR(_xlpm.ig=0, _xlpm.ig=""), "Regional Aggregate", _xlpm.ig))</f>
        <v>High income</v>
      </c>
      <c r="H1568" s="4">
        <f>Clean_Data[[#This Row],[Exports_TIV]] - Clean_Data[[#This Row],[Imports_TIV]]</f>
        <v>-121000000</v>
      </c>
      <c r="I1568" s="4">
        <f>Clean_Data[[#This Row],[Exports_TIV]] + Clean_Data[[#This Row],[Imports_TIV]]</f>
        <v>1267000000</v>
      </c>
    </row>
    <row r="1569" spans="1:9">
      <c r="A1569" s="4" t="s">
        <v>241</v>
      </c>
      <c r="B1569" s="4" t="s">
        <v>242</v>
      </c>
      <c r="C1569" s="5">
        <v>2015</v>
      </c>
      <c r="D1569" s="4">
        <v>671000000</v>
      </c>
      <c r="E1569" s="4">
        <v>237000000</v>
      </c>
      <c r="F1569" s="4" t="str">
        <f>_xlfn.LET(_xlpm.r, _xlfn.XLOOKUP(Clean_Data[[#This Row],[Country_Code]], Metadata_Country!$A:$A, Metadata_Country!$B:$B, "Unknown"), IF(OR(_xlpm.r=0, _xlpm.r=""), "Regional Aggregate", _xlpm.r))</f>
        <v>Europe &amp; Central Asia</v>
      </c>
      <c r="G1569" s="4" t="str">
        <f>_xlfn.LET(_xlpm.ig, _xlfn.XLOOKUP(Clean_Data[[#This Row],[Country_Code]], Metadata_Country!$A:$A, Metadata_Country!$C:$C, "Unknown"), IF(OR(_xlpm.ig=0, _xlpm.ig=""), "Regional Aggregate", _xlpm.ig))</f>
        <v>High income</v>
      </c>
      <c r="H1569" s="4">
        <f>Clean_Data[[#This Row],[Exports_TIV]] - Clean_Data[[#This Row],[Imports_TIV]]</f>
        <v>434000000</v>
      </c>
      <c r="I1569" s="4">
        <f>Clean_Data[[#This Row],[Exports_TIV]] + Clean_Data[[#This Row],[Imports_TIV]]</f>
        <v>908000000</v>
      </c>
    </row>
    <row r="1570" spans="1:9">
      <c r="A1570" s="4" t="s">
        <v>243</v>
      </c>
      <c r="B1570" s="4" t="s">
        <v>244</v>
      </c>
      <c r="C1570" s="5">
        <v>2015</v>
      </c>
      <c r="D1570" s="4">
        <v>0</v>
      </c>
      <c r="E1570" s="4">
        <v>2000000</v>
      </c>
      <c r="F1570" s="4" t="str">
        <f>_xlfn.LET(_xlpm.r, _xlfn.XLOOKUP(Clean_Data[[#This Row],[Country_Code]], Metadata_Country!$A:$A, Metadata_Country!$B:$B, "Unknown"), IF(OR(_xlpm.r=0, _xlpm.r=""), "Regional Aggregate", _xlpm.r))</f>
        <v>Latin America &amp; Caribbean</v>
      </c>
      <c r="G1570" s="4" t="str">
        <f>_xlfn.LET(_xlpm.ig, _xlfn.XLOOKUP(Clean_Data[[#This Row],[Country_Code]], Metadata_Country!$A:$A, Metadata_Country!$C:$C, "Unknown"), IF(OR(_xlpm.ig=0, _xlpm.ig=""), "Regional Aggregate", _xlpm.ig))</f>
        <v>Upper middle income</v>
      </c>
      <c r="H1570" s="4">
        <f>Clean_Data[[#This Row],[Exports_TIV]] - Clean_Data[[#This Row],[Imports_TIV]]</f>
        <v>-2000000</v>
      </c>
      <c r="I1570" s="4">
        <f>Clean_Data[[#This Row],[Exports_TIV]] + Clean_Data[[#This Row],[Imports_TIV]]</f>
        <v>2000000</v>
      </c>
    </row>
    <row r="1571" spans="1:9">
      <c r="A1571" s="4" t="s">
        <v>247</v>
      </c>
      <c r="B1571" s="4" t="s">
        <v>248</v>
      </c>
      <c r="C1571" s="5">
        <v>2015</v>
      </c>
      <c r="D1571" s="4">
        <v>0</v>
      </c>
      <c r="E1571" s="4">
        <v>343000000</v>
      </c>
      <c r="F1571" s="4" t="str">
        <f>_xlfn.LET(_xlpm.r, _xlfn.XLOOKUP(Clean_Data[[#This Row],[Country_Code]], Metadata_Country!$A:$A, Metadata_Country!$B:$B, "Unknown"), IF(OR(_xlpm.r=0, _xlpm.r=""), "Regional Aggregate", _xlpm.r))</f>
        <v>East Asia &amp; Pacific</v>
      </c>
      <c r="G1571" s="4" t="str">
        <f>_xlfn.LET(_xlpm.ig, _xlfn.XLOOKUP(Clean_Data[[#This Row],[Country_Code]], Metadata_Country!$A:$A, Metadata_Country!$C:$C, "Unknown"), IF(OR(_xlpm.ig=0, _xlpm.ig=""), "Regional Aggregate", _xlpm.ig))</f>
        <v>High income</v>
      </c>
      <c r="H1571" s="4">
        <f>Clean_Data[[#This Row],[Exports_TIV]] - Clean_Data[[#This Row],[Imports_TIV]]</f>
        <v>-343000000</v>
      </c>
      <c r="I1571" s="4">
        <f>Clean_Data[[#This Row],[Exports_TIV]] + Clean_Data[[#This Row],[Imports_TIV]]</f>
        <v>343000000</v>
      </c>
    </row>
    <row r="1572" spans="1:9">
      <c r="A1572" s="4" t="s">
        <v>245</v>
      </c>
      <c r="B1572" s="4" t="s">
        <v>246</v>
      </c>
      <c r="C1572" s="5">
        <v>2015</v>
      </c>
      <c r="D1572" s="4">
        <v>16000000</v>
      </c>
      <c r="E1572" s="4">
        <v>228000000</v>
      </c>
      <c r="F1572" s="4" t="str">
        <f>_xlfn.LET(_xlpm.r, _xlfn.XLOOKUP(Clean_Data[[#This Row],[Country_Code]], Metadata_Country!$A:$A, Metadata_Country!$B:$B, "Unknown"), IF(OR(_xlpm.r=0, _xlpm.r=""), "Regional Aggregate", _xlpm.r))</f>
        <v>Middle East &amp; North Africa</v>
      </c>
      <c r="G1572" s="4" t="str">
        <f>_xlfn.LET(_xlpm.ig, _xlfn.XLOOKUP(Clean_Data[[#This Row],[Country_Code]], Metadata_Country!$A:$A, Metadata_Country!$C:$C, "Unknown"), IF(OR(_xlpm.ig=0, _xlpm.ig=""), "Regional Aggregate", _xlpm.ig))</f>
        <v>Upper middle income</v>
      </c>
      <c r="H1572" s="4">
        <f>Clean_Data[[#This Row],[Exports_TIV]] - Clean_Data[[#This Row],[Imports_TIV]]</f>
        <v>-212000000</v>
      </c>
      <c r="I1572" s="4">
        <f>Clean_Data[[#This Row],[Exports_TIV]] + Clean_Data[[#This Row],[Imports_TIV]]</f>
        <v>244000000</v>
      </c>
    </row>
    <row r="1573" spans="1:9">
      <c r="A1573" s="4" t="s">
        <v>249</v>
      </c>
      <c r="B1573" s="4" t="s">
        <v>250</v>
      </c>
      <c r="C1573" s="5">
        <v>2015</v>
      </c>
      <c r="D1573" s="4">
        <v>0</v>
      </c>
      <c r="E1573" s="4">
        <v>446000000</v>
      </c>
      <c r="F1573" s="4" t="str">
        <f>_xlfn.LET(_xlpm.r, _xlfn.XLOOKUP(Clean_Data[[#This Row],[Country_Code]], Metadata_Country!$A:$A, Metadata_Country!$B:$B, "Unknown"), IF(OR(_xlpm.r=0, _xlpm.r=""), "Regional Aggregate", _xlpm.r))</f>
        <v>Europe &amp; Central Asia</v>
      </c>
      <c r="G1573" s="4" t="str">
        <f>_xlfn.LET(_xlpm.ig, _xlfn.XLOOKUP(Clean_Data[[#This Row],[Country_Code]], Metadata_Country!$A:$A, Metadata_Country!$C:$C, "Unknown"), IF(OR(_xlpm.ig=0, _xlpm.ig=""), "Regional Aggregate", _xlpm.ig))</f>
        <v>Upper middle income</v>
      </c>
      <c r="H1573" s="4">
        <f>Clean_Data[[#This Row],[Exports_TIV]] - Clean_Data[[#This Row],[Imports_TIV]]</f>
        <v>-446000000</v>
      </c>
      <c r="I1573" s="4">
        <f>Clean_Data[[#This Row],[Exports_TIV]] + Clean_Data[[#This Row],[Imports_TIV]]</f>
        <v>446000000</v>
      </c>
    </row>
    <row r="1574" spans="1:9">
      <c r="A1574" s="4" t="s">
        <v>251</v>
      </c>
      <c r="B1574" s="4" t="s">
        <v>252</v>
      </c>
      <c r="C1574" s="5">
        <v>2015</v>
      </c>
      <c r="D1574" s="4">
        <v>0</v>
      </c>
      <c r="E1574" s="4">
        <v>30000000</v>
      </c>
      <c r="F1574" s="4" t="str">
        <f>_xlfn.LET(_xlpm.r, _xlfn.XLOOKUP(Clean_Data[[#This Row],[Country_Code]], Metadata_Country!$A:$A, Metadata_Country!$B:$B, "Unknown"), IF(OR(_xlpm.r=0, _xlpm.r=""), "Regional Aggregate", _xlpm.r))</f>
        <v>Sub-Saharan Africa</v>
      </c>
      <c r="G1574" s="4" t="str">
        <f>_xlfn.LET(_xlpm.ig, _xlfn.XLOOKUP(Clean_Data[[#This Row],[Country_Code]], Metadata_Country!$A:$A, Metadata_Country!$C:$C, "Unknown"), IF(OR(_xlpm.ig=0, _xlpm.ig=""), "Regional Aggregate", _xlpm.ig))</f>
        <v>Lower middle income</v>
      </c>
      <c r="H1574" s="4">
        <f>Clean_Data[[#This Row],[Exports_TIV]] - Clean_Data[[#This Row],[Imports_TIV]]</f>
        <v>-30000000</v>
      </c>
      <c r="I1574" s="4">
        <f>Clean_Data[[#This Row],[Exports_TIV]] + Clean_Data[[#This Row],[Imports_TIV]]</f>
        <v>30000000</v>
      </c>
    </row>
    <row r="1575" spans="1:9">
      <c r="A1575" s="4" t="s">
        <v>261</v>
      </c>
      <c r="B1575" s="4" t="s">
        <v>262</v>
      </c>
      <c r="C1575" s="5">
        <v>2015</v>
      </c>
      <c r="D1575" s="4">
        <v>92000000</v>
      </c>
      <c r="E1575" s="4">
        <v>268000000</v>
      </c>
      <c r="F1575" s="4" t="str">
        <f>_xlfn.LET(_xlpm.r, _xlfn.XLOOKUP(Clean_Data[[#This Row],[Country_Code]], Metadata_Country!$A:$A, Metadata_Country!$B:$B, "Unknown"), IF(OR(_xlpm.r=0, _xlpm.r=""), "Regional Aggregate", _xlpm.r))</f>
        <v>East Asia &amp; Pacific</v>
      </c>
      <c r="G1575" s="4" t="str">
        <f>_xlfn.LET(_xlpm.ig, _xlfn.XLOOKUP(Clean_Data[[#This Row],[Country_Code]], Metadata_Country!$A:$A, Metadata_Country!$C:$C, "Unknown"), IF(OR(_xlpm.ig=0, _xlpm.ig=""), "Regional Aggregate", _xlpm.ig))</f>
        <v>High income</v>
      </c>
      <c r="H1575" s="4">
        <f>Clean_Data[[#This Row],[Exports_TIV]] - Clean_Data[[#This Row],[Imports_TIV]]</f>
        <v>-176000000</v>
      </c>
      <c r="I1575" s="4">
        <f>Clean_Data[[#This Row],[Exports_TIV]] + Clean_Data[[#This Row],[Imports_TIV]]</f>
        <v>360000000</v>
      </c>
    </row>
    <row r="1576" spans="1:9">
      <c r="A1576" s="4" t="s">
        <v>263</v>
      </c>
      <c r="B1576" s="4" t="s">
        <v>264</v>
      </c>
      <c r="C1576" s="5">
        <v>2015</v>
      </c>
      <c r="D1576" s="4">
        <v>0</v>
      </c>
      <c r="E1576" s="4">
        <v>317000000</v>
      </c>
      <c r="F1576" s="4" t="str">
        <f>_xlfn.LET(_xlpm.r, _xlfn.XLOOKUP(Clean_Data[[#This Row],[Country_Code]], Metadata_Country!$A:$A, Metadata_Country!$B:$B, "Unknown"), IF(OR(_xlpm.r=0, _xlpm.r=""), "Regional Aggregate", _xlpm.r))</f>
        <v>Middle East &amp; North Africa</v>
      </c>
      <c r="G1576" s="4" t="str">
        <f>_xlfn.LET(_xlpm.ig, _xlfn.XLOOKUP(Clean_Data[[#This Row],[Country_Code]], Metadata_Country!$A:$A, Metadata_Country!$C:$C, "Unknown"), IF(OR(_xlpm.ig=0, _xlpm.ig=""), "Regional Aggregate", _xlpm.ig))</f>
        <v>High income</v>
      </c>
      <c r="H1576" s="4">
        <f>Clean_Data[[#This Row],[Exports_TIV]] - Clean_Data[[#This Row],[Imports_TIV]]</f>
        <v>-317000000</v>
      </c>
      <c r="I1576" s="4">
        <f>Clean_Data[[#This Row],[Exports_TIV]] + Clean_Data[[#This Row],[Imports_TIV]]</f>
        <v>317000000</v>
      </c>
    </row>
    <row r="1577" spans="1:9">
      <c r="A1577" s="4" t="s">
        <v>253</v>
      </c>
      <c r="B1577" s="4" t="s">
        <v>254</v>
      </c>
      <c r="C1577" s="5">
        <v>2015</v>
      </c>
      <c r="D1577" s="4">
        <v>4000000</v>
      </c>
      <c r="E1577" s="4">
        <v>4000000</v>
      </c>
      <c r="F1577" s="4" t="str">
        <f>_xlfn.LET(_xlpm.r, _xlfn.XLOOKUP(Clean_Data[[#This Row],[Country_Code]], Metadata_Country!$A:$A, Metadata_Country!$B:$B, "Unknown"), IF(OR(_xlpm.r=0, _xlpm.r=""), "Regional Aggregate", _xlpm.r))</f>
        <v>Europe &amp; Central Asia</v>
      </c>
      <c r="G1577" s="4" t="str">
        <f>_xlfn.LET(_xlpm.ig, _xlfn.XLOOKUP(Clean_Data[[#This Row],[Country_Code]], Metadata_Country!$A:$A, Metadata_Country!$C:$C, "Unknown"), IF(OR(_xlpm.ig=0, _xlpm.ig=""), "Regional Aggregate", _xlpm.ig))</f>
        <v>Lower middle income</v>
      </c>
      <c r="H1577" s="4">
        <f>Clean_Data[[#This Row],[Exports_TIV]] - Clean_Data[[#This Row],[Imports_TIV]]</f>
        <v>0</v>
      </c>
      <c r="I1577" s="4">
        <f>Clean_Data[[#This Row],[Exports_TIV]] + Clean_Data[[#This Row],[Imports_TIV]]</f>
        <v>8000000</v>
      </c>
    </row>
    <row r="1578" spans="1:9">
      <c r="A1578" s="4" t="s">
        <v>267</v>
      </c>
      <c r="B1578" s="4" t="s">
        <v>268</v>
      </c>
      <c r="C1578" s="5">
        <v>2015</v>
      </c>
      <c r="D1578" s="4">
        <v>0</v>
      </c>
      <c r="E1578" s="4">
        <v>7000000</v>
      </c>
      <c r="F1578" s="4" t="str">
        <f>_xlfn.LET(_xlpm.r, _xlfn.XLOOKUP(Clean_Data[[#This Row],[Country_Code]], Metadata_Country!$A:$A, Metadata_Country!$B:$B, "Unknown"), IF(OR(_xlpm.r=0, _xlpm.r=""), "Regional Aggregate", _xlpm.r))</f>
        <v>East Asia &amp; Pacific</v>
      </c>
      <c r="G1578" s="4" t="str">
        <f>_xlfn.LET(_xlpm.ig, _xlfn.XLOOKUP(Clean_Data[[#This Row],[Country_Code]], Metadata_Country!$A:$A, Metadata_Country!$C:$C, "Unknown"), IF(OR(_xlpm.ig=0, _xlpm.ig=""), "Regional Aggregate", _xlpm.ig))</f>
        <v>Lower middle income</v>
      </c>
      <c r="H1578" s="4">
        <f>Clean_Data[[#This Row],[Exports_TIV]] - Clean_Data[[#This Row],[Imports_TIV]]</f>
        <v>-7000000</v>
      </c>
      <c r="I1578" s="4">
        <f>Clean_Data[[#This Row],[Exports_TIV]] + Clean_Data[[#This Row],[Imports_TIV]]</f>
        <v>7000000</v>
      </c>
    </row>
    <row r="1579" spans="1:9">
      <c r="A1579" s="4" t="s">
        <v>293</v>
      </c>
      <c r="B1579" s="4" t="s">
        <v>294</v>
      </c>
      <c r="C1579" s="5">
        <v>2015</v>
      </c>
      <c r="D1579" s="4">
        <v>7918000000</v>
      </c>
      <c r="E1579" s="4">
        <v>6964000000</v>
      </c>
      <c r="F1579" s="4" t="str">
        <f>_xlfn.LET(_xlpm.r, _xlfn.XLOOKUP(Clean_Data[[#This Row],[Country_Code]], Metadata_Country!$A:$A, Metadata_Country!$B:$B, "Unknown"), IF(OR(_xlpm.r=0, _xlpm.r=""), "Regional Aggregate", _xlpm.r))</f>
        <v>Regional Aggregate</v>
      </c>
      <c r="G1579" s="4" t="str">
        <f>_xlfn.LET(_xlpm.ig, _xlfn.XLOOKUP(Clean_Data[[#This Row],[Country_Code]], Metadata_Country!$A:$A, Metadata_Country!$C:$C, "Unknown"), IF(OR(_xlpm.ig=0, _xlpm.ig=""), "Regional Aggregate", _xlpm.ig))</f>
        <v>Regional Aggregate</v>
      </c>
      <c r="H1579" s="4">
        <f>Clean_Data[[#This Row],[Exports_TIV]] - Clean_Data[[#This Row],[Imports_TIV]]</f>
        <v>954000000</v>
      </c>
      <c r="I1579" s="4">
        <f>Clean_Data[[#This Row],[Exports_TIV]] + Clean_Data[[#This Row],[Imports_TIV]]</f>
        <v>14882000000</v>
      </c>
    </row>
    <row r="1580" spans="1:9">
      <c r="A1580" s="4" t="s">
        <v>277</v>
      </c>
      <c r="B1580" s="4" t="s">
        <v>278</v>
      </c>
      <c r="C1580" s="5">
        <v>2015</v>
      </c>
      <c r="D1580" s="4">
        <v>0</v>
      </c>
      <c r="E1580" s="4">
        <v>1384000000</v>
      </c>
      <c r="F1580" s="4" t="str">
        <f>_xlfn.LET(_xlpm.r, _xlfn.XLOOKUP(Clean_Data[[#This Row],[Country_Code]], Metadata_Country!$A:$A, Metadata_Country!$B:$B, "Unknown"), IF(OR(_xlpm.r=0, _xlpm.r=""), "Regional Aggregate", _xlpm.r))</f>
        <v>Regional Aggregate</v>
      </c>
      <c r="G1580" s="4" t="str">
        <f>_xlfn.LET(_xlpm.ig, _xlfn.XLOOKUP(Clean_Data[[#This Row],[Country_Code]], Metadata_Country!$A:$A, Metadata_Country!$C:$C, "Unknown"), IF(OR(_xlpm.ig=0, _xlpm.ig=""), "Regional Aggregate", _xlpm.ig))</f>
        <v>Regional Aggregate</v>
      </c>
      <c r="H1580" s="4">
        <f>Clean_Data[[#This Row],[Exports_TIV]] - Clean_Data[[#This Row],[Imports_TIV]]</f>
        <v>-1384000000</v>
      </c>
      <c r="I1580" s="4">
        <f>Clean_Data[[#This Row],[Exports_TIV]] + Clean_Data[[#This Row],[Imports_TIV]]</f>
        <v>1384000000</v>
      </c>
    </row>
    <row r="1581" spans="1:9">
      <c r="A1581" s="4" t="s">
        <v>265</v>
      </c>
      <c r="B1581" s="4" t="s">
        <v>266</v>
      </c>
      <c r="C1581" s="5">
        <v>2015</v>
      </c>
      <c r="D1581" s="4">
        <v>0</v>
      </c>
      <c r="E1581" s="4">
        <v>1174000000</v>
      </c>
      <c r="F1581" s="4" t="str">
        <f>_xlfn.LET(_xlpm.r, _xlfn.XLOOKUP(Clean_Data[[#This Row],[Country_Code]], Metadata_Country!$A:$A, Metadata_Country!$B:$B, "Unknown"), IF(OR(_xlpm.r=0, _xlpm.r=""), "Regional Aggregate", _xlpm.r))</f>
        <v>Regional Aggregate</v>
      </c>
      <c r="G1581" s="4" t="str">
        <f>_xlfn.LET(_xlpm.ig, _xlfn.XLOOKUP(Clean_Data[[#This Row],[Country_Code]], Metadata_Country!$A:$A, Metadata_Country!$C:$C, "Unknown"), IF(OR(_xlpm.ig=0, _xlpm.ig=""), "Regional Aggregate", _xlpm.ig))</f>
        <v>Regional Aggregate</v>
      </c>
      <c r="H1581" s="4">
        <f>Clean_Data[[#This Row],[Exports_TIV]] - Clean_Data[[#This Row],[Imports_TIV]]</f>
        <v>-1174000000</v>
      </c>
      <c r="I1581" s="4">
        <f>Clean_Data[[#This Row],[Exports_TIV]] + Clean_Data[[#This Row],[Imports_TIV]]</f>
        <v>1174000000</v>
      </c>
    </row>
    <row r="1582" spans="1:9">
      <c r="A1582" s="4" t="s">
        <v>481</v>
      </c>
      <c r="B1582" s="4" t="s">
        <v>482</v>
      </c>
      <c r="C1582" s="5">
        <v>2015</v>
      </c>
      <c r="D1582" s="4">
        <v>0</v>
      </c>
      <c r="E1582" s="4">
        <v>1368000000</v>
      </c>
      <c r="F1582" s="4" t="str">
        <f>_xlfn.LET(_xlpm.r, _xlfn.XLOOKUP(Clean_Data[[#This Row],[Country_Code]], Metadata_Country!$A:$A, Metadata_Country!$B:$B, "Unknown"), IF(OR(_xlpm.r=0, _xlpm.r=""), "Regional Aggregate", _xlpm.r))</f>
        <v>Regional Aggregate</v>
      </c>
      <c r="G1582" s="4" t="str">
        <f>_xlfn.LET(_xlpm.ig, _xlfn.XLOOKUP(Clean_Data[[#This Row],[Country_Code]], Metadata_Country!$A:$A, Metadata_Country!$C:$C, "Unknown"), IF(OR(_xlpm.ig=0, _xlpm.ig=""), "Regional Aggregate", _xlpm.ig))</f>
        <v>Regional Aggregate</v>
      </c>
      <c r="H1582" s="4">
        <f>Clean_Data[[#This Row],[Exports_TIV]] - Clean_Data[[#This Row],[Imports_TIV]]</f>
        <v>-1368000000</v>
      </c>
      <c r="I1582" s="4">
        <f>Clean_Data[[#This Row],[Exports_TIV]] + Clean_Data[[#This Row],[Imports_TIV]]</f>
        <v>1368000000</v>
      </c>
    </row>
    <row r="1583" spans="1:9">
      <c r="A1583" s="4" t="s">
        <v>299</v>
      </c>
      <c r="B1583" s="4" t="s">
        <v>300</v>
      </c>
      <c r="C1583" s="5">
        <v>2015</v>
      </c>
      <c r="D1583" s="4">
        <v>0</v>
      </c>
      <c r="E1583" s="4">
        <v>3000000</v>
      </c>
      <c r="F1583" s="4" t="str">
        <f>_xlfn.LET(_xlpm.r, _xlfn.XLOOKUP(Clean_Data[[#This Row],[Country_Code]], Metadata_Country!$A:$A, Metadata_Country!$B:$B, "Unknown"), IF(OR(_xlpm.r=0, _xlpm.r=""), "Regional Aggregate", _xlpm.r))</f>
        <v>Europe &amp; Central Asia</v>
      </c>
      <c r="G1583" s="4" t="str">
        <f>_xlfn.LET(_xlpm.ig, _xlfn.XLOOKUP(Clean_Data[[#This Row],[Country_Code]], Metadata_Country!$A:$A, Metadata_Country!$C:$C, "Unknown"), IF(OR(_xlpm.ig=0, _xlpm.ig=""), "Regional Aggregate", _xlpm.ig))</f>
        <v>High income</v>
      </c>
      <c r="H1583" s="4">
        <f>Clean_Data[[#This Row],[Exports_TIV]] - Clean_Data[[#This Row],[Imports_TIV]]</f>
        <v>-3000000</v>
      </c>
      <c r="I1583" s="4">
        <f>Clean_Data[[#This Row],[Exports_TIV]] + Clean_Data[[#This Row],[Imports_TIV]]</f>
        <v>3000000</v>
      </c>
    </row>
    <row r="1584" spans="1:9">
      <c r="A1584" s="4" t="s">
        <v>279</v>
      </c>
      <c r="B1584" s="4" t="s">
        <v>280</v>
      </c>
      <c r="C1584" s="5">
        <v>2015</v>
      </c>
      <c r="D1584" s="4">
        <v>0</v>
      </c>
      <c r="E1584" s="4">
        <v>1426000000</v>
      </c>
      <c r="F1584" s="4" t="str">
        <f>_xlfn.LET(_xlpm.r, _xlfn.XLOOKUP(Clean_Data[[#This Row],[Country_Code]], Metadata_Country!$A:$A, Metadata_Country!$B:$B, "Unknown"), IF(OR(_xlpm.r=0, _xlpm.r=""), "Regional Aggregate", _xlpm.r))</f>
        <v>Regional Aggregate</v>
      </c>
      <c r="G1584" s="4" t="str">
        <f>_xlfn.LET(_xlpm.ig, _xlfn.XLOOKUP(Clean_Data[[#This Row],[Country_Code]], Metadata_Country!$A:$A, Metadata_Country!$C:$C, "Unknown"), IF(OR(_xlpm.ig=0, _xlpm.ig=""), "Regional Aggregate", _xlpm.ig))</f>
        <v>Regional Aggregate</v>
      </c>
      <c r="H1584" s="4">
        <f>Clean_Data[[#This Row],[Exports_TIV]] - Clean_Data[[#This Row],[Imports_TIV]]</f>
        <v>-1426000000</v>
      </c>
      <c r="I1584" s="4">
        <f>Clean_Data[[#This Row],[Exports_TIV]] + Clean_Data[[#This Row],[Imports_TIV]]</f>
        <v>1426000000</v>
      </c>
    </row>
    <row r="1585" spans="1:9">
      <c r="A1585" s="4" t="s">
        <v>269</v>
      </c>
      <c r="B1585" s="4" t="s">
        <v>270</v>
      </c>
      <c r="C1585" s="5">
        <v>2015</v>
      </c>
      <c r="D1585" s="4">
        <v>0</v>
      </c>
      <c r="E1585" s="4">
        <v>48000000</v>
      </c>
      <c r="F1585" s="4" t="str">
        <f>_xlfn.LET(_xlpm.r, _xlfn.XLOOKUP(Clean_Data[[#This Row],[Country_Code]], Metadata_Country!$A:$A, Metadata_Country!$B:$B, "Unknown"), IF(OR(_xlpm.r=0, _xlpm.r=""), "Regional Aggregate", _xlpm.r))</f>
        <v>Middle East &amp; North Africa</v>
      </c>
      <c r="G1585" s="4" t="str">
        <f>_xlfn.LET(_xlpm.ig, _xlfn.XLOOKUP(Clean_Data[[#This Row],[Country_Code]], Metadata_Country!$A:$A, Metadata_Country!$C:$C, "Unknown"), IF(OR(_xlpm.ig=0, _xlpm.ig=""), "Regional Aggregate", _xlpm.ig))</f>
        <v>Lower middle income</v>
      </c>
      <c r="H1585" s="4">
        <f>Clean_Data[[#This Row],[Exports_TIV]] - Clean_Data[[#This Row],[Imports_TIV]]</f>
        <v>-48000000</v>
      </c>
      <c r="I1585" s="4">
        <f>Clean_Data[[#This Row],[Exports_TIV]] + Clean_Data[[#This Row],[Imports_TIV]]</f>
        <v>48000000</v>
      </c>
    </row>
    <row r="1586" spans="1:9">
      <c r="A1586" s="4" t="s">
        <v>295</v>
      </c>
      <c r="B1586" s="4" t="s">
        <v>296</v>
      </c>
      <c r="C1586" s="5">
        <v>2015</v>
      </c>
      <c r="D1586" s="4">
        <v>0</v>
      </c>
      <c r="E1586" s="4">
        <v>14000000</v>
      </c>
      <c r="F1586" s="4" t="str">
        <f>_xlfn.LET(_xlpm.r, _xlfn.XLOOKUP(Clean_Data[[#This Row],[Country_Code]], Metadata_Country!$A:$A, Metadata_Country!$B:$B, "Unknown"), IF(OR(_xlpm.r=0, _xlpm.r=""), "Regional Aggregate", _xlpm.r))</f>
        <v>Europe &amp; Central Asia</v>
      </c>
      <c r="G1586" s="4" t="str">
        <f>_xlfn.LET(_xlpm.ig, _xlfn.XLOOKUP(Clean_Data[[#This Row],[Country_Code]], Metadata_Country!$A:$A, Metadata_Country!$C:$C, "Unknown"), IF(OR(_xlpm.ig=0, _xlpm.ig=""), "Regional Aggregate", _xlpm.ig))</f>
        <v>High income</v>
      </c>
      <c r="H1586" s="4">
        <f>Clean_Data[[#This Row],[Exports_TIV]] - Clean_Data[[#This Row],[Imports_TIV]]</f>
        <v>-14000000</v>
      </c>
      <c r="I1586" s="4">
        <f>Clean_Data[[#This Row],[Exports_TIV]] + Clean_Data[[#This Row],[Imports_TIV]]</f>
        <v>14000000</v>
      </c>
    </row>
    <row r="1587" spans="1:9">
      <c r="A1587" s="4" t="s">
        <v>289</v>
      </c>
      <c r="B1587" s="4" t="s">
        <v>290</v>
      </c>
      <c r="C1587" s="5">
        <v>2015</v>
      </c>
      <c r="D1587" s="4">
        <v>0</v>
      </c>
      <c r="E1587" s="4">
        <v>15214000000</v>
      </c>
      <c r="F1587" s="4" t="str">
        <f>_xlfn.LET(_xlpm.r, _xlfn.XLOOKUP(Clean_Data[[#This Row],[Country_Code]], Metadata_Country!$A:$A, Metadata_Country!$B:$B, "Unknown"), IF(OR(_xlpm.r=0, _xlpm.r=""), "Regional Aggregate", _xlpm.r))</f>
        <v>Regional Aggregate</v>
      </c>
      <c r="G1587" s="4" t="str">
        <f>_xlfn.LET(_xlpm.ig, _xlfn.XLOOKUP(Clean_Data[[#This Row],[Country_Code]], Metadata_Country!$A:$A, Metadata_Country!$C:$C, "Unknown"), IF(OR(_xlpm.ig=0, _xlpm.ig=""), "Regional Aggregate", _xlpm.ig))</f>
        <v>Regional Aggregate</v>
      </c>
      <c r="H1587" s="4">
        <f>Clean_Data[[#This Row],[Exports_TIV]] - Clean_Data[[#This Row],[Imports_TIV]]</f>
        <v>-15214000000</v>
      </c>
      <c r="I1587" s="4">
        <f>Clean_Data[[#This Row],[Exports_TIV]] + Clean_Data[[#This Row],[Imports_TIV]]</f>
        <v>15214000000</v>
      </c>
    </row>
    <row r="1588" spans="1:9">
      <c r="A1588" s="4" t="s">
        <v>281</v>
      </c>
      <c r="B1588" s="4" t="s">
        <v>282</v>
      </c>
      <c r="C1588" s="5">
        <v>2015</v>
      </c>
      <c r="D1588" s="4">
        <v>0</v>
      </c>
      <c r="E1588" s="4">
        <v>411000000</v>
      </c>
      <c r="F1588" s="4" t="str">
        <f>_xlfn.LET(_xlpm.r, _xlfn.XLOOKUP(Clean_Data[[#This Row],[Country_Code]], Metadata_Country!$A:$A, Metadata_Country!$B:$B, "Unknown"), IF(OR(_xlpm.r=0, _xlpm.r=""), "Regional Aggregate", _xlpm.r))</f>
        <v>Regional Aggregate</v>
      </c>
      <c r="G1588" s="4" t="str">
        <f>_xlfn.LET(_xlpm.ig, _xlfn.XLOOKUP(Clean_Data[[#This Row],[Country_Code]], Metadata_Country!$A:$A, Metadata_Country!$C:$C, "Unknown"), IF(OR(_xlpm.ig=0, _xlpm.ig=""), "Regional Aggregate", _xlpm.ig))</f>
        <v>Regional Aggregate</v>
      </c>
      <c r="H1588" s="4">
        <f>Clean_Data[[#This Row],[Exports_TIV]] - Clean_Data[[#This Row],[Imports_TIV]]</f>
        <v>-411000000</v>
      </c>
      <c r="I1588" s="4">
        <f>Clean_Data[[#This Row],[Exports_TIV]] + Clean_Data[[#This Row],[Imports_TIV]]</f>
        <v>411000000</v>
      </c>
    </row>
    <row r="1589" spans="1:9">
      <c r="A1589" s="4" t="s">
        <v>287</v>
      </c>
      <c r="B1589" s="4" t="s">
        <v>288</v>
      </c>
      <c r="C1589" s="5">
        <v>2015</v>
      </c>
      <c r="D1589" s="4">
        <v>0</v>
      </c>
      <c r="E1589" s="4">
        <v>6593000000</v>
      </c>
      <c r="F1589" s="4" t="str">
        <f>_xlfn.LET(_xlpm.r, _xlfn.XLOOKUP(Clean_Data[[#This Row],[Country_Code]], Metadata_Country!$A:$A, Metadata_Country!$B:$B, "Unknown"), IF(OR(_xlpm.r=0, _xlpm.r=""), "Regional Aggregate", _xlpm.r))</f>
        <v>Regional Aggregate</v>
      </c>
      <c r="G1589" s="4" t="str">
        <f>_xlfn.LET(_xlpm.ig, _xlfn.XLOOKUP(Clean_Data[[#This Row],[Country_Code]], Metadata_Country!$A:$A, Metadata_Country!$C:$C, "Unknown"), IF(OR(_xlpm.ig=0, _xlpm.ig=""), "Regional Aggregate", _xlpm.ig))</f>
        <v>Regional Aggregate</v>
      </c>
      <c r="H1589" s="4">
        <f>Clean_Data[[#This Row],[Exports_TIV]] - Clean_Data[[#This Row],[Imports_TIV]]</f>
        <v>-6593000000</v>
      </c>
      <c r="I1589" s="4">
        <f>Clean_Data[[#This Row],[Exports_TIV]] + Clean_Data[[#This Row],[Imports_TIV]]</f>
        <v>6593000000</v>
      </c>
    </row>
    <row r="1590" spans="1:9">
      <c r="A1590" s="4" t="s">
        <v>345</v>
      </c>
      <c r="B1590" s="4" t="s">
        <v>346</v>
      </c>
      <c r="C1590" s="5">
        <v>2015</v>
      </c>
      <c r="D1590" s="4">
        <v>0</v>
      </c>
      <c r="E1590" s="4">
        <v>3000000</v>
      </c>
      <c r="F1590" s="4" t="str">
        <f>_xlfn.LET(_xlpm.r, _xlfn.XLOOKUP(Clean_Data[[#This Row],[Country_Code]], Metadata_Country!$A:$A, Metadata_Country!$B:$B, "Unknown"), IF(OR(_xlpm.r=0, _xlpm.r=""), "Regional Aggregate", _xlpm.r))</f>
        <v>Sub-Saharan Africa</v>
      </c>
      <c r="G1590" s="4" t="str">
        <f>_xlfn.LET(_xlpm.ig, _xlfn.XLOOKUP(Clean_Data[[#This Row],[Country_Code]], Metadata_Country!$A:$A, Metadata_Country!$C:$C, "Unknown"), IF(OR(_xlpm.ig=0, _xlpm.ig=""), "Regional Aggregate", _xlpm.ig))</f>
        <v>Low income</v>
      </c>
      <c r="H1590" s="4">
        <f>Clean_Data[[#This Row],[Exports_TIV]] - Clean_Data[[#This Row],[Imports_TIV]]</f>
        <v>-3000000</v>
      </c>
      <c r="I1590" s="4">
        <f>Clean_Data[[#This Row],[Exports_TIV]] + Clean_Data[[#This Row],[Imports_TIV]]</f>
        <v>3000000</v>
      </c>
    </row>
    <row r="1591" spans="1:9">
      <c r="A1591" s="4" t="s">
        <v>347</v>
      </c>
      <c r="B1591" s="4" t="s">
        <v>348</v>
      </c>
      <c r="C1591" s="5">
        <v>2015</v>
      </c>
      <c r="D1591" s="4">
        <v>0</v>
      </c>
      <c r="E1591" s="4">
        <v>118000000</v>
      </c>
      <c r="F1591" s="4" t="str">
        <f>_xlfn.LET(_xlpm.r, _xlfn.XLOOKUP(Clean_Data[[#This Row],[Country_Code]], Metadata_Country!$A:$A, Metadata_Country!$B:$B, "Unknown"), IF(OR(_xlpm.r=0, _xlpm.r=""), "Regional Aggregate", _xlpm.r))</f>
        <v>East Asia &amp; Pacific</v>
      </c>
      <c r="G1591" s="4" t="str">
        <f>_xlfn.LET(_xlpm.ig, _xlfn.XLOOKUP(Clean_Data[[#This Row],[Country_Code]], Metadata_Country!$A:$A, Metadata_Country!$C:$C, "Unknown"), IF(OR(_xlpm.ig=0, _xlpm.ig=""), "Regional Aggregate", _xlpm.ig))</f>
        <v>Upper middle income</v>
      </c>
      <c r="H1591" s="4">
        <f>Clean_Data[[#This Row],[Exports_TIV]] - Clean_Data[[#This Row],[Imports_TIV]]</f>
        <v>-118000000</v>
      </c>
      <c r="I1591" s="4">
        <f>Clean_Data[[#This Row],[Exports_TIV]] + Clean_Data[[#This Row],[Imports_TIV]]</f>
        <v>118000000</v>
      </c>
    </row>
    <row r="1592" spans="1:9">
      <c r="A1592" s="4" t="s">
        <v>327</v>
      </c>
      <c r="B1592" s="4" t="s">
        <v>328</v>
      </c>
      <c r="C1592" s="5">
        <v>2015</v>
      </c>
      <c r="D1592" s="4">
        <v>5000000</v>
      </c>
      <c r="E1592" s="4">
        <v>10000000</v>
      </c>
      <c r="F1592" s="4" t="str">
        <f>_xlfn.LET(_xlpm.r, _xlfn.XLOOKUP(Clean_Data[[#This Row],[Country_Code]], Metadata_Country!$A:$A, Metadata_Country!$B:$B, "Unknown"), IF(OR(_xlpm.r=0, _xlpm.r=""), "Regional Aggregate", _xlpm.r))</f>
        <v>Middle East &amp; North Africa</v>
      </c>
      <c r="G1592" s="4" t="str">
        <f>_xlfn.LET(_xlpm.ig, _xlfn.XLOOKUP(Clean_Data[[#This Row],[Country_Code]], Metadata_Country!$A:$A, Metadata_Country!$C:$C, "Unknown"), IF(OR(_xlpm.ig=0, _xlpm.ig=""), "Regional Aggregate", _xlpm.ig))</f>
        <v>High income</v>
      </c>
      <c r="H1592" s="4">
        <f>Clean_Data[[#This Row],[Exports_TIV]] - Clean_Data[[#This Row],[Imports_TIV]]</f>
        <v>-5000000</v>
      </c>
      <c r="I1592" s="4">
        <f>Clean_Data[[#This Row],[Exports_TIV]] + Clean_Data[[#This Row],[Imports_TIV]]</f>
        <v>15000000</v>
      </c>
    </row>
    <row r="1593" spans="1:9">
      <c r="A1593" s="4" t="s">
        <v>341</v>
      </c>
      <c r="B1593" s="4" t="s">
        <v>342</v>
      </c>
      <c r="C1593" s="5">
        <v>2015</v>
      </c>
      <c r="D1593" s="4">
        <v>0</v>
      </c>
      <c r="E1593" s="4">
        <v>1000000</v>
      </c>
      <c r="F1593" s="4" t="str">
        <f>_xlfn.LET(_xlpm.r, _xlfn.XLOOKUP(Clean_Data[[#This Row],[Country_Code]], Metadata_Country!$A:$A, Metadata_Country!$B:$B, "Unknown"), IF(OR(_xlpm.r=0, _xlpm.r=""), "Regional Aggregate", _xlpm.r))</f>
        <v>Sub-Saharan Africa</v>
      </c>
      <c r="G1593" s="4" t="str">
        <f>_xlfn.LET(_xlpm.ig, _xlfn.XLOOKUP(Clean_Data[[#This Row],[Country_Code]], Metadata_Country!$A:$A, Metadata_Country!$C:$C, "Unknown"), IF(OR(_xlpm.ig=0, _xlpm.ig=""), "Regional Aggregate", _xlpm.ig))</f>
        <v>Lower middle income</v>
      </c>
      <c r="H1593" s="4">
        <f>Clean_Data[[#This Row],[Exports_TIV]] - Clean_Data[[#This Row],[Imports_TIV]]</f>
        <v>-1000000</v>
      </c>
      <c r="I1593" s="4">
        <f>Clean_Data[[#This Row],[Exports_TIV]] + Clean_Data[[#This Row],[Imports_TIV]]</f>
        <v>1000000</v>
      </c>
    </row>
    <row r="1594" spans="1:9">
      <c r="A1594" s="4" t="s">
        <v>317</v>
      </c>
      <c r="B1594" s="4" t="s">
        <v>318</v>
      </c>
      <c r="C1594" s="5">
        <v>2015</v>
      </c>
      <c r="D1594" s="4">
        <v>0</v>
      </c>
      <c r="E1594" s="4">
        <v>324000000</v>
      </c>
      <c r="F1594" s="4" t="str">
        <f>_xlfn.LET(_xlpm.r, _xlfn.XLOOKUP(Clean_Data[[#This Row],[Country_Code]], Metadata_Country!$A:$A, Metadata_Country!$B:$B, "Unknown"), IF(OR(_xlpm.r=0, _xlpm.r=""), "Regional Aggregate", _xlpm.r))</f>
        <v>Latin America &amp; Caribbean</v>
      </c>
      <c r="G1594" s="4" t="str">
        <f>_xlfn.LET(_xlpm.ig, _xlfn.XLOOKUP(Clean_Data[[#This Row],[Country_Code]], Metadata_Country!$A:$A, Metadata_Country!$C:$C, "Unknown"), IF(OR(_xlpm.ig=0, _xlpm.ig=""), "Regional Aggregate", _xlpm.ig))</f>
        <v>Upper middle income</v>
      </c>
      <c r="H1594" s="4">
        <f>Clean_Data[[#This Row],[Exports_TIV]] - Clean_Data[[#This Row],[Imports_TIV]]</f>
        <v>-324000000</v>
      </c>
      <c r="I1594" s="4">
        <f>Clean_Data[[#This Row],[Exports_TIV]] + Clean_Data[[#This Row],[Imports_TIV]]</f>
        <v>324000000</v>
      </c>
    </row>
    <row r="1595" spans="1:9">
      <c r="A1595" s="4" t="s">
        <v>315</v>
      </c>
      <c r="B1595" s="4" t="s">
        <v>316</v>
      </c>
      <c r="C1595" s="5">
        <v>2015</v>
      </c>
      <c r="D1595" s="4">
        <v>0</v>
      </c>
      <c r="E1595" s="4">
        <v>11969000000</v>
      </c>
      <c r="F1595" s="4" t="str">
        <f>_xlfn.LET(_xlpm.r, _xlfn.XLOOKUP(Clean_Data[[#This Row],[Country_Code]], Metadata_Country!$A:$A, Metadata_Country!$B:$B, "Unknown"), IF(OR(_xlpm.r=0, _xlpm.r=""), "Regional Aggregate", _xlpm.r))</f>
        <v>Regional Aggregate</v>
      </c>
      <c r="G1595" s="4" t="str">
        <f>_xlfn.LET(_xlpm.ig, _xlfn.XLOOKUP(Clean_Data[[#This Row],[Country_Code]], Metadata_Country!$A:$A, Metadata_Country!$C:$C, "Unknown"), IF(OR(_xlpm.ig=0, _xlpm.ig=""), "Regional Aggregate", _xlpm.ig))</f>
        <v>Regional Aggregate</v>
      </c>
      <c r="H1595" s="4">
        <f>Clean_Data[[#This Row],[Exports_TIV]] - Clean_Data[[#This Row],[Imports_TIV]]</f>
        <v>-11969000000</v>
      </c>
      <c r="I1595" s="4">
        <f>Clean_Data[[#This Row],[Exports_TIV]] + Clean_Data[[#This Row],[Imports_TIV]]</f>
        <v>11969000000</v>
      </c>
    </row>
    <row r="1596" spans="1:9">
      <c r="A1596" s="4" t="s">
        <v>331</v>
      </c>
      <c r="B1596" s="4" t="s">
        <v>332</v>
      </c>
      <c r="C1596" s="5">
        <v>2015</v>
      </c>
      <c r="D1596" s="4">
        <v>0</v>
      </c>
      <c r="E1596" s="4">
        <v>5124000000</v>
      </c>
      <c r="F1596" s="4" t="str">
        <f>_xlfn.LET(_xlpm.r, _xlfn.XLOOKUP(Clean_Data[[#This Row],[Country_Code]], Metadata_Country!$A:$A, Metadata_Country!$B:$B, "Unknown"), IF(OR(_xlpm.r=0, _xlpm.r=""), "Regional Aggregate", _xlpm.r))</f>
        <v>Regional Aggregate</v>
      </c>
      <c r="G1596" s="4" t="str">
        <f>_xlfn.LET(_xlpm.ig, _xlfn.XLOOKUP(Clean_Data[[#This Row],[Country_Code]], Metadata_Country!$A:$A, Metadata_Country!$C:$C, "Unknown"), IF(OR(_xlpm.ig=0, _xlpm.ig=""), "Regional Aggregate", _xlpm.ig))</f>
        <v>Regional Aggregate</v>
      </c>
      <c r="H1596" s="4">
        <f>Clean_Data[[#This Row],[Exports_TIV]] - Clean_Data[[#This Row],[Imports_TIV]]</f>
        <v>-5124000000</v>
      </c>
      <c r="I1596" s="4">
        <f>Clean_Data[[#This Row],[Exports_TIV]] + Clean_Data[[#This Row],[Imports_TIV]]</f>
        <v>5124000000</v>
      </c>
    </row>
    <row r="1597" spans="1:9">
      <c r="A1597" s="4" t="s">
        <v>485</v>
      </c>
      <c r="B1597" s="4" t="s">
        <v>486</v>
      </c>
      <c r="C1597" s="5">
        <v>2015</v>
      </c>
      <c r="D1597" s="4">
        <v>0</v>
      </c>
      <c r="E1597" s="4">
        <v>5124000000</v>
      </c>
      <c r="F1597" s="4" t="str">
        <f>_xlfn.LET(_xlpm.r, _xlfn.XLOOKUP(Clean_Data[[#This Row],[Country_Code]], Metadata_Country!$A:$A, Metadata_Country!$B:$B, "Unknown"), IF(OR(_xlpm.r=0, _xlpm.r=""), "Regional Aggregate", _xlpm.r))</f>
        <v>Regional Aggregate</v>
      </c>
      <c r="G1597" s="4" t="str">
        <f>_xlfn.LET(_xlpm.ig, _xlfn.XLOOKUP(Clean_Data[[#This Row],[Country_Code]], Metadata_Country!$A:$A, Metadata_Country!$C:$C, "Unknown"), IF(OR(_xlpm.ig=0, _xlpm.ig=""), "Regional Aggregate", _xlpm.ig))</f>
        <v>Regional Aggregate</v>
      </c>
      <c r="H1597" s="4">
        <f>Clean_Data[[#This Row],[Exports_TIV]] - Clean_Data[[#This Row],[Imports_TIV]]</f>
        <v>-5124000000</v>
      </c>
      <c r="I1597" s="4">
        <f>Clean_Data[[#This Row],[Exports_TIV]] + Clean_Data[[#This Row],[Imports_TIV]]</f>
        <v>5124000000</v>
      </c>
    </row>
    <row r="1598" spans="1:9">
      <c r="A1598" s="4" t="s">
        <v>321</v>
      </c>
      <c r="B1598" s="4" t="s">
        <v>322</v>
      </c>
      <c r="C1598" s="5">
        <v>2015</v>
      </c>
      <c r="D1598" s="4">
        <v>0</v>
      </c>
      <c r="E1598" s="4">
        <v>14803000000</v>
      </c>
      <c r="F1598" s="4" t="str">
        <f>_xlfn.LET(_xlpm.r, _xlfn.XLOOKUP(Clean_Data[[#This Row],[Country_Code]], Metadata_Country!$A:$A, Metadata_Country!$B:$B, "Unknown"), IF(OR(_xlpm.r=0, _xlpm.r=""), "Regional Aggregate", _xlpm.r))</f>
        <v>Regional Aggregate</v>
      </c>
      <c r="G1598" s="4" t="str">
        <f>_xlfn.LET(_xlpm.ig, _xlfn.XLOOKUP(Clean_Data[[#This Row],[Country_Code]], Metadata_Country!$A:$A, Metadata_Country!$C:$C, "Unknown"), IF(OR(_xlpm.ig=0, _xlpm.ig=""), "Regional Aggregate", _xlpm.ig))</f>
        <v>Regional Aggregate</v>
      </c>
      <c r="H1598" s="4">
        <f>Clean_Data[[#This Row],[Exports_TIV]] - Clean_Data[[#This Row],[Imports_TIV]]</f>
        <v>-14803000000</v>
      </c>
      <c r="I1598" s="4">
        <f>Clean_Data[[#This Row],[Exports_TIV]] + Clean_Data[[#This Row],[Imports_TIV]]</f>
        <v>14803000000</v>
      </c>
    </row>
    <row r="1599" spans="1:9">
      <c r="A1599" s="4" t="s">
        <v>335</v>
      </c>
      <c r="B1599" s="4" t="s">
        <v>336</v>
      </c>
      <c r="C1599" s="5">
        <v>2015</v>
      </c>
      <c r="D1599" s="4">
        <v>0</v>
      </c>
      <c r="E1599" s="4">
        <v>73000000</v>
      </c>
      <c r="F1599" s="4" t="str">
        <f>_xlfn.LET(_xlpm.r, _xlfn.XLOOKUP(Clean_Data[[#This Row],[Country_Code]], Metadata_Country!$A:$A, Metadata_Country!$B:$B, "Unknown"), IF(OR(_xlpm.r=0, _xlpm.r=""), "Regional Aggregate", _xlpm.r))</f>
        <v>East Asia &amp; Pacific</v>
      </c>
      <c r="G1599" s="4" t="str">
        <f>_xlfn.LET(_xlpm.ig, _xlfn.XLOOKUP(Clean_Data[[#This Row],[Country_Code]], Metadata_Country!$A:$A, Metadata_Country!$C:$C, "Unknown"), IF(OR(_xlpm.ig=0, _xlpm.ig=""), "Regional Aggregate", _xlpm.ig))</f>
        <v>Upper middle income</v>
      </c>
      <c r="H1599" s="4">
        <f>Clean_Data[[#This Row],[Exports_TIV]] - Clean_Data[[#This Row],[Imports_TIV]]</f>
        <v>-73000000</v>
      </c>
      <c r="I1599" s="4">
        <f>Clean_Data[[#This Row],[Exports_TIV]] + Clean_Data[[#This Row],[Imports_TIV]]</f>
        <v>73000000</v>
      </c>
    </row>
    <row r="1600" spans="1:9">
      <c r="A1600" s="4" t="s">
        <v>333</v>
      </c>
      <c r="B1600" s="4" t="s">
        <v>334</v>
      </c>
      <c r="C1600" s="5">
        <v>2015</v>
      </c>
      <c r="D1600" s="4">
        <v>0</v>
      </c>
      <c r="E1600" s="4">
        <v>1000000</v>
      </c>
      <c r="F1600" s="4" t="str">
        <f>_xlfn.LET(_xlpm.r, _xlfn.XLOOKUP(Clean_Data[[#This Row],[Country_Code]], Metadata_Country!$A:$A, Metadata_Country!$B:$B, "Unknown"), IF(OR(_xlpm.r=0, _xlpm.r=""), "Regional Aggregate", _xlpm.r))</f>
        <v>Europe &amp; Central Asia</v>
      </c>
      <c r="G1600" s="4" t="str">
        <f>_xlfn.LET(_xlpm.ig, _xlfn.XLOOKUP(Clean_Data[[#This Row],[Country_Code]], Metadata_Country!$A:$A, Metadata_Country!$C:$C, "Unknown"), IF(OR(_xlpm.ig=0, _xlpm.ig=""), "Regional Aggregate", _xlpm.ig))</f>
        <v>Upper middle income</v>
      </c>
      <c r="H1600" s="4">
        <f>Clean_Data[[#This Row],[Exports_TIV]] - Clean_Data[[#This Row],[Imports_TIV]]</f>
        <v>-1000000</v>
      </c>
      <c r="I1600" s="4">
        <f>Clean_Data[[#This Row],[Exports_TIV]] + Clean_Data[[#This Row],[Imports_TIV]]</f>
        <v>1000000</v>
      </c>
    </row>
    <row r="1601" spans="1:9">
      <c r="A1601" s="4" t="s">
        <v>305</v>
      </c>
      <c r="B1601" s="4" t="s">
        <v>306</v>
      </c>
      <c r="C1601" s="5">
        <v>2015</v>
      </c>
      <c r="D1601" s="4">
        <v>0</v>
      </c>
      <c r="E1601" s="4">
        <v>47000000</v>
      </c>
      <c r="F1601" s="4" t="str">
        <f>_xlfn.LET(_xlpm.r, _xlfn.XLOOKUP(Clean_Data[[#This Row],[Country_Code]], Metadata_Country!$A:$A, Metadata_Country!$B:$B, "Unknown"), IF(OR(_xlpm.r=0, _xlpm.r=""), "Regional Aggregate", _xlpm.r))</f>
        <v>Middle East &amp; North Africa</v>
      </c>
      <c r="G1601" s="4" t="str">
        <f>_xlfn.LET(_xlpm.ig, _xlfn.XLOOKUP(Clean_Data[[#This Row],[Country_Code]], Metadata_Country!$A:$A, Metadata_Country!$C:$C, "Unknown"), IF(OR(_xlpm.ig=0, _xlpm.ig=""), "Regional Aggregate", _xlpm.ig))</f>
        <v>Lower middle income</v>
      </c>
      <c r="H1601" s="4">
        <f>Clean_Data[[#This Row],[Exports_TIV]] - Clean_Data[[#This Row],[Imports_TIV]]</f>
        <v>-47000000</v>
      </c>
      <c r="I1601" s="4">
        <f>Clean_Data[[#This Row],[Exports_TIV]] + Clean_Data[[#This Row],[Imports_TIV]]</f>
        <v>47000000</v>
      </c>
    </row>
    <row r="1602" spans="1:9">
      <c r="A1602" s="4" t="s">
        <v>339</v>
      </c>
      <c r="B1602" s="4" t="s">
        <v>340</v>
      </c>
      <c r="C1602" s="5">
        <v>2015</v>
      </c>
      <c r="D1602" s="4">
        <v>0</v>
      </c>
      <c r="E1602" s="4">
        <v>5000000</v>
      </c>
      <c r="F1602" s="4" t="str">
        <f>_xlfn.LET(_xlpm.r, _xlfn.XLOOKUP(Clean_Data[[#This Row],[Country_Code]], Metadata_Country!$A:$A, Metadata_Country!$B:$B, "Unknown"), IF(OR(_xlpm.r=0, _xlpm.r=""), "Regional Aggregate", _xlpm.r))</f>
        <v>Sub-Saharan Africa</v>
      </c>
      <c r="G1602" s="4" t="str">
        <f>_xlfn.LET(_xlpm.ig, _xlfn.XLOOKUP(Clean_Data[[#This Row],[Country_Code]], Metadata_Country!$A:$A, Metadata_Country!$C:$C, "Unknown"), IF(OR(_xlpm.ig=0, _xlpm.ig=""), "Regional Aggregate", _xlpm.ig))</f>
        <v>Low income</v>
      </c>
      <c r="H1602" s="4">
        <f>Clean_Data[[#This Row],[Exports_TIV]] - Clean_Data[[#This Row],[Imports_TIV]]</f>
        <v>-5000000</v>
      </c>
      <c r="I1602" s="4">
        <f>Clean_Data[[#This Row],[Exports_TIV]] + Clean_Data[[#This Row],[Imports_TIV]]</f>
        <v>5000000</v>
      </c>
    </row>
    <row r="1603" spans="1:9">
      <c r="A1603" s="4" t="s">
        <v>329</v>
      </c>
      <c r="B1603" s="4" t="s">
        <v>330</v>
      </c>
      <c r="C1603" s="5">
        <v>2015</v>
      </c>
      <c r="D1603" s="4">
        <v>0</v>
      </c>
      <c r="E1603" s="4">
        <v>258000000</v>
      </c>
      <c r="F1603" s="4" t="str">
        <f>_xlfn.LET(_xlpm.r, _xlfn.XLOOKUP(Clean_Data[[#This Row],[Country_Code]], Metadata_Country!$A:$A, Metadata_Country!$B:$B, "Unknown"), IF(OR(_xlpm.r=0, _xlpm.r=""), "Regional Aggregate", _xlpm.r))</f>
        <v>East Asia &amp; Pacific</v>
      </c>
      <c r="G1603" s="4" t="str">
        <f>_xlfn.LET(_xlpm.ig, _xlfn.XLOOKUP(Clean_Data[[#This Row],[Country_Code]], Metadata_Country!$A:$A, Metadata_Country!$C:$C, "Unknown"), IF(OR(_xlpm.ig=0, _xlpm.ig=""), "Regional Aggregate", _xlpm.ig))</f>
        <v>Lower middle income</v>
      </c>
      <c r="H1603" s="4">
        <f>Clean_Data[[#This Row],[Exports_TIV]] - Clean_Data[[#This Row],[Imports_TIV]]</f>
        <v>-258000000</v>
      </c>
      <c r="I1603" s="4">
        <f>Clean_Data[[#This Row],[Exports_TIV]] + Clean_Data[[#This Row],[Imports_TIV]]</f>
        <v>258000000</v>
      </c>
    </row>
    <row r="1604" spans="1:9">
      <c r="A1604" s="4" t="s">
        <v>365</v>
      </c>
      <c r="B1604" s="4" t="s">
        <v>366</v>
      </c>
      <c r="C1604" s="5">
        <v>2015</v>
      </c>
      <c r="D1604" s="4">
        <v>0</v>
      </c>
      <c r="E1604" s="4">
        <v>15000000</v>
      </c>
      <c r="F1604" s="4" t="str">
        <f>_xlfn.LET(_xlpm.r, _xlfn.XLOOKUP(Clean_Data[[#This Row],[Country_Code]], Metadata_Country!$A:$A, Metadata_Country!$B:$B, "Unknown"), IF(OR(_xlpm.r=0, _xlpm.r=""), "Regional Aggregate", _xlpm.r))</f>
        <v>South Asia</v>
      </c>
      <c r="G1604" s="4" t="str">
        <f>_xlfn.LET(_xlpm.ig, _xlfn.XLOOKUP(Clean_Data[[#This Row],[Country_Code]], Metadata_Country!$A:$A, Metadata_Country!$C:$C, "Unknown"), IF(OR(_xlpm.ig=0, _xlpm.ig=""), "Regional Aggregate", _xlpm.ig))</f>
        <v>Lower middle income</v>
      </c>
      <c r="H1604" s="4">
        <f>Clean_Data[[#This Row],[Exports_TIV]] - Clean_Data[[#This Row],[Imports_TIV]]</f>
        <v>-15000000</v>
      </c>
      <c r="I1604" s="4">
        <f>Clean_Data[[#This Row],[Exports_TIV]] + Clean_Data[[#This Row],[Imports_TIV]]</f>
        <v>15000000</v>
      </c>
    </row>
    <row r="1605" spans="1:9">
      <c r="A1605" s="4" t="s">
        <v>361</v>
      </c>
      <c r="B1605" s="4" t="s">
        <v>362</v>
      </c>
      <c r="C1605" s="5">
        <v>2015</v>
      </c>
      <c r="D1605" s="4">
        <v>469000000</v>
      </c>
      <c r="E1605" s="4">
        <v>51000000</v>
      </c>
      <c r="F1605" s="4" t="str">
        <f>_xlfn.LET(_xlpm.r, _xlfn.XLOOKUP(Clean_Data[[#This Row],[Country_Code]], Metadata_Country!$A:$A, Metadata_Country!$B:$B, "Unknown"), IF(OR(_xlpm.r=0, _xlpm.r=""), "Regional Aggregate", _xlpm.r))</f>
        <v>Europe &amp; Central Asia</v>
      </c>
      <c r="G1605" s="4" t="str">
        <f>_xlfn.LET(_xlpm.ig, _xlfn.XLOOKUP(Clean_Data[[#This Row],[Country_Code]], Metadata_Country!$A:$A, Metadata_Country!$C:$C, "Unknown"), IF(OR(_xlpm.ig=0, _xlpm.ig=""), "Regional Aggregate", _xlpm.ig))</f>
        <v>High income</v>
      </c>
      <c r="H1605" s="4">
        <f>Clean_Data[[#This Row],[Exports_TIV]] - Clean_Data[[#This Row],[Imports_TIV]]</f>
        <v>418000000</v>
      </c>
      <c r="I1605" s="4">
        <f>Clean_Data[[#This Row],[Exports_TIV]] + Clean_Data[[#This Row],[Imports_TIV]]</f>
        <v>520000000</v>
      </c>
    </row>
    <row r="1606" spans="1:9">
      <c r="A1606" s="4" t="s">
        <v>369</v>
      </c>
      <c r="B1606" s="4" t="s">
        <v>370</v>
      </c>
      <c r="C1606" s="5">
        <v>2015</v>
      </c>
      <c r="D1606" s="4">
        <v>1000000</v>
      </c>
      <c r="E1606" s="4">
        <v>89000000</v>
      </c>
      <c r="F1606" s="4" t="str">
        <f>_xlfn.LET(_xlpm.r, _xlfn.XLOOKUP(Clean_Data[[#This Row],[Country_Code]], Metadata_Country!$A:$A, Metadata_Country!$B:$B, "Unknown"), IF(OR(_xlpm.r=0, _xlpm.r=""), "Regional Aggregate", _xlpm.r))</f>
        <v>East Asia &amp; Pacific</v>
      </c>
      <c r="G1606" s="4" t="str">
        <f>_xlfn.LET(_xlpm.ig, _xlfn.XLOOKUP(Clean_Data[[#This Row],[Country_Code]], Metadata_Country!$A:$A, Metadata_Country!$C:$C, "Unknown"), IF(OR(_xlpm.ig=0, _xlpm.ig=""), "Regional Aggregate", _xlpm.ig))</f>
        <v>High income</v>
      </c>
      <c r="H1606" s="4">
        <f>Clean_Data[[#This Row],[Exports_TIV]] - Clean_Data[[#This Row],[Imports_TIV]]</f>
        <v>-88000000</v>
      </c>
      <c r="I1606" s="4">
        <f>Clean_Data[[#This Row],[Exports_TIV]] + Clean_Data[[#This Row],[Imports_TIV]]</f>
        <v>90000000</v>
      </c>
    </row>
    <row r="1607" spans="1:9">
      <c r="A1607" s="4" t="s">
        <v>359</v>
      </c>
      <c r="B1607" s="4" t="s">
        <v>360</v>
      </c>
      <c r="C1607" s="5">
        <v>2015</v>
      </c>
      <c r="D1607" s="4">
        <v>0</v>
      </c>
      <c r="E1607" s="4">
        <v>14000000</v>
      </c>
      <c r="F1607" s="4" t="str">
        <f>_xlfn.LET(_xlpm.r, _xlfn.XLOOKUP(Clean_Data[[#This Row],[Country_Code]], Metadata_Country!$A:$A, Metadata_Country!$B:$B, "Unknown"), IF(OR(_xlpm.r=0, _xlpm.r=""), "Regional Aggregate", _xlpm.r))</f>
        <v>Latin America &amp; Caribbean</v>
      </c>
      <c r="G1607" s="4" t="str">
        <f>_xlfn.LET(_xlpm.ig, _xlfn.XLOOKUP(Clean_Data[[#This Row],[Country_Code]], Metadata_Country!$A:$A, Metadata_Country!$C:$C, "Unknown"), IF(OR(_xlpm.ig=0, _xlpm.ig=""), "Regional Aggregate", _xlpm.ig))</f>
        <v>Lower middle income</v>
      </c>
      <c r="H1607" s="4">
        <f>Clean_Data[[#This Row],[Exports_TIV]] - Clean_Data[[#This Row],[Imports_TIV]]</f>
        <v>-14000000</v>
      </c>
      <c r="I1607" s="4">
        <f>Clean_Data[[#This Row],[Exports_TIV]] + Clean_Data[[#This Row],[Imports_TIV]]</f>
        <v>14000000</v>
      </c>
    </row>
    <row r="1608" spans="1:9">
      <c r="A1608" s="4" t="s">
        <v>355</v>
      </c>
      <c r="B1608" s="4" t="s">
        <v>356</v>
      </c>
      <c r="C1608" s="5">
        <v>2015</v>
      </c>
      <c r="D1608" s="4">
        <v>0</v>
      </c>
      <c r="E1608" s="4">
        <v>10000000</v>
      </c>
      <c r="F1608" s="4" t="str">
        <f>_xlfn.LET(_xlpm.r, _xlfn.XLOOKUP(Clean_Data[[#This Row],[Country_Code]], Metadata_Country!$A:$A, Metadata_Country!$B:$B, "Unknown"), IF(OR(_xlpm.r=0, _xlpm.r=""), "Regional Aggregate", _xlpm.r))</f>
        <v>Sub-Saharan Africa</v>
      </c>
      <c r="G1608" s="4" t="str">
        <f>_xlfn.LET(_xlpm.ig, _xlfn.XLOOKUP(Clean_Data[[#This Row],[Country_Code]], Metadata_Country!$A:$A, Metadata_Country!$C:$C, "Unknown"), IF(OR(_xlpm.ig=0, _xlpm.ig=""), "Regional Aggregate", _xlpm.ig))</f>
        <v>Low income</v>
      </c>
      <c r="H1608" s="4">
        <f>Clean_Data[[#This Row],[Exports_TIV]] - Clean_Data[[#This Row],[Imports_TIV]]</f>
        <v>-10000000</v>
      </c>
      <c r="I1608" s="4">
        <f>Clean_Data[[#This Row],[Exports_TIV]] + Clean_Data[[#This Row],[Imports_TIV]]</f>
        <v>10000000</v>
      </c>
    </row>
    <row r="1609" spans="1:9">
      <c r="A1609" s="4" t="s">
        <v>357</v>
      </c>
      <c r="B1609" s="4" t="s">
        <v>358</v>
      </c>
      <c r="C1609" s="5">
        <v>2015</v>
      </c>
      <c r="D1609" s="4">
        <v>0</v>
      </c>
      <c r="E1609" s="4">
        <v>188000000</v>
      </c>
      <c r="F1609" s="4" t="str">
        <f>_xlfn.LET(_xlpm.r, _xlfn.XLOOKUP(Clean_Data[[#This Row],[Country_Code]], Metadata_Country!$A:$A, Metadata_Country!$B:$B, "Unknown"), IF(OR(_xlpm.r=0, _xlpm.r=""), "Regional Aggregate", _xlpm.r))</f>
        <v>Sub-Saharan Africa</v>
      </c>
      <c r="G1609" s="4" t="str">
        <f>_xlfn.LET(_xlpm.ig, _xlfn.XLOOKUP(Clean_Data[[#This Row],[Country_Code]], Metadata_Country!$A:$A, Metadata_Country!$C:$C, "Unknown"), IF(OR(_xlpm.ig=0, _xlpm.ig=""), "Regional Aggregate", _xlpm.ig))</f>
        <v>Lower middle income</v>
      </c>
      <c r="H1609" s="4">
        <f>Clean_Data[[#This Row],[Exports_TIV]] - Clean_Data[[#This Row],[Imports_TIV]]</f>
        <v>-188000000</v>
      </c>
      <c r="I1609" s="4">
        <f>Clean_Data[[#This Row],[Exports_TIV]] + Clean_Data[[#This Row],[Imports_TIV]]</f>
        <v>188000000</v>
      </c>
    </row>
    <row r="1610" spans="1:9">
      <c r="A1610" s="4" t="s">
        <v>349</v>
      </c>
      <c r="B1610" s="4" t="s">
        <v>350</v>
      </c>
      <c r="C1610" s="5">
        <v>2015</v>
      </c>
      <c r="D1610" s="4">
        <v>10612000000</v>
      </c>
      <c r="E1610" s="4">
        <v>890000000</v>
      </c>
      <c r="F1610" s="4" t="str">
        <f>_xlfn.LET(_xlpm.r, _xlfn.XLOOKUP(Clean_Data[[#This Row],[Country_Code]], Metadata_Country!$A:$A, Metadata_Country!$B:$B, "Unknown"), IF(OR(_xlpm.r=0, _xlpm.r=""), "Regional Aggregate", _xlpm.r))</f>
        <v>Regional Aggregate</v>
      </c>
      <c r="G1610" s="4" t="str">
        <f>_xlfn.LET(_xlpm.ig, _xlfn.XLOOKUP(Clean_Data[[#This Row],[Country_Code]], Metadata_Country!$A:$A, Metadata_Country!$C:$C, "Unknown"), IF(OR(_xlpm.ig=0, _xlpm.ig=""), "Regional Aggregate", _xlpm.ig))</f>
        <v>Regional Aggregate</v>
      </c>
      <c r="H1610" s="4">
        <f>Clean_Data[[#This Row],[Exports_TIV]] - Clean_Data[[#This Row],[Imports_TIV]]</f>
        <v>9722000000</v>
      </c>
      <c r="I1610" s="4">
        <f>Clean_Data[[#This Row],[Exports_TIV]] + Clean_Data[[#This Row],[Imports_TIV]]</f>
        <v>11502000000</v>
      </c>
    </row>
    <row r="1611" spans="1:9">
      <c r="A1611" s="4" t="s">
        <v>363</v>
      </c>
      <c r="B1611" s="4" t="s">
        <v>364</v>
      </c>
      <c r="C1611" s="5">
        <v>2015</v>
      </c>
      <c r="D1611" s="4">
        <v>117000000</v>
      </c>
      <c r="E1611" s="4">
        <v>143000000</v>
      </c>
      <c r="F1611" s="4" t="str">
        <f>_xlfn.LET(_xlpm.r, _xlfn.XLOOKUP(Clean_Data[[#This Row],[Country_Code]], Metadata_Country!$A:$A, Metadata_Country!$B:$B, "Unknown"), IF(OR(_xlpm.r=0, _xlpm.r=""), "Regional Aggregate", _xlpm.r))</f>
        <v>Europe &amp; Central Asia</v>
      </c>
      <c r="G1611" s="4" t="str">
        <f>_xlfn.LET(_xlpm.ig, _xlfn.XLOOKUP(Clean_Data[[#This Row],[Country_Code]], Metadata_Country!$A:$A, Metadata_Country!$C:$C, "Unknown"), IF(OR(_xlpm.ig=0, _xlpm.ig=""), "Regional Aggregate", _xlpm.ig))</f>
        <v>High income</v>
      </c>
      <c r="H1611" s="4">
        <f>Clean_Data[[#This Row],[Exports_TIV]] - Clean_Data[[#This Row],[Imports_TIV]]</f>
        <v>-26000000</v>
      </c>
      <c r="I1611" s="4">
        <f>Clean_Data[[#This Row],[Exports_TIV]] + Clean_Data[[#This Row],[Imports_TIV]]</f>
        <v>260000000</v>
      </c>
    </row>
    <row r="1612" spans="1:9">
      <c r="A1612" s="4" t="s">
        <v>371</v>
      </c>
      <c r="B1612" s="4" t="s">
        <v>372</v>
      </c>
      <c r="C1612" s="5">
        <v>2015</v>
      </c>
      <c r="D1612" s="4">
        <v>19991000000</v>
      </c>
      <c r="E1612" s="4">
        <v>7320000000</v>
      </c>
      <c r="F1612" s="4" t="str">
        <f>_xlfn.LET(_xlpm.r, _xlfn.XLOOKUP(Clean_Data[[#This Row],[Country_Code]], Metadata_Country!$A:$A, Metadata_Country!$B:$B, "Unknown"), IF(OR(_xlpm.r=0, _xlpm.r=""), "Regional Aggregate", _xlpm.r))</f>
        <v>Regional Aggregate</v>
      </c>
      <c r="G1612" s="4" t="str">
        <f>_xlfn.LET(_xlpm.ig, _xlfn.XLOOKUP(Clean_Data[[#This Row],[Country_Code]], Metadata_Country!$A:$A, Metadata_Country!$C:$C, "Unknown"), IF(OR(_xlpm.ig=0, _xlpm.ig=""), "Regional Aggregate", _xlpm.ig))</f>
        <v>Regional Aggregate</v>
      </c>
      <c r="H1612" s="4">
        <f>Clean_Data[[#This Row],[Exports_TIV]] - Clean_Data[[#This Row],[Imports_TIV]]</f>
        <v>12671000000</v>
      </c>
      <c r="I1612" s="4">
        <f>Clean_Data[[#This Row],[Exports_TIV]] + Clean_Data[[#This Row],[Imports_TIV]]</f>
        <v>27311000000</v>
      </c>
    </row>
    <row r="1613" spans="1:9">
      <c r="A1613" s="4" t="s">
        <v>373</v>
      </c>
      <c r="B1613" s="4" t="s">
        <v>374</v>
      </c>
      <c r="C1613" s="5">
        <v>2015</v>
      </c>
      <c r="D1613" s="4">
        <v>0</v>
      </c>
      <c r="E1613" s="4">
        <v>152000000</v>
      </c>
      <c r="F1613" s="4" t="str">
        <f>_xlfn.LET(_xlpm.r, _xlfn.XLOOKUP(Clean_Data[[#This Row],[Country_Code]], Metadata_Country!$A:$A, Metadata_Country!$B:$B, "Unknown"), IF(OR(_xlpm.r=0, _xlpm.r=""), "Regional Aggregate", _xlpm.r))</f>
        <v>Middle East &amp; North Africa</v>
      </c>
      <c r="G1613" s="4" t="str">
        <f>_xlfn.LET(_xlpm.ig, _xlfn.XLOOKUP(Clean_Data[[#This Row],[Country_Code]], Metadata_Country!$A:$A, Metadata_Country!$C:$C, "Unknown"), IF(OR(_xlpm.ig=0, _xlpm.ig=""), "Regional Aggregate", _xlpm.ig))</f>
        <v>High income</v>
      </c>
      <c r="H1613" s="4">
        <f>Clean_Data[[#This Row],[Exports_TIV]] - Clean_Data[[#This Row],[Imports_TIV]]</f>
        <v>-152000000</v>
      </c>
      <c r="I1613" s="4">
        <f>Clean_Data[[#This Row],[Exports_TIV]] + Clean_Data[[#This Row],[Imports_TIV]]</f>
        <v>152000000</v>
      </c>
    </row>
    <row r="1614" spans="1:9">
      <c r="A1614" s="4" t="s">
        <v>377</v>
      </c>
      <c r="B1614" s="4" t="s">
        <v>378</v>
      </c>
      <c r="C1614" s="5">
        <v>2015</v>
      </c>
      <c r="D1614" s="4">
        <v>0</v>
      </c>
      <c r="E1614" s="4">
        <v>771000000</v>
      </c>
      <c r="F1614" s="4" t="str">
        <f>_xlfn.LET(_xlpm.r, _xlfn.XLOOKUP(Clean_Data[[#This Row],[Country_Code]], Metadata_Country!$A:$A, Metadata_Country!$B:$B, "Unknown"), IF(OR(_xlpm.r=0, _xlpm.r=""), "Regional Aggregate", _xlpm.r))</f>
        <v>Middle East &amp; North Africa</v>
      </c>
      <c r="G1614" s="4" t="str">
        <f>_xlfn.LET(_xlpm.ig, _xlfn.XLOOKUP(Clean_Data[[#This Row],[Country_Code]], Metadata_Country!$A:$A, Metadata_Country!$C:$C, "Unknown"), IF(OR(_xlpm.ig=0, _xlpm.ig=""), "Regional Aggregate", _xlpm.ig))</f>
        <v>Lower middle income</v>
      </c>
      <c r="H1614" s="4">
        <f>Clean_Data[[#This Row],[Exports_TIV]] - Clean_Data[[#This Row],[Imports_TIV]]</f>
        <v>-771000000</v>
      </c>
      <c r="I1614" s="4">
        <f>Clean_Data[[#This Row],[Exports_TIV]] + Clean_Data[[#This Row],[Imports_TIV]]</f>
        <v>771000000</v>
      </c>
    </row>
    <row r="1615" spans="1:9">
      <c r="A1615" s="4" t="s">
        <v>381</v>
      </c>
      <c r="B1615" s="4" t="s">
        <v>382</v>
      </c>
      <c r="C1615" s="5">
        <v>2015</v>
      </c>
      <c r="D1615" s="4">
        <v>0</v>
      </c>
      <c r="E1615" s="4">
        <v>211000000</v>
      </c>
      <c r="F1615" s="4" t="str">
        <f>_xlfn.LET(_xlpm.r, _xlfn.XLOOKUP(Clean_Data[[#This Row],[Country_Code]], Metadata_Country!$A:$A, Metadata_Country!$B:$B, "Unknown"), IF(OR(_xlpm.r=0, _xlpm.r=""), "Regional Aggregate", _xlpm.r))</f>
        <v>Latin America &amp; Caribbean</v>
      </c>
      <c r="G1615" s="4" t="str">
        <f>_xlfn.LET(_xlpm.ig, _xlfn.XLOOKUP(Clean_Data[[#This Row],[Country_Code]], Metadata_Country!$A:$A, Metadata_Country!$C:$C, "Unknown"), IF(OR(_xlpm.ig=0, _xlpm.ig=""), "Regional Aggregate", _xlpm.ig))</f>
        <v>Upper middle income</v>
      </c>
      <c r="H1615" s="4">
        <f>Clean_Data[[#This Row],[Exports_TIV]] - Clean_Data[[#This Row],[Imports_TIV]]</f>
        <v>-211000000</v>
      </c>
      <c r="I1615" s="4">
        <f>Clean_Data[[#This Row],[Exports_TIV]] + Clean_Data[[#This Row],[Imports_TIV]]</f>
        <v>211000000</v>
      </c>
    </row>
    <row r="1616" spans="1:9">
      <c r="A1616" s="4" t="s">
        <v>383</v>
      </c>
      <c r="B1616" s="4" t="s">
        <v>384</v>
      </c>
      <c r="C1616" s="5">
        <v>2015</v>
      </c>
      <c r="D1616" s="4">
        <v>0</v>
      </c>
      <c r="E1616" s="4">
        <v>153000000</v>
      </c>
      <c r="F1616" s="4" t="str">
        <f>_xlfn.LET(_xlpm.r, _xlfn.XLOOKUP(Clean_Data[[#This Row],[Country_Code]], Metadata_Country!$A:$A, Metadata_Country!$B:$B, "Unknown"), IF(OR(_xlpm.r=0, _xlpm.r=""), "Regional Aggregate", _xlpm.r))</f>
        <v>East Asia &amp; Pacific</v>
      </c>
      <c r="G1616" s="4" t="str">
        <f>_xlfn.LET(_xlpm.ig, _xlfn.XLOOKUP(Clean_Data[[#This Row],[Country_Code]], Metadata_Country!$A:$A, Metadata_Country!$C:$C, "Unknown"), IF(OR(_xlpm.ig=0, _xlpm.ig=""), "Regional Aggregate", _xlpm.ig))</f>
        <v>Upper middle income</v>
      </c>
      <c r="H1616" s="4">
        <f>Clean_Data[[#This Row],[Exports_TIV]] - Clean_Data[[#This Row],[Imports_TIV]]</f>
        <v>-153000000</v>
      </c>
      <c r="I1616" s="4">
        <f>Clean_Data[[#This Row],[Exports_TIV]] + Clean_Data[[#This Row],[Imports_TIV]]</f>
        <v>153000000</v>
      </c>
    </row>
    <row r="1617" spans="1:9">
      <c r="A1617" s="4" t="s">
        <v>389</v>
      </c>
      <c r="B1617" s="4" t="s">
        <v>390</v>
      </c>
      <c r="C1617" s="5">
        <v>2015</v>
      </c>
      <c r="D1617" s="4">
        <v>2000000</v>
      </c>
      <c r="E1617" s="4">
        <v>127000000</v>
      </c>
      <c r="F1617" s="4" t="str">
        <f>_xlfn.LET(_xlpm.r, _xlfn.XLOOKUP(Clean_Data[[#This Row],[Country_Code]], Metadata_Country!$A:$A, Metadata_Country!$B:$B, "Unknown"), IF(OR(_xlpm.r=0, _xlpm.r=""), "Regional Aggregate", _xlpm.r))</f>
        <v>Europe &amp; Central Asia</v>
      </c>
      <c r="G1617" s="4" t="str">
        <f>_xlfn.LET(_xlpm.ig, _xlfn.XLOOKUP(Clean_Data[[#This Row],[Country_Code]], Metadata_Country!$A:$A, Metadata_Country!$C:$C, "Unknown"), IF(OR(_xlpm.ig=0, _xlpm.ig=""), "Regional Aggregate", _xlpm.ig))</f>
        <v>High income</v>
      </c>
      <c r="H1617" s="4">
        <f>Clean_Data[[#This Row],[Exports_TIV]] - Clean_Data[[#This Row],[Imports_TIV]]</f>
        <v>-125000000</v>
      </c>
      <c r="I1617" s="4">
        <f>Clean_Data[[#This Row],[Exports_TIV]] + Clean_Data[[#This Row],[Imports_TIV]]</f>
        <v>129000000</v>
      </c>
    </row>
    <row r="1618" spans="1:9">
      <c r="A1618" s="4" t="s">
        <v>397</v>
      </c>
      <c r="B1618" s="4" t="s">
        <v>398</v>
      </c>
      <c r="C1618" s="5">
        <v>2015</v>
      </c>
      <c r="D1618" s="4">
        <v>7000000</v>
      </c>
      <c r="E1618" s="4">
        <v>1000000</v>
      </c>
      <c r="F1618" s="4" t="str">
        <f>_xlfn.LET(_xlpm.r, _xlfn.XLOOKUP(Clean_Data[[#This Row],[Country_Code]], Metadata_Country!$A:$A, Metadata_Country!$B:$B, "Unknown"), IF(OR(_xlpm.r=0, _xlpm.r=""), "Regional Aggregate", _xlpm.r))</f>
        <v>Europe &amp; Central Asia</v>
      </c>
      <c r="G1618" s="4" t="str">
        <f>_xlfn.LET(_xlpm.ig, _xlfn.XLOOKUP(Clean_Data[[#This Row],[Country_Code]], Metadata_Country!$A:$A, Metadata_Country!$C:$C, "Unknown"), IF(OR(_xlpm.ig=0, _xlpm.ig=""), "Regional Aggregate", _xlpm.ig))</f>
        <v>High income</v>
      </c>
      <c r="H1618" s="4">
        <f>Clean_Data[[#This Row],[Exports_TIV]] - Clean_Data[[#This Row],[Imports_TIV]]</f>
        <v>6000000</v>
      </c>
      <c r="I1618" s="4">
        <f>Clean_Data[[#This Row],[Exports_TIV]] + Clean_Data[[#This Row],[Imports_TIV]]</f>
        <v>8000000</v>
      </c>
    </row>
    <row r="1619" spans="1:9">
      <c r="A1619" s="4" t="s">
        <v>405</v>
      </c>
      <c r="B1619" s="4" t="s">
        <v>406</v>
      </c>
      <c r="C1619" s="5">
        <v>2015</v>
      </c>
      <c r="D1619" s="4">
        <v>19769000000</v>
      </c>
      <c r="E1619" s="4">
        <v>5634000000</v>
      </c>
      <c r="F1619" s="4" t="str">
        <f>_xlfn.LET(_xlpm.r, _xlfn.XLOOKUP(Clean_Data[[#This Row],[Country_Code]], Metadata_Country!$A:$A, Metadata_Country!$B:$B, "Unknown"), IF(OR(_xlpm.r=0, _xlpm.r=""), "Regional Aggregate", _xlpm.r))</f>
        <v>Regional Aggregate</v>
      </c>
      <c r="G1619" s="4" t="str">
        <f>_xlfn.LET(_xlpm.ig, _xlfn.XLOOKUP(Clean_Data[[#This Row],[Country_Code]], Metadata_Country!$A:$A, Metadata_Country!$C:$C, "Unknown"), IF(OR(_xlpm.ig=0, _xlpm.ig=""), "Regional Aggregate", _xlpm.ig))</f>
        <v>Regional Aggregate</v>
      </c>
      <c r="H1619" s="4">
        <f>Clean_Data[[#This Row],[Exports_TIV]] - Clean_Data[[#This Row],[Imports_TIV]]</f>
        <v>14135000000</v>
      </c>
      <c r="I1619" s="4">
        <f>Clean_Data[[#This Row],[Exports_TIV]] + Clean_Data[[#This Row],[Imports_TIV]]</f>
        <v>25403000000</v>
      </c>
    </row>
    <row r="1620" spans="1:9">
      <c r="A1620" s="4" t="s">
        <v>391</v>
      </c>
      <c r="B1620" s="4" t="s">
        <v>392</v>
      </c>
      <c r="C1620" s="5">
        <v>2015</v>
      </c>
      <c r="D1620" s="4">
        <v>0</v>
      </c>
      <c r="E1620" s="4">
        <v>2155000000</v>
      </c>
      <c r="F1620" s="4" t="str">
        <f>_xlfn.LET(_xlpm.r, _xlfn.XLOOKUP(Clean_Data[[#This Row],[Country_Code]], Metadata_Country!$A:$A, Metadata_Country!$B:$B, "Unknown"), IF(OR(_xlpm.r=0, _xlpm.r=""), "Regional Aggregate", _xlpm.r))</f>
        <v>Regional Aggregate</v>
      </c>
      <c r="G1620" s="4" t="str">
        <f>_xlfn.LET(_xlpm.ig, _xlfn.XLOOKUP(Clean_Data[[#This Row],[Country_Code]], Metadata_Country!$A:$A, Metadata_Country!$C:$C, "Unknown"), IF(OR(_xlpm.ig=0, _xlpm.ig=""), "Regional Aggregate", _xlpm.ig))</f>
        <v>Regional Aggregate</v>
      </c>
      <c r="H1620" s="4">
        <f>Clean_Data[[#This Row],[Exports_TIV]] - Clean_Data[[#This Row],[Imports_TIV]]</f>
        <v>-2155000000</v>
      </c>
      <c r="I1620" s="4">
        <f>Clean_Data[[#This Row],[Exports_TIV]] + Clean_Data[[#This Row],[Imports_TIV]]</f>
        <v>2155000000</v>
      </c>
    </row>
    <row r="1621" spans="1:9">
      <c r="A1621" s="4" t="s">
        <v>409</v>
      </c>
      <c r="B1621" s="4" t="s">
        <v>410</v>
      </c>
      <c r="C1621" s="5">
        <v>2015</v>
      </c>
      <c r="D1621" s="4">
        <v>0</v>
      </c>
      <c r="E1621" s="4">
        <v>490000000</v>
      </c>
      <c r="F1621" s="4" t="str">
        <f>_xlfn.LET(_xlpm.r, _xlfn.XLOOKUP(Clean_Data[[#This Row],[Country_Code]], Metadata_Country!$A:$A, Metadata_Country!$B:$B, "Unknown"), IF(OR(_xlpm.r=0, _xlpm.r=""), "Regional Aggregate", _xlpm.r))</f>
        <v>Middle East &amp; North Africa</v>
      </c>
      <c r="G1621" s="4" t="str">
        <f>_xlfn.LET(_xlpm.ig, _xlfn.XLOOKUP(Clean_Data[[#This Row],[Country_Code]], Metadata_Country!$A:$A, Metadata_Country!$C:$C, "Unknown"), IF(OR(_xlpm.ig=0, _xlpm.ig=""), "Regional Aggregate", _xlpm.ig))</f>
        <v>High income</v>
      </c>
      <c r="H1621" s="4">
        <f>Clean_Data[[#This Row],[Exports_TIV]] - Clean_Data[[#This Row],[Imports_TIV]]</f>
        <v>-490000000</v>
      </c>
      <c r="I1621" s="4">
        <f>Clean_Data[[#This Row],[Exports_TIV]] + Clean_Data[[#This Row],[Imports_TIV]]</f>
        <v>490000000</v>
      </c>
    </row>
    <row r="1622" spans="1:9">
      <c r="A1622" s="4" t="s">
        <v>411</v>
      </c>
      <c r="B1622" s="4" t="s">
        <v>412</v>
      </c>
      <c r="C1622" s="5">
        <v>2015</v>
      </c>
      <c r="D1622" s="4">
        <v>0</v>
      </c>
      <c r="E1622" s="4">
        <v>22000000</v>
      </c>
      <c r="F1622" s="4" t="str">
        <f>_xlfn.LET(_xlpm.r, _xlfn.XLOOKUP(Clean_Data[[#This Row],[Country_Code]], Metadata_Country!$A:$A, Metadata_Country!$B:$B, "Unknown"), IF(OR(_xlpm.r=0, _xlpm.r=""), "Regional Aggregate", _xlpm.r))</f>
        <v>Europe &amp; Central Asia</v>
      </c>
      <c r="G1622" s="4" t="str">
        <f>_xlfn.LET(_xlpm.ig, _xlfn.XLOOKUP(Clean_Data[[#This Row],[Country_Code]], Metadata_Country!$A:$A, Metadata_Country!$C:$C, "Unknown"), IF(OR(_xlpm.ig=0, _xlpm.ig=""), "Regional Aggregate", _xlpm.ig))</f>
        <v>High income</v>
      </c>
      <c r="H1622" s="4">
        <f>Clean_Data[[#This Row],[Exports_TIV]] - Clean_Data[[#This Row],[Imports_TIV]]</f>
        <v>-22000000</v>
      </c>
      <c r="I1622" s="4">
        <f>Clean_Data[[#This Row],[Exports_TIV]] + Clean_Data[[#This Row],[Imports_TIV]]</f>
        <v>22000000</v>
      </c>
    </row>
    <row r="1623" spans="1:9">
      <c r="A1623" s="4" t="s">
        <v>413</v>
      </c>
      <c r="B1623" s="4" t="s">
        <v>414</v>
      </c>
      <c r="C1623" s="5">
        <v>2015</v>
      </c>
      <c r="D1623" s="4">
        <v>5799000000</v>
      </c>
      <c r="E1623" s="4">
        <v>113000000</v>
      </c>
      <c r="F1623" s="4" t="str">
        <f>_xlfn.LET(_xlpm.r, _xlfn.XLOOKUP(Clean_Data[[#This Row],[Country_Code]], Metadata_Country!$A:$A, Metadata_Country!$B:$B, "Unknown"), IF(OR(_xlpm.r=0, _xlpm.r=""), "Regional Aggregate", _xlpm.r))</f>
        <v>Europe &amp; Central Asia</v>
      </c>
      <c r="G1623" s="4" t="str">
        <f>_xlfn.LET(_xlpm.ig, _xlfn.XLOOKUP(Clean_Data[[#This Row],[Country_Code]], Metadata_Country!$A:$A, Metadata_Country!$C:$C, "Unknown"), IF(OR(_xlpm.ig=0, _xlpm.ig=""), "Regional Aggregate", _xlpm.ig))</f>
        <v>High income</v>
      </c>
      <c r="H1623" s="4">
        <f>Clean_Data[[#This Row],[Exports_TIV]] - Clean_Data[[#This Row],[Imports_TIV]]</f>
        <v>5686000000</v>
      </c>
      <c r="I1623" s="4">
        <f>Clean_Data[[#This Row],[Exports_TIV]] + Clean_Data[[#This Row],[Imports_TIV]]</f>
        <v>5912000000</v>
      </c>
    </row>
    <row r="1624" spans="1:9">
      <c r="A1624" s="4" t="s">
        <v>415</v>
      </c>
      <c r="B1624" s="4" t="s">
        <v>416</v>
      </c>
      <c r="C1624" s="5">
        <v>2015</v>
      </c>
      <c r="D1624" s="4">
        <v>0</v>
      </c>
      <c r="E1624" s="4">
        <v>29000000</v>
      </c>
      <c r="F1624" s="4" t="str">
        <f>_xlfn.LET(_xlpm.r, _xlfn.XLOOKUP(Clean_Data[[#This Row],[Country_Code]], Metadata_Country!$A:$A, Metadata_Country!$B:$B, "Unknown"), IF(OR(_xlpm.r=0, _xlpm.r=""), "Regional Aggregate", _xlpm.r))</f>
        <v>Sub-Saharan Africa</v>
      </c>
      <c r="G1624" s="4" t="str">
        <f>_xlfn.LET(_xlpm.ig, _xlfn.XLOOKUP(Clean_Data[[#This Row],[Country_Code]], Metadata_Country!$A:$A, Metadata_Country!$C:$C, "Unknown"), IF(OR(_xlpm.ig=0, _xlpm.ig=""), "Regional Aggregate", _xlpm.ig))</f>
        <v>Low income</v>
      </c>
      <c r="H1624" s="4">
        <f>Clean_Data[[#This Row],[Exports_TIV]] - Clean_Data[[#This Row],[Imports_TIV]]</f>
        <v>-29000000</v>
      </c>
      <c r="I1624" s="4">
        <f>Clean_Data[[#This Row],[Exports_TIV]] + Clean_Data[[#This Row],[Imports_TIV]]</f>
        <v>29000000</v>
      </c>
    </row>
    <row r="1625" spans="1:9">
      <c r="A1625" s="4" t="s">
        <v>419</v>
      </c>
      <c r="B1625" s="4" t="s">
        <v>420</v>
      </c>
      <c r="C1625" s="5">
        <v>2015</v>
      </c>
      <c r="D1625" s="4">
        <v>3000000</v>
      </c>
      <c r="E1625" s="4">
        <v>3474000000</v>
      </c>
      <c r="F1625" s="4" t="str">
        <f>_xlfn.LET(_xlpm.r, _xlfn.XLOOKUP(Clean_Data[[#This Row],[Country_Code]], Metadata_Country!$A:$A, Metadata_Country!$B:$B, "Unknown"), IF(OR(_xlpm.r=0, _xlpm.r=""), "Regional Aggregate", _xlpm.r))</f>
        <v>Middle East &amp; North Africa</v>
      </c>
      <c r="G1625" s="4" t="str">
        <f>_xlfn.LET(_xlpm.ig, _xlfn.XLOOKUP(Clean_Data[[#This Row],[Country_Code]], Metadata_Country!$A:$A, Metadata_Country!$C:$C, "Unknown"), IF(OR(_xlpm.ig=0, _xlpm.ig=""), "Regional Aggregate", _xlpm.ig))</f>
        <v>High income</v>
      </c>
      <c r="H1625" s="4">
        <f>Clean_Data[[#This Row],[Exports_TIV]] - Clean_Data[[#This Row],[Imports_TIV]]</f>
        <v>-3471000000</v>
      </c>
      <c r="I1625" s="4">
        <f>Clean_Data[[#This Row],[Exports_TIV]] + Clean_Data[[#This Row],[Imports_TIV]]</f>
        <v>3477000000</v>
      </c>
    </row>
    <row r="1626" spans="1:9">
      <c r="A1626" s="4" t="s">
        <v>423</v>
      </c>
      <c r="B1626" s="4" t="s">
        <v>424</v>
      </c>
      <c r="C1626" s="5">
        <v>2015</v>
      </c>
      <c r="D1626" s="4">
        <v>0</v>
      </c>
      <c r="E1626" s="4">
        <v>24000000</v>
      </c>
      <c r="F1626" s="4" t="str">
        <f>_xlfn.LET(_xlpm.r, _xlfn.XLOOKUP(Clean_Data[[#This Row],[Country_Code]], Metadata_Country!$A:$A, Metadata_Country!$B:$B, "Unknown"), IF(OR(_xlpm.r=0, _xlpm.r=""), "Regional Aggregate", _xlpm.r))</f>
        <v>Sub-Saharan Africa</v>
      </c>
      <c r="G1626" s="4" t="str">
        <f>_xlfn.LET(_xlpm.ig, _xlfn.XLOOKUP(Clean_Data[[#This Row],[Country_Code]], Metadata_Country!$A:$A, Metadata_Country!$C:$C, "Unknown"), IF(OR(_xlpm.ig=0, _xlpm.ig=""), "Regional Aggregate", _xlpm.ig))</f>
        <v>Lower middle income</v>
      </c>
      <c r="H1626" s="4">
        <f>Clean_Data[[#This Row],[Exports_TIV]] - Clean_Data[[#This Row],[Imports_TIV]]</f>
        <v>-24000000</v>
      </c>
      <c r="I1626" s="4">
        <f>Clean_Data[[#This Row],[Exports_TIV]] + Clean_Data[[#This Row],[Imports_TIV]]</f>
        <v>24000000</v>
      </c>
    </row>
    <row r="1627" spans="1:9">
      <c r="A1627" s="4" t="s">
        <v>437</v>
      </c>
      <c r="B1627" s="4" t="s">
        <v>438</v>
      </c>
      <c r="C1627" s="5">
        <v>2015</v>
      </c>
      <c r="D1627" s="4">
        <v>62000000</v>
      </c>
      <c r="E1627" s="4">
        <v>0</v>
      </c>
      <c r="F1627" s="4" t="str">
        <f>_xlfn.LET(_xlpm.r, _xlfn.XLOOKUP(Clean_Data[[#This Row],[Country_Code]], Metadata_Country!$A:$A, Metadata_Country!$B:$B, "Unknown"), IF(OR(_xlpm.r=0, _xlpm.r=""), "Regional Aggregate", _xlpm.r))</f>
        <v>Europe &amp; Central Asia</v>
      </c>
      <c r="G1627" s="4" t="str">
        <f>_xlfn.LET(_xlpm.ig, _xlfn.XLOOKUP(Clean_Data[[#This Row],[Country_Code]], Metadata_Country!$A:$A, Metadata_Country!$C:$C, "Unknown"), IF(OR(_xlpm.ig=0, _xlpm.ig=""), "Regional Aggregate", _xlpm.ig))</f>
        <v>Upper middle income</v>
      </c>
      <c r="H1627" s="4">
        <f>Clean_Data[[#This Row],[Exports_TIV]] - Clean_Data[[#This Row],[Imports_TIV]]</f>
        <v>62000000</v>
      </c>
      <c r="I1627" s="4">
        <f>Clean_Data[[#This Row],[Exports_TIV]] + Clean_Data[[#This Row],[Imports_TIV]]</f>
        <v>62000000</v>
      </c>
    </row>
    <row r="1628" spans="1:9">
      <c r="A1628" s="4" t="s">
        <v>429</v>
      </c>
      <c r="B1628" s="4" t="s">
        <v>430</v>
      </c>
      <c r="C1628" s="5">
        <v>2015</v>
      </c>
      <c r="D1628" s="4">
        <v>0</v>
      </c>
      <c r="E1628" s="4">
        <v>1000000</v>
      </c>
      <c r="F1628" s="4" t="str">
        <f>_xlfn.LET(_xlpm.r, _xlfn.XLOOKUP(Clean_Data[[#This Row],[Country_Code]], Metadata_Country!$A:$A, Metadata_Country!$B:$B, "Unknown"), IF(OR(_xlpm.r=0, _xlpm.r=""), "Regional Aggregate", _xlpm.r))</f>
        <v>Sub-Saharan Africa</v>
      </c>
      <c r="G1628" s="4" t="str">
        <f>_xlfn.LET(_xlpm.ig, _xlfn.XLOOKUP(Clean_Data[[#This Row],[Country_Code]], Metadata_Country!$A:$A, Metadata_Country!$C:$C, "Unknown"), IF(OR(_xlpm.ig=0, _xlpm.ig=""), "Regional Aggregate", _xlpm.ig))</f>
        <v>Low income</v>
      </c>
      <c r="H1628" s="4">
        <f>Clean_Data[[#This Row],[Exports_TIV]] - Clean_Data[[#This Row],[Imports_TIV]]</f>
        <v>-1000000</v>
      </c>
      <c r="I1628" s="4">
        <f>Clean_Data[[#This Row],[Exports_TIV]] + Clean_Data[[#This Row],[Imports_TIV]]</f>
        <v>1000000</v>
      </c>
    </row>
    <row r="1629" spans="1:9">
      <c r="A1629" s="4" t="s">
        <v>425</v>
      </c>
      <c r="B1629" s="4" t="s">
        <v>426</v>
      </c>
      <c r="C1629" s="5">
        <v>2015</v>
      </c>
      <c r="D1629" s="4">
        <v>80000000</v>
      </c>
      <c r="E1629" s="4">
        <v>152000000</v>
      </c>
      <c r="F1629" s="4" t="str">
        <f>_xlfn.LET(_xlpm.r, _xlfn.XLOOKUP(Clean_Data[[#This Row],[Country_Code]], Metadata_Country!$A:$A, Metadata_Country!$B:$B, "Unknown"), IF(OR(_xlpm.r=0, _xlpm.r=""), "Regional Aggregate", _xlpm.r))</f>
        <v>East Asia &amp; Pacific</v>
      </c>
      <c r="G1629" s="4" t="str">
        <f>_xlfn.LET(_xlpm.ig, _xlfn.XLOOKUP(Clean_Data[[#This Row],[Country_Code]], Metadata_Country!$A:$A, Metadata_Country!$C:$C, "Unknown"), IF(OR(_xlpm.ig=0, _xlpm.ig=""), "Regional Aggregate", _xlpm.ig))</f>
        <v>High income</v>
      </c>
      <c r="H1629" s="4">
        <f>Clean_Data[[#This Row],[Exports_TIV]] - Clean_Data[[#This Row],[Imports_TIV]]</f>
        <v>-72000000</v>
      </c>
      <c r="I1629" s="4">
        <f>Clean_Data[[#This Row],[Exports_TIV]] + Clean_Data[[#This Row],[Imports_TIV]]</f>
        <v>232000000</v>
      </c>
    </row>
    <row r="1630" spans="1:9">
      <c r="A1630" s="4" t="s">
        <v>451</v>
      </c>
      <c r="B1630" s="4" t="s">
        <v>452</v>
      </c>
      <c r="C1630" s="5">
        <v>2015</v>
      </c>
      <c r="D1630" s="4">
        <v>3000000</v>
      </c>
      <c r="E1630" s="4">
        <v>0</v>
      </c>
      <c r="F1630" s="4" t="str">
        <f>_xlfn.LET(_xlpm.r, _xlfn.XLOOKUP(Clean_Data[[#This Row],[Country_Code]], Metadata_Country!$A:$A, Metadata_Country!$B:$B, "Unknown"), IF(OR(_xlpm.r=0, _xlpm.r=""), "Regional Aggregate", _xlpm.r))</f>
        <v>Europe &amp; Central Asia</v>
      </c>
      <c r="G1630" s="4" t="str">
        <f>_xlfn.LET(_xlpm.ig, _xlfn.XLOOKUP(Clean_Data[[#This Row],[Country_Code]], Metadata_Country!$A:$A, Metadata_Country!$C:$C, "Unknown"), IF(OR(_xlpm.ig=0, _xlpm.ig=""), "Regional Aggregate", _xlpm.ig))</f>
        <v>High income</v>
      </c>
      <c r="H1630" s="4">
        <f>Clean_Data[[#This Row],[Exports_TIV]] - Clean_Data[[#This Row],[Imports_TIV]]</f>
        <v>3000000</v>
      </c>
      <c r="I1630" s="4">
        <f>Clean_Data[[#This Row],[Exports_TIV]] + Clean_Data[[#This Row],[Imports_TIV]]</f>
        <v>3000000</v>
      </c>
    </row>
    <row r="1631" spans="1:9">
      <c r="A1631" s="4" t="s">
        <v>435</v>
      </c>
      <c r="B1631" s="4" t="s">
        <v>436</v>
      </c>
      <c r="C1631" s="5">
        <v>2015</v>
      </c>
      <c r="D1631" s="4">
        <v>0</v>
      </c>
      <c r="E1631" s="4">
        <v>1000000</v>
      </c>
      <c r="F1631" s="4" t="str">
        <f>_xlfn.LET(_xlpm.r, _xlfn.XLOOKUP(Clean_Data[[#This Row],[Country_Code]], Metadata_Country!$A:$A, Metadata_Country!$B:$B, "Unknown"), IF(OR(_xlpm.r=0, _xlpm.r=""), "Regional Aggregate", _xlpm.r))</f>
        <v>Sub-Saharan Africa</v>
      </c>
      <c r="G1631" s="4" t="str">
        <f>_xlfn.LET(_xlpm.ig, _xlfn.XLOOKUP(Clean_Data[[#This Row],[Country_Code]], Metadata_Country!$A:$A, Metadata_Country!$C:$C, "Unknown"), IF(OR(_xlpm.ig=0, _xlpm.ig=""), "Regional Aggregate", _xlpm.ig))</f>
        <v>Low income</v>
      </c>
      <c r="H1631" s="4">
        <f>Clean_Data[[#This Row],[Exports_TIV]] - Clean_Data[[#This Row],[Imports_TIV]]</f>
        <v>-1000000</v>
      </c>
      <c r="I1631" s="4">
        <f>Clean_Data[[#This Row],[Exports_TIV]] + Clean_Data[[#This Row],[Imports_TIV]]</f>
        <v>1000000</v>
      </c>
    </row>
    <row r="1632" spans="1:9">
      <c r="A1632" s="4" t="s">
        <v>535</v>
      </c>
      <c r="B1632" s="4" t="s">
        <v>536</v>
      </c>
      <c r="C1632" s="5">
        <v>2015</v>
      </c>
      <c r="D1632" s="4">
        <v>76000000</v>
      </c>
      <c r="E1632" s="4">
        <v>2000000</v>
      </c>
      <c r="F1632" s="4" t="str">
        <f>_xlfn.LET(_xlpm.r, _xlfn.XLOOKUP(Clean_Data[[#This Row],[Country_Code]], Metadata_Country!$A:$A, Metadata_Country!$B:$B, "Unknown"), IF(OR(_xlpm.r=0, _xlpm.r=""), "Regional Aggregate", _xlpm.r))</f>
        <v>Sub-Saharan Africa</v>
      </c>
      <c r="G1632" s="4" t="str">
        <f>_xlfn.LET(_xlpm.ig, _xlfn.XLOOKUP(Clean_Data[[#This Row],[Country_Code]], Metadata_Country!$A:$A, Metadata_Country!$C:$C, "Unknown"), IF(OR(_xlpm.ig=0, _xlpm.ig=""), "Regional Aggregate", _xlpm.ig))</f>
        <v>Upper middle income</v>
      </c>
      <c r="H1632" s="4">
        <f>Clean_Data[[#This Row],[Exports_TIV]] - Clean_Data[[#This Row],[Imports_TIV]]</f>
        <v>74000000</v>
      </c>
      <c r="I1632" s="4">
        <f>Clean_Data[[#This Row],[Exports_TIV]] + Clean_Data[[#This Row],[Imports_TIV]]</f>
        <v>78000000</v>
      </c>
    </row>
    <row r="1633" spans="1:9">
      <c r="A1633" s="4" t="s">
        <v>417</v>
      </c>
      <c r="B1633" s="4" t="s">
        <v>418</v>
      </c>
      <c r="C1633" s="5">
        <v>2015</v>
      </c>
      <c r="D1633" s="4">
        <v>42000000</v>
      </c>
      <c r="E1633" s="4">
        <v>3387000000</v>
      </c>
      <c r="F1633" s="4" t="str">
        <f>_xlfn.LET(_xlpm.r, _xlfn.XLOOKUP(Clean_Data[[#This Row],[Country_Code]], Metadata_Country!$A:$A, Metadata_Country!$B:$B, "Unknown"), IF(OR(_xlpm.r=0, _xlpm.r=""), "Regional Aggregate", _xlpm.r))</f>
        <v>Regional Aggregate</v>
      </c>
      <c r="G1633" s="4" t="str">
        <f>_xlfn.LET(_xlpm.ig, _xlfn.XLOOKUP(Clean_Data[[#This Row],[Country_Code]], Metadata_Country!$A:$A, Metadata_Country!$C:$C, "Unknown"), IF(OR(_xlpm.ig=0, _xlpm.ig=""), "Regional Aggregate", _xlpm.ig))</f>
        <v>Regional Aggregate</v>
      </c>
      <c r="H1633" s="4">
        <f>Clean_Data[[#This Row],[Exports_TIV]] - Clean_Data[[#This Row],[Imports_TIV]]</f>
        <v>-3345000000</v>
      </c>
      <c r="I1633" s="4">
        <f>Clean_Data[[#This Row],[Exports_TIV]] + Clean_Data[[#This Row],[Imports_TIV]]</f>
        <v>3429000000</v>
      </c>
    </row>
    <row r="1634" spans="1:9">
      <c r="A1634" s="4" t="s">
        <v>489</v>
      </c>
      <c r="B1634" s="4" t="s">
        <v>490</v>
      </c>
      <c r="C1634" s="5">
        <v>2015</v>
      </c>
      <c r="D1634" s="4">
        <v>42000000</v>
      </c>
      <c r="E1634" s="4">
        <v>3387000000</v>
      </c>
      <c r="F1634" s="4" t="str">
        <f>_xlfn.LET(_xlpm.r, _xlfn.XLOOKUP(Clean_Data[[#This Row],[Country_Code]], Metadata_Country!$A:$A, Metadata_Country!$B:$B, "Unknown"), IF(OR(_xlpm.r=0, _xlpm.r=""), "Regional Aggregate", _xlpm.r))</f>
        <v>Regional Aggregate</v>
      </c>
      <c r="G1634" s="4" t="str">
        <f>_xlfn.LET(_xlpm.ig, _xlfn.XLOOKUP(Clean_Data[[#This Row],[Country_Code]], Metadata_Country!$A:$A, Metadata_Country!$C:$C, "Unknown"), IF(OR(_xlpm.ig=0, _xlpm.ig=""), "Regional Aggregate", _xlpm.ig))</f>
        <v>Regional Aggregate</v>
      </c>
      <c r="H1634" s="4">
        <f>Clean_Data[[#This Row],[Exports_TIV]] - Clean_Data[[#This Row],[Imports_TIV]]</f>
        <v>-3345000000</v>
      </c>
      <c r="I1634" s="4">
        <f>Clean_Data[[#This Row],[Exports_TIV]] + Clean_Data[[#This Row],[Imports_TIV]]</f>
        <v>3429000000</v>
      </c>
    </row>
    <row r="1635" spans="1:9">
      <c r="A1635" s="4" t="s">
        <v>441</v>
      </c>
      <c r="B1635" s="4" t="s">
        <v>442</v>
      </c>
      <c r="C1635" s="5">
        <v>2015</v>
      </c>
      <c r="D1635" s="4">
        <v>0</v>
      </c>
      <c r="E1635" s="4">
        <v>19000000</v>
      </c>
      <c r="F1635" s="4" t="str">
        <f>_xlfn.LET(_xlpm.r, _xlfn.XLOOKUP(Clean_Data[[#This Row],[Country_Code]], Metadata_Country!$A:$A, Metadata_Country!$B:$B, "Unknown"), IF(OR(_xlpm.r=0, _xlpm.r=""), "Regional Aggregate", _xlpm.r))</f>
        <v>Sub-Saharan Africa</v>
      </c>
      <c r="G1635" s="4" t="str">
        <f>_xlfn.LET(_xlpm.ig, _xlfn.XLOOKUP(Clean_Data[[#This Row],[Country_Code]], Metadata_Country!$A:$A, Metadata_Country!$C:$C, "Unknown"), IF(OR(_xlpm.ig=0, _xlpm.ig=""), "Regional Aggregate", _xlpm.ig))</f>
        <v>Low income</v>
      </c>
      <c r="H1635" s="4">
        <f>Clean_Data[[#This Row],[Exports_TIV]] - Clean_Data[[#This Row],[Imports_TIV]]</f>
        <v>-19000000</v>
      </c>
      <c r="I1635" s="4">
        <f>Clean_Data[[#This Row],[Exports_TIV]] + Clean_Data[[#This Row],[Imports_TIV]]</f>
        <v>19000000</v>
      </c>
    </row>
    <row r="1636" spans="1:9">
      <c r="A1636" s="4" t="s">
        <v>149</v>
      </c>
      <c r="B1636" s="4" t="s">
        <v>150</v>
      </c>
      <c r="C1636" s="5">
        <v>2015</v>
      </c>
      <c r="D1636" s="4">
        <v>982000000</v>
      </c>
      <c r="E1636" s="4">
        <v>152000000</v>
      </c>
      <c r="F1636" s="4" t="str">
        <f>_xlfn.LET(_xlpm.r, _xlfn.XLOOKUP(Clean_Data[[#This Row],[Country_Code]], Metadata_Country!$A:$A, Metadata_Country!$B:$B, "Unknown"), IF(OR(_xlpm.r=0, _xlpm.r=""), "Regional Aggregate", _xlpm.r))</f>
        <v>Europe &amp; Central Asia</v>
      </c>
      <c r="G1636" s="4" t="str">
        <f>_xlfn.LET(_xlpm.ig, _xlfn.XLOOKUP(Clean_Data[[#This Row],[Country_Code]], Metadata_Country!$A:$A, Metadata_Country!$C:$C, "Unknown"), IF(OR(_xlpm.ig=0, _xlpm.ig=""), "Regional Aggregate", _xlpm.ig))</f>
        <v>High income</v>
      </c>
      <c r="H1636" s="4">
        <f>Clean_Data[[#This Row],[Exports_TIV]] - Clean_Data[[#This Row],[Imports_TIV]]</f>
        <v>830000000</v>
      </c>
      <c r="I1636" s="4">
        <f>Clean_Data[[#This Row],[Exports_TIV]] + Clean_Data[[#This Row],[Imports_TIV]]</f>
        <v>1134000000</v>
      </c>
    </row>
    <row r="1637" spans="1:9">
      <c r="A1637" s="4" t="s">
        <v>443</v>
      </c>
      <c r="B1637" s="4" t="s">
        <v>444</v>
      </c>
      <c r="C1637" s="5">
        <v>2015</v>
      </c>
      <c r="D1637" s="4">
        <v>0</v>
      </c>
      <c r="E1637" s="4">
        <v>595000000</v>
      </c>
      <c r="F1637" s="4" t="str">
        <f>_xlfn.LET(_xlpm.r, _xlfn.XLOOKUP(Clean_Data[[#This Row],[Country_Code]], Metadata_Country!$A:$A, Metadata_Country!$B:$B, "Unknown"), IF(OR(_xlpm.r=0, _xlpm.r=""), "Regional Aggregate", _xlpm.r))</f>
        <v>Regional Aggregate</v>
      </c>
      <c r="G1637" s="4" t="str">
        <f>_xlfn.LET(_xlpm.ig, _xlfn.XLOOKUP(Clean_Data[[#This Row],[Country_Code]], Metadata_Country!$A:$A, Metadata_Country!$C:$C, "Unknown"), IF(OR(_xlpm.ig=0, _xlpm.ig=""), "Regional Aggregate", _xlpm.ig))</f>
        <v>Regional Aggregate</v>
      </c>
      <c r="H1637" s="4">
        <f>Clean_Data[[#This Row],[Exports_TIV]] - Clean_Data[[#This Row],[Imports_TIV]]</f>
        <v>-595000000</v>
      </c>
      <c r="I1637" s="4">
        <f>Clean_Data[[#This Row],[Exports_TIV]] + Clean_Data[[#This Row],[Imports_TIV]]</f>
        <v>595000000</v>
      </c>
    </row>
    <row r="1638" spans="1:9">
      <c r="A1638" s="4" t="s">
        <v>439</v>
      </c>
      <c r="B1638" s="4" t="s">
        <v>440</v>
      </c>
      <c r="C1638" s="5">
        <v>2015</v>
      </c>
      <c r="D1638" s="4">
        <v>0</v>
      </c>
      <c r="E1638" s="4">
        <v>595000000</v>
      </c>
      <c r="F1638" s="4" t="str">
        <f>_xlfn.LET(_xlpm.r, _xlfn.XLOOKUP(Clean_Data[[#This Row],[Country_Code]], Metadata_Country!$A:$A, Metadata_Country!$B:$B, "Unknown"), IF(OR(_xlpm.r=0, _xlpm.r=""), "Regional Aggregate", _xlpm.r))</f>
        <v>Regional Aggregate</v>
      </c>
      <c r="G1638" s="4" t="str">
        <f>_xlfn.LET(_xlpm.ig, _xlfn.XLOOKUP(Clean_Data[[#This Row],[Country_Code]], Metadata_Country!$A:$A, Metadata_Country!$C:$C, "Unknown"), IF(OR(_xlpm.ig=0, _xlpm.ig=""), "Regional Aggregate", _xlpm.ig))</f>
        <v>Regional Aggregate</v>
      </c>
      <c r="H1638" s="4">
        <f>Clean_Data[[#This Row],[Exports_TIV]] - Clean_Data[[#This Row],[Imports_TIV]]</f>
        <v>-595000000</v>
      </c>
      <c r="I1638" s="4">
        <f>Clean_Data[[#This Row],[Exports_TIV]] + Clean_Data[[#This Row],[Imports_TIV]]</f>
        <v>595000000</v>
      </c>
    </row>
    <row r="1639" spans="1:9">
      <c r="A1639" s="4" t="s">
        <v>491</v>
      </c>
      <c r="B1639" s="4" t="s">
        <v>492</v>
      </c>
      <c r="C1639" s="5">
        <v>2015</v>
      </c>
      <c r="D1639" s="4">
        <v>0</v>
      </c>
      <c r="E1639" s="4">
        <v>595000000</v>
      </c>
      <c r="F1639" s="4" t="str">
        <f>_xlfn.LET(_xlpm.r, _xlfn.XLOOKUP(Clean_Data[[#This Row],[Country_Code]], Metadata_Country!$A:$A, Metadata_Country!$B:$B, "Unknown"), IF(OR(_xlpm.r=0, _xlpm.r=""), "Regional Aggregate", _xlpm.r))</f>
        <v>Regional Aggregate</v>
      </c>
      <c r="G1639" s="4" t="str">
        <f>_xlfn.LET(_xlpm.ig, _xlfn.XLOOKUP(Clean_Data[[#This Row],[Country_Code]], Metadata_Country!$A:$A, Metadata_Country!$C:$C, "Unknown"), IF(OR(_xlpm.ig=0, _xlpm.ig=""), "Regional Aggregate", _xlpm.ig))</f>
        <v>Regional Aggregate</v>
      </c>
      <c r="H1639" s="4">
        <f>Clean_Data[[#This Row],[Exports_TIV]] - Clean_Data[[#This Row],[Imports_TIV]]</f>
        <v>-595000000</v>
      </c>
      <c r="I1639" s="4">
        <f>Clean_Data[[#This Row],[Exports_TIV]] + Clean_Data[[#This Row],[Imports_TIV]]</f>
        <v>595000000</v>
      </c>
    </row>
    <row r="1640" spans="1:9">
      <c r="A1640" s="4" t="s">
        <v>421</v>
      </c>
      <c r="B1640" s="4" t="s">
        <v>422</v>
      </c>
      <c r="C1640" s="5">
        <v>2015</v>
      </c>
      <c r="D1640" s="4">
        <v>0</v>
      </c>
      <c r="E1640" s="4">
        <v>136000000</v>
      </c>
      <c r="F1640" s="4" t="str">
        <f>_xlfn.LET(_xlpm.r, _xlfn.XLOOKUP(Clean_Data[[#This Row],[Country_Code]], Metadata_Country!$A:$A, Metadata_Country!$B:$B, "Unknown"), IF(OR(_xlpm.r=0, _xlpm.r=""), "Regional Aggregate", _xlpm.r))</f>
        <v>Sub-Saharan Africa</v>
      </c>
      <c r="G1640" s="4" t="str">
        <f>_xlfn.LET(_xlpm.ig, _xlfn.XLOOKUP(Clean_Data[[#This Row],[Country_Code]], Metadata_Country!$A:$A, Metadata_Country!$C:$C, "Unknown"), IF(OR(_xlpm.ig=0, _xlpm.ig=""), "Regional Aggregate", _xlpm.ig))</f>
        <v>Low income</v>
      </c>
      <c r="H1640" s="4">
        <f>Clean_Data[[#This Row],[Exports_TIV]] - Clean_Data[[#This Row],[Imports_TIV]]</f>
        <v>-136000000</v>
      </c>
      <c r="I1640" s="4">
        <f>Clean_Data[[#This Row],[Exports_TIV]] + Clean_Data[[#This Row],[Imports_TIV]]</f>
        <v>136000000</v>
      </c>
    </row>
    <row r="1641" spans="1:9">
      <c r="A1641" s="4" t="s">
        <v>449</v>
      </c>
      <c r="B1641" s="4" t="s">
        <v>450</v>
      </c>
      <c r="C1641" s="5">
        <v>2015</v>
      </c>
      <c r="D1641" s="4">
        <v>0</v>
      </c>
      <c r="E1641" s="4">
        <v>3000000</v>
      </c>
      <c r="F1641" s="4" t="str">
        <f>_xlfn.LET(_xlpm.r, _xlfn.XLOOKUP(Clean_Data[[#This Row],[Country_Code]], Metadata_Country!$A:$A, Metadata_Country!$B:$B, "Unknown"), IF(OR(_xlpm.r=0, _xlpm.r=""), "Regional Aggregate", _xlpm.r))</f>
        <v>Latin America &amp; Caribbean</v>
      </c>
      <c r="G1641" s="4" t="str">
        <f>_xlfn.LET(_xlpm.ig, _xlfn.XLOOKUP(Clean_Data[[#This Row],[Country_Code]], Metadata_Country!$A:$A, Metadata_Country!$C:$C, "Unknown"), IF(OR(_xlpm.ig=0, _xlpm.ig=""), "Regional Aggregate", _xlpm.ig))</f>
        <v>Upper middle income</v>
      </c>
      <c r="H1641" s="4">
        <f>Clean_Data[[#This Row],[Exports_TIV]] - Clean_Data[[#This Row],[Imports_TIV]]</f>
        <v>-3000000</v>
      </c>
      <c r="I1641" s="4">
        <f>Clean_Data[[#This Row],[Exports_TIV]] + Clean_Data[[#This Row],[Imports_TIV]]</f>
        <v>3000000</v>
      </c>
    </row>
    <row r="1642" spans="1:9">
      <c r="A1642" s="4" t="s">
        <v>455</v>
      </c>
      <c r="B1642" s="4" t="s">
        <v>456</v>
      </c>
      <c r="C1642" s="5">
        <v>2015</v>
      </c>
      <c r="D1642" s="4">
        <v>178000000</v>
      </c>
      <c r="E1642" s="4">
        <v>24000000</v>
      </c>
      <c r="F1642" s="4" t="str">
        <f>_xlfn.LET(_xlpm.r, _xlfn.XLOOKUP(Clean_Data[[#This Row],[Country_Code]], Metadata_Country!$A:$A, Metadata_Country!$B:$B, "Unknown"), IF(OR(_xlpm.r=0, _xlpm.r=""), "Regional Aggregate", _xlpm.r))</f>
        <v>Europe &amp; Central Asia</v>
      </c>
      <c r="G1642" s="4" t="str">
        <f>_xlfn.LET(_xlpm.ig, _xlfn.XLOOKUP(Clean_Data[[#This Row],[Country_Code]], Metadata_Country!$A:$A, Metadata_Country!$C:$C, "Unknown"), IF(OR(_xlpm.ig=0, _xlpm.ig=""), "Regional Aggregate", _xlpm.ig))</f>
        <v>High income</v>
      </c>
      <c r="H1642" s="4">
        <f>Clean_Data[[#This Row],[Exports_TIV]] - Clean_Data[[#This Row],[Imports_TIV]]</f>
        <v>154000000</v>
      </c>
      <c r="I1642" s="4">
        <f>Clean_Data[[#This Row],[Exports_TIV]] + Clean_Data[[#This Row],[Imports_TIV]]</f>
        <v>202000000</v>
      </c>
    </row>
    <row r="1643" spans="1:9">
      <c r="A1643" s="4" t="s">
        <v>83</v>
      </c>
      <c r="B1643" s="4" t="s">
        <v>84</v>
      </c>
      <c r="C1643" s="5">
        <v>2015</v>
      </c>
      <c r="D1643" s="4">
        <v>491000000</v>
      </c>
      <c r="E1643" s="4">
        <v>10000000</v>
      </c>
      <c r="F1643" s="4" t="str">
        <f>_xlfn.LET(_xlpm.r, _xlfn.XLOOKUP(Clean_Data[[#This Row],[Country_Code]], Metadata_Country!$A:$A, Metadata_Country!$B:$B, "Unknown"), IF(OR(_xlpm.r=0, _xlpm.r=""), "Regional Aggregate", _xlpm.r))</f>
        <v>Europe &amp; Central Asia</v>
      </c>
      <c r="G1643" s="4" t="str">
        <f>_xlfn.LET(_xlpm.ig, _xlfn.XLOOKUP(Clean_Data[[#This Row],[Country_Code]], Metadata_Country!$A:$A, Metadata_Country!$C:$C, "Unknown"), IF(OR(_xlpm.ig=0, _xlpm.ig=""), "Regional Aggregate", _xlpm.ig))</f>
        <v>High income</v>
      </c>
      <c r="H1643" s="4">
        <f>Clean_Data[[#This Row],[Exports_TIV]] - Clean_Data[[#This Row],[Imports_TIV]]</f>
        <v>481000000</v>
      </c>
      <c r="I1643" s="4">
        <f>Clean_Data[[#This Row],[Exports_TIV]] + Clean_Data[[#This Row],[Imports_TIV]]</f>
        <v>501000000</v>
      </c>
    </row>
    <row r="1644" spans="1:9">
      <c r="A1644" s="4" t="s">
        <v>463</v>
      </c>
      <c r="B1644" s="4" t="s">
        <v>464</v>
      </c>
      <c r="C1644" s="5">
        <v>2015</v>
      </c>
      <c r="D1644" s="4">
        <v>0</v>
      </c>
      <c r="E1644" s="4">
        <v>16000000</v>
      </c>
      <c r="F1644" s="4" t="str">
        <f>_xlfn.LET(_xlpm.r, _xlfn.XLOOKUP(Clean_Data[[#This Row],[Country_Code]], Metadata_Country!$A:$A, Metadata_Country!$B:$B, "Unknown"), IF(OR(_xlpm.r=0, _xlpm.r=""), "Regional Aggregate", _xlpm.r))</f>
        <v>Middle East &amp; North Africa</v>
      </c>
      <c r="G1644" s="4" t="str">
        <f>_xlfn.LET(_xlpm.ig, _xlfn.XLOOKUP(Clean_Data[[#This Row],[Country_Code]], Metadata_Country!$A:$A, Metadata_Country!$C:$C, "Unknown"), IF(OR(_xlpm.ig=0, _xlpm.ig=""), "Regional Aggregate", _xlpm.ig))</f>
        <v>Low income</v>
      </c>
      <c r="H1644" s="4">
        <f>Clean_Data[[#This Row],[Exports_TIV]] - Clean_Data[[#This Row],[Imports_TIV]]</f>
        <v>-16000000</v>
      </c>
      <c r="I1644" s="4">
        <f>Clean_Data[[#This Row],[Exports_TIV]] + Clean_Data[[#This Row],[Imports_TIV]]</f>
        <v>16000000</v>
      </c>
    </row>
    <row r="1645" spans="1:9">
      <c r="A1645" s="4" t="s">
        <v>501</v>
      </c>
      <c r="B1645" s="4" t="s">
        <v>502</v>
      </c>
      <c r="C1645" s="5">
        <v>2015</v>
      </c>
      <c r="D1645" s="4">
        <v>0</v>
      </c>
      <c r="E1645" s="4">
        <v>20000000</v>
      </c>
      <c r="F1645" s="4" t="str">
        <f>_xlfn.LET(_xlpm.r, _xlfn.XLOOKUP(Clean_Data[[#This Row],[Country_Code]], Metadata_Country!$A:$A, Metadata_Country!$B:$B, "Unknown"), IF(OR(_xlpm.r=0, _xlpm.r=""), "Regional Aggregate", _xlpm.r))</f>
        <v>Sub-Saharan Africa</v>
      </c>
      <c r="G1645" s="4" t="str">
        <f>_xlfn.LET(_xlpm.ig, _xlfn.XLOOKUP(Clean_Data[[#This Row],[Country_Code]], Metadata_Country!$A:$A, Metadata_Country!$C:$C, "Unknown"), IF(OR(_xlpm.ig=0, _xlpm.ig=""), "Regional Aggregate", _xlpm.ig))</f>
        <v>Lower middle income</v>
      </c>
      <c r="H1645" s="4">
        <f>Clean_Data[[#This Row],[Exports_TIV]] - Clean_Data[[#This Row],[Imports_TIV]]</f>
        <v>-20000000</v>
      </c>
      <c r="I1645" s="4">
        <f>Clean_Data[[#This Row],[Exports_TIV]] + Clean_Data[[#This Row],[Imports_TIV]]</f>
        <v>20000000</v>
      </c>
    </row>
    <row r="1646" spans="1:9">
      <c r="A1646" s="4" t="s">
        <v>475</v>
      </c>
      <c r="B1646" s="4" t="s">
        <v>476</v>
      </c>
      <c r="C1646" s="5">
        <v>2015</v>
      </c>
      <c r="D1646" s="4">
        <v>0</v>
      </c>
      <c r="E1646" s="4">
        <v>184000000</v>
      </c>
      <c r="F1646" s="4" t="str">
        <f>_xlfn.LET(_xlpm.r, _xlfn.XLOOKUP(Clean_Data[[#This Row],[Country_Code]], Metadata_Country!$A:$A, Metadata_Country!$B:$B, "Unknown"), IF(OR(_xlpm.r=0, _xlpm.r=""), "Regional Aggregate", _xlpm.r))</f>
        <v>East Asia &amp; Pacific</v>
      </c>
      <c r="G1646" s="4" t="str">
        <f>_xlfn.LET(_xlpm.ig, _xlfn.XLOOKUP(Clean_Data[[#This Row],[Country_Code]], Metadata_Country!$A:$A, Metadata_Country!$C:$C, "Unknown"), IF(OR(_xlpm.ig=0, _xlpm.ig=""), "Regional Aggregate", _xlpm.ig))</f>
        <v>Upper middle income</v>
      </c>
      <c r="H1646" s="4">
        <f>Clean_Data[[#This Row],[Exports_TIV]] - Clean_Data[[#This Row],[Imports_TIV]]</f>
        <v>-184000000</v>
      </c>
      <c r="I1646" s="4">
        <f>Clean_Data[[#This Row],[Exports_TIV]] + Clean_Data[[#This Row],[Imports_TIV]]</f>
        <v>184000000</v>
      </c>
    </row>
    <row r="1647" spans="1:9">
      <c r="A1647" s="4" t="s">
        <v>493</v>
      </c>
      <c r="B1647" s="4" t="s">
        <v>494</v>
      </c>
      <c r="C1647" s="5">
        <v>2015</v>
      </c>
      <c r="D1647" s="4">
        <v>0</v>
      </c>
      <c r="E1647" s="4">
        <v>46000000</v>
      </c>
      <c r="F1647" s="4" t="str">
        <f>_xlfn.LET(_xlpm.r, _xlfn.XLOOKUP(Clean_Data[[#This Row],[Country_Code]], Metadata_Country!$A:$A, Metadata_Country!$B:$B, "Unknown"), IF(OR(_xlpm.r=0, _xlpm.r=""), "Regional Aggregate", _xlpm.r))</f>
        <v>Latin America &amp; Caribbean</v>
      </c>
      <c r="G1647" s="4" t="str">
        <f>_xlfn.LET(_xlpm.ig, _xlfn.XLOOKUP(Clean_Data[[#This Row],[Country_Code]], Metadata_Country!$A:$A, Metadata_Country!$C:$C, "Unknown"), IF(OR(_xlpm.ig=0, _xlpm.ig=""), "Regional Aggregate", _xlpm.ig))</f>
        <v>High income</v>
      </c>
      <c r="H1647" s="4">
        <f>Clean_Data[[#This Row],[Exports_TIV]] - Clean_Data[[#This Row],[Imports_TIV]]</f>
        <v>-46000000</v>
      </c>
      <c r="I1647" s="4">
        <f>Clean_Data[[#This Row],[Exports_TIV]] + Clean_Data[[#This Row],[Imports_TIV]]</f>
        <v>46000000</v>
      </c>
    </row>
    <row r="1648" spans="1:9">
      <c r="A1648" s="4" t="s">
        <v>495</v>
      </c>
      <c r="B1648" s="4" t="s">
        <v>496</v>
      </c>
      <c r="C1648" s="5">
        <v>2015</v>
      </c>
      <c r="D1648" s="4">
        <v>0</v>
      </c>
      <c r="E1648" s="4">
        <v>7000000</v>
      </c>
      <c r="F1648" s="4" t="str">
        <f>_xlfn.LET(_xlpm.r, _xlfn.XLOOKUP(Clean_Data[[#This Row],[Country_Code]], Metadata_Country!$A:$A, Metadata_Country!$B:$B, "Unknown"), IF(OR(_xlpm.r=0, _xlpm.r=""), "Regional Aggregate", _xlpm.r))</f>
        <v>Middle East &amp; North Africa</v>
      </c>
      <c r="G1648" s="4" t="str">
        <f>_xlfn.LET(_xlpm.ig, _xlfn.XLOOKUP(Clean_Data[[#This Row],[Country_Code]], Metadata_Country!$A:$A, Metadata_Country!$C:$C, "Unknown"), IF(OR(_xlpm.ig=0, _xlpm.ig=""), "Regional Aggregate", _xlpm.ig))</f>
        <v>Lower middle income</v>
      </c>
      <c r="H1648" s="4">
        <f>Clean_Data[[#This Row],[Exports_TIV]] - Clean_Data[[#This Row],[Imports_TIV]]</f>
        <v>-7000000</v>
      </c>
      <c r="I1648" s="4">
        <f>Clean_Data[[#This Row],[Exports_TIV]] + Clean_Data[[#This Row],[Imports_TIV]]</f>
        <v>7000000</v>
      </c>
    </row>
    <row r="1649" spans="1:9">
      <c r="A1649" s="4" t="s">
        <v>497</v>
      </c>
      <c r="B1649" s="4" t="s">
        <v>498</v>
      </c>
      <c r="C1649" s="5">
        <v>2015</v>
      </c>
      <c r="D1649" s="4">
        <v>244000000</v>
      </c>
      <c r="E1649" s="4">
        <v>446000000</v>
      </c>
      <c r="F1649" s="4" t="str">
        <f>_xlfn.LET(_xlpm.r, _xlfn.XLOOKUP(Clean_Data[[#This Row],[Country_Code]], Metadata_Country!$A:$A, Metadata_Country!$B:$B, "Unknown"), IF(OR(_xlpm.r=0, _xlpm.r=""), "Regional Aggregate", _xlpm.r))</f>
        <v>Europe &amp; Central Asia</v>
      </c>
      <c r="G1649" s="4" t="str">
        <f>_xlfn.LET(_xlpm.ig, _xlfn.XLOOKUP(Clean_Data[[#This Row],[Country_Code]], Metadata_Country!$A:$A, Metadata_Country!$C:$C, "Unknown"), IF(OR(_xlpm.ig=0, _xlpm.ig=""), "Regional Aggregate", _xlpm.ig))</f>
        <v>Upper middle income</v>
      </c>
      <c r="H1649" s="4">
        <f>Clean_Data[[#This Row],[Exports_TIV]] - Clean_Data[[#This Row],[Imports_TIV]]</f>
        <v>-202000000</v>
      </c>
      <c r="I1649" s="4">
        <f>Clean_Data[[#This Row],[Exports_TIV]] + Clean_Data[[#This Row],[Imports_TIV]]</f>
        <v>690000000</v>
      </c>
    </row>
    <row r="1650" spans="1:9">
      <c r="A1650" s="4" t="s">
        <v>479</v>
      </c>
      <c r="B1650" s="4" t="s">
        <v>480</v>
      </c>
      <c r="C1650" s="5">
        <v>2015</v>
      </c>
      <c r="D1650" s="4">
        <v>0</v>
      </c>
      <c r="E1650" s="4">
        <v>169000000</v>
      </c>
      <c r="F1650" s="4" t="str">
        <f>_xlfn.LET(_xlpm.r, _xlfn.XLOOKUP(Clean_Data[[#This Row],[Country_Code]], Metadata_Country!$A:$A, Metadata_Country!$B:$B, "Unknown"), IF(OR(_xlpm.r=0, _xlpm.r=""), "Regional Aggregate", _xlpm.r))</f>
        <v>Europe &amp; Central Asia</v>
      </c>
      <c r="G1650" s="4" t="str">
        <f>_xlfn.LET(_xlpm.ig, _xlfn.XLOOKUP(Clean_Data[[#This Row],[Country_Code]], Metadata_Country!$A:$A, Metadata_Country!$C:$C, "Unknown"), IF(OR(_xlpm.ig=0, _xlpm.ig=""), "Regional Aggregate", _xlpm.ig))</f>
        <v>Upper middle income</v>
      </c>
      <c r="H1650" s="4">
        <f>Clean_Data[[#This Row],[Exports_TIV]] - Clean_Data[[#This Row],[Imports_TIV]]</f>
        <v>-169000000</v>
      </c>
      <c r="I1650" s="4">
        <f>Clean_Data[[#This Row],[Exports_TIV]] + Clean_Data[[#This Row],[Imports_TIV]]</f>
        <v>169000000</v>
      </c>
    </row>
    <row r="1651" spans="1:9">
      <c r="A1651" s="4" t="s">
        <v>503</v>
      </c>
      <c r="B1651" s="4" t="s">
        <v>504</v>
      </c>
      <c r="C1651" s="5">
        <v>2015</v>
      </c>
      <c r="D1651" s="4">
        <v>0</v>
      </c>
      <c r="E1651" s="4">
        <v>7000000</v>
      </c>
      <c r="F1651" s="4" t="str">
        <f>_xlfn.LET(_xlpm.r, _xlfn.XLOOKUP(Clean_Data[[#This Row],[Country_Code]], Metadata_Country!$A:$A, Metadata_Country!$B:$B, "Unknown"), IF(OR(_xlpm.r=0, _xlpm.r=""), "Regional Aggregate", _xlpm.r))</f>
        <v>Sub-Saharan Africa</v>
      </c>
      <c r="G1651" s="4" t="str">
        <f>_xlfn.LET(_xlpm.ig, _xlfn.XLOOKUP(Clean_Data[[#This Row],[Country_Code]], Metadata_Country!$A:$A, Metadata_Country!$C:$C, "Unknown"), IF(OR(_xlpm.ig=0, _xlpm.ig=""), "Regional Aggregate", _xlpm.ig))</f>
        <v>Low income</v>
      </c>
      <c r="H1651" s="4">
        <f>Clean_Data[[#This Row],[Exports_TIV]] - Clean_Data[[#This Row],[Imports_TIV]]</f>
        <v>-7000000</v>
      </c>
      <c r="I1651" s="4">
        <f>Clean_Data[[#This Row],[Exports_TIV]] + Clean_Data[[#This Row],[Imports_TIV]]</f>
        <v>7000000</v>
      </c>
    </row>
    <row r="1652" spans="1:9">
      <c r="A1652" s="4" t="s">
        <v>505</v>
      </c>
      <c r="B1652" s="4" t="s">
        <v>506</v>
      </c>
      <c r="C1652" s="5">
        <v>2015</v>
      </c>
      <c r="D1652" s="4">
        <v>303000000</v>
      </c>
      <c r="E1652" s="4">
        <v>22000000</v>
      </c>
      <c r="F1652" s="4" t="str">
        <f>_xlfn.LET(_xlpm.r, _xlfn.XLOOKUP(Clean_Data[[#This Row],[Country_Code]], Metadata_Country!$A:$A, Metadata_Country!$B:$B, "Unknown"), IF(OR(_xlpm.r=0, _xlpm.r=""), "Regional Aggregate", _xlpm.r))</f>
        <v>Europe &amp; Central Asia</v>
      </c>
      <c r="G1652" s="4" t="str">
        <f>_xlfn.LET(_xlpm.ig, _xlfn.XLOOKUP(Clean_Data[[#This Row],[Country_Code]], Metadata_Country!$A:$A, Metadata_Country!$C:$C, "Unknown"), IF(OR(_xlpm.ig=0, _xlpm.ig=""), "Regional Aggregate", _xlpm.ig))</f>
        <v>Upper middle income</v>
      </c>
      <c r="H1652" s="4">
        <f>Clean_Data[[#This Row],[Exports_TIV]] - Clean_Data[[#This Row],[Imports_TIV]]</f>
        <v>281000000</v>
      </c>
      <c r="I1652" s="4">
        <f>Clean_Data[[#This Row],[Exports_TIV]] + Clean_Data[[#This Row],[Imports_TIV]]</f>
        <v>325000000</v>
      </c>
    </row>
    <row r="1653" spans="1:9">
      <c r="A1653" s="4" t="s">
        <v>25</v>
      </c>
      <c r="B1653" s="4" t="s">
        <v>26</v>
      </c>
      <c r="C1653" s="5">
        <v>2015</v>
      </c>
      <c r="D1653" s="4">
        <v>143000000</v>
      </c>
      <c r="E1653" s="4">
        <v>1691000000</v>
      </c>
      <c r="F1653" s="4" t="str">
        <f>_xlfn.LET(_xlpm.r, _xlfn.XLOOKUP(Clean_Data[[#This Row],[Country_Code]], Metadata_Country!$A:$A, Metadata_Country!$B:$B, "Unknown"), IF(OR(_xlpm.r=0, _xlpm.r=""), "Regional Aggregate", _xlpm.r))</f>
        <v>Middle East &amp; North Africa</v>
      </c>
      <c r="G1653" s="4" t="str">
        <f>_xlfn.LET(_xlpm.ig, _xlfn.XLOOKUP(Clean_Data[[#This Row],[Country_Code]], Metadata_Country!$A:$A, Metadata_Country!$C:$C, "Unknown"), IF(OR(_xlpm.ig=0, _xlpm.ig=""), "Regional Aggregate", _xlpm.ig))</f>
        <v>High income</v>
      </c>
      <c r="H1653" s="4">
        <f>Clean_Data[[#This Row],[Exports_TIV]] - Clean_Data[[#This Row],[Imports_TIV]]</f>
        <v>-1548000000</v>
      </c>
      <c r="I1653" s="4">
        <f>Clean_Data[[#This Row],[Exports_TIV]] + Clean_Data[[#This Row],[Imports_TIV]]</f>
        <v>1834000000</v>
      </c>
    </row>
    <row r="1654" spans="1:9">
      <c r="A1654" s="4" t="s">
        <v>171</v>
      </c>
      <c r="B1654" s="4" t="s">
        <v>172</v>
      </c>
      <c r="C1654" s="5">
        <v>2015</v>
      </c>
      <c r="D1654" s="4">
        <v>1183000000</v>
      </c>
      <c r="E1654" s="4">
        <v>424000000</v>
      </c>
      <c r="F1654" s="4" t="str">
        <f>_xlfn.LET(_xlpm.r, _xlfn.XLOOKUP(Clean_Data[[#This Row],[Country_Code]], Metadata_Country!$A:$A, Metadata_Country!$B:$B, "Unknown"), IF(OR(_xlpm.r=0, _xlpm.r=""), "Regional Aggregate", _xlpm.r))</f>
        <v>Europe &amp; Central Asia</v>
      </c>
      <c r="G1654" s="4" t="str">
        <f>_xlfn.LET(_xlpm.ig, _xlfn.XLOOKUP(Clean_Data[[#This Row],[Country_Code]], Metadata_Country!$A:$A, Metadata_Country!$C:$C, "Unknown"), IF(OR(_xlpm.ig=0, _xlpm.ig=""), "Regional Aggregate", _xlpm.ig))</f>
        <v>High income</v>
      </c>
      <c r="H1654" s="4">
        <f>Clean_Data[[#This Row],[Exports_TIV]] - Clean_Data[[#This Row],[Imports_TIV]]</f>
        <v>759000000</v>
      </c>
      <c r="I1654" s="4">
        <f>Clean_Data[[#This Row],[Exports_TIV]] + Clean_Data[[#This Row],[Imports_TIV]]</f>
        <v>1607000000</v>
      </c>
    </row>
    <row r="1655" spans="1:9">
      <c r="A1655" s="4" t="s">
        <v>511</v>
      </c>
      <c r="B1655" s="4" t="s">
        <v>512</v>
      </c>
      <c r="C1655" s="5">
        <v>2015</v>
      </c>
      <c r="D1655" s="4">
        <v>10314000000</v>
      </c>
      <c r="E1655" s="4">
        <v>482000000</v>
      </c>
      <c r="F1655" s="4" t="str">
        <f>_xlfn.LET(_xlpm.r, _xlfn.XLOOKUP(Clean_Data[[#This Row],[Country_Code]], Metadata_Country!$A:$A, Metadata_Country!$B:$B, "Unknown"), IF(OR(_xlpm.r=0, _xlpm.r=""), "Regional Aggregate", _xlpm.r))</f>
        <v>North America</v>
      </c>
      <c r="G1655" s="4" t="str">
        <f>_xlfn.LET(_xlpm.ig, _xlfn.XLOOKUP(Clean_Data[[#This Row],[Country_Code]], Metadata_Country!$A:$A, Metadata_Country!$C:$C, "Unknown"), IF(OR(_xlpm.ig=0, _xlpm.ig=""), "Regional Aggregate", _xlpm.ig))</f>
        <v>High income</v>
      </c>
      <c r="H1655" s="4">
        <f>Clean_Data[[#This Row],[Exports_TIV]] - Clean_Data[[#This Row],[Imports_TIV]]</f>
        <v>9832000000</v>
      </c>
      <c r="I1655" s="4">
        <f>Clean_Data[[#This Row],[Exports_TIV]] + Clean_Data[[#This Row],[Imports_TIV]]</f>
        <v>10796000000</v>
      </c>
    </row>
    <row r="1656" spans="1:9">
      <c r="A1656" s="4" t="s">
        <v>507</v>
      </c>
      <c r="B1656" s="4" t="s">
        <v>508</v>
      </c>
      <c r="C1656" s="5">
        <v>2015</v>
      </c>
      <c r="D1656" s="4">
        <v>0</v>
      </c>
      <c r="E1656" s="4">
        <v>8210000000</v>
      </c>
      <c r="F1656" s="4" t="str">
        <f>_xlfn.LET(_xlpm.r, _xlfn.XLOOKUP(Clean_Data[[#This Row],[Country_Code]], Metadata_Country!$A:$A, Metadata_Country!$B:$B, "Unknown"), IF(OR(_xlpm.r=0, _xlpm.r=""), "Regional Aggregate", _xlpm.r))</f>
        <v>Regional Aggregate</v>
      </c>
      <c r="G1656" s="4" t="str">
        <f>_xlfn.LET(_xlpm.ig, _xlfn.XLOOKUP(Clean_Data[[#This Row],[Country_Code]], Metadata_Country!$A:$A, Metadata_Country!$C:$C, "Unknown"), IF(OR(_xlpm.ig=0, _xlpm.ig=""), "Regional Aggregate", _xlpm.ig))</f>
        <v>Regional Aggregate</v>
      </c>
      <c r="H1656" s="4">
        <f>Clean_Data[[#This Row],[Exports_TIV]] - Clean_Data[[#This Row],[Imports_TIV]]</f>
        <v>-8210000000</v>
      </c>
      <c r="I1656" s="4">
        <f>Clean_Data[[#This Row],[Exports_TIV]] + Clean_Data[[#This Row],[Imports_TIV]]</f>
        <v>8210000000</v>
      </c>
    </row>
    <row r="1657" spans="1:9">
      <c r="A1657" s="4" t="s">
        <v>509</v>
      </c>
      <c r="B1657" s="4" t="s">
        <v>510</v>
      </c>
      <c r="C1657" s="5">
        <v>2015</v>
      </c>
      <c r="D1657" s="4">
        <v>0</v>
      </c>
      <c r="E1657" s="4">
        <v>13000000</v>
      </c>
      <c r="F1657" s="4" t="str">
        <f>_xlfn.LET(_xlpm.r, _xlfn.XLOOKUP(Clean_Data[[#This Row],[Country_Code]], Metadata_Country!$A:$A, Metadata_Country!$B:$B, "Unknown"), IF(OR(_xlpm.r=0, _xlpm.r=""), "Regional Aggregate", _xlpm.r))</f>
        <v>Latin America &amp; Caribbean</v>
      </c>
      <c r="G1657" s="4" t="str">
        <f>_xlfn.LET(_xlpm.ig, _xlfn.XLOOKUP(Clean_Data[[#This Row],[Country_Code]], Metadata_Country!$A:$A, Metadata_Country!$C:$C, "Unknown"), IF(OR(_xlpm.ig=0, _xlpm.ig=""), "Regional Aggregate", _xlpm.ig))</f>
        <v>High income</v>
      </c>
      <c r="H1657" s="4">
        <f>Clean_Data[[#This Row],[Exports_TIV]] - Clean_Data[[#This Row],[Imports_TIV]]</f>
        <v>-13000000</v>
      </c>
      <c r="I1657" s="4">
        <f>Clean_Data[[#This Row],[Exports_TIV]] + Clean_Data[[#This Row],[Imports_TIV]]</f>
        <v>13000000</v>
      </c>
    </row>
    <row r="1658" spans="1:9">
      <c r="A1658" s="4" t="s">
        <v>513</v>
      </c>
      <c r="B1658" s="4" t="s">
        <v>514</v>
      </c>
      <c r="C1658" s="5">
        <v>2015</v>
      </c>
      <c r="D1658" s="4">
        <v>34000000</v>
      </c>
      <c r="E1658" s="4">
        <v>100000000</v>
      </c>
      <c r="F1658" s="4" t="str">
        <f>_xlfn.LET(_xlpm.r, _xlfn.XLOOKUP(Clean_Data[[#This Row],[Country_Code]], Metadata_Country!$A:$A, Metadata_Country!$B:$B, "Unknown"), IF(OR(_xlpm.r=0, _xlpm.r=""), "Regional Aggregate", _xlpm.r))</f>
        <v>Europe &amp; Central Asia</v>
      </c>
      <c r="G1658" s="4" t="str">
        <f>_xlfn.LET(_xlpm.ig, _xlfn.XLOOKUP(Clean_Data[[#This Row],[Country_Code]], Metadata_Country!$A:$A, Metadata_Country!$C:$C, "Unknown"), IF(OR(_xlpm.ig=0, _xlpm.ig=""), "Regional Aggregate", _xlpm.ig))</f>
        <v>Lower middle income</v>
      </c>
      <c r="H1658" s="4">
        <f>Clean_Data[[#This Row],[Exports_TIV]] - Clean_Data[[#This Row],[Imports_TIV]]</f>
        <v>-66000000</v>
      </c>
      <c r="I1658" s="4">
        <f>Clean_Data[[#This Row],[Exports_TIV]] + Clean_Data[[#This Row],[Imports_TIV]]</f>
        <v>134000000</v>
      </c>
    </row>
    <row r="1659" spans="1:9">
      <c r="A1659" s="4" t="s">
        <v>517</v>
      </c>
      <c r="B1659" s="4" t="s">
        <v>518</v>
      </c>
      <c r="C1659" s="5">
        <v>2015</v>
      </c>
      <c r="D1659" s="4">
        <v>0</v>
      </c>
      <c r="E1659" s="4">
        <v>138000000</v>
      </c>
      <c r="F1659" s="4" t="str">
        <f>_xlfn.LET(_xlpm.r, _xlfn.XLOOKUP(Clean_Data[[#This Row],[Country_Code]], Metadata_Country!$A:$A, Metadata_Country!$B:$B, "Unknown"), IF(OR(_xlpm.r=0, _xlpm.r=""), "Regional Aggregate", _xlpm.r))</f>
        <v>Latin America &amp; Caribbean</v>
      </c>
      <c r="G1659" s="4" t="str">
        <f>_xlfn.LET(_xlpm.ig, _xlfn.XLOOKUP(Clean_Data[[#This Row],[Country_Code]], Metadata_Country!$A:$A, Metadata_Country!$C:$C, "Unknown"), IF(OR(_xlpm.ig=0, _xlpm.ig=""), "Regional Aggregate", _xlpm.ig))</f>
        <v>Lower middle income</v>
      </c>
      <c r="H1659" s="4">
        <f>Clean_Data[[#This Row],[Exports_TIV]] - Clean_Data[[#This Row],[Imports_TIV]]</f>
        <v>-138000000</v>
      </c>
      <c r="I1659" s="4">
        <f>Clean_Data[[#This Row],[Exports_TIV]] + Clean_Data[[#This Row],[Imports_TIV]]</f>
        <v>138000000</v>
      </c>
    </row>
    <row r="1660" spans="1:9">
      <c r="A1660" s="4" t="s">
        <v>523</v>
      </c>
      <c r="B1660" s="4" t="s">
        <v>524</v>
      </c>
      <c r="C1660" s="5">
        <v>2015</v>
      </c>
      <c r="D1660" s="4">
        <v>0</v>
      </c>
      <c r="E1660" s="4">
        <v>869000000</v>
      </c>
      <c r="F1660" s="4" t="str">
        <f>_xlfn.LET(_xlpm.r, _xlfn.XLOOKUP(Clean_Data[[#This Row],[Country_Code]], Metadata_Country!$A:$A, Metadata_Country!$B:$B, "Unknown"), IF(OR(_xlpm.r=0, _xlpm.r=""), "Regional Aggregate", _xlpm.r))</f>
        <v>East Asia &amp; Pacific</v>
      </c>
      <c r="G1660" s="4" t="str">
        <f>_xlfn.LET(_xlpm.ig, _xlfn.XLOOKUP(Clean_Data[[#This Row],[Country_Code]], Metadata_Country!$A:$A, Metadata_Country!$C:$C, "Unknown"), IF(OR(_xlpm.ig=0, _xlpm.ig=""), "Regional Aggregate", _xlpm.ig))</f>
        <v>Upper middle income</v>
      </c>
      <c r="H1660" s="4">
        <f>Clean_Data[[#This Row],[Exports_TIV]] - Clean_Data[[#This Row],[Imports_TIV]]</f>
        <v>-869000000</v>
      </c>
      <c r="I1660" s="4">
        <f>Clean_Data[[#This Row],[Exports_TIV]] + Clean_Data[[#This Row],[Imports_TIV]]</f>
        <v>869000000</v>
      </c>
    </row>
    <row r="1661" spans="1:9">
      <c r="A1661" s="4" t="s">
        <v>527</v>
      </c>
      <c r="B1661" s="4" t="s">
        <v>528</v>
      </c>
      <c r="C1661" s="5">
        <v>2015</v>
      </c>
      <c r="D1661" s="4">
        <v>28722000000</v>
      </c>
      <c r="E1661" s="4">
        <v>28670000000</v>
      </c>
      <c r="F1661" s="4" t="str">
        <f>_xlfn.LET(_xlpm.r, _xlfn.XLOOKUP(Clean_Data[[#This Row],[Country_Code]], Metadata_Country!$A:$A, Metadata_Country!$B:$B, "Unknown"), IF(OR(_xlpm.r=0, _xlpm.r=""), "Regional Aggregate", _xlpm.r))</f>
        <v>Regional Aggregate</v>
      </c>
      <c r="G1661" s="4" t="str">
        <f>_xlfn.LET(_xlpm.ig, _xlfn.XLOOKUP(Clean_Data[[#This Row],[Country_Code]], Metadata_Country!$A:$A, Metadata_Country!$C:$C, "Unknown"), IF(OR(_xlpm.ig=0, _xlpm.ig=""), "Regional Aggregate", _xlpm.ig))</f>
        <v>Regional Aggregate</v>
      </c>
      <c r="H1661" s="4">
        <f>Clean_Data[[#This Row],[Exports_TIV]] - Clean_Data[[#This Row],[Imports_TIV]]</f>
        <v>52000000</v>
      </c>
      <c r="I1661" s="4">
        <f>Clean_Data[[#This Row],[Exports_TIV]] + Clean_Data[[#This Row],[Imports_TIV]]</f>
        <v>57392000000</v>
      </c>
    </row>
    <row r="1662" spans="1:9">
      <c r="A1662" s="4" t="s">
        <v>533</v>
      </c>
      <c r="B1662" s="4" t="s">
        <v>534</v>
      </c>
      <c r="C1662" s="5">
        <v>2015</v>
      </c>
      <c r="D1662" s="4">
        <v>0</v>
      </c>
      <c r="E1662" s="4">
        <v>33000000</v>
      </c>
      <c r="F1662" s="4" t="str">
        <f>_xlfn.LET(_xlpm.r, _xlfn.XLOOKUP(Clean_Data[[#This Row],[Country_Code]], Metadata_Country!$A:$A, Metadata_Country!$B:$B, "Unknown"), IF(OR(_xlpm.r=0, _xlpm.r=""), "Regional Aggregate", _xlpm.r))</f>
        <v>Middle East &amp; North Africa</v>
      </c>
      <c r="G1662" s="4" t="str">
        <f>_xlfn.LET(_xlpm.ig, _xlfn.XLOOKUP(Clean_Data[[#This Row],[Country_Code]], Metadata_Country!$A:$A, Metadata_Country!$C:$C, "Unknown"), IF(OR(_xlpm.ig=0, _xlpm.ig=""), "Regional Aggregate", _xlpm.ig))</f>
        <v>Low income</v>
      </c>
      <c r="H1662" s="4">
        <f>Clean_Data[[#This Row],[Exports_TIV]] - Clean_Data[[#This Row],[Imports_TIV]]</f>
        <v>-33000000</v>
      </c>
      <c r="I1662" s="4">
        <f>Clean_Data[[#This Row],[Exports_TIV]] + Clean_Data[[#This Row],[Imports_TIV]]</f>
        <v>33000000</v>
      </c>
    </row>
    <row r="1663" spans="1:9">
      <c r="A1663" s="4" t="s">
        <v>537</v>
      </c>
      <c r="B1663" s="4" t="s">
        <v>538</v>
      </c>
      <c r="C1663" s="5">
        <v>2015</v>
      </c>
      <c r="D1663" s="4">
        <v>0</v>
      </c>
      <c r="E1663" s="4">
        <v>15000000</v>
      </c>
      <c r="F1663" s="4" t="str">
        <f>_xlfn.LET(_xlpm.r, _xlfn.XLOOKUP(Clean_Data[[#This Row],[Country_Code]], Metadata_Country!$A:$A, Metadata_Country!$B:$B, "Unknown"), IF(OR(_xlpm.r=0, _xlpm.r=""), "Regional Aggregate", _xlpm.r))</f>
        <v>Sub-Saharan Africa</v>
      </c>
      <c r="G1663" s="4" t="str">
        <f>_xlfn.LET(_xlpm.ig, _xlfn.XLOOKUP(Clean_Data[[#This Row],[Country_Code]], Metadata_Country!$A:$A, Metadata_Country!$C:$C, "Unknown"), IF(OR(_xlpm.ig=0, _xlpm.ig=""), "Regional Aggregate", _xlpm.ig))</f>
        <v>Lower middle income</v>
      </c>
      <c r="H1663" s="4">
        <f>Clean_Data[[#This Row],[Exports_TIV]] - Clean_Data[[#This Row],[Imports_TIV]]</f>
        <v>-15000000</v>
      </c>
      <c r="I1663" s="4">
        <f>Clean_Data[[#This Row],[Exports_TIV]] + Clean_Data[[#This Row],[Imports_TIV]]</f>
        <v>15000000</v>
      </c>
    </row>
    <row r="1664" spans="1:9">
      <c r="A1664" s="4" t="s">
        <v>13</v>
      </c>
      <c r="B1664" s="4" t="s">
        <v>14</v>
      </c>
      <c r="C1664" s="5">
        <v>2014</v>
      </c>
      <c r="D1664" s="4">
        <v>0</v>
      </c>
      <c r="E1664" s="4">
        <v>323000000</v>
      </c>
      <c r="F1664" s="4" t="str">
        <f>_xlfn.LET(_xlpm.r, _xlfn.XLOOKUP(Clean_Data[[#This Row],[Country_Code]], Metadata_Country!$A:$A, Metadata_Country!$B:$B, "Unknown"), IF(OR(_xlpm.r=0, _xlpm.r=""), "Regional Aggregate", _xlpm.r))</f>
        <v>Middle East &amp; North Africa</v>
      </c>
      <c r="G1664" s="4" t="str">
        <f>_xlfn.LET(_xlpm.ig, _xlfn.XLOOKUP(Clean_Data[[#This Row],[Country_Code]], Metadata_Country!$A:$A, Metadata_Country!$C:$C, "Unknown"), IF(OR(_xlpm.ig=0, _xlpm.ig=""), "Regional Aggregate", _xlpm.ig))</f>
        <v>Low income</v>
      </c>
      <c r="H1664" s="4">
        <f>Clean_Data[[#This Row],[Exports_TIV]] - Clean_Data[[#This Row],[Imports_TIV]]</f>
        <v>-323000000</v>
      </c>
      <c r="I1664" s="4">
        <f>Clean_Data[[#This Row],[Exports_TIV]] + Clean_Data[[#This Row],[Imports_TIV]]</f>
        <v>323000000</v>
      </c>
    </row>
    <row r="1665" spans="1:9">
      <c r="A1665" s="4" t="s">
        <v>11</v>
      </c>
      <c r="B1665" s="4" t="s">
        <v>12</v>
      </c>
      <c r="C1665" s="5">
        <v>2014</v>
      </c>
      <c r="D1665" s="4">
        <v>0</v>
      </c>
      <c r="E1665" s="4">
        <v>308000000</v>
      </c>
      <c r="F1665" s="4" t="str">
        <f>_xlfn.LET(_xlpm.r, _xlfn.XLOOKUP(Clean_Data[[#This Row],[Country_Code]], Metadata_Country!$A:$A, Metadata_Country!$B:$B, "Unknown"), IF(OR(_xlpm.r=0, _xlpm.r=""), "Regional Aggregate", _xlpm.r))</f>
        <v>Regional Aggregate</v>
      </c>
      <c r="G1665" s="4" t="str">
        <f>_xlfn.LET(_xlpm.ig, _xlfn.XLOOKUP(Clean_Data[[#This Row],[Country_Code]], Metadata_Country!$A:$A, Metadata_Country!$C:$C, "Unknown"), IF(OR(_xlpm.ig=0, _xlpm.ig=""), "Regional Aggregate", _xlpm.ig))</f>
        <v>Regional Aggregate</v>
      </c>
      <c r="H1665" s="4">
        <f>Clean_Data[[#This Row],[Exports_TIV]] - Clean_Data[[#This Row],[Imports_TIV]]</f>
        <v>-308000000</v>
      </c>
      <c r="I1665" s="4">
        <f>Clean_Data[[#This Row],[Exports_TIV]] + Clean_Data[[#This Row],[Imports_TIV]]</f>
        <v>308000000</v>
      </c>
    </row>
    <row r="1666" spans="1:9">
      <c r="A1666" s="4" t="s">
        <v>15</v>
      </c>
      <c r="B1666" s="4" t="s">
        <v>16</v>
      </c>
      <c r="C1666" s="5">
        <v>2014</v>
      </c>
      <c r="D1666" s="4">
        <v>0</v>
      </c>
      <c r="E1666" s="4">
        <v>580000000</v>
      </c>
      <c r="F1666" s="4" t="str">
        <f>_xlfn.LET(_xlpm.r, _xlfn.XLOOKUP(Clean_Data[[#This Row],[Country_Code]], Metadata_Country!$A:$A, Metadata_Country!$B:$B, "Unknown"), IF(OR(_xlpm.r=0, _xlpm.r=""), "Regional Aggregate", _xlpm.r))</f>
        <v>Regional Aggregate</v>
      </c>
      <c r="G1666" s="4" t="str">
        <f>_xlfn.LET(_xlpm.ig, _xlfn.XLOOKUP(Clean_Data[[#This Row],[Country_Code]], Metadata_Country!$A:$A, Metadata_Country!$C:$C, "Unknown"), IF(OR(_xlpm.ig=0, _xlpm.ig=""), "Regional Aggregate", _xlpm.ig))</f>
        <v>Regional Aggregate</v>
      </c>
      <c r="H1666" s="4">
        <f>Clean_Data[[#This Row],[Exports_TIV]] - Clean_Data[[#This Row],[Imports_TIV]]</f>
        <v>-580000000</v>
      </c>
      <c r="I1666" s="4">
        <f>Clean_Data[[#This Row],[Exports_TIV]] + Clean_Data[[#This Row],[Imports_TIV]]</f>
        <v>580000000</v>
      </c>
    </row>
    <row r="1667" spans="1:9">
      <c r="A1667" s="4" t="s">
        <v>19</v>
      </c>
      <c r="B1667" s="4" t="s">
        <v>20</v>
      </c>
      <c r="C1667" s="5">
        <v>2014</v>
      </c>
      <c r="D1667" s="4">
        <v>0</v>
      </c>
      <c r="E1667" s="4">
        <v>7000000</v>
      </c>
      <c r="F1667" s="4" t="str">
        <f>_xlfn.LET(_xlpm.r, _xlfn.XLOOKUP(Clean_Data[[#This Row],[Country_Code]], Metadata_Country!$A:$A, Metadata_Country!$B:$B, "Unknown"), IF(OR(_xlpm.r=0, _xlpm.r=""), "Regional Aggregate", _xlpm.r))</f>
        <v>Europe &amp; Central Asia</v>
      </c>
      <c r="G1667" s="4" t="str">
        <f>_xlfn.LET(_xlpm.ig, _xlfn.XLOOKUP(Clean_Data[[#This Row],[Country_Code]], Metadata_Country!$A:$A, Metadata_Country!$C:$C, "Unknown"), IF(OR(_xlpm.ig=0, _xlpm.ig=""), "Regional Aggregate", _xlpm.ig))</f>
        <v>Upper middle income</v>
      </c>
      <c r="H1667" s="4">
        <f>Clean_Data[[#This Row],[Exports_TIV]] - Clean_Data[[#This Row],[Imports_TIV]]</f>
        <v>-7000000</v>
      </c>
      <c r="I1667" s="4">
        <f>Clean_Data[[#This Row],[Exports_TIV]] + Clean_Data[[#This Row],[Imports_TIV]]</f>
        <v>7000000</v>
      </c>
    </row>
    <row r="1668" spans="1:9">
      <c r="A1668" s="4" t="s">
        <v>129</v>
      </c>
      <c r="B1668" s="4" t="s">
        <v>130</v>
      </c>
      <c r="C1668" s="5">
        <v>2014</v>
      </c>
      <c r="D1668" s="4">
        <v>0</v>
      </c>
      <c r="E1668" s="4">
        <v>715000000</v>
      </c>
      <c r="F1668" s="4" t="str">
        <f>_xlfn.LET(_xlpm.r, _xlfn.XLOOKUP(Clean_Data[[#This Row],[Country_Code]], Metadata_Country!$A:$A, Metadata_Country!$B:$B, "Unknown"), IF(OR(_xlpm.r=0, _xlpm.r=""), "Regional Aggregate", _xlpm.r))</f>
        <v>Middle East &amp; North Africa</v>
      </c>
      <c r="G1668" s="4" t="str">
        <f>_xlfn.LET(_xlpm.ig, _xlfn.XLOOKUP(Clean_Data[[#This Row],[Country_Code]], Metadata_Country!$A:$A, Metadata_Country!$C:$C, "Unknown"), IF(OR(_xlpm.ig=0, _xlpm.ig=""), "Regional Aggregate", _xlpm.ig))</f>
        <v>Upper middle income</v>
      </c>
      <c r="H1668" s="4">
        <f>Clean_Data[[#This Row],[Exports_TIV]] - Clean_Data[[#This Row],[Imports_TIV]]</f>
        <v>-715000000</v>
      </c>
      <c r="I1668" s="4">
        <f>Clean_Data[[#This Row],[Exports_TIV]] + Clean_Data[[#This Row],[Imports_TIV]]</f>
        <v>715000000</v>
      </c>
    </row>
    <row r="1669" spans="1:9">
      <c r="A1669" s="4" t="s">
        <v>17</v>
      </c>
      <c r="B1669" s="4" t="s">
        <v>18</v>
      </c>
      <c r="C1669" s="5">
        <v>2014</v>
      </c>
      <c r="D1669" s="4">
        <v>0</v>
      </c>
      <c r="E1669" s="4">
        <v>2000000</v>
      </c>
      <c r="F1669" s="4" t="str">
        <f>_xlfn.LET(_xlpm.r, _xlfn.XLOOKUP(Clean_Data[[#This Row],[Country_Code]], Metadata_Country!$A:$A, Metadata_Country!$B:$B, "Unknown"), IF(OR(_xlpm.r=0, _xlpm.r=""), "Regional Aggregate", _xlpm.r))</f>
        <v>Sub-Saharan Africa</v>
      </c>
      <c r="G1669" s="4" t="str">
        <f>_xlfn.LET(_xlpm.ig, _xlfn.XLOOKUP(Clean_Data[[#This Row],[Country_Code]], Metadata_Country!$A:$A, Metadata_Country!$C:$C, "Unknown"), IF(OR(_xlpm.ig=0, _xlpm.ig=""), "Regional Aggregate", _xlpm.ig))</f>
        <v>Lower middle income</v>
      </c>
      <c r="H1669" s="4">
        <f>Clean_Data[[#This Row],[Exports_TIV]] - Clean_Data[[#This Row],[Imports_TIV]]</f>
        <v>-2000000</v>
      </c>
      <c r="I1669" s="4">
        <f>Clean_Data[[#This Row],[Exports_TIV]] + Clean_Data[[#This Row],[Imports_TIV]]</f>
        <v>2000000</v>
      </c>
    </row>
    <row r="1670" spans="1:9">
      <c r="A1670" s="4" t="s">
        <v>23</v>
      </c>
      <c r="B1670" s="4" t="s">
        <v>24</v>
      </c>
      <c r="C1670" s="5">
        <v>2014</v>
      </c>
      <c r="D1670" s="4">
        <v>0</v>
      </c>
      <c r="E1670" s="4">
        <v>7631000000</v>
      </c>
      <c r="F1670" s="4" t="str">
        <f>_xlfn.LET(_xlpm.r, _xlfn.XLOOKUP(Clean_Data[[#This Row],[Country_Code]], Metadata_Country!$A:$A, Metadata_Country!$B:$B, "Unknown"), IF(OR(_xlpm.r=0, _xlpm.r=""), "Regional Aggregate", _xlpm.r))</f>
        <v>Regional Aggregate</v>
      </c>
      <c r="G1670" s="4" t="str">
        <f>_xlfn.LET(_xlpm.ig, _xlfn.XLOOKUP(Clean_Data[[#This Row],[Country_Code]], Metadata_Country!$A:$A, Metadata_Country!$C:$C, "Unknown"), IF(OR(_xlpm.ig=0, _xlpm.ig=""), "Regional Aggregate", _xlpm.ig))</f>
        <v>Regional Aggregate</v>
      </c>
      <c r="H1670" s="4">
        <f>Clean_Data[[#This Row],[Exports_TIV]] - Clean_Data[[#This Row],[Imports_TIV]]</f>
        <v>-7631000000</v>
      </c>
      <c r="I1670" s="4">
        <f>Clean_Data[[#This Row],[Exports_TIV]] + Clean_Data[[#This Row],[Imports_TIV]]</f>
        <v>7631000000</v>
      </c>
    </row>
    <row r="1671" spans="1:9">
      <c r="A1671" s="4" t="s">
        <v>27</v>
      </c>
      <c r="B1671" s="4" t="s">
        <v>28</v>
      </c>
      <c r="C1671" s="5">
        <v>2014</v>
      </c>
      <c r="D1671" s="4">
        <v>0</v>
      </c>
      <c r="E1671" s="4">
        <v>6000000</v>
      </c>
      <c r="F1671" s="4" t="str">
        <f>_xlfn.LET(_xlpm.r, _xlfn.XLOOKUP(Clean_Data[[#This Row],[Country_Code]], Metadata_Country!$A:$A, Metadata_Country!$B:$B, "Unknown"), IF(OR(_xlpm.r=0, _xlpm.r=""), "Regional Aggregate", _xlpm.r))</f>
        <v>Latin America &amp; Caribbean</v>
      </c>
      <c r="G1671" s="4" t="str">
        <f>_xlfn.LET(_xlpm.ig, _xlfn.XLOOKUP(Clean_Data[[#This Row],[Country_Code]], Metadata_Country!$A:$A, Metadata_Country!$C:$C, "Unknown"), IF(OR(_xlpm.ig=0, _xlpm.ig=""), "Regional Aggregate", _xlpm.ig))</f>
        <v>Upper middle income</v>
      </c>
      <c r="H1671" s="4">
        <f>Clean_Data[[#This Row],[Exports_TIV]] - Clean_Data[[#This Row],[Imports_TIV]]</f>
        <v>-6000000</v>
      </c>
      <c r="I1671" s="4">
        <f>Clean_Data[[#This Row],[Exports_TIV]] + Clean_Data[[#This Row],[Imports_TIV]]</f>
        <v>6000000</v>
      </c>
    </row>
    <row r="1672" spans="1:9">
      <c r="A1672" s="4" t="s">
        <v>35</v>
      </c>
      <c r="B1672" s="4" t="s">
        <v>36</v>
      </c>
      <c r="C1672" s="5">
        <v>2014</v>
      </c>
      <c r="D1672" s="4">
        <v>94000000</v>
      </c>
      <c r="E1672" s="4">
        <v>848000000</v>
      </c>
      <c r="F1672" s="4" t="str">
        <f>_xlfn.LET(_xlpm.r, _xlfn.XLOOKUP(Clean_Data[[#This Row],[Country_Code]], Metadata_Country!$A:$A, Metadata_Country!$B:$B, "Unknown"), IF(OR(_xlpm.r=0, _xlpm.r=""), "Regional Aggregate", _xlpm.r))</f>
        <v>East Asia &amp; Pacific</v>
      </c>
      <c r="G1672" s="4" t="str">
        <f>_xlfn.LET(_xlpm.ig, _xlfn.XLOOKUP(Clean_Data[[#This Row],[Country_Code]], Metadata_Country!$A:$A, Metadata_Country!$C:$C, "Unknown"), IF(OR(_xlpm.ig=0, _xlpm.ig=""), "Regional Aggregate", _xlpm.ig))</f>
        <v>High income</v>
      </c>
      <c r="H1672" s="4">
        <f>Clean_Data[[#This Row],[Exports_TIV]] - Clean_Data[[#This Row],[Imports_TIV]]</f>
        <v>-754000000</v>
      </c>
      <c r="I1672" s="4">
        <f>Clean_Data[[#This Row],[Exports_TIV]] + Clean_Data[[#This Row],[Imports_TIV]]</f>
        <v>942000000</v>
      </c>
    </row>
    <row r="1673" spans="1:9">
      <c r="A1673" s="4" t="s">
        <v>37</v>
      </c>
      <c r="B1673" s="4" t="s">
        <v>38</v>
      </c>
      <c r="C1673" s="5">
        <v>2014</v>
      </c>
      <c r="D1673" s="4">
        <v>16000000</v>
      </c>
      <c r="E1673" s="4">
        <v>2000000</v>
      </c>
      <c r="F1673" s="4" t="str">
        <f>_xlfn.LET(_xlpm.r, _xlfn.XLOOKUP(Clean_Data[[#This Row],[Country_Code]], Metadata_Country!$A:$A, Metadata_Country!$B:$B, "Unknown"), IF(OR(_xlpm.r=0, _xlpm.r=""), "Regional Aggregate", _xlpm.r))</f>
        <v>Europe &amp; Central Asia</v>
      </c>
      <c r="G1673" s="4" t="str">
        <f>_xlfn.LET(_xlpm.ig, _xlfn.XLOOKUP(Clean_Data[[#This Row],[Country_Code]], Metadata_Country!$A:$A, Metadata_Country!$C:$C, "Unknown"), IF(OR(_xlpm.ig=0, _xlpm.ig=""), "Regional Aggregate", _xlpm.ig))</f>
        <v>High income</v>
      </c>
      <c r="H1673" s="4">
        <f>Clean_Data[[#This Row],[Exports_TIV]] - Clean_Data[[#This Row],[Imports_TIV]]</f>
        <v>14000000</v>
      </c>
      <c r="I1673" s="4">
        <f>Clean_Data[[#This Row],[Exports_TIV]] + Clean_Data[[#This Row],[Imports_TIV]]</f>
        <v>18000000</v>
      </c>
    </row>
    <row r="1674" spans="1:9">
      <c r="A1674" s="4" t="s">
        <v>39</v>
      </c>
      <c r="B1674" s="4" t="s">
        <v>40</v>
      </c>
      <c r="C1674" s="5">
        <v>2014</v>
      </c>
      <c r="D1674" s="4">
        <v>0</v>
      </c>
      <c r="E1674" s="4">
        <v>642000000</v>
      </c>
      <c r="F1674" s="4" t="str">
        <f>_xlfn.LET(_xlpm.r, _xlfn.XLOOKUP(Clean_Data[[#This Row],[Country_Code]], Metadata_Country!$A:$A, Metadata_Country!$B:$B, "Unknown"), IF(OR(_xlpm.r=0, _xlpm.r=""), "Regional Aggregate", _xlpm.r))</f>
        <v>Europe &amp; Central Asia</v>
      </c>
      <c r="G1674" s="4" t="str">
        <f>_xlfn.LET(_xlpm.ig, _xlfn.XLOOKUP(Clean_Data[[#This Row],[Country_Code]], Metadata_Country!$A:$A, Metadata_Country!$C:$C, "Unknown"), IF(OR(_xlpm.ig=0, _xlpm.ig=""), "Regional Aggregate", _xlpm.ig))</f>
        <v>Upper middle income</v>
      </c>
      <c r="H1674" s="4">
        <f>Clean_Data[[#This Row],[Exports_TIV]] - Clean_Data[[#This Row],[Imports_TIV]]</f>
        <v>-642000000</v>
      </c>
      <c r="I1674" s="4">
        <f>Clean_Data[[#This Row],[Exports_TIV]] + Clean_Data[[#This Row],[Imports_TIV]]</f>
        <v>642000000</v>
      </c>
    </row>
    <row r="1675" spans="1:9">
      <c r="A1675" s="4" t="s">
        <v>55</v>
      </c>
      <c r="B1675" s="4" t="s">
        <v>56</v>
      </c>
      <c r="C1675" s="5">
        <v>2014</v>
      </c>
      <c r="D1675" s="4">
        <v>0</v>
      </c>
      <c r="E1675" s="4">
        <v>30000000</v>
      </c>
      <c r="F1675" s="4" t="str">
        <f>_xlfn.LET(_xlpm.r, _xlfn.XLOOKUP(Clean_Data[[#This Row],[Country_Code]], Metadata_Country!$A:$A, Metadata_Country!$B:$B, "Unknown"), IF(OR(_xlpm.r=0, _xlpm.r=""), "Regional Aggregate", _xlpm.r))</f>
        <v>Latin America &amp; Caribbean</v>
      </c>
      <c r="G1675" s="4" t="str">
        <f>_xlfn.LET(_xlpm.ig, _xlfn.XLOOKUP(Clean_Data[[#This Row],[Country_Code]], Metadata_Country!$A:$A, Metadata_Country!$C:$C, "Unknown"), IF(OR(_xlpm.ig=0, _xlpm.ig=""), "Regional Aggregate", _xlpm.ig))</f>
        <v>High income</v>
      </c>
      <c r="H1675" s="4">
        <f>Clean_Data[[#This Row],[Exports_TIV]] - Clean_Data[[#This Row],[Imports_TIV]]</f>
        <v>-30000000</v>
      </c>
      <c r="I1675" s="4">
        <f>Clean_Data[[#This Row],[Exports_TIV]] + Clean_Data[[#This Row],[Imports_TIV]]</f>
        <v>30000000</v>
      </c>
    </row>
    <row r="1676" spans="1:9">
      <c r="A1676" s="4" t="s">
        <v>53</v>
      </c>
      <c r="B1676" s="4" t="s">
        <v>54</v>
      </c>
      <c r="C1676" s="5">
        <v>2014</v>
      </c>
      <c r="D1676" s="4">
        <v>0</v>
      </c>
      <c r="E1676" s="4">
        <v>1000000</v>
      </c>
      <c r="F1676" s="4" t="str">
        <f>_xlfn.LET(_xlpm.r, _xlfn.XLOOKUP(Clean_Data[[#This Row],[Country_Code]], Metadata_Country!$A:$A, Metadata_Country!$B:$B, "Unknown"), IF(OR(_xlpm.r=0, _xlpm.r=""), "Regional Aggregate", _xlpm.r))</f>
        <v>Middle East &amp; North Africa</v>
      </c>
      <c r="G1676" s="4" t="str">
        <f>_xlfn.LET(_xlpm.ig, _xlfn.XLOOKUP(Clean_Data[[#This Row],[Country_Code]], Metadata_Country!$A:$A, Metadata_Country!$C:$C, "Unknown"), IF(OR(_xlpm.ig=0, _xlpm.ig=""), "Regional Aggregate", _xlpm.ig))</f>
        <v>High income</v>
      </c>
      <c r="H1676" s="4">
        <f>Clean_Data[[#This Row],[Exports_TIV]] - Clean_Data[[#This Row],[Imports_TIV]]</f>
        <v>-1000000</v>
      </c>
      <c r="I1676" s="4">
        <f>Clean_Data[[#This Row],[Exports_TIV]] + Clean_Data[[#This Row],[Imports_TIV]]</f>
        <v>1000000</v>
      </c>
    </row>
    <row r="1677" spans="1:9">
      <c r="A1677" s="4" t="s">
        <v>49</v>
      </c>
      <c r="B1677" s="4" t="s">
        <v>50</v>
      </c>
      <c r="C1677" s="5">
        <v>2014</v>
      </c>
      <c r="D1677" s="4">
        <v>0</v>
      </c>
      <c r="E1677" s="4">
        <v>207000000</v>
      </c>
      <c r="F1677" s="4" t="str">
        <f>_xlfn.LET(_xlpm.r, _xlfn.XLOOKUP(Clean_Data[[#This Row],[Country_Code]], Metadata_Country!$A:$A, Metadata_Country!$B:$B, "Unknown"), IF(OR(_xlpm.r=0, _xlpm.r=""), "Regional Aggregate", _xlpm.r))</f>
        <v>South Asia</v>
      </c>
      <c r="G1677" s="4" t="str">
        <f>_xlfn.LET(_xlpm.ig, _xlfn.XLOOKUP(Clean_Data[[#This Row],[Country_Code]], Metadata_Country!$A:$A, Metadata_Country!$C:$C, "Unknown"), IF(OR(_xlpm.ig=0, _xlpm.ig=""), "Regional Aggregate", _xlpm.ig))</f>
        <v>Lower middle income</v>
      </c>
      <c r="H1677" s="4">
        <f>Clean_Data[[#This Row],[Exports_TIV]] - Clean_Data[[#This Row],[Imports_TIV]]</f>
        <v>-207000000</v>
      </c>
      <c r="I1677" s="4">
        <f>Clean_Data[[#This Row],[Exports_TIV]] + Clean_Data[[#This Row],[Imports_TIV]]</f>
        <v>207000000</v>
      </c>
    </row>
    <row r="1678" spans="1:9">
      <c r="A1678" s="4" t="s">
        <v>59</v>
      </c>
      <c r="B1678" s="4" t="s">
        <v>60</v>
      </c>
      <c r="C1678" s="5">
        <v>2014</v>
      </c>
      <c r="D1678" s="4">
        <v>101000000</v>
      </c>
      <c r="E1678" s="4">
        <v>66000000</v>
      </c>
      <c r="F1678" s="4" t="str">
        <f>_xlfn.LET(_xlpm.r, _xlfn.XLOOKUP(Clean_Data[[#This Row],[Country_Code]], Metadata_Country!$A:$A, Metadata_Country!$B:$B, "Unknown"), IF(OR(_xlpm.r=0, _xlpm.r=""), "Regional Aggregate", _xlpm.r))</f>
        <v>Europe &amp; Central Asia</v>
      </c>
      <c r="G1678" s="4" t="str">
        <f>_xlfn.LET(_xlpm.ig, _xlfn.XLOOKUP(Clean_Data[[#This Row],[Country_Code]], Metadata_Country!$A:$A, Metadata_Country!$C:$C, "Unknown"), IF(OR(_xlpm.ig=0, _xlpm.ig=""), "Regional Aggregate", _xlpm.ig))</f>
        <v>Upper middle income</v>
      </c>
      <c r="H1678" s="4">
        <f>Clean_Data[[#This Row],[Exports_TIV]] - Clean_Data[[#This Row],[Imports_TIV]]</f>
        <v>35000000</v>
      </c>
      <c r="I1678" s="4">
        <f>Clean_Data[[#This Row],[Exports_TIV]] + Clean_Data[[#This Row],[Imports_TIV]]</f>
        <v>167000000</v>
      </c>
    </row>
    <row r="1679" spans="1:9">
      <c r="A1679" s="4" t="s">
        <v>43</v>
      </c>
      <c r="B1679" s="4" t="s">
        <v>44</v>
      </c>
      <c r="C1679" s="5">
        <v>2014</v>
      </c>
      <c r="D1679" s="4">
        <v>10000000</v>
      </c>
      <c r="E1679" s="4">
        <v>99000000</v>
      </c>
      <c r="F1679" s="4" t="str">
        <f>_xlfn.LET(_xlpm.r, _xlfn.XLOOKUP(Clean_Data[[#This Row],[Country_Code]], Metadata_Country!$A:$A, Metadata_Country!$B:$B, "Unknown"), IF(OR(_xlpm.r=0, _xlpm.r=""), "Regional Aggregate", _xlpm.r))</f>
        <v>Europe &amp; Central Asia</v>
      </c>
      <c r="G1679" s="4" t="str">
        <f>_xlfn.LET(_xlpm.ig, _xlfn.XLOOKUP(Clean_Data[[#This Row],[Country_Code]], Metadata_Country!$A:$A, Metadata_Country!$C:$C, "Unknown"), IF(OR(_xlpm.ig=0, _xlpm.ig=""), "Regional Aggregate", _xlpm.ig))</f>
        <v>High income</v>
      </c>
      <c r="H1679" s="4">
        <f>Clean_Data[[#This Row],[Exports_TIV]] - Clean_Data[[#This Row],[Imports_TIV]]</f>
        <v>-89000000</v>
      </c>
      <c r="I1679" s="4">
        <f>Clean_Data[[#This Row],[Exports_TIV]] + Clean_Data[[#This Row],[Imports_TIV]]</f>
        <v>109000000</v>
      </c>
    </row>
    <row r="1680" spans="1:9">
      <c r="A1680" s="4" t="s">
        <v>65</v>
      </c>
      <c r="B1680" s="4" t="s">
        <v>66</v>
      </c>
      <c r="C1680" s="5">
        <v>2014</v>
      </c>
      <c r="D1680" s="4">
        <v>0</v>
      </c>
      <c r="E1680" s="4">
        <v>46000000</v>
      </c>
      <c r="F1680" s="4" t="str">
        <f>_xlfn.LET(_xlpm.r, _xlfn.XLOOKUP(Clean_Data[[#This Row],[Country_Code]], Metadata_Country!$A:$A, Metadata_Country!$B:$B, "Unknown"), IF(OR(_xlpm.r=0, _xlpm.r=""), "Regional Aggregate", _xlpm.r))</f>
        <v>Latin America &amp; Caribbean</v>
      </c>
      <c r="G1680" s="4" t="str">
        <f>_xlfn.LET(_xlpm.ig, _xlfn.XLOOKUP(Clean_Data[[#This Row],[Country_Code]], Metadata_Country!$A:$A, Metadata_Country!$C:$C, "Unknown"), IF(OR(_xlpm.ig=0, _xlpm.ig=""), "Regional Aggregate", _xlpm.ig))</f>
        <v>Lower middle income</v>
      </c>
      <c r="H1680" s="4">
        <f>Clean_Data[[#This Row],[Exports_TIV]] - Clean_Data[[#This Row],[Imports_TIV]]</f>
        <v>-46000000</v>
      </c>
      <c r="I1680" s="4">
        <f>Clean_Data[[#This Row],[Exports_TIV]] + Clean_Data[[#This Row],[Imports_TIV]]</f>
        <v>46000000</v>
      </c>
    </row>
    <row r="1681" spans="1:9">
      <c r="A1681" s="4" t="s">
        <v>67</v>
      </c>
      <c r="B1681" s="4" t="s">
        <v>68</v>
      </c>
      <c r="C1681" s="5">
        <v>2014</v>
      </c>
      <c r="D1681" s="4">
        <v>31000000</v>
      </c>
      <c r="E1681" s="4">
        <v>201000000</v>
      </c>
      <c r="F1681" s="4" t="str">
        <f>_xlfn.LET(_xlpm.r, _xlfn.XLOOKUP(Clean_Data[[#This Row],[Country_Code]], Metadata_Country!$A:$A, Metadata_Country!$B:$B, "Unknown"), IF(OR(_xlpm.r=0, _xlpm.r=""), "Regional Aggregate", _xlpm.r))</f>
        <v>Latin America &amp; Caribbean</v>
      </c>
      <c r="G1681" s="4" t="str">
        <f>_xlfn.LET(_xlpm.ig, _xlfn.XLOOKUP(Clean_Data[[#This Row],[Country_Code]], Metadata_Country!$A:$A, Metadata_Country!$C:$C, "Unknown"), IF(OR(_xlpm.ig=0, _xlpm.ig=""), "Regional Aggregate", _xlpm.ig))</f>
        <v>Upper middle income</v>
      </c>
      <c r="H1681" s="4">
        <f>Clean_Data[[#This Row],[Exports_TIV]] - Clean_Data[[#This Row],[Imports_TIV]]</f>
        <v>-170000000</v>
      </c>
      <c r="I1681" s="4">
        <f>Clean_Data[[#This Row],[Exports_TIV]] + Clean_Data[[#This Row],[Imports_TIV]]</f>
        <v>232000000</v>
      </c>
    </row>
    <row r="1682" spans="1:9">
      <c r="A1682" s="4" t="s">
        <v>71</v>
      </c>
      <c r="B1682" s="4" t="s">
        <v>72</v>
      </c>
      <c r="C1682" s="5">
        <v>2014</v>
      </c>
      <c r="D1682" s="4">
        <v>0</v>
      </c>
      <c r="E1682" s="4">
        <v>121000000</v>
      </c>
      <c r="F1682" s="4" t="str">
        <f>_xlfn.LET(_xlpm.r, _xlfn.XLOOKUP(Clean_Data[[#This Row],[Country_Code]], Metadata_Country!$A:$A, Metadata_Country!$B:$B, "Unknown"), IF(OR(_xlpm.r=0, _xlpm.r=""), "Regional Aggregate", _xlpm.r))</f>
        <v>East Asia &amp; Pacific</v>
      </c>
      <c r="G1682" s="4" t="str">
        <f>_xlfn.LET(_xlpm.ig, _xlfn.XLOOKUP(Clean_Data[[#This Row],[Country_Code]], Metadata_Country!$A:$A, Metadata_Country!$C:$C, "Unknown"), IF(OR(_xlpm.ig=0, _xlpm.ig=""), "Regional Aggregate", _xlpm.ig))</f>
        <v>High income</v>
      </c>
      <c r="H1682" s="4">
        <f>Clean_Data[[#This Row],[Exports_TIV]] - Clean_Data[[#This Row],[Imports_TIV]]</f>
        <v>-121000000</v>
      </c>
      <c r="I1682" s="4">
        <f>Clean_Data[[#This Row],[Exports_TIV]] + Clean_Data[[#This Row],[Imports_TIV]]</f>
        <v>121000000</v>
      </c>
    </row>
    <row r="1683" spans="1:9">
      <c r="A1683" s="4" t="s">
        <v>51</v>
      </c>
      <c r="B1683" s="4" t="s">
        <v>52</v>
      </c>
      <c r="C1683" s="5">
        <v>2014</v>
      </c>
      <c r="D1683" s="4">
        <v>23000000</v>
      </c>
      <c r="E1683" s="4">
        <v>0</v>
      </c>
      <c r="F1683" s="4" t="str">
        <f>_xlfn.LET(_xlpm.r, _xlfn.XLOOKUP(Clean_Data[[#This Row],[Country_Code]], Metadata_Country!$A:$A, Metadata_Country!$B:$B, "Unknown"), IF(OR(_xlpm.r=0, _xlpm.r=""), "Regional Aggregate", _xlpm.r))</f>
        <v>Europe &amp; Central Asia</v>
      </c>
      <c r="G1683" s="4" t="str">
        <f>_xlfn.LET(_xlpm.ig, _xlfn.XLOOKUP(Clean_Data[[#This Row],[Country_Code]], Metadata_Country!$A:$A, Metadata_Country!$C:$C, "Unknown"), IF(OR(_xlpm.ig=0, _xlpm.ig=""), "Regional Aggregate", _xlpm.ig))</f>
        <v>High income</v>
      </c>
      <c r="H1683" s="4">
        <f>Clean_Data[[#This Row],[Exports_TIV]] - Clean_Data[[#This Row],[Imports_TIV]]</f>
        <v>23000000</v>
      </c>
      <c r="I1683" s="4">
        <f>Clean_Data[[#This Row],[Exports_TIV]] + Clean_Data[[#This Row],[Imports_TIV]]</f>
        <v>23000000</v>
      </c>
    </row>
    <row r="1684" spans="1:9">
      <c r="A1684" s="4" t="s">
        <v>93</v>
      </c>
      <c r="B1684" s="4" t="s">
        <v>94</v>
      </c>
      <c r="C1684" s="5">
        <v>2014</v>
      </c>
      <c r="D1684" s="4">
        <v>0</v>
      </c>
      <c r="E1684" s="4">
        <v>124000000</v>
      </c>
      <c r="F1684" s="4" t="str">
        <f>_xlfn.LET(_xlpm.r, _xlfn.XLOOKUP(Clean_Data[[#This Row],[Country_Code]], Metadata_Country!$A:$A, Metadata_Country!$B:$B, "Unknown"), IF(OR(_xlpm.r=0, _xlpm.r=""), "Regional Aggregate", _xlpm.r))</f>
        <v>Sub-Saharan Africa</v>
      </c>
      <c r="G1684" s="4" t="str">
        <f>_xlfn.LET(_xlpm.ig, _xlfn.XLOOKUP(Clean_Data[[#This Row],[Country_Code]], Metadata_Country!$A:$A, Metadata_Country!$C:$C, "Unknown"), IF(OR(_xlpm.ig=0, _xlpm.ig=""), "Regional Aggregate", _xlpm.ig))</f>
        <v>Lower middle income</v>
      </c>
      <c r="H1684" s="4">
        <f>Clean_Data[[#This Row],[Exports_TIV]] - Clean_Data[[#This Row],[Imports_TIV]]</f>
        <v>-124000000</v>
      </c>
      <c r="I1684" s="4">
        <f>Clean_Data[[#This Row],[Exports_TIV]] + Clean_Data[[#This Row],[Imports_TIV]]</f>
        <v>124000000</v>
      </c>
    </row>
    <row r="1685" spans="1:9">
      <c r="A1685" s="4" t="s">
        <v>79</v>
      </c>
      <c r="B1685" s="4" t="s">
        <v>80</v>
      </c>
      <c r="C1685" s="5">
        <v>2014</v>
      </c>
      <c r="D1685" s="4">
        <v>189000000</v>
      </c>
      <c r="E1685" s="4">
        <v>316000000</v>
      </c>
      <c r="F1685" s="4" t="str">
        <f>_xlfn.LET(_xlpm.r, _xlfn.XLOOKUP(Clean_Data[[#This Row],[Country_Code]], Metadata_Country!$A:$A, Metadata_Country!$B:$B, "Unknown"), IF(OR(_xlpm.r=0, _xlpm.r=""), "Regional Aggregate", _xlpm.r))</f>
        <v>North America</v>
      </c>
      <c r="G1685" s="4" t="str">
        <f>_xlfn.LET(_xlpm.ig, _xlfn.XLOOKUP(Clean_Data[[#This Row],[Country_Code]], Metadata_Country!$A:$A, Metadata_Country!$C:$C, "Unknown"), IF(OR(_xlpm.ig=0, _xlpm.ig=""), "Regional Aggregate", _xlpm.ig))</f>
        <v>High income</v>
      </c>
      <c r="H1685" s="4">
        <f>Clean_Data[[#This Row],[Exports_TIV]] - Clean_Data[[#This Row],[Imports_TIV]]</f>
        <v>-127000000</v>
      </c>
      <c r="I1685" s="4">
        <f>Clean_Data[[#This Row],[Exports_TIV]] + Clean_Data[[#This Row],[Imports_TIV]]</f>
        <v>505000000</v>
      </c>
    </row>
    <row r="1686" spans="1:9">
      <c r="A1686" s="4" t="s">
        <v>81</v>
      </c>
      <c r="B1686" s="4" t="s">
        <v>82</v>
      </c>
      <c r="C1686" s="5">
        <v>2014</v>
      </c>
      <c r="D1686" s="4">
        <v>0</v>
      </c>
      <c r="E1686" s="4">
        <v>327000000</v>
      </c>
      <c r="F1686" s="4" t="str">
        <f>_xlfn.LET(_xlpm.r, _xlfn.XLOOKUP(Clean_Data[[#This Row],[Country_Code]], Metadata_Country!$A:$A, Metadata_Country!$B:$B, "Unknown"), IF(OR(_xlpm.r=0, _xlpm.r=""), "Regional Aggregate", _xlpm.r))</f>
        <v>Regional Aggregate</v>
      </c>
      <c r="G1686" s="4" t="str">
        <f>_xlfn.LET(_xlpm.ig, _xlfn.XLOOKUP(Clean_Data[[#This Row],[Country_Code]], Metadata_Country!$A:$A, Metadata_Country!$C:$C, "Unknown"), IF(OR(_xlpm.ig=0, _xlpm.ig=""), "Regional Aggregate", _xlpm.ig))</f>
        <v>Regional Aggregate</v>
      </c>
      <c r="H1686" s="4">
        <f>Clean_Data[[#This Row],[Exports_TIV]] - Clean_Data[[#This Row],[Imports_TIV]]</f>
        <v>-327000000</v>
      </c>
      <c r="I1686" s="4">
        <f>Clean_Data[[#This Row],[Exports_TIV]] + Clean_Data[[#This Row],[Imports_TIV]]</f>
        <v>327000000</v>
      </c>
    </row>
    <row r="1687" spans="1:9">
      <c r="A1687" s="4" t="s">
        <v>467</v>
      </c>
      <c r="B1687" s="4" t="s">
        <v>468</v>
      </c>
      <c r="C1687" s="5">
        <v>2014</v>
      </c>
      <c r="D1687" s="4">
        <v>0</v>
      </c>
      <c r="E1687" s="4">
        <v>58000000</v>
      </c>
      <c r="F1687" s="4" t="str">
        <f>_xlfn.LET(_xlpm.r, _xlfn.XLOOKUP(Clean_Data[[#This Row],[Country_Code]], Metadata_Country!$A:$A, Metadata_Country!$B:$B, "Unknown"), IF(OR(_xlpm.r=0, _xlpm.r=""), "Regional Aggregate", _xlpm.r))</f>
        <v>Sub-Saharan Africa</v>
      </c>
      <c r="G1687" s="4" t="str">
        <f>_xlfn.LET(_xlpm.ig, _xlfn.XLOOKUP(Clean_Data[[#This Row],[Country_Code]], Metadata_Country!$A:$A, Metadata_Country!$C:$C, "Unknown"), IF(OR(_xlpm.ig=0, _xlpm.ig=""), "Regional Aggregate", _xlpm.ig))</f>
        <v>Low income</v>
      </c>
      <c r="H1687" s="4">
        <f>Clean_Data[[#This Row],[Exports_TIV]] - Clean_Data[[#This Row],[Imports_TIV]]</f>
        <v>-58000000</v>
      </c>
      <c r="I1687" s="4">
        <f>Clean_Data[[#This Row],[Exports_TIV]] + Clean_Data[[#This Row],[Imports_TIV]]</f>
        <v>58000000</v>
      </c>
    </row>
    <row r="1688" spans="1:9">
      <c r="A1688" s="4" t="s">
        <v>87</v>
      </c>
      <c r="B1688" s="4" t="s">
        <v>88</v>
      </c>
      <c r="C1688" s="5">
        <v>2014</v>
      </c>
      <c r="D1688" s="4">
        <v>20000000</v>
      </c>
      <c r="E1688" s="4">
        <v>135000000</v>
      </c>
      <c r="F1688" s="4" t="str">
        <f>_xlfn.LET(_xlpm.r, _xlfn.XLOOKUP(Clean_Data[[#This Row],[Country_Code]], Metadata_Country!$A:$A, Metadata_Country!$B:$B, "Unknown"), IF(OR(_xlpm.r=0, _xlpm.r=""), "Regional Aggregate", _xlpm.r))</f>
        <v>Latin America &amp; Caribbean</v>
      </c>
      <c r="G1688" s="4" t="str">
        <f>_xlfn.LET(_xlpm.ig, _xlfn.XLOOKUP(Clean_Data[[#This Row],[Country_Code]], Metadata_Country!$A:$A, Metadata_Country!$C:$C, "Unknown"), IF(OR(_xlpm.ig=0, _xlpm.ig=""), "Regional Aggregate", _xlpm.ig))</f>
        <v>High income</v>
      </c>
      <c r="H1688" s="4">
        <f>Clean_Data[[#This Row],[Exports_TIV]] - Clean_Data[[#This Row],[Imports_TIV]]</f>
        <v>-115000000</v>
      </c>
      <c r="I1688" s="4">
        <f>Clean_Data[[#This Row],[Exports_TIV]] + Clean_Data[[#This Row],[Imports_TIV]]</f>
        <v>155000000</v>
      </c>
    </row>
    <row r="1689" spans="1:9">
      <c r="A1689" s="4" t="s">
        <v>89</v>
      </c>
      <c r="B1689" s="4" t="s">
        <v>90</v>
      </c>
      <c r="C1689" s="5">
        <v>2014</v>
      </c>
      <c r="D1689" s="4">
        <v>1353000000</v>
      </c>
      <c r="E1689" s="4">
        <v>1033000000</v>
      </c>
      <c r="F1689" s="4" t="str">
        <f>_xlfn.LET(_xlpm.r, _xlfn.XLOOKUP(Clean_Data[[#This Row],[Country_Code]], Metadata_Country!$A:$A, Metadata_Country!$B:$B, "Unknown"), IF(OR(_xlpm.r=0, _xlpm.r=""), "Regional Aggregate", _xlpm.r))</f>
        <v>East Asia &amp; Pacific</v>
      </c>
      <c r="G1689" s="4" t="str">
        <f>_xlfn.LET(_xlpm.ig, _xlfn.XLOOKUP(Clean_Data[[#This Row],[Country_Code]], Metadata_Country!$A:$A, Metadata_Country!$C:$C, "Unknown"), IF(OR(_xlpm.ig=0, _xlpm.ig=""), "Regional Aggregate", _xlpm.ig))</f>
        <v>Upper middle income</v>
      </c>
      <c r="H1689" s="4">
        <f>Clean_Data[[#This Row],[Exports_TIV]] - Clean_Data[[#This Row],[Imports_TIV]]</f>
        <v>320000000</v>
      </c>
      <c r="I1689" s="4">
        <f>Clean_Data[[#This Row],[Exports_TIV]] + Clean_Data[[#This Row],[Imports_TIV]]</f>
        <v>2386000000</v>
      </c>
    </row>
    <row r="1690" spans="1:9">
      <c r="A1690" s="4" t="s">
        <v>99</v>
      </c>
      <c r="B1690" s="4" t="s">
        <v>100</v>
      </c>
      <c r="C1690" s="5">
        <v>2014</v>
      </c>
      <c r="D1690" s="4">
        <v>0</v>
      </c>
      <c r="E1690" s="4">
        <v>170000000</v>
      </c>
      <c r="F1690" s="4" t="str">
        <f>_xlfn.LET(_xlpm.r, _xlfn.XLOOKUP(Clean_Data[[#This Row],[Country_Code]], Metadata_Country!$A:$A, Metadata_Country!$B:$B, "Unknown"), IF(OR(_xlpm.r=0, _xlpm.r=""), "Regional Aggregate", _xlpm.r))</f>
        <v>Latin America &amp; Caribbean</v>
      </c>
      <c r="G1690" s="4" t="str">
        <f>_xlfn.LET(_xlpm.ig, _xlfn.XLOOKUP(Clean_Data[[#This Row],[Country_Code]], Metadata_Country!$A:$A, Metadata_Country!$C:$C, "Unknown"), IF(OR(_xlpm.ig=0, _xlpm.ig=""), "Regional Aggregate", _xlpm.ig))</f>
        <v>Upper middle income</v>
      </c>
      <c r="H1690" s="4">
        <f>Clean_Data[[#This Row],[Exports_TIV]] - Clean_Data[[#This Row],[Imports_TIV]]</f>
        <v>-170000000</v>
      </c>
      <c r="I1690" s="4">
        <f>Clean_Data[[#This Row],[Exports_TIV]] + Clean_Data[[#This Row],[Imports_TIV]]</f>
        <v>170000000</v>
      </c>
    </row>
    <row r="1691" spans="1:9">
      <c r="A1691" s="4" t="s">
        <v>97</v>
      </c>
      <c r="B1691" s="4" t="s">
        <v>98</v>
      </c>
      <c r="C1691" s="5">
        <v>2014</v>
      </c>
      <c r="D1691" s="4">
        <v>0</v>
      </c>
      <c r="E1691" s="4">
        <v>6000000</v>
      </c>
      <c r="F1691" s="4" t="str">
        <f>_xlfn.LET(_xlpm.r, _xlfn.XLOOKUP(Clean_Data[[#This Row],[Country_Code]], Metadata_Country!$A:$A, Metadata_Country!$B:$B, "Unknown"), IF(OR(_xlpm.r=0, _xlpm.r=""), "Regional Aggregate", _xlpm.r))</f>
        <v>Sub-Saharan Africa</v>
      </c>
      <c r="G1691" s="4" t="str">
        <f>_xlfn.LET(_xlpm.ig, _xlfn.XLOOKUP(Clean_Data[[#This Row],[Country_Code]], Metadata_Country!$A:$A, Metadata_Country!$C:$C, "Unknown"), IF(OR(_xlpm.ig=0, _xlpm.ig=""), "Regional Aggregate", _xlpm.ig))</f>
        <v>Lower middle income</v>
      </c>
      <c r="H1691" s="4">
        <f>Clean_Data[[#This Row],[Exports_TIV]] - Clean_Data[[#This Row],[Imports_TIV]]</f>
        <v>-6000000</v>
      </c>
      <c r="I1691" s="4">
        <f>Clean_Data[[#This Row],[Exports_TIV]] + Clean_Data[[#This Row],[Imports_TIV]]</f>
        <v>6000000</v>
      </c>
    </row>
    <row r="1692" spans="1:9">
      <c r="A1692" s="4" t="s">
        <v>91</v>
      </c>
      <c r="B1692" s="4" t="s">
        <v>92</v>
      </c>
      <c r="C1692" s="5">
        <v>2014</v>
      </c>
      <c r="D1692" s="4">
        <v>0</v>
      </c>
      <c r="E1692" s="4">
        <v>6000000</v>
      </c>
      <c r="F1692" s="4" t="str">
        <f>_xlfn.LET(_xlpm.r, _xlfn.XLOOKUP(Clean_Data[[#This Row],[Country_Code]], Metadata_Country!$A:$A, Metadata_Country!$B:$B, "Unknown"), IF(OR(_xlpm.r=0, _xlpm.r=""), "Regional Aggregate", _xlpm.r))</f>
        <v>Sub-Saharan Africa</v>
      </c>
      <c r="G1692" s="4" t="str">
        <f>_xlfn.LET(_xlpm.ig, _xlfn.XLOOKUP(Clean_Data[[#This Row],[Country_Code]], Metadata_Country!$A:$A, Metadata_Country!$C:$C, "Unknown"), IF(OR(_xlpm.ig=0, _xlpm.ig=""), "Regional Aggregate", _xlpm.ig))</f>
        <v>Lower middle income</v>
      </c>
      <c r="H1692" s="4">
        <f>Clean_Data[[#This Row],[Exports_TIV]] - Clean_Data[[#This Row],[Imports_TIV]]</f>
        <v>-6000000</v>
      </c>
      <c r="I1692" s="4">
        <f>Clean_Data[[#This Row],[Exports_TIV]] + Clean_Data[[#This Row],[Imports_TIV]]</f>
        <v>6000000</v>
      </c>
    </row>
    <row r="1693" spans="1:9">
      <c r="A1693" s="4" t="s">
        <v>207</v>
      </c>
      <c r="B1693" s="4" t="s">
        <v>208</v>
      </c>
      <c r="C1693" s="5">
        <v>2014</v>
      </c>
      <c r="D1693" s="4">
        <v>0</v>
      </c>
      <c r="E1693" s="4">
        <v>27000000</v>
      </c>
      <c r="F1693" s="4" t="str">
        <f>_xlfn.LET(_xlpm.r, _xlfn.XLOOKUP(Clean_Data[[#This Row],[Country_Code]], Metadata_Country!$A:$A, Metadata_Country!$B:$B, "Unknown"), IF(OR(_xlpm.r=0, _xlpm.r=""), "Regional Aggregate", _xlpm.r))</f>
        <v>Europe &amp; Central Asia</v>
      </c>
      <c r="G1693" s="4" t="str">
        <f>_xlfn.LET(_xlpm.ig, _xlfn.XLOOKUP(Clean_Data[[#This Row],[Country_Code]], Metadata_Country!$A:$A, Metadata_Country!$C:$C, "Unknown"), IF(OR(_xlpm.ig=0, _xlpm.ig=""), "Regional Aggregate", _xlpm.ig))</f>
        <v>High income</v>
      </c>
      <c r="H1693" s="4">
        <f>Clean_Data[[#This Row],[Exports_TIV]] - Clean_Data[[#This Row],[Imports_TIV]]</f>
        <v>-27000000</v>
      </c>
      <c r="I1693" s="4">
        <f>Clean_Data[[#This Row],[Exports_TIV]] + Clean_Data[[#This Row],[Imports_TIV]]</f>
        <v>27000000</v>
      </c>
    </row>
    <row r="1694" spans="1:9">
      <c r="A1694" s="4" t="s">
        <v>117</v>
      </c>
      <c r="B1694" s="4" t="s">
        <v>118</v>
      </c>
      <c r="C1694" s="5">
        <v>2014</v>
      </c>
      <c r="D1694" s="4">
        <v>26000000</v>
      </c>
      <c r="E1694" s="4">
        <v>0</v>
      </c>
      <c r="F1694" s="4" t="str">
        <f>_xlfn.LET(_xlpm.r, _xlfn.XLOOKUP(Clean_Data[[#This Row],[Country_Code]], Metadata_Country!$A:$A, Metadata_Country!$B:$B, "Unknown"), IF(OR(_xlpm.r=0, _xlpm.r=""), "Regional Aggregate", _xlpm.r))</f>
        <v>Europe &amp; Central Asia</v>
      </c>
      <c r="G1694" s="4" t="str">
        <f>_xlfn.LET(_xlpm.ig, _xlfn.XLOOKUP(Clean_Data[[#This Row],[Country_Code]], Metadata_Country!$A:$A, Metadata_Country!$C:$C, "Unknown"), IF(OR(_xlpm.ig=0, _xlpm.ig=""), "Regional Aggregate", _xlpm.ig))</f>
        <v>High income</v>
      </c>
      <c r="H1694" s="4">
        <f>Clean_Data[[#This Row],[Exports_TIV]] - Clean_Data[[#This Row],[Imports_TIV]]</f>
        <v>26000000</v>
      </c>
      <c r="I1694" s="4">
        <f>Clean_Data[[#This Row],[Exports_TIV]] + Clean_Data[[#This Row],[Imports_TIV]]</f>
        <v>26000000</v>
      </c>
    </row>
    <row r="1695" spans="1:9">
      <c r="A1695" s="4" t="s">
        <v>125</v>
      </c>
      <c r="B1695" s="4" t="s">
        <v>126</v>
      </c>
      <c r="C1695" s="5">
        <v>2014</v>
      </c>
      <c r="D1695" s="4">
        <v>19000000</v>
      </c>
      <c r="E1695" s="4">
        <v>176000000</v>
      </c>
      <c r="F1695" s="4" t="str">
        <f>_xlfn.LET(_xlpm.r, _xlfn.XLOOKUP(Clean_Data[[#This Row],[Country_Code]], Metadata_Country!$A:$A, Metadata_Country!$B:$B, "Unknown"), IF(OR(_xlpm.r=0, _xlpm.r=""), "Regional Aggregate", _xlpm.r))</f>
        <v>Europe &amp; Central Asia</v>
      </c>
      <c r="G1695" s="4" t="str">
        <f>_xlfn.LET(_xlpm.ig, _xlfn.XLOOKUP(Clean_Data[[#This Row],[Country_Code]], Metadata_Country!$A:$A, Metadata_Country!$C:$C, "Unknown"), IF(OR(_xlpm.ig=0, _xlpm.ig=""), "Regional Aggregate", _xlpm.ig))</f>
        <v>High income</v>
      </c>
      <c r="H1695" s="4">
        <f>Clean_Data[[#This Row],[Exports_TIV]] - Clean_Data[[#This Row],[Imports_TIV]]</f>
        <v>-157000000</v>
      </c>
      <c r="I1695" s="4">
        <f>Clean_Data[[#This Row],[Exports_TIV]] + Clean_Data[[#This Row],[Imports_TIV]]</f>
        <v>195000000</v>
      </c>
    </row>
    <row r="1696" spans="1:9">
      <c r="A1696" s="4" t="s">
        <v>121</v>
      </c>
      <c r="B1696" s="4" t="s">
        <v>122</v>
      </c>
      <c r="C1696" s="5">
        <v>2014</v>
      </c>
      <c r="D1696" s="4">
        <v>0</v>
      </c>
      <c r="E1696" s="4">
        <v>15000000</v>
      </c>
      <c r="F1696" s="4" t="str">
        <f>_xlfn.LET(_xlpm.r, _xlfn.XLOOKUP(Clean_Data[[#This Row],[Country_Code]], Metadata_Country!$A:$A, Metadata_Country!$B:$B, "Unknown"), IF(OR(_xlpm.r=0, _xlpm.r=""), "Regional Aggregate", _xlpm.r))</f>
        <v>Middle East &amp; North Africa</v>
      </c>
      <c r="G1696" s="4" t="str">
        <f>_xlfn.LET(_xlpm.ig, _xlfn.XLOOKUP(Clean_Data[[#This Row],[Country_Code]], Metadata_Country!$A:$A, Metadata_Country!$C:$C, "Unknown"), IF(OR(_xlpm.ig=0, _xlpm.ig=""), "Regional Aggregate", _xlpm.ig))</f>
        <v>Lower middle income</v>
      </c>
      <c r="H1696" s="4">
        <f>Clean_Data[[#This Row],[Exports_TIV]] - Clean_Data[[#This Row],[Imports_TIV]]</f>
        <v>-15000000</v>
      </c>
      <c r="I1696" s="4">
        <f>Clean_Data[[#This Row],[Exports_TIV]] + Clean_Data[[#This Row],[Imports_TIV]]</f>
        <v>15000000</v>
      </c>
    </row>
    <row r="1697" spans="1:9">
      <c r="A1697" s="4" t="s">
        <v>133</v>
      </c>
      <c r="B1697" s="4" t="s">
        <v>134</v>
      </c>
      <c r="C1697" s="5">
        <v>2014</v>
      </c>
      <c r="D1697" s="4">
        <v>0</v>
      </c>
      <c r="E1697" s="4">
        <v>12661000000</v>
      </c>
      <c r="F1697" s="4" t="str">
        <f>_xlfn.LET(_xlpm.r, _xlfn.XLOOKUP(Clean_Data[[#This Row],[Country_Code]], Metadata_Country!$A:$A, Metadata_Country!$B:$B, "Unknown"), IF(OR(_xlpm.r=0, _xlpm.r=""), "Regional Aggregate", _xlpm.r))</f>
        <v>Regional Aggregate</v>
      </c>
      <c r="G1697" s="4" t="str">
        <f>_xlfn.LET(_xlpm.ig, _xlfn.XLOOKUP(Clean_Data[[#This Row],[Country_Code]], Metadata_Country!$A:$A, Metadata_Country!$C:$C, "Unknown"), IF(OR(_xlpm.ig=0, _xlpm.ig=""), "Regional Aggregate", _xlpm.ig))</f>
        <v>Regional Aggregate</v>
      </c>
      <c r="H1697" s="4">
        <f>Clean_Data[[#This Row],[Exports_TIV]] - Clean_Data[[#This Row],[Imports_TIV]]</f>
        <v>-12661000000</v>
      </c>
      <c r="I1697" s="4">
        <f>Clean_Data[[#This Row],[Exports_TIV]] + Clean_Data[[#This Row],[Imports_TIV]]</f>
        <v>12661000000</v>
      </c>
    </row>
    <row r="1698" spans="1:9">
      <c r="A1698" s="4" t="s">
        <v>135</v>
      </c>
      <c r="B1698" s="4" t="s">
        <v>136</v>
      </c>
      <c r="C1698" s="5">
        <v>2014</v>
      </c>
      <c r="D1698" s="4">
        <v>0</v>
      </c>
      <c r="E1698" s="4">
        <v>7021000000</v>
      </c>
      <c r="F1698" s="4" t="str">
        <f>_xlfn.LET(_xlpm.r, _xlfn.XLOOKUP(Clean_Data[[#This Row],[Country_Code]], Metadata_Country!$A:$A, Metadata_Country!$B:$B, "Unknown"), IF(OR(_xlpm.r=0, _xlpm.r=""), "Regional Aggregate", _xlpm.r))</f>
        <v>Regional Aggregate</v>
      </c>
      <c r="G1698" s="4" t="str">
        <f>_xlfn.LET(_xlpm.ig, _xlfn.XLOOKUP(Clean_Data[[#This Row],[Country_Code]], Metadata_Country!$A:$A, Metadata_Country!$C:$C, "Unknown"), IF(OR(_xlpm.ig=0, _xlpm.ig=""), "Regional Aggregate", _xlpm.ig))</f>
        <v>Regional Aggregate</v>
      </c>
      <c r="H1698" s="4">
        <f>Clean_Data[[#This Row],[Exports_TIV]] - Clean_Data[[#This Row],[Imports_TIV]]</f>
        <v>-7021000000</v>
      </c>
      <c r="I1698" s="4">
        <f>Clean_Data[[#This Row],[Exports_TIV]] + Clean_Data[[#This Row],[Imports_TIV]]</f>
        <v>7021000000</v>
      </c>
    </row>
    <row r="1699" spans="1:9">
      <c r="A1699" s="4" t="s">
        <v>131</v>
      </c>
      <c r="B1699" s="4" t="s">
        <v>132</v>
      </c>
      <c r="C1699" s="5">
        <v>2014</v>
      </c>
      <c r="D1699" s="4">
        <v>1369000000</v>
      </c>
      <c r="E1699" s="4">
        <v>3762000000</v>
      </c>
      <c r="F1699" s="4" t="str">
        <f>_xlfn.LET(_xlpm.r, _xlfn.XLOOKUP(Clean_Data[[#This Row],[Country_Code]], Metadata_Country!$A:$A, Metadata_Country!$B:$B, "Unknown"), IF(OR(_xlpm.r=0, _xlpm.r=""), "Regional Aggregate", _xlpm.r))</f>
        <v>Regional Aggregate</v>
      </c>
      <c r="G1699" s="4" t="str">
        <f>_xlfn.LET(_xlpm.ig, _xlfn.XLOOKUP(Clean_Data[[#This Row],[Country_Code]], Metadata_Country!$A:$A, Metadata_Country!$C:$C, "Unknown"), IF(OR(_xlpm.ig=0, _xlpm.ig=""), "Regional Aggregate", _xlpm.ig))</f>
        <v>Regional Aggregate</v>
      </c>
      <c r="H1699" s="4">
        <f>Clean_Data[[#This Row],[Exports_TIV]] - Clean_Data[[#This Row],[Imports_TIV]]</f>
        <v>-2393000000</v>
      </c>
      <c r="I1699" s="4">
        <f>Clean_Data[[#This Row],[Exports_TIV]] + Clean_Data[[#This Row],[Imports_TIV]]</f>
        <v>5131000000</v>
      </c>
    </row>
    <row r="1700" spans="1:9">
      <c r="A1700" s="4" t="s">
        <v>469</v>
      </c>
      <c r="B1700" s="4" t="s">
        <v>470</v>
      </c>
      <c r="C1700" s="5">
        <v>2014</v>
      </c>
      <c r="D1700" s="4">
        <v>1368000000</v>
      </c>
      <c r="E1700" s="4">
        <v>3762000000</v>
      </c>
      <c r="F1700" s="4" t="str">
        <f>_xlfn.LET(_xlpm.r, _xlfn.XLOOKUP(Clean_Data[[#This Row],[Country_Code]], Metadata_Country!$A:$A, Metadata_Country!$B:$B, "Unknown"), IF(OR(_xlpm.r=0, _xlpm.r=""), "Regional Aggregate", _xlpm.r))</f>
        <v>Regional Aggregate</v>
      </c>
      <c r="G1700" s="4" t="str">
        <f>_xlfn.LET(_xlpm.ig, _xlfn.XLOOKUP(Clean_Data[[#This Row],[Country_Code]], Metadata_Country!$A:$A, Metadata_Country!$C:$C, "Unknown"), IF(OR(_xlpm.ig=0, _xlpm.ig=""), "Regional Aggregate", _xlpm.ig))</f>
        <v>Regional Aggregate</v>
      </c>
      <c r="H1700" s="4">
        <f>Clean_Data[[#This Row],[Exports_TIV]] - Clean_Data[[#This Row],[Imports_TIV]]</f>
        <v>-2394000000</v>
      </c>
      <c r="I1700" s="4">
        <f>Clean_Data[[#This Row],[Exports_TIV]] + Clean_Data[[#This Row],[Imports_TIV]]</f>
        <v>5130000000</v>
      </c>
    </row>
    <row r="1701" spans="1:9">
      <c r="A1701" s="4" t="s">
        <v>141</v>
      </c>
      <c r="B1701" s="4" t="s">
        <v>142</v>
      </c>
      <c r="C1701" s="5">
        <v>2014</v>
      </c>
      <c r="D1701" s="4">
        <v>6000000</v>
      </c>
      <c r="E1701" s="4">
        <v>56000000</v>
      </c>
      <c r="F1701" s="4" t="str">
        <f>_xlfn.LET(_xlpm.r, _xlfn.XLOOKUP(Clean_Data[[#This Row],[Country_Code]], Metadata_Country!$A:$A, Metadata_Country!$B:$B, "Unknown"), IF(OR(_xlpm.r=0, _xlpm.r=""), "Regional Aggregate", _xlpm.r))</f>
        <v>Latin America &amp; Caribbean</v>
      </c>
      <c r="G1701" s="4" t="str">
        <f>_xlfn.LET(_xlpm.ig, _xlfn.XLOOKUP(Clean_Data[[#This Row],[Country_Code]], Metadata_Country!$A:$A, Metadata_Country!$C:$C, "Unknown"), IF(OR(_xlpm.ig=0, _xlpm.ig=""), "Regional Aggregate", _xlpm.ig))</f>
        <v>Upper middle income</v>
      </c>
      <c r="H1701" s="4">
        <f>Clean_Data[[#This Row],[Exports_TIV]] - Clean_Data[[#This Row],[Imports_TIV]]</f>
        <v>-50000000</v>
      </c>
      <c r="I1701" s="4">
        <f>Clean_Data[[#This Row],[Exports_TIV]] + Clean_Data[[#This Row],[Imports_TIV]]</f>
        <v>62000000</v>
      </c>
    </row>
    <row r="1702" spans="1:9">
      <c r="A1702" s="4" t="s">
        <v>143</v>
      </c>
      <c r="B1702" s="4" t="s">
        <v>144</v>
      </c>
      <c r="C1702" s="5">
        <v>2014</v>
      </c>
      <c r="D1702" s="4">
        <v>7000000</v>
      </c>
      <c r="E1702" s="4">
        <v>430000000</v>
      </c>
      <c r="F1702" s="4" t="str">
        <f>_xlfn.LET(_xlpm.r, _xlfn.XLOOKUP(Clean_Data[[#This Row],[Country_Code]], Metadata_Country!$A:$A, Metadata_Country!$B:$B, "Unknown"), IF(OR(_xlpm.r=0, _xlpm.r=""), "Regional Aggregate", _xlpm.r))</f>
        <v>Middle East &amp; North Africa</v>
      </c>
      <c r="G1702" s="4" t="str">
        <f>_xlfn.LET(_xlpm.ig, _xlfn.XLOOKUP(Clean_Data[[#This Row],[Country_Code]], Metadata_Country!$A:$A, Metadata_Country!$C:$C, "Unknown"), IF(OR(_xlpm.ig=0, _xlpm.ig=""), "Regional Aggregate", _xlpm.ig))</f>
        <v>Lower middle income</v>
      </c>
      <c r="H1702" s="4">
        <f>Clean_Data[[#This Row],[Exports_TIV]] - Clean_Data[[#This Row],[Imports_TIV]]</f>
        <v>-423000000</v>
      </c>
      <c r="I1702" s="4">
        <f>Clean_Data[[#This Row],[Exports_TIV]] + Clean_Data[[#This Row],[Imports_TIV]]</f>
        <v>437000000</v>
      </c>
    </row>
    <row r="1703" spans="1:9">
      <c r="A1703" s="4" t="s">
        <v>431</v>
      </c>
      <c r="B1703" s="4" t="s">
        <v>432</v>
      </c>
      <c r="C1703" s="5">
        <v>2014</v>
      </c>
      <c r="D1703" s="4">
        <v>0</v>
      </c>
      <c r="E1703" s="4">
        <v>21000000</v>
      </c>
      <c r="F1703" s="4" t="str">
        <f>_xlfn.LET(_xlpm.r, _xlfn.XLOOKUP(Clean_Data[[#This Row],[Country_Code]], Metadata_Country!$A:$A, Metadata_Country!$B:$B, "Unknown"), IF(OR(_xlpm.r=0, _xlpm.r=""), "Regional Aggregate", _xlpm.r))</f>
        <v>Latin America &amp; Caribbean</v>
      </c>
      <c r="G1703" s="4" t="str">
        <f>_xlfn.LET(_xlpm.ig, _xlfn.XLOOKUP(Clean_Data[[#This Row],[Country_Code]], Metadata_Country!$A:$A, Metadata_Country!$C:$C, "Unknown"), IF(OR(_xlpm.ig=0, _xlpm.ig=""), "Regional Aggregate", _xlpm.ig))</f>
        <v>Upper middle income</v>
      </c>
      <c r="H1703" s="4">
        <f>Clean_Data[[#This Row],[Exports_TIV]] - Clean_Data[[#This Row],[Imports_TIV]]</f>
        <v>-21000000</v>
      </c>
      <c r="I1703" s="4">
        <f>Clean_Data[[#This Row],[Exports_TIV]] + Clean_Data[[#This Row],[Imports_TIV]]</f>
        <v>21000000</v>
      </c>
    </row>
    <row r="1704" spans="1:9">
      <c r="A1704" s="4" t="s">
        <v>185</v>
      </c>
      <c r="B1704" s="4" t="s">
        <v>186</v>
      </c>
      <c r="C1704" s="5">
        <v>2014</v>
      </c>
      <c r="D1704" s="4">
        <v>0</v>
      </c>
      <c r="E1704" s="4">
        <v>92000000</v>
      </c>
      <c r="F1704" s="4" t="str">
        <f>_xlfn.LET(_xlpm.r, _xlfn.XLOOKUP(Clean_Data[[#This Row],[Country_Code]], Metadata_Country!$A:$A, Metadata_Country!$B:$B, "Unknown"), IF(OR(_xlpm.r=0, _xlpm.r=""), "Regional Aggregate", _xlpm.r))</f>
        <v>Sub-Saharan Africa</v>
      </c>
      <c r="G1704" s="4" t="str">
        <f>_xlfn.LET(_xlpm.ig, _xlfn.XLOOKUP(Clean_Data[[#This Row],[Country_Code]], Metadata_Country!$A:$A, Metadata_Country!$C:$C, "Unknown"), IF(OR(_xlpm.ig=0, _xlpm.ig=""), "Regional Aggregate", _xlpm.ig))</f>
        <v>Upper middle income</v>
      </c>
      <c r="H1704" s="4">
        <f>Clean_Data[[#This Row],[Exports_TIV]] - Clean_Data[[#This Row],[Imports_TIV]]</f>
        <v>-92000000</v>
      </c>
      <c r="I1704" s="4">
        <f>Clean_Data[[#This Row],[Exports_TIV]] + Clean_Data[[#This Row],[Imports_TIV]]</f>
        <v>92000000</v>
      </c>
    </row>
    <row r="1705" spans="1:9">
      <c r="A1705" s="4" t="s">
        <v>151</v>
      </c>
      <c r="B1705" s="4" t="s">
        <v>152</v>
      </c>
      <c r="C1705" s="5">
        <v>2014</v>
      </c>
      <c r="D1705" s="4">
        <v>0</v>
      </c>
      <c r="E1705" s="4">
        <v>2000000</v>
      </c>
      <c r="F1705" s="4" t="str">
        <f>_xlfn.LET(_xlpm.r, _xlfn.XLOOKUP(Clean_Data[[#This Row],[Country_Code]], Metadata_Country!$A:$A, Metadata_Country!$B:$B, "Unknown"), IF(OR(_xlpm.r=0, _xlpm.r=""), "Regional Aggregate", _xlpm.r))</f>
        <v>Europe &amp; Central Asia</v>
      </c>
      <c r="G1705" s="4" t="str">
        <f>_xlfn.LET(_xlpm.ig, _xlfn.XLOOKUP(Clean_Data[[#This Row],[Country_Code]], Metadata_Country!$A:$A, Metadata_Country!$C:$C, "Unknown"), IF(OR(_xlpm.ig=0, _xlpm.ig=""), "Regional Aggregate", _xlpm.ig))</f>
        <v>High income</v>
      </c>
      <c r="H1705" s="4">
        <f>Clean_Data[[#This Row],[Exports_TIV]] - Clean_Data[[#This Row],[Imports_TIV]]</f>
        <v>-2000000</v>
      </c>
      <c r="I1705" s="4">
        <f>Clean_Data[[#This Row],[Exports_TIV]] + Clean_Data[[#This Row],[Imports_TIV]]</f>
        <v>2000000</v>
      </c>
    </row>
    <row r="1706" spans="1:9">
      <c r="A1706" s="4" t="s">
        <v>153</v>
      </c>
      <c r="B1706" s="4" t="s">
        <v>154</v>
      </c>
      <c r="C1706" s="5">
        <v>2014</v>
      </c>
      <c r="D1706" s="4">
        <v>0</v>
      </c>
      <c r="E1706" s="4">
        <v>33000000</v>
      </c>
      <c r="F1706" s="4" t="str">
        <f>_xlfn.LET(_xlpm.r, _xlfn.XLOOKUP(Clean_Data[[#This Row],[Country_Code]], Metadata_Country!$A:$A, Metadata_Country!$B:$B, "Unknown"), IF(OR(_xlpm.r=0, _xlpm.r=""), "Regional Aggregate", _xlpm.r))</f>
        <v>Sub-Saharan Africa</v>
      </c>
      <c r="G1706" s="4" t="str">
        <f>_xlfn.LET(_xlpm.ig, _xlfn.XLOOKUP(Clean_Data[[#This Row],[Country_Code]], Metadata_Country!$A:$A, Metadata_Country!$C:$C, "Unknown"), IF(OR(_xlpm.ig=0, _xlpm.ig=""), "Regional Aggregate", _xlpm.ig))</f>
        <v>Low income</v>
      </c>
      <c r="H1706" s="4">
        <f>Clean_Data[[#This Row],[Exports_TIV]] - Clean_Data[[#This Row],[Imports_TIV]]</f>
        <v>-33000000</v>
      </c>
      <c r="I1706" s="4">
        <f>Clean_Data[[#This Row],[Exports_TIV]] + Clean_Data[[#This Row],[Imports_TIV]]</f>
        <v>33000000</v>
      </c>
    </row>
    <row r="1707" spans="1:9">
      <c r="A1707" s="4" t="s">
        <v>145</v>
      </c>
      <c r="B1707" s="4" t="s">
        <v>146</v>
      </c>
      <c r="C1707" s="5">
        <v>2014</v>
      </c>
      <c r="D1707" s="4">
        <v>6088000000</v>
      </c>
      <c r="E1707" s="4">
        <v>925000000</v>
      </c>
      <c r="F1707" s="4" t="str">
        <f>_xlfn.LET(_xlpm.r, _xlfn.XLOOKUP(Clean_Data[[#This Row],[Country_Code]], Metadata_Country!$A:$A, Metadata_Country!$B:$B, "Unknown"), IF(OR(_xlpm.r=0, _xlpm.r=""), "Regional Aggregate", _xlpm.r))</f>
        <v>Regional Aggregate</v>
      </c>
      <c r="G1707" s="4" t="str">
        <f>_xlfn.LET(_xlpm.ig, _xlfn.XLOOKUP(Clean_Data[[#This Row],[Country_Code]], Metadata_Country!$A:$A, Metadata_Country!$C:$C, "Unknown"), IF(OR(_xlpm.ig=0, _xlpm.ig=""), "Regional Aggregate", _xlpm.ig))</f>
        <v>Regional Aggregate</v>
      </c>
      <c r="H1707" s="4">
        <f>Clean_Data[[#This Row],[Exports_TIV]] - Clean_Data[[#This Row],[Imports_TIV]]</f>
        <v>5163000000</v>
      </c>
      <c r="I1707" s="4">
        <f>Clean_Data[[#This Row],[Exports_TIV]] + Clean_Data[[#This Row],[Imports_TIV]]</f>
        <v>7013000000</v>
      </c>
    </row>
    <row r="1708" spans="1:9">
      <c r="A1708" s="4" t="s">
        <v>139</v>
      </c>
      <c r="B1708" s="4" t="s">
        <v>140</v>
      </c>
      <c r="C1708" s="5">
        <v>2014</v>
      </c>
      <c r="D1708" s="4">
        <v>14916000000</v>
      </c>
      <c r="E1708" s="4">
        <v>4285000000</v>
      </c>
      <c r="F1708" s="4" t="str">
        <f>_xlfn.LET(_xlpm.r, _xlfn.XLOOKUP(Clean_Data[[#This Row],[Country_Code]], Metadata_Country!$A:$A, Metadata_Country!$B:$B, "Unknown"), IF(OR(_xlpm.r=0, _xlpm.r=""), "Regional Aggregate", _xlpm.r))</f>
        <v>Regional Aggregate</v>
      </c>
      <c r="G1708" s="4" t="str">
        <f>_xlfn.LET(_xlpm.ig, _xlfn.XLOOKUP(Clean_Data[[#This Row],[Country_Code]], Metadata_Country!$A:$A, Metadata_Country!$C:$C, "Unknown"), IF(OR(_xlpm.ig=0, _xlpm.ig=""), "Regional Aggregate", _xlpm.ig))</f>
        <v>Regional Aggregate</v>
      </c>
      <c r="H1708" s="4">
        <f>Clean_Data[[#This Row],[Exports_TIV]] - Clean_Data[[#This Row],[Imports_TIV]]</f>
        <v>10631000000</v>
      </c>
      <c r="I1708" s="4">
        <f>Clean_Data[[#This Row],[Exports_TIV]] + Clean_Data[[#This Row],[Imports_TIV]]</f>
        <v>19201000000</v>
      </c>
    </row>
    <row r="1709" spans="1:9">
      <c r="A1709" s="4" t="s">
        <v>137</v>
      </c>
      <c r="B1709" s="4" t="s">
        <v>138</v>
      </c>
      <c r="C1709" s="5">
        <v>2014</v>
      </c>
      <c r="D1709" s="4">
        <v>909000000</v>
      </c>
      <c r="E1709" s="4">
        <v>2421000000</v>
      </c>
      <c r="F1709" s="4" t="str">
        <f>_xlfn.LET(_xlpm.r, _xlfn.XLOOKUP(Clean_Data[[#This Row],[Country_Code]], Metadata_Country!$A:$A, Metadata_Country!$B:$B, "Unknown"), IF(OR(_xlpm.r=0, _xlpm.r=""), "Regional Aggregate", _xlpm.r))</f>
        <v>Regional Aggregate</v>
      </c>
      <c r="G1709" s="4" t="str">
        <f>_xlfn.LET(_xlpm.ig, _xlfn.XLOOKUP(Clean_Data[[#This Row],[Country_Code]], Metadata_Country!$A:$A, Metadata_Country!$C:$C, "Unknown"), IF(OR(_xlpm.ig=0, _xlpm.ig=""), "Regional Aggregate", _xlpm.ig))</f>
        <v>Regional Aggregate</v>
      </c>
      <c r="H1709" s="4">
        <f>Clean_Data[[#This Row],[Exports_TIV]] - Clean_Data[[#This Row],[Imports_TIV]]</f>
        <v>-1512000000</v>
      </c>
      <c r="I1709" s="4">
        <f>Clean_Data[[#This Row],[Exports_TIV]] + Clean_Data[[#This Row],[Imports_TIV]]</f>
        <v>3330000000</v>
      </c>
    </row>
    <row r="1710" spans="1:9">
      <c r="A1710" s="4" t="s">
        <v>471</v>
      </c>
      <c r="B1710" s="4" t="s">
        <v>472</v>
      </c>
      <c r="C1710" s="5">
        <v>2014</v>
      </c>
      <c r="D1710" s="4">
        <v>6369000000</v>
      </c>
      <c r="E1710" s="4">
        <v>2930000000</v>
      </c>
      <c r="F1710" s="4" t="str">
        <f>_xlfn.LET(_xlpm.r, _xlfn.XLOOKUP(Clean_Data[[#This Row],[Country_Code]], Metadata_Country!$A:$A, Metadata_Country!$B:$B, "Unknown"), IF(OR(_xlpm.r=0, _xlpm.r=""), "Regional Aggregate", _xlpm.r))</f>
        <v>Regional Aggregate</v>
      </c>
      <c r="G1710" s="4" t="str">
        <f>_xlfn.LET(_xlpm.ig, _xlfn.XLOOKUP(Clean_Data[[#This Row],[Country_Code]], Metadata_Country!$A:$A, Metadata_Country!$C:$C, "Unknown"), IF(OR(_xlpm.ig=0, _xlpm.ig=""), "Regional Aggregate", _xlpm.ig))</f>
        <v>Regional Aggregate</v>
      </c>
      <c r="H1710" s="4">
        <f>Clean_Data[[#This Row],[Exports_TIV]] - Clean_Data[[#This Row],[Imports_TIV]]</f>
        <v>3439000000</v>
      </c>
      <c r="I1710" s="4">
        <f>Clean_Data[[#This Row],[Exports_TIV]] + Clean_Data[[#This Row],[Imports_TIV]]</f>
        <v>9299000000</v>
      </c>
    </row>
    <row r="1711" spans="1:9">
      <c r="A1711" s="4" t="s">
        <v>155</v>
      </c>
      <c r="B1711" s="4" t="s">
        <v>156</v>
      </c>
      <c r="C1711" s="5">
        <v>2014</v>
      </c>
      <c r="D1711" s="4">
        <v>6506000000</v>
      </c>
      <c r="E1711" s="4">
        <v>1431000000</v>
      </c>
      <c r="F1711" s="4" t="str">
        <f>_xlfn.LET(_xlpm.r, _xlfn.XLOOKUP(Clean_Data[[#This Row],[Country_Code]], Metadata_Country!$A:$A, Metadata_Country!$B:$B, "Unknown"), IF(OR(_xlpm.r=0, _xlpm.r=""), "Regional Aggregate", _xlpm.r))</f>
        <v>Regional Aggregate</v>
      </c>
      <c r="G1711" s="4" t="str">
        <f>_xlfn.LET(_xlpm.ig, _xlfn.XLOOKUP(Clean_Data[[#This Row],[Country_Code]], Metadata_Country!$A:$A, Metadata_Country!$C:$C, "Unknown"), IF(OR(_xlpm.ig=0, _xlpm.ig=""), "Regional Aggregate", _xlpm.ig))</f>
        <v>Regional Aggregate</v>
      </c>
      <c r="H1711" s="4">
        <f>Clean_Data[[#This Row],[Exports_TIV]] - Clean_Data[[#This Row],[Imports_TIV]]</f>
        <v>5075000000</v>
      </c>
      <c r="I1711" s="4">
        <f>Clean_Data[[#This Row],[Exports_TIV]] + Clean_Data[[#This Row],[Imports_TIV]]</f>
        <v>7937000000</v>
      </c>
    </row>
    <row r="1712" spans="1:9">
      <c r="A1712" s="4" t="s">
        <v>159</v>
      </c>
      <c r="B1712" s="4" t="s">
        <v>160</v>
      </c>
      <c r="C1712" s="5">
        <v>2014</v>
      </c>
      <c r="D1712" s="4">
        <v>104000000</v>
      </c>
      <c r="E1712" s="4">
        <v>182000000</v>
      </c>
      <c r="F1712" s="4" t="str">
        <f>_xlfn.LET(_xlpm.r, _xlfn.XLOOKUP(Clean_Data[[#This Row],[Country_Code]], Metadata_Country!$A:$A, Metadata_Country!$B:$B, "Unknown"), IF(OR(_xlpm.r=0, _xlpm.r=""), "Regional Aggregate", _xlpm.r))</f>
        <v>Europe &amp; Central Asia</v>
      </c>
      <c r="G1712" s="4" t="str">
        <f>_xlfn.LET(_xlpm.ig, _xlfn.XLOOKUP(Clean_Data[[#This Row],[Country_Code]], Metadata_Country!$A:$A, Metadata_Country!$C:$C, "Unknown"), IF(OR(_xlpm.ig=0, _xlpm.ig=""), "Regional Aggregate", _xlpm.ig))</f>
        <v>High income</v>
      </c>
      <c r="H1712" s="4">
        <f>Clean_Data[[#This Row],[Exports_TIV]] - Clean_Data[[#This Row],[Imports_TIV]]</f>
        <v>-78000000</v>
      </c>
      <c r="I1712" s="4">
        <f>Clean_Data[[#This Row],[Exports_TIV]] + Clean_Data[[#This Row],[Imports_TIV]]</f>
        <v>286000000</v>
      </c>
    </row>
    <row r="1713" spans="1:9">
      <c r="A1713" s="4" t="s">
        <v>157</v>
      </c>
      <c r="B1713" s="4" t="s">
        <v>158</v>
      </c>
      <c r="C1713" s="5">
        <v>2014</v>
      </c>
      <c r="D1713" s="4">
        <v>0</v>
      </c>
      <c r="E1713" s="4">
        <v>1625000000</v>
      </c>
      <c r="F1713" s="4" t="str">
        <f>_xlfn.LET(_xlpm.r, _xlfn.XLOOKUP(Clean_Data[[#This Row],[Country_Code]], Metadata_Country!$A:$A, Metadata_Country!$B:$B, "Unknown"), IF(OR(_xlpm.r=0, _xlpm.r=""), "Regional Aggregate", _xlpm.r))</f>
        <v>Regional Aggregate</v>
      </c>
      <c r="G1713" s="4" t="str">
        <f>_xlfn.LET(_xlpm.ig, _xlfn.XLOOKUP(Clean_Data[[#This Row],[Country_Code]], Metadata_Country!$A:$A, Metadata_Country!$C:$C, "Unknown"), IF(OR(_xlpm.ig=0, _xlpm.ig=""), "Regional Aggregate", _xlpm.ig))</f>
        <v>Regional Aggregate</v>
      </c>
      <c r="H1713" s="4">
        <f>Clean_Data[[#This Row],[Exports_TIV]] - Clean_Data[[#This Row],[Imports_TIV]]</f>
        <v>-1625000000</v>
      </c>
      <c r="I1713" s="4">
        <f>Clean_Data[[#This Row],[Exports_TIV]] + Clean_Data[[#This Row],[Imports_TIV]]</f>
        <v>1625000000</v>
      </c>
    </row>
    <row r="1714" spans="1:9">
      <c r="A1714" s="4" t="s">
        <v>163</v>
      </c>
      <c r="B1714" s="4" t="s">
        <v>164</v>
      </c>
      <c r="C1714" s="5">
        <v>2014</v>
      </c>
      <c r="D1714" s="4">
        <v>1763000000</v>
      </c>
      <c r="E1714" s="4">
        <v>17000000</v>
      </c>
      <c r="F1714" s="4" t="str">
        <f>_xlfn.LET(_xlpm.r, _xlfn.XLOOKUP(Clean_Data[[#This Row],[Country_Code]], Metadata_Country!$A:$A, Metadata_Country!$B:$B, "Unknown"), IF(OR(_xlpm.r=0, _xlpm.r=""), "Regional Aggregate", _xlpm.r))</f>
        <v>Europe &amp; Central Asia</v>
      </c>
      <c r="G1714" s="4" t="str">
        <f>_xlfn.LET(_xlpm.ig, _xlfn.XLOOKUP(Clean_Data[[#This Row],[Country_Code]], Metadata_Country!$A:$A, Metadata_Country!$C:$C, "Unknown"), IF(OR(_xlpm.ig=0, _xlpm.ig=""), "Regional Aggregate", _xlpm.ig))</f>
        <v>High income</v>
      </c>
      <c r="H1714" s="4">
        <f>Clean_Data[[#This Row],[Exports_TIV]] - Clean_Data[[#This Row],[Imports_TIV]]</f>
        <v>1746000000</v>
      </c>
      <c r="I1714" s="4">
        <f>Clean_Data[[#This Row],[Exports_TIV]] + Clean_Data[[#This Row],[Imports_TIV]]</f>
        <v>1780000000</v>
      </c>
    </row>
    <row r="1715" spans="1:9">
      <c r="A1715" s="4" t="s">
        <v>173</v>
      </c>
      <c r="B1715" s="4" t="s">
        <v>174</v>
      </c>
      <c r="C1715" s="5">
        <v>2014</v>
      </c>
      <c r="D1715" s="4">
        <v>0</v>
      </c>
      <c r="E1715" s="4">
        <v>1000000</v>
      </c>
      <c r="F1715" s="4" t="str">
        <f>_xlfn.LET(_xlpm.r, _xlfn.XLOOKUP(Clean_Data[[#This Row],[Country_Code]], Metadata_Country!$A:$A, Metadata_Country!$B:$B, "Unknown"), IF(OR(_xlpm.r=0, _xlpm.r=""), "Regional Aggregate", _xlpm.r))</f>
        <v>Europe &amp; Central Asia</v>
      </c>
      <c r="G1715" s="4" t="str">
        <f>_xlfn.LET(_xlpm.ig, _xlfn.XLOOKUP(Clean_Data[[#This Row],[Country_Code]], Metadata_Country!$A:$A, Metadata_Country!$C:$C, "Unknown"), IF(OR(_xlpm.ig=0, _xlpm.ig=""), "Regional Aggregate", _xlpm.ig))</f>
        <v>Upper middle income</v>
      </c>
      <c r="H1715" s="4">
        <f>Clean_Data[[#This Row],[Exports_TIV]] - Clean_Data[[#This Row],[Imports_TIV]]</f>
        <v>-1000000</v>
      </c>
      <c r="I1715" s="4">
        <f>Clean_Data[[#This Row],[Exports_TIV]] + Clean_Data[[#This Row],[Imports_TIV]]</f>
        <v>1000000</v>
      </c>
    </row>
    <row r="1716" spans="1:9">
      <c r="A1716" s="4" t="s">
        <v>119</v>
      </c>
      <c r="B1716" s="4" t="s">
        <v>120</v>
      </c>
      <c r="C1716" s="5">
        <v>2014</v>
      </c>
      <c r="D1716" s="4">
        <v>1830000000</v>
      </c>
      <c r="E1716" s="4">
        <v>77000000</v>
      </c>
      <c r="F1716" s="4" t="str">
        <f>_xlfn.LET(_xlpm.r, _xlfn.XLOOKUP(Clean_Data[[#This Row],[Country_Code]], Metadata_Country!$A:$A, Metadata_Country!$B:$B, "Unknown"), IF(OR(_xlpm.r=0, _xlpm.r=""), "Regional Aggregate", _xlpm.r))</f>
        <v>Europe &amp; Central Asia</v>
      </c>
      <c r="G1716" s="4" t="str">
        <f>_xlfn.LET(_xlpm.ig, _xlfn.XLOOKUP(Clean_Data[[#This Row],[Country_Code]], Metadata_Country!$A:$A, Metadata_Country!$C:$C, "Unknown"), IF(OR(_xlpm.ig=0, _xlpm.ig=""), "Regional Aggregate", _xlpm.ig))</f>
        <v>High income</v>
      </c>
      <c r="H1716" s="4">
        <f>Clean_Data[[#This Row],[Exports_TIV]] - Clean_Data[[#This Row],[Imports_TIV]]</f>
        <v>1753000000</v>
      </c>
      <c r="I1716" s="4">
        <f>Clean_Data[[#This Row],[Exports_TIV]] + Clean_Data[[#This Row],[Imports_TIV]]</f>
        <v>1907000000</v>
      </c>
    </row>
    <row r="1717" spans="1:9">
      <c r="A1717" s="4" t="s">
        <v>175</v>
      </c>
      <c r="B1717" s="4" t="s">
        <v>176</v>
      </c>
      <c r="C1717" s="5">
        <v>2014</v>
      </c>
      <c r="D1717" s="4">
        <v>0</v>
      </c>
      <c r="E1717" s="4">
        <v>17000000</v>
      </c>
      <c r="F1717" s="4" t="str">
        <f>_xlfn.LET(_xlpm.r, _xlfn.XLOOKUP(Clean_Data[[#This Row],[Country_Code]], Metadata_Country!$A:$A, Metadata_Country!$B:$B, "Unknown"), IF(OR(_xlpm.r=0, _xlpm.r=""), "Regional Aggregate", _xlpm.r))</f>
        <v>Sub-Saharan Africa</v>
      </c>
      <c r="G1717" s="4" t="str">
        <f>_xlfn.LET(_xlpm.ig, _xlfn.XLOOKUP(Clean_Data[[#This Row],[Country_Code]], Metadata_Country!$A:$A, Metadata_Country!$C:$C, "Unknown"), IF(OR(_xlpm.ig=0, _xlpm.ig=""), "Regional Aggregate", _xlpm.ig))</f>
        <v>Lower middle income</v>
      </c>
      <c r="H1717" s="4">
        <f>Clean_Data[[#This Row],[Exports_TIV]] - Clean_Data[[#This Row],[Imports_TIV]]</f>
        <v>-17000000</v>
      </c>
      <c r="I1717" s="4">
        <f>Clean_Data[[#This Row],[Exports_TIV]] + Clean_Data[[#This Row],[Imports_TIV]]</f>
        <v>17000000</v>
      </c>
    </row>
    <row r="1718" spans="1:9">
      <c r="A1718" s="4" t="s">
        <v>187</v>
      </c>
      <c r="B1718" s="4" t="s">
        <v>188</v>
      </c>
      <c r="C1718" s="5">
        <v>2014</v>
      </c>
      <c r="D1718" s="4">
        <v>0</v>
      </c>
      <c r="E1718" s="4">
        <v>204000000</v>
      </c>
      <c r="F1718" s="4" t="str">
        <f>_xlfn.LET(_xlpm.r, _xlfn.XLOOKUP(Clean_Data[[#This Row],[Country_Code]], Metadata_Country!$A:$A, Metadata_Country!$B:$B, "Unknown"), IF(OR(_xlpm.r=0, _xlpm.r=""), "Regional Aggregate", _xlpm.r))</f>
        <v>Europe &amp; Central Asia</v>
      </c>
      <c r="G1718" s="4" t="str">
        <f>_xlfn.LET(_xlpm.ig, _xlfn.XLOOKUP(Clean_Data[[#This Row],[Country_Code]], Metadata_Country!$A:$A, Metadata_Country!$C:$C, "Unknown"), IF(OR(_xlpm.ig=0, _xlpm.ig=""), "Regional Aggregate", _xlpm.ig))</f>
        <v>High income</v>
      </c>
      <c r="H1718" s="4">
        <f>Clean_Data[[#This Row],[Exports_TIV]] - Clean_Data[[#This Row],[Imports_TIV]]</f>
        <v>-204000000</v>
      </c>
      <c r="I1718" s="4">
        <f>Clean_Data[[#This Row],[Exports_TIV]] + Clean_Data[[#This Row],[Imports_TIV]]</f>
        <v>204000000</v>
      </c>
    </row>
    <row r="1719" spans="1:9">
      <c r="A1719" s="4" t="s">
        <v>179</v>
      </c>
      <c r="B1719" s="4" t="s">
        <v>180</v>
      </c>
      <c r="C1719" s="5">
        <v>2014</v>
      </c>
      <c r="D1719" s="4">
        <v>0</v>
      </c>
      <c r="E1719" s="4">
        <v>5000000</v>
      </c>
      <c r="F1719" s="4" t="str">
        <f>_xlfn.LET(_xlpm.r, _xlfn.XLOOKUP(Clean_Data[[#This Row],[Country_Code]], Metadata_Country!$A:$A, Metadata_Country!$B:$B, "Unknown"), IF(OR(_xlpm.r=0, _xlpm.r=""), "Regional Aggregate", _xlpm.r))</f>
        <v>Sub-Saharan Africa</v>
      </c>
      <c r="G1719" s="4" t="str">
        <f>_xlfn.LET(_xlpm.ig, _xlfn.XLOOKUP(Clean_Data[[#This Row],[Country_Code]], Metadata_Country!$A:$A, Metadata_Country!$C:$C, "Unknown"), IF(OR(_xlpm.ig=0, _xlpm.ig=""), "Regional Aggregate", _xlpm.ig))</f>
        <v>Lower middle income</v>
      </c>
      <c r="H1719" s="4">
        <f>Clean_Data[[#This Row],[Exports_TIV]] - Clean_Data[[#This Row],[Imports_TIV]]</f>
        <v>-5000000</v>
      </c>
      <c r="I1719" s="4">
        <f>Clean_Data[[#This Row],[Exports_TIV]] + Clean_Data[[#This Row],[Imports_TIV]]</f>
        <v>5000000</v>
      </c>
    </row>
    <row r="1720" spans="1:9">
      <c r="A1720" s="4" t="s">
        <v>205</v>
      </c>
      <c r="B1720" s="4" t="s">
        <v>206</v>
      </c>
      <c r="C1720" s="5">
        <v>2014</v>
      </c>
      <c r="D1720" s="4">
        <v>0</v>
      </c>
      <c r="E1720" s="4">
        <v>799000000</v>
      </c>
      <c r="F1720" s="4" t="str">
        <f>_xlfn.LET(_xlpm.r, _xlfn.XLOOKUP(Clean_Data[[#This Row],[Country_Code]], Metadata_Country!$A:$A, Metadata_Country!$B:$B, "Unknown"), IF(OR(_xlpm.r=0, _xlpm.r=""), "Regional Aggregate", _xlpm.r))</f>
        <v>Regional Aggregate</v>
      </c>
      <c r="G1720" s="4" t="str">
        <f>_xlfn.LET(_xlpm.ig, _xlfn.XLOOKUP(Clean_Data[[#This Row],[Country_Code]], Metadata_Country!$A:$A, Metadata_Country!$C:$C, "Unknown"), IF(OR(_xlpm.ig=0, _xlpm.ig=""), "Regional Aggregate", _xlpm.ig))</f>
        <v>Regional Aggregate</v>
      </c>
      <c r="H1720" s="4">
        <f>Clean_Data[[#This Row],[Exports_TIV]] - Clean_Data[[#This Row],[Imports_TIV]]</f>
        <v>-799000000</v>
      </c>
      <c r="I1720" s="4">
        <f>Clean_Data[[#This Row],[Exports_TIV]] + Clean_Data[[#This Row],[Imports_TIV]]</f>
        <v>799000000</v>
      </c>
    </row>
    <row r="1721" spans="1:9">
      <c r="A1721" s="4" t="s">
        <v>199</v>
      </c>
      <c r="B1721" s="4" t="s">
        <v>200</v>
      </c>
      <c r="C1721" s="5">
        <v>2014</v>
      </c>
      <c r="D1721" s="4">
        <v>24503000000</v>
      </c>
      <c r="E1721" s="4">
        <v>11687000000</v>
      </c>
      <c r="F1721" s="4" t="str">
        <f>_xlfn.LET(_xlpm.r, _xlfn.XLOOKUP(Clean_Data[[#This Row],[Country_Code]], Metadata_Country!$A:$A, Metadata_Country!$B:$B, "Unknown"), IF(OR(_xlpm.r=0, _xlpm.r=""), "Regional Aggregate", _xlpm.r))</f>
        <v>Regional Aggregate</v>
      </c>
      <c r="G1721" s="4" t="str">
        <f>_xlfn.LET(_xlpm.ig, _xlfn.XLOOKUP(Clean_Data[[#This Row],[Country_Code]], Metadata_Country!$A:$A, Metadata_Country!$C:$C, "Unknown"), IF(OR(_xlpm.ig=0, _xlpm.ig=""), "Regional Aggregate", _xlpm.ig))</f>
        <v>Regional Aggregate</v>
      </c>
      <c r="H1721" s="4">
        <f>Clean_Data[[#This Row],[Exports_TIV]] - Clean_Data[[#This Row],[Imports_TIV]]</f>
        <v>12816000000</v>
      </c>
      <c r="I1721" s="4">
        <f>Clean_Data[[#This Row],[Exports_TIV]] + Clean_Data[[#This Row],[Imports_TIV]]</f>
        <v>36190000000</v>
      </c>
    </row>
    <row r="1722" spans="1:9">
      <c r="A1722" s="4" t="s">
        <v>203</v>
      </c>
      <c r="B1722" s="4" t="s">
        <v>204</v>
      </c>
      <c r="C1722" s="5">
        <v>2014</v>
      </c>
      <c r="D1722" s="4">
        <v>0</v>
      </c>
      <c r="E1722" s="4">
        <v>13000000</v>
      </c>
      <c r="F1722" s="4" t="str">
        <f>_xlfn.LET(_xlpm.r, _xlfn.XLOOKUP(Clean_Data[[#This Row],[Country_Code]], Metadata_Country!$A:$A, Metadata_Country!$B:$B, "Unknown"), IF(OR(_xlpm.r=0, _xlpm.r=""), "Regional Aggregate", _xlpm.r))</f>
        <v>Latin America &amp; Caribbean</v>
      </c>
      <c r="G1722" s="4" t="str">
        <f>_xlfn.LET(_xlpm.ig, _xlfn.XLOOKUP(Clean_Data[[#This Row],[Country_Code]], Metadata_Country!$A:$A, Metadata_Country!$C:$C, "Unknown"), IF(OR(_xlpm.ig=0, _xlpm.ig=""), "Regional Aggregate", _xlpm.ig))</f>
        <v>Lower middle income</v>
      </c>
      <c r="H1722" s="4">
        <f>Clean_Data[[#This Row],[Exports_TIV]] - Clean_Data[[#This Row],[Imports_TIV]]</f>
        <v>-13000000</v>
      </c>
      <c r="I1722" s="4">
        <f>Clean_Data[[#This Row],[Exports_TIV]] + Clean_Data[[#This Row],[Imports_TIV]]</f>
        <v>13000000</v>
      </c>
    </row>
    <row r="1723" spans="1:9">
      <c r="A1723" s="4" t="s">
        <v>211</v>
      </c>
      <c r="B1723" s="4" t="s">
        <v>212</v>
      </c>
      <c r="C1723" s="5">
        <v>2014</v>
      </c>
      <c r="D1723" s="4">
        <v>0</v>
      </c>
      <c r="E1723" s="4">
        <v>7000000</v>
      </c>
      <c r="F1723" s="4" t="str">
        <f>_xlfn.LET(_xlpm.r, _xlfn.XLOOKUP(Clean_Data[[#This Row],[Country_Code]], Metadata_Country!$A:$A, Metadata_Country!$B:$B, "Unknown"), IF(OR(_xlpm.r=0, _xlpm.r=""), "Regional Aggregate", _xlpm.r))</f>
        <v>Europe &amp; Central Asia</v>
      </c>
      <c r="G1723" s="4" t="str">
        <f>_xlfn.LET(_xlpm.ig, _xlfn.XLOOKUP(Clean_Data[[#This Row],[Country_Code]], Metadata_Country!$A:$A, Metadata_Country!$C:$C, "Unknown"), IF(OR(_xlpm.ig=0, _xlpm.ig=""), "Regional Aggregate", _xlpm.ig))</f>
        <v>High income</v>
      </c>
      <c r="H1723" s="4">
        <f>Clean_Data[[#This Row],[Exports_TIV]] - Clean_Data[[#This Row],[Imports_TIV]]</f>
        <v>-7000000</v>
      </c>
      <c r="I1723" s="4">
        <f>Clean_Data[[#This Row],[Exports_TIV]] + Clean_Data[[#This Row],[Imports_TIV]]</f>
        <v>7000000</v>
      </c>
    </row>
    <row r="1724" spans="1:9">
      <c r="A1724" s="4" t="s">
        <v>213</v>
      </c>
      <c r="B1724" s="4" t="s">
        <v>214</v>
      </c>
      <c r="C1724" s="5">
        <v>2014</v>
      </c>
      <c r="D1724" s="4">
        <v>8078000000</v>
      </c>
      <c r="E1724" s="4">
        <v>13711000000</v>
      </c>
      <c r="F1724" s="4" t="str">
        <f>_xlfn.LET(_xlpm.r, _xlfn.XLOOKUP(Clean_Data[[#This Row],[Country_Code]], Metadata_Country!$A:$A, Metadata_Country!$B:$B, "Unknown"), IF(OR(_xlpm.r=0, _xlpm.r=""), "Regional Aggregate", _xlpm.r))</f>
        <v>Regional Aggregate</v>
      </c>
      <c r="G1724" s="4" t="str">
        <f>_xlfn.LET(_xlpm.ig, _xlfn.XLOOKUP(Clean_Data[[#This Row],[Country_Code]], Metadata_Country!$A:$A, Metadata_Country!$C:$C, "Unknown"), IF(OR(_xlpm.ig=0, _xlpm.ig=""), "Regional Aggregate", _xlpm.ig))</f>
        <v>Regional Aggregate</v>
      </c>
      <c r="H1724" s="4">
        <f>Clean_Data[[#This Row],[Exports_TIV]] - Clean_Data[[#This Row],[Imports_TIV]]</f>
        <v>-5633000000</v>
      </c>
      <c r="I1724" s="4">
        <f>Clean_Data[[#This Row],[Exports_TIV]] + Clean_Data[[#This Row],[Imports_TIV]]</f>
        <v>21789000000</v>
      </c>
    </row>
    <row r="1725" spans="1:9">
      <c r="A1725" s="4" t="s">
        <v>215</v>
      </c>
      <c r="B1725" s="4" t="s">
        <v>216</v>
      </c>
      <c r="C1725" s="5">
        <v>2014</v>
      </c>
      <c r="D1725" s="4">
        <v>0</v>
      </c>
      <c r="E1725" s="4">
        <v>16015000000</v>
      </c>
      <c r="F1725" s="4" t="str">
        <f>_xlfn.LET(_xlpm.r, _xlfn.XLOOKUP(Clean_Data[[#This Row],[Country_Code]], Metadata_Country!$A:$A, Metadata_Country!$B:$B, "Unknown"), IF(OR(_xlpm.r=0, _xlpm.r=""), "Regional Aggregate", _xlpm.r))</f>
        <v>Regional Aggregate</v>
      </c>
      <c r="G1725" s="4" t="str">
        <f>_xlfn.LET(_xlpm.ig, _xlfn.XLOOKUP(Clean_Data[[#This Row],[Country_Code]], Metadata_Country!$A:$A, Metadata_Country!$C:$C, "Unknown"), IF(OR(_xlpm.ig=0, _xlpm.ig=""), "Regional Aggregate", _xlpm.ig))</f>
        <v>Regional Aggregate</v>
      </c>
      <c r="H1725" s="4">
        <f>Clean_Data[[#This Row],[Exports_TIV]] - Clean_Data[[#This Row],[Imports_TIV]]</f>
        <v>-16015000000</v>
      </c>
      <c r="I1725" s="4">
        <f>Clean_Data[[#This Row],[Exports_TIV]] + Clean_Data[[#This Row],[Imports_TIV]]</f>
        <v>16015000000</v>
      </c>
    </row>
    <row r="1726" spans="1:9">
      <c r="A1726" s="4" t="s">
        <v>219</v>
      </c>
      <c r="B1726" s="4" t="s">
        <v>220</v>
      </c>
      <c r="C1726" s="5">
        <v>2014</v>
      </c>
      <c r="D1726" s="4">
        <v>0</v>
      </c>
      <c r="E1726" s="4">
        <v>1288000000</v>
      </c>
      <c r="F1726" s="4" t="str">
        <f>_xlfn.LET(_xlpm.r, _xlfn.XLOOKUP(Clean_Data[[#This Row],[Country_Code]], Metadata_Country!$A:$A, Metadata_Country!$B:$B, "Unknown"), IF(OR(_xlpm.r=0, _xlpm.r=""), "Regional Aggregate", _xlpm.r))</f>
        <v>Regional Aggregate</v>
      </c>
      <c r="G1726" s="4" t="str">
        <f>_xlfn.LET(_xlpm.ig, _xlfn.XLOOKUP(Clean_Data[[#This Row],[Country_Code]], Metadata_Country!$A:$A, Metadata_Country!$C:$C, "Unknown"), IF(OR(_xlpm.ig=0, _xlpm.ig=""), "Regional Aggregate", _xlpm.ig))</f>
        <v>Regional Aggregate</v>
      </c>
      <c r="H1726" s="4">
        <f>Clean_Data[[#This Row],[Exports_TIV]] - Clean_Data[[#This Row],[Imports_TIV]]</f>
        <v>-1288000000</v>
      </c>
      <c r="I1726" s="4">
        <f>Clean_Data[[#This Row],[Exports_TIV]] + Clean_Data[[#This Row],[Imports_TIV]]</f>
        <v>1288000000</v>
      </c>
    </row>
    <row r="1727" spans="1:9">
      <c r="A1727" s="4" t="s">
        <v>223</v>
      </c>
      <c r="B1727" s="4" t="s">
        <v>224</v>
      </c>
      <c r="C1727" s="5">
        <v>2014</v>
      </c>
      <c r="D1727" s="4">
        <v>0</v>
      </c>
      <c r="E1727" s="4">
        <v>1016000000</v>
      </c>
      <c r="F1727" s="4" t="str">
        <f>_xlfn.LET(_xlpm.r, _xlfn.XLOOKUP(Clean_Data[[#This Row],[Country_Code]], Metadata_Country!$A:$A, Metadata_Country!$B:$B, "Unknown"), IF(OR(_xlpm.r=0, _xlpm.r=""), "Regional Aggregate", _xlpm.r))</f>
        <v>Regional Aggregate</v>
      </c>
      <c r="G1727" s="4" t="str">
        <f>_xlfn.LET(_xlpm.ig, _xlfn.XLOOKUP(Clean_Data[[#This Row],[Country_Code]], Metadata_Country!$A:$A, Metadata_Country!$C:$C, "Unknown"), IF(OR(_xlpm.ig=0, _xlpm.ig=""), "Regional Aggregate", _xlpm.ig))</f>
        <v>Regional Aggregate</v>
      </c>
      <c r="H1727" s="4">
        <f>Clean_Data[[#This Row],[Exports_TIV]] - Clean_Data[[#This Row],[Imports_TIV]]</f>
        <v>-1016000000</v>
      </c>
      <c r="I1727" s="4">
        <f>Clean_Data[[#This Row],[Exports_TIV]] + Clean_Data[[#This Row],[Imports_TIV]]</f>
        <v>1016000000</v>
      </c>
    </row>
    <row r="1728" spans="1:9">
      <c r="A1728" s="4" t="s">
        <v>217</v>
      </c>
      <c r="B1728" s="4" t="s">
        <v>218</v>
      </c>
      <c r="C1728" s="5">
        <v>2014</v>
      </c>
      <c r="D1728" s="4">
        <v>0</v>
      </c>
      <c r="E1728" s="4">
        <v>2304000000</v>
      </c>
      <c r="F1728" s="4" t="str">
        <f>_xlfn.LET(_xlpm.r, _xlfn.XLOOKUP(Clean_Data[[#This Row],[Country_Code]], Metadata_Country!$A:$A, Metadata_Country!$B:$B, "Unknown"), IF(OR(_xlpm.r=0, _xlpm.r=""), "Regional Aggregate", _xlpm.r))</f>
        <v>Regional Aggregate</v>
      </c>
      <c r="G1728" s="4" t="str">
        <f>_xlfn.LET(_xlpm.ig, _xlfn.XLOOKUP(Clean_Data[[#This Row],[Country_Code]], Metadata_Country!$A:$A, Metadata_Country!$C:$C, "Unknown"), IF(OR(_xlpm.ig=0, _xlpm.ig=""), "Regional Aggregate", _xlpm.ig))</f>
        <v>Regional Aggregate</v>
      </c>
      <c r="H1728" s="4">
        <f>Clean_Data[[#This Row],[Exports_TIV]] - Clean_Data[[#This Row],[Imports_TIV]]</f>
        <v>-2304000000</v>
      </c>
      <c r="I1728" s="4">
        <f>Clean_Data[[#This Row],[Exports_TIV]] + Clean_Data[[#This Row],[Imports_TIV]]</f>
        <v>2304000000</v>
      </c>
    </row>
    <row r="1729" spans="1:9">
      <c r="A1729" s="4" t="s">
        <v>227</v>
      </c>
      <c r="B1729" s="4" t="s">
        <v>228</v>
      </c>
      <c r="C1729" s="5">
        <v>2014</v>
      </c>
      <c r="D1729" s="4">
        <v>40000000</v>
      </c>
      <c r="E1729" s="4">
        <v>3282000000</v>
      </c>
      <c r="F1729" s="4" t="str">
        <f>_xlfn.LET(_xlpm.r, _xlfn.XLOOKUP(Clean_Data[[#This Row],[Country_Code]], Metadata_Country!$A:$A, Metadata_Country!$B:$B, "Unknown"), IF(OR(_xlpm.r=0, _xlpm.r=""), "Regional Aggregate", _xlpm.r))</f>
        <v>South Asia</v>
      </c>
      <c r="G1729" s="4" t="str">
        <f>_xlfn.LET(_xlpm.ig, _xlfn.XLOOKUP(Clean_Data[[#This Row],[Country_Code]], Metadata_Country!$A:$A, Metadata_Country!$C:$C, "Unknown"), IF(OR(_xlpm.ig=0, _xlpm.ig=""), "Regional Aggregate", _xlpm.ig))</f>
        <v>Lower middle income</v>
      </c>
      <c r="H1729" s="4">
        <f>Clean_Data[[#This Row],[Exports_TIV]] - Clean_Data[[#This Row],[Imports_TIV]]</f>
        <v>-3242000000</v>
      </c>
      <c r="I1729" s="4">
        <f>Clean_Data[[#This Row],[Exports_TIV]] + Clean_Data[[#This Row],[Imports_TIV]]</f>
        <v>3322000000</v>
      </c>
    </row>
    <row r="1730" spans="1:9">
      <c r="A1730" s="4" t="s">
        <v>221</v>
      </c>
      <c r="B1730" s="4" t="s">
        <v>222</v>
      </c>
      <c r="C1730" s="5">
        <v>2014</v>
      </c>
      <c r="D1730" s="4">
        <v>0</v>
      </c>
      <c r="E1730" s="4">
        <v>1195000000</v>
      </c>
      <c r="F1730" s="4" t="str">
        <f>_xlfn.LET(_xlpm.r, _xlfn.XLOOKUP(Clean_Data[[#This Row],[Country_Code]], Metadata_Country!$A:$A, Metadata_Country!$B:$B, "Unknown"), IF(OR(_xlpm.r=0, _xlpm.r=""), "Regional Aggregate", _xlpm.r))</f>
        <v>East Asia &amp; Pacific</v>
      </c>
      <c r="G1730" s="4" t="str">
        <f>_xlfn.LET(_xlpm.ig, _xlfn.XLOOKUP(Clean_Data[[#This Row],[Country_Code]], Metadata_Country!$A:$A, Metadata_Country!$C:$C, "Unknown"), IF(OR(_xlpm.ig=0, _xlpm.ig=""), "Regional Aggregate", _xlpm.ig))</f>
        <v>Upper middle income</v>
      </c>
      <c r="H1730" s="4">
        <f>Clean_Data[[#This Row],[Exports_TIV]] - Clean_Data[[#This Row],[Imports_TIV]]</f>
        <v>-1195000000</v>
      </c>
      <c r="I1730" s="4">
        <f>Clean_Data[[#This Row],[Exports_TIV]] + Clean_Data[[#This Row],[Imports_TIV]]</f>
        <v>1195000000</v>
      </c>
    </row>
    <row r="1731" spans="1:9">
      <c r="A1731" s="4" t="s">
        <v>233</v>
      </c>
      <c r="B1731" s="4" t="s">
        <v>234</v>
      </c>
      <c r="C1731" s="5">
        <v>2014</v>
      </c>
      <c r="D1731" s="4">
        <v>34000000</v>
      </c>
      <c r="E1731" s="4">
        <v>14000000</v>
      </c>
      <c r="F1731" s="4" t="str">
        <f>_xlfn.LET(_xlpm.r, _xlfn.XLOOKUP(Clean_Data[[#This Row],[Country_Code]], Metadata_Country!$A:$A, Metadata_Country!$B:$B, "Unknown"), IF(OR(_xlpm.r=0, _xlpm.r=""), "Regional Aggregate", _xlpm.r))</f>
        <v>Middle East &amp; North Africa</v>
      </c>
      <c r="G1731" s="4" t="str">
        <f>_xlfn.LET(_xlpm.ig, _xlfn.XLOOKUP(Clean_Data[[#This Row],[Country_Code]], Metadata_Country!$A:$A, Metadata_Country!$C:$C, "Unknown"), IF(OR(_xlpm.ig=0, _xlpm.ig=""), "Regional Aggregate", _xlpm.ig))</f>
        <v>Upper middle income</v>
      </c>
      <c r="H1731" s="4">
        <f>Clean_Data[[#This Row],[Exports_TIV]] - Clean_Data[[#This Row],[Imports_TIV]]</f>
        <v>20000000</v>
      </c>
      <c r="I1731" s="4">
        <f>Clean_Data[[#This Row],[Exports_TIV]] + Clean_Data[[#This Row],[Imports_TIV]]</f>
        <v>48000000</v>
      </c>
    </row>
    <row r="1732" spans="1:9">
      <c r="A1732" s="4" t="s">
        <v>235</v>
      </c>
      <c r="B1732" s="4" t="s">
        <v>236</v>
      </c>
      <c r="C1732" s="5">
        <v>2014</v>
      </c>
      <c r="D1732" s="4">
        <v>0</v>
      </c>
      <c r="E1732" s="4">
        <v>629000000</v>
      </c>
      <c r="F1732" s="4" t="str">
        <f>_xlfn.LET(_xlpm.r, _xlfn.XLOOKUP(Clean_Data[[#This Row],[Country_Code]], Metadata_Country!$A:$A, Metadata_Country!$B:$B, "Unknown"), IF(OR(_xlpm.r=0, _xlpm.r=""), "Regional Aggregate", _xlpm.r))</f>
        <v>Middle East &amp; North Africa</v>
      </c>
      <c r="G1732" s="4" t="str">
        <f>_xlfn.LET(_xlpm.ig, _xlfn.XLOOKUP(Clean_Data[[#This Row],[Country_Code]], Metadata_Country!$A:$A, Metadata_Country!$C:$C, "Unknown"), IF(OR(_xlpm.ig=0, _xlpm.ig=""), "Regional Aggregate", _xlpm.ig))</f>
        <v>Upper middle income</v>
      </c>
      <c r="H1732" s="4">
        <f>Clean_Data[[#This Row],[Exports_TIV]] - Clean_Data[[#This Row],[Imports_TIV]]</f>
        <v>-629000000</v>
      </c>
      <c r="I1732" s="4">
        <f>Clean_Data[[#This Row],[Exports_TIV]] + Clean_Data[[#This Row],[Imports_TIV]]</f>
        <v>629000000</v>
      </c>
    </row>
    <row r="1733" spans="1:9">
      <c r="A1733" s="4" t="s">
        <v>231</v>
      </c>
      <c r="B1733" s="4" t="s">
        <v>232</v>
      </c>
      <c r="C1733" s="5">
        <v>2014</v>
      </c>
      <c r="D1733" s="4">
        <v>23000000</v>
      </c>
      <c r="E1733" s="4">
        <v>40000000</v>
      </c>
      <c r="F1733" s="4" t="str">
        <f>_xlfn.LET(_xlpm.r, _xlfn.XLOOKUP(Clean_Data[[#This Row],[Country_Code]], Metadata_Country!$A:$A, Metadata_Country!$B:$B, "Unknown"), IF(OR(_xlpm.r=0, _xlpm.r=""), "Regional Aggregate", _xlpm.r))</f>
        <v>Europe &amp; Central Asia</v>
      </c>
      <c r="G1733" s="4" t="str">
        <f>_xlfn.LET(_xlpm.ig, _xlfn.XLOOKUP(Clean_Data[[#This Row],[Country_Code]], Metadata_Country!$A:$A, Metadata_Country!$C:$C, "Unknown"), IF(OR(_xlpm.ig=0, _xlpm.ig=""), "Regional Aggregate", _xlpm.ig))</f>
        <v>High income</v>
      </c>
      <c r="H1733" s="4">
        <f>Clean_Data[[#This Row],[Exports_TIV]] - Clean_Data[[#This Row],[Imports_TIV]]</f>
        <v>-17000000</v>
      </c>
      <c r="I1733" s="4">
        <f>Clean_Data[[#This Row],[Exports_TIV]] + Clean_Data[[#This Row],[Imports_TIV]]</f>
        <v>63000000</v>
      </c>
    </row>
    <row r="1734" spans="1:9">
      <c r="A1734" s="4" t="s">
        <v>239</v>
      </c>
      <c r="B1734" s="4" t="s">
        <v>240</v>
      </c>
      <c r="C1734" s="5">
        <v>2014</v>
      </c>
      <c r="D1734" s="4">
        <v>408000000</v>
      </c>
      <c r="E1734" s="4">
        <v>549000000</v>
      </c>
      <c r="F1734" s="4" t="str">
        <f>_xlfn.LET(_xlpm.r, _xlfn.XLOOKUP(Clean_Data[[#This Row],[Country_Code]], Metadata_Country!$A:$A, Metadata_Country!$B:$B, "Unknown"), IF(OR(_xlpm.r=0, _xlpm.r=""), "Regional Aggregate", _xlpm.r))</f>
        <v>Middle East &amp; North Africa</v>
      </c>
      <c r="G1734" s="4" t="str">
        <f>_xlfn.LET(_xlpm.ig, _xlfn.XLOOKUP(Clean_Data[[#This Row],[Country_Code]], Metadata_Country!$A:$A, Metadata_Country!$C:$C, "Unknown"), IF(OR(_xlpm.ig=0, _xlpm.ig=""), "Regional Aggregate", _xlpm.ig))</f>
        <v>High income</v>
      </c>
      <c r="H1734" s="4">
        <f>Clean_Data[[#This Row],[Exports_TIV]] - Clean_Data[[#This Row],[Imports_TIV]]</f>
        <v>-141000000</v>
      </c>
      <c r="I1734" s="4">
        <f>Clean_Data[[#This Row],[Exports_TIV]] + Clean_Data[[#This Row],[Imports_TIV]]</f>
        <v>957000000</v>
      </c>
    </row>
    <row r="1735" spans="1:9">
      <c r="A1735" s="4" t="s">
        <v>241</v>
      </c>
      <c r="B1735" s="4" t="s">
        <v>242</v>
      </c>
      <c r="C1735" s="5">
        <v>2014</v>
      </c>
      <c r="D1735" s="4">
        <v>688000000</v>
      </c>
      <c r="E1735" s="4">
        <v>127000000</v>
      </c>
      <c r="F1735" s="4" t="str">
        <f>_xlfn.LET(_xlpm.r, _xlfn.XLOOKUP(Clean_Data[[#This Row],[Country_Code]], Metadata_Country!$A:$A, Metadata_Country!$B:$B, "Unknown"), IF(OR(_xlpm.r=0, _xlpm.r=""), "Regional Aggregate", _xlpm.r))</f>
        <v>Europe &amp; Central Asia</v>
      </c>
      <c r="G1735" s="4" t="str">
        <f>_xlfn.LET(_xlpm.ig, _xlfn.XLOOKUP(Clean_Data[[#This Row],[Country_Code]], Metadata_Country!$A:$A, Metadata_Country!$C:$C, "Unknown"), IF(OR(_xlpm.ig=0, _xlpm.ig=""), "Regional Aggregate", _xlpm.ig))</f>
        <v>High income</v>
      </c>
      <c r="H1735" s="4">
        <f>Clean_Data[[#This Row],[Exports_TIV]] - Clean_Data[[#This Row],[Imports_TIV]]</f>
        <v>561000000</v>
      </c>
      <c r="I1735" s="4">
        <f>Clean_Data[[#This Row],[Exports_TIV]] + Clean_Data[[#This Row],[Imports_TIV]]</f>
        <v>815000000</v>
      </c>
    </row>
    <row r="1736" spans="1:9">
      <c r="A1736" s="4" t="s">
        <v>247</v>
      </c>
      <c r="B1736" s="4" t="s">
        <v>248</v>
      </c>
      <c r="C1736" s="5">
        <v>2014</v>
      </c>
      <c r="D1736" s="4">
        <v>0</v>
      </c>
      <c r="E1736" s="4">
        <v>316000000</v>
      </c>
      <c r="F1736" s="4" t="str">
        <f>_xlfn.LET(_xlpm.r, _xlfn.XLOOKUP(Clean_Data[[#This Row],[Country_Code]], Metadata_Country!$A:$A, Metadata_Country!$B:$B, "Unknown"), IF(OR(_xlpm.r=0, _xlpm.r=""), "Regional Aggregate", _xlpm.r))</f>
        <v>East Asia &amp; Pacific</v>
      </c>
      <c r="G1736" s="4" t="str">
        <f>_xlfn.LET(_xlpm.ig, _xlfn.XLOOKUP(Clean_Data[[#This Row],[Country_Code]], Metadata_Country!$A:$A, Metadata_Country!$C:$C, "Unknown"), IF(OR(_xlpm.ig=0, _xlpm.ig=""), "Regional Aggregate", _xlpm.ig))</f>
        <v>High income</v>
      </c>
      <c r="H1736" s="4">
        <f>Clean_Data[[#This Row],[Exports_TIV]] - Clean_Data[[#This Row],[Imports_TIV]]</f>
        <v>-316000000</v>
      </c>
      <c r="I1736" s="4">
        <f>Clean_Data[[#This Row],[Exports_TIV]] + Clean_Data[[#This Row],[Imports_TIV]]</f>
        <v>316000000</v>
      </c>
    </row>
    <row r="1737" spans="1:9">
      <c r="A1737" s="4" t="s">
        <v>245</v>
      </c>
      <c r="B1737" s="4" t="s">
        <v>246</v>
      </c>
      <c r="C1737" s="5">
        <v>2014</v>
      </c>
      <c r="D1737" s="4">
        <v>114000000</v>
      </c>
      <c r="E1737" s="4">
        <v>194000000</v>
      </c>
      <c r="F1737" s="4" t="str">
        <f>_xlfn.LET(_xlpm.r, _xlfn.XLOOKUP(Clean_Data[[#This Row],[Country_Code]], Metadata_Country!$A:$A, Metadata_Country!$B:$B, "Unknown"), IF(OR(_xlpm.r=0, _xlpm.r=""), "Regional Aggregate", _xlpm.r))</f>
        <v>Middle East &amp; North Africa</v>
      </c>
      <c r="G1737" s="4" t="str">
        <f>_xlfn.LET(_xlpm.ig, _xlfn.XLOOKUP(Clean_Data[[#This Row],[Country_Code]], Metadata_Country!$A:$A, Metadata_Country!$C:$C, "Unknown"), IF(OR(_xlpm.ig=0, _xlpm.ig=""), "Regional Aggregate", _xlpm.ig))</f>
        <v>Upper middle income</v>
      </c>
      <c r="H1737" s="4">
        <f>Clean_Data[[#This Row],[Exports_TIV]] - Clean_Data[[#This Row],[Imports_TIV]]</f>
        <v>-80000000</v>
      </c>
      <c r="I1737" s="4">
        <f>Clean_Data[[#This Row],[Exports_TIV]] + Clean_Data[[#This Row],[Imports_TIV]]</f>
        <v>308000000</v>
      </c>
    </row>
    <row r="1738" spans="1:9">
      <c r="A1738" s="4" t="s">
        <v>249</v>
      </c>
      <c r="B1738" s="4" t="s">
        <v>250</v>
      </c>
      <c r="C1738" s="5">
        <v>2014</v>
      </c>
      <c r="D1738" s="4">
        <v>0</v>
      </c>
      <c r="E1738" s="4">
        <v>83000000</v>
      </c>
      <c r="F1738" s="4" t="str">
        <f>_xlfn.LET(_xlpm.r, _xlfn.XLOOKUP(Clean_Data[[#This Row],[Country_Code]], Metadata_Country!$A:$A, Metadata_Country!$B:$B, "Unknown"), IF(OR(_xlpm.r=0, _xlpm.r=""), "Regional Aggregate", _xlpm.r))</f>
        <v>Europe &amp; Central Asia</v>
      </c>
      <c r="G1738" s="4" t="str">
        <f>_xlfn.LET(_xlpm.ig, _xlfn.XLOOKUP(Clean_Data[[#This Row],[Country_Code]], Metadata_Country!$A:$A, Metadata_Country!$C:$C, "Unknown"), IF(OR(_xlpm.ig=0, _xlpm.ig=""), "Regional Aggregate", _xlpm.ig))</f>
        <v>Upper middle income</v>
      </c>
      <c r="H1738" s="4">
        <f>Clean_Data[[#This Row],[Exports_TIV]] - Clean_Data[[#This Row],[Imports_TIV]]</f>
        <v>-83000000</v>
      </c>
      <c r="I1738" s="4">
        <f>Clean_Data[[#This Row],[Exports_TIV]] + Clean_Data[[#This Row],[Imports_TIV]]</f>
        <v>83000000</v>
      </c>
    </row>
    <row r="1739" spans="1:9">
      <c r="A1739" s="4" t="s">
        <v>251</v>
      </c>
      <c r="B1739" s="4" t="s">
        <v>252</v>
      </c>
      <c r="C1739" s="5">
        <v>2014</v>
      </c>
      <c r="D1739" s="4">
        <v>0</v>
      </c>
      <c r="E1739" s="4">
        <v>17000000</v>
      </c>
      <c r="F1739" s="4" t="str">
        <f>_xlfn.LET(_xlpm.r, _xlfn.XLOOKUP(Clean_Data[[#This Row],[Country_Code]], Metadata_Country!$A:$A, Metadata_Country!$B:$B, "Unknown"), IF(OR(_xlpm.r=0, _xlpm.r=""), "Regional Aggregate", _xlpm.r))</f>
        <v>Sub-Saharan Africa</v>
      </c>
      <c r="G1739" s="4" t="str">
        <f>_xlfn.LET(_xlpm.ig, _xlfn.XLOOKUP(Clean_Data[[#This Row],[Country_Code]], Metadata_Country!$A:$A, Metadata_Country!$C:$C, "Unknown"), IF(OR(_xlpm.ig=0, _xlpm.ig=""), "Regional Aggregate", _xlpm.ig))</f>
        <v>Lower middle income</v>
      </c>
      <c r="H1739" s="4">
        <f>Clean_Data[[#This Row],[Exports_TIV]] - Clean_Data[[#This Row],[Imports_TIV]]</f>
        <v>-17000000</v>
      </c>
      <c r="I1739" s="4">
        <f>Clean_Data[[#This Row],[Exports_TIV]] + Clean_Data[[#This Row],[Imports_TIV]]</f>
        <v>17000000</v>
      </c>
    </row>
    <row r="1740" spans="1:9">
      <c r="A1740" s="4" t="s">
        <v>395</v>
      </c>
      <c r="B1740" s="4" t="s">
        <v>396</v>
      </c>
      <c r="C1740" s="5">
        <v>2014</v>
      </c>
      <c r="D1740" s="4">
        <v>1000000</v>
      </c>
      <c r="E1740" s="4">
        <v>0</v>
      </c>
      <c r="F1740" s="4" t="str">
        <f>_xlfn.LET(_xlpm.r, _xlfn.XLOOKUP(Clean_Data[[#This Row],[Country_Code]], Metadata_Country!$A:$A, Metadata_Country!$B:$B, "Unknown"), IF(OR(_xlpm.r=0, _xlpm.r=""), "Regional Aggregate", _xlpm.r))</f>
        <v>East Asia &amp; Pacific</v>
      </c>
      <c r="G1740" s="4" t="str">
        <f>_xlfn.LET(_xlpm.ig, _xlfn.XLOOKUP(Clean_Data[[#This Row],[Country_Code]], Metadata_Country!$A:$A, Metadata_Country!$C:$C, "Unknown"), IF(OR(_xlpm.ig=0, _xlpm.ig=""), "Regional Aggregate", _xlpm.ig))</f>
        <v>Low income</v>
      </c>
      <c r="H1740" s="4">
        <f>Clean_Data[[#This Row],[Exports_TIV]] - Clean_Data[[#This Row],[Imports_TIV]]</f>
        <v>1000000</v>
      </c>
      <c r="I1740" s="4">
        <f>Clean_Data[[#This Row],[Exports_TIV]] + Clean_Data[[#This Row],[Imports_TIV]]</f>
        <v>1000000</v>
      </c>
    </row>
    <row r="1741" spans="1:9">
      <c r="A1741" s="4" t="s">
        <v>261</v>
      </c>
      <c r="B1741" s="4" t="s">
        <v>262</v>
      </c>
      <c r="C1741" s="5">
        <v>2014</v>
      </c>
      <c r="D1741" s="4">
        <v>218000000</v>
      </c>
      <c r="E1741" s="4">
        <v>742000000</v>
      </c>
      <c r="F1741" s="4" t="str">
        <f>_xlfn.LET(_xlpm.r, _xlfn.XLOOKUP(Clean_Data[[#This Row],[Country_Code]], Metadata_Country!$A:$A, Metadata_Country!$B:$B, "Unknown"), IF(OR(_xlpm.r=0, _xlpm.r=""), "Regional Aggregate", _xlpm.r))</f>
        <v>East Asia &amp; Pacific</v>
      </c>
      <c r="G1741" s="4" t="str">
        <f>_xlfn.LET(_xlpm.ig, _xlfn.XLOOKUP(Clean_Data[[#This Row],[Country_Code]], Metadata_Country!$A:$A, Metadata_Country!$C:$C, "Unknown"), IF(OR(_xlpm.ig=0, _xlpm.ig=""), "Regional Aggregate", _xlpm.ig))</f>
        <v>High income</v>
      </c>
      <c r="H1741" s="4">
        <f>Clean_Data[[#This Row],[Exports_TIV]] - Clean_Data[[#This Row],[Imports_TIV]]</f>
        <v>-524000000</v>
      </c>
      <c r="I1741" s="4">
        <f>Clean_Data[[#This Row],[Exports_TIV]] + Clean_Data[[#This Row],[Imports_TIV]]</f>
        <v>960000000</v>
      </c>
    </row>
    <row r="1742" spans="1:9">
      <c r="A1742" s="4" t="s">
        <v>531</v>
      </c>
      <c r="B1742" s="4" t="s">
        <v>532</v>
      </c>
      <c r="C1742" s="5">
        <v>2014</v>
      </c>
      <c r="D1742" s="4">
        <v>0</v>
      </c>
      <c r="E1742" s="4">
        <v>1000000</v>
      </c>
      <c r="F1742" s="4" t="str">
        <f>_xlfn.LET(_xlpm.r, _xlfn.XLOOKUP(Clean_Data[[#This Row],[Country_Code]], Metadata_Country!$A:$A, Metadata_Country!$B:$B, "Unknown"), IF(OR(_xlpm.r=0, _xlpm.r=""), "Regional Aggregate", _xlpm.r))</f>
        <v>Europe &amp; Central Asia</v>
      </c>
      <c r="G1742" s="4" t="str">
        <f>_xlfn.LET(_xlpm.ig, _xlfn.XLOOKUP(Clean_Data[[#This Row],[Country_Code]], Metadata_Country!$A:$A, Metadata_Country!$C:$C, "Unknown"), IF(OR(_xlpm.ig=0, _xlpm.ig=""), "Regional Aggregate", _xlpm.ig))</f>
        <v>Upper middle income</v>
      </c>
      <c r="H1742" s="4">
        <f>Clean_Data[[#This Row],[Exports_TIV]] - Clean_Data[[#This Row],[Imports_TIV]]</f>
        <v>-1000000</v>
      </c>
      <c r="I1742" s="4">
        <f>Clean_Data[[#This Row],[Exports_TIV]] + Clean_Data[[#This Row],[Imports_TIV]]</f>
        <v>1000000</v>
      </c>
    </row>
    <row r="1743" spans="1:9">
      <c r="A1743" s="4" t="s">
        <v>263</v>
      </c>
      <c r="B1743" s="4" t="s">
        <v>264</v>
      </c>
      <c r="C1743" s="5">
        <v>2014</v>
      </c>
      <c r="D1743" s="4">
        <v>0</v>
      </c>
      <c r="E1743" s="4">
        <v>701000000</v>
      </c>
      <c r="F1743" s="4" t="str">
        <f>_xlfn.LET(_xlpm.r, _xlfn.XLOOKUP(Clean_Data[[#This Row],[Country_Code]], Metadata_Country!$A:$A, Metadata_Country!$B:$B, "Unknown"), IF(OR(_xlpm.r=0, _xlpm.r=""), "Regional Aggregate", _xlpm.r))</f>
        <v>Middle East &amp; North Africa</v>
      </c>
      <c r="G1743" s="4" t="str">
        <f>_xlfn.LET(_xlpm.ig, _xlfn.XLOOKUP(Clean_Data[[#This Row],[Country_Code]], Metadata_Country!$A:$A, Metadata_Country!$C:$C, "Unknown"), IF(OR(_xlpm.ig=0, _xlpm.ig=""), "Regional Aggregate", _xlpm.ig))</f>
        <v>High income</v>
      </c>
      <c r="H1743" s="4">
        <f>Clean_Data[[#This Row],[Exports_TIV]] - Clean_Data[[#This Row],[Imports_TIV]]</f>
        <v>-701000000</v>
      </c>
      <c r="I1743" s="4">
        <f>Clean_Data[[#This Row],[Exports_TIV]] + Clean_Data[[#This Row],[Imports_TIV]]</f>
        <v>701000000</v>
      </c>
    </row>
    <row r="1744" spans="1:9">
      <c r="A1744" s="4" t="s">
        <v>293</v>
      </c>
      <c r="B1744" s="4" t="s">
        <v>294</v>
      </c>
      <c r="C1744" s="5">
        <v>2014</v>
      </c>
      <c r="D1744" s="4">
        <v>6998000000</v>
      </c>
      <c r="E1744" s="4">
        <v>7256000000</v>
      </c>
      <c r="F1744" s="4" t="str">
        <f>_xlfn.LET(_xlpm.r, _xlfn.XLOOKUP(Clean_Data[[#This Row],[Country_Code]], Metadata_Country!$A:$A, Metadata_Country!$B:$B, "Unknown"), IF(OR(_xlpm.r=0, _xlpm.r=""), "Regional Aggregate", _xlpm.r))</f>
        <v>Regional Aggregate</v>
      </c>
      <c r="G1744" s="4" t="str">
        <f>_xlfn.LET(_xlpm.ig, _xlfn.XLOOKUP(Clean_Data[[#This Row],[Country_Code]], Metadata_Country!$A:$A, Metadata_Country!$C:$C, "Unknown"), IF(OR(_xlpm.ig=0, _xlpm.ig=""), "Regional Aggregate", _xlpm.ig))</f>
        <v>Regional Aggregate</v>
      </c>
      <c r="H1744" s="4">
        <f>Clean_Data[[#This Row],[Exports_TIV]] - Clean_Data[[#This Row],[Imports_TIV]]</f>
        <v>-258000000</v>
      </c>
      <c r="I1744" s="4">
        <f>Clean_Data[[#This Row],[Exports_TIV]] + Clean_Data[[#This Row],[Imports_TIV]]</f>
        <v>14254000000</v>
      </c>
    </row>
    <row r="1745" spans="1:9">
      <c r="A1745" s="4" t="s">
        <v>277</v>
      </c>
      <c r="B1745" s="4" t="s">
        <v>278</v>
      </c>
      <c r="C1745" s="5">
        <v>2014</v>
      </c>
      <c r="D1745" s="4">
        <v>0</v>
      </c>
      <c r="E1745" s="4">
        <v>1128000000</v>
      </c>
      <c r="F1745" s="4" t="str">
        <f>_xlfn.LET(_xlpm.r, _xlfn.XLOOKUP(Clean_Data[[#This Row],[Country_Code]], Metadata_Country!$A:$A, Metadata_Country!$B:$B, "Unknown"), IF(OR(_xlpm.r=0, _xlpm.r=""), "Regional Aggregate", _xlpm.r))</f>
        <v>Regional Aggregate</v>
      </c>
      <c r="G1745" s="4" t="str">
        <f>_xlfn.LET(_xlpm.ig, _xlfn.XLOOKUP(Clean_Data[[#This Row],[Country_Code]], Metadata_Country!$A:$A, Metadata_Country!$C:$C, "Unknown"), IF(OR(_xlpm.ig=0, _xlpm.ig=""), "Regional Aggregate", _xlpm.ig))</f>
        <v>Regional Aggregate</v>
      </c>
      <c r="H1745" s="4">
        <f>Clean_Data[[#This Row],[Exports_TIV]] - Clean_Data[[#This Row],[Imports_TIV]]</f>
        <v>-1128000000</v>
      </c>
      <c r="I1745" s="4">
        <f>Clean_Data[[#This Row],[Exports_TIV]] + Clean_Data[[#This Row],[Imports_TIV]]</f>
        <v>1128000000</v>
      </c>
    </row>
    <row r="1746" spans="1:9">
      <c r="A1746" s="4" t="s">
        <v>265</v>
      </c>
      <c r="B1746" s="4" t="s">
        <v>266</v>
      </c>
      <c r="C1746" s="5">
        <v>2014</v>
      </c>
      <c r="D1746" s="4">
        <v>0</v>
      </c>
      <c r="E1746" s="4">
        <v>954000000</v>
      </c>
      <c r="F1746" s="4" t="str">
        <f>_xlfn.LET(_xlpm.r, _xlfn.XLOOKUP(Clean_Data[[#This Row],[Country_Code]], Metadata_Country!$A:$A, Metadata_Country!$B:$B, "Unknown"), IF(OR(_xlpm.r=0, _xlpm.r=""), "Regional Aggregate", _xlpm.r))</f>
        <v>Regional Aggregate</v>
      </c>
      <c r="G1746" s="4" t="str">
        <f>_xlfn.LET(_xlpm.ig, _xlfn.XLOOKUP(Clean_Data[[#This Row],[Country_Code]], Metadata_Country!$A:$A, Metadata_Country!$C:$C, "Unknown"), IF(OR(_xlpm.ig=0, _xlpm.ig=""), "Regional Aggregate", _xlpm.ig))</f>
        <v>Regional Aggregate</v>
      </c>
      <c r="H1746" s="4">
        <f>Clean_Data[[#This Row],[Exports_TIV]] - Clean_Data[[#This Row],[Imports_TIV]]</f>
        <v>-954000000</v>
      </c>
      <c r="I1746" s="4">
        <f>Clean_Data[[#This Row],[Exports_TIV]] + Clean_Data[[#This Row],[Imports_TIV]]</f>
        <v>954000000</v>
      </c>
    </row>
    <row r="1747" spans="1:9">
      <c r="A1747" s="4" t="s">
        <v>481</v>
      </c>
      <c r="B1747" s="4" t="s">
        <v>482</v>
      </c>
      <c r="C1747" s="5">
        <v>2014</v>
      </c>
      <c r="D1747" s="4">
        <v>0</v>
      </c>
      <c r="E1747" s="4">
        <v>1098000000</v>
      </c>
      <c r="F1747" s="4" t="str">
        <f>_xlfn.LET(_xlpm.r, _xlfn.XLOOKUP(Clean_Data[[#This Row],[Country_Code]], Metadata_Country!$A:$A, Metadata_Country!$B:$B, "Unknown"), IF(OR(_xlpm.r=0, _xlpm.r=""), "Regional Aggregate", _xlpm.r))</f>
        <v>Regional Aggregate</v>
      </c>
      <c r="G1747" s="4" t="str">
        <f>_xlfn.LET(_xlpm.ig, _xlfn.XLOOKUP(Clean_Data[[#This Row],[Country_Code]], Metadata_Country!$A:$A, Metadata_Country!$C:$C, "Unknown"), IF(OR(_xlpm.ig=0, _xlpm.ig=""), "Regional Aggregate", _xlpm.ig))</f>
        <v>Regional Aggregate</v>
      </c>
      <c r="H1747" s="4">
        <f>Clean_Data[[#This Row],[Exports_TIV]] - Clean_Data[[#This Row],[Imports_TIV]]</f>
        <v>-1098000000</v>
      </c>
      <c r="I1747" s="4">
        <f>Clean_Data[[#This Row],[Exports_TIV]] + Clean_Data[[#This Row],[Imports_TIV]]</f>
        <v>1098000000</v>
      </c>
    </row>
    <row r="1748" spans="1:9">
      <c r="A1748" s="4" t="s">
        <v>299</v>
      </c>
      <c r="B1748" s="4" t="s">
        <v>300</v>
      </c>
      <c r="C1748" s="5">
        <v>2014</v>
      </c>
      <c r="D1748" s="4">
        <v>0</v>
      </c>
      <c r="E1748" s="4">
        <v>5000000</v>
      </c>
      <c r="F1748" s="4" t="str">
        <f>_xlfn.LET(_xlpm.r, _xlfn.XLOOKUP(Clean_Data[[#This Row],[Country_Code]], Metadata_Country!$A:$A, Metadata_Country!$B:$B, "Unknown"), IF(OR(_xlpm.r=0, _xlpm.r=""), "Regional Aggregate", _xlpm.r))</f>
        <v>Europe &amp; Central Asia</v>
      </c>
      <c r="G1748" s="4" t="str">
        <f>_xlfn.LET(_xlpm.ig, _xlfn.XLOOKUP(Clean_Data[[#This Row],[Country_Code]], Metadata_Country!$A:$A, Metadata_Country!$C:$C, "Unknown"), IF(OR(_xlpm.ig=0, _xlpm.ig=""), "Regional Aggregate", _xlpm.ig))</f>
        <v>High income</v>
      </c>
      <c r="H1748" s="4">
        <f>Clean_Data[[#This Row],[Exports_TIV]] - Clean_Data[[#This Row],[Imports_TIV]]</f>
        <v>-5000000</v>
      </c>
      <c r="I1748" s="4">
        <f>Clean_Data[[#This Row],[Exports_TIV]] + Clean_Data[[#This Row],[Imports_TIV]]</f>
        <v>5000000</v>
      </c>
    </row>
    <row r="1749" spans="1:9">
      <c r="A1749" s="4" t="s">
        <v>279</v>
      </c>
      <c r="B1749" s="4" t="s">
        <v>280</v>
      </c>
      <c r="C1749" s="5">
        <v>2014</v>
      </c>
      <c r="D1749" s="4">
        <v>0</v>
      </c>
      <c r="E1749" s="4">
        <v>962000000</v>
      </c>
      <c r="F1749" s="4" t="str">
        <f>_xlfn.LET(_xlpm.r, _xlfn.XLOOKUP(Clean_Data[[#This Row],[Country_Code]], Metadata_Country!$A:$A, Metadata_Country!$B:$B, "Unknown"), IF(OR(_xlpm.r=0, _xlpm.r=""), "Regional Aggregate", _xlpm.r))</f>
        <v>Regional Aggregate</v>
      </c>
      <c r="G1749" s="4" t="str">
        <f>_xlfn.LET(_xlpm.ig, _xlfn.XLOOKUP(Clean_Data[[#This Row],[Country_Code]], Metadata_Country!$A:$A, Metadata_Country!$C:$C, "Unknown"), IF(OR(_xlpm.ig=0, _xlpm.ig=""), "Regional Aggregate", _xlpm.ig))</f>
        <v>Regional Aggregate</v>
      </c>
      <c r="H1749" s="4">
        <f>Clean_Data[[#This Row],[Exports_TIV]] - Clean_Data[[#This Row],[Imports_TIV]]</f>
        <v>-962000000</v>
      </c>
      <c r="I1749" s="4">
        <f>Clean_Data[[#This Row],[Exports_TIV]] + Clean_Data[[#This Row],[Imports_TIV]]</f>
        <v>962000000</v>
      </c>
    </row>
    <row r="1750" spans="1:9">
      <c r="A1750" s="4" t="s">
        <v>269</v>
      </c>
      <c r="B1750" s="4" t="s">
        <v>270</v>
      </c>
      <c r="C1750" s="5">
        <v>2014</v>
      </c>
      <c r="D1750" s="4">
        <v>0</v>
      </c>
      <c r="E1750" s="4">
        <v>6000000</v>
      </c>
      <c r="F1750" s="4" t="str">
        <f>_xlfn.LET(_xlpm.r, _xlfn.XLOOKUP(Clean_Data[[#This Row],[Country_Code]], Metadata_Country!$A:$A, Metadata_Country!$B:$B, "Unknown"), IF(OR(_xlpm.r=0, _xlpm.r=""), "Regional Aggregate", _xlpm.r))</f>
        <v>Middle East &amp; North Africa</v>
      </c>
      <c r="G1750" s="4" t="str">
        <f>_xlfn.LET(_xlpm.ig, _xlfn.XLOOKUP(Clean_Data[[#This Row],[Country_Code]], Metadata_Country!$A:$A, Metadata_Country!$C:$C, "Unknown"), IF(OR(_xlpm.ig=0, _xlpm.ig=""), "Regional Aggregate", _xlpm.ig))</f>
        <v>Lower middle income</v>
      </c>
      <c r="H1750" s="4">
        <f>Clean_Data[[#This Row],[Exports_TIV]] - Clean_Data[[#This Row],[Imports_TIV]]</f>
        <v>-6000000</v>
      </c>
      <c r="I1750" s="4">
        <f>Clean_Data[[#This Row],[Exports_TIV]] + Clean_Data[[#This Row],[Imports_TIV]]</f>
        <v>6000000</v>
      </c>
    </row>
    <row r="1751" spans="1:9">
      <c r="A1751" s="4" t="s">
        <v>295</v>
      </c>
      <c r="B1751" s="4" t="s">
        <v>296</v>
      </c>
      <c r="C1751" s="5">
        <v>2014</v>
      </c>
      <c r="D1751" s="4">
        <v>0</v>
      </c>
      <c r="E1751" s="4">
        <v>10000000</v>
      </c>
      <c r="F1751" s="4" t="str">
        <f>_xlfn.LET(_xlpm.r, _xlfn.XLOOKUP(Clean_Data[[#This Row],[Country_Code]], Metadata_Country!$A:$A, Metadata_Country!$B:$B, "Unknown"), IF(OR(_xlpm.r=0, _xlpm.r=""), "Regional Aggregate", _xlpm.r))</f>
        <v>Europe &amp; Central Asia</v>
      </c>
      <c r="G1751" s="4" t="str">
        <f>_xlfn.LET(_xlpm.ig, _xlfn.XLOOKUP(Clean_Data[[#This Row],[Country_Code]], Metadata_Country!$A:$A, Metadata_Country!$C:$C, "Unknown"), IF(OR(_xlpm.ig=0, _xlpm.ig=""), "Regional Aggregate", _xlpm.ig))</f>
        <v>High income</v>
      </c>
      <c r="H1751" s="4">
        <f>Clean_Data[[#This Row],[Exports_TIV]] - Clean_Data[[#This Row],[Imports_TIV]]</f>
        <v>-10000000</v>
      </c>
      <c r="I1751" s="4">
        <f>Clean_Data[[#This Row],[Exports_TIV]] + Clean_Data[[#This Row],[Imports_TIV]]</f>
        <v>10000000</v>
      </c>
    </row>
    <row r="1752" spans="1:9">
      <c r="A1752" s="4" t="s">
        <v>289</v>
      </c>
      <c r="B1752" s="4" t="s">
        <v>290</v>
      </c>
      <c r="C1752" s="5">
        <v>2014</v>
      </c>
      <c r="D1752" s="4">
        <v>0</v>
      </c>
      <c r="E1752" s="4">
        <v>15346000000</v>
      </c>
      <c r="F1752" s="4" t="str">
        <f>_xlfn.LET(_xlpm.r, _xlfn.XLOOKUP(Clean_Data[[#This Row],[Country_Code]], Metadata_Country!$A:$A, Metadata_Country!$B:$B, "Unknown"), IF(OR(_xlpm.r=0, _xlpm.r=""), "Regional Aggregate", _xlpm.r))</f>
        <v>Regional Aggregate</v>
      </c>
      <c r="G1752" s="4" t="str">
        <f>_xlfn.LET(_xlpm.ig, _xlfn.XLOOKUP(Clean_Data[[#This Row],[Country_Code]], Metadata_Country!$A:$A, Metadata_Country!$C:$C, "Unknown"), IF(OR(_xlpm.ig=0, _xlpm.ig=""), "Regional Aggregate", _xlpm.ig))</f>
        <v>Regional Aggregate</v>
      </c>
      <c r="H1752" s="4">
        <f>Clean_Data[[#This Row],[Exports_TIV]] - Clean_Data[[#This Row],[Imports_TIV]]</f>
        <v>-15346000000</v>
      </c>
      <c r="I1752" s="4">
        <f>Clean_Data[[#This Row],[Exports_TIV]] + Clean_Data[[#This Row],[Imports_TIV]]</f>
        <v>15346000000</v>
      </c>
    </row>
    <row r="1753" spans="1:9">
      <c r="A1753" s="4" t="s">
        <v>281</v>
      </c>
      <c r="B1753" s="4" t="s">
        <v>282</v>
      </c>
      <c r="C1753" s="5">
        <v>2014</v>
      </c>
      <c r="D1753" s="4">
        <v>0</v>
      </c>
      <c r="E1753" s="4">
        <v>577000000</v>
      </c>
      <c r="F1753" s="4" t="str">
        <f>_xlfn.LET(_xlpm.r, _xlfn.XLOOKUP(Clean_Data[[#This Row],[Country_Code]], Metadata_Country!$A:$A, Metadata_Country!$B:$B, "Unknown"), IF(OR(_xlpm.r=0, _xlpm.r=""), "Regional Aggregate", _xlpm.r))</f>
        <v>Regional Aggregate</v>
      </c>
      <c r="G1753" s="4" t="str">
        <f>_xlfn.LET(_xlpm.ig, _xlfn.XLOOKUP(Clean_Data[[#This Row],[Country_Code]], Metadata_Country!$A:$A, Metadata_Country!$C:$C, "Unknown"), IF(OR(_xlpm.ig=0, _xlpm.ig=""), "Regional Aggregate", _xlpm.ig))</f>
        <v>Regional Aggregate</v>
      </c>
      <c r="H1753" s="4">
        <f>Clean_Data[[#This Row],[Exports_TIV]] - Clean_Data[[#This Row],[Imports_TIV]]</f>
        <v>-577000000</v>
      </c>
      <c r="I1753" s="4">
        <f>Clean_Data[[#This Row],[Exports_TIV]] + Clean_Data[[#This Row],[Imports_TIV]]</f>
        <v>577000000</v>
      </c>
    </row>
    <row r="1754" spans="1:9">
      <c r="A1754" s="4" t="s">
        <v>287</v>
      </c>
      <c r="B1754" s="4" t="s">
        <v>288</v>
      </c>
      <c r="C1754" s="5">
        <v>2014</v>
      </c>
      <c r="D1754" s="4">
        <v>0</v>
      </c>
      <c r="E1754" s="4">
        <v>6297000000</v>
      </c>
      <c r="F1754" s="4" t="str">
        <f>_xlfn.LET(_xlpm.r, _xlfn.XLOOKUP(Clean_Data[[#This Row],[Country_Code]], Metadata_Country!$A:$A, Metadata_Country!$B:$B, "Unknown"), IF(OR(_xlpm.r=0, _xlpm.r=""), "Regional Aggregate", _xlpm.r))</f>
        <v>Regional Aggregate</v>
      </c>
      <c r="G1754" s="4" t="str">
        <f>_xlfn.LET(_xlpm.ig, _xlfn.XLOOKUP(Clean_Data[[#This Row],[Country_Code]], Metadata_Country!$A:$A, Metadata_Country!$C:$C, "Unknown"), IF(OR(_xlpm.ig=0, _xlpm.ig=""), "Regional Aggregate", _xlpm.ig))</f>
        <v>Regional Aggregate</v>
      </c>
      <c r="H1754" s="4">
        <f>Clean_Data[[#This Row],[Exports_TIV]] - Clean_Data[[#This Row],[Imports_TIV]]</f>
        <v>-6297000000</v>
      </c>
      <c r="I1754" s="4">
        <f>Clean_Data[[#This Row],[Exports_TIV]] + Clean_Data[[#This Row],[Imports_TIV]]</f>
        <v>6297000000</v>
      </c>
    </row>
    <row r="1755" spans="1:9">
      <c r="A1755" s="4" t="s">
        <v>345</v>
      </c>
      <c r="B1755" s="4" t="s">
        <v>346</v>
      </c>
      <c r="C1755" s="5">
        <v>2014</v>
      </c>
      <c r="D1755" s="4">
        <v>0</v>
      </c>
      <c r="E1755" s="4">
        <v>2000000</v>
      </c>
      <c r="F1755" s="4" t="str">
        <f>_xlfn.LET(_xlpm.r, _xlfn.XLOOKUP(Clean_Data[[#This Row],[Country_Code]], Metadata_Country!$A:$A, Metadata_Country!$B:$B, "Unknown"), IF(OR(_xlpm.r=0, _xlpm.r=""), "Regional Aggregate", _xlpm.r))</f>
        <v>Sub-Saharan Africa</v>
      </c>
      <c r="G1755" s="4" t="str">
        <f>_xlfn.LET(_xlpm.ig, _xlfn.XLOOKUP(Clean_Data[[#This Row],[Country_Code]], Metadata_Country!$A:$A, Metadata_Country!$C:$C, "Unknown"), IF(OR(_xlpm.ig=0, _xlpm.ig=""), "Regional Aggregate", _xlpm.ig))</f>
        <v>Low income</v>
      </c>
      <c r="H1755" s="4">
        <f>Clean_Data[[#This Row],[Exports_TIV]] - Clean_Data[[#This Row],[Imports_TIV]]</f>
        <v>-2000000</v>
      </c>
      <c r="I1755" s="4">
        <f>Clean_Data[[#This Row],[Exports_TIV]] + Clean_Data[[#This Row],[Imports_TIV]]</f>
        <v>2000000</v>
      </c>
    </row>
    <row r="1756" spans="1:9">
      <c r="A1756" s="4" t="s">
        <v>347</v>
      </c>
      <c r="B1756" s="4" t="s">
        <v>348</v>
      </c>
      <c r="C1756" s="5">
        <v>2014</v>
      </c>
      <c r="D1756" s="4">
        <v>15000000</v>
      </c>
      <c r="E1756" s="4">
        <v>75000000</v>
      </c>
      <c r="F1756" s="4" t="str">
        <f>_xlfn.LET(_xlpm.r, _xlfn.XLOOKUP(Clean_Data[[#This Row],[Country_Code]], Metadata_Country!$A:$A, Metadata_Country!$B:$B, "Unknown"), IF(OR(_xlpm.r=0, _xlpm.r=""), "Regional Aggregate", _xlpm.r))</f>
        <v>East Asia &amp; Pacific</v>
      </c>
      <c r="G1756" s="4" t="str">
        <f>_xlfn.LET(_xlpm.ig, _xlfn.XLOOKUP(Clean_Data[[#This Row],[Country_Code]], Metadata_Country!$A:$A, Metadata_Country!$C:$C, "Unknown"), IF(OR(_xlpm.ig=0, _xlpm.ig=""), "Regional Aggregate", _xlpm.ig))</f>
        <v>Upper middle income</v>
      </c>
      <c r="H1756" s="4">
        <f>Clean_Data[[#This Row],[Exports_TIV]] - Clean_Data[[#This Row],[Imports_TIV]]</f>
        <v>-60000000</v>
      </c>
      <c r="I1756" s="4">
        <f>Clean_Data[[#This Row],[Exports_TIV]] + Clean_Data[[#This Row],[Imports_TIV]]</f>
        <v>90000000</v>
      </c>
    </row>
    <row r="1757" spans="1:9">
      <c r="A1757" s="4" t="s">
        <v>325</v>
      </c>
      <c r="B1757" s="4" t="s">
        <v>326</v>
      </c>
      <c r="C1757" s="5">
        <v>2014</v>
      </c>
      <c r="D1757" s="4">
        <v>0</v>
      </c>
      <c r="E1757" s="4">
        <v>1000000</v>
      </c>
      <c r="F1757" s="4" t="str">
        <f>_xlfn.LET(_xlpm.r, _xlfn.XLOOKUP(Clean_Data[[#This Row],[Country_Code]], Metadata_Country!$A:$A, Metadata_Country!$B:$B, "Unknown"), IF(OR(_xlpm.r=0, _xlpm.r=""), "Regional Aggregate", _xlpm.r))</f>
        <v>Sub-Saharan Africa</v>
      </c>
      <c r="G1757" s="4" t="str">
        <f>_xlfn.LET(_xlpm.ig, _xlfn.XLOOKUP(Clean_Data[[#This Row],[Country_Code]], Metadata_Country!$A:$A, Metadata_Country!$C:$C, "Unknown"), IF(OR(_xlpm.ig=0, _xlpm.ig=""), "Regional Aggregate", _xlpm.ig))</f>
        <v>Low income</v>
      </c>
      <c r="H1757" s="4">
        <f>Clean_Data[[#This Row],[Exports_TIV]] - Clean_Data[[#This Row],[Imports_TIV]]</f>
        <v>-1000000</v>
      </c>
      <c r="I1757" s="4">
        <f>Clean_Data[[#This Row],[Exports_TIV]] + Clean_Data[[#This Row],[Imports_TIV]]</f>
        <v>1000000</v>
      </c>
    </row>
    <row r="1758" spans="1:9">
      <c r="A1758" s="4" t="s">
        <v>327</v>
      </c>
      <c r="B1758" s="4" t="s">
        <v>328</v>
      </c>
      <c r="C1758" s="5">
        <v>2014</v>
      </c>
      <c r="D1758" s="4">
        <v>0</v>
      </c>
      <c r="E1758" s="4">
        <v>12000000</v>
      </c>
      <c r="F1758" s="4" t="str">
        <f>_xlfn.LET(_xlpm.r, _xlfn.XLOOKUP(Clean_Data[[#This Row],[Country_Code]], Metadata_Country!$A:$A, Metadata_Country!$B:$B, "Unknown"), IF(OR(_xlpm.r=0, _xlpm.r=""), "Regional Aggregate", _xlpm.r))</f>
        <v>Middle East &amp; North Africa</v>
      </c>
      <c r="G1758" s="4" t="str">
        <f>_xlfn.LET(_xlpm.ig, _xlfn.XLOOKUP(Clean_Data[[#This Row],[Country_Code]], Metadata_Country!$A:$A, Metadata_Country!$C:$C, "Unknown"), IF(OR(_xlpm.ig=0, _xlpm.ig=""), "Regional Aggregate", _xlpm.ig))</f>
        <v>High income</v>
      </c>
      <c r="H1758" s="4">
        <f>Clean_Data[[#This Row],[Exports_TIV]] - Clean_Data[[#This Row],[Imports_TIV]]</f>
        <v>-12000000</v>
      </c>
      <c r="I1758" s="4">
        <f>Clean_Data[[#This Row],[Exports_TIV]] + Clean_Data[[#This Row],[Imports_TIV]]</f>
        <v>12000000</v>
      </c>
    </row>
    <row r="1759" spans="1:9">
      <c r="A1759" s="4" t="s">
        <v>341</v>
      </c>
      <c r="B1759" s="4" t="s">
        <v>342</v>
      </c>
      <c r="C1759" s="5">
        <v>2014</v>
      </c>
      <c r="D1759" s="4">
        <v>0</v>
      </c>
      <c r="E1759" s="4">
        <v>8000000</v>
      </c>
      <c r="F1759" s="4" t="str">
        <f>_xlfn.LET(_xlpm.r, _xlfn.XLOOKUP(Clean_Data[[#This Row],[Country_Code]], Metadata_Country!$A:$A, Metadata_Country!$B:$B, "Unknown"), IF(OR(_xlpm.r=0, _xlpm.r=""), "Regional Aggregate", _xlpm.r))</f>
        <v>Sub-Saharan Africa</v>
      </c>
      <c r="G1759" s="4" t="str">
        <f>_xlfn.LET(_xlpm.ig, _xlfn.XLOOKUP(Clean_Data[[#This Row],[Country_Code]], Metadata_Country!$A:$A, Metadata_Country!$C:$C, "Unknown"), IF(OR(_xlpm.ig=0, _xlpm.ig=""), "Regional Aggregate", _xlpm.ig))</f>
        <v>Lower middle income</v>
      </c>
      <c r="H1759" s="4">
        <f>Clean_Data[[#This Row],[Exports_TIV]] - Clean_Data[[#This Row],[Imports_TIV]]</f>
        <v>-8000000</v>
      </c>
      <c r="I1759" s="4">
        <f>Clean_Data[[#This Row],[Exports_TIV]] + Clean_Data[[#This Row],[Imports_TIV]]</f>
        <v>8000000</v>
      </c>
    </row>
    <row r="1760" spans="1:9">
      <c r="A1760" s="4" t="s">
        <v>343</v>
      </c>
      <c r="B1760" s="4" t="s">
        <v>344</v>
      </c>
      <c r="C1760" s="5">
        <v>2014</v>
      </c>
      <c r="D1760" s="4">
        <v>0</v>
      </c>
      <c r="E1760" s="4">
        <v>28000000</v>
      </c>
      <c r="F1760" s="4" t="str">
        <f>_xlfn.LET(_xlpm.r, _xlfn.XLOOKUP(Clean_Data[[#This Row],[Country_Code]], Metadata_Country!$A:$A, Metadata_Country!$B:$B, "Unknown"), IF(OR(_xlpm.r=0, _xlpm.r=""), "Regional Aggregate", _xlpm.r))</f>
        <v>Sub-Saharan Africa</v>
      </c>
      <c r="G1760" s="4" t="str">
        <f>_xlfn.LET(_xlpm.ig, _xlfn.XLOOKUP(Clean_Data[[#This Row],[Country_Code]], Metadata_Country!$A:$A, Metadata_Country!$C:$C, "Unknown"), IF(OR(_xlpm.ig=0, _xlpm.ig=""), "Regional Aggregate", _xlpm.ig))</f>
        <v>Upper middle income</v>
      </c>
      <c r="H1760" s="4">
        <f>Clean_Data[[#This Row],[Exports_TIV]] - Clean_Data[[#This Row],[Imports_TIV]]</f>
        <v>-28000000</v>
      </c>
      <c r="I1760" s="4">
        <f>Clean_Data[[#This Row],[Exports_TIV]] + Clean_Data[[#This Row],[Imports_TIV]]</f>
        <v>28000000</v>
      </c>
    </row>
    <row r="1761" spans="1:9">
      <c r="A1761" s="4" t="s">
        <v>317</v>
      </c>
      <c r="B1761" s="4" t="s">
        <v>318</v>
      </c>
      <c r="C1761" s="5">
        <v>2014</v>
      </c>
      <c r="D1761" s="4">
        <v>0</v>
      </c>
      <c r="E1761" s="4">
        <v>89000000</v>
      </c>
      <c r="F1761" s="4" t="str">
        <f>_xlfn.LET(_xlpm.r, _xlfn.XLOOKUP(Clean_Data[[#This Row],[Country_Code]], Metadata_Country!$A:$A, Metadata_Country!$B:$B, "Unknown"), IF(OR(_xlpm.r=0, _xlpm.r=""), "Regional Aggregate", _xlpm.r))</f>
        <v>Latin America &amp; Caribbean</v>
      </c>
      <c r="G1761" s="4" t="str">
        <f>_xlfn.LET(_xlpm.ig, _xlfn.XLOOKUP(Clean_Data[[#This Row],[Country_Code]], Metadata_Country!$A:$A, Metadata_Country!$C:$C, "Unknown"), IF(OR(_xlpm.ig=0, _xlpm.ig=""), "Regional Aggregate", _xlpm.ig))</f>
        <v>Upper middle income</v>
      </c>
      <c r="H1761" s="4">
        <f>Clean_Data[[#This Row],[Exports_TIV]] - Clean_Data[[#This Row],[Imports_TIV]]</f>
        <v>-89000000</v>
      </c>
      <c r="I1761" s="4">
        <f>Clean_Data[[#This Row],[Exports_TIV]] + Clean_Data[[#This Row],[Imports_TIV]]</f>
        <v>89000000</v>
      </c>
    </row>
    <row r="1762" spans="1:9">
      <c r="A1762" s="4" t="s">
        <v>315</v>
      </c>
      <c r="B1762" s="4" t="s">
        <v>316</v>
      </c>
      <c r="C1762" s="5">
        <v>2014</v>
      </c>
      <c r="D1762" s="4">
        <v>0</v>
      </c>
      <c r="E1762" s="4">
        <v>9328000000</v>
      </c>
      <c r="F1762" s="4" t="str">
        <f>_xlfn.LET(_xlpm.r, _xlfn.XLOOKUP(Clean_Data[[#This Row],[Country_Code]], Metadata_Country!$A:$A, Metadata_Country!$B:$B, "Unknown"), IF(OR(_xlpm.r=0, _xlpm.r=""), "Regional Aggregate", _xlpm.r))</f>
        <v>Regional Aggregate</v>
      </c>
      <c r="G1762" s="4" t="str">
        <f>_xlfn.LET(_xlpm.ig, _xlfn.XLOOKUP(Clean_Data[[#This Row],[Country_Code]], Metadata_Country!$A:$A, Metadata_Country!$C:$C, "Unknown"), IF(OR(_xlpm.ig=0, _xlpm.ig=""), "Regional Aggregate", _xlpm.ig))</f>
        <v>Regional Aggregate</v>
      </c>
      <c r="H1762" s="4">
        <f>Clean_Data[[#This Row],[Exports_TIV]] - Clean_Data[[#This Row],[Imports_TIV]]</f>
        <v>-9328000000</v>
      </c>
      <c r="I1762" s="4">
        <f>Clean_Data[[#This Row],[Exports_TIV]] + Clean_Data[[#This Row],[Imports_TIV]]</f>
        <v>9328000000</v>
      </c>
    </row>
    <row r="1763" spans="1:9">
      <c r="A1763" s="4" t="s">
        <v>331</v>
      </c>
      <c r="B1763" s="4" t="s">
        <v>332</v>
      </c>
      <c r="C1763" s="5">
        <v>2014</v>
      </c>
      <c r="D1763" s="4">
        <v>0</v>
      </c>
      <c r="E1763" s="4">
        <v>3838000000</v>
      </c>
      <c r="F1763" s="4" t="str">
        <f>_xlfn.LET(_xlpm.r, _xlfn.XLOOKUP(Clean_Data[[#This Row],[Country_Code]], Metadata_Country!$A:$A, Metadata_Country!$B:$B, "Unknown"), IF(OR(_xlpm.r=0, _xlpm.r=""), "Regional Aggregate", _xlpm.r))</f>
        <v>Regional Aggregate</v>
      </c>
      <c r="G1763" s="4" t="str">
        <f>_xlfn.LET(_xlpm.ig, _xlfn.XLOOKUP(Clean_Data[[#This Row],[Country_Code]], Metadata_Country!$A:$A, Metadata_Country!$C:$C, "Unknown"), IF(OR(_xlpm.ig=0, _xlpm.ig=""), "Regional Aggregate", _xlpm.ig))</f>
        <v>Regional Aggregate</v>
      </c>
      <c r="H1763" s="4">
        <f>Clean_Data[[#This Row],[Exports_TIV]] - Clean_Data[[#This Row],[Imports_TIV]]</f>
        <v>-3838000000</v>
      </c>
      <c r="I1763" s="4">
        <f>Clean_Data[[#This Row],[Exports_TIV]] + Clean_Data[[#This Row],[Imports_TIV]]</f>
        <v>3838000000</v>
      </c>
    </row>
    <row r="1764" spans="1:9">
      <c r="A1764" s="4" t="s">
        <v>485</v>
      </c>
      <c r="B1764" s="4" t="s">
        <v>486</v>
      </c>
      <c r="C1764" s="5">
        <v>2014</v>
      </c>
      <c r="D1764" s="4">
        <v>0</v>
      </c>
      <c r="E1764" s="4">
        <v>3838000000</v>
      </c>
      <c r="F1764" s="4" t="str">
        <f>_xlfn.LET(_xlpm.r, _xlfn.XLOOKUP(Clean_Data[[#This Row],[Country_Code]], Metadata_Country!$A:$A, Metadata_Country!$B:$B, "Unknown"), IF(OR(_xlpm.r=0, _xlpm.r=""), "Regional Aggregate", _xlpm.r))</f>
        <v>Regional Aggregate</v>
      </c>
      <c r="G1764" s="4" t="str">
        <f>_xlfn.LET(_xlpm.ig, _xlfn.XLOOKUP(Clean_Data[[#This Row],[Country_Code]], Metadata_Country!$A:$A, Metadata_Country!$C:$C, "Unknown"), IF(OR(_xlpm.ig=0, _xlpm.ig=""), "Regional Aggregate", _xlpm.ig))</f>
        <v>Regional Aggregate</v>
      </c>
      <c r="H1764" s="4">
        <f>Clean_Data[[#This Row],[Exports_TIV]] - Clean_Data[[#This Row],[Imports_TIV]]</f>
        <v>-3838000000</v>
      </c>
      <c r="I1764" s="4">
        <f>Clean_Data[[#This Row],[Exports_TIV]] + Clean_Data[[#This Row],[Imports_TIV]]</f>
        <v>3838000000</v>
      </c>
    </row>
    <row r="1765" spans="1:9">
      <c r="A1765" s="4" t="s">
        <v>321</v>
      </c>
      <c r="B1765" s="4" t="s">
        <v>322</v>
      </c>
      <c r="C1765" s="5">
        <v>2014</v>
      </c>
      <c r="D1765" s="4">
        <v>0</v>
      </c>
      <c r="E1765" s="4">
        <v>14769000000</v>
      </c>
      <c r="F1765" s="4" t="str">
        <f>_xlfn.LET(_xlpm.r, _xlfn.XLOOKUP(Clean_Data[[#This Row],[Country_Code]], Metadata_Country!$A:$A, Metadata_Country!$B:$B, "Unknown"), IF(OR(_xlpm.r=0, _xlpm.r=""), "Regional Aggregate", _xlpm.r))</f>
        <v>Regional Aggregate</v>
      </c>
      <c r="G1765" s="4" t="str">
        <f>_xlfn.LET(_xlpm.ig, _xlfn.XLOOKUP(Clean_Data[[#This Row],[Country_Code]], Metadata_Country!$A:$A, Metadata_Country!$C:$C, "Unknown"), IF(OR(_xlpm.ig=0, _xlpm.ig=""), "Regional Aggregate", _xlpm.ig))</f>
        <v>Regional Aggregate</v>
      </c>
      <c r="H1765" s="4">
        <f>Clean_Data[[#This Row],[Exports_TIV]] - Clean_Data[[#This Row],[Imports_TIV]]</f>
        <v>-14769000000</v>
      </c>
      <c r="I1765" s="4">
        <f>Clean_Data[[#This Row],[Exports_TIV]] + Clean_Data[[#This Row],[Imports_TIV]]</f>
        <v>14769000000</v>
      </c>
    </row>
    <row r="1766" spans="1:9">
      <c r="A1766" s="4" t="s">
        <v>305</v>
      </c>
      <c r="B1766" s="4" t="s">
        <v>306</v>
      </c>
      <c r="C1766" s="5">
        <v>2014</v>
      </c>
      <c r="D1766" s="4">
        <v>0</v>
      </c>
      <c r="E1766" s="4">
        <v>572000000</v>
      </c>
      <c r="F1766" s="4" t="str">
        <f>_xlfn.LET(_xlpm.r, _xlfn.XLOOKUP(Clean_Data[[#This Row],[Country_Code]], Metadata_Country!$A:$A, Metadata_Country!$B:$B, "Unknown"), IF(OR(_xlpm.r=0, _xlpm.r=""), "Regional Aggregate", _xlpm.r))</f>
        <v>Middle East &amp; North Africa</v>
      </c>
      <c r="G1766" s="4" t="str">
        <f>_xlfn.LET(_xlpm.ig, _xlfn.XLOOKUP(Clean_Data[[#This Row],[Country_Code]], Metadata_Country!$A:$A, Metadata_Country!$C:$C, "Unknown"), IF(OR(_xlpm.ig=0, _xlpm.ig=""), "Regional Aggregate", _xlpm.ig))</f>
        <v>Lower middle income</v>
      </c>
      <c r="H1766" s="4">
        <f>Clean_Data[[#This Row],[Exports_TIV]] - Clean_Data[[#This Row],[Imports_TIV]]</f>
        <v>-572000000</v>
      </c>
      <c r="I1766" s="4">
        <f>Clean_Data[[#This Row],[Exports_TIV]] + Clean_Data[[#This Row],[Imports_TIV]]</f>
        <v>572000000</v>
      </c>
    </row>
    <row r="1767" spans="1:9">
      <c r="A1767" s="4" t="s">
        <v>339</v>
      </c>
      <c r="B1767" s="4" t="s">
        <v>340</v>
      </c>
      <c r="C1767" s="5">
        <v>2014</v>
      </c>
      <c r="D1767" s="4">
        <v>0</v>
      </c>
      <c r="E1767" s="4">
        <v>16000000</v>
      </c>
      <c r="F1767" s="4" t="str">
        <f>_xlfn.LET(_xlpm.r, _xlfn.XLOOKUP(Clean_Data[[#This Row],[Country_Code]], Metadata_Country!$A:$A, Metadata_Country!$B:$B, "Unknown"), IF(OR(_xlpm.r=0, _xlpm.r=""), "Regional Aggregate", _xlpm.r))</f>
        <v>Sub-Saharan Africa</v>
      </c>
      <c r="G1767" s="4" t="str">
        <f>_xlfn.LET(_xlpm.ig, _xlfn.XLOOKUP(Clean_Data[[#This Row],[Country_Code]], Metadata_Country!$A:$A, Metadata_Country!$C:$C, "Unknown"), IF(OR(_xlpm.ig=0, _xlpm.ig=""), "Regional Aggregate", _xlpm.ig))</f>
        <v>Low income</v>
      </c>
      <c r="H1767" s="4">
        <f>Clean_Data[[#This Row],[Exports_TIV]] - Clean_Data[[#This Row],[Imports_TIV]]</f>
        <v>-16000000</v>
      </c>
      <c r="I1767" s="4">
        <f>Clean_Data[[#This Row],[Exports_TIV]] + Clean_Data[[#This Row],[Imports_TIV]]</f>
        <v>16000000</v>
      </c>
    </row>
    <row r="1768" spans="1:9">
      <c r="A1768" s="4" t="s">
        <v>329</v>
      </c>
      <c r="B1768" s="4" t="s">
        <v>330</v>
      </c>
      <c r="C1768" s="5">
        <v>2014</v>
      </c>
      <c r="D1768" s="4">
        <v>0</v>
      </c>
      <c r="E1768" s="4">
        <v>112000000</v>
      </c>
      <c r="F1768" s="4" t="str">
        <f>_xlfn.LET(_xlpm.r, _xlfn.XLOOKUP(Clean_Data[[#This Row],[Country_Code]], Metadata_Country!$A:$A, Metadata_Country!$B:$B, "Unknown"), IF(OR(_xlpm.r=0, _xlpm.r=""), "Regional Aggregate", _xlpm.r))</f>
        <v>East Asia &amp; Pacific</v>
      </c>
      <c r="G1768" s="4" t="str">
        <f>_xlfn.LET(_xlpm.ig, _xlfn.XLOOKUP(Clean_Data[[#This Row],[Country_Code]], Metadata_Country!$A:$A, Metadata_Country!$C:$C, "Unknown"), IF(OR(_xlpm.ig=0, _xlpm.ig=""), "Regional Aggregate", _xlpm.ig))</f>
        <v>Lower middle income</v>
      </c>
      <c r="H1768" s="4">
        <f>Clean_Data[[#This Row],[Exports_TIV]] - Clean_Data[[#This Row],[Imports_TIV]]</f>
        <v>-112000000</v>
      </c>
      <c r="I1768" s="4">
        <f>Clean_Data[[#This Row],[Exports_TIV]] + Clean_Data[[#This Row],[Imports_TIV]]</f>
        <v>112000000</v>
      </c>
    </row>
    <row r="1769" spans="1:9">
      <c r="A1769" s="4" t="s">
        <v>351</v>
      </c>
      <c r="B1769" s="4" t="s">
        <v>352</v>
      </c>
      <c r="C1769" s="5">
        <v>2014</v>
      </c>
      <c r="D1769" s="4">
        <v>0</v>
      </c>
      <c r="E1769" s="4">
        <v>2000000</v>
      </c>
      <c r="F1769" s="4" t="str">
        <f>_xlfn.LET(_xlpm.r, _xlfn.XLOOKUP(Clean_Data[[#This Row],[Country_Code]], Metadata_Country!$A:$A, Metadata_Country!$B:$B, "Unknown"), IF(OR(_xlpm.r=0, _xlpm.r=""), "Regional Aggregate", _xlpm.r))</f>
        <v>Sub-Saharan Africa</v>
      </c>
      <c r="G1769" s="4" t="str">
        <f>_xlfn.LET(_xlpm.ig, _xlfn.XLOOKUP(Clean_Data[[#This Row],[Country_Code]], Metadata_Country!$A:$A, Metadata_Country!$C:$C, "Unknown"), IF(OR(_xlpm.ig=0, _xlpm.ig=""), "Regional Aggregate", _xlpm.ig))</f>
        <v>Lower middle income</v>
      </c>
      <c r="H1769" s="4">
        <f>Clean_Data[[#This Row],[Exports_TIV]] - Clean_Data[[#This Row],[Imports_TIV]]</f>
        <v>-2000000</v>
      </c>
      <c r="I1769" s="4">
        <f>Clean_Data[[#This Row],[Exports_TIV]] + Clean_Data[[#This Row],[Imports_TIV]]</f>
        <v>2000000</v>
      </c>
    </row>
    <row r="1770" spans="1:9">
      <c r="A1770" s="4" t="s">
        <v>365</v>
      </c>
      <c r="B1770" s="4" t="s">
        <v>366</v>
      </c>
      <c r="C1770" s="5">
        <v>2014</v>
      </c>
      <c r="D1770" s="4">
        <v>0</v>
      </c>
      <c r="E1770" s="4">
        <v>5000000</v>
      </c>
      <c r="F1770" s="4" t="str">
        <f>_xlfn.LET(_xlpm.r, _xlfn.XLOOKUP(Clean_Data[[#This Row],[Country_Code]], Metadata_Country!$A:$A, Metadata_Country!$B:$B, "Unknown"), IF(OR(_xlpm.r=0, _xlpm.r=""), "Regional Aggregate", _xlpm.r))</f>
        <v>South Asia</v>
      </c>
      <c r="G1770" s="4" t="str">
        <f>_xlfn.LET(_xlpm.ig, _xlfn.XLOOKUP(Clean_Data[[#This Row],[Country_Code]], Metadata_Country!$A:$A, Metadata_Country!$C:$C, "Unknown"), IF(OR(_xlpm.ig=0, _xlpm.ig=""), "Regional Aggregate", _xlpm.ig))</f>
        <v>Lower middle income</v>
      </c>
      <c r="H1770" s="4">
        <f>Clean_Data[[#This Row],[Exports_TIV]] - Clean_Data[[#This Row],[Imports_TIV]]</f>
        <v>-5000000</v>
      </c>
      <c r="I1770" s="4">
        <f>Clean_Data[[#This Row],[Exports_TIV]] + Clean_Data[[#This Row],[Imports_TIV]]</f>
        <v>5000000</v>
      </c>
    </row>
    <row r="1771" spans="1:9">
      <c r="A1771" s="4" t="s">
        <v>361</v>
      </c>
      <c r="B1771" s="4" t="s">
        <v>362</v>
      </c>
      <c r="C1771" s="5">
        <v>2014</v>
      </c>
      <c r="D1771" s="4">
        <v>643000000</v>
      </c>
      <c r="E1771" s="4">
        <v>8000000</v>
      </c>
      <c r="F1771" s="4" t="str">
        <f>_xlfn.LET(_xlpm.r, _xlfn.XLOOKUP(Clean_Data[[#This Row],[Country_Code]], Metadata_Country!$A:$A, Metadata_Country!$B:$B, "Unknown"), IF(OR(_xlpm.r=0, _xlpm.r=""), "Regional Aggregate", _xlpm.r))</f>
        <v>Europe &amp; Central Asia</v>
      </c>
      <c r="G1771" s="4" t="str">
        <f>_xlfn.LET(_xlpm.ig, _xlfn.XLOOKUP(Clean_Data[[#This Row],[Country_Code]], Metadata_Country!$A:$A, Metadata_Country!$C:$C, "Unknown"), IF(OR(_xlpm.ig=0, _xlpm.ig=""), "Regional Aggregate", _xlpm.ig))</f>
        <v>High income</v>
      </c>
      <c r="H1771" s="4">
        <f>Clean_Data[[#This Row],[Exports_TIV]] - Clean_Data[[#This Row],[Imports_TIV]]</f>
        <v>635000000</v>
      </c>
      <c r="I1771" s="4">
        <f>Clean_Data[[#This Row],[Exports_TIV]] + Clean_Data[[#This Row],[Imports_TIV]]</f>
        <v>651000000</v>
      </c>
    </row>
    <row r="1772" spans="1:9">
      <c r="A1772" s="4" t="s">
        <v>369</v>
      </c>
      <c r="B1772" s="4" t="s">
        <v>370</v>
      </c>
      <c r="C1772" s="5">
        <v>2014</v>
      </c>
      <c r="D1772" s="4">
        <v>0</v>
      </c>
      <c r="E1772" s="4">
        <v>84000000</v>
      </c>
      <c r="F1772" s="4" t="str">
        <f>_xlfn.LET(_xlpm.r, _xlfn.XLOOKUP(Clean_Data[[#This Row],[Country_Code]], Metadata_Country!$A:$A, Metadata_Country!$B:$B, "Unknown"), IF(OR(_xlpm.r=0, _xlpm.r=""), "Regional Aggregate", _xlpm.r))</f>
        <v>East Asia &amp; Pacific</v>
      </c>
      <c r="G1772" s="4" t="str">
        <f>_xlfn.LET(_xlpm.ig, _xlfn.XLOOKUP(Clean_Data[[#This Row],[Country_Code]], Metadata_Country!$A:$A, Metadata_Country!$C:$C, "Unknown"), IF(OR(_xlpm.ig=0, _xlpm.ig=""), "Regional Aggregate", _xlpm.ig))</f>
        <v>High income</v>
      </c>
      <c r="H1772" s="4">
        <f>Clean_Data[[#This Row],[Exports_TIV]] - Clean_Data[[#This Row],[Imports_TIV]]</f>
        <v>-84000000</v>
      </c>
      <c r="I1772" s="4">
        <f>Clean_Data[[#This Row],[Exports_TIV]] + Clean_Data[[#This Row],[Imports_TIV]]</f>
        <v>84000000</v>
      </c>
    </row>
    <row r="1773" spans="1:9">
      <c r="A1773" s="4" t="s">
        <v>359</v>
      </c>
      <c r="B1773" s="4" t="s">
        <v>360</v>
      </c>
      <c r="C1773" s="5">
        <v>2014</v>
      </c>
      <c r="D1773" s="4">
        <v>0</v>
      </c>
      <c r="E1773" s="4">
        <v>13000000</v>
      </c>
      <c r="F1773" s="4" t="str">
        <f>_xlfn.LET(_xlpm.r, _xlfn.XLOOKUP(Clean_Data[[#This Row],[Country_Code]], Metadata_Country!$A:$A, Metadata_Country!$B:$B, "Unknown"), IF(OR(_xlpm.r=0, _xlpm.r=""), "Regional Aggregate", _xlpm.r))</f>
        <v>Latin America &amp; Caribbean</v>
      </c>
      <c r="G1773" s="4" t="str">
        <f>_xlfn.LET(_xlpm.ig, _xlfn.XLOOKUP(Clean_Data[[#This Row],[Country_Code]], Metadata_Country!$A:$A, Metadata_Country!$C:$C, "Unknown"), IF(OR(_xlpm.ig=0, _xlpm.ig=""), "Regional Aggregate", _xlpm.ig))</f>
        <v>Lower middle income</v>
      </c>
      <c r="H1773" s="4">
        <f>Clean_Data[[#This Row],[Exports_TIV]] - Clean_Data[[#This Row],[Imports_TIV]]</f>
        <v>-13000000</v>
      </c>
      <c r="I1773" s="4">
        <f>Clean_Data[[#This Row],[Exports_TIV]] + Clean_Data[[#This Row],[Imports_TIV]]</f>
        <v>13000000</v>
      </c>
    </row>
    <row r="1774" spans="1:9">
      <c r="A1774" s="4" t="s">
        <v>355</v>
      </c>
      <c r="B1774" s="4" t="s">
        <v>356</v>
      </c>
      <c r="C1774" s="5">
        <v>2014</v>
      </c>
      <c r="D1774" s="4">
        <v>0</v>
      </c>
      <c r="E1774" s="4">
        <v>3000000</v>
      </c>
      <c r="F1774" s="4" t="str">
        <f>_xlfn.LET(_xlpm.r, _xlfn.XLOOKUP(Clean_Data[[#This Row],[Country_Code]], Metadata_Country!$A:$A, Metadata_Country!$B:$B, "Unknown"), IF(OR(_xlpm.r=0, _xlpm.r=""), "Regional Aggregate", _xlpm.r))</f>
        <v>Sub-Saharan Africa</v>
      </c>
      <c r="G1774" s="4" t="str">
        <f>_xlfn.LET(_xlpm.ig, _xlfn.XLOOKUP(Clean_Data[[#This Row],[Country_Code]], Metadata_Country!$A:$A, Metadata_Country!$C:$C, "Unknown"), IF(OR(_xlpm.ig=0, _xlpm.ig=""), "Regional Aggregate", _xlpm.ig))</f>
        <v>Low income</v>
      </c>
      <c r="H1774" s="4">
        <f>Clean_Data[[#This Row],[Exports_TIV]] - Clean_Data[[#This Row],[Imports_TIV]]</f>
        <v>-3000000</v>
      </c>
      <c r="I1774" s="4">
        <f>Clean_Data[[#This Row],[Exports_TIV]] + Clean_Data[[#This Row],[Imports_TIV]]</f>
        <v>3000000</v>
      </c>
    </row>
    <row r="1775" spans="1:9">
      <c r="A1775" s="4" t="s">
        <v>357</v>
      </c>
      <c r="B1775" s="4" t="s">
        <v>358</v>
      </c>
      <c r="C1775" s="5">
        <v>2014</v>
      </c>
      <c r="D1775" s="4">
        <v>0</v>
      </c>
      <c r="E1775" s="4">
        <v>236000000</v>
      </c>
      <c r="F1775" s="4" t="str">
        <f>_xlfn.LET(_xlpm.r, _xlfn.XLOOKUP(Clean_Data[[#This Row],[Country_Code]], Metadata_Country!$A:$A, Metadata_Country!$B:$B, "Unknown"), IF(OR(_xlpm.r=0, _xlpm.r=""), "Regional Aggregate", _xlpm.r))</f>
        <v>Sub-Saharan Africa</v>
      </c>
      <c r="G1775" s="4" t="str">
        <f>_xlfn.LET(_xlpm.ig, _xlfn.XLOOKUP(Clean_Data[[#This Row],[Country_Code]], Metadata_Country!$A:$A, Metadata_Country!$C:$C, "Unknown"), IF(OR(_xlpm.ig=0, _xlpm.ig=""), "Regional Aggregate", _xlpm.ig))</f>
        <v>Lower middle income</v>
      </c>
      <c r="H1775" s="4">
        <f>Clean_Data[[#This Row],[Exports_TIV]] - Clean_Data[[#This Row],[Imports_TIV]]</f>
        <v>-236000000</v>
      </c>
      <c r="I1775" s="4">
        <f>Clean_Data[[#This Row],[Exports_TIV]] + Clean_Data[[#This Row],[Imports_TIV]]</f>
        <v>236000000</v>
      </c>
    </row>
    <row r="1776" spans="1:9">
      <c r="A1776" s="4" t="s">
        <v>349</v>
      </c>
      <c r="B1776" s="4" t="s">
        <v>350</v>
      </c>
      <c r="C1776" s="5">
        <v>2014</v>
      </c>
      <c r="D1776" s="4">
        <v>9644000000</v>
      </c>
      <c r="E1776" s="4">
        <v>884000000</v>
      </c>
      <c r="F1776" s="4" t="str">
        <f>_xlfn.LET(_xlpm.r, _xlfn.XLOOKUP(Clean_Data[[#This Row],[Country_Code]], Metadata_Country!$A:$A, Metadata_Country!$B:$B, "Unknown"), IF(OR(_xlpm.r=0, _xlpm.r=""), "Regional Aggregate", _xlpm.r))</f>
        <v>Regional Aggregate</v>
      </c>
      <c r="G1776" s="4" t="str">
        <f>_xlfn.LET(_xlpm.ig, _xlfn.XLOOKUP(Clean_Data[[#This Row],[Country_Code]], Metadata_Country!$A:$A, Metadata_Country!$C:$C, "Unknown"), IF(OR(_xlpm.ig=0, _xlpm.ig=""), "Regional Aggregate", _xlpm.ig))</f>
        <v>Regional Aggregate</v>
      </c>
      <c r="H1776" s="4">
        <f>Clean_Data[[#This Row],[Exports_TIV]] - Clean_Data[[#This Row],[Imports_TIV]]</f>
        <v>8760000000</v>
      </c>
      <c r="I1776" s="4">
        <f>Clean_Data[[#This Row],[Exports_TIV]] + Clean_Data[[#This Row],[Imports_TIV]]</f>
        <v>10528000000</v>
      </c>
    </row>
    <row r="1777" spans="1:9">
      <c r="A1777" s="4" t="s">
        <v>363</v>
      </c>
      <c r="B1777" s="4" t="s">
        <v>364</v>
      </c>
      <c r="C1777" s="5">
        <v>2014</v>
      </c>
      <c r="D1777" s="4">
        <v>87000000</v>
      </c>
      <c r="E1777" s="4">
        <v>16000000</v>
      </c>
      <c r="F1777" s="4" t="str">
        <f>_xlfn.LET(_xlpm.r, _xlfn.XLOOKUP(Clean_Data[[#This Row],[Country_Code]], Metadata_Country!$A:$A, Metadata_Country!$B:$B, "Unknown"), IF(OR(_xlpm.r=0, _xlpm.r=""), "Regional Aggregate", _xlpm.r))</f>
        <v>Europe &amp; Central Asia</v>
      </c>
      <c r="G1777" s="4" t="str">
        <f>_xlfn.LET(_xlpm.ig, _xlfn.XLOOKUP(Clean_Data[[#This Row],[Country_Code]], Metadata_Country!$A:$A, Metadata_Country!$C:$C, "Unknown"), IF(OR(_xlpm.ig=0, _xlpm.ig=""), "Regional Aggregate", _xlpm.ig))</f>
        <v>High income</v>
      </c>
      <c r="H1777" s="4">
        <f>Clean_Data[[#This Row],[Exports_TIV]] - Clean_Data[[#This Row],[Imports_TIV]]</f>
        <v>71000000</v>
      </c>
      <c r="I1777" s="4">
        <f>Clean_Data[[#This Row],[Exports_TIV]] + Clean_Data[[#This Row],[Imports_TIV]]</f>
        <v>103000000</v>
      </c>
    </row>
    <row r="1778" spans="1:9">
      <c r="A1778" s="4" t="s">
        <v>371</v>
      </c>
      <c r="B1778" s="4" t="s">
        <v>372</v>
      </c>
      <c r="C1778" s="5">
        <v>2014</v>
      </c>
      <c r="D1778" s="4">
        <v>19130000000</v>
      </c>
      <c r="E1778" s="4">
        <v>6976000000</v>
      </c>
      <c r="F1778" s="4" t="str">
        <f>_xlfn.LET(_xlpm.r, _xlfn.XLOOKUP(Clean_Data[[#This Row],[Country_Code]], Metadata_Country!$A:$A, Metadata_Country!$B:$B, "Unknown"), IF(OR(_xlpm.r=0, _xlpm.r=""), "Regional Aggregate", _xlpm.r))</f>
        <v>Regional Aggregate</v>
      </c>
      <c r="G1778" s="4" t="str">
        <f>_xlfn.LET(_xlpm.ig, _xlfn.XLOOKUP(Clean_Data[[#This Row],[Country_Code]], Metadata_Country!$A:$A, Metadata_Country!$C:$C, "Unknown"), IF(OR(_xlpm.ig=0, _xlpm.ig=""), "Regional Aggregate", _xlpm.ig))</f>
        <v>Regional Aggregate</v>
      </c>
      <c r="H1778" s="4">
        <f>Clean_Data[[#This Row],[Exports_TIV]] - Clean_Data[[#This Row],[Imports_TIV]]</f>
        <v>12154000000</v>
      </c>
      <c r="I1778" s="4">
        <f>Clean_Data[[#This Row],[Exports_TIV]] + Clean_Data[[#This Row],[Imports_TIV]]</f>
        <v>26106000000</v>
      </c>
    </row>
    <row r="1779" spans="1:9">
      <c r="A1779" s="4" t="s">
        <v>373</v>
      </c>
      <c r="B1779" s="4" t="s">
        <v>374</v>
      </c>
      <c r="C1779" s="5">
        <v>2014</v>
      </c>
      <c r="D1779" s="4">
        <v>0</v>
      </c>
      <c r="E1779" s="4">
        <v>719000000</v>
      </c>
      <c r="F1779" s="4" t="str">
        <f>_xlfn.LET(_xlpm.r, _xlfn.XLOOKUP(Clean_Data[[#This Row],[Country_Code]], Metadata_Country!$A:$A, Metadata_Country!$B:$B, "Unknown"), IF(OR(_xlpm.r=0, _xlpm.r=""), "Regional Aggregate", _xlpm.r))</f>
        <v>Middle East &amp; North Africa</v>
      </c>
      <c r="G1779" s="4" t="str">
        <f>_xlfn.LET(_xlpm.ig, _xlfn.XLOOKUP(Clean_Data[[#This Row],[Country_Code]], Metadata_Country!$A:$A, Metadata_Country!$C:$C, "Unknown"), IF(OR(_xlpm.ig=0, _xlpm.ig=""), "Regional Aggregate", _xlpm.ig))</f>
        <v>High income</v>
      </c>
      <c r="H1779" s="4">
        <f>Clean_Data[[#This Row],[Exports_TIV]] - Clean_Data[[#This Row],[Imports_TIV]]</f>
        <v>-719000000</v>
      </c>
      <c r="I1779" s="4">
        <f>Clean_Data[[#This Row],[Exports_TIV]] + Clean_Data[[#This Row],[Imports_TIV]]</f>
        <v>719000000</v>
      </c>
    </row>
    <row r="1780" spans="1:9">
      <c r="A1780" s="4" t="s">
        <v>377</v>
      </c>
      <c r="B1780" s="4" t="s">
        <v>378</v>
      </c>
      <c r="C1780" s="5">
        <v>2014</v>
      </c>
      <c r="D1780" s="4">
        <v>0</v>
      </c>
      <c r="E1780" s="4">
        <v>877000000</v>
      </c>
      <c r="F1780" s="4" t="str">
        <f>_xlfn.LET(_xlpm.r, _xlfn.XLOOKUP(Clean_Data[[#This Row],[Country_Code]], Metadata_Country!$A:$A, Metadata_Country!$B:$B, "Unknown"), IF(OR(_xlpm.r=0, _xlpm.r=""), "Regional Aggregate", _xlpm.r))</f>
        <v>Middle East &amp; North Africa</v>
      </c>
      <c r="G1780" s="4" t="str">
        <f>_xlfn.LET(_xlpm.ig, _xlfn.XLOOKUP(Clean_Data[[#This Row],[Country_Code]], Metadata_Country!$A:$A, Metadata_Country!$C:$C, "Unknown"), IF(OR(_xlpm.ig=0, _xlpm.ig=""), "Regional Aggregate", _xlpm.ig))</f>
        <v>Lower middle income</v>
      </c>
      <c r="H1780" s="4">
        <f>Clean_Data[[#This Row],[Exports_TIV]] - Clean_Data[[#This Row],[Imports_TIV]]</f>
        <v>-877000000</v>
      </c>
      <c r="I1780" s="4">
        <f>Clean_Data[[#This Row],[Exports_TIV]] + Clean_Data[[#This Row],[Imports_TIV]]</f>
        <v>877000000</v>
      </c>
    </row>
    <row r="1781" spans="1:9">
      <c r="A1781" s="4" t="s">
        <v>387</v>
      </c>
      <c r="B1781" s="4" t="s">
        <v>388</v>
      </c>
      <c r="C1781" s="5">
        <v>2014</v>
      </c>
      <c r="D1781" s="4">
        <v>0</v>
      </c>
      <c r="E1781" s="4">
        <v>3000000</v>
      </c>
      <c r="F1781" s="4" t="str">
        <f>_xlfn.LET(_xlpm.r, _xlfn.XLOOKUP(Clean_Data[[#This Row],[Country_Code]], Metadata_Country!$A:$A, Metadata_Country!$B:$B, "Unknown"), IF(OR(_xlpm.r=0, _xlpm.r=""), "Regional Aggregate", _xlpm.r))</f>
        <v>East Asia &amp; Pacific</v>
      </c>
      <c r="G1781" s="4" t="str">
        <f>_xlfn.LET(_xlpm.ig, _xlfn.XLOOKUP(Clean_Data[[#This Row],[Country_Code]], Metadata_Country!$A:$A, Metadata_Country!$C:$C, "Unknown"), IF(OR(_xlpm.ig=0, _xlpm.ig=""), "Regional Aggregate", _xlpm.ig))</f>
        <v>Lower middle income</v>
      </c>
      <c r="H1781" s="4">
        <f>Clean_Data[[#This Row],[Exports_TIV]] - Clean_Data[[#This Row],[Imports_TIV]]</f>
        <v>-3000000</v>
      </c>
      <c r="I1781" s="4">
        <f>Clean_Data[[#This Row],[Exports_TIV]] + Clean_Data[[#This Row],[Imports_TIV]]</f>
        <v>3000000</v>
      </c>
    </row>
    <row r="1782" spans="1:9">
      <c r="A1782" s="4" t="s">
        <v>381</v>
      </c>
      <c r="B1782" s="4" t="s">
        <v>382</v>
      </c>
      <c r="C1782" s="5">
        <v>2014</v>
      </c>
      <c r="D1782" s="4">
        <v>0</v>
      </c>
      <c r="E1782" s="4">
        <v>153000000</v>
      </c>
      <c r="F1782" s="4" t="str">
        <f>_xlfn.LET(_xlpm.r, _xlfn.XLOOKUP(Clean_Data[[#This Row],[Country_Code]], Metadata_Country!$A:$A, Metadata_Country!$B:$B, "Unknown"), IF(OR(_xlpm.r=0, _xlpm.r=""), "Regional Aggregate", _xlpm.r))</f>
        <v>Latin America &amp; Caribbean</v>
      </c>
      <c r="G1782" s="4" t="str">
        <f>_xlfn.LET(_xlpm.ig, _xlfn.XLOOKUP(Clean_Data[[#This Row],[Country_Code]], Metadata_Country!$A:$A, Metadata_Country!$C:$C, "Unknown"), IF(OR(_xlpm.ig=0, _xlpm.ig=""), "Regional Aggregate", _xlpm.ig))</f>
        <v>Upper middle income</v>
      </c>
      <c r="H1782" s="4">
        <f>Clean_Data[[#This Row],[Exports_TIV]] - Clean_Data[[#This Row],[Imports_TIV]]</f>
        <v>-153000000</v>
      </c>
      <c r="I1782" s="4">
        <f>Clean_Data[[#This Row],[Exports_TIV]] + Clean_Data[[#This Row],[Imports_TIV]]</f>
        <v>153000000</v>
      </c>
    </row>
    <row r="1783" spans="1:9">
      <c r="A1783" s="4" t="s">
        <v>383</v>
      </c>
      <c r="B1783" s="4" t="s">
        <v>384</v>
      </c>
      <c r="C1783" s="5">
        <v>2014</v>
      </c>
      <c r="D1783" s="4">
        <v>0</v>
      </c>
      <c r="E1783" s="4">
        <v>12000000</v>
      </c>
      <c r="F1783" s="4" t="str">
        <f>_xlfn.LET(_xlpm.r, _xlfn.XLOOKUP(Clean_Data[[#This Row],[Country_Code]], Metadata_Country!$A:$A, Metadata_Country!$B:$B, "Unknown"), IF(OR(_xlpm.r=0, _xlpm.r=""), "Regional Aggregate", _xlpm.r))</f>
        <v>East Asia &amp; Pacific</v>
      </c>
      <c r="G1783" s="4" t="str">
        <f>_xlfn.LET(_xlpm.ig, _xlfn.XLOOKUP(Clean_Data[[#This Row],[Country_Code]], Metadata_Country!$A:$A, Metadata_Country!$C:$C, "Unknown"), IF(OR(_xlpm.ig=0, _xlpm.ig=""), "Regional Aggregate", _xlpm.ig))</f>
        <v>Upper middle income</v>
      </c>
      <c r="H1783" s="4">
        <f>Clean_Data[[#This Row],[Exports_TIV]] - Clean_Data[[#This Row],[Imports_TIV]]</f>
        <v>-12000000</v>
      </c>
      <c r="I1783" s="4">
        <f>Clean_Data[[#This Row],[Exports_TIV]] + Clean_Data[[#This Row],[Imports_TIV]]</f>
        <v>12000000</v>
      </c>
    </row>
    <row r="1784" spans="1:9">
      <c r="A1784" s="4" t="s">
        <v>389</v>
      </c>
      <c r="B1784" s="4" t="s">
        <v>390</v>
      </c>
      <c r="C1784" s="5">
        <v>2014</v>
      </c>
      <c r="D1784" s="4">
        <v>33000000</v>
      </c>
      <c r="E1784" s="4">
        <v>275000000</v>
      </c>
      <c r="F1784" s="4" t="str">
        <f>_xlfn.LET(_xlpm.r, _xlfn.XLOOKUP(Clean_Data[[#This Row],[Country_Code]], Metadata_Country!$A:$A, Metadata_Country!$B:$B, "Unknown"), IF(OR(_xlpm.r=0, _xlpm.r=""), "Regional Aggregate", _xlpm.r))</f>
        <v>Europe &amp; Central Asia</v>
      </c>
      <c r="G1784" s="4" t="str">
        <f>_xlfn.LET(_xlpm.ig, _xlfn.XLOOKUP(Clean_Data[[#This Row],[Country_Code]], Metadata_Country!$A:$A, Metadata_Country!$C:$C, "Unknown"), IF(OR(_xlpm.ig=0, _xlpm.ig=""), "Regional Aggregate", _xlpm.ig))</f>
        <v>High income</v>
      </c>
      <c r="H1784" s="4">
        <f>Clean_Data[[#This Row],[Exports_TIV]] - Clean_Data[[#This Row],[Imports_TIV]]</f>
        <v>-242000000</v>
      </c>
      <c r="I1784" s="4">
        <f>Clean_Data[[#This Row],[Exports_TIV]] + Clean_Data[[#This Row],[Imports_TIV]]</f>
        <v>308000000</v>
      </c>
    </row>
    <row r="1785" spans="1:9">
      <c r="A1785" s="4" t="s">
        <v>397</v>
      </c>
      <c r="B1785" s="4" t="s">
        <v>398</v>
      </c>
      <c r="C1785" s="5">
        <v>2014</v>
      </c>
      <c r="D1785" s="4">
        <v>18000000</v>
      </c>
      <c r="E1785" s="4">
        <v>3000000</v>
      </c>
      <c r="F1785" s="4" t="str">
        <f>_xlfn.LET(_xlpm.r, _xlfn.XLOOKUP(Clean_Data[[#This Row],[Country_Code]], Metadata_Country!$A:$A, Metadata_Country!$B:$B, "Unknown"), IF(OR(_xlpm.r=0, _xlpm.r=""), "Regional Aggregate", _xlpm.r))</f>
        <v>Europe &amp; Central Asia</v>
      </c>
      <c r="G1785" s="4" t="str">
        <f>_xlfn.LET(_xlpm.ig, _xlfn.XLOOKUP(Clean_Data[[#This Row],[Country_Code]], Metadata_Country!$A:$A, Metadata_Country!$C:$C, "Unknown"), IF(OR(_xlpm.ig=0, _xlpm.ig=""), "Regional Aggregate", _xlpm.ig))</f>
        <v>High income</v>
      </c>
      <c r="H1785" s="4">
        <f>Clean_Data[[#This Row],[Exports_TIV]] - Clean_Data[[#This Row],[Imports_TIV]]</f>
        <v>15000000</v>
      </c>
      <c r="I1785" s="4">
        <f>Clean_Data[[#This Row],[Exports_TIV]] + Clean_Data[[#This Row],[Imports_TIV]]</f>
        <v>21000000</v>
      </c>
    </row>
    <row r="1786" spans="1:9">
      <c r="A1786" s="4" t="s">
        <v>405</v>
      </c>
      <c r="B1786" s="4" t="s">
        <v>406</v>
      </c>
      <c r="C1786" s="5">
        <v>2014</v>
      </c>
      <c r="D1786" s="4">
        <v>19240000000</v>
      </c>
      <c r="E1786" s="4">
        <v>4354000000</v>
      </c>
      <c r="F1786" s="4" t="str">
        <f>_xlfn.LET(_xlpm.r, _xlfn.XLOOKUP(Clean_Data[[#This Row],[Country_Code]], Metadata_Country!$A:$A, Metadata_Country!$B:$B, "Unknown"), IF(OR(_xlpm.r=0, _xlpm.r=""), "Regional Aggregate", _xlpm.r))</f>
        <v>Regional Aggregate</v>
      </c>
      <c r="G1786" s="4" t="str">
        <f>_xlfn.LET(_xlpm.ig, _xlfn.XLOOKUP(Clean_Data[[#This Row],[Country_Code]], Metadata_Country!$A:$A, Metadata_Country!$C:$C, "Unknown"), IF(OR(_xlpm.ig=0, _xlpm.ig=""), "Regional Aggregate", _xlpm.ig))</f>
        <v>Regional Aggregate</v>
      </c>
      <c r="H1786" s="4">
        <f>Clean_Data[[#This Row],[Exports_TIV]] - Clean_Data[[#This Row],[Imports_TIV]]</f>
        <v>14886000000</v>
      </c>
      <c r="I1786" s="4">
        <f>Clean_Data[[#This Row],[Exports_TIV]] + Clean_Data[[#This Row],[Imports_TIV]]</f>
        <v>23594000000</v>
      </c>
    </row>
    <row r="1787" spans="1:9">
      <c r="A1787" s="4" t="s">
        <v>391</v>
      </c>
      <c r="B1787" s="4" t="s">
        <v>392</v>
      </c>
      <c r="C1787" s="5">
        <v>2014</v>
      </c>
      <c r="D1787" s="4">
        <v>0</v>
      </c>
      <c r="E1787" s="4">
        <v>1679000000</v>
      </c>
      <c r="F1787" s="4" t="str">
        <f>_xlfn.LET(_xlpm.r, _xlfn.XLOOKUP(Clean_Data[[#This Row],[Country_Code]], Metadata_Country!$A:$A, Metadata_Country!$B:$B, "Unknown"), IF(OR(_xlpm.r=0, _xlpm.r=""), "Regional Aggregate", _xlpm.r))</f>
        <v>Regional Aggregate</v>
      </c>
      <c r="G1787" s="4" t="str">
        <f>_xlfn.LET(_xlpm.ig, _xlfn.XLOOKUP(Clean_Data[[#This Row],[Country_Code]], Metadata_Country!$A:$A, Metadata_Country!$C:$C, "Unknown"), IF(OR(_xlpm.ig=0, _xlpm.ig=""), "Regional Aggregate", _xlpm.ig))</f>
        <v>Regional Aggregate</v>
      </c>
      <c r="H1787" s="4">
        <f>Clean_Data[[#This Row],[Exports_TIV]] - Clean_Data[[#This Row],[Imports_TIV]]</f>
        <v>-1679000000</v>
      </c>
      <c r="I1787" s="4">
        <f>Clean_Data[[#This Row],[Exports_TIV]] + Clean_Data[[#This Row],[Imports_TIV]]</f>
        <v>1679000000</v>
      </c>
    </row>
    <row r="1788" spans="1:9">
      <c r="A1788" s="4" t="s">
        <v>409</v>
      </c>
      <c r="B1788" s="4" t="s">
        <v>410</v>
      </c>
      <c r="C1788" s="5">
        <v>2014</v>
      </c>
      <c r="D1788" s="4">
        <v>0</v>
      </c>
      <c r="E1788" s="4">
        <v>55000000</v>
      </c>
      <c r="F1788" s="4" t="str">
        <f>_xlfn.LET(_xlpm.r, _xlfn.XLOOKUP(Clean_Data[[#This Row],[Country_Code]], Metadata_Country!$A:$A, Metadata_Country!$B:$B, "Unknown"), IF(OR(_xlpm.r=0, _xlpm.r=""), "Regional Aggregate", _xlpm.r))</f>
        <v>Middle East &amp; North Africa</v>
      </c>
      <c r="G1788" s="4" t="str">
        <f>_xlfn.LET(_xlpm.ig, _xlfn.XLOOKUP(Clean_Data[[#This Row],[Country_Code]], Metadata_Country!$A:$A, Metadata_Country!$C:$C, "Unknown"), IF(OR(_xlpm.ig=0, _xlpm.ig=""), "Regional Aggregate", _xlpm.ig))</f>
        <v>High income</v>
      </c>
      <c r="H1788" s="4">
        <f>Clean_Data[[#This Row],[Exports_TIV]] - Clean_Data[[#This Row],[Imports_TIV]]</f>
        <v>-55000000</v>
      </c>
      <c r="I1788" s="4">
        <f>Clean_Data[[#This Row],[Exports_TIV]] + Clean_Data[[#This Row],[Imports_TIV]]</f>
        <v>55000000</v>
      </c>
    </row>
    <row r="1789" spans="1:9">
      <c r="A1789" s="4" t="s">
        <v>411</v>
      </c>
      <c r="B1789" s="4" t="s">
        <v>412</v>
      </c>
      <c r="C1789" s="5">
        <v>2014</v>
      </c>
      <c r="D1789" s="4">
        <v>0</v>
      </c>
      <c r="E1789" s="4">
        <v>0</v>
      </c>
      <c r="F1789" s="4" t="str">
        <f>_xlfn.LET(_xlpm.r, _xlfn.XLOOKUP(Clean_Data[[#This Row],[Country_Code]], Metadata_Country!$A:$A, Metadata_Country!$B:$B, "Unknown"), IF(OR(_xlpm.r=0, _xlpm.r=""), "Regional Aggregate", _xlpm.r))</f>
        <v>Europe &amp; Central Asia</v>
      </c>
      <c r="G1789" s="4" t="str">
        <f>_xlfn.LET(_xlpm.ig, _xlfn.XLOOKUP(Clean_Data[[#This Row],[Country_Code]], Metadata_Country!$A:$A, Metadata_Country!$C:$C, "Unknown"), IF(OR(_xlpm.ig=0, _xlpm.ig=""), "Regional Aggregate", _xlpm.ig))</f>
        <v>High income</v>
      </c>
      <c r="H1789" s="4">
        <f>Clean_Data[[#This Row],[Exports_TIV]] - Clean_Data[[#This Row],[Imports_TIV]]</f>
        <v>0</v>
      </c>
      <c r="I1789" s="4">
        <f>Clean_Data[[#This Row],[Exports_TIV]] + Clean_Data[[#This Row],[Imports_TIV]]</f>
        <v>0</v>
      </c>
    </row>
    <row r="1790" spans="1:9">
      <c r="A1790" s="4" t="s">
        <v>413</v>
      </c>
      <c r="B1790" s="4" t="s">
        <v>414</v>
      </c>
      <c r="C1790" s="5">
        <v>2014</v>
      </c>
      <c r="D1790" s="4">
        <v>5404000000</v>
      </c>
      <c r="E1790" s="4">
        <v>207000000</v>
      </c>
      <c r="F1790" s="4" t="str">
        <f>_xlfn.LET(_xlpm.r, _xlfn.XLOOKUP(Clean_Data[[#This Row],[Country_Code]], Metadata_Country!$A:$A, Metadata_Country!$B:$B, "Unknown"), IF(OR(_xlpm.r=0, _xlpm.r=""), "Regional Aggregate", _xlpm.r))</f>
        <v>Europe &amp; Central Asia</v>
      </c>
      <c r="G1790" s="4" t="str">
        <f>_xlfn.LET(_xlpm.ig, _xlfn.XLOOKUP(Clean_Data[[#This Row],[Country_Code]], Metadata_Country!$A:$A, Metadata_Country!$C:$C, "Unknown"), IF(OR(_xlpm.ig=0, _xlpm.ig=""), "Regional Aggregate", _xlpm.ig))</f>
        <v>High income</v>
      </c>
      <c r="H1790" s="4">
        <f>Clean_Data[[#This Row],[Exports_TIV]] - Clean_Data[[#This Row],[Imports_TIV]]</f>
        <v>5197000000</v>
      </c>
      <c r="I1790" s="4">
        <f>Clean_Data[[#This Row],[Exports_TIV]] + Clean_Data[[#This Row],[Imports_TIV]]</f>
        <v>5611000000</v>
      </c>
    </row>
    <row r="1791" spans="1:9">
      <c r="A1791" s="4" t="s">
        <v>415</v>
      </c>
      <c r="B1791" s="4" t="s">
        <v>416</v>
      </c>
      <c r="C1791" s="5">
        <v>2014</v>
      </c>
      <c r="D1791" s="4">
        <v>0</v>
      </c>
      <c r="E1791" s="4">
        <v>15000000</v>
      </c>
      <c r="F1791" s="4" t="str">
        <f>_xlfn.LET(_xlpm.r, _xlfn.XLOOKUP(Clean_Data[[#This Row],[Country_Code]], Metadata_Country!$A:$A, Metadata_Country!$B:$B, "Unknown"), IF(OR(_xlpm.r=0, _xlpm.r=""), "Regional Aggregate", _xlpm.r))</f>
        <v>Sub-Saharan Africa</v>
      </c>
      <c r="G1791" s="4" t="str">
        <f>_xlfn.LET(_xlpm.ig, _xlfn.XLOOKUP(Clean_Data[[#This Row],[Country_Code]], Metadata_Country!$A:$A, Metadata_Country!$C:$C, "Unknown"), IF(OR(_xlpm.ig=0, _xlpm.ig=""), "Regional Aggregate", _xlpm.ig))</f>
        <v>Low income</v>
      </c>
      <c r="H1791" s="4">
        <f>Clean_Data[[#This Row],[Exports_TIV]] - Clean_Data[[#This Row],[Imports_TIV]]</f>
        <v>-15000000</v>
      </c>
      <c r="I1791" s="4">
        <f>Clean_Data[[#This Row],[Exports_TIV]] + Clean_Data[[#This Row],[Imports_TIV]]</f>
        <v>15000000</v>
      </c>
    </row>
    <row r="1792" spans="1:9">
      <c r="A1792" s="4" t="s">
        <v>419</v>
      </c>
      <c r="B1792" s="4" t="s">
        <v>420</v>
      </c>
      <c r="C1792" s="5">
        <v>2014</v>
      </c>
      <c r="D1792" s="4">
        <v>0</v>
      </c>
      <c r="E1792" s="4">
        <v>2717000000</v>
      </c>
      <c r="F1792" s="4" t="str">
        <f>_xlfn.LET(_xlpm.r, _xlfn.XLOOKUP(Clean_Data[[#This Row],[Country_Code]], Metadata_Country!$A:$A, Metadata_Country!$B:$B, "Unknown"), IF(OR(_xlpm.r=0, _xlpm.r=""), "Regional Aggregate", _xlpm.r))</f>
        <v>Middle East &amp; North Africa</v>
      </c>
      <c r="G1792" s="4" t="str">
        <f>_xlfn.LET(_xlpm.ig, _xlfn.XLOOKUP(Clean_Data[[#This Row],[Country_Code]], Metadata_Country!$A:$A, Metadata_Country!$C:$C, "Unknown"), IF(OR(_xlpm.ig=0, _xlpm.ig=""), "Regional Aggregate", _xlpm.ig))</f>
        <v>High income</v>
      </c>
      <c r="H1792" s="4">
        <f>Clean_Data[[#This Row],[Exports_TIV]] - Clean_Data[[#This Row],[Imports_TIV]]</f>
        <v>-2717000000</v>
      </c>
      <c r="I1792" s="4">
        <f>Clean_Data[[#This Row],[Exports_TIV]] + Clean_Data[[#This Row],[Imports_TIV]]</f>
        <v>2717000000</v>
      </c>
    </row>
    <row r="1793" spans="1:9">
      <c r="A1793" s="4" t="s">
        <v>423</v>
      </c>
      <c r="B1793" s="4" t="s">
        <v>424</v>
      </c>
      <c r="C1793" s="5">
        <v>2014</v>
      </c>
      <c r="D1793" s="4">
        <v>0</v>
      </c>
      <c r="E1793" s="4">
        <v>9000000</v>
      </c>
      <c r="F1793" s="4" t="str">
        <f>_xlfn.LET(_xlpm.r, _xlfn.XLOOKUP(Clean_Data[[#This Row],[Country_Code]], Metadata_Country!$A:$A, Metadata_Country!$B:$B, "Unknown"), IF(OR(_xlpm.r=0, _xlpm.r=""), "Regional Aggregate", _xlpm.r))</f>
        <v>Sub-Saharan Africa</v>
      </c>
      <c r="G1793" s="4" t="str">
        <f>_xlfn.LET(_xlpm.ig, _xlfn.XLOOKUP(Clean_Data[[#This Row],[Country_Code]], Metadata_Country!$A:$A, Metadata_Country!$C:$C, "Unknown"), IF(OR(_xlpm.ig=0, _xlpm.ig=""), "Regional Aggregate", _xlpm.ig))</f>
        <v>Lower middle income</v>
      </c>
      <c r="H1793" s="4">
        <f>Clean_Data[[#This Row],[Exports_TIV]] - Clean_Data[[#This Row],[Imports_TIV]]</f>
        <v>-9000000</v>
      </c>
      <c r="I1793" s="4">
        <f>Clean_Data[[#This Row],[Exports_TIV]] + Clean_Data[[#This Row],[Imports_TIV]]</f>
        <v>9000000</v>
      </c>
    </row>
    <row r="1794" spans="1:9">
      <c r="A1794" s="4" t="s">
        <v>437</v>
      </c>
      <c r="B1794" s="4" t="s">
        <v>438</v>
      </c>
      <c r="C1794" s="5">
        <v>2014</v>
      </c>
      <c r="D1794" s="4">
        <v>10000000</v>
      </c>
      <c r="E1794" s="4">
        <v>0</v>
      </c>
      <c r="F1794" s="4" t="str">
        <f>_xlfn.LET(_xlpm.r, _xlfn.XLOOKUP(Clean_Data[[#This Row],[Country_Code]], Metadata_Country!$A:$A, Metadata_Country!$B:$B, "Unknown"), IF(OR(_xlpm.r=0, _xlpm.r=""), "Regional Aggregate", _xlpm.r))</f>
        <v>Europe &amp; Central Asia</v>
      </c>
      <c r="G1794" s="4" t="str">
        <f>_xlfn.LET(_xlpm.ig, _xlfn.XLOOKUP(Clean_Data[[#This Row],[Country_Code]], Metadata_Country!$A:$A, Metadata_Country!$C:$C, "Unknown"), IF(OR(_xlpm.ig=0, _xlpm.ig=""), "Regional Aggregate", _xlpm.ig))</f>
        <v>Upper middle income</v>
      </c>
      <c r="H1794" s="4">
        <f>Clean_Data[[#This Row],[Exports_TIV]] - Clean_Data[[#This Row],[Imports_TIV]]</f>
        <v>10000000</v>
      </c>
      <c r="I1794" s="4">
        <f>Clean_Data[[#This Row],[Exports_TIV]] + Clean_Data[[#This Row],[Imports_TIV]]</f>
        <v>10000000</v>
      </c>
    </row>
    <row r="1795" spans="1:9">
      <c r="A1795" s="4" t="s">
        <v>461</v>
      </c>
      <c r="B1795" s="4" t="s">
        <v>462</v>
      </c>
      <c r="C1795" s="5">
        <v>2014</v>
      </c>
      <c r="D1795" s="4">
        <v>0</v>
      </c>
      <c r="E1795" s="4">
        <v>16000000</v>
      </c>
      <c r="F1795" s="4" t="str">
        <f>_xlfn.LET(_xlpm.r, _xlfn.XLOOKUP(Clean_Data[[#This Row],[Country_Code]], Metadata_Country!$A:$A, Metadata_Country!$B:$B, "Unknown"), IF(OR(_xlpm.r=0, _xlpm.r=""), "Regional Aggregate", _xlpm.r))</f>
        <v>Sub-Saharan Africa</v>
      </c>
      <c r="G1795" s="4" t="str">
        <f>_xlfn.LET(_xlpm.ig, _xlfn.XLOOKUP(Clean_Data[[#This Row],[Country_Code]], Metadata_Country!$A:$A, Metadata_Country!$C:$C, "Unknown"), IF(OR(_xlpm.ig=0, _xlpm.ig=""), "Regional Aggregate", _xlpm.ig))</f>
        <v>High income</v>
      </c>
      <c r="H1795" s="4">
        <f>Clean_Data[[#This Row],[Exports_TIV]] - Clean_Data[[#This Row],[Imports_TIV]]</f>
        <v>-16000000</v>
      </c>
      <c r="I1795" s="4">
        <f>Clean_Data[[#This Row],[Exports_TIV]] + Clean_Data[[#This Row],[Imports_TIV]]</f>
        <v>16000000</v>
      </c>
    </row>
    <row r="1796" spans="1:9">
      <c r="A1796" s="4" t="s">
        <v>425</v>
      </c>
      <c r="B1796" s="4" t="s">
        <v>426</v>
      </c>
      <c r="C1796" s="5">
        <v>2014</v>
      </c>
      <c r="D1796" s="4">
        <v>12000000</v>
      </c>
      <c r="E1796" s="4">
        <v>66000000</v>
      </c>
      <c r="F1796" s="4" t="str">
        <f>_xlfn.LET(_xlpm.r, _xlfn.XLOOKUP(Clean_Data[[#This Row],[Country_Code]], Metadata_Country!$A:$A, Metadata_Country!$B:$B, "Unknown"), IF(OR(_xlpm.r=0, _xlpm.r=""), "Regional Aggregate", _xlpm.r))</f>
        <v>East Asia &amp; Pacific</v>
      </c>
      <c r="G1796" s="4" t="str">
        <f>_xlfn.LET(_xlpm.ig, _xlfn.XLOOKUP(Clean_Data[[#This Row],[Country_Code]], Metadata_Country!$A:$A, Metadata_Country!$C:$C, "Unknown"), IF(OR(_xlpm.ig=0, _xlpm.ig=""), "Regional Aggregate", _xlpm.ig))</f>
        <v>High income</v>
      </c>
      <c r="H1796" s="4">
        <f>Clean_Data[[#This Row],[Exports_TIV]] - Clean_Data[[#This Row],[Imports_TIV]]</f>
        <v>-54000000</v>
      </c>
      <c r="I1796" s="4">
        <f>Clean_Data[[#This Row],[Exports_TIV]] + Clean_Data[[#This Row],[Imports_TIV]]</f>
        <v>78000000</v>
      </c>
    </row>
    <row r="1797" spans="1:9">
      <c r="A1797" s="4" t="s">
        <v>451</v>
      </c>
      <c r="B1797" s="4" t="s">
        <v>452</v>
      </c>
      <c r="C1797" s="5">
        <v>2014</v>
      </c>
      <c r="D1797" s="4">
        <v>8000000</v>
      </c>
      <c r="E1797" s="4">
        <v>0</v>
      </c>
      <c r="F1797" s="4" t="str">
        <f>_xlfn.LET(_xlpm.r, _xlfn.XLOOKUP(Clean_Data[[#This Row],[Country_Code]], Metadata_Country!$A:$A, Metadata_Country!$B:$B, "Unknown"), IF(OR(_xlpm.r=0, _xlpm.r=""), "Regional Aggregate", _xlpm.r))</f>
        <v>Europe &amp; Central Asia</v>
      </c>
      <c r="G1797" s="4" t="str">
        <f>_xlfn.LET(_xlpm.ig, _xlfn.XLOOKUP(Clean_Data[[#This Row],[Country_Code]], Metadata_Country!$A:$A, Metadata_Country!$C:$C, "Unknown"), IF(OR(_xlpm.ig=0, _xlpm.ig=""), "Regional Aggregate", _xlpm.ig))</f>
        <v>High income</v>
      </c>
      <c r="H1797" s="4">
        <f>Clean_Data[[#This Row],[Exports_TIV]] - Clean_Data[[#This Row],[Imports_TIV]]</f>
        <v>8000000</v>
      </c>
      <c r="I1797" s="4">
        <f>Clean_Data[[#This Row],[Exports_TIV]] + Clean_Data[[#This Row],[Imports_TIV]]</f>
        <v>8000000</v>
      </c>
    </row>
    <row r="1798" spans="1:9">
      <c r="A1798" s="4" t="s">
        <v>453</v>
      </c>
      <c r="B1798" s="4" t="s">
        <v>454</v>
      </c>
      <c r="C1798" s="5">
        <v>2014</v>
      </c>
      <c r="D1798" s="4">
        <v>0</v>
      </c>
      <c r="E1798" s="4">
        <v>1000000</v>
      </c>
      <c r="F1798" s="4" t="str">
        <f>_xlfn.LET(_xlpm.r, _xlfn.XLOOKUP(Clean_Data[[#This Row],[Country_Code]], Metadata_Country!$A:$A, Metadata_Country!$B:$B, "Unknown"), IF(OR(_xlpm.r=0, _xlpm.r=""), "Regional Aggregate", _xlpm.r))</f>
        <v>Europe &amp; Central Asia</v>
      </c>
      <c r="G1798" s="4" t="str">
        <f>_xlfn.LET(_xlpm.ig, _xlfn.XLOOKUP(Clean_Data[[#This Row],[Country_Code]], Metadata_Country!$A:$A, Metadata_Country!$C:$C, "Unknown"), IF(OR(_xlpm.ig=0, _xlpm.ig=""), "Regional Aggregate", _xlpm.ig))</f>
        <v>High income</v>
      </c>
      <c r="H1798" s="4">
        <f>Clean_Data[[#This Row],[Exports_TIV]] - Clean_Data[[#This Row],[Imports_TIV]]</f>
        <v>-1000000</v>
      </c>
      <c r="I1798" s="4">
        <f>Clean_Data[[#This Row],[Exports_TIV]] + Clean_Data[[#This Row],[Imports_TIV]]</f>
        <v>1000000</v>
      </c>
    </row>
    <row r="1799" spans="1:9">
      <c r="A1799" s="4" t="s">
        <v>535</v>
      </c>
      <c r="B1799" s="4" t="s">
        <v>536</v>
      </c>
      <c r="C1799" s="5">
        <v>2014</v>
      </c>
      <c r="D1799" s="4">
        <v>89000000</v>
      </c>
      <c r="E1799" s="4">
        <v>50000000</v>
      </c>
      <c r="F1799" s="4" t="str">
        <f>_xlfn.LET(_xlpm.r, _xlfn.XLOOKUP(Clean_Data[[#This Row],[Country_Code]], Metadata_Country!$A:$A, Metadata_Country!$B:$B, "Unknown"), IF(OR(_xlpm.r=0, _xlpm.r=""), "Regional Aggregate", _xlpm.r))</f>
        <v>Sub-Saharan Africa</v>
      </c>
      <c r="G1799" s="4" t="str">
        <f>_xlfn.LET(_xlpm.ig, _xlfn.XLOOKUP(Clean_Data[[#This Row],[Country_Code]], Metadata_Country!$A:$A, Metadata_Country!$C:$C, "Unknown"), IF(OR(_xlpm.ig=0, _xlpm.ig=""), "Regional Aggregate", _xlpm.ig))</f>
        <v>Upper middle income</v>
      </c>
      <c r="H1799" s="4">
        <f>Clean_Data[[#This Row],[Exports_TIV]] - Clean_Data[[#This Row],[Imports_TIV]]</f>
        <v>39000000</v>
      </c>
      <c r="I1799" s="4">
        <f>Clean_Data[[#This Row],[Exports_TIV]] + Clean_Data[[#This Row],[Imports_TIV]]</f>
        <v>139000000</v>
      </c>
    </row>
    <row r="1800" spans="1:9">
      <c r="A1800" s="4" t="s">
        <v>417</v>
      </c>
      <c r="B1800" s="4" t="s">
        <v>418</v>
      </c>
      <c r="C1800" s="5">
        <v>2014</v>
      </c>
      <c r="D1800" s="4">
        <v>40000000</v>
      </c>
      <c r="E1800" s="4">
        <v>3499000000</v>
      </c>
      <c r="F1800" s="4" t="str">
        <f>_xlfn.LET(_xlpm.r, _xlfn.XLOOKUP(Clean_Data[[#This Row],[Country_Code]], Metadata_Country!$A:$A, Metadata_Country!$B:$B, "Unknown"), IF(OR(_xlpm.r=0, _xlpm.r=""), "Regional Aggregate", _xlpm.r))</f>
        <v>Regional Aggregate</v>
      </c>
      <c r="G1800" s="4" t="str">
        <f>_xlfn.LET(_xlpm.ig, _xlfn.XLOOKUP(Clean_Data[[#This Row],[Country_Code]], Metadata_Country!$A:$A, Metadata_Country!$C:$C, "Unknown"), IF(OR(_xlpm.ig=0, _xlpm.ig=""), "Regional Aggregate", _xlpm.ig))</f>
        <v>Regional Aggregate</v>
      </c>
      <c r="H1800" s="4">
        <f>Clean_Data[[#This Row],[Exports_TIV]] - Clean_Data[[#This Row],[Imports_TIV]]</f>
        <v>-3459000000</v>
      </c>
      <c r="I1800" s="4">
        <f>Clean_Data[[#This Row],[Exports_TIV]] + Clean_Data[[#This Row],[Imports_TIV]]</f>
        <v>3539000000</v>
      </c>
    </row>
    <row r="1801" spans="1:9">
      <c r="A1801" s="4" t="s">
        <v>489</v>
      </c>
      <c r="B1801" s="4" t="s">
        <v>490</v>
      </c>
      <c r="C1801" s="5">
        <v>2014</v>
      </c>
      <c r="D1801" s="4">
        <v>40000000</v>
      </c>
      <c r="E1801" s="4">
        <v>3499000000</v>
      </c>
      <c r="F1801" s="4" t="str">
        <f>_xlfn.LET(_xlpm.r, _xlfn.XLOOKUP(Clean_Data[[#This Row],[Country_Code]], Metadata_Country!$A:$A, Metadata_Country!$B:$B, "Unknown"), IF(OR(_xlpm.r=0, _xlpm.r=""), "Regional Aggregate", _xlpm.r))</f>
        <v>Regional Aggregate</v>
      </c>
      <c r="G1801" s="4" t="str">
        <f>_xlfn.LET(_xlpm.ig, _xlfn.XLOOKUP(Clean_Data[[#This Row],[Country_Code]], Metadata_Country!$A:$A, Metadata_Country!$C:$C, "Unknown"), IF(OR(_xlpm.ig=0, _xlpm.ig=""), "Regional Aggregate", _xlpm.ig))</f>
        <v>Regional Aggregate</v>
      </c>
      <c r="H1801" s="4">
        <f>Clean_Data[[#This Row],[Exports_TIV]] - Clean_Data[[#This Row],[Imports_TIV]]</f>
        <v>-3459000000</v>
      </c>
      <c r="I1801" s="4">
        <f>Clean_Data[[#This Row],[Exports_TIV]] + Clean_Data[[#This Row],[Imports_TIV]]</f>
        <v>3539000000</v>
      </c>
    </row>
    <row r="1802" spans="1:9">
      <c r="A1802" s="4" t="s">
        <v>441</v>
      </c>
      <c r="B1802" s="4" t="s">
        <v>442</v>
      </c>
      <c r="C1802" s="5">
        <v>2014</v>
      </c>
      <c r="D1802" s="4">
        <v>0</v>
      </c>
      <c r="E1802" s="4">
        <v>41000000</v>
      </c>
      <c r="F1802" s="4" t="str">
        <f>_xlfn.LET(_xlpm.r, _xlfn.XLOOKUP(Clean_Data[[#This Row],[Country_Code]], Metadata_Country!$A:$A, Metadata_Country!$B:$B, "Unknown"), IF(OR(_xlpm.r=0, _xlpm.r=""), "Regional Aggregate", _xlpm.r))</f>
        <v>Sub-Saharan Africa</v>
      </c>
      <c r="G1802" s="4" t="str">
        <f>_xlfn.LET(_xlpm.ig, _xlfn.XLOOKUP(Clean_Data[[#This Row],[Country_Code]], Metadata_Country!$A:$A, Metadata_Country!$C:$C, "Unknown"), IF(OR(_xlpm.ig=0, _xlpm.ig=""), "Regional Aggregate", _xlpm.ig))</f>
        <v>Low income</v>
      </c>
      <c r="H1802" s="4">
        <f>Clean_Data[[#This Row],[Exports_TIV]] - Clean_Data[[#This Row],[Imports_TIV]]</f>
        <v>-41000000</v>
      </c>
      <c r="I1802" s="4">
        <f>Clean_Data[[#This Row],[Exports_TIV]] + Clean_Data[[#This Row],[Imports_TIV]]</f>
        <v>41000000</v>
      </c>
    </row>
    <row r="1803" spans="1:9">
      <c r="A1803" s="4" t="s">
        <v>149</v>
      </c>
      <c r="B1803" s="4" t="s">
        <v>150</v>
      </c>
      <c r="C1803" s="5">
        <v>2014</v>
      </c>
      <c r="D1803" s="4">
        <v>962000000</v>
      </c>
      <c r="E1803" s="4">
        <v>109000000</v>
      </c>
      <c r="F1803" s="4" t="str">
        <f>_xlfn.LET(_xlpm.r, _xlfn.XLOOKUP(Clean_Data[[#This Row],[Country_Code]], Metadata_Country!$A:$A, Metadata_Country!$B:$B, "Unknown"), IF(OR(_xlpm.r=0, _xlpm.r=""), "Regional Aggregate", _xlpm.r))</f>
        <v>Europe &amp; Central Asia</v>
      </c>
      <c r="G1803" s="4" t="str">
        <f>_xlfn.LET(_xlpm.ig, _xlfn.XLOOKUP(Clean_Data[[#This Row],[Country_Code]], Metadata_Country!$A:$A, Metadata_Country!$C:$C, "Unknown"), IF(OR(_xlpm.ig=0, _xlpm.ig=""), "Regional Aggregate", _xlpm.ig))</f>
        <v>High income</v>
      </c>
      <c r="H1803" s="4">
        <f>Clean_Data[[#This Row],[Exports_TIV]] - Clean_Data[[#This Row],[Imports_TIV]]</f>
        <v>853000000</v>
      </c>
      <c r="I1803" s="4">
        <f>Clean_Data[[#This Row],[Exports_TIV]] + Clean_Data[[#This Row],[Imports_TIV]]</f>
        <v>1071000000</v>
      </c>
    </row>
    <row r="1804" spans="1:9">
      <c r="A1804" s="4" t="s">
        <v>285</v>
      </c>
      <c r="B1804" s="4" t="s">
        <v>286</v>
      </c>
      <c r="C1804" s="5">
        <v>2014</v>
      </c>
      <c r="D1804" s="4">
        <v>0</v>
      </c>
      <c r="E1804" s="4">
        <v>5000000</v>
      </c>
      <c r="F1804" s="4" t="str">
        <f>_xlfn.LET(_xlpm.r, _xlfn.XLOOKUP(Clean_Data[[#This Row],[Country_Code]], Metadata_Country!$A:$A, Metadata_Country!$B:$B, "Unknown"), IF(OR(_xlpm.r=0, _xlpm.r=""), "Regional Aggregate", _xlpm.r))</f>
        <v>South Asia</v>
      </c>
      <c r="G1804" s="4" t="str">
        <f>_xlfn.LET(_xlpm.ig, _xlfn.XLOOKUP(Clean_Data[[#This Row],[Country_Code]], Metadata_Country!$A:$A, Metadata_Country!$C:$C, "Unknown"), IF(OR(_xlpm.ig=0, _xlpm.ig=""), "Regional Aggregate", _xlpm.ig))</f>
        <v>Upper middle income</v>
      </c>
      <c r="H1804" s="4">
        <f>Clean_Data[[#This Row],[Exports_TIV]] - Clean_Data[[#This Row],[Imports_TIV]]</f>
        <v>-5000000</v>
      </c>
      <c r="I1804" s="4">
        <f>Clean_Data[[#This Row],[Exports_TIV]] + Clean_Data[[#This Row],[Imports_TIV]]</f>
        <v>5000000</v>
      </c>
    </row>
    <row r="1805" spans="1:9">
      <c r="A1805" s="4" t="s">
        <v>443</v>
      </c>
      <c r="B1805" s="4" t="s">
        <v>444</v>
      </c>
      <c r="C1805" s="5">
        <v>2014</v>
      </c>
      <c r="D1805" s="4">
        <v>0</v>
      </c>
      <c r="E1805" s="4">
        <v>888000000</v>
      </c>
      <c r="F1805" s="4" t="str">
        <f>_xlfn.LET(_xlpm.r, _xlfn.XLOOKUP(Clean_Data[[#This Row],[Country_Code]], Metadata_Country!$A:$A, Metadata_Country!$B:$B, "Unknown"), IF(OR(_xlpm.r=0, _xlpm.r=""), "Regional Aggregate", _xlpm.r))</f>
        <v>Regional Aggregate</v>
      </c>
      <c r="G1805" s="4" t="str">
        <f>_xlfn.LET(_xlpm.ig, _xlfn.XLOOKUP(Clean_Data[[#This Row],[Country_Code]], Metadata_Country!$A:$A, Metadata_Country!$C:$C, "Unknown"), IF(OR(_xlpm.ig=0, _xlpm.ig=""), "Regional Aggregate", _xlpm.ig))</f>
        <v>Regional Aggregate</v>
      </c>
      <c r="H1805" s="4">
        <f>Clean_Data[[#This Row],[Exports_TIV]] - Clean_Data[[#This Row],[Imports_TIV]]</f>
        <v>-888000000</v>
      </c>
      <c r="I1805" s="4">
        <f>Clean_Data[[#This Row],[Exports_TIV]] + Clean_Data[[#This Row],[Imports_TIV]]</f>
        <v>888000000</v>
      </c>
    </row>
    <row r="1806" spans="1:9">
      <c r="A1806" s="4" t="s">
        <v>439</v>
      </c>
      <c r="B1806" s="4" t="s">
        <v>440</v>
      </c>
      <c r="C1806" s="5">
        <v>2014</v>
      </c>
      <c r="D1806" s="4">
        <v>0</v>
      </c>
      <c r="E1806" s="4">
        <v>872000000</v>
      </c>
      <c r="F1806" s="4" t="str">
        <f>_xlfn.LET(_xlpm.r, _xlfn.XLOOKUP(Clean_Data[[#This Row],[Country_Code]], Metadata_Country!$A:$A, Metadata_Country!$B:$B, "Unknown"), IF(OR(_xlpm.r=0, _xlpm.r=""), "Regional Aggregate", _xlpm.r))</f>
        <v>Regional Aggregate</v>
      </c>
      <c r="G1806" s="4" t="str">
        <f>_xlfn.LET(_xlpm.ig, _xlfn.XLOOKUP(Clean_Data[[#This Row],[Country_Code]], Metadata_Country!$A:$A, Metadata_Country!$C:$C, "Unknown"), IF(OR(_xlpm.ig=0, _xlpm.ig=""), "Regional Aggregate", _xlpm.ig))</f>
        <v>Regional Aggregate</v>
      </c>
      <c r="H1806" s="4">
        <f>Clean_Data[[#This Row],[Exports_TIV]] - Clean_Data[[#This Row],[Imports_TIV]]</f>
        <v>-872000000</v>
      </c>
      <c r="I1806" s="4">
        <f>Clean_Data[[#This Row],[Exports_TIV]] + Clean_Data[[#This Row],[Imports_TIV]]</f>
        <v>872000000</v>
      </c>
    </row>
    <row r="1807" spans="1:9">
      <c r="A1807" s="4" t="s">
        <v>491</v>
      </c>
      <c r="B1807" s="4" t="s">
        <v>492</v>
      </c>
      <c r="C1807" s="5">
        <v>2014</v>
      </c>
      <c r="D1807" s="4">
        <v>0</v>
      </c>
      <c r="E1807" s="4">
        <v>888000000</v>
      </c>
      <c r="F1807" s="4" t="str">
        <f>_xlfn.LET(_xlpm.r, _xlfn.XLOOKUP(Clean_Data[[#This Row],[Country_Code]], Metadata_Country!$A:$A, Metadata_Country!$B:$B, "Unknown"), IF(OR(_xlpm.r=0, _xlpm.r=""), "Regional Aggregate", _xlpm.r))</f>
        <v>Regional Aggregate</v>
      </c>
      <c r="G1807" s="4" t="str">
        <f>_xlfn.LET(_xlpm.ig, _xlfn.XLOOKUP(Clean_Data[[#This Row],[Country_Code]], Metadata_Country!$A:$A, Metadata_Country!$C:$C, "Unknown"), IF(OR(_xlpm.ig=0, _xlpm.ig=""), "Regional Aggregate", _xlpm.ig))</f>
        <v>Regional Aggregate</v>
      </c>
      <c r="H1807" s="4">
        <f>Clean_Data[[#This Row],[Exports_TIV]] - Clean_Data[[#This Row],[Imports_TIV]]</f>
        <v>-888000000</v>
      </c>
      <c r="I1807" s="4">
        <f>Clean_Data[[#This Row],[Exports_TIV]] + Clean_Data[[#This Row],[Imports_TIV]]</f>
        <v>888000000</v>
      </c>
    </row>
    <row r="1808" spans="1:9">
      <c r="A1808" s="4" t="s">
        <v>421</v>
      </c>
      <c r="B1808" s="4" t="s">
        <v>422</v>
      </c>
      <c r="C1808" s="5">
        <v>2014</v>
      </c>
      <c r="D1808" s="4">
        <v>0</v>
      </c>
      <c r="E1808" s="4">
        <v>70000000</v>
      </c>
      <c r="F1808" s="4" t="str">
        <f>_xlfn.LET(_xlpm.r, _xlfn.XLOOKUP(Clean_Data[[#This Row],[Country_Code]], Metadata_Country!$A:$A, Metadata_Country!$B:$B, "Unknown"), IF(OR(_xlpm.r=0, _xlpm.r=""), "Regional Aggregate", _xlpm.r))</f>
        <v>Sub-Saharan Africa</v>
      </c>
      <c r="G1808" s="4" t="str">
        <f>_xlfn.LET(_xlpm.ig, _xlfn.XLOOKUP(Clean_Data[[#This Row],[Country_Code]], Metadata_Country!$A:$A, Metadata_Country!$C:$C, "Unknown"), IF(OR(_xlpm.ig=0, _xlpm.ig=""), "Regional Aggregate", _xlpm.ig))</f>
        <v>Low income</v>
      </c>
      <c r="H1808" s="4">
        <f>Clean_Data[[#This Row],[Exports_TIV]] - Clean_Data[[#This Row],[Imports_TIV]]</f>
        <v>-70000000</v>
      </c>
      <c r="I1808" s="4">
        <f>Clean_Data[[#This Row],[Exports_TIV]] + Clean_Data[[#This Row],[Imports_TIV]]</f>
        <v>70000000</v>
      </c>
    </row>
    <row r="1809" spans="1:9">
      <c r="A1809" s="4" t="s">
        <v>455</v>
      </c>
      <c r="B1809" s="4" t="s">
        <v>456</v>
      </c>
      <c r="C1809" s="5">
        <v>2014</v>
      </c>
      <c r="D1809" s="4">
        <v>340000000</v>
      </c>
      <c r="E1809" s="4">
        <v>48000000</v>
      </c>
      <c r="F1809" s="4" t="str">
        <f>_xlfn.LET(_xlpm.r, _xlfn.XLOOKUP(Clean_Data[[#This Row],[Country_Code]], Metadata_Country!$A:$A, Metadata_Country!$B:$B, "Unknown"), IF(OR(_xlpm.r=0, _xlpm.r=""), "Regional Aggregate", _xlpm.r))</f>
        <v>Europe &amp; Central Asia</v>
      </c>
      <c r="G1809" s="4" t="str">
        <f>_xlfn.LET(_xlpm.ig, _xlfn.XLOOKUP(Clean_Data[[#This Row],[Country_Code]], Metadata_Country!$A:$A, Metadata_Country!$C:$C, "Unknown"), IF(OR(_xlpm.ig=0, _xlpm.ig=""), "Regional Aggregate", _xlpm.ig))</f>
        <v>High income</v>
      </c>
      <c r="H1809" s="4">
        <f>Clean_Data[[#This Row],[Exports_TIV]] - Clean_Data[[#This Row],[Imports_TIV]]</f>
        <v>292000000</v>
      </c>
      <c r="I1809" s="4">
        <f>Clean_Data[[#This Row],[Exports_TIV]] + Clean_Data[[#This Row],[Imports_TIV]]</f>
        <v>388000000</v>
      </c>
    </row>
    <row r="1810" spans="1:9">
      <c r="A1810" s="4" t="s">
        <v>83</v>
      </c>
      <c r="B1810" s="4" t="s">
        <v>84</v>
      </c>
      <c r="C1810" s="5">
        <v>2014</v>
      </c>
      <c r="D1810" s="4">
        <v>352000000</v>
      </c>
      <c r="E1810" s="4">
        <v>5000000</v>
      </c>
      <c r="F1810" s="4" t="str">
        <f>_xlfn.LET(_xlpm.r, _xlfn.XLOOKUP(Clean_Data[[#This Row],[Country_Code]], Metadata_Country!$A:$A, Metadata_Country!$B:$B, "Unknown"), IF(OR(_xlpm.r=0, _xlpm.r=""), "Regional Aggregate", _xlpm.r))</f>
        <v>Europe &amp; Central Asia</v>
      </c>
      <c r="G1810" s="4" t="str">
        <f>_xlfn.LET(_xlpm.ig, _xlfn.XLOOKUP(Clean_Data[[#This Row],[Country_Code]], Metadata_Country!$A:$A, Metadata_Country!$C:$C, "Unknown"), IF(OR(_xlpm.ig=0, _xlpm.ig=""), "Regional Aggregate", _xlpm.ig))</f>
        <v>High income</v>
      </c>
      <c r="H1810" s="4">
        <f>Clean_Data[[#This Row],[Exports_TIV]] - Clean_Data[[#This Row],[Imports_TIV]]</f>
        <v>347000000</v>
      </c>
      <c r="I1810" s="4">
        <f>Clean_Data[[#This Row],[Exports_TIV]] + Clean_Data[[#This Row],[Imports_TIV]]</f>
        <v>357000000</v>
      </c>
    </row>
    <row r="1811" spans="1:9">
      <c r="A1811" s="4" t="s">
        <v>463</v>
      </c>
      <c r="B1811" s="4" t="s">
        <v>464</v>
      </c>
      <c r="C1811" s="5">
        <v>2014</v>
      </c>
      <c r="D1811" s="4">
        <v>0</v>
      </c>
      <c r="E1811" s="4">
        <v>7000000</v>
      </c>
      <c r="F1811" s="4" t="str">
        <f>_xlfn.LET(_xlpm.r, _xlfn.XLOOKUP(Clean_Data[[#This Row],[Country_Code]], Metadata_Country!$A:$A, Metadata_Country!$B:$B, "Unknown"), IF(OR(_xlpm.r=0, _xlpm.r=""), "Regional Aggregate", _xlpm.r))</f>
        <v>Middle East &amp; North Africa</v>
      </c>
      <c r="G1811" s="4" t="str">
        <f>_xlfn.LET(_xlpm.ig, _xlfn.XLOOKUP(Clean_Data[[#This Row],[Country_Code]], Metadata_Country!$A:$A, Metadata_Country!$C:$C, "Unknown"), IF(OR(_xlpm.ig=0, _xlpm.ig=""), "Regional Aggregate", _xlpm.ig))</f>
        <v>Low income</v>
      </c>
      <c r="H1811" s="4">
        <f>Clean_Data[[#This Row],[Exports_TIV]] - Clean_Data[[#This Row],[Imports_TIV]]</f>
        <v>-7000000</v>
      </c>
      <c r="I1811" s="4">
        <f>Clean_Data[[#This Row],[Exports_TIV]] + Clean_Data[[#This Row],[Imports_TIV]]</f>
        <v>7000000</v>
      </c>
    </row>
    <row r="1812" spans="1:9">
      <c r="A1812" s="4" t="s">
        <v>501</v>
      </c>
      <c r="B1812" s="4" t="s">
        <v>502</v>
      </c>
      <c r="C1812" s="5">
        <v>2014</v>
      </c>
      <c r="D1812" s="4">
        <v>0</v>
      </c>
      <c r="E1812" s="4">
        <v>14000000</v>
      </c>
      <c r="F1812" s="4" t="str">
        <f>_xlfn.LET(_xlpm.r, _xlfn.XLOOKUP(Clean_Data[[#This Row],[Country_Code]], Metadata_Country!$A:$A, Metadata_Country!$B:$B, "Unknown"), IF(OR(_xlpm.r=0, _xlpm.r=""), "Regional Aggregate", _xlpm.r))</f>
        <v>Sub-Saharan Africa</v>
      </c>
      <c r="G1812" s="4" t="str">
        <f>_xlfn.LET(_xlpm.ig, _xlfn.XLOOKUP(Clean_Data[[#This Row],[Country_Code]], Metadata_Country!$A:$A, Metadata_Country!$C:$C, "Unknown"), IF(OR(_xlpm.ig=0, _xlpm.ig=""), "Regional Aggregate", _xlpm.ig))</f>
        <v>Lower middle income</v>
      </c>
      <c r="H1812" s="4">
        <f>Clean_Data[[#This Row],[Exports_TIV]] - Clean_Data[[#This Row],[Imports_TIV]]</f>
        <v>-14000000</v>
      </c>
      <c r="I1812" s="4">
        <f>Clean_Data[[#This Row],[Exports_TIV]] + Clean_Data[[#This Row],[Imports_TIV]]</f>
        <v>14000000</v>
      </c>
    </row>
    <row r="1813" spans="1:9">
      <c r="A1813" s="4" t="s">
        <v>475</v>
      </c>
      <c r="B1813" s="4" t="s">
        <v>476</v>
      </c>
      <c r="C1813" s="5">
        <v>2014</v>
      </c>
      <c r="D1813" s="4">
        <v>0</v>
      </c>
      <c r="E1813" s="4">
        <v>107000000</v>
      </c>
      <c r="F1813" s="4" t="str">
        <f>_xlfn.LET(_xlpm.r, _xlfn.XLOOKUP(Clean_Data[[#This Row],[Country_Code]], Metadata_Country!$A:$A, Metadata_Country!$B:$B, "Unknown"), IF(OR(_xlpm.r=0, _xlpm.r=""), "Regional Aggregate", _xlpm.r))</f>
        <v>East Asia &amp; Pacific</v>
      </c>
      <c r="G1813" s="4" t="str">
        <f>_xlfn.LET(_xlpm.ig, _xlfn.XLOOKUP(Clean_Data[[#This Row],[Country_Code]], Metadata_Country!$A:$A, Metadata_Country!$C:$C, "Unknown"), IF(OR(_xlpm.ig=0, _xlpm.ig=""), "Regional Aggregate", _xlpm.ig))</f>
        <v>Upper middle income</v>
      </c>
      <c r="H1813" s="4">
        <f>Clean_Data[[#This Row],[Exports_TIV]] - Clean_Data[[#This Row],[Imports_TIV]]</f>
        <v>-107000000</v>
      </c>
      <c r="I1813" s="4">
        <f>Clean_Data[[#This Row],[Exports_TIV]] + Clean_Data[[#This Row],[Imports_TIV]]</f>
        <v>107000000</v>
      </c>
    </row>
    <row r="1814" spans="1:9">
      <c r="A1814" s="4" t="s">
        <v>473</v>
      </c>
      <c r="B1814" s="4" t="s">
        <v>474</v>
      </c>
      <c r="C1814" s="5">
        <v>2014</v>
      </c>
      <c r="D1814" s="4">
        <v>0</v>
      </c>
      <c r="E1814" s="4">
        <v>15000000</v>
      </c>
      <c r="F1814" s="4" t="str">
        <f>_xlfn.LET(_xlpm.r, _xlfn.XLOOKUP(Clean_Data[[#This Row],[Country_Code]], Metadata_Country!$A:$A, Metadata_Country!$B:$B, "Unknown"), IF(OR(_xlpm.r=0, _xlpm.r=""), "Regional Aggregate", _xlpm.r))</f>
        <v>Sub-Saharan Africa</v>
      </c>
      <c r="G1814" s="4" t="str">
        <f>_xlfn.LET(_xlpm.ig, _xlfn.XLOOKUP(Clean_Data[[#This Row],[Country_Code]], Metadata_Country!$A:$A, Metadata_Country!$C:$C, "Unknown"), IF(OR(_xlpm.ig=0, _xlpm.ig=""), "Regional Aggregate", _xlpm.ig))</f>
        <v>Lower middle income</v>
      </c>
      <c r="H1814" s="4">
        <f>Clean_Data[[#This Row],[Exports_TIV]] - Clean_Data[[#This Row],[Imports_TIV]]</f>
        <v>-15000000</v>
      </c>
      <c r="I1814" s="4">
        <f>Clean_Data[[#This Row],[Exports_TIV]] + Clean_Data[[#This Row],[Imports_TIV]]</f>
        <v>15000000</v>
      </c>
    </row>
    <row r="1815" spans="1:9">
      <c r="A1815" s="4" t="s">
        <v>495</v>
      </c>
      <c r="B1815" s="4" t="s">
        <v>496</v>
      </c>
      <c r="C1815" s="5">
        <v>2014</v>
      </c>
      <c r="D1815" s="4">
        <v>0</v>
      </c>
      <c r="E1815" s="4">
        <v>50000000</v>
      </c>
      <c r="F1815" s="4" t="str">
        <f>_xlfn.LET(_xlpm.r, _xlfn.XLOOKUP(Clean_Data[[#This Row],[Country_Code]], Metadata_Country!$A:$A, Metadata_Country!$B:$B, "Unknown"), IF(OR(_xlpm.r=0, _xlpm.r=""), "Regional Aggregate", _xlpm.r))</f>
        <v>Middle East &amp; North Africa</v>
      </c>
      <c r="G1815" s="4" t="str">
        <f>_xlfn.LET(_xlpm.ig, _xlfn.XLOOKUP(Clean_Data[[#This Row],[Country_Code]], Metadata_Country!$A:$A, Metadata_Country!$C:$C, "Unknown"), IF(OR(_xlpm.ig=0, _xlpm.ig=""), "Regional Aggregate", _xlpm.ig))</f>
        <v>Lower middle income</v>
      </c>
      <c r="H1815" s="4">
        <f>Clean_Data[[#This Row],[Exports_TIV]] - Clean_Data[[#This Row],[Imports_TIV]]</f>
        <v>-50000000</v>
      </c>
      <c r="I1815" s="4">
        <f>Clean_Data[[#This Row],[Exports_TIV]] + Clean_Data[[#This Row],[Imports_TIV]]</f>
        <v>50000000</v>
      </c>
    </row>
    <row r="1816" spans="1:9">
      <c r="A1816" s="4" t="s">
        <v>497</v>
      </c>
      <c r="B1816" s="4" t="s">
        <v>498</v>
      </c>
      <c r="C1816" s="5">
        <v>2014</v>
      </c>
      <c r="D1816" s="4">
        <v>166000000</v>
      </c>
      <c r="E1816" s="4">
        <v>1529000000</v>
      </c>
      <c r="F1816" s="4" t="str">
        <f>_xlfn.LET(_xlpm.r, _xlfn.XLOOKUP(Clean_Data[[#This Row],[Country_Code]], Metadata_Country!$A:$A, Metadata_Country!$B:$B, "Unknown"), IF(OR(_xlpm.r=0, _xlpm.r=""), "Regional Aggregate", _xlpm.r))</f>
        <v>Europe &amp; Central Asia</v>
      </c>
      <c r="G1816" s="4" t="str">
        <f>_xlfn.LET(_xlpm.ig, _xlfn.XLOOKUP(Clean_Data[[#This Row],[Country_Code]], Metadata_Country!$A:$A, Metadata_Country!$C:$C, "Unknown"), IF(OR(_xlpm.ig=0, _xlpm.ig=""), "Regional Aggregate", _xlpm.ig))</f>
        <v>Upper middle income</v>
      </c>
      <c r="H1816" s="4">
        <f>Clean_Data[[#This Row],[Exports_TIV]] - Clean_Data[[#This Row],[Imports_TIV]]</f>
        <v>-1363000000</v>
      </c>
      <c r="I1816" s="4">
        <f>Clean_Data[[#This Row],[Exports_TIV]] + Clean_Data[[#This Row],[Imports_TIV]]</f>
        <v>1695000000</v>
      </c>
    </row>
    <row r="1817" spans="1:9">
      <c r="A1817" s="4" t="s">
        <v>479</v>
      </c>
      <c r="B1817" s="4" t="s">
        <v>480</v>
      </c>
      <c r="C1817" s="5">
        <v>2014</v>
      </c>
      <c r="D1817" s="4">
        <v>0</v>
      </c>
      <c r="E1817" s="4">
        <v>72000000</v>
      </c>
      <c r="F1817" s="4" t="str">
        <f>_xlfn.LET(_xlpm.r, _xlfn.XLOOKUP(Clean_Data[[#This Row],[Country_Code]], Metadata_Country!$A:$A, Metadata_Country!$B:$B, "Unknown"), IF(OR(_xlpm.r=0, _xlpm.r=""), "Regional Aggregate", _xlpm.r))</f>
        <v>Europe &amp; Central Asia</v>
      </c>
      <c r="G1817" s="4" t="str">
        <f>_xlfn.LET(_xlpm.ig, _xlfn.XLOOKUP(Clean_Data[[#This Row],[Country_Code]], Metadata_Country!$A:$A, Metadata_Country!$C:$C, "Unknown"), IF(OR(_xlpm.ig=0, _xlpm.ig=""), "Regional Aggregate", _xlpm.ig))</f>
        <v>Upper middle income</v>
      </c>
      <c r="H1817" s="4">
        <f>Clean_Data[[#This Row],[Exports_TIV]] - Clean_Data[[#This Row],[Imports_TIV]]</f>
        <v>-72000000</v>
      </c>
      <c r="I1817" s="4">
        <f>Clean_Data[[#This Row],[Exports_TIV]] + Clean_Data[[#This Row],[Imports_TIV]]</f>
        <v>72000000</v>
      </c>
    </row>
    <row r="1818" spans="1:9">
      <c r="A1818" s="4" t="s">
        <v>503</v>
      </c>
      <c r="B1818" s="4" t="s">
        <v>504</v>
      </c>
      <c r="C1818" s="5">
        <v>2014</v>
      </c>
      <c r="D1818" s="4">
        <v>0</v>
      </c>
      <c r="E1818" s="4">
        <v>2000000</v>
      </c>
      <c r="F1818" s="4" t="str">
        <f>_xlfn.LET(_xlpm.r, _xlfn.XLOOKUP(Clean_Data[[#This Row],[Country_Code]], Metadata_Country!$A:$A, Metadata_Country!$B:$B, "Unknown"), IF(OR(_xlpm.r=0, _xlpm.r=""), "Regional Aggregate", _xlpm.r))</f>
        <v>Sub-Saharan Africa</v>
      </c>
      <c r="G1818" s="4" t="str">
        <f>_xlfn.LET(_xlpm.ig, _xlfn.XLOOKUP(Clean_Data[[#This Row],[Country_Code]], Metadata_Country!$A:$A, Metadata_Country!$C:$C, "Unknown"), IF(OR(_xlpm.ig=0, _xlpm.ig=""), "Regional Aggregate", _xlpm.ig))</f>
        <v>Low income</v>
      </c>
      <c r="H1818" s="4">
        <f>Clean_Data[[#This Row],[Exports_TIV]] - Clean_Data[[#This Row],[Imports_TIV]]</f>
        <v>-2000000</v>
      </c>
      <c r="I1818" s="4">
        <f>Clean_Data[[#This Row],[Exports_TIV]] + Clean_Data[[#This Row],[Imports_TIV]]</f>
        <v>2000000</v>
      </c>
    </row>
    <row r="1819" spans="1:9">
      <c r="A1819" s="4" t="s">
        <v>505</v>
      </c>
      <c r="B1819" s="4" t="s">
        <v>506</v>
      </c>
      <c r="C1819" s="5">
        <v>2014</v>
      </c>
      <c r="D1819" s="4">
        <v>632000000</v>
      </c>
      <c r="E1819" s="4">
        <v>1000000</v>
      </c>
      <c r="F1819" s="4" t="str">
        <f>_xlfn.LET(_xlpm.r, _xlfn.XLOOKUP(Clean_Data[[#This Row],[Country_Code]], Metadata_Country!$A:$A, Metadata_Country!$B:$B, "Unknown"), IF(OR(_xlpm.r=0, _xlpm.r=""), "Regional Aggregate", _xlpm.r))</f>
        <v>Europe &amp; Central Asia</v>
      </c>
      <c r="G1819" s="4" t="str">
        <f>_xlfn.LET(_xlpm.ig, _xlfn.XLOOKUP(Clean_Data[[#This Row],[Country_Code]], Metadata_Country!$A:$A, Metadata_Country!$C:$C, "Unknown"), IF(OR(_xlpm.ig=0, _xlpm.ig=""), "Regional Aggregate", _xlpm.ig))</f>
        <v>Upper middle income</v>
      </c>
      <c r="H1819" s="4">
        <f>Clean_Data[[#This Row],[Exports_TIV]] - Clean_Data[[#This Row],[Imports_TIV]]</f>
        <v>631000000</v>
      </c>
      <c r="I1819" s="4">
        <f>Clean_Data[[#This Row],[Exports_TIV]] + Clean_Data[[#This Row],[Imports_TIV]]</f>
        <v>633000000</v>
      </c>
    </row>
    <row r="1820" spans="1:9">
      <c r="A1820" s="4" t="s">
        <v>25</v>
      </c>
      <c r="B1820" s="4" t="s">
        <v>26</v>
      </c>
      <c r="C1820" s="5">
        <v>2014</v>
      </c>
      <c r="D1820" s="4">
        <v>100000000</v>
      </c>
      <c r="E1820" s="4">
        <v>736000000</v>
      </c>
      <c r="F1820" s="4" t="str">
        <f>_xlfn.LET(_xlpm.r, _xlfn.XLOOKUP(Clean_Data[[#This Row],[Country_Code]], Metadata_Country!$A:$A, Metadata_Country!$B:$B, "Unknown"), IF(OR(_xlpm.r=0, _xlpm.r=""), "Regional Aggregate", _xlpm.r))</f>
        <v>Middle East &amp; North Africa</v>
      </c>
      <c r="G1820" s="4" t="str">
        <f>_xlfn.LET(_xlpm.ig, _xlfn.XLOOKUP(Clean_Data[[#This Row],[Country_Code]], Metadata_Country!$A:$A, Metadata_Country!$C:$C, "Unknown"), IF(OR(_xlpm.ig=0, _xlpm.ig=""), "Regional Aggregate", _xlpm.ig))</f>
        <v>High income</v>
      </c>
      <c r="H1820" s="4">
        <f>Clean_Data[[#This Row],[Exports_TIV]] - Clean_Data[[#This Row],[Imports_TIV]]</f>
        <v>-636000000</v>
      </c>
      <c r="I1820" s="4">
        <f>Clean_Data[[#This Row],[Exports_TIV]] + Clean_Data[[#This Row],[Imports_TIV]]</f>
        <v>836000000</v>
      </c>
    </row>
    <row r="1821" spans="1:9">
      <c r="A1821" s="4" t="s">
        <v>171</v>
      </c>
      <c r="B1821" s="4" t="s">
        <v>172</v>
      </c>
      <c r="C1821" s="5">
        <v>2014</v>
      </c>
      <c r="D1821" s="4">
        <v>1658000000</v>
      </c>
      <c r="E1821" s="4">
        <v>217000000</v>
      </c>
      <c r="F1821" s="4" t="str">
        <f>_xlfn.LET(_xlpm.r, _xlfn.XLOOKUP(Clean_Data[[#This Row],[Country_Code]], Metadata_Country!$A:$A, Metadata_Country!$B:$B, "Unknown"), IF(OR(_xlpm.r=0, _xlpm.r=""), "Regional Aggregate", _xlpm.r))</f>
        <v>Europe &amp; Central Asia</v>
      </c>
      <c r="G1821" s="4" t="str">
        <f>_xlfn.LET(_xlpm.ig, _xlfn.XLOOKUP(Clean_Data[[#This Row],[Country_Code]], Metadata_Country!$A:$A, Metadata_Country!$C:$C, "Unknown"), IF(OR(_xlpm.ig=0, _xlpm.ig=""), "Regional Aggregate", _xlpm.ig))</f>
        <v>High income</v>
      </c>
      <c r="H1821" s="4">
        <f>Clean_Data[[#This Row],[Exports_TIV]] - Clean_Data[[#This Row],[Imports_TIV]]</f>
        <v>1441000000</v>
      </c>
      <c r="I1821" s="4">
        <f>Clean_Data[[#This Row],[Exports_TIV]] + Clean_Data[[#This Row],[Imports_TIV]]</f>
        <v>1875000000</v>
      </c>
    </row>
    <row r="1822" spans="1:9">
      <c r="A1822" s="4" t="s">
        <v>511</v>
      </c>
      <c r="B1822" s="4" t="s">
        <v>512</v>
      </c>
      <c r="C1822" s="5">
        <v>2014</v>
      </c>
      <c r="D1822" s="4">
        <v>9455000000</v>
      </c>
      <c r="E1822" s="4">
        <v>568000000</v>
      </c>
      <c r="F1822" s="4" t="str">
        <f>_xlfn.LET(_xlpm.r, _xlfn.XLOOKUP(Clean_Data[[#This Row],[Country_Code]], Metadata_Country!$A:$A, Metadata_Country!$B:$B, "Unknown"), IF(OR(_xlpm.r=0, _xlpm.r=""), "Regional Aggregate", _xlpm.r))</f>
        <v>North America</v>
      </c>
      <c r="G1822" s="4" t="str">
        <f>_xlfn.LET(_xlpm.ig, _xlfn.XLOOKUP(Clean_Data[[#This Row],[Country_Code]], Metadata_Country!$A:$A, Metadata_Country!$C:$C, "Unknown"), IF(OR(_xlpm.ig=0, _xlpm.ig=""), "Regional Aggregate", _xlpm.ig))</f>
        <v>High income</v>
      </c>
      <c r="H1822" s="4">
        <f>Clean_Data[[#This Row],[Exports_TIV]] - Clean_Data[[#This Row],[Imports_TIV]]</f>
        <v>8887000000</v>
      </c>
      <c r="I1822" s="4">
        <f>Clean_Data[[#This Row],[Exports_TIV]] + Clean_Data[[#This Row],[Imports_TIV]]</f>
        <v>10023000000</v>
      </c>
    </row>
    <row r="1823" spans="1:9">
      <c r="A1823" s="4" t="s">
        <v>507</v>
      </c>
      <c r="B1823" s="4" t="s">
        <v>508</v>
      </c>
      <c r="C1823" s="5">
        <v>2014</v>
      </c>
      <c r="D1823" s="4">
        <v>2551000000</v>
      </c>
      <c r="E1823" s="4">
        <v>8472000000</v>
      </c>
      <c r="F1823" s="4" t="str">
        <f>_xlfn.LET(_xlpm.r, _xlfn.XLOOKUP(Clean_Data[[#This Row],[Country_Code]], Metadata_Country!$A:$A, Metadata_Country!$B:$B, "Unknown"), IF(OR(_xlpm.r=0, _xlpm.r=""), "Regional Aggregate", _xlpm.r))</f>
        <v>Regional Aggregate</v>
      </c>
      <c r="G1823" s="4" t="str">
        <f>_xlfn.LET(_xlpm.ig, _xlfn.XLOOKUP(Clean_Data[[#This Row],[Country_Code]], Metadata_Country!$A:$A, Metadata_Country!$C:$C, "Unknown"), IF(OR(_xlpm.ig=0, _xlpm.ig=""), "Regional Aggregate", _xlpm.ig))</f>
        <v>Regional Aggregate</v>
      </c>
      <c r="H1823" s="4">
        <f>Clean_Data[[#This Row],[Exports_TIV]] - Clean_Data[[#This Row],[Imports_TIV]]</f>
        <v>-5921000000</v>
      </c>
      <c r="I1823" s="4">
        <f>Clean_Data[[#This Row],[Exports_TIV]] + Clean_Data[[#This Row],[Imports_TIV]]</f>
        <v>11023000000</v>
      </c>
    </row>
    <row r="1824" spans="1:9">
      <c r="A1824" s="4" t="s">
        <v>509</v>
      </c>
      <c r="B1824" s="4" t="s">
        <v>510</v>
      </c>
      <c r="C1824" s="5">
        <v>2014</v>
      </c>
      <c r="D1824" s="4">
        <v>0</v>
      </c>
      <c r="E1824" s="4">
        <v>9000000</v>
      </c>
      <c r="F1824" s="4" t="str">
        <f>_xlfn.LET(_xlpm.r, _xlfn.XLOOKUP(Clean_Data[[#This Row],[Country_Code]], Metadata_Country!$A:$A, Metadata_Country!$B:$B, "Unknown"), IF(OR(_xlpm.r=0, _xlpm.r=""), "Regional Aggregate", _xlpm.r))</f>
        <v>Latin America &amp; Caribbean</v>
      </c>
      <c r="G1824" s="4" t="str">
        <f>_xlfn.LET(_xlpm.ig, _xlfn.XLOOKUP(Clean_Data[[#This Row],[Country_Code]], Metadata_Country!$A:$A, Metadata_Country!$C:$C, "Unknown"), IF(OR(_xlpm.ig=0, _xlpm.ig=""), "Regional Aggregate", _xlpm.ig))</f>
        <v>High income</v>
      </c>
      <c r="H1824" s="4">
        <f>Clean_Data[[#This Row],[Exports_TIV]] - Clean_Data[[#This Row],[Imports_TIV]]</f>
        <v>-9000000</v>
      </c>
      <c r="I1824" s="4">
        <f>Clean_Data[[#This Row],[Exports_TIV]] + Clean_Data[[#This Row],[Imports_TIV]]</f>
        <v>9000000</v>
      </c>
    </row>
    <row r="1825" spans="1:9">
      <c r="A1825" s="4" t="s">
        <v>513</v>
      </c>
      <c r="B1825" s="4" t="s">
        <v>514</v>
      </c>
      <c r="C1825" s="5">
        <v>2014</v>
      </c>
      <c r="D1825" s="4">
        <v>0</v>
      </c>
      <c r="E1825" s="4">
        <v>19000000</v>
      </c>
      <c r="F1825" s="4" t="str">
        <f>_xlfn.LET(_xlpm.r, _xlfn.XLOOKUP(Clean_Data[[#This Row],[Country_Code]], Metadata_Country!$A:$A, Metadata_Country!$B:$B, "Unknown"), IF(OR(_xlpm.r=0, _xlpm.r=""), "Regional Aggregate", _xlpm.r))</f>
        <v>Europe &amp; Central Asia</v>
      </c>
      <c r="G1825" s="4" t="str">
        <f>_xlfn.LET(_xlpm.ig, _xlfn.XLOOKUP(Clean_Data[[#This Row],[Country_Code]], Metadata_Country!$A:$A, Metadata_Country!$C:$C, "Unknown"), IF(OR(_xlpm.ig=0, _xlpm.ig=""), "Regional Aggregate", _xlpm.ig))</f>
        <v>Lower middle income</v>
      </c>
      <c r="H1825" s="4">
        <f>Clean_Data[[#This Row],[Exports_TIV]] - Clean_Data[[#This Row],[Imports_TIV]]</f>
        <v>-19000000</v>
      </c>
      <c r="I1825" s="4">
        <f>Clean_Data[[#This Row],[Exports_TIV]] + Clean_Data[[#This Row],[Imports_TIV]]</f>
        <v>19000000</v>
      </c>
    </row>
    <row r="1826" spans="1:9">
      <c r="A1826" s="4" t="s">
        <v>517</v>
      </c>
      <c r="B1826" s="4" t="s">
        <v>518</v>
      </c>
      <c r="C1826" s="5">
        <v>2014</v>
      </c>
      <c r="D1826" s="4">
        <v>0</v>
      </c>
      <c r="E1826" s="4">
        <v>186000000</v>
      </c>
      <c r="F1826" s="4" t="str">
        <f>_xlfn.LET(_xlpm.r, _xlfn.XLOOKUP(Clean_Data[[#This Row],[Country_Code]], Metadata_Country!$A:$A, Metadata_Country!$B:$B, "Unknown"), IF(OR(_xlpm.r=0, _xlpm.r=""), "Regional Aggregate", _xlpm.r))</f>
        <v>Latin America &amp; Caribbean</v>
      </c>
      <c r="G1826" s="4" t="str">
        <f>_xlfn.LET(_xlpm.ig, _xlfn.XLOOKUP(Clean_Data[[#This Row],[Country_Code]], Metadata_Country!$A:$A, Metadata_Country!$C:$C, "Unknown"), IF(OR(_xlpm.ig=0, _xlpm.ig=""), "Regional Aggregate", _xlpm.ig))</f>
        <v>Lower middle income</v>
      </c>
      <c r="H1826" s="4">
        <f>Clean_Data[[#This Row],[Exports_TIV]] - Clean_Data[[#This Row],[Imports_TIV]]</f>
        <v>-186000000</v>
      </c>
      <c r="I1826" s="4">
        <f>Clean_Data[[#This Row],[Exports_TIV]] + Clean_Data[[#This Row],[Imports_TIV]]</f>
        <v>186000000</v>
      </c>
    </row>
    <row r="1827" spans="1:9">
      <c r="A1827" s="4" t="s">
        <v>523</v>
      </c>
      <c r="B1827" s="4" t="s">
        <v>524</v>
      </c>
      <c r="C1827" s="5">
        <v>2014</v>
      </c>
      <c r="D1827" s="4">
        <v>0</v>
      </c>
      <c r="E1827" s="4">
        <v>1225000000</v>
      </c>
      <c r="F1827" s="4" t="str">
        <f>_xlfn.LET(_xlpm.r, _xlfn.XLOOKUP(Clean_Data[[#This Row],[Country_Code]], Metadata_Country!$A:$A, Metadata_Country!$B:$B, "Unknown"), IF(OR(_xlpm.r=0, _xlpm.r=""), "Regional Aggregate", _xlpm.r))</f>
        <v>East Asia &amp; Pacific</v>
      </c>
      <c r="G1827" s="4" t="str">
        <f>_xlfn.LET(_xlpm.ig, _xlfn.XLOOKUP(Clean_Data[[#This Row],[Country_Code]], Metadata_Country!$A:$A, Metadata_Country!$C:$C, "Unknown"), IF(OR(_xlpm.ig=0, _xlpm.ig=""), "Regional Aggregate", _xlpm.ig))</f>
        <v>Upper middle income</v>
      </c>
      <c r="H1827" s="4">
        <f>Clean_Data[[#This Row],[Exports_TIV]] - Clean_Data[[#This Row],[Imports_TIV]]</f>
        <v>-1225000000</v>
      </c>
      <c r="I1827" s="4">
        <f>Clean_Data[[#This Row],[Exports_TIV]] + Clean_Data[[#This Row],[Imports_TIV]]</f>
        <v>1225000000</v>
      </c>
    </row>
    <row r="1828" spans="1:9">
      <c r="A1828" s="4" t="s">
        <v>527</v>
      </c>
      <c r="B1828" s="4" t="s">
        <v>528</v>
      </c>
      <c r="C1828" s="5">
        <v>2014</v>
      </c>
      <c r="D1828" s="4">
        <v>27127000000</v>
      </c>
      <c r="E1828" s="4">
        <v>27033000000</v>
      </c>
      <c r="F1828" s="4" t="str">
        <f>_xlfn.LET(_xlpm.r, _xlfn.XLOOKUP(Clean_Data[[#This Row],[Country_Code]], Metadata_Country!$A:$A, Metadata_Country!$B:$B, "Unknown"), IF(OR(_xlpm.r=0, _xlpm.r=""), "Regional Aggregate", _xlpm.r))</f>
        <v>Regional Aggregate</v>
      </c>
      <c r="G1828" s="4" t="str">
        <f>_xlfn.LET(_xlpm.ig, _xlfn.XLOOKUP(Clean_Data[[#This Row],[Country_Code]], Metadata_Country!$A:$A, Metadata_Country!$C:$C, "Unknown"), IF(OR(_xlpm.ig=0, _xlpm.ig=""), "Regional Aggregate", _xlpm.ig))</f>
        <v>Regional Aggregate</v>
      </c>
      <c r="H1828" s="4">
        <f>Clean_Data[[#This Row],[Exports_TIV]] - Clean_Data[[#This Row],[Imports_TIV]]</f>
        <v>94000000</v>
      </c>
      <c r="I1828" s="4">
        <f>Clean_Data[[#This Row],[Exports_TIV]] + Clean_Data[[#This Row],[Imports_TIV]]</f>
        <v>54160000000</v>
      </c>
    </row>
    <row r="1829" spans="1:9">
      <c r="A1829" s="4" t="s">
        <v>533</v>
      </c>
      <c r="B1829" s="4" t="s">
        <v>534</v>
      </c>
      <c r="C1829" s="5">
        <v>2014</v>
      </c>
      <c r="D1829" s="4">
        <v>0</v>
      </c>
      <c r="E1829" s="4">
        <v>6000000</v>
      </c>
      <c r="F1829" s="4" t="str">
        <f>_xlfn.LET(_xlpm.r, _xlfn.XLOOKUP(Clean_Data[[#This Row],[Country_Code]], Metadata_Country!$A:$A, Metadata_Country!$B:$B, "Unknown"), IF(OR(_xlpm.r=0, _xlpm.r=""), "Regional Aggregate", _xlpm.r))</f>
        <v>Middle East &amp; North Africa</v>
      </c>
      <c r="G1829" s="4" t="str">
        <f>_xlfn.LET(_xlpm.ig, _xlfn.XLOOKUP(Clean_Data[[#This Row],[Country_Code]], Metadata_Country!$A:$A, Metadata_Country!$C:$C, "Unknown"), IF(OR(_xlpm.ig=0, _xlpm.ig=""), "Regional Aggregate", _xlpm.ig))</f>
        <v>Low income</v>
      </c>
      <c r="H1829" s="4">
        <f>Clean_Data[[#This Row],[Exports_TIV]] - Clean_Data[[#This Row],[Imports_TIV]]</f>
        <v>-6000000</v>
      </c>
      <c r="I1829" s="4">
        <f>Clean_Data[[#This Row],[Exports_TIV]] + Clean_Data[[#This Row],[Imports_TIV]]</f>
        <v>6000000</v>
      </c>
    </row>
    <row r="1830" spans="1:9">
      <c r="A1830" s="4" t="s">
        <v>13</v>
      </c>
      <c r="B1830" s="4" t="s">
        <v>14</v>
      </c>
      <c r="C1830" s="5">
        <v>2013</v>
      </c>
      <c r="D1830" s="4">
        <v>0</v>
      </c>
      <c r="E1830" s="4">
        <v>253000000</v>
      </c>
      <c r="F1830" s="4" t="str">
        <f>_xlfn.LET(_xlpm.r, _xlfn.XLOOKUP(Clean_Data[[#This Row],[Country_Code]], Metadata_Country!$A:$A, Metadata_Country!$B:$B, "Unknown"), IF(OR(_xlpm.r=0, _xlpm.r=""), "Regional Aggregate", _xlpm.r))</f>
        <v>Middle East &amp; North Africa</v>
      </c>
      <c r="G1830" s="4" t="str">
        <f>_xlfn.LET(_xlpm.ig, _xlfn.XLOOKUP(Clean_Data[[#This Row],[Country_Code]], Metadata_Country!$A:$A, Metadata_Country!$C:$C, "Unknown"), IF(OR(_xlpm.ig=0, _xlpm.ig=""), "Regional Aggregate", _xlpm.ig))</f>
        <v>Low income</v>
      </c>
      <c r="H1830" s="4">
        <f>Clean_Data[[#This Row],[Exports_TIV]] - Clean_Data[[#This Row],[Imports_TIV]]</f>
        <v>-253000000</v>
      </c>
      <c r="I1830" s="4">
        <f>Clean_Data[[#This Row],[Exports_TIV]] + Clean_Data[[#This Row],[Imports_TIV]]</f>
        <v>253000000</v>
      </c>
    </row>
    <row r="1831" spans="1:9">
      <c r="A1831" s="4" t="s">
        <v>11</v>
      </c>
      <c r="B1831" s="4" t="s">
        <v>12</v>
      </c>
      <c r="C1831" s="5">
        <v>2013</v>
      </c>
      <c r="D1831" s="4">
        <v>0</v>
      </c>
      <c r="E1831" s="4">
        <v>563000000</v>
      </c>
      <c r="F1831" s="4" t="str">
        <f>_xlfn.LET(_xlpm.r, _xlfn.XLOOKUP(Clean_Data[[#This Row],[Country_Code]], Metadata_Country!$A:$A, Metadata_Country!$B:$B, "Unknown"), IF(OR(_xlpm.r=0, _xlpm.r=""), "Regional Aggregate", _xlpm.r))</f>
        <v>Regional Aggregate</v>
      </c>
      <c r="G1831" s="4" t="str">
        <f>_xlfn.LET(_xlpm.ig, _xlfn.XLOOKUP(Clean_Data[[#This Row],[Country_Code]], Metadata_Country!$A:$A, Metadata_Country!$C:$C, "Unknown"), IF(OR(_xlpm.ig=0, _xlpm.ig=""), "Regional Aggregate", _xlpm.ig))</f>
        <v>Regional Aggregate</v>
      </c>
      <c r="H1831" s="4">
        <f>Clean_Data[[#This Row],[Exports_TIV]] - Clean_Data[[#This Row],[Imports_TIV]]</f>
        <v>-563000000</v>
      </c>
      <c r="I1831" s="4">
        <f>Clean_Data[[#This Row],[Exports_TIV]] + Clean_Data[[#This Row],[Imports_TIV]]</f>
        <v>563000000</v>
      </c>
    </row>
    <row r="1832" spans="1:9">
      <c r="A1832" s="4" t="s">
        <v>15</v>
      </c>
      <c r="B1832" s="4" t="s">
        <v>16</v>
      </c>
      <c r="C1832" s="5">
        <v>2013</v>
      </c>
      <c r="D1832" s="4">
        <v>0</v>
      </c>
      <c r="E1832" s="4">
        <v>342000000</v>
      </c>
      <c r="F1832" s="4" t="str">
        <f>_xlfn.LET(_xlpm.r, _xlfn.XLOOKUP(Clean_Data[[#This Row],[Country_Code]], Metadata_Country!$A:$A, Metadata_Country!$B:$B, "Unknown"), IF(OR(_xlpm.r=0, _xlpm.r=""), "Regional Aggregate", _xlpm.r))</f>
        <v>Regional Aggregate</v>
      </c>
      <c r="G1832" s="4" t="str">
        <f>_xlfn.LET(_xlpm.ig, _xlfn.XLOOKUP(Clean_Data[[#This Row],[Country_Code]], Metadata_Country!$A:$A, Metadata_Country!$C:$C, "Unknown"), IF(OR(_xlpm.ig=0, _xlpm.ig=""), "Regional Aggregate", _xlpm.ig))</f>
        <v>Regional Aggregate</v>
      </c>
      <c r="H1832" s="4">
        <f>Clean_Data[[#This Row],[Exports_TIV]] - Clean_Data[[#This Row],[Imports_TIV]]</f>
        <v>-342000000</v>
      </c>
      <c r="I1832" s="4">
        <f>Clean_Data[[#This Row],[Exports_TIV]] + Clean_Data[[#This Row],[Imports_TIV]]</f>
        <v>342000000</v>
      </c>
    </row>
    <row r="1833" spans="1:9">
      <c r="A1833" s="4" t="s">
        <v>19</v>
      </c>
      <c r="B1833" s="4" t="s">
        <v>20</v>
      </c>
      <c r="C1833" s="5">
        <v>2013</v>
      </c>
      <c r="D1833" s="4">
        <v>0</v>
      </c>
      <c r="E1833" s="4">
        <v>7000000</v>
      </c>
      <c r="F1833" s="4" t="str">
        <f>_xlfn.LET(_xlpm.r, _xlfn.XLOOKUP(Clean_Data[[#This Row],[Country_Code]], Metadata_Country!$A:$A, Metadata_Country!$B:$B, "Unknown"), IF(OR(_xlpm.r=0, _xlpm.r=""), "Regional Aggregate", _xlpm.r))</f>
        <v>Europe &amp; Central Asia</v>
      </c>
      <c r="G1833" s="4" t="str">
        <f>_xlfn.LET(_xlpm.ig, _xlfn.XLOOKUP(Clean_Data[[#This Row],[Country_Code]], Metadata_Country!$A:$A, Metadata_Country!$C:$C, "Unknown"), IF(OR(_xlpm.ig=0, _xlpm.ig=""), "Regional Aggregate", _xlpm.ig))</f>
        <v>Upper middle income</v>
      </c>
      <c r="H1833" s="4">
        <f>Clean_Data[[#This Row],[Exports_TIV]] - Clean_Data[[#This Row],[Imports_TIV]]</f>
        <v>-7000000</v>
      </c>
      <c r="I1833" s="4">
        <f>Clean_Data[[#This Row],[Exports_TIV]] + Clean_Data[[#This Row],[Imports_TIV]]</f>
        <v>7000000</v>
      </c>
    </row>
    <row r="1834" spans="1:9">
      <c r="A1834" s="4" t="s">
        <v>129</v>
      </c>
      <c r="B1834" s="4" t="s">
        <v>130</v>
      </c>
      <c r="C1834" s="5">
        <v>2013</v>
      </c>
      <c r="D1834" s="4">
        <v>0</v>
      </c>
      <c r="E1834" s="4">
        <v>361000000</v>
      </c>
      <c r="F1834" s="4" t="str">
        <f>_xlfn.LET(_xlpm.r, _xlfn.XLOOKUP(Clean_Data[[#This Row],[Country_Code]], Metadata_Country!$A:$A, Metadata_Country!$B:$B, "Unknown"), IF(OR(_xlpm.r=0, _xlpm.r=""), "Regional Aggregate", _xlpm.r))</f>
        <v>Middle East &amp; North Africa</v>
      </c>
      <c r="G1834" s="4" t="str">
        <f>_xlfn.LET(_xlpm.ig, _xlfn.XLOOKUP(Clean_Data[[#This Row],[Country_Code]], Metadata_Country!$A:$A, Metadata_Country!$C:$C, "Unknown"), IF(OR(_xlpm.ig=0, _xlpm.ig=""), "Regional Aggregate", _xlpm.ig))</f>
        <v>Upper middle income</v>
      </c>
      <c r="H1834" s="4">
        <f>Clean_Data[[#This Row],[Exports_TIV]] - Clean_Data[[#This Row],[Imports_TIV]]</f>
        <v>-361000000</v>
      </c>
      <c r="I1834" s="4">
        <f>Clean_Data[[#This Row],[Exports_TIV]] + Clean_Data[[#This Row],[Imports_TIV]]</f>
        <v>361000000</v>
      </c>
    </row>
    <row r="1835" spans="1:9">
      <c r="A1835" s="4" t="s">
        <v>17</v>
      </c>
      <c r="B1835" s="4" t="s">
        <v>18</v>
      </c>
      <c r="C1835" s="5">
        <v>2013</v>
      </c>
      <c r="D1835" s="4">
        <v>0</v>
      </c>
      <c r="E1835" s="4">
        <v>31000000</v>
      </c>
      <c r="F1835" s="4" t="str">
        <f>_xlfn.LET(_xlpm.r, _xlfn.XLOOKUP(Clean_Data[[#This Row],[Country_Code]], Metadata_Country!$A:$A, Metadata_Country!$B:$B, "Unknown"), IF(OR(_xlpm.r=0, _xlpm.r=""), "Regional Aggregate", _xlpm.r))</f>
        <v>Sub-Saharan Africa</v>
      </c>
      <c r="G1835" s="4" t="str">
        <f>_xlfn.LET(_xlpm.ig, _xlfn.XLOOKUP(Clean_Data[[#This Row],[Country_Code]], Metadata_Country!$A:$A, Metadata_Country!$C:$C, "Unknown"), IF(OR(_xlpm.ig=0, _xlpm.ig=""), "Regional Aggregate", _xlpm.ig))</f>
        <v>Lower middle income</v>
      </c>
      <c r="H1835" s="4">
        <f>Clean_Data[[#This Row],[Exports_TIV]] - Clean_Data[[#This Row],[Imports_TIV]]</f>
        <v>-31000000</v>
      </c>
      <c r="I1835" s="4">
        <f>Clean_Data[[#This Row],[Exports_TIV]] + Clean_Data[[#This Row],[Imports_TIV]]</f>
        <v>31000000</v>
      </c>
    </row>
    <row r="1836" spans="1:9">
      <c r="A1836" s="4" t="s">
        <v>23</v>
      </c>
      <c r="B1836" s="4" t="s">
        <v>24</v>
      </c>
      <c r="C1836" s="5">
        <v>2013</v>
      </c>
      <c r="D1836" s="4">
        <v>0</v>
      </c>
      <c r="E1836" s="4">
        <v>7185000000</v>
      </c>
      <c r="F1836" s="4" t="str">
        <f>_xlfn.LET(_xlpm.r, _xlfn.XLOOKUP(Clean_Data[[#This Row],[Country_Code]], Metadata_Country!$A:$A, Metadata_Country!$B:$B, "Unknown"), IF(OR(_xlpm.r=0, _xlpm.r=""), "Regional Aggregate", _xlpm.r))</f>
        <v>Regional Aggregate</v>
      </c>
      <c r="G1836" s="4" t="str">
        <f>_xlfn.LET(_xlpm.ig, _xlfn.XLOOKUP(Clean_Data[[#This Row],[Country_Code]], Metadata_Country!$A:$A, Metadata_Country!$C:$C, "Unknown"), IF(OR(_xlpm.ig=0, _xlpm.ig=""), "Regional Aggregate", _xlpm.ig))</f>
        <v>Regional Aggregate</v>
      </c>
      <c r="H1836" s="4">
        <f>Clean_Data[[#This Row],[Exports_TIV]] - Clean_Data[[#This Row],[Imports_TIV]]</f>
        <v>-7185000000</v>
      </c>
      <c r="I1836" s="4">
        <f>Clean_Data[[#This Row],[Exports_TIV]] + Clean_Data[[#This Row],[Imports_TIV]]</f>
        <v>7185000000</v>
      </c>
    </row>
    <row r="1837" spans="1:9">
      <c r="A1837" s="4" t="s">
        <v>27</v>
      </c>
      <c r="B1837" s="4" t="s">
        <v>28</v>
      </c>
      <c r="C1837" s="5">
        <v>2013</v>
      </c>
      <c r="D1837" s="4">
        <v>0</v>
      </c>
      <c r="E1837" s="4">
        <v>13000000</v>
      </c>
      <c r="F1837" s="4" t="str">
        <f>_xlfn.LET(_xlpm.r, _xlfn.XLOOKUP(Clean_Data[[#This Row],[Country_Code]], Metadata_Country!$A:$A, Metadata_Country!$B:$B, "Unknown"), IF(OR(_xlpm.r=0, _xlpm.r=""), "Regional Aggregate", _xlpm.r))</f>
        <v>Latin America &amp; Caribbean</v>
      </c>
      <c r="G1837" s="4" t="str">
        <f>_xlfn.LET(_xlpm.ig, _xlfn.XLOOKUP(Clean_Data[[#This Row],[Country_Code]], Metadata_Country!$A:$A, Metadata_Country!$C:$C, "Unknown"), IF(OR(_xlpm.ig=0, _xlpm.ig=""), "Regional Aggregate", _xlpm.ig))</f>
        <v>Upper middle income</v>
      </c>
      <c r="H1837" s="4">
        <f>Clean_Data[[#This Row],[Exports_TIV]] - Clean_Data[[#This Row],[Imports_TIV]]</f>
        <v>-13000000</v>
      </c>
      <c r="I1837" s="4">
        <f>Clean_Data[[#This Row],[Exports_TIV]] + Clean_Data[[#This Row],[Imports_TIV]]</f>
        <v>13000000</v>
      </c>
    </row>
    <row r="1838" spans="1:9">
      <c r="A1838" s="4" t="s">
        <v>29</v>
      </c>
      <c r="B1838" s="4" t="s">
        <v>30</v>
      </c>
      <c r="C1838" s="5">
        <v>2013</v>
      </c>
      <c r="D1838" s="4">
        <v>0</v>
      </c>
      <c r="E1838" s="4">
        <v>52000000</v>
      </c>
      <c r="F1838" s="4" t="str">
        <f>_xlfn.LET(_xlpm.r, _xlfn.XLOOKUP(Clean_Data[[#This Row],[Country_Code]], Metadata_Country!$A:$A, Metadata_Country!$B:$B, "Unknown"), IF(OR(_xlpm.r=0, _xlpm.r=""), "Regional Aggregate", _xlpm.r))</f>
        <v>Europe &amp; Central Asia</v>
      </c>
      <c r="G1838" s="4" t="str">
        <f>_xlfn.LET(_xlpm.ig, _xlfn.XLOOKUP(Clean_Data[[#This Row],[Country_Code]], Metadata_Country!$A:$A, Metadata_Country!$C:$C, "Unknown"), IF(OR(_xlpm.ig=0, _xlpm.ig=""), "Regional Aggregate", _xlpm.ig))</f>
        <v>Upper middle income</v>
      </c>
      <c r="H1838" s="4">
        <f>Clean_Data[[#This Row],[Exports_TIV]] - Clean_Data[[#This Row],[Imports_TIV]]</f>
        <v>-52000000</v>
      </c>
      <c r="I1838" s="4">
        <f>Clean_Data[[#This Row],[Exports_TIV]] + Clean_Data[[#This Row],[Imports_TIV]]</f>
        <v>52000000</v>
      </c>
    </row>
    <row r="1839" spans="1:9">
      <c r="A1839" s="4" t="s">
        <v>35</v>
      </c>
      <c r="B1839" s="4" t="s">
        <v>36</v>
      </c>
      <c r="C1839" s="5">
        <v>2013</v>
      </c>
      <c r="D1839" s="4">
        <v>54000000</v>
      </c>
      <c r="E1839" s="4">
        <v>220000000</v>
      </c>
      <c r="F1839" s="4" t="str">
        <f>_xlfn.LET(_xlpm.r, _xlfn.XLOOKUP(Clean_Data[[#This Row],[Country_Code]], Metadata_Country!$A:$A, Metadata_Country!$B:$B, "Unknown"), IF(OR(_xlpm.r=0, _xlpm.r=""), "Regional Aggregate", _xlpm.r))</f>
        <v>East Asia &amp; Pacific</v>
      </c>
      <c r="G1839" s="4" t="str">
        <f>_xlfn.LET(_xlpm.ig, _xlfn.XLOOKUP(Clean_Data[[#This Row],[Country_Code]], Metadata_Country!$A:$A, Metadata_Country!$C:$C, "Unknown"), IF(OR(_xlpm.ig=0, _xlpm.ig=""), "Regional Aggregate", _xlpm.ig))</f>
        <v>High income</v>
      </c>
      <c r="H1839" s="4">
        <f>Clean_Data[[#This Row],[Exports_TIV]] - Clean_Data[[#This Row],[Imports_TIV]]</f>
        <v>-166000000</v>
      </c>
      <c r="I1839" s="4">
        <f>Clean_Data[[#This Row],[Exports_TIV]] + Clean_Data[[#This Row],[Imports_TIV]]</f>
        <v>274000000</v>
      </c>
    </row>
    <row r="1840" spans="1:9">
      <c r="A1840" s="4" t="s">
        <v>37</v>
      </c>
      <c r="B1840" s="4" t="s">
        <v>38</v>
      </c>
      <c r="C1840" s="5">
        <v>2013</v>
      </c>
      <c r="D1840" s="4">
        <v>29000000</v>
      </c>
      <c r="E1840" s="4">
        <v>5000000</v>
      </c>
      <c r="F1840" s="4" t="str">
        <f>_xlfn.LET(_xlpm.r, _xlfn.XLOOKUP(Clean_Data[[#This Row],[Country_Code]], Metadata_Country!$A:$A, Metadata_Country!$B:$B, "Unknown"), IF(OR(_xlpm.r=0, _xlpm.r=""), "Regional Aggregate", _xlpm.r))</f>
        <v>Europe &amp; Central Asia</v>
      </c>
      <c r="G1840" s="4" t="str">
        <f>_xlfn.LET(_xlpm.ig, _xlfn.XLOOKUP(Clean_Data[[#This Row],[Country_Code]], Metadata_Country!$A:$A, Metadata_Country!$C:$C, "Unknown"), IF(OR(_xlpm.ig=0, _xlpm.ig=""), "Regional Aggregate", _xlpm.ig))</f>
        <v>High income</v>
      </c>
      <c r="H1840" s="4">
        <f>Clean_Data[[#This Row],[Exports_TIV]] - Clean_Data[[#This Row],[Imports_TIV]]</f>
        <v>24000000</v>
      </c>
      <c r="I1840" s="4">
        <f>Clean_Data[[#This Row],[Exports_TIV]] + Clean_Data[[#This Row],[Imports_TIV]]</f>
        <v>34000000</v>
      </c>
    </row>
    <row r="1841" spans="1:9">
      <c r="A1841" s="4" t="s">
        <v>39</v>
      </c>
      <c r="B1841" s="4" t="s">
        <v>40</v>
      </c>
      <c r="C1841" s="5">
        <v>2013</v>
      </c>
      <c r="D1841" s="4">
        <v>0</v>
      </c>
      <c r="E1841" s="4">
        <v>398000000</v>
      </c>
      <c r="F1841" s="4" t="str">
        <f>_xlfn.LET(_xlpm.r, _xlfn.XLOOKUP(Clean_Data[[#This Row],[Country_Code]], Metadata_Country!$A:$A, Metadata_Country!$B:$B, "Unknown"), IF(OR(_xlpm.r=0, _xlpm.r=""), "Regional Aggregate", _xlpm.r))</f>
        <v>Europe &amp; Central Asia</v>
      </c>
      <c r="G1841" s="4" t="str">
        <f>_xlfn.LET(_xlpm.ig, _xlfn.XLOOKUP(Clean_Data[[#This Row],[Country_Code]], Metadata_Country!$A:$A, Metadata_Country!$C:$C, "Unknown"), IF(OR(_xlpm.ig=0, _xlpm.ig=""), "Regional Aggregate", _xlpm.ig))</f>
        <v>Upper middle income</v>
      </c>
      <c r="H1841" s="4">
        <f>Clean_Data[[#This Row],[Exports_TIV]] - Clean_Data[[#This Row],[Imports_TIV]]</f>
        <v>-398000000</v>
      </c>
      <c r="I1841" s="4">
        <f>Clean_Data[[#This Row],[Exports_TIV]] + Clean_Data[[#This Row],[Imports_TIV]]</f>
        <v>398000000</v>
      </c>
    </row>
    <row r="1842" spans="1:9">
      <c r="A1842" s="4" t="s">
        <v>53</v>
      </c>
      <c r="B1842" s="4" t="s">
        <v>54</v>
      </c>
      <c r="C1842" s="5">
        <v>2013</v>
      </c>
      <c r="D1842" s="4">
        <v>0</v>
      </c>
      <c r="E1842" s="4">
        <v>69000000</v>
      </c>
      <c r="F1842" s="4" t="str">
        <f>_xlfn.LET(_xlpm.r, _xlfn.XLOOKUP(Clean_Data[[#This Row],[Country_Code]], Metadata_Country!$A:$A, Metadata_Country!$B:$B, "Unknown"), IF(OR(_xlpm.r=0, _xlpm.r=""), "Regional Aggregate", _xlpm.r))</f>
        <v>Middle East &amp; North Africa</v>
      </c>
      <c r="G1842" s="4" t="str">
        <f>_xlfn.LET(_xlpm.ig, _xlfn.XLOOKUP(Clean_Data[[#This Row],[Country_Code]], Metadata_Country!$A:$A, Metadata_Country!$C:$C, "Unknown"), IF(OR(_xlpm.ig=0, _xlpm.ig=""), "Regional Aggregate", _xlpm.ig))</f>
        <v>High income</v>
      </c>
      <c r="H1842" s="4">
        <f>Clean_Data[[#This Row],[Exports_TIV]] - Clean_Data[[#This Row],[Imports_TIV]]</f>
        <v>-69000000</v>
      </c>
      <c r="I1842" s="4">
        <f>Clean_Data[[#This Row],[Exports_TIV]] + Clean_Data[[#This Row],[Imports_TIV]]</f>
        <v>69000000</v>
      </c>
    </row>
    <row r="1843" spans="1:9">
      <c r="A1843" s="4" t="s">
        <v>49</v>
      </c>
      <c r="B1843" s="4" t="s">
        <v>50</v>
      </c>
      <c r="C1843" s="5">
        <v>2013</v>
      </c>
      <c r="D1843" s="4">
        <v>0</v>
      </c>
      <c r="E1843" s="4">
        <v>648000000</v>
      </c>
      <c r="F1843" s="4" t="str">
        <f>_xlfn.LET(_xlpm.r, _xlfn.XLOOKUP(Clean_Data[[#This Row],[Country_Code]], Metadata_Country!$A:$A, Metadata_Country!$B:$B, "Unknown"), IF(OR(_xlpm.r=0, _xlpm.r=""), "Regional Aggregate", _xlpm.r))</f>
        <v>South Asia</v>
      </c>
      <c r="G1843" s="4" t="str">
        <f>_xlfn.LET(_xlpm.ig, _xlfn.XLOOKUP(Clean_Data[[#This Row],[Country_Code]], Metadata_Country!$A:$A, Metadata_Country!$C:$C, "Unknown"), IF(OR(_xlpm.ig=0, _xlpm.ig=""), "Regional Aggregate", _xlpm.ig))</f>
        <v>Lower middle income</v>
      </c>
      <c r="H1843" s="4">
        <f>Clean_Data[[#This Row],[Exports_TIV]] - Clean_Data[[#This Row],[Imports_TIV]]</f>
        <v>-648000000</v>
      </c>
      <c r="I1843" s="4">
        <f>Clean_Data[[#This Row],[Exports_TIV]] + Clean_Data[[#This Row],[Imports_TIV]]</f>
        <v>648000000</v>
      </c>
    </row>
    <row r="1844" spans="1:9">
      <c r="A1844" s="4" t="s">
        <v>59</v>
      </c>
      <c r="B1844" s="4" t="s">
        <v>60</v>
      </c>
      <c r="C1844" s="5">
        <v>2013</v>
      </c>
      <c r="D1844" s="4">
        <v>269000000</v>
      </c>
      <c r="E1844" s="4">
        <v>75000000</v>
      </c>
      <c r="F1844" s="4" t="str">
        <f>_xlfn.LET(_xlpm.r, _xlfn.XLOOKUP(Clean_Data[[#This Row],[Country_Code]], Metadata_Country!$A:$A, Metadata_Country!$B:$B, "Unknown"), IF(OR(_xlpm.r=0, _xlpm.r=""), "Regional Aggregate", _xlpm.r))</f>
        <v>Europe &amp; Central Asia</v>
      </c>
      <c r="G1844" s="4" t="str">
        <f>_xlfn.LET(_xlpm.ig, _xlfn.XLOOKUP(Clean_Data[[#This Row],[Country_Code]], Metadata_Country!$A:$A, Metadata_Country!$C:$C, "Unknown"), IF(OR(_xlpm.ig=0, _xlpm.ig=""), "Regional Aggregate", _xlpm.ig))</f>
        <v>Upper middle income</v>
      </c>
      <c r="H1844" s="4">
        <f>Clean_Data[[#This Row],[Exports_TIV]] - Clean_Data[[#This Row],[Imports_TIV]]</f>
        <v>194000000</v>
      </c>
      <c r="I1844" s="4">
        <f>Clean_Data[[#This Row],[Exports_TIV]] + Clean_Data[[#This Row],[Imports_TIV]]</f>
        <v>344000000</v>
      </c>
    </row>
    <row r="1845" spans="1:9">
      <c r="A1845" s="4" t="s">
        <v>43</v>
      </c>
      <c r="B1845" s="4" t="s">
        <v>44</v>
      </c>
      <c r="C1845" s="5">
        <v>2013</v>
      </c>
      <c r="D1845" s="4">
        <v>54000000</v>
      </c>
      <c r="E1845" s="4">
        <v>48000000</v>
      </c>
      <c r="F1845" s="4" t="str">
        <f>_xlfn.LET(_xlpm.r, _xlfn.XLOOKUP(Clean_Data[[#This Row],[Country_Code]], Metadata_Country!$A:$A, Metadata_Country!$B:$B, "Unknown"), IF(OR(_xlpm.r=0, _xlpm.r=""), "Regional Aggregate", _xlpm.r))</f>
        <v>Europe &amp; Central Asia</v>
      </c>
      <c r="G1845" s="4" t="str">
        <f>_xlfn.LET(_xlpm.ig, _xlfn.XLOOKUP(Clean_Data[[#This Row],[Country_Code]], Metadata_Country!$A:$A, Metadata_Country!$C:$C, "Unknown"), IF(OR(_xlpm.ig=0, _xlpm.ig=""), "Regional Aggregate", _xlpm.ig))</f>
        <v>High income</v>
      </c>
      <c r="H1845" s="4">
        <f>Clean_Data[[#This Row],[Exports_TIV]] - Clean_Data[[#This Row],[Imports_TIV]]</f>
        <v>6000000</v>
      </c>
      <c r="I1845" s="4">
        <f>Clean_Data[[#This Row],[Exports_TIV]] + Clean_Data[[#This Row],[Imports_TIV]]</f>
        <v>102000000</v>
      </c>
    </row>
    <row r="1846" spans="1:9">
      <c r="A1846" s="4" t="s">
        <v>45</v>
      </c>
      <c r="B1846" s="4" t="s">
        <v>46</v>
      </c>
      <c r="C1846" s="5">
        <v>2013</v>
      </c>
      <c r="D1846" s="4">
        <v>0</v>
      </c>
      <c r="E1846" s="4">
        <v>3000000</v>
      </c>
      <c r="F1846" s="4" t="str">
        <f>_xlfn.LET(_xlpm.r, _xlfn.XLOOKUP(Clean_Data[[#This Row],[Country_Code]], Metadata_Country!$A:$A, Metadata_Country!$B:$B, "Unknown"), IF(OR(_xlpm.r=0, _xlpm.r=""), "Regional Aggregate", _xlpm.r))</f>
        <v>Sub-Saharan Africa</v>
      </c>
      <c r="G1846" s="4" t="str">
        <f>_xlfn.LET(_xlpm.ig, _xlfn.XLOOKUP(Clean_Data[[#This Row],[Country_Code]], Metadata_Country!$A:$A, Metadata_Country!$C:$C, "Unknown"), IF(OR(_xlpm.ig=0, _xlpm.ig=""), "Regional Aggregate", _xlpm.ig))</f>
        <v>Lower middle income</v>
      </c>
      <c r="H1846" s="4">
        <f>Clean_Data[[#This Row],[Exports_TIV]] - Clean_Data[[#This Row],[Imports_TIV]]</f>
        <v>-3000000</v>
      </c>
      <c r="I1846" s="4">
        <f>Clean_Data[[#This Row],[Exports_TIV]] + Clean_Data[[#This Row],[Imports_TIV]]</f>
        <v>3000000</v>
      </c>
    </row>
    <row r="1847" spans="1:9">
      <c r="A1847" s="4" t="s">
        <v>65</v>
      </c>
      <c r="B1847" s="4" t="s">
        <v>66</v>
      </c>
      <c r="C1847" s="5">
        <v>2013</v>
      </c>
      <c r="D1847" s="4">
        <v>0</v>
      </c>
      <c r="E1847" s="4">
        <v>1000000</v>
      </c>
      <c r="F1847" s="4" t="str">
        <f>_xlfn.LET(_xlpm.r, _xlfn.XLOOKUP(Clean_Data[[#This Row],[Country_Code]], Metadata_Country!$A:$A, Metadata_Country!$B:$B, "Unknown"), IF(OR(_xlpm.r=0, _xlpm.r=""), "Regional Aggregate", _xlpm.r))</f>
        <v>Latin America &amp; Caribbean</v>
      </c>
      <c r="G1847" s="4" t="str">
        <f>_xlfn.LET(_xlpm.ig, _xlfn.XLOOKUP(Clean_Data[[#This Row],[Country_Code]], Metadata_Country!$A:$A, Metadata_Country!$C:$C, "Unknown"), IF(OR(_xlpm.ig=0, _xlpm.ig=""), "Regional Aggregate", _xlpm.ig))</f>
        <v>Lower middle income</v>
      </c>
      <c r="H1847" s="4">
        <f>Clean_Data[[#This Row],[Exports_TIV]] - Clean_Data[[#This Row],[Imports_TIV]]</f>
        <v>-1000000</v>
      </c>
      <c r="I1847" s="4">
        <f>Clean_Data[[#This Row],[Exports_TIV]] + Clean_Data[[#This Row],[Imports_TIV]]</f>
        <v>1000000</v>
      </c>
    </row>
    <row r="1848" spans="1:9">
      <c r="A1848" s="4" t="s">
        <v>57</v>
      </c>
      <c r="B1848" s="4" t="s">
        <v>58</v>
      </c>
      <c r="C1848" s="5">
        <v>2013</v>
      </c>
      <c r="D1848" s="4">
        <v>3000000</v>
      </c>
      <c r="E1848" s="4">
        <v>0</v>
      </c>
      <c r="F1848" s="4" t="str">
        <f>_xlfn.LET(_xlpm.r, _xlfn.XLOOKUP(Clean_Data[[#This Row],[Country_Code]], Metadata_Country!$A:$A, Metadata_Country!$B:$B, "Unknown"), IF(OR(_xlpm.r=0, _xlpm.r=""), "Regional Aggregate", _xlpm.r))</f>
        <v>Europe &amp; Central Asia</v>
      </c>
      <c r="G1848" s="4" t="str">
        <f>_xlfn.LET(_xlpm.ig, _xlfn.XLOOKUP(Clean_Data[[#This Row],[Country_Code]], Metadata_Country!$A:$A, Metadata_Country!$C:$C, "Unknown"), IF(OR(_xlpm.ig=0, _xlpm.ig=""), "Regional Aggregate", _xlpm.ig))</f>
        <v>Upper middle income</v>
      </c>
      <c r="H1848" s="4">
        <f>Clean_Data[[#This Row],[Exports_TIV]] - Clean_Data[[#This Row],[Imports_TIV]]</f>
        <v>3000000</v>
      </c>
      <c r="I1848" s="4">
        <f>Clean_Data[[#This Row],[Exports_TIV]] + Clean_Data[[#This Row],[Imports_TIV]]</f>
        <v>3000000</v>
      </c>
    </row>
    <row r="1849" spans="1:9">
      <c r="A1849" s="4" t="s">
        <v>75</v>
      </c>
      <c r="B1849" s="4" t="s">
        <v>76</v>
      </c>
      <c r="C1849" s="5">
        <v>2013</v>
      </c>
      <c r="D1849" s="4">
        <v>0</v>
      </c>
      <c r="E1849" s="4">
        <v>8000000</v>
      </c>
      <c r="F1849" s="4" t="str">
        <f>_xlfn.LET(_xlpm.r, _xlfn.XLOOKUP(Clean_Data[[#This Row],[Country_Code]], Metadata_Country!$A:$A, Metadata_Country!$B:$B, "Unknown"), IF(OR(_xlpm.r=0, _xlpm.r=""), "Regional Aggregate", _xlpm.r))</f>
        <v>Sub-Saharan Africa</v>
      </c>
      <c r="G1849" s="4" t="str">
        <f>_xlfn.LET(_xlpm.ig, _xlfn.XLOOKUP(Clean_Data[[#This Row],[Country_Code]], Metadata_Country!$A:$A, Metadata_Country!$C:$C, "Unknown"), IF(OR(_xlpm.ig=0, _xlpm.ig=""), "Regional Aggregate", _xlpm.ig))</f>
        <v>Upper middle income</v>
      </c>
      <c r="H1849" s="4">
        <f>Clean_Data[[#This Row],[Exports_TIV]] - Clean_Data[[#This Row],[Imports_TIV]]</f>
        <v>-8000000</v>
      </c>
      <c r="I1849" s="4">
        <f>Clean_Data[[#This Row],[Exports_TIV]] + Clean_Data[[#This Row],[Imports_TIV]]</f>
        <v>8000000</v>
      </c>
    </row>
    <row r="1850" spans="1:9">
      <c r="A1850" s="4" t="s">
        <v>67</v>
      </c>
      <c r="B1850" s="4" t="s">
        <v>68</v>
      </c>
      <c r="C1850" s="5">
        <v>2013</v>
      </c>
      <c r="D1850" s="4">
        <v>31000000</v>
      </c>
      <c r="E1850" s="4">
        <v>217000000</v>
      </c>
      <c r="F1850" s="4" t="str">
        <f>_xlfn.LET(_xlpm.r, _xlfn.XLOOKUP(Clean_Data[[#This Row],[Country_Code]], Metadata_Country!$A:$A, Metadata_Country!$B:$B, "Unknown"), IF(OR(_xlpm.r=0, _xlpm.r=""), "Regional Aggregate", _xlpm.r))</f>
        <v>Latin America &amp; Caribbean</v>
      </c>
      <c r="G1850" s="4" t="str">
        <f>_xlfn.LET(_xlpm.ig, _xlfn.XLOOKUP(Clean_Data[[#This Row],[Country_Code]], Metadata_Country!$A:$A, Metadata_Country!$C:$C, "Unknown"), IF(OR(_xlpm.ig=0, _xlpm.ig=""), "Regional Aggregate", _xlpm.ig))</f>
        <v>Upper middle income</v>
      </c>
      <c r="H1850" s="4">
        <f>Clean_Data[[#This Row],[Exports_TIV]] - Clean_Data[[#This Row],[Imports_TIV]]</f>
        <v>-186000000</v>
      </c>
      <c r="I1850" s="4">
        <f>Clean_Data[[#This Row],[Exports_TIV]] + Clean_Data[[#This Row],[Imports_TIV]]</f>
        <v>248000000</v>
      </c>
    </row>
    <row r="1851" spans="1:9">
      <c r="A1851" s="4" t="s">
        <v>71</v>
      </c>
      <c r="B1851" s="4" t="s">
        <v>72</v>
      </c>
      <c r="C1851" s="5">
        <v>2013</v>
      </c>
      <c r="D1851" s="4">
        <v>0</v>
      </c>
      <c r="E1851" s="4">
        <v>15000000</v>
      </c>
      <c r="F1851" s="4" t="str">
        <f>_xlfn.LET(_xlpm.r, _xlfn.XLOOKUP(Clean_Data[[#This Row],[Country_Code]], Metadata_Country!$A:$A, Metadata_Country!$B:$B, "Unknown"), IF(OR(_xlpm.r=0, _xlpm.r=""), "Regional Aggregate", _xlpm.r))</f>
        <v>East Asia &amp; Pacific</v>
      </c>
      <c r="G1851" s="4" t="str">
        <f>_xlfn.LET(_xlpm.ig, _xlfn.XLOOKUP(Clean_Data[[#This Row],[Country_Code]], Metadata_Country!$A:$A, Metadata_Country!$C:$C, "Unknown"), IF(OR(_xlpm.ig=0, _xlpm.ig=""), "Regional Aggregate", _xlpm.ig))</f>
        <v>High income</v>
      </c>
      <c r="H1851" s="4">
        <f>Clean_Data[[#This Row],[Exports_TIV]] - Clean_Data[[#This Row],[Imports_TIV]]</f>
        <v>-15000000</v>
      </c>
      <c r="I1851" s="4">
        <f>Clean_Data[[#This Row],[Exports_TIV]] + Clean_Data[[#This Row],[Imports_TIV]]</f>
        <v>15000000</v>
      </c>
    </row>
    <row r="1852" spans="1:9">
      <c r="A1852" s="4" t="s">
        <v>51</v>
      </c>
      <c r="B1852" s="4" t="s">
        <v>52</v>
      </c>
      <c r="C1852" s="5">
        <v>2013</v>
      </c>
      <c r="D1852" s="4">
        <v>23000000</v>
      </c>
      <c r="E1852" s="4">
        <v>0</v>
      </c>
      <c r="F1852" s="4" t="str">
        <f>_xlfn.LET(_xlpm.r, _xlfn.XLOOKUP(Clean_Data[[#This Row],[Country_Code]], Metadata_Country!$A:$A, Metadata_Country!$B:$B, "Unknown"), IF(OR(_xlpm.r=0, _xlpm.r=""), "Regional Aggregate", _xlpm.r))</f>
        <v>Europe &amp; Central Asia</v>
      </c>
      <c r="G1852" s="4" t="str">
        <f>_xlfn.LET(_xlpm.ig, _xlfn.XLOOKUP(Clean_Data[[#This Row],[Country_Code]], Metadata_Country!$A:$A, Metadata_Country!$C:$C, "Unknown"), IF(OR(_xlpm.ig=0, _xlpm.ig=""), "Regional Aggregate", _xlpm.ig))</f>
        <v>High income</v>
      </c>
      <c r="H1852" s="4">
        <f>Clean_Data[[#This Row],[Exports_TIV]] - Clean_Data[[#This Row],[Imports_TIV]]</f>
        <v>23000000</v>
      </c>
      <c r="I1852" s="4">
        <f>Clean_Data[[#This Row],[Exports_TIV]] + Clean_Data[[#This Row],[Imports_TIV]]</f>
        <v>23000000</v>
      </c>
    </row>
    <row r="1853" spans="1:9">
      <c r="A1853" s="4" t="s">
        <v>255</v>
      </c>
      <c r="B1853" s="4" t="s">
        <v>256</v>
      </c>
      <c r="C1853" s="5">
        <v>2013</v>
      </c>
      <c r="D1853" s="4">
        <v>0</v>
      </c>
      <c r="E1853" s="4">
        <v>68000000</v>
      </c>
      <c r="F1853" s="4" t="str">
        <f>_xlfn.LET(_xlpm.r, _xlfn.XLOOKUP(Clean_Data[[#This Row],[Country_Code]], Metadata_Country!$A:$A, Metadata_Country!$B:$B, "Unknown"), IF(OR(_xlpm.r=0, _xlpm.r=""), "Regional Aggregate", _xlpm.r))</f>
        <v>East Asia &amp; Pacific</v>
      </c>
      <c r="G1853" s="4" t="str">
        <f>_xlfn.LET(_xlpm.ig, _xlfn.XLOOKUP(Clean_Data[[#This Row],[Country_Code]], Metadata_Country!$A:$A, Metadata_Country!$C:$C, "Unknown"), IF(OR(_xlpm.ig=0, _xlpm.ig=""), "Regional Aggregate", _xlpm.ig))</f>
        <v>Lower middle income</v>
      </c>
      <c r="H1853" s="4">
        <f>Clean_Data[[#This Row],[Exports_TIV]] - Clean_Data[[#This Row],[Imports_TIV]]</f>
        <v>-68000000</v>
      </c>
      <c r="I1853" s="4">
        <f>Clean_Data[[#This Row],[Exports_TIV]] + Clean_Data[[#This Row],[Imports_TIV]]</f>
        <v>68000000</v>
      </c>
    </row>
    <row r="1854" spans="1:9">
      <c r="A1854" s="4" t="s">
        <v>93</v>
      </c>
      <c r="B1854" s="4" t="s">
        <v>94</v>
      </c>
      <c r="C1854" s="5">
        <v>2013</v>
      </c>
      <c r="D1854" s="4">
        <v>0</v>
      </c>
      <c r="E1854" s="4">
        <v>139000000</v>
      </c>
      <c r="F1854" s="4" t="str">
        <f>_xlfn.LET(_xlpm.r, _xlfn.XLOOKUP(Clean_Data[[#This Row],[Country_Code]], Metadata_Country!$A:$A, Metadata_Country!$B:$B, "Unknown"), IF(OR(_xlpm.r=0, _xlpm.r=""), "Regional Aggregate", _xlpm.r))</f>
        <v>Sub-Saharan Africa</v>
      </c>
      <c r="G1854" s="4" t="str">
        <f>_xlfn.LET(_xlpm.ig, _xlfn.XLOOKUP(Clean_Data[[#This Row],[Country_Code]], Metadata_Country!$A:$A, Metadata_Country!$C:$C, "Unknown"), IF(OR(_xlpm.ig=0, _xlpm.ig=""), "Regional Aggregate", _xlpm.ig))</f>
        <v>Lower middle income</v>
      </c>
      <c r="H1854" s="4">
        <f>Clean_Data[[#This Row],[Exports_TIV]] - Clean_Data[[#This Row],[Imports_TIV]]</f>
        <v>-139000000</v>
      </c>
      <c r="I1854" s="4">
        <f>Clean_Data[[#This Row],[Exports_TIV]] + Clean_Data[[#This Row],[Imports_TIV]]</f>
        <v>139000000</v>
      </c>
    </row>
    <row r="1855" spans="1:9">
      <c r="A1855" s="4" t="s">
        <v>79</v>
      </c>
      <c r="B1855" s="4" t="s">
        <v>80</v>
      </c>
      <c r="C1855" s="5">
        <v>2013</v>
      </c>
      <c r="D1855" s="4">
        <v>170000000</v>
      </c>
      <c r="E1855" s="4">
        <v>202000000</v>
      </c>
      <c r="F1855" s="4" t="str">
        <f>_xlfn.LET(_xlpm.r, _xlfn.XLOOKUP(Clean_Data[[#This Row],[Country_Code]], Metadata_Country!$A:$A, Metadata_Country!$B:$B, "Unknown"), IF(OR(_xlpm.r=0, _xlpm.r=""), "Regional Aggregate", _xlpm.r))</f>
        <v>North America</v>
      </c>
      <c r="G1855" s="4" t="str">
        <f>_xlfn.LET(_xlpm.ig, _xlfn.XLOOKUP(Clean_Data[[#This Row],[Country_Code]], Metadata_Country!$A:$A, Metadata_Country!$C:$C, "Unknown"), IF(OR(_xlpm.ig=0, _xlpm.ig=""), "Regional Aggregate", _xlpm.ig))</f>
        <v>High income</v>
      </c>
      <c r="H1855" s="4">
        <f>Clean_Data[[#This Row],[Exports_TIV]] - Clean_Data[[#This Row],[Imports_TIV]]</f>
        <v>-32000000</v>
      </c>
      <c r="I1855" s="4">
        <f>Clean_Data[[#This Row],[Exports_TIV]] + Clean_Data[[#This Row],[Imports_TIV]]</f>
        <v>372000000</v>
      </c>
    </row>
    <row r="1856" spans="1:9">
      <c r="A1856" s="4" t="s">
        <v>81</v>
      </c>
      <c r="B1856" s="4" t="s">
        <v>82</v>
      </c>
      <c r="C1856" s="5">
        <v>2013</v>
      </c>
      <c r="D1856" s="4">
        <v>469000000</v>
      </c>
      <c r="E1856" s="4">
        <v>287000000</v>
      </c>
      <c r="F1856" s="4" t="str">
        <f>_xlfn.LET(_xlpm.r, _xlfn.XLOOKUP(Clean_Data[[#This Row],[Country_Code]], Metadata_Country!$A:$A, Metadata_Country!$B:$B, "Unknown"), IF(OR(_xlpm.r=0, _xlpm.r=""), "Regional Aggregate", _xlpm.r))</f>
        <v>Regional Aggregate</v>
      </c>
      <c r="G1856" s="4" t="str">
        <f>_xlfn.LET(_xlpm.ig, _xlfn.XLOOKUP(Clean_Data[[#This Row],[Country_Code]], Metadata_Country!$A:$A, Metadata_Country!$C:$C, "Unknown"), IF(OR(_xlpm.ig=0, _xlpm.ig=""), "Regional Aggregate", _xlpm.ig))</f>
        <v>Regional Aggregate</v>
      </c>
      <c r="H1856" s="4">
        <f>Clean_Data[[#This Row],[Exports_TIV]] - Clean_Data[[#This Row],[Imports_TIV]]</f>
        <v>182000000</v>
      </c>
      <c r="I1856" s="4">
        <f>Clean_Data[[#This Row],[Exports_TIV]] + Clean_Data[[#This Row],[Imports_TIV]]</f>
        <v>756000000</v>
      </c>
    </row>
    <row r="1857" spans="1:9">
      <c r="A1857" s="4" t="s">
        <v>467</v>
      </c>
      <c r="B1857" s="4" t="s">
        <v>468</v>
      </c>
      <c r="C1857" s="5">
        <v>2013</v>
      </c>
      <c r="D1857" s="4">
        <v>0</v>
      </c>
      <c r="E1857" s="4">
        <v>59000000</v>
      </c>
      <c r="F1857" s="4" t="str">
        <f>_xlfn.LET(_xlpm.r, _xlfn.XLOOKUP(Clean_Data[[#This Row],[Country_Code]], Metadata_Country!$A:$A, Metadata_Country!$B:$B, "Unknown"), IF(OR(_xlpm.r=0, _xlpm.r=""), "Regional Aggregate", _xlpm.r))</f>
        <v>Sub-Saharan Africa</v>
      </c>
      <c r="G1857" s="4" t="str">
        <f>_xlfn.LET(_xlpm.ig, _xlfn.XLOOKUP(Clean_Data[[#This Row],[Country_Code]], Metadata_Country!$A:$A, Metadata_Country!$C:$C, "Unknown"), IF(OR(_xlpm.ig=0, _xlpm.ig=""), "Regional Aggregate", _xlpm.ig))</f>
        <v>Low income</v>
      </c>
      <c r="H1857" s="4">
        <f>Clean_Data[[#This Row],[Exports_TIV]] - Clean_Data[[#This Row],[Imports_TIV]]</f>
        <v>-59000000</v>
      </c>
      <c r="I1857" s="4">
        <f>Clean_Data[[#This Row],[Exports_TIV]] + Clean_Data[[#This Row],[Imports_TIV]]</f>
        <v>59000000</v>
      </c>
    </row>
    <row r="1858" spans="1:9">
      <c r="A1858" s="4" t="s">
        <v>87</v>
      </c>
      <c r="B1858" s="4" t="s">
        <v>88</v>
      </c>
      <c r="C1858" s="5">
        <v>2013</v>
      </c>
      <c r="D1858" s="4">
        <v>0</v>
      </c>
      <c r="E1858" s="4">
        <v>55000000</v>
      </c>
      <c r="F1858" s="4" t="str">
        <f>_xlfn.LET(_xlpm.r, _xlfn.XLOOKUP(Clean_Data[[#This Row],[Country_Code]], Metadata_Country!$A:$A, Metadata_Country!$B:$B, "Unknown"), IF(OR(_xlpm.r=0, _xlpm.r=""), "Regional Aggregate", _xlpm.r))</f>
        <v>Latin America &amp; Caribbean</v>
      </c>
      <c r="G1858" s="4" t="str">
        <f>_xlfn.LET(_xlpm.ig, _xlfn.XLOOKUP(Clean_Data[[#This Row],[Country_Code]], Metadata_Country!$A:$A, Metadata_Country!$C:$C, "Unknown"), IF(OR(_xlpm.ig=0, _xlpm.ig=""), "Regional Aggregate", _xlpm.ig))</f>
        <v>High income</v>
      </c>
      <c r="H1858" s="4">
        <f>Clean_Data[[#This Row],[Exports_TIV]] - Clean_Data[[#This Row],[Imports_TIV]]</f>
        <v>-55000000</v>
      </c>
      <c r="I1858" s="4">
        <f>Clean_Data[[#This Row],[Exports_TIV]] + Clean_Data[[#This Row],[Imports_TIV]]</f>
        <v>55000000</v>
      </c>
    </row>
    <row r="1859" spans="1:9">
      <c r="A1859" s="4" t="s">
        <v>89</v>
      </c>
      <c r="B1859" s="4" t="s">
        <v>90</v>
      </c>
      <c r="C1859" s="5">
        <v>2013</v>
      </c>
      <c r="D1859" s="4">
        <v>2100000000</v>
      </c>
      <c r="E1859" s="4">
        <v>1221000000</v>
      </c>
      <c r="F1859" s="4" t="str">
        <f>_xlfn.LET(_xlpm.r, _xlfn.XLOOKUP(Clean_Data[[#This Row],[Country_Code]], Metadata_Country!$A:$A, Metadata_Country!$B:$B, "Unknown"), IF(OR(_xlpm.r=0, _xlpm.r=""), "Regional Aggregate", _xlpm.r))</f>
        <v>East Asia &amp; Pacific</v>
      </c>
      <c r="G1859" s="4" t="str">
        <f>_xlfn.LET(_xlpm.ig, _xlfn.XLOOKUP(Clean_Data[[#This Row],[Country_Code]], Metadata_Country!$A:$A, Metadata_Country!$C:$C, "Unknown"), IF(OR(_xlpm.ig=0, _xlpm.ig=""), "Regional Aggregate", _xlpm.ig))</f>
        <v>Upper middle income</v>
      </c>
      <c r="H1859" s="4">
        <f>Clean_Data[[#This Row],[Exports_TIV]] - Clean_Data[[#This Row],[Imports_TIV]]</f>
        <v>879000000</v>
      </c>
      <c r="I1859" s="4">
        <f>Clean_Data[[#This Row],[Exports_TIV]] + Clean_Data[[#This Row],[Imports_TIV]]</f>
        <v>3321000000</v>
      </c>
    </row>
    <row r="1860" spans="1:9">
      <c r="A1860" s="4" t="s">
        <v>99</v>
      </c>
      <c r="B1860" s="4" t="s">
        <v>100</v>
      </c>
      <c r="C1860" s="5">
        <v>2013</v>
      </c>
      <c r="D1860" s="4">
        <v>0</v>
      </c>
      <c r="E1860" s="4">
        <v>173000000</v>
      </c>
      <c r="F1860" s="4" t="str">
        <f>_xlfn.LET(_xlpm.r, _xlfn.XLOOKUP(Clean_Data[[#This Row],[Country_Code]], Metadata_Country!$A:$A, Metadata_Country!$B:$B, "Unknown"), IF(OR(_xlpm.r=0, _xlpm.r=""), "Regional Aggregate", _xlpm.r))</f>
        <v>Latin America &amp; Caribbean</v>
      </c>
      <c r="G1860" s="4" t="str">
        <f>_xlfn.LET(_xlpm.ig, _xlfn.XLOOKUP(Clean_Data[[#This Row],[Country_Code]], Metadata_Country!$A:$A, Metadata_Country!$C:$C, "Unknown"), IF(OR(_xlpm.ig=0, _xlpm.ig=""), "Regional Aggregate", _xlpm.ig))</f>
        <v>Upper middle income</v>
      </c>
      <c r="H1860" s="4">
        <f>Clean_Data[[#This Row],[Exports_TIV]] - Clean_Data[[#This Row],[Imports_TIV]]</f>
        <v>-173000000</v>
      </c>
      <c r="I1860" s="4">
        <f>Clean_Data[[#This Row],[Exports_TIV]] + Clean_Data[[#This Row],[Imports_TIV]]</f>
        <v>173000000</v>
      </c>
    </row>
    <row r="1861" spans="1:9">
      <c r="A1861" s="4" t="s">
        <v>95</v>
      </c>
      <c r="B1861" s="4" t="s">
        <v>96</v>
      </c>
      <c r="C1861" s="5">
        <v>2013</v>
      </c>
      <c r="D1861" s="4">
        <v>0</v>
      </c>
      <c r="E1861" s="4">
        <v>1000000</v>
      </c>
      <c r="F1861" s="4" t="str">
        <f>_xlfn.LET(_xlpm.r, _xlfn.XLOOKUP(Clean_Data[[#This Row],[Country_Code]], Metadata_Country!$A:$A, Metadata_Country!$B:$B, "Unknown"), IF(OR(_xlpm.r=0, _xlpm.r=""), "Regional Aggregate", _xlpm.r))</f>
        <v>Sub-Saharan Africa</v>
      </c>
      <c r="G1861" s="4" t="str">
        <f>_xlfn.LET(_xlpm.ig, _xlfn.XLOOKUP(Clean_Data[[#This Row],[Country_Code]], Metadata_Country!$A:$A, Metadata_Country!$C:$C, "Unknown"), IF(OR(_xlpm.ig=0, _xlpm.ig=""), "Regional Aggregate", _xlpm.ig))</f>
        <v>Low income</v>
      </c>
      <c r="H1861" s="4">
        <f>Clean_Data[[#This Row],[Exports_TIV]] - Clean_Data[[#This Row],[Imports_TIV]]</f>
        <v>-1000000</v>
      </c>
      <c r="I1861" s="4">
        <f>Clean_Data[[#This Row],[Exports_TIV]] + Clean_Data[[#This Row],[Imports_TIV]]</f>
        <v>1000000</v>
      </c>
    </row>
    <row r="1862" spans="1:9">
      <c r="A1862" s="4" t="s">
        <v>97</v>
      </c>
      <c r="B1862" s="4" t="s">
        <v>98</v>
      </c>
      <c r="C1862" s="5">
        <v>2013</v>
      </c>
      <c r="D1862" s="4">
        <v>0</v>
      </c>
      <c r="E1862" s="4">
        <v>35000000</v>
      </c>
      <c r="F1862" s="4" t="str">
        <f>_xlfn.LET(_xlpm.r, _xlfn.XLOOKUP(Clean_Data[[#This Row],[Country_Code]], Metadata_Country!$A:$A, Metadata_Country!$B:$B, "Unknown"), IF(OR(_xlpm.r=0, _xlpm.r=""), "Regional Aggregate", _xlpm.r))</f>
        <v>Sub-Saharan Africa</v>
      </c>
      <c r="G1862" s="4" t="str">
        <f>_xlfn.LET(_xlpm.ig, _xlfn.XLOOKUP(Clean_Data[[#This Row],[Country_Code]], Metadata_Country!$A:$A, Metadata_Country!$C:$C, "Unknown"), IF(OR(_xlpm.ig=0, _xlpm.ig=""), "Regional Aggregate", _xlpm.ig))</f>
        <v>Lower middle income</v>
      </c>
      <c r="H1862" s="4">
        <f>Clean_Data[[#This Row],[Exports_TIV]] - Clean_Data[[#This Row],[Imports_TIV]]</f>
        <v>-35000000</v>
      </c>
      <c r="I1862" s="4">
        <f>Clean_Data[[#This Row],[Exports_TIV]] + Clean_Data[[#This Row],[Imports_TIV]]</f>
        <v>35000000</v>
      </c>
    </row>
    <row r="1863" spans="1:9">
      <c r="A1863" s="4" t="s">
        <v>117</v>
      </c>
      <c r="B1863" s="4" t="s">
        <v>118</v>
      </c>
      <c r="C1863" s="5">
        <v>2013</v>
      </c>
      <c r="D1863" s="4">
        <v>41000000</v>
      </c>
      <c r="E1863" s="4">
        <v>18000000</v>
      </c>
      <c r="F1863" s="4" t="str">
        <f>_xlfn.LET(_xlpm.r, _xlfn.XLOOKUP(Clean_Data[[#This Row],[Country_Code]], Metadata_Country!$A:$A, Metadata_Country!$B:$B, "Unknown"), IF(OR(_xlpm.r=0, _xlpm.r=""), "Regional Aggregate", _xlpm.r))</f>
        <v>Europe &amp; Central Asia</v>
      </c>
      <c r="G1863" s="4" t="str">
        <f>_xlfn.LET(_xlpm.ig, _xlfn.XLOOKUP(Clean_Data[[#This Row],[Country_Code]], Metadata_Country!$A:$A, Metadata_Country!$C:$C, "Unknown"), IF(OR(_xlpm.ig=0, _xlpm.ig=""), "Regional Aggregate", _xlpm.ig))</f>
        <v>High income</v>
      </c>
      <c r="H1863" s="4">
        <f>Clean_Data[[#This Row],[Exports_TIV]] - Clean_Data[[#This Row],[Imports_TIV]]</f>
        <v>23000000</v>
      </c>
      <c r="I1863" s="4">
        <f>Clean_Data[[#This Row],[Exports_TIV]] + Clean_Data[[#This Row],[Imports_TIV]]</f>
        <v>59000000</v>
      </c>
    </row>
    <row r="1864" spans="1:9">
      <c r="A1864" s="4" t="s">
        <v>125</v>
      </c>
      <c r="B1864" s="4" t="s">
        <v>126</v>
      </c>
      <c r="C1864" s="5">
        <v>2013</v>
      </c>
      <c r="D1864" s="4">
        <v>8000000</v>
      </c>
      <c r="E1864" s="4">
        <v>34000000</v>
      </c>
      <c r="F1864" s="4" t="str">
        <f>_xlfn.LET(_xlpm.r, _xlfn.XLOOKUP(Clean_Data[[#This Row],[Country_Code]], Metadata_Country!$A:$A, Metadata_Country!$B:$B, "Unknown"), IF(OR(_xlpm.r=0, _xlpm.r=""), "Regional Aggregate", _xlpm.r))</f>
        <v>Europe &amp; Central Asia</v>
      </c>
      <c r="G1864" s="4" t="str">
        <f>_xlfn.LET(_xlpm.ig, _xlfn.XLOOKUP(Clean_Data[[#This Row],[Country_Code]], Metadata_Country!$A:$A, Metadata_Country!$C:$C, "Unknown"), IF(OR(_xlpm.ig=0, _xlpm.ig=""), "Regional Aggregate", _xlpm.ig))</f>
        <v>High income</v>
      </c>
      <c r="H1864" s="4">
        <f>Clean_Data[[#This Row],[Exports_TIV]] - Clean_Data[[#This Row],[Imports_TIV]]</f>
        <v>-26000000</v>
      </c>
      <c r="I1864" s="4">
        <f>Clean_Data[[#This Row],[Exports_TIV]] + Clean_Data[[#This Row],[Imports_TIV]]</f>
        <v>42000000</v>
      </c>
    </row>
    <row r="1865" spans="1:9">
      <c r="A1865" s="4" t="s">
        <v>121</v>
      </c>
      <c r="B1865" s="4" t="s">
        <v>122</v>
      </c>
      <c r="C1865" s="5">
        <v>2013</v>
      </c>
      <c r="D1865" s="4">
        <v>0</v>
      </c>
      <c r="E1865" s="4">
        <v>5000000</v>
      </c>
      <c r="F1865" s="4" t="str">
        <f>_xlfn.LET(_xlpm.r, _xlfn.XLOOKUP(Clean_Data[[#This Row],[Country_Code]], Metadata_Country!$A:$A, Metadata_Country!$B:$B, "Unknown"), IF(OR(_xlpm.r=0, _xlpm.r=""), "Regional Aggregate", _xlpm.r))</f>
        <v>Middle East &amp; North Africa</v>
      </c>
      <c r="G1865" s="4" t="str">
        <f>_xlfn.LET(_xlpm.ig, _xlfn.XLOOKUP(Clean_Data[[#This Row],[Country_Code]], Metadata_Country!$A:$A, Metadata_Country!$C:$C, "Unknown"), IF(OR(_xlpm.ig=0, _xlpm.ig=""), "Regional Aggregate", _xlpm.ig))</f>
        <v>Lower middle income</v>
      </c>
      <c r="H1865" s="4">
        <f>Clean_Data[[#This Row],[Exports_TIV]] - Clean_Data[[#This Row],[Imports_TIV]]</f>
        <v>-5000000</v>
      </c>
      <c r="I1865" s="4">
        <f>Clean_Data[[#This Row],[Exports_TIV]] + Clean_Data[[#This Row],[Imports_TIV]]</f>
        <v>5000000</v>
      </c>
    </row>
    <row r="1866" spans="1:9">
      <c r="A1866" s="4" t="s">
        <v>133</v>
      </c>
      <c r="B1866" s="4" t="s">
        <v>134</v>
      </c>
      <c r="C1866" s="5">
        <v>2013</v>
      </c>
      <c r="D1866" s="4">
        <v>0</v>
      </c>
      <c r="E1866" s="4">
        <v>14258000000</v>
      </c>
      <c r="F1866" s="4" t="str">
        <f>_xlfn.LET(_xlpm.r, _xlfn.XLOOKUP(Clean_Data[[#This Row],[Country_Code]], Metadata_Country!$A:$A, Metadata_Country!$B:$B, "Unknown"), IF(OR(_xlpm.r=0, _xlpm.r=""), "Regional Aggregate", _xlpm.r))</f>
        <v>Regional Aggregate</v>
      </c>
      <c r="G1866" s="4" t="str">
        <f>_xlfn.LET(_xlpm.ig, _xlfn.XLOOKUP(Clean_Data[[#This Row],[Country_Code]], Metadata_Country!$A:$A, Metadata_Country!$C:$C, "Unknown"), IF(OR(_xlpm.ig=0, _xlpm.ig=""), "Regional Aggregate", _xlpm.ig))</f>
        <v>Regional Aggregate</v>
      </c>
      <c r="H1866" s="4">
        <f>Clean_Data[[#This Row],[Exports_TIV]] - Clean_Data[[#This Row],[Imports_TIV]]</f>
        <v>-14258000000</v>
      </c>
      <c r="I1866" s="4">
        <f>Clean_Data[[#This Row],[Exports_TIV]] + Clean_Data[[#This Row],[Imports_TIV]]</f>
        <v>14258000000</v>
      </c>
    </row>
    <row r="1867" spans="1:9">
      <c r="A1867" s="4" t="s">
        <v>135</v>
      </c>
      <c r="B1867" s="4" t="s">
        <v>136</v>
      </c>
      <c r="C1867" s="5">
        <v>2013</v>
      </c>
      <c r="D1867" s="4">
        <v>0</v>
      </c>
      <c r="E1867" s="4">
        <v>5459000000</v>
      </c>
      <c r="F1867" s="4" t="str">
        <f>_xlfn.LET(_xlpm.r, _xlfn.XLOOKUP(Clean_Data[[#This Row],[Country_Code]], Metadata_Country!$A:$A, Metadata_Country!$B:$B, "Unknown"), IF(OR(_xlpm.r=0, _xlpm.r=""), "Regional Aggregate", _xlpm.r))</f>
        <v>Regional Aggregate</v>
      </c>
      <c r="G1867" s="4" t="str">
        <f>_xlfn.LET(_xlpm.ig, _xlfn.XLOOKUP(Clean_Data[[#This Row],[Country_Code]], Metadata_Country!$A:$A, Metadata_Country!$C:$C, "Unknown"), IF(OR(_xlpm.ig=0, _xlpm.ig=""), "Regional Aggregate", _xlpm.ig))</f>
        <v>Regional Aggregate</v>
      </c>
      <c r="H1867" s="4">
        <f>Clean_Data[[#This Row],[Exports_TIV]] - Clean_Data[[#This Row],[Imports_TIV]]</f>
        <v>-5459000000</v>
      </c>
      <c r="I1867" s="4">
        <f>Clean_Data[[#This Row],[Exports_TIV]] + Clean_Data[[#This Row],[Imports_TIV]]</f>
        <v>5459000000</v>
      </c>
    </row>
    <row r="1868" spans="1:9">
      <c r="A1868" s="4" t="s">
        <v>131</v>
      </c>
      <c r="B1868" s="4" t="s">
        <v>132</v>
      </c>
      <c r="C1868" s="5">
        <v>2013</v>
      </c>
      <c r="D1868" s="4">
        <v>2115000000</v>
      </c>
      <c r="E1868" s="4">
        <v>3301000000</v>
      </c>
      <c r="F1868" s="4" t="str">
        <f>_xlfn.LET(_xlpm.r, _xlfn.XLOOKUP(Clean_Data[[#This Row],[Country_Code]], Metadata_Country!$A:$A, Metadata_Country!$B:$B, "Unknown"), IF(OR(_xlpm.r=0, _xlpm.r=""), "Regional Aggregate", _xlpm.r))</f>
        <v>Regional Aggregate</v>
      </c>
      <c r="G1868" s="4" t="str">
        <f>_xlfn.LET(_xlpm.ig, _xlfn.XLOOKUP(Clean_Data[[#This Row],[Country_Code]], Metadata_Country!$A:$A, Metadata_Country!$C:$C, "Unknown"), IF(OR(_xlpm.ig=0, _xlpm.ig=""), "Regional Aggregate", _xlpm.ig))</f>
        <v>Regional Aggregate</v>
      </c>
      <c r="H1868" s="4">
        <f>Clean_Data[[#This Row],[Exports_TIV]] - Clean_Data[[#This Row],[Imports_TIV]]</f>
        <v>-1186000000</v>
      </c>
      <c r="I1868" s="4">
        <f>Clean_Data[[#This Row],[Exports_TIV]] + Clean_Data[[#This Row],[Imports_TIV]]</f>
        <v>5416000000</v>
      </c>
    </row>
    <row r="1869" spans="1:9">
      <c r="A1869" s="4" t="s">
        <v>469</v>
      </c>
      <c r="B1869" s="4" t="s">
        <v>470</v>
      </c>
      <c r="C1869" s="5">
        <v>2013</v>
      </c>
      <c r="D1869" s="4">
        <v>2115000000</v>
      </c>
      <c r="E1869" s="4">
        <v>3301000000</v>
      </c>
      <c r="F1869" s="4" t="str">
        <f>_xlfn.LET(_xlpm.r, _xlfn.XLOOKUP(Clean_Data[[#This Row],[Country_Code]], Metadata_Country!$A:$A, Metadata_Country!$B:$B, "Unknown"), IF(OR(_xlpm.r=0, _xlpm.r=""), "Regional Aggregate", _xlpm.r))</f>
        <v>Regional Aggregate</v>
      </c>
      <c r="G1869" s="4" t="str">
        <f>_xlfn.LET(_xlpm.ig, _xlfn.XLOOKUP(Clean_Data[[#This Row],[Country_Code]], Metadata_Country!$A:$A, Metadata_Country!$C:$C, "Unknown"), IF(OR(_xlpm.ig=0, _xlpm.ig=""), "Regional Aggregate", _xlpm.ig))</f>
        <v>Regional Aggregate</v>
      </c>
      <c r="H1869" s="4">
        <f>Clean_Data[[#This Row],[Exports_TIV]] - Clean_Data[[#This Row],[Imports_TIV]]</f>
        <v>-1186000000</v>
      </c>
      <c r="I1869" s="4">
        <f>Clean_Data[[#This Row],[Exports_TIV]] + Clean_Data[[#This Row],[Imports_TIV]]</f>
        <v>5416000000</v>
      </c>
    </row>
    <row r="1870" spans="1:9">
      <c r="A1870" s="4" t="s">
        <v>141</v>
      </c>
      <c r="B1870" s="4" t="s">
        <v>142</v>
      </c>
      <c r="C1870" s="5">
        <v>2013</v>
      </c>
      <c r="D1870" s="4">
        <v>0</v>
      </c>
      <c r="E1870" s="4">
        <v>12000000</v>
      </c>
      <c r="F1870" s="4" t="str">
        <f>_xlfn.LET(_xlpm.r, _xlfn.XLOOKUP(Clean_Data[[#This Row],[Country_Code]], Metadata_Country!$A:$A, Metadata_Country!$B:$B, "Unknown"), IF(OR(_xlpm.r=0, _xlpm.r=""), "Regional Aggregate", _xlpm.r))</f>
        <v>Latin America &amp; Caribbean</v>
      </c>
      <c r="G1870" s="4" t="str">
        <f>_xlfn.LET(_xlpm.ig, _xlfn.XLOOKUP(Clean_Data[[#This Row],[Country_Code]], Metadata_Country!$A:$A, Metadata_Country!$C:$C, "Unknown"), IF(OR(_xlpm.ig=0, _xlpm.ig=""), "Regional Aggregate", _xlpm.ig))</f>
        <v>Upper middle income</v>
      </c>
      <c r="H1870" s="4">
        <f>Clean_Data[[#This Row],[Exports_TIV]] - Clean_Data[[#This Row],[Imports_TIV]]</f>
        <v>-12000000</v>
      </c>
      <c r="I1870" s="4">
        <f>Clean_Data[[#This Row],[Exports_TIV]] + Clean_Data[[#This Row],[Imports_TIV]]</f>
        <v>12000000</v>
      </c>
    </row>
    <row r="1871" spans="1:9">
      <c r="A1871" s="4" t="s">
        <v>143</v>
      </c>
      <c r="B1871" s="4" t="s">
        <v>144</v>
      </c>
      <c r="C1871" s="5">
        <v>2013</v>
      </c>
      <c r="D1871" s="4">
        <v>0</v>
      </c>
      <c r="E1871" s="4">
        <v>719000000</v>
      </c>
      <c r="F1871" s="4" t="str">
        <f>_xlfn.LET(_xlpm.r, _xlfn.XLOOKUP(Clean_Data[[#This Row],[Country_Code]], Metadata_Country!$A:$A, Metadata_Country!$B:$B, "Unknown"), IF(OR(_xlpm.r=0, _xlpm.r=""), "Regional Aggregate", _xlpm.r))</f>
        <v>Middle East &amp; North Africa</v>
      </c>
      <c r="G1871" s="4" t="str">
        <f>_xlfn.LET(_xlpm.ig, _xlfn.XLOOKUP(Clean_Data[[#This Row],[Country_Code]], Metadata_Country!$A:$A, Metadata_Country!$C:$C, "Unknown"), IF(OR(_xlpm.ig=0, _xlpm.ig=""), "Regional Aggregate", _xlpm.ig))</f>
        <v>Lower middle income</v>
      </c>
      <c r="H1871" s="4">
        <f>Clean_Data[[#This Row],[Exports_TIV]] - Clean_Data[[#This Row],[Imports_TIV]]</f>
        <v>-719000000</v>
      </c>
      <c r="I1871" s="4">
        <f>Clean_Data[[#This Row],[Exports_TIV]] + Clean_Data[[#This Row],[Imports_TIV]]</f>
        <v>719000000</v>
      </c>
    </row>
    <row r="1872" spans="1:9">
      <c r="A1872" s="4" t="s">
        <v>431</v>
      </c>
      <c r="B1872" s="4" t="s">
        <v>432</v>
      </c>
      <c r="C1872" s="5">
        <v>2013</v>
      </c>
      <c r="D1872" s="4">
        <v>0</v>
      </c>
      <c r="E1872" s="4">
        <v>1000000</v>
      </c>
      <c r="F1872" s="4" t="str">
        <f>_xlfn.LET(_xlpm.r, _xlfn.XLOOKUP(Clean_Data[[#This Row],[Country_Code]], Metadata_Country!$A:$A, Metadata_Country!$B:$B, "Unknown"), IF(OR(_xlpm.r=0, _xlpm.r=""), "Regional Aggregate", _xlpm.r))</f>
        <v>Latin America &amp; Caribbean</v>
      </c>
      <c r="G1872" s="4" t="str">
        <f>_xlfn.LET(_xlpm.ig, _xlfn.XLOOKUP(Clean_Data[[#This Row],[Country_Code]], Metadata_Country!$A:$A, Metadata_Country!$C:$C, "Unknown"), IF(OR(_xlpm.ig=0, _xlpm.ig=""), "Regional Aggregate", _xlpm.ig))</f>
        <v>Upper middle income</v>
      </c>
      <c r="H1872" s="4">
        <f>Clean_Data[[#This Row],[Exports_TIV]] - Clean_Data[[#This Row],[Imports_TIV]]</f>
        <v>-1000000</v>
      </c>
      <c r="I1872" s="4">
        <f>Clean_Data[[#This Row],[Exports_TIV]] + Clean_Data[[#This Row],[Imports_TIV]]</f>
        <v>1000000</v>
      </c>
    </row>
    <row r="1873" spans="1:9">
      <c r="A1873" s="4" t="s">
        <v>185</v>
      </c>
      <c r="B1873" s="4" t="s">
        <v>186</v>
      </c>
      <c r="C1873" s="5">
        <v>2013</v>
      </c>
      <c r="D1873" s="4">
        <v>0</v>
      </c>
      <c r="E1873" s="4">
        <v>2000000</v>
      </c>
      <c r="F1873" s="4" t="str">
        <f>_xlfn.LET(_xlpm.r, _xlfn.XLOOKUP(Clean_Data[[#This Row],[Country_Code]], Metadata_Country!$A:$A, Metadata_Country!$B:$B, "Unknown"), IF(OR(_xlpm.r=0, _xlpm.r=""), "Regional Aggregate", _xlpm.r))</f>
        <v>Sub-Saharan Africa</v>
      </c>
      <c r="G1873" s="4" t="str">
        <f>_xlfn.LET(_xlpm.ig, _xlfn.XLOOKUP(Clean_Data[[#This Row],[Country_Code]], Metadata_Country!$A:$A, Metadata_Country!$C:$C, "Unknown"), IF(OR(_xlpm.ig=0, _xlpm.ig=""), "Regional Aggregate", _xlpm.ig))</f>
        <v>Upper middle income</v>
      </c>
      <c r="H1873" s="4">
        <f>Clean_Data[[#This Row],[Exports_TIV]] - Clean_Data[[#This Row],[Imports_TIV]]</f>
        <v>-2000000</v>
      </c>
      <c r="I1873" s="4">
        <f>Clean_Data[[#This Row],[Exports_TIV]] + Clean_Data[[#This Row],[Imports_TIV]]</f>
        <v>2000000</v>
      </c>
    </row>
    <row r="1874" spans="1:9">
      <c r="A1874" s="4" t="s">
        <v>151</v>
      </c>
      <c r="B1874" s="4" t="s">
        <v>152</v>
      </c>
      <c r="C1874" s="5">
        <v>2013</v>
      </c>
      <c r="D1874" s="4">
        <v>0</v>
      </c>
      <c r="E1874" s="4">
        <v>18000000</v>
      </c>
      <c r="F1874" s="4" t="str">
        <f>_xlfn.LET(_xlpm.r, _xlfn.XLOOKUP(Clean_Data[[#This Row],[Country_Code]], Metadata_Country!$A:$A, Metadata_Country!$B:$B, "Unknown"), IF(OR(_xlpm.r=0, _xlpm.r=""), "Regional Aggregate", _xlpm.r))</f>
        <v>Europe &amp; Central Asia</v>
      </c>
      <c r="G1874" s="4" t="str">
        <f>_xlfn.LET(_xlpm.ig, _xlfn.XLOOKUP(Clean_Data[[#This Row],[Country_Code]], Metadata_Country!$A:$A, Metadata_Country!$C:$C, "Unknown"), IF(OR(_xlpm.ig=0, _xlpm.ig=""), "Regional Aggregate", _xlpm.ig))</f>
        <v>High income</v>
      </c>
      <c r="H1874" s="4">
        <f>Clean_Data[[#This Row],[Exports_TIV]] - Clean_Data[[#This Row],[Imports_TIV]]</f>
        <v>-18000000</v>
      </c>
      <c r="I1874" s="4">
        <f>Clean_Data[[#This Row],[Exports_TIV]] + Clean_Data[[#This Row],[Imports_TIV]]</f>
        <v>18000000</v>
      </c>
    </row>
    <row r="1875" spans="1:9">
      <c r="A1875" s="4" t="s">
        <v>153</v>
      </c>
      <c r="B1875" s="4" t="s">
        <v>154</v>
      </c>
      <c r="C1875" s="5">
        <v>2013</v>
      </c>
      <c r="D1875" s="4">
        <v>0</v>
      </c>
      <c r="E1875" s="4">
        <v>154000000</v>
      </c>
      <c r="F1875" s="4" t="str">
        <f>_xlfn.LET(_xlpm.r, _xlfn.XLOOKUP(Clean_Data[[#This Row],[Country_Code]], Metadata_Country!$A:$A, Metadata_Country!$B:$B, "Unknown"), IF(OR(_xlpm.r=0, _xlpm.r=""), "Regional Aggregate", _xlpm.r))</f>
        <v>Sub-Saharan Africa</v>
      </c>
      <c r="G1875" s="4" t="str">
        <f>_xlfn.LET(_xlpm.ig, _xlfn.XLOOKUP(Clean_Data[[#This Row],[Country_Code]], Metadata_Country!$A:$A, Metadata_Country!$C:$C, "Unknown"), IF(OR(_xlpm.ig=0, _xlpm.ig=""), "Regional Aggregate", _xlpm.ig))</f>
        <v>Low income</v>
      </c>
      <c r="H1875" s="4">
        <f>Clean_Data[[#This Row],[Exports_TIV]] - Clean_Data[[#This Row],[Imports_TIV]]</f>
        <v>-154000000</v>
      </c>
      <c r="I1875" s="4">
        <f>Clean_Data[[#This Row],[Exports_TIV]] + Clean_Data[[#This Row],[Imports_TIV]]</f>
        <v>154000000</v>
      </c>
    </row>
    <row r="1876" spans="1:9">
      <c r="A1876" s="4" t="s">
        <v>145</v>
      </c>
      <c r="B1876" s="4" t="s">
        <v>146</v>
      </c>
      <c r="C1876" s="5">
        <v>2013</v>
      </c>
      <c r="D1876" s="4">
        <v>4536000000</v>
      </c>
      <c r="E1876" s="4">
        <v>1368000000</v>
      </c>
      <c r="F1876" s="4" t="str">
        <f>_xlfn.LET(_xlpm.r, _xlfn.XLOOKUP(Clean_Data[[#This Row],[Country_Code]], Metadata_Country!$A:$A, Metadata_Country!$B:$B, "Unknown"), IF(OR(_xlpm.r=0, _xlpm.r=""), "Regional Aggregate", _xlpm.r))</f>
        <v>Regional Aggregate</v>
      </c>
      <c r="G1876" s="4" t="str">
        <f>_xlfn.LET(_xlpm.ig, _xlfn.XLOOKUP(Clean_Data[[#This Row],[Country_Code]], Metadata_Country!$A:$A, Metadata_Country!$C:$C, "Unknown"), IF(OR(_xlpm.ig=0, _xlpm.ig=""), "Regional Aggregate", _xlpm.ig))</f>
        <v>Regional Aggregate</v>
      </c>
      <c r="H1876" s="4">
        <f>Clean_Data[[#This Row],[Exports_TIV]] - Clean_Data[[#This Row],[Imports_TIV]]</f>
        <v>3168000000</v>
      </c>
      <c r="I1876" s="4">
        <f>Clean_Data[[#This Row],[Exports_TIV]] + Clean_Data[[#This Row],[Imports_TIV]]</f>
        <v>5904000000</v>
      </c>
    </row>
    <row r="1877" spans="1:9">
      <c r="A1877" s="4" t="s">
        <v>139</v>
      </c>
      <c r="B1877" s="4" t="s">
        <v>140</v>
      </c>
      <c r="C1877" s="5">
        <v>2013</v>
      </c>
      <c r="D1877" s="4">
        <v>16194000000</v>
      </c>
      <c r="E1877" s="4">
        <v>3914000000</v>
      </c>
      <c r="F1877" s="4" t="str">
        <f>_xlfn.LET(_xlpm.r, _xlfn.XLOOKUP(Clean_Data[[#This Row],[Country_Code]], Metadata_Country!$A:$A, Metadata_Country!$B:$B, "Unknown"), IF(OR(_xlpm.r=0, _xlpm.r=""), "Regional Aggregate", _xlpm.r))</f>
        <v>Regional Aggregate</v>
      </c>
      <c r="G1877" s="4" t="str">
        <f>_xlfn.LET(_xlpm.ig, _xlfn.XLOOKUP(Clean_Data[[#This Row],[Country_Code]], Metadata_Country!$A:$A, Metadata_Country!$C:$C, "Unknown"), IF(OR(_xlpm.ig=0, _xlpm.ig=""), "Regional Aggregate", _xlpm.ig))</f>
        <v>Regional Aggregate</v>
      </c>
      <c r="H1877" s="4">
        <f>Clean_Data[[#This Row],[Exports_TIV]] - Clean_Data[[#This Row],[Imports_TIV]]</f>
        <v>12280000000</v>
      </c>
      <c r="I1877" s="4">
        <f>Clean_Data[[#This Row],[Exports_TIV]] + Clean_Data[[#This Row],[Imports_TIV]]</f>
        <v>20108000000</v>
      </c>
    </row>
    <row r="1878" spans="1:9">
      <c r="A1878" s="4" t="s">
        <v>137</v>
      </c>
      <c r="B1878" s="4" t="s">
        <v>138</v>
      </c>
      <c r="C1878" s="5">
        <v>2013</v>
      </c>
      <c r="D1878" s="4">
        <v>1116000000</v>
      </c>
      <c r="E1878" s="4">
        <v>1523000000</v>
      </c>
      <c r="F1878" s="4" t="str">
        <f>_xlfn.LET(_xlpm.r, _xlfn.XLOOKUP(Clean_Data[[#This Row],[Country_Code]], Metadata_Country!$A:$A, Metadata_Country!$B:$B, "Unknown"), IF(OR(_xlpm.r=0, _xlpm.r=""), "Regional Aggregate", _xlpm.r))</f>
        <v>Regional Aggregate</v>
      </c>
      <c r="G1878" s="4" t="str">
        <f>_xlfn.LET(_xlpm.ig, _xlfn.XLOOKUP(Clean_Data[[#This Row],[Country_Code]], Metadata_Country!$A:$A, Metadata_Country!$C:$C, "Unknown"), IF(OR(_xlpm.ig=0, _xlpm.ig=""), "Regional Aggregate", _xlpm.ig))</f>
        <v>Regional Aggregate</v>
      </c>
      <c r="H1878" s="4">
        <f>Clean_Data[[#This Row],[Exports_TIV]] - Clean_Data[[#This Row],[Imports_TIV]]</f>
        <v>-407000000</v>
      </c>
      <c r="I1878" s="4">
        <f>Clean_Data[[#This Row],[Exports_TIV]] + Clean_Data[[#This Row],[Imports_TIV]]</f>
        <v>2639000000</v>
      </c>
    </row>
    <row r="1879" spans="1:9">
      <c r="A1879" s="4" t="s">
        <v>471</v>
      </c>
      <c r="B1879" s="4" t="s">
        <v>472</v>
      </c>
      <c r="C1879" s="5">
        <v>2013</v>
      </c>
      <c r="D1879" s="4">
        <v>9389000000</v>
      </c>
      <c r="E1879" s="4">
        <v>1874000000</v>
      </c>
      <c r="F1879" s="4" t="str">
        <f>_xlfn.LET(_xlpm.r, _xlfn.XLOOKUP(Clean_Data[[#This Row],[Country_Code]], Metadata_Country!$A:$A, Metadata_Country!$B:$B, "Unknown"), IF(OR(_xlpm.r=0, _xlpm.r=""), "Regional Aggregate", _xlpm.r))</f>
        <v>Regional Aggregate</v>
      </c>
      <c r="G1879" s="4" t="str">
        <f>_xlfn.LET(_xlpm.ig, _xlfn.XLOOKUP(Clean_Data[[#This Row],[Country_Code]], Metadata_Country!$A:$A, Metadata_Country!$C:$C, "Unknown"), IF(OR(_xlpm.ig=0, _xlpm.ig=""), "Regional Aggregate", _xlpm.ig))</f>
        <v>Regional Aggregate</v>
      </c>
      <c r="H1879" s="4">
        <f>Clean_Data[[#This Row],[Exports_TIV]] - Clean_Data[[#This Row],[Imports_TIV]]</f>
        <v>7515000000</v>
      </c>
      <c r="I1879" s="4">
        <f>Clean_Data[[#This Row],[Exports_TIV]] + Clean_Data[[#This Row],[Imports_TIV]]</f>
        <v>11263000000</v>
      </c>
    </row>
    <row r="1880" spans="1:9">
      <c r="A1880" s="4" t="s">
        <v>155</v>
      </c>
      <c r="B1880" s="4" t="s">
        <v>156</v>
      </c>
      <c r="C1880" s="5">
        <v>2013</v>
      </c>
      <c r="D1880" s="4">
        <v>5372000000</v>
      </c>
      <c r="E1880" s="4">
        <v>1646000000</v>
      </c>
      <c r="F1880" s="4" t="str">
        <f>_xlfn.LET(_xlpm.r, _xlfn.XLOOKUP(Clean_Data[[#This Row],[Country_Code]], Metadata_Country!$A:$A, Metadata_Country!$B:$B, "Unknown"), IF(OR(_xlpm.r=0, _xlpm.r=""), "Regional Aggregate", _xlpm.r))</f>
        <v>Regional Aggregate</v>
      </c>
      <c r="G1880" s="4" t="str">
        <f>_xlfn.LET(_xlpm.ig, _xlfn.XLOOKUP(Clean_Data[[#This Row],[Country_Code]], Metadata_Country!$A:$A, Metadata_Country!$C:$C, "Unknown"), IF(OR(_xlpm.ig=0, _xlpm.ig=""), "Regional Aggregate", _xlpm.ig))</f>
        <v>Regional Aggregate</v>
      </c>
      <c r="H1880" s="4">
        <f>Clean_Data[[#This Row],[Exports_TIV]] - Clean_Data[[#This Row],[Imports_TIV]]</f>
        <v>3726000000</v>
      </c>
      <c r="I1880" s="4">
        <f>Clean_Data[[#This Row],[Exports_TIV]] + Clean_Data[[#This Row],[Imports_TIV]]</f>
        <v>7018000000</v>
      </c>
    </row>
    <row r="1881" spans="1:9">
      <c r="A1881" s="4" t="s">
        <v>159</v>
      </c>
      <c r="B1881" s="4" t="s">
        <v>160</v>
      </c>
      <c r="C1881" s="5">
        <v>2013</v>
      </c>
      <c r="D1881" s="4">
        <v>76000000</v>
      </c>
      <c r="E1881" s="4">
        <v>254000000</v>
      </c>
      <c r="F1881" s="4" t="str">
        <f>_xlfn.LET(_xlpm.r, _xlfn.XLOOKUP(Clean_Data[[#This Row],[Country_Code]], Metadata_Country!$A:$A, Metadata_Country!$B:$B, "Unknown"), IF(OR(_xlpm.r=0, _xlpm.r=""), "Regional Aggregate", _xlpm.r))</f>
        <v>Europe &amp; Central Asia</v>
      </c>
      <c r="G1881" s="4" t="str">
        <f>_xlfn.LET(_xlpm.ig, _xlfn.XLOOKUP(Clean_Data[[#This Row],[Country_Code]], Metadata_Country!$A:$A, Metadata_Country!$C:$C, "Unknown"), IF(OR(_xlpm.ig=0, _xlpm.ig=""), "Regional Aggregate", _xlpm.ig))</f>
        <v>High income</v>
      </c>
      <c r="H1881" s="4">
        <f>Clean_Data[[#This Row],[Exports_TIV]] - Clean_Data[[#This Row],[Imports_TIV]]</f>
        <v>-178000000</v>
      </c>
      <c r="I1881" s="4">
        <f>Clean_Data[[#This Row],[Exports_TIV]] + Clean_Data[[#This Row],[Imports_TIV]]</f>
        <v>330000000</v>
      </c>
    </row>
    <row r="1882" spans="1:9">
      <c r="A1882" s="4" t="s">
        <v>157</v>
      </c>
      <c r="B1882" s="4" t="s">
        <v>158</v>
      </c>
      <c r="C1882" s="5">
        <v>2013</v>
      </c>
      <c r="D1882" s="4">
        <v>0</v>
      </c>
      <c r="E1882" s="4">
        <v>2084000000</v>
      </c>
      <c r="F1882" s="4" t="str">
        <f>_xlfn.LET(_xlpm.r, _xlfn.XLOOKUP(Clean_Data[[#This Row],[Country_Code]], Metadata_Country!$A:$A, Metadata_Country!$B:$B, "Unknown"), IF(OR(_xlpm.r=0, _xlpm.r=""), "Regional Aggregate", _xlpm.r))</f>
        <v>Regional Aggregate</v>
      </c>
      <c r="G1882" s="4" t="str">
        <f>_xlfn.LET(_xlpm.ig, _xlfn.XLOOKUP(Clean_Data[[#This Row],[Country_Code]], Metadata_Country!$A:$A, Metadata_Country!$C:$C, "Unknown"), IF(OR(_xlpm.ig=0, _xlpm.ig=""), "Regional Aggregate", _xlpm.ig))</f>
        <v>Regional Aggregate</v>
      </c>
      <c r="H1882" s="4">
        <f>Clean_Data[[#This Row],[Exports_TIV]] - Clean_Data[[#This Row],[Imports_TIV]]</f>
        <v>-2084000000</v>
      </c>
      <c r="I1882" s="4">
        <f>Clean_Data[[#This Row],[Exports_TIV]] + Clean_Data[[#This Row],[Imports_TIV]]</f>
        <v>2084000000</v>
      </c>
    </row>
    <row r="1883" spans="1:9">
      <c r="A1883" s="4" t="s">
        <v>163</v>
      </c>
      <c r="B1883" s="4" t="s">
        <v>164</v>
      </c>
      <c r="C1883" s="5">
        <v>2013</v>
      </c>
      <c r="D1883" s="4">
        <v>1870000000</v>
      </c>
      <c r="E1883" s="4">
        <v>104000000</v>
      </c>
      <c r="F1883" s="4" t="str">
        <f>_xlfn.LET(_xlpm.r, _xlfn.XLOOKUP(Clean_Data[[#This Row],[Country_Code]], Metadata_Country!$A:$A, Metadata_Country!$B:$B, "Unknown"), IF(OR(_xlpm.r=0, _xlpm.r=""), "Regional Aggregate", _xlpm.r))</f>
        <v>Europe &amp; Central Asia</v>
      </c>
      <c r="G1883" s="4" t="str">
        <f>_xlfn.LET(_xlpm.ig, _xlfn.XLOOKUP(Clean_Data[[#This Row],[Country_Code]], Metadata_Country!$A:$A, Metadata_Country!$C:$C, "Unknown"), IF(OR(_xlpm.ig=0, _xlpm.ig=""), "Regional Aggregate", _xlpm.ig))</f>
        <v>High income</v>
      </c>
      <c r="H1883" s="4">
        <f>Clean_Data[[#This Row],[Exports_TIV]] - Clean_Data[[#This Row],[Imports_TIV]]</f>
        <v>1766000000</v>
      </c>
      <c r="I1883" s="4">
        <f>Clean_Data[[#This Row],[Exports_TIV]] + Clean_Data[[#This Row],[Imports_TIV]]</f>
        <v>1974000000</v>
      </c>
    </row>
    <row r="1884" spans="1:9">
      <c r="A1884" s="4" t="s">
        <v>169</v>
      </c>
      <c r="B1884" s="4" t="s">
        <v>170</v>
      </c>
      <c r="C1884" s="5">
        <v>2013</v>
      </c>
      <c r="D1884" s="4">
        <v>0</v>
      </c>
      <c r="E1884" s="4">
        <v>2000000</v>
      </c>
      <c r="F1884" s="4" t="str">
        <f>_xlfn.LET(_xlpm.r, _xlfn.XLOOKUP(Clean_Data[[#This Row],[Country_Code]], Metadata_Country!$A:$A, Metadata_Country!$B:$B, "Unknown"), IF(OR(_xlpm.r=0, _xlpm.r=""), "Regional Aggregate", _xlpm.r))</f>
        <v>Sub-Saharan Africa</v>
      </c>
      <c r="G1884" s="4" t="str">
        <f>_xlfn.LET(_xlpm.ig, _xlfn.XLOOKUP(Clean_Data[[#This Row],[Country_Code]], Metadata_Country!$A:$A, Metadata_Country!$C:$C, "Unknown"), IF(OR(_xlpm.ig=0, _xlpm.ig=""), "Regional Aggregate", _xlpm.ig))</f>
        <v>Upper middle income</v>
      </c>
      <c r="H1884" s="4">
        <f>Clean_Data[[#This Row],[Exports_TIV]] - Clean_Data[[#This Row],[Imports_TIV]]</f>
        <v>-2000000</v>
      </c>
      <c r="I1884" s="4">
        <f>Clean_Data[[#This Row],[Exports_TIV]] + Clean_Data[[#This Row],[Imports_TIV]]</f>
        <v>2000000</v>
      </c>
    </row>
    <row r="1885" spans="1:9">
      <c r="A1885" s="4" t="s">
        <v>173</v>
      </c>
      <c r="B1885" s="4" t="s">
        <v>174</v>
      </c>
      <c r="C1885" s="5">
        <v>2013</v>
      </c>
      <c r="D1885" s="4">
        <v>0</v>
      </c>
      <c r="E1885" s="4">
        <v>5000000</v>
      </c>
      <c r="F1885" s="4" t="str">
        <f>_xlfn.LET(_xlpm.r, _xlfn.XLOOKUP(Clean_Data[[#This Row],[Country_Code]], Metadata_Country!$A:$A, Metadata_Country!$B:$B, "Unknown"), IF(OR(_xlpm.r=0, _xlpm.r=""), "Regional Aggregate", _xlpm.r))</f>
        <v>Europe &amp; Central Asia</v>
      </c>
      <c r="G1885" s="4" t="str">
        <f>_xlfn.LET(_xlpm.ig, _xlfn.XLOOKUP(Clean_Data[[#This Row],[Country_Code]], Metadata_Country!$A:$A, Metadata_Country!$C:$C, "Unknown"), IF(OR(_xlpm.ig=0, _xlpm.ig=""), "Regional Aggregate", _xlpm.ig))</f>
        <v>Upper middle income</v>
      </c>
      <c r="H1885" s="4">
        <f>Clean_Data[[#This Row],[Exports_TIV]] - Clean_Data[[#This Row],[Imports_TIV]]</f>
        <v>-5000000</v>
      </c>
      <c r="I1885" s="4">
        <f>Clean_Data[[#This Row],[Exports_TIV]] + Clean_Data[[#This Row],[Imports_TIV]]</f>
        <v>5000000</v>
      </c>
    </row>
    <row r="1886" spans="1:9">
      <c r="A1886" s="4" t="s">
        <v>119</v>
      </c>
      <c r="B1886" s="4" t="s">
        <v>120</v>
      </c>
      <c r="C1886" s="5">
        <v>2013</v>
      </c>
      <c r="D1886" s="4">
        <v>721000000</v>
      </c>
      <c r="E1886" s="4">
        <v>103000000</v>
      </c>
      <c r="F1886" s="4" t="str">
        <f>_xlfn.LET(_xlpm.r, _xlfn.XLOOKUP(Clean_Data[[#This Row],[Country_Code]], Metadata_Country!$A:$A, Metadata_Country!$B:$B, "Unknown"), IF(OR(_xlpm.r=0, _xlpm.r=""), "Regional Aggregate", _xlpm.r))</f>
        <v>Europe &amp; Central Asia</v>
      </c>
      <c r="G1886" s="4" t="str">
        <f>_xlfn.LET(_xlpm.ig, _xlfn.XLOOKUP(Clean_Data[[#This Row],[Country_Code]], Metadata_Country!$A:$A, Metadata_Country!$C:$C, "Unknown"), IF(OR(_xlpm.ig=0, _xlpm.ig=""), "Regional Aggregate", _xlpm.ig))</f>
        <v>High income</v>
      </c>
      <c r="H1886" s="4">
        <f>Clean_Data[[#This Row],[Exports_TIV]] - Clean_Data[[#This Row],[Imports_TIV]]</f>
        <v>618000000</v>
      </c>
      <c r="I1886" s="4">
        <f>Clean_Data[[#This Row],[Exports_TIV]] + Clean_Data[[#This Row],[Imports_TIV]]</f>
        <v>824000000</v>
      </c>
    </row>
    <row r="1887" spans="1:9">
      <c r="A1887" s="4" t="s">
        <v>175</v>
      </c>
      <c r="B1887" s="4" t="s">
        <v>176</v>
      </c>
      <c r="C1887" s="5">
        <v>2013</v>
      </c>
      <c r="D1887" s="4">
        <v>0</v>
      </c>
      <c r="E1887" s="4">
        <v>52000000</v>
      </c>
      <c r="F1887" s="4" t="str">
        <f>_xlfn.LET(_xlpm.r, _xlfn.XLOOKUP(Clean_Data[[#This Row],[Country_Code]], Metadata_Country!$A:$A, Metadata_Country!$B:$B, "Unknown"), IF(OR(_xlpm.r=0, _xlpm.r=""), "Regional Aggregate", _xlpm.r))</f>
        <v>Sub-Saharan Africa</v>
      </c>
      <c r="G1887" s="4" t="str">
        <f>_xlfn.LET(_xlpm.ig, _xlfn.XLOOKUP(Clean_Data[[#This Row],[Country_Code]], Metadata_Country!$A:$A, Metadata_Country!$C:$C, "Unknown"), IF(OR(_xlpm.ig=0, _xlpm.ig=""), "Regional Aggregate", _xlpm.ig))</f>
        <v>Lower middle income</v>
      </c>
      <c r="H1887" s="4">
        <f>Clean_Data[[#This Row],[Exports_TIV]] - Clean_Data[[#This Row],[Imports_TIV]]</f>
        <v>-52000000</v>
      </c>
      <c r="I1887" s="4">
        <f>Clean_Data[[#This Row],[Exports_TIV]] + Clean_Data[[#This Row],[Imports_TIV]]</f>
        <v>52000000</v>
      </c>
    </row>
    <row r="1888" spans="1:9">
      <c r="A1888" s="4" t="s">
        <v>187</v>
      </c>
      <c r="B1888" s="4" t="s">
        <v>188</v>
      </c>
      <c r="C1888" s="5">
        <v>2013</v>
      </c>
      <c r="D1888" s="4">
        <v>0</v>
      </c>
      <c r="E1888" s="4">
        <v>28000000</v>
      </c>
      <c r="F1888" s="4" t="str">
        <f>_xlfn.LET(_xlpm.r, _xlfn.XLOOKUP(Clean_Data[[#This Row],[Country_Code]], Metadata_Country!$A:$A, Metadata_Country!$B:$B, "Unknown"), IF(OR(_xlpm.r=0, _xlpm.r=""), "Regional Aggregate", _xlpm.r))</f>
        <v>Europe &amp; Central Asia</v>
      </c>
      <c r="G1888" s="4" t="str">
        <f>_xlfn.LET(_xlpm.ig, _xlfn.XLOOKUP(Clean_Data[[#This Row],[Country_Code]], Metadata_Country!$A:$A, Metadata_Country!$C:$C, "Unknown"), IF(OR(_xlpm.ig=0, _xlpm.ig=""), "Regional Aggregate", _xlpm.ig))</f>
        <v>High income</v>
      </c>
      <c r="H1888" s="4">
        <f>Clean_Data[[#This Row],[Exports_TIV]] - Clean_Data[[#This Row],[Imports_TIV]]</f>
        <v>-28000000</v>
      </c>
      <c r="I1888" s="4">
        <f>Clean_Data[[#This Row],[Exports_TIV]] + Clean_Data[[#This Row],[Imports_TIV]]</f>
        <v>28000000</v>
      </c>
    </row>
    <row r="1889" spans="1:9">
      <c r="A1889" s="4" t="s">
        <v>205</v>
      </c>
      <c r="B1889" s="4" t="s">
        <v>206</v>
      </c>
      <c r="C1889" s="5">
        <v>2013</v>
      </c>
      <c r="D1889" s="4">
        <v>0</v>
      </c>
      <c r="E1889" s="4">
        <v>1072000000</v>
      </c>
      <c r="F1889" s="4" t="str">
        <f>_xlfn.LET(_xlpm.r, _xlfn.XLOOKUP(Clean_Data[[#This Row],[Country_Code]], Metadata_Country!$A:$A, Metadata_Country!$B:$B, "Unknown"), IF(OR(_xlpm.r=0, _xlpm.r=""), "Regional Aggregate", _xlpm.r))</f>
        <v>Regional Aggregate</v>
      </c>
      <c r="G1889" s="4" t="str">
        <f>_xlfn.LET(_xlpm.ig, _xlfn.XLOOKUP(Clean_Data[[#This Row],[Country_Code]], Metadata_Country!$A:$A, Metadata_Country!$C:$C, "Unknown"), IF(OR(_xlpm.ig=0, _xlpm.ig=""), "Regional Aggregate", _xlpm.ig))</f>
        <v>Regional Aggregate</v>
      </c>
      <c r="H1889" s="4">
        <f>Clean_Data[[#This Row],[Exports_TIV]] - Clean_Data[[#This Row],[Imports_TIV]]</f>
        <v>-1072000000</v>
      </c>
      <c r="I1889" s="4">
        <f>Clean_Data[[#This Row],[Exports_TIV]] + Clean_Data[[#This Row],[Imports_TIV]]</f>
        <v>1072000000</v>
      </c>
    </row>
    <row r="1890" spans="1:9">
      <c r="A1890" s="4" t="s">
        <v>199</v>
      </c>
      <c r="B1890" s="4" t="s">
        <v>200</v>
      </c>
      <c r="C1890" s="5">
        <v>2013</v>
      </c>
      <c r="D1890" s="4">
        <v>23958000000</v>
      </c>
      <c r="E1890" s="4">
        <v>10472000000</v>
      </c>
      <c r="F1890" s="4" t="str">
        <f>_xlfn.LET(_xlpm.r, _xlfn.XLOOKUP(Clean_Data[[#This Row],[Country_Code]], Metadata_Country!$A:$A, Metadata_Country!$B:$B, "Unknown"), IF(OR(_xlpm.r=0, _xlpm.r=""), "Regional Aggregate", _xlpm.r))</f>
        <v>Regional Aggregate</v>
      </c>
      <c r="G1890" s="4" t="str">
        <f>_xlfn.LET(_xlpm.ig, _xlfn.XLOOKUP(Clean_Data[[#This Row],[Country_Code]], Metadata_Country!$A:$A, Metadata_Country!$C:$C, "Unknown"), IF(OR(_xlpm.ig=0, _xlpm.ig=""), "Regional Aggregate", _xlpm.ig))</f>
        <v>Regional Aggregate</v>
      </c>
      <c r="H1890" s="4">
        <f>Clean_Data[[#This Row],[Exports_TIV]] - Clean_Data[[#This Row],[Imports_TIV]]</f>
        <v>13486000000</v>
      </c>
      <c r="I1890" s="4">
        <f>Clean_Data[[#This Row],[Exports_TIV]] + Clean_Data[[#This Row],[Imports_TIV]]</f>
        <v>34430000000</v>
      </c>
    </row>
    <row r="1891" spans="1:9">
      <c r="A1891" s="4" t="s">
        <v>203</v>
      </c>
      <c r="B1891" s="4" t="s">
        <v>204</v>
      </c>
      <c r="C1891" s="5">
        <v>2013</v>
      </c>
      <c r="D1891" s="4">
        <v>0</v>
      </c>
      <c r="E1891" s="4">
        <v>20000000</v>
      </c>
      <c r="F1891" s="4" t="str">
        <f>_xlfn.LET(_xlpm.r, _xlfn.XLOOKUP(Clean_Data[[#This Row],[Country_Code]], Metadata_Country!$A:$A, Metadata_Country!$B:$B, "Unknown"), IF(OR(_xlpm.r=0, _xlpm.r=""), "Regional Aggregate", _xlpm.r))</f>
        <v>Latin America &amp; Caribbean</v>
      </c>
      <c r="G1891" s="4" t="str">
        <f>_xlfn.LET(_xlpm.ig, _xlfn.XLOOKUP(Clean_Data[[#This Row],[Country_Code]], Metadata_Country!$A:$A, Metadata_Country!$C:$C, "Unknown"), IF(OR(_xlpm.ig=0, _xlpm.ig=""), "Regional Aggregate", _xlpm.ig))</f>
        <v>Lower middle income</v>
      </c>
      <c r="H1891" s="4">
        <f>Clean_Data[[#This Row],[Exports_TIV]] - Clean_Data[[#This Row],[Imports_TIV]]</f>
        <v>-20000000</v>
      </c>
      <c r="I1891" s="4">
        <f>Clean_Data[[#This Row],[Exports_TIV]] + Clean_Data[[#This Row],[Imports_TIV]]</f>
        <v>20000000</v>
      </c>
    </row>
    <row r="1892" spans="1:9">
      <c r="A1892" s="4" t="s">
        <v>211</v>
      </c>
      <c r="B1892" s="4" t="s">
        <v>212</v>
      </c>
      <c r="C1892" s="5">
        <v>2013</v>
      </c>
      <c r="D1892" s="4">
        <v>41000000</v>
      </c>
      <c r="E1892" s="4">
        <v>2000000</v>
      </c>
      <c r="F1892" s="4" t="str">
        <f>_xlfn.LET(_xlpm.r, _xlfn.XLOOKUP(Clean_Data[[#This Row],[Country_Code]], Metadata_Country!$A:$A, Metadata_Country!$B:$B, "Unknown"), IF(OR(_xlpm.r=0, _xlpm.r=""), "Regional Aggregate", _xlpm.r))</f>
        <v>Europe &amp; Central Asia</v>
      </c>
      <c r="G1892" s="4" t="str">
        <f>_xlfn.LET(_xlpm.ig, _xlfn.XLOOKUP(Clean_Data[[#This Row],[Country_Code]], Metadata_Country!$A:$A, Metadata_Country!$C:$C, "Unknown"), IF(OR(_xlpm.ig=0, _xlpm.ig=""), "Regional Aggregate", _xlpm.ig))</f>
        <v>High income</v>
      </c>
      <c r="H1892" s="4">
        <f>Clean_Data[[#This Row],[Exports_TIV]] - Clean_Data[[#This Row],[Imports_TIV]]</f>
        <v>39000000</v>
      </c>
      <c r="I1892" s="4">
        <f>Clean_Data[[#This Row],[Exports_TIV]] + Clean_Data[[#This Row],[Imports_TIV]]</f>
        <v>43000000</v>
      </c>
    </row>
    <row r="1893" spans="1:9">
      <c r="A1893" s="4" t="s">
        <v>213</v>
      </c>
      <c r="B1893" s="4" t="s">
        <v>214</v>
      </c>
      <c r="C1893" s="5">
        <v>2013</v>
      </c>
      <c r="D1893" s="4">
        <v>11699000000</v>
      </c>
      <c r="E1893" s="4">
        <v>13535000000</v>
      </c>
      <c r="F1893" s="4" t="str">
        <f>_xlfn.LET(_xlpm.r, _xlfn.XLOOKUP(Clean_Data[[#This Row],[Country_Code]], Metadata_Country!$A:$A, Metadata_Country!$B:$B, "Unknown"), IF(OR(_xlpm.r=0, _xlpm.r=""), "Regional Aggregate", _xlpm.r))</f>
        <v>Regional Aggregate</v>
      </c>
      <c r="G1893" s="4" t="str">
        <f>_xlfn.LET(_xlpm.ig, _xlfn.XLOOKUP(Clean_Data[[#This Row],[Country_Code]], Metadata_Country!$A:$A, Metadata_Country!$C:$C, "Unknown"), IF(OR(_xlpm.ig=0, _xlpm.ig=""), "Regional Aggregate", _xlpm.ig))</f>
        <v>Regional Aggregate</v>
      </c>
      <c r="H1893" s="4">
        <f>Clean_Data[[#This Row],[Exports_TIV]] - Clean_Data[[#This Row],[Imports_TIV]]</f>
        <v>-1836000000</v>
      </c>
      <c r="I1893" s="4">
        <f>Clean_Data[[#This Row],[Exports_TIV]] + Clean_Data[[#This Row],[Imports_TIV]]</f>
        <v>25234000000</v>
      </c>
    </row>
    <row r="1894" spans="1:9">
      <c r="A1894" s="4" t="s">
        <v>215</v>
      </c>
      <c r="B1894" s="4" t="s">
        <v>216</v>
      </c>
      <c r="C1894" s="5">
        <v>2013</v>
      </c>
      <c r="D1894" s="4">
        <v>0</v>
      </c>
      <c r="E1894" s="4">
        <v>17313000000</v>
      </c>
      <c r="F1894" s="4" t="str">
        <f>_xlfn.LET(_xlpm.r, _xlfn.XLOOKUP(Clean_Data[[#This Row],[Country_Code]], Metadata_Country!$A:$A, Metadata_Country!$B:$B, "Unknown"), IF(OR(_xlpm.r=0, _xlpm.r=""), "Regional Aggregate", _xlpm.r))</f>
        <v>Regional Aggregate</v>
      </c>
      <c r="G1894" s="4" t="str">
        <f>_xlfn.LET(_xlpm.ig, _xlfn.XLOOKUP(Clean_Data[[#This Row],[Country_Code]], Metadata_Country!$A:$A, Metadata_Country!$C:$C, "Unknown"), IF(OR(_xlpm.ig=0, _xlpm.ig=""), "Regional Aggregate", _xlpm.ig))</f>
        <v>Regional Aggregate</v>
      </c>
      <c r="H1894" s="4">
        <f>Clean_Data[[#This Row],[Exports_TIV]] - Clean_Data[[#This Row],[Imports_TIV]]</f>
        <v>-17313000000</v>
      </c>
      <c r="I1894" s="4">
        <f>Clean_Data[[#This Row],[Exports_TIV]] + Clean_Data[[#This Row],[Imports_TIV]]</f>
        <v>17313000000</v>
      </c>
    </row>
    <row r="1895" spans="1:9">
      <c r="A1895" s="4" t="s">
        <v>219</v>
      </c>
      <c r="B1895" s="4" t="s">
        <v>220</v>
      </c>
      <c r="C1895" s="5">
        <v>2013</v>
      </c>
      <c r="D1895" s="4">
        <v>0</v>
      </c>
      <c r="E1895" s="4">
        <v>1324000000</v>
      </c>
      <c r="F1895" s="4" t="str">
        <f>_xlfn.LET(_xlpm.r, _xlfn.XLOOKUP(Clean_Data[[#This Row],[Country_Code]], Metadata_Country!$A:$A, Metadata_Country!$B:$B, "Unknown"), IF(OR(_xlpm.r=0, _xlpm.r=""), "Regional Aggregate", _xlpm.r))</f>
        <v>Regional Aggregate</v>
      </c>
      <c r="G1895" s="4" t="str">
        <f>_xlfn.LET(_xlpm.ig, _xlfn.XLOOKUP(Clean_Data[[#This Row],[Country_Code]], Metadata_Country!$A:$A, Metadata_Country!$C:$C, "Unknown"), IF(OR(_xlpm.ig=0, _xlpm.ig=""), "Regional Aggregate", _xlpm.ig))</f>
        <v>Regional Aggregate</v>
      </c>
      <c r="H1895" s="4">
        <f>Clean_Data[[#This Row],[Exports_TIV]] - Clean_Data[[#This Row],[Imports_TIV]]</f>
        <v>-1324000000</v>
      </c>
      <c r="I1895" s="4">
        <f>Clean_Data[[#This Row],[Exports_TIV]] + Clean_Data[[#This Row],[Imports_TIV]]</f>
        <v>1324000000</v>
      </c>
    </row>
    <row r="1896" spans="1:9">
      <c r="A1896" s="4" t="s">
        <v>223</v>
      </c>
      <c r="B1896" s="4" t="s">
        <v>224</v>
      </c>
      <c r="C1896" s="5">
        <v>2013</v>
      </c>
      <c r="D1896" s="4">
        <v>0</v>
      </c>
      <c r="E1896" s="4">
        <v>2454000000</v>
      </c>
      <c r="F1896" s="4" t="str">
        <f>_xlfn.LET(_xlpm.r, _xlfn.XLOOKUP(Clean_Data[[#This Row],[Country_Code]], Metadata_Country!$A:$A, Metadata_Country!$B:$B, "Unknown"), IF(OR(_xlpm.r=0, _xlpm.r=""), "Regional Aggregate", _xlpm.r))</f>
        <v>Regional Aggregate</v>
      </c>
      <c r="G1896" s="4" t="str">
        <f>_xlfn.LET(_xlpm.ig, _xlfn.XLOOKUP(Clean_Data[[#This Row],[Country_Code]], Metadata_Country!$A:$A, Metadata_Country!$C:$C, "Unknown"), IF(OR(_xlpm.ig=0, _xlpm.ig=""), "Regional Aggregate", _xlpm.ig))</f>
        <v>Regional Aggregate</v>
      </c>
      <c r="H1896" s="4">
        <f>Clean_Data[[#This Row],[Exports_TIV]] - Clean_Data[[#This Row],[Imports_TIV]]</f>
        <v>-2454000000</v>
      </c>
      <c r="I1896" s="4">
        <f>Clean_Data[[#This Row],[Exports_TIV]] + Clean_Data[[#This Row],[Imports_TIV]]</f>
        <v>2454000000</v>
      </c>
    </row>
    <row r="1897" spans="1:9">
      <c r="A1897" s="4" t="s">
        <v>217</v>
      </c>
      <c r="B1897" s="4" t="s">
        <v>218</v>
      </c>
      <c r="C1897" s="5">
        <v>2013</v>
      </c>
      <c r="D1897" s="4">
        <v>0</v>
      </c>
      <c r="E1897" s="4">
        <v>3778000000</v>
      </c>
      <c r="F1897" s="4" t="str">
        <f>_xlfn.LET(_xlpm.r, _xlfn.XLOOKUP(Clean_Data[[#This Row],[Country_Code]], Metadata_Country!$A:$A, Metadata_Country!$B:$B, "Unknown"), IF(OR(_xlpm.r=0, _xlpm.r=""), "Regional Aggregate", _xlpm.r))</f>
        <v>Regional Aggregate</v>
      </c>
      <c r="G1897" s="4" t="str">
        <f>_xlfn.LET(_xlpm.ig, _xlfn.XLOOKUP(Clean_Data[[#This Row],[Country_Code]], Metadata_Country!$A:$A, Metadata_Country!$C:$C, "Unknown"), IF(OR(_xlpm.ig=0, _xlpm.ig=""), "Regional Aggregate", _xlpm.ig))</f>
        <v>Regional Aggregate</v>
      </c>
      <c r="H1897" s="4">
        <f>Clean_Data[[#This Row],[Exports_TIV]] - Clean_Data[[#This Row],[Imports_TIV]]</f>
        <v>-3778000000</v>
      </c>
      <c r="I1897" s="4">
        <f>Clean_Data[[#This Row],[Exports_TIV]] + Clean_Data[[#This Row],[Imports_TIV]]</f>
        <v>3778000000</v>
      </c>
    </row>
    <row r="1898" spans="1:9">
      <c r="A1898" s="4" t="s">
        <v>227</v>
      </c>
      <c r="B1898" s="4" t="s">
        <v>228</v>
      </c>
      <c r="C1898" s="5">
        <v>2013</v>
      </c>
      <c r="D1898" s="4">
        <v>18000000</v>
      </c>
      <c r="E1898" s="4">
        <v>5302000000</v>
      </c>
      <c r="F1898" s="4" t="str">
        <f>_xlfn.LET(_xlpm.r, _xlfn.XLOOKUP(Clean_Data[[#This Row],[Country_Code]], Metadata_Country!$A:$A, Metadata_Country!$B:$B, "Unknown"), IF(OR(_xlpm.r=0, _xlpm.r=""), "Regional Aggregate", _xlpm.r))</f>
        <v>South Asia</v>
      </c>
      <c r="G1898" s="4" t="str">
        <f>_xlfn.LET(_xlpm.ig, _xlfn.XLOOKUP(Clean_Data[[#This Row],[Country_Code]], Metadata_Country!$A:$A, Metadata_Country!$C:$C, "Unknown"), IF(OR(_xlpm.ig=0, _xlpm.ig=""), "Regional Aggregate", _xlpm.ig))</f>
        <v>Lower middle income</v>
      </c>
      <c r="H1898" s="4">
        <f>Clean_Data[[#This Row],[Exports_TIV]] - Clean_Data[[#This Row],[Imports_TIV]]</f>
        <v>-5284000000</v>
      </c>
      <c r="I1898" s="4">
        <f>Clean_Data[[#This Row],[Exports_TIV]] + Clean_Data[[#This Row],[Imports_TIV]]</f>
        <v>5320000000</v>
      </c>
    </row>
    <row r="1899" spans="1:9">
      <c r="A1899" s="4" t="s">
        <v>221</v>
      </c>
      <c r="B1899" s="4" t="s">
        <v>222</v>
      </c>
      <c r="C1899" s="5">
        <v>2013</v>
      </c>
      <c r="D1899" s="4">
        <v>0</v>
      </c>
      <c r="E1899" s="4">
        <v>833000000</v>
      </c>
      <c r="F1899" s="4" t="str">
        <f>_xlfn.LET(_xlpm.r, _xlfn.XLOOKUP(Clean_Data[[#This Row],[Country_Code]], Metadata_Country!$A:$A, Metadata_Country!$B:$B, "Unknown"), IF(OR(_xlpm.r=0, _xlpm.r=""), "Regional Aggregate", _xlpm.r))</f>
        <v>East Asia &amp; Pacific</v>
      </c>
      <c r="G1899" s="4" t="str">
        <f>_xlfn.LET(_xlpm.ig, _xlfn.XLOOKUP(Clean_Data[[#This Row],[Country_Code]], Metadata_Country!$A:$A, Metadata_Country!$C:$C, "Unknown"), IF(OR(_xlpm.ig=0, _xlpm.ig=""), "Regional Aggregate", _xlpm.ig))</f>
        <v>Upper middle income</v>
      </c>
      <c r="H1899" s="4">
        <f>Clean_Data[[#This Row],[Exports_TIV]] - Clean_Data[[#This Row],[Imports_TIV]]</f>
        <v>-833000000</v>
      </c>
      <c r="I1899" s="4">
        <f>Clean_Data[[#This Row],[Exports_TIV]] + Clean_Data[[#This Row],[Imports_TIV]]</f>
        <v>833000000</v>
      </c>
    </row>
    <row r="1900" spans="1:9">
      <c r="A1900" s="4" t="s">
        <v>233</v>
      </c>
      <c r="B1900" s="4" t="s">
        <v>234</v>
      </c>
      <c r="C1900" s="5">
        <v>2013</v>
      </c>
      <c r="D1900" s="4">
        <v>2000000</v>
      </c>
      <c r="E1900" s="4">
        <v>14000000</v>
      </c>
      <c r="F1900" s="4" t="str">
        <f>_xlfn.LET(_xlpm.r, _xlfn.XLOOKUP(Clean_Data[[#This Row],[Country_Code]], Metadata_Country!$A:$A, Metadata_Country!$B:$B, "Unknown"), IF(OR(_xlpm.r=0, _xlpm.r=""), "Regional Aggregate", _xlpm.r))</f>
        <v>Middle East &amp; North Africa</v>
      </c>
      <c r="G1900" s="4" t="str">
        <f>_xlfn.LET(_xlpm.ig, _xlfn.XLOOKUP(Clean_Data[[#This Row],[Country_Code]], Metadata_Country!$A:$A, Metadata_Country!$C:$C, "Unknown"), IF(OR(_xlpm.ig=0, _xlpm.ig=""), "Regional Aggregate", _xlpm.ig))</f>
        <v>Upper middle income</v>
      </c>
      <c r="H1900" s="4">
        <f>Clean_Data[[#This Row],[Exports_TIV]] - Clean_Data[[#This Row],[Imports_TIV]]</f>
        <v>-12000000</v>
      </c>
      <c r="I1900" s="4">
        <f>Clean_Data[[#This Row],[Exports_TIV]] + Clean_Data[[#This Row],[Imports_TIV]]</f>
        <v>16000000</v>
      </c>
    </row>
    <row r="1901" spans="1:9">
      <c r="A1901" s="4" t="s">
        <v>235</v>
      </c>
      <c r="B1901" s="4" t="s">
        <v>236</v>
      </c>
      <c r="C1901" s="5">
        <v>2013</v>
      </c>
      <c r="D1901" s="4">
        <v>0</v>
      </c>
      <c r="E1901" s="4">
        <v>375000000</v>
      </c>
      <c r="F1901" s="4" t="str">
        <f>_xlfn.LET(_xlpm.r, _xlfn.XLOOKUP(Clean_Data[[#This Row],[Country_Code]], Metadata_Country!$A:$A, Metadata_Country!$B:$B, "Unknown"), IF(OR(_xlpm.r=0, _xlpm.r=""), "Regional Aggregate", _xlpm.r))</f>
        <v>Middle East &amp; North Africa</v>
      </c>
      <c r="G1901" s="4" t="str">
        <f>_xlfn.LET(_xlpm.ig, _xlfn.XLOOKUP(Clean_Data[[#This Row],[Country_Code]], Metadata_Country!$A:$A, Metadata_Country!$C:$C, "Unknown"), IF(OR(_xlpm.ig=0, _xlpm.ig=""), "Regional Aggregate", _xlpm.ig))</f>
        <v>Upper middle income</v>
      </c>
      <c r="H1901" s="4">
        <f>Clean_Data[[#This Row],[Exports_TIV]] - Clean_Data[[#This Row],[Imports_TIV]]</f>
        <v>-375000000</v>
      </c>
      <c r="I1901" s="4">
        <f>Clean_Data[[#This Row],[Exports_TIV]] + Clean_Data[[#This Row],[Imports_TIV]]</f>
        <v>375000000</v>
      </c>
    </row>
    <row r="1902" spans="1:9">
      <c r="A1902" s="4" t="s">
        <v>231</v>
      </c>
      <c r="B1902" s="4" t="s">
        <v>232</v>
      </c>
      <c r="C1902" s="5">
        <v>2013</v>
      </c>
      <c r="D1902" s="4">
        <v>44000000</v>
      </c>
      <c r="E1902" s="4">
        <v>0</v>
      </c>
      <c r="F1902" s="4" t="str">
        <f>_xlfn.LET(_xlpm.r, _xlfn.XLOOKUP(Clean_Data[[#This Row],[Country_Code]], Metadata_Country!$A:$A, Metadata_Country!$B:$B, "Unknown"), IF(OR(_xlpm.r=0, _xlpm.r=""), "Regional Aggregate", _xlpm.r))</f>
        <v>Europe &amp; Central Asia</v>
      </c>
      <c r="G1902" s="4" t="str">
        <f>_xlfn.LET(_xlpm.ig, _xlfn.XLOOKUP(Clean_Data[[#This Row],[Country_Code]], Metadata_Country!$A:$A, Metadata_Country!$C:$C, "Unknown"), IF(OR(_xlpm.ig=0, _xlpm.ig=""), "Regional Aggregate", _xlpm.ig))</f>
        <v>High income</v>
      </c>
      <c r="H1902" s="4">
        <f>Clean_Data[[#This Row],[Exports_TIV]] - Clean_Data[[#This Row],[Imports_TIV]]</f>
        <v>44000000</v>
      </c>
      <c r="I1902" s="4">
        <f>Clean_Data[[#This Row],[Exports_TIV]] + Clean_Data[[#This Row],[Imports_TIV]]</f>
        <v>44000000</v>
      </c>
    </row>
    <row r="1903" spans="1:9">
      <c r="A1903" s="4" t="s">
        <v>239</v>
      </c>
      <c r="B1903" s="4" t="s">
        <v>240</v>
      </c>
      <c r="C1903" s="5">
        <v>2013</v>
      </c>
      <c r="D1903" s="4">
        <v>414000000</v>
      </c>
      <c r="E1903" s="4">
        <v>160000000</v>
      </c>
      <c r="F1903" s="4" t="str">
        <f>_xlfn.LET(_xlpm.r, _xlfn.XLOOKUP(Clean_Data[[#This Row],[Country_Code]], Metadata_Country!$A:$A, Metadata_Country!$B:$B, "Unknown"), IF(OR(_xlpm.r=0, _xlpm.r=""), "Regional Aggregate", _xlpm.r))</f>
        <v>Middle East &amp; North Africa</v>
      </c>
      <c r="G1903" s="4" t="str">
        <f>_xlfn.LET(_xlpm.ig, _xlfn.XLOOKUP(Clean_Data[[#This Row],[Country_Code]], Metadata_Country!$A:$A, Metadata_Country!$C:$C, "Unknown"), IF(OR(_xlpm.ig=0, _xlpm.ig=""), "Regional Aggregate", _xlpm.ig))</f>
        <v>High income</v>
      </c>
      <c r="H1903" s="4">
        <f>Clean_Data[[#This Row],[Exports_TIV]] - Clean_Data[[#This Row],[Imports_TIV]]</f>
        <v>254000000</v>
      </c>
      <c r="I1903" s="4">
        <f>Clean_Data[[#This Row],[Exports_TIV]] + Clean_Data[[#This Row],[Imports_TIV]]</f>
        <v>574000000</v>
      </c>
    </row>
    <row r="1904" spans="1:9">
      <c r="A1904" s="4" t="s">
        <v>241</v>
      </c>
      <c r="B1904" s="4" t="s">
        <v>242</v>
      </c>
      <c r="C1904" s="5">
        <v>2013</v>
      </c>
      <c r="D1904" s="4">
        <v>884000000</v>
      </c>
      <c r="E1904" s="4">
        <v>71000000</v>
      </c>
      <c r="F1904" s="4" t="str">
        <f>_xlfn.LET(_xlpm.r, _xlfn.XLOOKUP(Clean_Data[[#This Row],[Country_Code]], Metadata_Country!$A:$A, Metadata_Country!$B:$B, "Unknown"), IF(OR(_xlpm.r=0, _xlpm.r=""), "Regional Aggregate", _xlpm.r))</f>
        <v>Europe &amp; Central Asia</v>
      </c>
      <c r="G1904" s="4" t="str">
        <f>_xlfn.LET(_xlpm.ig, _xlfn.XLOOKUP(Clean_Data[[#This Row],[Country_Code]], Metadata_Country!$A:$A, Metadata_Country!$C:$C, "Unknown"), IF(OR(_xlpm.ig=0, _xlpm.ig=""), "Regional Aggregate", _xlpm.ig))</f>
        <v>High income</v>
      </c>
      <c r="H1904" s="4">
        <f>Clean_Data[[#This Row],[Exports_TIV]] - Clean_Data[[#This Row],[Imports_TIV]]</f>
        <v>813000000</v>
      </c>
      <c r="I1904" s="4">
        <f>Clean_Data[[#This Row],[Exports_TIV]] + Clean_Data[[#This Row],[Imports_TIV]]</f>
        <v>955000000</v>
      </c>
    </row>
    <row r="1905" spans="1:9">
      <c r="A1905" s="4" t="s">
        <v>243</v>
      </c>
      <c r="B1905" s="4" t="s">
        <v>244</v>
      </c>
      <c r="C1905" s="5">
        <v>2013</v>
      </c>
      <c r="D1905" s="4">
        <v>0</v>
      </c>
      <c r="E1905" s="4">
        <v>1000000</v>
      </c>
      <c r="F1905" s="4" t="str">
        <f>_xlfn.LET(_xlpm.r, _xlfn.XLOOKUP(Clean_Data[[#This Row],[Country_Code]], Metadata_Country!$A:$A, Metadata_Country!$B:$B, "Unknown"), IF(OR(_xlpm.r=0, _xlpm.r=""), "Regional Aggregate", _xlpm.r))</f>
        <v>Latin America &amp; Caribbean</v>
      </c>
      <c r="G1905" s="4" t="str">
        <f>_xlfn.LET(_xlpm.ig, _xlfn.XLOOKUP(Clean_Data[[#This Row],[Country_Code]], Metadata_Country!$A:$A, Metadata_Country!$C:$C, "Unknown"), IF(OR(_xlpm.ig=0, _xlpm.ig=""), "Regional Aggregate", _xlpm.ig))</f>
        <v>Upper middle income</v>
      </c>
      <c r="H1905" s="4">
        <f>Clean_Data[[#This Row],[Exports_TIV]] - Clean_Data[[#This Row],[Imports_TIV]]</f>
        <v>-1000000</v>
      </c>
      <c r="I1905" s="4">
        <f>Clean_Data[[#This Row],[Exports_TIV]] + Clean_Data[[#This Row],[Imports_TIV]]</f>
        <v>1000000</v>
      </c>
    </row>
    <row r="1906" spans="1:9">
      <c r="A1906" s="4" t="s">
        <v>247</v>
      </c>
      <c r="B1906" s="4" t="s">
        <v>248</v>
      </c>
      <c r="C1906" s="5">
        <v>2013</v>
      </c>
      <c r="D1906" s="4">
        <v>0</v>
      </c>
      <c r="E1906" s="4">
        <v>341000000</v>
      </c>
      <c r="F1906" s="4" t="str">
        <f>_xlfn.LET(_xlpm.r, _xlfn.XLOOKUP(Clean_Data[[#This Row],[Country_Code]], Metadata_Country!$A:$A, Metadata_Country!$B:$B, "Unknown"), IF(OR(_xlpm.r=0, _xlpm.r=""), "Regional Aggregate", _xlpm.r))</f>
        <v>East Asia &amp; Pacific</v>
      </c>
      <c r="G1906" s="4" t="str">
        <f>_xlfn.LET(_xlpm.ig, _xlfn.XLOOKUP(Clean_Data[[#This Row],[Country_Code]], Metadata_Country!$A:$A, Metadata_Country!$C:$C, "Unknown"), IF(OR(_xlpm.ig=0, _xlpm.ig=""), "Regional Aggregate", _xlpm.ig))</f>
        <v>High income</v>
      </c>
      <c r="H1906" s="4">
        <f>Clean_Data[[#This Row],[Exports_TIV]] - Clean_Data[[#This Row],[Imports_TIV]]</f>
        <v>-341000000</v>
      </c>
      <c r="I1906" s="4">
        <f>Clean_Data[[#This Row],[Exports_TIV]] + Clean_Data[[#This Row],[Imports_TIV]]</f>
        <v>341000000</v>
      </c>
    </row>
    <row r="1907" spans="1:9">
      <c r="A1907" s="4" t="s">
        <v>245</v>
      </c>
      <c r="B1907" s="4" t="s">
        <v>246</v>
      </c>
      <c r="C1907" s="5">
        <v>2013</v>
      </c>
      <c r="D1907" s="4">
        <v>35000000</v>
      </c>
      <c r="E1907" s="4">
        <v>72000000</v>
      </c>
      <c r="F1907" s="4" t="str">
        <f>_xlfn.LET(_xlpm.r, _xlfn.XLOOKUP(Clean_Data[[#This Row],[Country_Code]], Metadata_Country!$A:$A, Metadata_Country!$B:$B, "Unknown"), IF(OR(_xlpm.r=0, _xlpm.r=""), "Regional Aggregate", _xlpm.r))</f>
        <v>Middle East &amp; North Africa</v>
      </c>
      <c r="G1907" s="4" t="str">
        <f>_xlfn.LET(_xlpm.ig, _xlfn.XLOOKUP(Clean_Data[[#This Row],[Country_Code]], Metadata_Country!$A:$A, Metadata_Country!$C:$C, "Unknown"), IF(OR(_xlpm.ig=0, _xlpm.ig=""), "Regional Aggregate", _xlpm.ig))</f>
        <v>Upper middle income</v>
      </c>
      <c r="H1907" s="4">
        <f>Clean_Data[[#This Row],[Exports_TIV]] - Clean_Data[[#This Row],[Imports_TIV]]</f>
        <v>-37000000</v>
      </c>
      <c r="I1907" s="4">
        <f>Clean_Data[[#This Row],[Exports_TIV]] + Clean_Data[[#This Row],[Imports_TIV]]</f>
        <v>107000000</v>
      </c>
    </row>
    <row r="1908" spans="1:9">
      <c r="A1908" s="4" t="s">
        <v>249</v>
      </c>
      <c r="B1908" s="4" t="s">
        <v>250</v>
      </c>
      <c r="C1908" s="5">
        <v>2013</v>
      </c>
      <c r="D1908" s="4">
        <v>0</v>
      </c>
      <c r="E1908" s="4">
        <v>143000000</v>
      </c>
      <c r="F1908" s="4" t="str">
        <f>_xlfn.LET(_xlpm.r, _xlfn.XLOOKUP(Clean_Data[[#This Row],[Country_Code]], Metadata_Country!$A:$A, Metadata_Country!$B:$B, "Unknown"), IF(OR(_xlpm.r=0, _xlpm.r=""), "Regional Aggregate", _xlpm.r))</f>
        <v>Europe &amp; Central Asia</v>
      </c>
      <c r="G1908" s="4" t="str">
        <f>_xlfn.LET(_xlpm.ig, _xlfn.XLOOKUP(Clean_Data[[#This Row],[Country_Code]], Metadata_Country!$A:$A, Metadata_Country!$C:$C, "Unknown"), IF(OR(_xlpm.ig=0, _xlpm.ig=""), "Regional Aggregate", _xlpm.ig))</f>
        <v>Upper middle income</v>
      </c>
      <c r="H1908" s="4">
        <f>Clean_Data[[#This Row],[Exports_TIV]] - Clean_Data[[#This Row],[Imports_TIV]]</f>
        <v>-143000000</v>
      </c>
      <c r="I1908" s="4">
        <f>Clean_Data[[#This Row],[Exports_TIV]] + Clean_Data[[#This Row],[Imports_TIV]]</f>
        <v>143000000</v>
      </c>
    </row>
    <row r="1909" spans="1:9">
      <c r="A1909" s="4" t="s">
        <v>251</v>
      </c>
      <c r="B1909" s="4" t="s">
        <v>252</v>
      </c>
      <c r="C1909" s="5">
        <v>2013</v>
      </c>
      <c r="D1909" s="4">
        <v>0</v>
      </c>
      <c r="E1909" s="4">
        <v>1000000</v>
      </c>
      <c r="F1909" s="4" t="str">
        <f>_xlfn.LET(_xlpm.r, _xlfn.XLOOKUP(Clean_Data[[#This Row],[Country_Code]], Metadata_Country!$A:$A, Metadata_Country!$B:$B, "Unknown"), IF(OR(_xlpm.r=0, _xlpm.r=""), "Regional Aggregate", _xlpm.r))</f>
        <v>Sub-Saharan Africa</v>
      </c>
      <c r="G1909" s="4" t="str">
        <f>_xlfn.LET(_xlpm.ig, _xlfn.XLOOKUP(Clean_Data[[#This Row],[Country_Code]], Metadata_Country!$A:$A, Metadata_Country!$C:$C, "Unknown"), IF(OR(_xlpm.ig=0, _xlpm.ig=""), "Regional Aggregate", _xlpm.ig))</f>
        <v>Lower middle income</v>
      </c>
      <c r="H1909" s="4">
        <f>Clean_Data[[#This Row],[Exports_TIV]] - Clean_Data[[#This Row],[Imports_TIV]]</f>
        <v>-1000000</v>
      </c>
      <c r="I1909" s="4">
        <f>Clean_Data[[#This Row],[Exports_TIV]] + Clean_Data[[#This Row],[Imports_TIV]]</f>
        <v>1000000</v>
      </c>
    </row>
    <row r="1910" spans="1:9">
      <c r="A1910" s="4" t="s">
        <v>261</v>
      </c>
      <c r="B1910" s="4" t="s">
        <v>262</v>
      </c>
      <c r="C1910" s="5">
        <v>2013</v>
      </c>
      <c r="D1910" s="4">
        <v>350000000</v>
      </c>
      <c r="E1910" s="4">
        <v>189000000</v>
      </c>
      <c r="F1910" s="4" t="str">
        <f>_xlfn.LET(_xlpm.r, _xlfn.XLOOKUP(Clean_Data[[#This Row],[Country_Code]], Metadata_Country!$A:$A, Metadata_Country!$B:$B, "Unknown"), IF(OR(_xlpm.r=0, _xlpm.r=""), "Regional Aggregate", _xlpm.r))</f>
        <v>East Asia &amp; Pacific</v>
      </c>
      <c r="G1910" s="4" t="str">
        <f>_xlfn.LET(_xlpm.ig, _xlfn.XLOOKUP(Clean_Data[[#This Row],[Country_Code]], Metadata_Country!$A:$A, Metadata_Country!$C:$C, "Unknown"), IF(OR(_xlpm.ig=0, _xlpm.ig=""), "Regional Aggregate", _xlpm.ig))</f>
        <v>High income</v>
      </c>
      <c r="H1910" s="4">
        <f>Clean_Data[[#This Row],[Exports_TIV]] - Clean_Data[[#This Row],[Imports_TIV]]</f>
        <v>161000000</v>
      </c>
      <c r="I1910" s="4">
        <f>Clean_Data[[#This Row],[Exports_TIV]] + Clean_Data[[#This Row],[Imports_TIV]]</f>
        <v>539000000</v>
      </c>
    </row>
    <row r="1911" spans="1:9">
      <c r="A1911" s="4" t="s">
        <v>263</v>
      </c>
      <c r="B1911" s="4" t="s">
        <v>264</v>
      </c>
      <c r="C1911" s="5">
        <v>2013</v>
      </c>
      <c r="D1911" s="4">
        <v>0</v>
      </c>
      <c r="E1911" s="4">
        <v>73000000</v>
      </c>
      <c r="F1911" s="4" t="str">
        <f>_xlfn.LET(_xlpm.r, _xlfn.XLOOKUP(Clean_Data[[#This Row],[Country_Code]], Metadata_Country!$A:$A, Metadata_Country!$B:$B, "Unknown"), IF(OR(_xlpm.r=0, _xlpm.r=""), "Regional Aggregate", _xlpm.r))</f>
        <v>Middle East &amp; North Africa</v>
      </c>
      <c r="G1911" s="4" t="str">
        <f>_xlfn.LET(_xlpm.ig, _xlfn.XLOOKUP(Clean_Data[[#This Row],[Country_Code]], Metadata_Country!$A:$A, Metadata_Country!$C:$C, "Unknown"), IF(OR(_xlpm.ig=0, _xlpm.ig=""), "Regional Aggregate", _xlpm.ig))</f>
        <v>High income</v>
      </c>
      <c r="H1911" s="4">
        <f>Clean_Data[[#This Row],[Exports_TIV]] - Clean_Data[[#This Row],[Imports_TIV]]</f>
        <v>-73000000</v>
      </c>
      <c r="I1911" s="4">
        <f>Clean_Data[[#This Row],[Exports_TIV]] + Clean_Data[[#This Row],[Imports_TIV]]</f>
        <v>73000000</v>
      </c>
    </row>
    <row r="1912" spans="1:9">
      <c r="A1912" s="4" t="s">
        <v>267</v>
      </c>
      <c r="B1912" s="4" t="s">
        <v>268</v>
      </c>
      <c r="C1912" s="5">
        <v>2013</v>
      </c>
      <c r="D1912" s="4">
        <v>0</v>
      </c>
      <c r="E1912" s="4">
        <v>19000000</v>
      </c>
      <c r="F1912" s="4" t="str">
        <f>_xlfn.LET(_xlpm.r, _xlfn.XLOOKUP(Clean_Data[[#This Row],[Country_Code]], Metadata_Country!$A:$A, Metadata_Country!$B:$B, "Unknown"), IF(OR(_xlpm.r=0, _xlpm.r=""), "Regional Aggregate", _xlpm.r))</f>
        <v>East Asia &amp; Pacific</v>
      </c>
      <c r="G1912" s="4" t="str">
        <f>_xlfn.LET(_xlpm.ig, _xlfn.XLOOKUP(Clean_Data[[#This Row],[Country_Code]], Metadata_Country!$A:$A, Metadata_Country!$C:$C, "Unknown"), IF(OR(_xlpm.ig=0, _xlpm.ig=""), "Regional Aggregate", _xlpm.ig))</f>
        <v>Lower middle income</v>
      </c>
      <c r="H1912" s="4">
        <f>Clean_Data[[#This Row],[Exports_TIV]] - Clean_Data[[#This Row],[Imports_TIV]]</f>
        <v>-19000000</v>
      </c>
      <c r="I1912" s="4">
        <f>Clean_Data[[#This Row],[Exports_TIV]] + Clean_Data[[#This Row],[Imports_TIV]]</f>
        <v>19000000</v>
      </c>
    </row>
    <row r="1913" spans="1:9">
      <c r="A1913" s="4" t="s">
        <v>293</v>
      </c>
      <c r="B1913" s="4" t="s">
        <v>294</v>
      </c>
      <c r="C1913" s="5">
        <v>2013</v>
      </c>
      <c r="D1913" s="4">
        <v>10566000000</v>
      </c>
      <c r="E1913" s="4">
        <v>6627000000</v>
      </c>
      <c r="F1913" s="4" t="str">
        <f>_xlfn.LET(_xlpm.r, _xlfn.XLOOKUP(Clean_Data[[#This Row],[Country_Code]], Metadata_Country!$A:$A, Metadata_Country!$B:$B, "Unknown"), IF(OR(_xlpm.r=0, _xlpm.r=""), "Regional Aggregate", _xlpm.r))</f>
        <v>Regional Aggregate</v>
      </c>
      <c r="G1913" s="4" t="str">
        <f>_xlfn.LET(_xlpm.ig, _xlfn.XLOOKUP(Clean_Data[[#This Row],[Country_Code]], Metadata_Country!$A:$A, Metadata_Country!$C:$C, "Unknown"), IF(OR(_xlpm.ig=0, _xlpm.ig=""), "Regional Aggregate", _xlpm.ig))</f>
        <v>Regional Aggregate</v>
      </c>
      <c r="H1913" s="4">
        <f>Clean_Data[[#This Row],[Exports_TIV]] - Clean_Data[[#This Row],[Imports_TIV]]</f>
        <v>3939000000</v>
      </c>
      <c r="I1913" s="4">
        <f>Clean_Data[[#This Row],[Exports_TIV]] + Clean_Data[[#This Row],[Imports_TIV]]</f>
        <v>17193000000</v>
      </c>
    </row>
    <row r="1914" spans="1:9">
      <c r="A1914" s="4" t="s">
        <v>277</v>
      </c>
      <c r="B1914" s="4" t="s">
        <v>278</v>
      </c>
      <c r="C1914" s="5">
        <v>2013</v>
      </c>
      <c r="D1914" s="4">
        <v>0</v>
      </c>
      <c r="E1914" s="4">
        <v>1576000000</v>
      </c>
      <c r="F1914" s="4" t="str">
        <f>_xlfn.LET(_xlpm.r, _xlfn.XLOOKUP(Clean_Data[[#This Row],[Country_Code]], Metadata_Country!$A:$A, Metadata_Country!$B:$B, "Unknown"), IF(OR(_xlpm.r=0, _xlpm.r=""), "Regional Aggregate", _xlpm.r))</f>
        <v>Regional Aggregate</v>
      </c>
      <c r="G1914" s="4" t="str">
        <f>_xlfn.LET(_xlpm.ig, _xlfn.XLOOKUP(Clean_Data[[#This Row],[Country_Code]], Metadata_Country!$A:$A, Metadata_Country!$C:$C, "Unknown"), IF(OR(_xlpm.ig=0, _xlpm.ig=""), "Regional Aggregate", _xlpm.ig))</f>
        <v>Regional Aggregate</v>
      </c>
      <c r="H1914" s="4">
        <f>Clean_Data[[#This Row],[Exports_TIV]] - Clean_Data[[#This Row],[Imports_TIV]]</f>
        <v>-1576000000</v>
      </c>
      <c r="I1914" s="4">
        <f>Clean_Data[[#This Row],[Exports_TIV]] + Clean_Data[[#This Row],[Imports_TIV]]</f>
        <v>1576000000</v>
      </c>
    </row>
    <row r="1915" spans="1:9">
      <c r="A1915" s="4" t="s">
        <v>265</v>
      </c>
      <c r="B1915" s="4" t="s">
        <v>266</v>
      </c>
      <c r="C1915" s="5">
        <v>2013</v>
      </c>
      <c r="D1915" s="4">
        <v>0</v>
      </c>
      <c r="E1915" s="4">
        <v>1518000000</v>
      </c>
      <c r="F1915" s="4" t="str">
        <f>_xlfn.LET(_xlpm.r, _xlfn.XLOOKUP(Clean_Data[[#This Row],[Country_Code]], Metadata_Country!$A:$A, Metadata_Country!$B:$B, "Unknown"), IF(OR(_xlpm.r=0, _xlpm.r=""), "Regional Aggregate", _xlpm.r))</f>
        <v>Regional Aggregate</v>
      </c>
      <c r="G1915" s="4" t="str">
        <f>_xlfn.LET(_xlpm.ig, _xlfn.XLOOKUP(Clean_Data[[#This Row],[Country_Code]], Metadata_Country!$A:$A, Metadata_Country!$C:$C, "Unknown"), IF(OR(_xlpm.ig=0, _xlpm.ig=""), "Regional Aggregate", _xlpm.ig))</f>
        <v>Regional Aggregate</v>
      </c>
      <c r="H1915" s="4">
        <f>Clean_Data[[#This Row],[Exports_TIV]] - Clean_Data[[#This Row],[Imports_TIV]]</f>
        <v>-1518000000</v>
      </c>
      <c r="I1915" s="4">
        <f>Clean_Data[[#This Row],[Exports_TIV]] + Clean_Data[[#This Row],[Imports_TIV]]</f>
        <v>1518000000</v>
      </c>
    </row>
    <row r="1916" spans="1:9">
      <c r="A1916" s="4" t="s">
        <v>481</v>
      </c>
      <c r="B1916" s="4" t="s">
        <v>482</v>
      </c>
      <c r="C1916" s="5">
        <v>2013</v>
      </c>
      <c r="D1916" s="4">
        <v>0</v>
      </c>
      <c r="E1916" s="4">
        <v>1576000000</v>
      </c>
      <c r="F1916" s="4" t="str">
        <f>_xlfn.LET(_xlpm.r, _xlfn.XLOOKUP(Clean_Data[[#This Row],[Country_Code]], Metadata_Country!$A:$A, Metadata_Country!$B:$B, "Unknown"), IF(OR(_xlpm.r=0, _xlpm.r=""), "Regional Aggregate", _xlpm.r))</f>
        <v>Regional Aggregate</v>
      </c>
      <c r="G1916" s="4" t="str">
        <f>_xlfn.LET(_xlpm.ig, _xlfn.XLOOKUP(Clean_Data[[#This Row],[Country_Code]], Metadata_Country!$A:$A, Metadata_Country!$C:$C, "Unknown"), IF(OR(_xlpm.ig=0, _xlpm.ig=""), "Regional Aggregate", _xlpm.ig))</f>
        <v>Regional Aggregate</v>
      </c>
      <c r="H1916" s="4">
        <f>Clean_Data[[#This Row],[Exports_TIV]] - Clean_Data[[#This Row],[Imports_TIV]]</f>
        <v>-1576000000</v>
      </c>
      <c r="I1916" s="4">
        <f>Clean_Data[[#This Row],[Exports_TIV]] + Clean_Data[[#This Row],[Imports_TIV]]</f>
        <v>1576000000</v>
      </c>
    </row>
    <row r="1917" spans="1:9">
      <c r="A1917" s="4" t="s">
        <v>299</v>
      </c>
      <c r="B1917" s="4" t="s">
        <v>300</v>
      </c>
      <c r="C1917" s="5">
        <v>2013</v>
      </c>
      <c r="D1917" s="4">
        <v>0</v>
      </c>
      <c r="E1917" s="4">
        <v>5000000</v>
      </c>
      <c r="F1917" s="4" t="str">
        <f>_xlfn.LET(_xlpm.r, _xlfn.XLOOKUP(Clean_Data[[#This Row],[Country_Code]], Metadata_Country!$A:$A, Metadata_Country!$B:$B, "Unknown"), IF(OR(_xlpm.r=0, _xlpm.r=""), "Regional Aggregate", _xlpm.r))</f>
        <v>Europe &amp; Central Asia</v>
      </c>
      <c r="G1917" s="4" t="str">
        <f>_xlfn.LET(_xlpm.ig, _xlfn.XLOOKUP(Clean_Data[[#This Row],[Country_Code]], Metadata_Country!$A:$A, Metadata_Country!$C:$C, "Unknown"), IF(OR(_xlpm.ig=0, _xlpm.ig=""), "Regional Aggregate", _xlpm.ig))</f>
        <v>High income</v>
      </c>
      <c r="H1917" s="4">
        <f>Clean_Data[[#This Row],[Exports_TIV]] - Clean_Data[[#This Row],[Imports_TIV]]</f>
        <v>-5000000</v>
      </c>
      <c r="I1917" s="4">
        <f>Clean_Data[[#This Row],[Exports_TIV]] + Clean_Data[[#This Row],[Imports_TIV]]</f>
        <v>5000000</v>
      </c>
    </row>
    <row r="1918" spans="1:9">
      <c r="A1918" s="4" t="s">
        <v>279</v>
      </c>
      <c r="B1918" s="4" t="s">
        <v>280</v>
      </c>
      <c r="C1918" s="5">
        <v>2013</v>
      </c>
      <c r="D1918" s="4">
        <v>0</v>
      </c>
      <c r="E1918" s="4">
        <v>1884000000</v>
      </c>
      <c r="F1918" s="4" t="str">
        <f>_xlfn.LET(_xlpm.r, _xlfn.XLOOKUP(Clean_Data[[#This Row],[Country_Code]], Metadata_Country!$A:$A, Metadata_Country!$B:$B, "Unknown"), IF(OR(_xlpm.r=0, _xlpm.r=""), "Regional Aggregate", _xlpm.r))</f>
        <v>Regional Aggregate</v>
      </c>
      <c r="G1918" s="4" t="str">
        <f>_xlfn.LET(_xlpm.ig, _xlfn.XLOOKUP(Clean_Data[[#This Row],[Country_Code]], Metadata_Country!$A:$A, Metadata_Country!$C:$C, "Unknown"), IF(OR(_xlpm.ig=0, _xlpm.ig=""), "Regional Aggregate", _xlpm.ig))</f>
        <v>Regional Aggregate</v>
      </c>
      <c r="H1918" s="4">
        <f>Clean_Data[[#This Row],[Exports_TIV]] - Clean_Data[[#This Row],[Imports_TIV]]</f>
        <v>-1884000000</v>
      </c>
      <c r="I1918" s="4">
        <f>Clean_Data[[#This Row],[Exports_TIV]] + Clean_Data[[#This Row],[Imports_TIV]]</f>
        <v>1884000000</v>
      </c>
    </row>
    <row r="1919" spans="1:9">
      <c r="A1919" s="4" t="s">
        <v>269</v>
      </c>
      <c r="B1919" s="4" t="s">
        <v>270</v>
      </c>
      <c r="C1919" s="5">
        <v>2013</v>
      </c>
      <c r="D1919" s="4">
        <v>0</v>
      </c>
      <c r="E1919" s="4">
        <v>27000000</v>
      </c>
      <c r="F1919" s="4" t="str">
        <f>_xlfn.LET(_xlpm.r, _xlfn.XLOOKUP(Clean_Data[[#This Row],[Country_Code]], Metadata_Country!$A:$A, Metadata_Country!$B:$B, "Unknown"), IF(OR(_xlpm.r=0, _xlpm.r=""), "Regional Aggregate", _xlpm.r))</f>
        <v>Middle East &amp; North Africa</v>
      </c>
      <c r="G1919" s="4" t="str">
        <f>_xlfn.LET(_xlpm.ig, _xlfn.XLOOKUP(Clean_Data[[#This Row],[Country_Code]], Metadata_Country!$A:$A, Metadata_Country!$C:$C, "Unknown"), IF(OR(_xlpm.ig=0, _xlpm.ig=""), "Regional Aggregate", _xlpm.ig))</f>
        <v>Lower middle income</v>
      </c>
      <c r="H1919" s="4">
        <f>Clean_Data[[#This Row],[Exports_TIV]] - Clean_Data[[#This Row],[Imports_TIV]]</f>
        <v>-27000000</v>
      </c>
      <c r="I1919" s="4">
        <f>Clean_Data[[#This Row],[Exports_TIV]] + Clean_Data[[#This Row],[Imports_TIV]]</f>
        <v>27000000</v>
      </c>
    </row>
    <row r="1920" spans="1:9">
      <c r="A1920" s="4" t="s">
        <v>273</v>
      </c>
      <c r="B1920" s="4" t="s">
        <v>274</v>
      </c>
      <c r="C1920" s="5">
        <v>2013</v>
      </c>
      <c r="D1920" s="4">
        <v>0</v>
      </c>
      <c r="E1920" s="4">
        <v>119000000</v>
      </c>
      <c r="F1920" s="4" t="str">
        <f>_xlfn.LET(_xlpm.r, _xlfn.XLOOKUP(Clean_Data[[#This Row],[Country_Code]], Metadata_Country!$A:$A, Metadata_Country!$B:$B, "Unknown"), IF(OR(_xlpm.r=0, _xlpm.r=""), "Regional Aggregate", _xlpm.r))</f>
        <v>Middle East &amp; North Africa</v>
      </c>
      <c r="G1920" s="4" t="str">
        <f>_xlfn.LET(_xlpm.ig, _xlfn.XLOOKUP(Clean_Data[[#This Row],[Country_Code]], Metadata_Country!$A:$A, Metadata_Country!$C:$C, "Unknown"), IF(OR(_xlpm.ig=0, _xlpm.ig=""), "Regional Aggregate", _xlpm.ig))</f>
        <v>Upper middle income</v>
      </c>
      <c r="H1920" s="4">
        <f>Clean_Data[[#This Row],[Exports_TIV]] - Clean_Data[[#This Row],[Imports_TIV]]</f>
        <v>-119000000</v>
      </c>
      <c r="I1920" s="4">
        <f>Clean_Data[[#This Row],[Exports_TIV]] + Clean_Data[[#This Row],[Imports_TIV]]</f>
        <v>119000000</v>
      </c>
    </row>
    <row r="1921" spans="1:9">
      <c r="A1921" s="4" t="s">
        <v>295</v>
      </c>
      <c r="B1921" s="4" t="s">
        <v>296</v>
      </c>
      <c r="C1921" s="5">
        <v>2013</v>
      </c>
      <c r="D1921" s="4">
        <v>0</v>
      </c>
      <c r="E1921" s="4">
        <v>73000000</v>
      </c>
      <c r="F1921" s="4" t="str">
        <f>_xlfn.LET(_xlpm.r, _xlfn.XLOOKUP(Clean_Data[[#This Row],[Country_Code]], Metadata_Country!$A:$A, Metadata_Country!$B:$B, "Unknown"), IF(OR(_xlpm.r=0, _xlpm.r=""), "Regional Aggregate", _xlpm.r))</f>
        <v>Europe &amp; Central Asia</v>
      </c>
      <c r="G1921" s="4" t="str">
        <f>_xlfn.LET(_xlpm.ig, _xlfn.XLOOKUP(Clean_Data[[#This Row],[Country_Code]], Metadata_Country!$A:$A, Metadata_Country!$C:$C, "Unknown"), IF(OR(_xlpm.ig=0, _xlpm.ig=""), "Regional Aggregate", _xlpm.ig))</f>
        <v>High income</v>
      </c>
      <c r="H1921" s="4">
        <f>Clean_Data[[#This Row],[Exports_TIV]] - Clean_Data[[#This Row],[Imports_TIV]]</f>
        <v>-73000000</v>
      </c>
      <c r="I1921" s="4">
        <f>Clean_Data[[#This Row],[Exports_TIV]] + Clean_Data[[#This Row],[Imports_TIV]]</f>
        <v>73000000</v>
      </c>
    </row>
    <row r="1922" spans="1:9">
      <c r="A1922" s="4" t="s">
        <v>289</v>
      </c>
      <c r="B1922" s="4" t="s">
        <v>290</v>
      </c>
      <c r="C1922" s="5">
        <v>2013</v>
      </c>
      <c r="D1922" s="4">
        <v>0</v>
      </c>
      <c r="E1922" s="4">
        <v>16894000000</v>
      </c>
      <c r="F1922" s="4" t="str">
        <f>_xlfn.LET(_xlpm.r, _xlfn.XLOOKUP(Clean_Data[[#This Row],[Country_Code]], Metadata_Country!$A:$A, Metadata_Country!$B:$B, "Unknown"), IF(OR(_xlpm.r=0, _xlpm.r=""), "Regional Aggregate", _xlpm.r))</f>
        <v>Regional Aggregate</v>
      </c>
      <c r="G1922" s="4" t="str">
        <f>_xlfn.LET(_xlpm.ig, _xlfn.XLOOKUP(Clean_Data[[#This Row],[Country_Code]], Metadata_Country!$A:$A, Metadata_Country!$C:$C, "Unknown"), IF(OR(_xlpm.ig=0, _xlpm.ig=""), "Regional Aggregate", _xlpm.ig))</f>
        <v>Regional Aggregate</v>
      </c>
      <c r="H1922" s="4">
        <f>Clean_Data[[#This Row],[Exports_TIV]] - Clean_Data[[#This Row],[Imports_TIV]]</f>
        <v>-16894000000</v>
      </c>
      <c r="I1922" s="4">
        <f>Clean_Data[[#This Row],[Exports_TIV]] + Clean_Data[[#This Row],[Imports_TIV]]</f>
        <v>16894000000</v>
      </c>
    </row>
    <row r="1923" spans="1:9">
      <c r="A1923" s="4" t="s">
        <v>281</v>
      </c>
      <c r="B1923" s="4" t="s">
        <v>282</v>
      </c>
      <c r="C1923" s="5">
        <v>2013</v>
      </c>
      <c r="D1923" s="4">
        <v>0</v>
      </c>
      <c r="E1923" s="4">
        <v>1226000000</v>
      </c>
      <c r="F1923" s="4" t="str">
        <f>_xlfn.LET(_xlpm.r, _xlfn.XLOOKUP(Clean_Data[[#This Row],[Country_Code]], Metadata_Country!$A:$A, Metadata_Country!$B:$B, "Unknown"), IF(OR(_xlpm.r=0, _xlpm.r=""), "Regional Aggregate", _xlpm.r))</f>
        <v>Regional Aggregate</v>
      </c>
      <c r="G1923" s="4" t="str">
        <f>_xlfn.LET(_xlpm.ig, _xlfn.XLOOKUP(Clean_Data[[#This Row],[Country_Code]], Metadata_Country!$A:$A, Metadata_Country!$C:$C, "Unknown"), IF(OR(_xlpm.ig=0, _xlpm.ig=""), "Regional Aggregate", _xlpm.ig))</f>
        <v>Regional Aggregate</v>
      </c>
      <c r="H1923" s="4">
        <f>Clean_Data[[#This Row],[Exports_TIV]] - Clean_Data[[#This Row],[Imports_TIV]]</f>
        <v>-1226000000</v>
      </c>
      <c r="I1923" s="4">
        <f>Clean_Data[[#This Row],[Exports_TIV]] + Clean_Data[[#This Row],[Imports_TIV]]</f>
        <v>1226000000</v>
      </c>
    </row>
    <row r="1924" spans="1:9">
      <c r="A1924" s="4" t="s">
        <v>287</v>
      </c>
      <c r="B1924" s="4" t="s">
        <v>288</v>
      </c>
      <c r="C1924" s="5">
        <v>2013</v>
      </c>
      <c r="D1924" s="4">
        <v>0</v>
      </c>
      <c r="E1924" s="4">
        <v>9715000000</v>
      </c>
      <c r="F1924" s="4" t="str">
        <f>_xlfn.LET(_xlpm.r, _xlfn.XLOOKUP(Clean_Data[[#This Row],[Country_Code]], Metadata_Country!$A:$A, Metadata_Country!$B:$B, "Unknown"), IF(OR(_xlpm.r=0, _xlpm.r=""), "Regional Aggregate", _xlpm.r))</f>
        <v>Regional Aggregate</v>
      </c>
      <c r="G1924" s="4" t="str">
        <f>_xlfn.LET(_xlpm.ig, _xlfn.XLOOKUP(Clean_Data[[#This Row],[Country_Code]], Metadata_Country!$A:$A, Metadata_Country!$C:$C, "Unknown"), IF(OR(_xlpm.ig=0, _xlpm.ig=""), "Regional Aggregate", _xlpm.ig))</f>
        <v>Regional Aggregate</v>
      </c>
      <c r="H1924" s="4">
        <f>Clean_Data[[#This Row],[Exports_TIV]] - Clean_Data[[#This Row],[Imports_TIV]]</f>
        <v>-9715000000</v>
      </c>
      <c r="I1924" s="4">
        <f>Clean_Data[[#This Row],[Exports_TIV]] + Clean_Data[[#This Row],[Imports_TIV]]</f>
        <v>9715000000</v>
      </c>
    </row>
    <row r="1925" spans="1:9">
      <c r="A1925" s="4" t="s">
        <v>345</v>
      </c>
      <c r="B1925" s="4" t="s">
        <v>346</v>
      </c>
      <c r="C1925" s="5">
        <v>2013</v>
      </c>
      <c r="D1925" s="4">
        <v>0</v>
      </c>
      <c r="E1925" s="4">
        <v>3000000</v>
      </c>
      <c r="F1925" s="4" t="str">
        <f>_xlfn.LET(_xlpm.r, _xlfn.XLOOKUP(Clean_Data[[#This Row],[Country_Code]], Metadata_Country!$A:$A, Metadata_Country!$B:$B, "Unknown"), IF(OR(_xlpm.r=0, _xlpm.r=""), "Regional Aggregate", _xlpm.r))</f>
        <v>Sub-Saharan Africa</v>
      </c>
      <c r="G1925" s="4" t="str">
        <f>_xlfn.LET(_xlpm.ig, _xlfn.XLOOKUP(Clean_Data[[#This Row],[Country_Code]], Metadata_Country!$A:$A, Metadata_Country!$C:$C, "Unknown"), IF(OR(_xlpm.ig=0, _xlpm.ig=""), "Regional Aggregate", _xlpm.ig))</f>
        <v>Low income</v>
      </c>
      <c r="H1925" s="4">
        <f>Clean_Data[[#This Row],[Exports_TIV]] - Clean_Data[[#This Row],[Imports_TIV]]</f>
        <v>-3000000</v>
      </c>
      <c r="I1925" s="4">
        <f>Clean_Data[[#This Row],[Exports_TIV]] + Clean_Data[[#This Row],[Imports_TIV]]</f>
        <v>3000000</v>
      </c>
    </row>
    <row r="1926" spans="1:9">
      <c r="A1926" s="4" t="s">
        <v>347</v>
      </c>
      <c r="B1926" s="4" t="s">
        <v>348</v>
      </c>
      <c r="C1926" s="5">
        <v>2013</v>
      </c>
      <c r="D1926" s="4">
        <v>15000000</v>
      </c>
      <c r="E1926" s="4">
        <v>82000000</v>
      </c>
      <c r="F1926" s="4" t="str">
        <f>_xlfn.LET(_xlpm.r, _xlfn.XLOOKUP(Clean_Data[[#This Row],[Country_Code]], Metadata_Country!$A:$A, Metadata_Country!$B:$B, "Unknown"), IF(OR(_xlpm.r=0, _xlpm.r=""), "Regional Aggregate", _xlpm.r))</f>
        <v>East Asia &amp; Pacific</v>
      </c>
      <c r="G1926" s="4" t="str">
        <f>_xlfn.LET(_xlpm.ig, _xlfn.XLOOKUP(Clean_Data[[#This Row],[Country_Code]], Metadata_Country!$A:$A, Metadata_Country!$C:$C, "Unknown"), IF(OR(_xlpm.ig=0, _xlpm.ig=""), "Regional Aggregate", _xlpm.ig))</f>
        <v>Upper middle income</v>
      </c>
      <c r="H1926" s="4">
        <f>Clean_Data[[#This Row],[Exports_TIV]] - Clean_Data[[#This Row],[Imports_TIV]]</f>
        <v>-67000000</v>
      </c>
      <c r="I1926" s="4">
        <f>Clean_Data[[#This Row],[Exports_TIV]] + Clean_Data[[#This Row],[Imports_TIV]]</f>
        <v>97000000</v>
      </c>
    </row>
    <row r="1927" spans="1:9">
      <c r="A1927" s="4" t="s">
        <v>313</v>
      </c>
      <c r="B1927" s="4" t="s">
        <v>314</v>
      </c>
      <c r="C1927" s="5">
        <v>2013</v>
      </c>
      <c r="D1927" s="4">
        <v>0</v>
      </c>
      <c r="E1927" s="4">
        <v>5000000</v>
      </c>
      <c r="F1927" s="4" t="str">
        <f>_xlfn.LET(_xlpm.r, _xlfn.XLOOKUP(Clean_Data[[#This Row],[Country_Code]], Metadata_Country!$A:$A, Metadata_Country!$B:$B, "Unknown"), IF(OR(_xlpm.r=0, _xlpm.r=""), "Regional Aggregate", _xlpm.r))</f>
        <v>South Asia</v>
      </c>
      <c r="G1927" s="4" t="str">
        <f>_xlfn.LET(_xlpm.ig, _xlfn.XLOOKUP(Clean_Data[[#This Row],[Country_Code]], Metadata_Country!$A:$A, Metadata_Country!$C:$C, "Unknown"), IF(OR(_xlpm.ig=0, _xlpm.ig=""), "Regional Aggregate", _xlpm.ig))</f>
        <v>Upper middle income</v>
      </c>
      <c r="H1927" s="4">
        <f>Clean_Data[[#This Row],[Exports_TIV]] - Clean_Data[[#This Row],[Imports_TIV]]</f>
        <v>-5000000</v>
      </c>
      <c r="I1927" s="4">
        <f>Clean_Data[[#This Row],[Exports_TIV]] + Clean_Data[[#This Row],[Imports_TIV]]</f>
        <v>5000000</v>
      </c>
    </row>
    <row r="1928" spans="1:9">
      <c r="A1928" s="4" t="s">
        <v>325</v>
      </c>
      <c r="B1928" s="4" t="s">
        <v>326</v>
      </c>
      <c r="C1928" s="5">
        <v>2013</v>
      </c>
      <c r="D1928" s="4">
        <v>0</v>
      </c>
      <c r="E1928" s="4">
        <v>7000000</v>
      </c>
      <c r="F1928" s="4" t="str">
        <f>_xlfn.LET(_xlpm.r, _xlfn.XLOOKUP(Clean_Data[[#This Row],[Country_Code]], Metadata_Country!$A:$A, Metadata_Country!$B:$B, "Unknown"), IF(OR(_xlpm.r=0, _xlpm.r=""), "Regional Aggregate", _xlpm.r))</f>
        <v>Sub-Saharan Africa</v>
      </c>
      <c r="G1928" s="4" t="str">
        <f>_xlfn.LET(_xlpm.ig, _xlfn.XLOOKUP(Clean_Data[[#This Row],[Country_Code]], Metadata_Country!$A:$A, Metadata_Country!$C:$C, "Unknown"), IF(OR(_xlpm.ig=0, _xlpm.ig=""), "Regional Aggregate", _xlpm.ig))</f>
        <v>Low income</v>
      </c>
      <c r="H1928" s="4">
        <f>Clean_Data[[#This Row],[Exports_TIV]] - Clean_Data[[#This Row],[Imports_TIV]]</f>
        <v>-7000000</v>
      </c>
      <c r="I1928" s="4">
        <f>Clean_Data[[#This Row],[Exports_TIV]] + Clean_Data[[#This Row],[Imports_TIV]]</f>
        <v>7000000</v>
      </c>
    </row>
    <row r="1929" spans="1:9">
      <c r="A1929" s="4" t="s">
        <v>317</v>
      </c>
      <c r="B1929" s="4" t="s">
        <v>318</v>
      </c>
      <c r="C1929" s="5">
        <v>2013</v>
      </c>
      <c r="D1929" s="4">
        <v>0</v>
      </c>
      <c r="E1929" s="4">
        <v>52000000</v>
      </c>
      <c r="F1929" s="4" t="str">
        <f>_xlfn.LET(_xlpm.r, _xlfn.XLOOKUP(Clean_Data[[#This Row],[Country_Code]], Metadata_Country!$A:$A, Metadata_Country!$B:$B, "Unknown"), IF(OR(_xlpm.r=0, _xlpm.r=""), "Regional Aggregate", _xlpm.r))</f>
        <v>Latin America &amp; Caribbean</v>
      </c>
      <c r="G1929" s="4" t="str">
        <f>_xlfn.LET(_xlpm.ig, _xlfn.XLOOKUP(Clean_Data[[#This Row],[Country_Code]], Metadata_Country!$A:$A, Metadata_Country!$C:$C, "Unknown"), IF(OR(_xlpm.ig=0, _xlpm.ig=""), "Regional Aggregate", _xlpm.ig))</f>
        <v>Upper middle income</v>
      </c>
      <c r="H1929" s="4">
        <f>Clean_Data[[#This Row],[Exports_TIV]] - Clean_Data[[#This Row],[Imports_TIV]]</f>
        <v>-52000000</v>
      </c>
      <c r="I1929" s="4">
        <f>Clean_Data[[#This Row],[Exports_TIV]] + Clean_Data[[#This Row],[Imports_TIV]]</f>
        <v>52000000</v>
      </c>
    </row>
    <row r="1930" spans="1:9">
      <c r="A1930" s="4" t="s">
        <v>315</v>
      </c>
      <c r="B1930" s="4" t="s">
        <v>316</v>
      </c>
      <c r="C1930" s="5">
        <v>2013</v>
      </c>
      <c r="D1930" s="4">
        <v>0</v>
      </c>
      <c r="E1930" s="4">
        <v>8566000000</v>
      </c>
      <c r="F1930" s="4" t="str">
        <f>_xlfn.LET(_xlpm.r, _xlfn.XLOOKUP(Clean_Data[[#This Row],[Country_Code]], Metadata_Country!$A:$A, Metadata_Country!$B:$B, "Unknown"), IF(OR(_xlpm.r=0, _xlpm.r=""), "Regional Aggregate", _xlpm.r))</f>
        <v>Regional Aggregate</v>
      </c>
      <c r="G1930" s="4" t="str">
        <f>_xlfn.LET(_xlpm.ig, _xlfn.XLOOKUP(Clean_Data[[#This Row],[Country_Code]], Metadata_Country!$A:$A, Metadata_Country!$C:$C, "Unknown"), IF(OR(_xlpm.ig=0, _xlpm.ig=""), "Regional Aggregate", _xlpm.ig))</f>
        <v>Regional Aggregate</v>
      </c>
      <c r="H1930" s="4">
        <f>Clean_Data[[#This Row],[Exports_TIV]] - Clean_Data[[#This Row],[Imports_TIV]]</f>
        <v>-8566000000</v>
      </c>
      <c r="I1930" s="4">
        <f>Clean_Data[[#This Row],[Exports_TIV]] + Clean_Data[[#This Row],[Imports_TIV]]</f>
        <v>8566000000</v>
      </c>
    </row>
    <row r="1931" spans="1:9">
      <c r="A1931" s="4" t="s">
        <v>331</v>
      </c>
      <c r="B1931" s="4" t="s">
        <v>332</v>
      </c>
      <c r="C1931" s="5">
        <v>2013</v>
      </c>
      <c r="D1931" s="4">
        <v>0</v>
      </c>
      <c r="E1931" s="4">
        <v>3680000000</v>
      </c>
      <c r="F1931" s="4" t="str">
        <f>_xlfn.LET(_xlpm.r, _xlfn.XLOOKUP(Clean_Data[[#This Row],[Country_Code]], Metadata_Country!$A:$A, Metadata_Country!$B:$B, "Unknown"), IF(OR(_xlpm.r=0, _xlpm.r=""), "Regional Aggregate", _xlpm.r))</f>
        <v>Regional Aggregate</v>
      </c>
      <c r="G1931" s="4" t="str">
        <f>_xlfn.LET(_xlpm.ig, _xlfn.XLOOKUP(Clean_Data[[#This Row],[Country_Code]], Metadata_Country!$A:$A, Metadata_Country!$C:$C, "Unknown"), IF(OR(_xlpm.ig=0, _xlpm.ig=""), "Regional Aggregate", _xlpm.ig))</f>
        <v>Regional Aggregate</v>
      </c>
      <c r="H1931" s="4">
        <f>Clean_Data[[#This Row],[Exports_TIV]] - Clean_Data[[#This Row],[Imports_TIV]]</f>
        <v>-3680000000</v>
      </c>
      <c r="I1931" s="4">
        <f>Clean_Data[[#This Row],[Exports_TIV]] + Clean_Data[[#This Row],[Imports_TIV]]</f>
        <v>3680000000</v>
      </c>
    </row>
    <row r="1932" spans="1:9">
      <c r="A1932" s="4" t="s">
        <v>485</v>
      </c>
      <c r="B1932" s="4" t="s">
        <v>486</v>
      </c>
      <c r="C1932" s="5">
        <v>2013</v>
      </c>
      <c r="D1932" s="4">
        <v>0</v>
      </c>
      <c r="E1932" s="4">
        <v>3680000000</v>
      </c>
      <c r="F1932" s="4" t="str">
        <f>_xlfn.LET(_xlpm.r, _xlfn.XLOOKUP(Clean_Data[[#This Row],[Country_Code]], Metadata_Country!$A:$A, Metadata_Country!$B:$B, "Unknown"), IF(OR(_xlpm.r=0, _xlpm.r=""), "Regional Aggregate", _xlpm.r))</f>
        <v>Regional Aggregate</v>
      </c>
      <c r="G1932" s="4" t="str">
        <f>_xlfn.LET(_xlpm.ig, _xlfn.XLOOKUP(Clean_Data[[#This Row],[Country_Code]], Metadata_Country!$A:$A, Metadata_Country!$C:$C, "Unknown"), IF(OR(_xlpm.ig=0, _xlpm.ig=""), "Regional Aggregate", _xlpm.ig))</f>
        <v>Regional Aggregate</v>
      </c>
      <c r="H1932" s="4">
        <f>Clean_Data[[#This Row],[Exports_TIV]] - Clean_Data[[#This Row],[Imports_TIV]]</f>
        <v>-3680000000</v>
      </c>
      <c r="I1932" s="4">
        <f>Clean_Data[[#This Row],[Exports_TIV]] + Clean_Data[[#This Row],[Imports_TIV]]</f>
        <v>3680000000</v>
      </c>
    </row>
    <row r="1933" spans="1:9">
      <c r="A1933" s="4" t="s">
        <v>321</v>
      </c>
      <c r="B1933" s="4" t="s">
        <v>322</v>
      </c>
      <c r="C1933" s="5">
        <v>2013</v>
      </c>
      <c r="D1933" s="4">
        <v>0</v>
      </c>
      <c r="E1933" s="4">
        <v>15668000000</v>
      </c>
      <c r="F1933" s="4" t="str">
        <f>_xlfn.LET(_xlpm.r, _xlfn.XLOOKUP(Clean_Data[[#This Row],[Country_Code]], Metadata_Country!$A:$A, Metadata_Country!$B:$B, "Unknown"), IF(OR(_xlpm.r=0, _xlpm.r=""), "Regional Aggregate", _xlpm.r))</f>
        <v>Regional Aggregate</v>
      </c>
      <c r="G1933" s="4" t="str">
        <f>_xlfn.LET(_xlpm.ig, _xlfn.XLOOKUP(Clean_Data[[#This Row],[Country_Code]], Metadata_Country!$A:$A, Metadata_Country!$C:$C, "Unknown"), IF(OR(_xlpm.ig=0, _xlpm.ig=""), "Regional Aggregate", _xlpm.ig))</f>
        <v>Regional Aggregate</v>
      </c>
      <c r="H1933" s="4">
        <f>Clean_Data[[#This Row],[Exports_TIV]] - Clean_Data[[#This Row],[Imports_TIV]]</f>
        <v>-15668000000</v>
      </c>
      <c r="I1933" s="4">
        <f>Clean_Data[[#This Row],[Exports_TIV]] + Clean_Data[[#This Row],[Imports_TIV]]</f>
        <v>15668000000</v>
      </c>
    </row>
    <row r="1934" spans="1:9">
      <c r="A1934" s="4" t="s">
        <v>305</v>
      </c>
      <c r="B1934" s="4" t="s">
        <v>306</v>
      </c>
      <c r="C1934" s="5">
        <v>2013</v>
      </c>
      <c r="D1934" s="4">
        <v>0</v>
      </c>
      <c r="E1934" s="4">
        <v>62000000</v>
      </c>
      <c r="F1934" s="4" t="str">
        <f>_xlfn.LET(_xlpm.r, _xlfn.XLOOKUP(Clean_Data[[#This Row],[Country_Code]], Metadata_Country!$A:$A, Metadata_Country!$B:$B, "Unknown"), IF(OR(_xlpm.r=0, _xlpm.r=""), "Regional Aggregate", _xlpm.r))</f>
        <v>Middle East &amp; North Africa</v>
      </c>
      <c r="G1934" s="4" t="str">
        <f>_xlfn.LET(_xlpm.ig, _xlfn.XLOOKUP(Clean_Data[[#This Row],[Country_Code]], Metadata_Country!$A:$A, Metadata_Country!$C:$C, "Unknown"), IF(OR(_xlpm.ig=0, _xlpm.ig=""), "Regional Aggregate", _xlpm.ig))</f>
        <v>Lower middle income</v>
      </c>
      <c r="H1934" s="4">
        <f>Clean_Data[[#This Row],[Exports_TIV]] - Clean_Data[[#This Row],[Imports_TIV]]</f>
        <v>-62000000</v>
      </c>
      <c r="I1934" s="4">
        <f>Clean_Data[[#This Row],[Exports_TIV]] + Clean_Data[[#This Row],[Imports_TIV]]</f>
        <v>62000000</v>
      </c>
    </row>
    <row r="1935" spans="1:9">
      <c r="A1935" s="4" t="s">
        <v>339</v>
      </c>
      <c r="B1935" s="4" t="s">
        <v>340</v>
      </c>
      <c r="C1935" s="5">
        <v>2013</v>
      </c>
      <c r="D1935" s="4">
        <v>0</v>
      </c>
      <c r="E1935" s="4">
        <v>9000000</v>
      </c>
      <c r="F1935" s="4" t="str">
        <f>_xlfn.LET(_xlpm.r, _xlfn.XLOOKUP(Clean_Data[[#This Row],[Country_Code]], Metadata_Country!$A:$A, Metadata_Country!$B:$B, "Unknown"), IF(OR(_xlpm.r=0, _xlpm.r=""), "Regional Aggregate", _xlpm.r))</f>
        <v>Sub-Saharan Africa</v>
      </c>
      <c r="G1935" s="4" t="str">
        <f>_xlfn.LET(_xlpm.ig, _xlfn.XLOOKUP(Clean_Data[[#This Row],[Country_Code]], Metadata_Country!$A:$A, Metadata_Country!$C:$C, "Unknown"), IF(OR(_xlpm.ig=0, _xlpm.ig=""), "Regional Aggregate", _xlpm.ig))</f>
        <v>Low income</v>
      </c>
      <c r="H1935" s="4">
        <f>Clean_Data[[#This Row],[Exports_TIV]] - Clean_Data[[#This Row],[Imports_TIV]]</f>
        <v>-9000000</v>
      </c>
      <c r="I1935" s="4">
        <f>Clean_Data[[#This Row],[Exports_TIV]] + Clean_Data[[#This Row],[Imports_TIV]]</f>
        <v>9000000</v>
      </c>
    </row>
    <row r="1936" spans="1:9">
      <c r="A1936" s="4" t="s">
        <v>329</v>
      </c>
      <c r="B1936" s="4" t="s">
        <v>330</v>
      </c>
      <c r="C1936" s="5">
        <v>2013</v>
      </c>
      <c r="D1936" s="4">
        <v>0</v>
      </c>
      <c r="E1936" s="4">
        <v>252000000</v>
      </c>
      <c r="F1936" s="4" t="str">
        <f>_xlfn.LET(_xlpm.r, _xlfn.XLOOKUP(Clean_Data[[#This Row],[Country_Code]], Metadata_Country!$A:$A, Metadata_Country!$B:$B, "Unknown"), IF(OR(_xlpm.r=0, _xlpm.r=""), "Regional Aggregate", _xlpm.r))</f>
        <v>East Asia &amp; Pacific</v>
      </c>
      <c r="G1936" s="4" t="str">
        <f>_xlfn.LET(_xlpm.ig, _xlfn.XLOOKUP(Clean_Data[[#This Row],[Country_Code]], Metadata_Country!$A:$A, Metadata_Country!$C:$C, "Unknown"), IF(OR(_xlpm.ig=0, _xlpm.ig=""), "Regional Aggregate", _xlpm.ig))</f>
        <v>Lower middle income</v>
      </c>
      <c r="H1936" s="4">
        <f>Clean_Data[[#This Row],[Exports_TIV]] - Clean_Data[[#This Row],[Imports_TIV]]</f>
        <v>-252000000</v>
      </c>
      <c r="I1936" s="4">
        <f>Clean_Data[[#This Row],[Exports_TIV]] + Clean_Data[[#This Row],[Imports_TIV]]</f>
        <v>252000000</v>
      </c>
    </row>
    <row r="1937" spans="1:9">
      <c r="A1937" s="4" t="s">
        <v>351</v>
      </c>
      <c r="B1937" s="4" t="s">
        <v>352</v>
      </c>
      <c r="C1937" s="5">
        <v>2013</v>
      </c>
      <c r="D1937" s="4">
        <v>0</v>
      </c>
      <c r="E1937" s="4">
        <v>9000000</v>
      </c>
      <c r="F1937" s="4" t="str">
        <f>_xlfn.LET(_xlpm.r, _xlfn.XLOOKUP(Clean_Data[[#This Row],[Country_Code]], Metadata_Country!$A:$A, Metadata_Country!$B:$B, "Unknown"), IF(OR(_xlpm.r=0, _xlpm.r=""), "Regional Aggregate", _xlpm.r))</f>
        <v>Sub-Saharan Africa</v>
      </c>
      <c r="G1937" s="4" t="str">
        <f>_xlfn.LET(_xlpm.ig, _xlfn.XLOOKUP(Clean_Data[[#This Row],[Country_Code]], Metadata_Country!$A:$A, Metadata_Country!$C:$C, "Unknown"), IF(OR(_xlpm.ig=0, _xlpm.ig=""), "Regional Aggregate", _xlpm.ig))</f>
        <v>Lower middle income</v>
      </c>
      <c r="H1937" s="4">
        <f>Clean_Data[[#This Row],[Exports_TIV]] - Clean_Data[[#This Row],[Imports_TIV]]</f>
        <v>-9000000</v>
      </c>
      <c r="I1937" s="4">
        <f>Clean_Data[[#This Row],[Exports_TIV]] + Clean_Data[[#This Row],[Imports_TIV]]</f>
        <v>9000000</v>
      </c>
    </row>
    <row r="1938" spans="1:9">
      <c r="A1938" s="4" t="s">
        <v>361</v>
      </c>
      <c r="B1938" s="4" t="s">
        <v>362</v>
      </c>
      <c r="C1938" s="5">
        <v>2013</v>
      </c>
      <c r="D1938" s="4">
        <v>384000000</v>
      </c>
      <c r="E1938" s="4">
        <v>488000000</v>
      </c>
      <c r="F1938" s="4" t="str">
        <f>_xlfn.LET(_xlpm.r, _xlfn.XLOOKUP(Clean_Data[[#This Row],[Country_Code]], Metadata_Country!$A:$A, Metadata_Country!$B:$B, "Unknown"), IF(OR(_xlpm.r=0, _xlpm.r=""), "Regional Aggregate", _xlpm.r))</f>
        <v>Europe &amp; Central Asia</v>
      </c>
      <c r="G1938" s="4" t="str">
        <f>_xlfn.LET(_xlpm.ig, _xlfn.XLOOKUP(Clean_Data[[#This Row],[Country_Code]], Metadata_Country!$A:$A, Metadata_Country!$C:$C, "Unknown"), IF(OR(_xlpm.ig=0, _xlpm.ig=""), "Regional Aggregate", _xlpm.ig))</f>
        <v>High income</v>
      </c>
      <c r="H1938" s="4">
        <f>Clean_Data[[#This Row],[Exports_TIV]] - Clean_Data[[#This Row],[Imports_TIV]]</f>
        <v>-104000000</v>
      </c>
      <c r="I1938" s="4">
        <f>Clean_Data[[#This Row],[Exports_TIV]] + Clean_Data[[#This Row],[Imports_TIV]]</f>
        <v>872000000</v>
      </c>
    </row>
    <row r="1939" spans="1:9">
      <c r="A1939" s="4" t="s">
        <v>369</v>
      </c>
      <c r="B1939" s="4" t="s">
        <v>370</v>
      </c>
      <c r="C1939" s="5">
        <v>2013</v>
      </c>
      <c r="D1939" s="4">
        <v>0</v>
      </c>
      <c r="E1939" s="4">
        <v>26000000</v>
      </c>
      <c r="F1939" s="4" t="str">
        <f>_xlfn.LET(_xlpm.r, _xlfn.XLOOKUP(Clean_Data[[#This Row],[Country_Code]], Metadata_Country!$A:$A, Metadata_Country!$B:$B, "Unknown"), IF(OR(_xlpm.r=0, _xlpm.r=""), "Regional Aggregate", _xlpm.r))</f>
        <v>East Asia &amp; Pacific</v>
      </c>
      <c r="G1939" s="4" t="str">
        <f>_xlfn.LET(_xlpm.ig, _xlfn.XLOOKUP(Clean_Data[[#This Row],[Country_Code]], Metadata_Country!$A:$A, Metadata_Country!$C:$C, "Unknown"), IF(OR(_xlpm.ig=0, _xlpm.ig=""), "Regional Aggregate", _xlpm.ig))</f>
        <v>High income</v>
      </c>
      <c r="H1939" s="4">
        <f>Clean_Data[[#This Row],[Exports_TIV]] - Clean_Data[[#This Row],[Imports_TIV]]</f>
        <v>-26000000</v>
      </c>
      <c r="I1939" s="4">
        <f>Clean_Data[[#This Row],[Exports_TIV]] + Clean_Data[[#This Row],[Imports_TIV]]</f>
        <v>26000000</v>
      </c>
    </row>
    <row r="1940" spans="1:9">
      <c r="A1940" s="4" t="s">
        <v>355</v>
      </c>
      <c r="B1940" s="4" t="s">
        <v>356</v>
      </c>
      <c r="C1940" s="5">
        <v>2013</v>
      </c>
      <c r="D1940" s="4">
        <v>0</v>
      </c>
      <c r="E1940" s="4">
        <v>12000000</v>
      </c>
      <c r="F1940" s="4" t="str">
        <f>_xlfn.LET(_xlpm.r, _xlfn.XLOOKUP(Clean_Data[[#This Row],[Country_Code]], Metadata_Country!$A:$A, Metadata_Country!$B:$B, "Unknown"), IF(OR(_xlpm.r=0, _xlpm.r=""), "Regional Aggregate", _xlpm.r))</f>
        <v>Sub-Saharan Africa</v>
      </c>
      <c r="G1940" s="4" t="str">
        <f>_xlfn.LET(_xlpm.ig, _xlfn.XLOOKUP(Clean_Data[[#This Row],[Country_Code]], Metadata_Country!$A:$A, Metadata_Country!$C:$C, "Unknown"), IF(OR(_xlpm.ig=0, _xlpm.ig=""), "Regional Aggregate", _xlpm.ig))</f>
        <v>Low income</v>
      </c>
      <c r="H1940" s="4">
        <f>Clean_Data[[#This Row],[Exports_TIV]] - Clean_Data[[#This Row],[Imports_TIV]]</f>
        <v>-12000000</v>
      </c>
      <c r="I1940" s="4">
        <f>Clean_Data[[#This Row],[Exports_TIV]] + Clean_Data[[#This Row],[Imports_TIV]]</f>
        <v>12000000</v>
      </c>
    </row>
    <row r="1941" spans="1:9">
      <c r="A1941" s="4" t="s">
        <v>357</v>
      </c>
      <c r="B1941" s="4" t="s">
        <v>358</v>
      </c>
      <c r="C1941" s="5">
        <v>2013</v>
      </c>
      <c r="D1941" s="4">
        <v>0</v>
      </c>
      <c r="E1941" s="4">
        <v>30000000</v>
      </c>
      <c r="F1941" s="4" t="str">
        <f>_xlfn.LET(_xlpm.r, _xlfn.XLOOKUP(Clean_Data[[#This Row],[Country_Code]], Metadata_Country!$A:$A, Metadata_Country!$B:$B, "Unknown"), IF(OR(_xlpm.r=0, _xlpm.r=""), "Regional Aggregate", _xlpm.r))</f>
        <v>Sub-Saharan Africa</v>
      </c>
      <c r="G1941" s="4" t="str">
        <f>_xlfn.LET(_xlpm.ig, _xlfn.XLOOKUP(Clean_Data[[#This Row],[Country_Code]], Metadata_Country!$A:$A, Metadata_Country!$C:$C, "Unknown"), IF(OR(_xlpm.ig=0, _xlpm.ig=""), "Regional Aggregate", _xlpm.ig))</f>
        <v>Lower middle income</v>
      </c>
      <c r="H1941" s="4">
        <f>Clean_Data[[#This Row],[Exports_TIV]] - Clean_Data[[#This Row],[Imports_TIV]]</f>
        <v>-30000000</v>
      </c>
      <c r="I1941" s="4">
        <f>Clean_Data[[#This Row],[Exports_TIV]] + Clean_Data[[#This Row],[Imports_TIV]]</f>
        <v>30000000</v>
      </c>
    </row>
    <row r="1942" spans="1:9">
      <c r="A1942" s="4" t="s">
        <v>349</v>
      </c>
      <c r="B1942" s="4" t="s">
        <v>350</v>
      </c>
      <c r="C1942" s="5">
        <v>2013</v>
      </c>
      <c r="D1942" s="4">
        <v>7940000000</v>
      </c>
      <c r="E1942" s="4">
        <v>969000000</v>
      </c>
      <c r="F1942" s="4" t="str">
        <f>_xlfn.LET(_xlpm.r, _xlfn.XLOOKUP(Clean_Data[[#This Row],[Country_Code]], Metadata_Country!$A:$A, Metadata_Country!$B:$B, "Unknown"), IF(OR(_xlpm.r=0, _xlpm.r=""), "Regional Aggregate", _xlpm.r))</f>
        <v>Regional Aggregate</v>
      </c>
      <c r="G1942" s="4" t="str">
        <f>_xlfn.LET(_xlpm.ig, _xlfn.XLOOKUP(Clean_Data[[#This Row],[Country_Code]], Metadata_Country!$A:$A, Metadata_Country!$C:$C, "Unknown"), IF(OR(_xlpm.ig=0, _xlpm.ig=""), "Regional Aggregate", _xlpm.ig))</f>
        <v>Regional Aggregate</v>
      </c>
      <c r="H1942" s="4">
        <f>Clean_Data[[#This Row],[Exports_TIV]] - Clean_Data[[#This Row],[Imports_TIV]]</f>
        <v>6971000000</v>
      </c>
      <c r="I1942" s="4">
        <f>Clean_Data[[#This Row],[Exports_TIV]] + Clean_Data[[#This Row],[Imports_TIV]]</f>
        <v>8909000000</v>
      </c>
    </row>
    <row r="1943" spans="1:9">
      <c r="A1943" s="4" t="s">
        <v>323</v>
      </c>
      <c r="B1943" s="4" t="s">
        <v>324</v>
      </c>
      <c r="C1943" s="5">
        <v>2013</v>
      </c>
      <c r="D1943" s="4">
        <v>0</v>
      </c>
      <c r="E1943" s="4">
        <v>1000000</v>
      </c>
      <c r="F1943" s="4" t="str">
        <f>_xlfn.LET(_xlpm.r, _xlfn.XLOOKUP(Clean_Data[[#This Row],[Country_Code]], Metadata_Country!$A:$A, Metadata_Country!$B:$B, "Unknown"), IF(OR(_xlpm.r=0, _xlpm.r=""), "Regional Aggregate", _xlpm.r))</f>
        <v>Europe &amp; Central Asia</v>
      </c>
      <c r="G1943" s="4" t="str">
        <f>_xlfn.LET(_xlpm.ig, _xlfn.XLOOKUP(Clean_Data[[#This Row],[Country_Code]], Metadata_Country!$A:$A, Metadata_Country!$C:$C, "Unknown"), IF(OR(_xlpm.ig=0, _xlpm.ig=""), "Regional Aggregate", _xlpm.ig))</f>
        <v>Upper middle income</v>
      </c>
      <c r="H1943" s="4">
        <f>Clean_Data[[#This Row],[Exports_TIV]] - Clean_Data[[#This Row],[Imports_TIV]]</f>
        <v>-1000000</v>
      </c>
      <c r="I1943" s="4">
        <f>Clean_Data[[#This Row],[Exports_TIV]] + Clean_Data[[#This Row],[Imports_TIV]]</f>
        <v>1000000</v>
      </c>
    </row>
    <row r="1944" spans="1:9">
      <c r="A1944" s="4" t="s">
        <v>363</v>
      </c>
      <c r="B1944" s="4" t="s">
        <v>364</v>
      </c>
      <c r="C1944" s="5">
        <v>2013</v>
      </c>
      <c r="D1944" s="4">
        <v>97000000</v>
      </c>
      <c r="E1944" s="4">
        <v>51000000</v>
      </c>
      <c r="F1944" s="4" t="str">
        <f>_xlfn.LET(_xlpm.r, _xlfn.XLOOKUP(Clean_Data[[#This Row],[Country_Code]], Metadata_Country!$A:$A, Metadata_Country!$B:$B, "Unknown"), IF(OR(_xlpm.r=0, _xlpm.r=""), "Regional Aggregate", _xlpm.r))</f>
        <v>Europe &amp; Central Asia</v>
      </c>
      <c r="G1944" s="4" t="str">
        <f>_xlfn.LET(_xlpm.ig, _xlfn.XLOOKUP(Clean_Data[[#This Row],[Country_Code]], Metadata_Country!$A:$A, Metadata_Country!$C:$C, "Unknown"), IF(OR(_xlpm.ig=0, _xlpm.ig=""), "Regional Aggregate", _xlpm.ig))</f>
        <v>High income</v>
      </c>
      <c r="H1944" s="4">
        <f>Clean_Data[[#This Row],[Exports_TIV]] - Clean_Data[[#This Row],[Imports_TIV]]</f>
        <v>46000000</v>
      </c>
      <c r="I1944" s="4">
        <f>Clean_Data[[#This Row],[Exports_TIV]] + Clean_Data[[#This Row],[Imports_TIV]]</f>
        <v>148000000</v>
      </c>
    </row>
    <row r="1945" spans="1:9">
      <c r="A1945" s="4" t="s">
        <v>371</v>
      </c>
      <c r="B1945" s="4" t="s">
        <v>372</v>
      </c>
      <c r="C1945" s="5">
        <v>2013</v>
      </c>
      <c r="D1945" s="4">
        <v>15856000000</v>
      </c>
      <c r="E1945" s="4">
        <v>5140000000</v>
      </c>
      <c r="F1945" s="4" t="str">
        <f>_xlfn.LET(_xlpm.r, _xlfn.XLOOKUP(Clean_Data[[#This Row],[Country_Code]], Metadata_Country!$A:$A, Metadata_Country!$B:$B, "Unknown"), IF(OR(_xlpm.r=0, _xlpm.r=""), "Regional Aggregate", _xlpm.r))</f>
        <v>Regional Aggregate</v>
      </c>
      <c r="G1945" s="4" t="str">
        <f>_xlfn.LET(_xlpm.ig, _xlfn.XLOOKUP(Clean_Data[[#This Row],[Country_Code]], Metadata_Country!$A:$A, Metadata_Country!$C:$C, "Unknown"), IF(OR(_xlpm.ig=0, _xlpm.ig=""), "Regional Aggregate", _xlpm.ig))</f>
        <v>Regional Aggregate</v>
      </c>
      <c r="H1945" s="4">
        <f>Clean_Data[[#This Row],[Exports_TIV]] - Clean_Data[[#This Row],[Imports_TIV]]</f>
        <v>10716000000</v>
      </c>
      <c r="I1945" s="4">
        <f>Clean_Data[[#This Row],[Exports_TIV]] + Clean_Data[[#This Row],[Imports_TIV]]</f>
        <v>20996000000</v>
      </c>
    </row>
    <row r="1946" spans="1:9">
      <c r="A1946" s="4" t="s">
        <v>373</v>
      </c>
      <c r="B1946" s="4" t="s">
        <v>374</v>
      </c>
      <c r="C1946" s="5">
        <v>2013</v>
      </c>
      <c r="D1946" s="4">
        <v>0</v>
      </c>
      <c r="E1946" s="4">
        <v>492000000</v>
      </c>
      <c r="F1946" s="4" t="str">
        <f>_xlfn.LET(_xlpm.r, _xlfn.XLOOKUP(Clean_Data[[#This Row],[Country_Code]], Metadata_Country!$A:$A, Metadata_Country!$B:$B, "Unknown"), IF(OR(_xlpm.r=0, _xlpm.r=""), "Regional Aggregate", _xlpm.r))</f>
        <v>Middle East &amp; North Africa</v>
      </c>
      <c r="G1946" s="4" t="str">
        <f>_xlfn.LET(_xlpm.ig, _xlfn.XLOOKUP(Clean_Data[[#This Row],[Country_Code]], Metadata_Country!$A:$A, Metadata_Country!$C:$C, "Unknown"), IF(OR(_xlpm.ig=0, _xlpm.ig=""), "Regional Aggregate", _xlpm.ig))</f>
        <v>High income</v>
      </c>
      <c r="H1946" s="4">
        <f>Clean_Data[[#This Row],[Exports_TIV]] - Clean_Data[[#This Row],[Imports_TIV]]</f>
        <v>-492000000</v>
      </c>
      <c r="I1946" s="4">
        <f>Clean_Data[[#This Row],[Exports_TIV]] + Clean_Data[[#This Row],[Imports_TIV]]</f>
        <v>492000000</v>
      </c>
    </row>
    <row r="1947" spans="1:9">
      <c r="A1947" s="4" t="s">
        <v>377</v>
      </c>
      <c r="B1947" s="4" t="s">
        <v>378</v>
      </c>
      <c r="C1947" s="5">
        <v>2013</v>
      </c>
      <c r="D1947" s="4">
        <v>0</v>
      </c>
      <c r="E1947" s="4">
        <v>1112000000</v>
      </c>
      <c r="F1947" s="4" t="str">
        <f>_xlfn.LET(_xlpm.r, _xlfn.XLOOKUP(Clean_Data[[#This Row],[Country_Code]], Metadata_Country!$A:$A, Metadata_Country!$B:$B, "Unknown"), IF(OR(_xlpm.r=0, _xlpm.r=""), "Regional Aggregate", _xlpm.r))</f>
        <v>Middle East &amp; North Africa</v>
      </c>
      <c r="G1947" s="4" t="str">
        <f>_xlfn.LET(_xlpm.ig, _xlfn.XLOOKUP(Clean_Data[[#This Row],[Country_Code]], Metadata_Country!$A:$A, Metadata_Country!$C:$C, "Unknown"), IF(OR(_xlpm.ig=0, _xlpm.ig=""), "Regional Aggregate", _xlpm.ig))</f>
        <v>Lower middle income</v>
      </c>
      <c r="H1947" s="4">
        <f>Clean_Data[[#This Row],[Exports_TIV]] - Clean_Data[[#This Row],[Imports_TIV]]</f>
        <v>-1112000000</v>
      </c>
      <c r="I1947" s="4">
        <f>Clean_Data[[#This Row],[Exports_TIV]] + Clean_Data[[#This Row],[Imports_TIV]]</f>
        <v>1112000000</v>
      </c>
    </row>
    <row r="1948" spans="1:9">
      <c r="A1948" s="4" t="s">
        <v>399</v>
      </c>
      <c r="B1948" s="4" t="s">
        <v>400</v>
      </c>
      <c r="C1948" s="5">
        <v>2013</v>
      </c>
      <c r="D1948" s="4">
        <v>0</v>
      </c>
      <c r="E1948" s="4">
        <v>0</v>
      </c>
      <c r="F1948" s="4" t="str">
        <f>_xlfn.LET(_xlpm.r, _xlfn.XLOOKUP(Clean_Data[[#This Row],[Country_Code]], Metadata_Country!$A:$A, Metadata_Country!$B:$B, "Unknown"), IF(OR(_xlpm.r=0, _xlpm.r=""), "Regional Aggregate", _xlpm.r))</f>
        <v>Latin America &amp; Caribbean</v>
      </c>
      <c r="G1948" s="4" t="str">
        <f>_xlfn.LET(_xlpm.ig, _xlfn.XLOOKUP(Clean_Data[[#This Row],[Country_Code]], Metadata_Country!$A:$A, Metadata_Country!$C:$C, "Unknown"), IF(OR(_xlpm.ig=0, _xlpm.ig=""), "Regional Aggregate", _xlpm.ig))</f>
        <v>Upper middle income</v>
      </c>
      <c r="H1948" s="4">
        <f>Clean_Data[[#This Row],[Exports_TIV]] - Clean_Data[[#This Row],[Imports_TIV]]</f>
        <v>0</v>
      </c>
      <c r="I1948" s="4">
        <f>Clean_Data[[#This Row],[Exports_TIV]] + Clean_Data[[#This Row],[Imports_TIV]]</f>
        <v>0</v>
      </c>
    </row>
    <row r="1949" spans="1:9">
      <c r="A1949" s="4" t="s">
        <v>381</v>
      </c>
      <c r="B1949" s="4" t="s">
        <v>382</v>
      </c>
      <c r="C1949" s="5">
        <v>2013</v>
      </c>
      <c r="D1949" s="4">
        <v>0</v>
      </c>
      <c r="E1949" s="4">
        <v>15000000</v>
      </c>
      <c r="F1949" s="4" t="str">
        <f>_xlfn.LET(_xlpm.r, _xlfn.XLOOKUP(Clean_Data[[#This Row],[Country_Code]], Metadata_Country!$A:$A, Metadata_Country!$B:$B, "Unknown"), IF(OR(_xlpm.r=0, _xlpm.r=""), "Regional Aggregate", _xlpm.r))</f>
        <v>Latin America &amp; Caribbean</v>
      </c>
      <c r="G1949" s="4" t="str">
        <f>_xlfn.LET(_xlpm.ig, _xlfn.XLOOKUP(Clean_Data[[#This Row],[Country_Code]], Metadata_Country!$A:$A, Metadata_Country!$C:$C, "Unknown"), IF(OR(_xlpm.ig=0, _xlpm.ig=""), "Regional Aggregate", _xlpm.ig))</f>
        <v>Upper middle income</v>
      </c>
      <c r="H1949" s="4">
        <f>Clean_Data[[#This Row],[Exports_TIV]] - Clean_Data[[#This Row],[Imports_TIV]]</f>
        <v>-15000000</v>
      </c>
      <c r="I1949" s="4">
        <f>Clean_Data[[#This Row],[Exports_TIV]] + Clean_Data[[#This Row],[Imports_TIV]]</f>
        <v>15000000</v>
      </c>
    </row>
    <row r="1950" spans="1:9">
      <c r="A1950" s="4" t="s">
        <v>383</v>
      </c>
      <c r="B1950" s="4" t="s">
        <v>384</v>
      </c>
      <c r="C1950" s="5">
        <v>2013</v>
      </c>
      <c r="D1950" s="4">
        <v>0</v>
      </c>
      <c r="E1950" s="4">
        <v>83000000</v>
      </c>
      <c r="F1950" s="4" t="str">
        <f>_xlfn.LET(_xlpm.r, _xlfn.XLOOKUP(Clean_Data[[#This Row],[Country_Code]], Metadata_Country!$A:$A, Metadata_Country!$B:$B, "Unknown"), IF(OR(_xlpm.r=0, _xlpm.r=""), "Regional Aggregate", _xlpm.r))</f>
        <v>East Asia &amp; Pacific</v>
      </c>
      <c r="G1950" s="4" t="str">
        <f>_xlfn.LET(_xlpm.ig, _xlfn.XLOOKUP(Clean_Data[[#This Row],[Country_Code]], Metadata_Country!$A:$A, Metadata_Country!$C:$C, "Unknown"), IF(OR(_xlpm.ig=0, _xlpm.ig=""), "Regional Aggregate", _xlpm.ig))</f>
        <v>Upper middle income</v>
      </c>
      <c r="H1950" s="4">
        <f>Clean_Data[[#This Row],[Exports_TIV]] - Clean_Data[[#This Row],[Imports_TIV]]</f>
        <v>-83000000</v>
      </c>
      <c r="I1950" s="4">
        <f>Clean_Data[[#This Row],[Exports_TIV]] + Clean_Data[[#This Row],[Imports_TIV]]</f>
        <v>83000000</v>
      </c>
    </row>
    <row r="1951" spans="1:9">
      <c r="A1951" s="4" t="s">
        <v>389</v>
      </c>
      <c r="B1951" s="4" t="s">
        <v>390</v>
      </c>
      <c r="C1951" s="5">
        <v>2013</v>
      </c>
      <c r="D1951" s="4">
        <v>147000000</v>
      </c>
      <c r="E1951" s="4">
        <v>146000000</v>
      </c>
      <c r="F1951" s="4" t="str">
        <f>_xlfn.LET(_xlpm.r, _xlfn.XLOOKUP(Clean_Data[[#This Row],[Country_Code]], Metadata_Country!$A:$A, Metadata_Country!$B:$B, "Unknown"), IF(OR(_xlpm.r=0, _xlpm.r=""), "Regional Aggregate", _xlpm.r))</f>
        <v>Europe &amp; Central Asia</v>
      </c>
      <c r="G1951" s="4" t="str">
        <f>_xlfn.LET(_xlpm.ig, _xlfn.XLOOKUP(Clean_Data[[#This Row],[Country_Code]], Metadata_Country!$A:$A, Metadata_Country!$C:$C, "Unknown"), IF(OR(_xlpm.ig=0, _xlpm.ig=""), "Regional Aggregate", _xlpm.ig))</f>
        <v>High income</v>
      </c>
      <c r="H1951" s="4">
        <f>Clean_Data[[#This Row],[Exports_TIV]] - Clean_Data[[#This Row],[Imports_TIV]]</f>
        <v>1000000</v>
      </c>
      <c r="I1951" s="4">
        <f>Clean_Data[[#This Row],[Exports_TIV]] + Clean_Data[[#This Row],[Imports_TIV]]</f>
        <v>293000000</v>
      </c>
    </row>
    <row r="1952" spans="1:9">
      <c r="A1952" s="4" t="s">
        <v>397</v>
      </c>
      <c r="B1952" s="4" t="s">
        <v>398</v>
      </c>
      <c r="C1952" s="5">
        <v>2013</v>
      </c>
      <c r="D1952" s="4">
        <v>0</v>
      </c>
      <c r="E1952" s="4">
        <v>11000000</v>
      </c>
      <c r="F1952" s="4" t="str">
        <f>_xlfn.LET(_xlpm.r, _xlfn.XLOOKUP(Clean_Data[[#This Row],[Country_Code]], Metadata_Country!$A:$A, Metadata_Country!$B:$B, "Unknown"), IF(OR(_xlpm.r=0, _xlpm.r=""), "Regional Aggregate", _xlpm.r))</f>
        <v>Europe &amp; Central Asia</v>
      </c>
      <c r="G1952" s="4" t="str">
        <f>_xlfn.LET(_xlpm.ig, _xlfn.XLOOKUP(Clean_Data[[#This Row],[Country_Code]], Metadata_Country!$A:$A, Metadata_Country!$C:$C, "Unknown"), IF(OR(_xlpm.ig=0, _xlpm.ig=""), "Regional Aggregate", _xlpm.ig))</f>
        <v>High income</v>
      </c>
      <c r="H1952" s="4">
        <f>Clean_Data[[#This Row],[Exports_TIV]] - Clean_Data[[#This Row],[Imports_TIV]]</f>
        <v>-11000000</v>
      </c>
      <c r="I1952" s="4">
        <f>Clean_Data[[#This Row],[Exports_TIV]] + Clean_Data[[#This Row],[Imports_TIV]]</f>
        <v>11000000</v>
      </c>
    </row>
    <row r="1953" spans="1:9">
      <c r="A1953" s="4" t="s">
        <v>405</v>
      </c>
      <c r="B1953" s="4" t="s">
        <v>406</v>
      </c>
      <c r="C1953" s="5">
        <v>2013</v>
      </c>
      <c r="D1953" s="4">
        <v>16094000000</v>
      </c>
      <c r="E1953" s="4">
        <v>4585000000</v>
      </c>
      <c r="F1953" s="4" t="str">
        <f>_xlfn.LET(_xlpm.r, _xlfn.XLOOKUP(Clean_Data[[#This Row],[Country_Code]], Metadata_Country!$A:$A, Metadata_Country!$B:$B, "Unknown"), IF(OR(_xlpm.r=0, _xlpm.r=""), "Regional Aggregate", _xlpm.r))</f>
        <v>Regional Aggregate</v>
      </c>
      <c r="G1953" s="4" t="str">
        <f>_xlfn.LET(_xlpm.ig, _xlfn.XLOOKUP(Clean_Data[[#This Row],[Country_Code]], Metadata_Country!$A:$A, Metadata_Country!$C:$C, "Unknown"), IF(OR(_xlpm.ig=0, _xlpm.ig=""), "Regional Aggregate", _xlpm.ig))</f>
        <v>Regional Aggregate</v>
      </c>
      <c r="H1953" s="4">
        <f>Clean_Data[[#This Row],[Exports_TIV]] - Clean_Data[[#This Row],[Imports_TIV]]</f>
        <v>11509000000</v>
      </c>
      <c r="I1953" s="4">
        <f>Clean_Data[[#This Row],[Exports_TIV]] + Clean_Data[[#This Row],[Imports_TIV]]</f>
        <v>20679000000</v>
      </c>
    </row>
    <row r="1954" spans="1:9">
      <c r="A1954" s="4" t="s">
        <v>391</v>
      </c>
      <c r="B1954" s="4" t="s">
        <v>392</v>
      </c>
      <c r="C1954" s="5">
        <v>2013</v>
      </c>
      <c r="D1954" s="4">
        <v>0</v>
      </c>
      <c r="E1954" s="4">
        <v>1282000000</v>
      </c>
      <c r="F1954" s="4" t="str">
        <f>_xlfn.LET(_xlpm.r, _xlfn.XLOOKUP(Clean_Data[[#This Row],[Country_Code]], Metadata_Country!$A:$A, Metadata_Country!$B:$B, "Unknown"), IF(OR(_xlpm.r=0, _xlpm.r=""), "Regional Aggregate", _xlpm.r))</f>
        <v>Regional Aggregate</v>
      </c>
      <c r="G1954" s="4" t="str">
        <f>_xlfn.LET(_xlpm.ig, _xlfn.XLOOKUP(Clean_Data[[#This Row],[Country_Code]], Metadata_Country!$A:$A, Metadata_Country!$C:$C, "Unknown"), IF(OR(_xlpm.ig=0, _xlpm.ig=""), "Regional Aggregate", _xlpm.ig))</f>
        <v>Regional Aggregate</v>
      </c>
      <c r="H1954" s="4">
        <f>Clean_Data[[#This Row],[Exports_TIV]] - Clean_Data[[#This Row],[Imports_TIV]]</f>
        <v>-1282000000</v>
      </c>
      <c r="I1954" s="4">
        <f>Clean_Data[[#This Row],[Exports_TIV]] + Clean_Data[[#This Row],[Imports_TIV]]</f>
        <v>1282000000</v>
      </c>
    </row>
    <row r="1955" spans="1:9">
      <c r="A1955" s="4" t="s">
        <v>409</v>
      </c>
      <c r="B1955" s="4" t="s">
        <v>410</v>
      </c>
      <c r="C1955" s="5">
        <v>2013</v>
      </c>
      <c r="D1955" s="4">
        <v>0</v>
      </c>
      <c r="E1955" s="4">
        <v>82000000</v>
      </c>
      <c r="F1955" s="4" t="str">
        <f>_xlfn.LET(_xlpm.r, _xlfn.XLOOKUP(Clean_Data[[#This Row],[Country_Code]], Metadata_Country!$A:$A, Metadata_Country!$B:$B, "Unknown"), IF(OR(_xlpm.r=0, _xlpm.r=""), "Regional Aggregate", _xlpm.r))</f>
        <v>Middle East &amp; North Africa</v>
      </c>
      <c r="G1955" s="4" t="str">
        <f>_xlfn.LET(_xlpm.ig, _xlfn.XLOOKUP(Clean_Data[[#This Row],[Country_Code]], Metadata_Country!$A:$A, Metadata_Country!$C:$C, "Unknown"), IF(OR(_xlpm.ig=0, _xlpm.ig=""), "Regional Aggregate", _xlpm.ig))</f>
        <v>High income</v>
      </c>
      <c r="H1955" s="4">
        <f>Clean_Data[[#This Row],[Exports_TIV]] - Clean_Data[[#This Row],[Imports_TIV]]</f>
        <v>-82000000</v>
      </c>
      <c r="I1955" s="4">
        <f>Clean_Data[[#This Row],[Exports_TIV]] + Clean_Data[[#This Row],[Imports_TIV]]</f>
        <v>82000000</v>
      </c>
    </row>
    <row r="1956" spans="1:9">
      <c r="A1956" s="4" t="s">
        <v>411</v>
      </c>
      <c r="B1956" s="4" t="s">
        <v>412</v>
      </c>
      <c r="C1956" s="5">
        <v>2013</v>
      </c>
      <c r="D1956" s="4">
        <v>216000000</v>
      </c>
      <c r="E1956" s="4">
        <v>20000000</v>
      </c>
      <c r="F1956" s="4" t="str">
        <f>_xlfn.LET(_xlpm.r, _xlfn.XLOOKUP(Clean_Data[[#This Row],[Country_Code]], Metadata_Country!$A:$A, Metadata_Country!$B:$B, "Unknown"), IF(OR(_xlpm.r=0, _xlpm.r=""), "Regional Aggregate", _xlpm.r))</f>
        <v>Europe &amp; Central Asia</v>
      </c>
      <c r="G1956" s="4" t="str">
        <f>_xlfn.LET(_xlpm.ig, _xlfn.XLOOKUP(Clean_Data[[#This Row],[Country_Code]], Metadata_Country!$A:$A, Metadata_Country!$C:$C, "Unknown"), IF(OR(_xlpm.ig=0, _xlpm.ig=""), "Regional Aggregate", _xlpm.ig))</f>
        <v>High income</v>
      </c>
      <c r="H1956" s="4">
        <f>Clean_Data[[#This Row],[Exports_TIV]] - Clean_Data[[#This Row],[Imports_TIV]]</f>
        <v>196000000</v>
      </c>
      <c r="I1956" s="4">
        <f>Clean_Data[[#This Row],[Exports_TIV]] + Clean_Data[[#This Row],[Imports_TIV]]</f>
        <v>236000000</v>
      </c>
    </row>
    <row r="1957" spans="1:9">
      <c r="A1957" s="4" t="s">
        <v>413</v>
      </c>
      <c r="B1957" s="4" t="s">
        <v>414</v>
      </c>
      <c r="C1957" s="5">
        <v>2013</v>
      </c>
      <c r="D1957" s="4">
        <v>7887000000</v>
      </c>
      <c r="E1957" s="4">
        <v>185000000</v>
      </c>
      <c r="F1957" s="4" t="str">
        <f>_xlfn.LET(_xlpm.r, _xlfn.XLOOKUP(Clean_Data[[#This Row],[Country_Code]], Metadata_Country!$A:$A, Metadata_Country!$B:$B, "Unknown"), IF(OR(_xlpm.r=0, _xlpm.r=""), "Regional Aggregate", _xlpm.r))</f>
        <v>Europe &amp; Central Asia</v>
      </c>
      <c r="G1957" s="4" t="str">
        <f>_xlfn.LET(_xlpm.ig, _xlfn.XLOOKUP(Clean_Data[[#This Row],[Country_Code]], Metadata_Country!$A:$A, Metadata_Country!$C:$C, "Unknown"), IF(OR(_xlpm.ig=0, _xlpm.ig=""), "Regional Aggregate", _xlpm.ig))</f>
        <v>High income</v>
      </c>
      <c r="H1957" s="4">
        <f>Clean_Data[[#This Row],[Exports_TIV]] - Clean_Data[[#This Row],[Imports_TIV]]</f>
        <v>7702000000</v>
      </c>
      <c r="I1957" s="4">
        <f>Clean_Data[[#This Row],[Exports_TIV]] + Clean_Data[[#This Row],[Imports_TIV]]</f>
        <v>8072000000</v>
      </c>
    </row>
    <row r="1958" spans="1:9">
      <c r="A1958" s="4" t="s">
        <v>415</v>
      </c>
      <c r="B1958" s="4" t="s">
        <v>416</v>
      </c>
      <c r="C1958" s="5">
        <v>2013</v>
      </c>
      <c r="D1958" s="4">
        <v>0</v>
      </c>
      <c r="E1958" s="4">
        <v>15000000</v>
      </c>
      <c r="F1958" s="4" t="str">
        <f>_xlfn.LET(_xlpm.r, _xlfn.XLOOKUP(Clean_Data[[#This Row],[Country_Code]], Metadata_Country!$A:$A, Metadata_Country!$B:$B, "Unknown"), IF(OR(_xlpm.r=0, _xlpm.r=""), "Regional Aggregate", _xlpm.r))</f>
        <v>Sub-Saharan Africa</v>
      </c>
      <c r="G1958" s="4" t="str">
        <f>_xlfn.LET(_xlpm.ig, _xlfn.XLOOKUP(Clean_Data[[#This Row],[Country_Code]], Metadata_Country!$A:$A, Metadata_Country!$C:$C, "Unknown"), IF(OR(_xlpm.ig=0, _xlpm.ig=""), "Regional Aggregate", _xlpm.ig))</f>
        <v>Low income</v>
      </c>
      <c r="H1958" s="4">
        <f>Clean_Data[[#This Row],[Exports_TIV]] - Clean_Data[[#This Row],[Imports_TIV]]</f>
        <v>-15000000</v>
      </c>
      <c r="I1958" s="4">
        <f>Clean_Data[[#This Row],[Exports_TIV]] + Clean_Data[[#This Row],[Imports_TIV]]</f>
        <v>15000000</v>
      </c>
    </row>
    <row r="1959" spans="1:9">
      <c r="A1959" s="4" t="s">
        <v>419</v>
      </c>
      <c r="B1959" s="4" t="s">
        <v>420</v>
      </c>
      <c r="C1959" s="5">
        <v>2013</v>
      </c>
      <c r="D1959" s="4">
        <v>0</v>
      </c>
      <c r="E1959" s="4">
        <v>1686000000</v>
      </c>
      <c r="F1959" s="4" t="str">
        <f>_xlfn.LET(_xlpm.r, _xlfn.XLOOKUP(Clean_Data[[#This Row],[Country_Code]], Metadata_Country!$A:$A, Metadata_Country!$B:$B, "Unknown"), IF(OR(_xlpm.r=0, _xlpm.r=""), "Regional Aggregate", _xlpm.r))</f>
        <v>Middle East &amp; North Africa</v>
      </c>
      <c r="G1959" s="4" t="str">
        <f>_xlfn.LET(_xlpm.ig, _xlfn.XLOOKUP(Clean_Data[[#This Row],[Country_Code]], Metadata_Country!$A:$A, Metadata_Country!$C:$C, "Unknown"), IF(OR(_xlpm.ig=0, _xlpm.ig=""), "Regional Aggregate", _xlpm.ig))</f>
        <v>High income</v>
      </c>
      <c r="H1959" s="4">
        <f>Clean_Data[[#This Row],[Exports_TIV]] - Clean_Data[[#This Row],[Imports_TIV]]</f>
        <v>-1686000000</v>
      </c>
      <c r="I1959" s="4">
        <f>Clean_Data[[#This Row],[Exports_TIV]] + Clean_Data[[#This Row],[Imports_TIV]]</f>
        <v>1686000000</v>
      </c>
    </row>
    <row r="1960" spans="1:9">
      <c r="A1960" s="4" t="s">
        <v>437</v>
      </c>
      <c r="B1960" s="4" t="s">
        <v>438</v>
      </c>
      <c r="C1960" s="5">
        <v>2013</v>
      </c>
      <c r="D1960" s="4">
        <v>10000000</v>
      </c>
      <c r="E1960" s="4">
        <v>0</v>
      </c>
      <c r="F1960" s="4" t="str">
        <f>_xlfn.LET(_xlpm.r, _xlfn.XLOOKUP(Clean_Data[[#This Row],[Country_Code]], Metadata_Country!$A:$A, Metadata_Country!$B:$B, "Unknown"), IF(OR(_xlpm.r=0, _xlpm.r=""), "Regional Aggregate", _xlpm.r))</f>
        <v>Europe &amp; Central Asia</v>
      </c>
      <c r="G1960" s="4" t="str">
        <f>_xlfn.LET(_xlpm.ig, _xlfn.XLOOKUP(Clean_Data[[#This Row],[Country_Code]], Metadata_Country!$A:$A, Metadata_Country!$C:$C, "Unknown"), IF(OR(_xlpm.ig=0, _xlpm.ig=""), "Regional Aggregate", _xlpm.ig))</f>
        <v>Upper middle income</v>
      </c>
      <c r="H1960" s="4">
        <f>Clean_Data[[#This Row],[Exports_TIV]] - Clean_Data[[#This Row],[Imports_TIV]]</f>
        <v>10000000</v>
      </c>
      <c r="I1960" s="4">
        <f>Clean_Data[[#This Row],[Exports_TIV]] + Clean_Data[[#This Row],[Imports_TIV]]</f>
        <v>10000000</v>
      </c>
    </row>
    <row r="1961" spans="1:9">
      <c r="A1961" s="4" t="s">
        <v>461</v>
      </c>
      <c r="B1961" s="4" t="s">
        <v>462</v>
      </c>
      <c r="C1961" s="5">
        <v>2013</v>
      </c>
      <c r="D1961" s="4">
        <v>0</v>
      </c>
      <c r="E1961" s="4">
        <v>10000000</v>
      </c>
      <c r="F1961" s="4" t="str">
        <f>_xlfn.LET(_xlpm.r, _xlfn.XLOOKUP(Clean_Data[[#This Row],[Country_Code]], Metadata_Country!$A:$A, Metadata_Country!$B:$B, "Unknown"), IF(OR(_xlpm.r=0, _xlpm.r=""), "Regional Aggregate", _xlpm.r))</f>
        <v>Sub-Saharan Africa</v>
      </c>
      <c r="G1961" s="4" t="str">
        <f>_xlfn.LET(_xlpm.ig, _xlfn.XLOOKUP(Clean_Data[[#This Row],[Country_Code]], Metadata_Country!$A:$A, Metadata_Country!$C:$C, "Unknown"), IF(OR(_xlpm.ig=0, _xlpm.ig=""), "Regional Aggregate", _xlpm.ig))</f>
        <v>High income</v>
      </c>
      <c r="H1961" s="4">
        <f>Clean_Data[[#This Row],[Exports_TIV]] - Clean_Data[[#This Row],[Imports_TIV]]</f>
        <v>-10000000</v>
      </c>
      <c r="I1961" s="4">
        <f>Clean_Data[[#This Row],[Exports_TIV]] + Clean_Data[[#This Row],[Imports_TIV]]</f>
        <v>10000000</v>
      </c>
    </row>
    <row r="1962" spans="1:9">
      <c r="A1962" s="4" t="s">
        <v>429</v>
      </c>
      <c r="B1962" s="4" t="s">
        <v>430</v>
      </c>
      <c r="C1962" s="5">
        <v>2013</v>
      </c>
      <c r="D1962" s="4">
        <v>0</v>
      </c>
      <c r="E1962" s="4">
        <v>1000000</v>
      </c>
      <c r="F1962" s="4" t="str">
        <f>_xlfn.LET(_xlpm.r, _xlfn.XLOOKUP(Clean_Data[[#This Row],[Country_Code]], Metadata_Country!$A:$A, Metadata_Country!$B:$B, "Unknown"), IF(OR(_xlpm.r=0, _xlpm.r=""), "Regional Aggregate", _xlpm.r))</f>
        <v>Sub-Saharan Africa</v>
      </c>
      <c r="G1962" s="4" t="str">
        <f>_xlfn.LET(_xlpm.ig, _xlfn.XLOOKUP(Clean_Data[[#This Row],[Country_Code]], Metadata_Country!$A:$A, Metadata_Country!$C:$C, "Unknown"), IF(OR(_xlpm.ig=0, _xlpm.ig=""), "Regional Aggregate", _xlpm.ig))</f>
        <v>Low income</v>
      </c>
      <c r="H1962" s="4">
        <f>Clean_Data[[#This Row],[Exports_TIV]] - Clean_Data[[#This Row],[Imports_TIV]]</f>
        <v>-1000000</v>
      </c>
      <c r="I1962" s="4">
        <f>Clean_Data[[#This Row],[Exports_TIV]] + Clean_Data[[#This Row],[Imports_TIV]]</f>
        <v>1000000</v>
      </c>
    </row>
    <row r="1963" spans="1:9">
      <c r="A1963" s="4" t="s">
        <v>425</v>
      </c>
      <c r="B1963" s="4" t="s">
        <v>426</v>
      </c>
      <c r="C1963" s="5">
        <v>2013</v>
      </c>
      <c r="D1963" s="4">
        <v>7000000</v>
      </c>
      <c r="E1963" s="4">
        <v>753000000</v>
      </c>
      <c r="F1963" s="4" t="str">
        <f>_xlfn.LET(_xlpm.r, _xlfn.XLOOKUP(Clean_Data[[#This Row],[Country_Code]], Metadata_Country!$A:$A, Metadata_Country!$B:$B, "Unknown"), IF(OR(_xlpm.r=0, _xlpm.r=""), "Regional Aggregate", _xlpm.r))</f>
        <v>East Asia &amp; Pacific</v>
      </c>
      <c r="G1963" s="4" t="str">
        <f>_xlfn.LET(_xlpm.ig, _xlfn.XLOOKUP(Clean_Data[[#This Row],[Country_Code]], Metadata_Country!$A:$A, Metadata_Country!$C:$C, "Unknown"), IF(OR(_xlpm.ig=0, _xlpm.ig=""), "Regional Aggregate", _xlpm.ig))</f>
        <v>High income</v>
      </c>
      <c r="H1963" s="4">
        <f>Clean_Data[[#This Row],[Exports_TIV]] - Clean_Data[[#This Row],[Imports_TIV]]</f>
        <v>-746000000</v>
      </c>
      <c r="I1963" s="4">
        <f>Clean_Data[[#This Row],[Exports_TIV]] + Clean_Data[[#This Row],[Imports_TIV]]</f>
        <v>760000000</v>
      </c>
    </row>
    <row r="1964" spans="1:9">
      <c r="A1964" s="4" t="s">
        <v>451</v>
      </c>
      <c r="B1964" s="4" t="s">
        <v>452</v>
      </c>
      <c r="C1964" s="5">
        <v>2013</v>
      </c>
      <c r="D1964" s="4">
        <v>1000000</v>
      </c>
      <c r="E1964" s="4">
        <v>5000000</v>
      </c>
      <c r="F1964" s="4" t="str">
        <f>_xlfn.LET(_xlpm.r, _xlfn.XLOOKUP(Clean_Data[[#This Row],[Country_Code]], Metadata_Country!$A:$A, Metadata_Country!$B:$B, "Unknown"), IF(OR(_xlpm.r=0, _xlpm.r=""), "Regional Aggregate", _xlpm.r))</f>
        <v>Europe &amp; Central Asia</v>
      </c>
      <c r="G1964" s="4" t="str">
        <f>_xlfn.LET(_xlpm.ig, _xlfn.XLOOKUP(Clean_Data[[#This Row],[Country_Code]], Metadata_Country!$A:$A, Metadata_Country!$C:$C, "Unknown"), IF(OR(_xlpm.ig=0, _xlpm.ig=""), "Regional Aggregate", _xlpm.ig))</f>
        <v>High income</v>
      </c>
      <c r="H1964" s="4">
        <f>Clean_Data[[#This Row],[Exports_TIV]] - Clean_Data[[#This Row],[Imports_TIV]]</f>
        <v>-4000000</v>
      </c>
      <c r="I1964" s="4">
        <f>Clean_Data[[#This Row],[Exports_TIV]] + Clean_Data[[#This Row],[Imports_TIV]]</f>
        <v>6000000</v>
      </c>
    </row>
    <row r="1965" spans="1:9">
      <c r="A1965" s="4" t="s">
        <v>435</v>
      </c>
      <c r="B1965" s="4" t="s">
        <v>436</v>
      </c>
      <c r="C1965" s="5">
        <v>2013</v>
      </c>
      <c r="D1965" s="4">
        <v>0</v>
      </c>
      <c r="E1965" s="4">
        <v>3000000</v>
      </c>
      <c r="F1965" s="4" t="str">
        <f>_xlfn.LET(_xlpm.r, _xlfn.XLOOKUP(Clean_Data[[#This Row],[Country_Code]], Metadata_Country!$A:$A, Metadata_Country!$B:$B, "Unknown"), IF(OR(_xlpm.r=0, _xlpm.r=""), "Regional Aggregate", _xlpm.r))</f>
        <v>Sub-Saharan Africa</v>
      </c>
      <c r="G1965" s="4" t="str">
        <f>_xlfn.LET(_xlpm.ig, _xlfn.XLOOKUP(Clean_Data[[#This Row],[Country_Code]], Metadata_Country!$A:$A, Metadata_Country!$C:$C, "Unknown"), IF(OR(_xlpm.ig=0, _xlpm.ig=""), "Regional Aggregate", _xlpm.ig))</f>
        <v>Low income</v>
      </c>
      <c r="H1965" s="4">
        <f>Clean_Data[[#This Row],[Exports_TIV]] - Clean_Data[[#This Row],[Imports_TIV]]</f>
        <v>-3000000</v>
      </c>
      <c r="I1965" s="4">
        <f>Clean_Data[[#This Row],[Exports_TIV]] + Clean_Data[[#This Row],[Imports_TIV]]</f>
        <v>3000000</v>
      </c>
    </row>
    <row r="1966" spans="1:9">
      <c r="A1966" s="4" t="s">
        <v>535</v>
      </c>
      <c r="B1966" s="4" t="s">
        <v>536</v>
      </c>
      <c r="C1966" s="5">
        <v>2013</v>
      </c>
      <c r="D1966" s="4">
        <v>109000000</v>
      </c>
      <c r="E1966" s="4">
        <v>1000000</v>
      </c>
      <c r="F1966" s="4" t="str">
        <f>_xlfn.LET(_xlpm.r, _xlfn.XLOOKUP(Clean_Data[[#This Row],[Country_Code]], Metadata_Country!$A:$A, Metadata_Country!$B:$B, "Unknown"), IF(OR(_xlpm.r=0, _xlpm.r=""), "Regional Aggregate", _xlpm.r))</f>
        <v>Sub-Saharan Africa</v>
      </c>
      <c r="G1966" s="4" t="str">
        <f>_xlfn.LET(_xlpm.ig, _xlfn.XLOOKUP(Clean_Data[[#This Row],[Country_Code]], Metadata_Country!$A:$A, Metadata_Country!$C:$C, "Unknown"), IF(OR(_xlpm.ig=0, _xlpm.ig=""), "Regional Aggregate", _xlpm.ig))</f>
        <v>Upper middle income</v>
      </c>
      <c r="H1966" s="4">
        <f>Clean_Data[[#This Row],[Exports_TIV]] - Clean_Data[[#This Row],[Imports_TIV]]</f>
        <v>108000000</v>
      </c>
      <c r="I1966" s="4">
        <f>Clean_Data[[#This Row],[Exports_TIV]] + Clean_Data[[#This Row],[Imports_TIV]]</f>
        <v>110000000</v>
      </c>
    </row>
    <row r="1967" spans="1:9">
      <c r="A1967" s="4" t="s">
        <v>417</v>
      </c>
      <c r="B1967" s="4" t="s">
        <v>418</v>
      </c>
      <c r="C1967" s="5">
        <v>2013</v>
      </c>
      <c r="D1967" s="4">
        <v>18000000</v>
      </c>
      <c r="E1967" s="4">
        <v>5977000000</v>
      </c>
      <c r="F1967" s="4" t="str">
        <f>_xlfn.LET(_xlpm.r, _xlfn.XLOOKUP(Clean_Data[[#This Row],[Country_Code]], Metadata_Country!$A:$A, Metadata_Country!$B:$B, "Unknown"), IF(OR(_xlpm.r=0, _xlpm.r=""), "Regional Aggregate", _xlpm.r))</f>
        <v>Regional Aggregate</v>
      </c>
      <c r="G1967" s="4" t="str">
        <f>_xlfn.LET(_xlpm.ig, _xlfn.XLOOKUP(Clean_Data[[#This Row],[Country_Code]], Metadata_Country!$A:$A, Metadata_Country!$C:$C, "Unknown"), IF(OR(_xlpm.ig=0, _xlpm.ig=""), "Regional Aggregate", _xlpm.ig))</f>
        <v>Regional Aggregate</v>
      </c>
      <c r="H1967" s="4">
        <f>Clean_Data[[#This Row],[Exports_TIV]] - Clean_Data[[#This Row],[Imports_TIV]]</f>
        <v>-5959000000</v>
      </c>
      <c r="I1967" s="4">
        <f>Clean_Data[[#This Row],[Exports_TIV]] + Clean_Data[[#This Row],[Imports_TIV]]</f>
        <v>5995000000</v>
      </c>
    </row>
    <row r="1968" spans="1:9">
      <c r="A1968" s="4" t="s">
        <v>489</v>
      </c>
      <c r="B1968" s="4" t="s">
        <v>490</v>
      </c>
      <c r="C1968" s="5">
        <v>2013</v>
      </c>
      <c r="D1968" s="4">
        <v>18000000</v>
      </c>
      <c r="E1968" s="4">
        <v>5977000000</v>
      </c>
      <c r="F1968" s="4" t="str">
        <f>_xlfn.LET(_xlpm.r, _xlfn.XLOOKUP(Clean_Data[[#This Row],[Country_Code]], Metadata_Country!$A:$A, Metadata_Country!$B:$B, "Unknown"), IF(OR(_xlpm.r=0, _xlpm.r=""), "Regional Aggregate", _xlpm.r))</f>
        <v>Regional Aggregate</v>
      </c>
      <c r="G1968" s="4" t="str">
        <f>_xlfn.LET(_xlpm.ig, _xlfn.XLOOKUP(Clean_Data[[#This Row],[Country_Code]], Metadata_Country!$A:$A, Metadata_Country!$C:$C, "Unknown"), IF(OR(_xlpm.ig=0, _xlpm.ig=""), "Regional Aggregate", _xlpm.ig))</f>
        <v>Regional Aggregate</v>
      </c>
      <c r="H1968" s="4">
        <f>Clean_Data[[#This Row],[Exports_TIV]] - Clean_Data[[#This Row],[Imports_TIV]]</f>
        <v>-5959000000</v>
      </c>
      <c r="I1968" s="4">
        <f>Clean_Data[[#This Row],[Exports_TIV]] + Clean_Data[[#This Row],[Imports_TIV]]</f>
        <v>5995000000</v>
      </c>
    </row>
    <row r="1969" spans="1:9">
      <c r="A1969" s="4" t="s">
        <v>441</v>
      </c>
      <c r="B1969" s="4" t="s">
        <v>442</v>
      </c>
      <c r="C1969" s="5">
        <v>2013</v>
      </c>
      <c r="D1969" s="4">
        <v>0</v>
      </c>
      <c r="E1969" s="4">
        <v>13000000</v>
      </c>
      <c r="F1969" s="4" t="str">
        <f>_xlfn.LET(_xlpm.r, _xlfn.XLOOKUP(Clean_Data[[#This Row],[Country_Code]], Metadata_Country!$A:$A, Metadata_Country!$B:$B, "Unknown"), IF(OR(_xlpm.r=0, _xlpm.r=""), "Regional Aggregate", _xlpm.r))</f>
        <v>Sub-Saharan Africa</v>
      </c>
      <c r="G1969" s="4" t="str">
        <f>_xlfn.LET(_xlpm.ig, _xlfn.XLOOKUP(Clean_Data[[#This Row],[Country_Code]], Metadata_Country!$A:$A, Metadata_Country!$C:$C, "Unknown"), IF(OR(_xlpm.ig=0, _xlpm.ig=""), "Regional Aggregate", _xlpm.ig))</f>
        <v>Low income</v>
      </c>
      <c r="H1969" s="4">
        <f>Clean_Data[[#This Row],[Exports_TIV]] - Clean_Data[[#This Row],[Imports_TIV]]</f>
        <v>-13000000</v>
      </c>
      <c r="I1969" s="4">
        <f>Clean_Data[[#This Row],[Exports_TIV]] + Clean_Data[[#This Row],[Imports_TIV]]</f>
        <v>13000000</v>
      </c>
    </row>
    <row r="1970" spans="1:9">
      <c r="A1970" s="4" t="s">
        <v>149</v>
      </c>
      <c r="B1970" s="4" t="s">
        <v>150</v>
      </c>
      <c r="C1970" s="5">
        <v>2013</v>
      </c>
      <c r="D1970" s="4">
        <v>450000000</v>
      </c>
      <c r="E1970" s="4">
        <v>155000000</v>
      </c>
      <c r="F1970" s="4" t="str">
        <f>_xlfn.LET(_xlpm.r, _xlfn.XLOOKUP(Clean_Data[[#This Row],[Country_Code]], Metadata_Country!$A:$A, Metadata_Country!$B:$B, "Unknown"), IF(OR(_xlpm.r=0, _xlpm.r=""), "Regional Aggregate", _xlpm.r))</f>
        <v>Europe &amp; Central Asia</v>
      </c>
      <c r="G1970" s="4" t="str">
        <f>_xlfn.LET(_xlpm.ig, _xlfn.XLOOKUP(Clean_Data[[#This Row],[Country_Code]], Metadata_Country!$A:$A, Metadata_Country!$C:$C, "Unknown"), IF(OR(_xlpm.ig=0, _xlpm.ig=""), "Regional Aggregate", _xlpm.ig))</f>
        <v>High income</v>
      </c>
      <c r="H1970" s="4">
        <f>Clean_Data[[#This Row],[Exports_TIV]] - Clean_Data[[#This Row],[Imports_TIV]]</f>
        <v>295000000</v>
      </c>
      <c r="I1970" s="4">
        <f>Clean_Data[[#This Row],[Exports_TIV]] + Clean_Data[[#This Row],[Imports_TIV]]</f>
        <v>605000000</v>
      </c>
    </row>
    <row r="1971" spans="1:9">
      <c r="A1971" s="4" t="s">
        <v>285</v>
      </c>
      <c r="B1971" s="4" t="s">
        <v>286</v>
      </c>
      <c r="C1971" s="5">
        <v>2013</v>
      </c>
      <c r="D1971" s="4">
        <v>0</v>
      </c>
      <c r="E1971" s="4">
        <v>22000000</v>
      </c>
      <c r="F1971" s="4" t="str">
        <f>_xlfn.LET(_xlpm.r, _xlfn.XLOOKUP(Clean_Data[[#This Row],[Country_Code]], Metadata_Country!$A:$A, Metadata_Country!$B:$B, "Unknown"), IF(OR(_xlpm.r=0, _xlpm.r=""), "Regional Aggregate", _xlpm.r))</f>
        <v>South Asia</v>
      </c>
      <c r="G1971" s="4" t="str">
        <f>_xlfn.LET(_xlpm.ig, _xlfn.XLOOKUP(Clean_Data[[#This Row],[Country_Code]], Metadata_Country!$A:$A, Metadata_Country!$C:$C, "Unknown"), IF(OR(_xlpm.ig=0, _xlpm.ig=""), "Regional Aggregate", _xlpm.ig))</f>
        <v>Upper middle income</v>
      </c>
      <c r="H1971" s="4">
        <f>Clean_Data[[#This Row],[Exports_TIV]] - Clean_Data[[#This Row],[Imports_TIV]]</f>
        <v>-22000000</v>
      </c>
      <c r="I1971" s="4">
        <f>Clean_Data[[#This Row],[Exports_TIV]] + Clean_Data[[#This Row],[Imports_TIV]]</f>
        <v>22000000</v>
      </c>
    </row>
    <row r="1972" spans="1:9">
      <c r="A1972" s="4" t="s">
        <v>443</v>
      </c>
      <c r="B1972" s="4" t="s">
        <v>444</v>
      </c>
      <c r="C1972" s="5">
        <v>2013</v>
      </c>
      <c r="D1972" s="4">
        <v>0</v>
      </c>
      <c r="E1972" s="4">
        <v>905000000</v>
      </c>
      <c r="F1972" s="4" t="str">
        <f>_xlfn.LET(_xlpm.r, _xlfn.XLOOKUP(Clean_Data[[#This Row],[Country_Code]], Metadata_Country!$A:$A, Metadata_Country!$B:$B, "Unknown"), IF(OR(_xlpm.r=0, _xlpm.r=""), "Regional Aggregate", _xlpm.r))</f>
        <v>Regional Aggregate</v>
      </c>
      <c r="G1972" s="4" t="str">
        <f>_xlfn.LET(_xlpm.ig, _xlfn.XLOOKUP(Clean_Data[[#This Row],[Country_Code]], Metadata_Country!$A:$A, Metadata_Country!$C:$C, "Unknown"), IF(OR(_xlpm.ig=0, _xlpm.ig=""), "Regional Aggregate", _xlpm.ig))</f>
        <v>Regional Aggregate</v>
      </c>
      <c r="H1972" s="4">
        <f>Clean_Data[[#This Row],[Exports_TIV]] - Clean_Data[[#This Row],[Imports_TIV]]</f>
        <v>-905000000</v>
      </c>
      <c r="I1972" s="4">
        <f>Clean_Data[[#This Row],[Exports_TIV]] + Clean_Data[[#This Row],[Imports_TIV]]</f>
        <v>905000000</v>
      </c>
    </row>
    <row r="1973" spans="1:9">
      <c r="A1973" s="4" t="s">
        <v>439</v>
      </c>
      <c r="B1973" s="4" t="s">
        <v>440</v>
      </c>
      <c r="C1973" s="5">
        <v>2013</v>
      </c>
      <c r="D1973" s="4">
        <v>0</v>
      </c>
      <c r="E1973" s="4">
        <v>895000000</v>
      </c>
      <c r="F1973" s="4" t="str">
        <f>_xlfn.LET(_xlpm.r, _xlfn.XLOOKUP(Clean_Data[[#This Row],[Country_Code]], Metadata_Country!$A:$A, Metadata_Country!$B:$B, "Unknown"), IF(OR(_xlpm.r=0, _xlpm.r=""), "Regional Aggregate", _xlpm.r))</f>
        <v>Regional Aggregate</v>
      </c>
      <c r="G1973" s="4" t="str">
        <f>_xlfn.LET(_xlpm.ig, _xlfn.XLOOKUP(Clean_Data[[#This Row],[Country_Code]], Metadata_Country!$A:$A, Metadata_Country!$C:$C, "Unknown"), IF(OR(_xlpm.ig=0, _xlpm.ig=""), "Regional Aggregate", _xlpm.ig))</f>
        <v>Regional Aggregate</v>
      </c>
      <c r="H1973" s="4">
        <f>Clean_Data[[#This Row],[Exports_TIV]] - Clean_Data[[#This Row],[Imports_TIV]]</f>
        <v>-895000000</v>
      </c>
      <c r="I1973" s="4">
        <f>Clean_Data[[#This Row],[Exports_TIV]] + Clean_Data[[#This Row],[Imports_TIV]]</f>
        <v>895000000</v>
      </c>
    </row>
    <row r="1974" spans="1:9">
      <c r="A1974" s="4" t="s">
        <v>491</v>
      </c>
      <c r="B1974" s="4" t="s">
        <v>492</v>
      </c>
      <c r="C1974" s="5">
        <v>2013</v>
      </c>
      <c r="D1974" s="4">
        <v>0</v>
      </c>
      <c r="E1974" s="4">
        <v>905000000</v>
      </c>
      <c r="F1974" s="4" t="str">
        <f>_xlfn.LET(_xlpm.r, _xlfn.XLOOKUP(Clean_Data[[#This Row],[Country_Code]], Metadata_Country!$A:$A, Metadata_Country!$B:$B, "Unknown"), IF(OR(_xlpm.r=0, _xlpm.r=""), "Regional Aggregate", _xlpm.r))</f>
        <v>Regional Aggregate</v>
      </c>
      <c r="G1974" s="4" t="str">
        <f>_xlfn.LET(_xlpm.ig, _xlfn.XLOOKUP(Clean_Data[[#This Row],[Country_Code]], Metadata_Country!$A:$A, Metadata_Country!$C:$C, "Unknown"), IF(OR(_xlpm.ig=0, _xlpm.ig=""), "Regional Aggregate", _xlpm.ig))</f>
        <v>Regional Aggregate</v>
      </c>
      <c r="H1974" s="4">
        <f>Clean_Data[[#This Row],[Exports_TIV]] - Clean_Data[[#This Row],[Imports_TIV]]</f>
        <v>-905000000</v>
      </c>
      <c r="I1974" s="4">
        <f>Clean_Data[[#This Row],[Exports_TIV]] + Clean_Data[[#This Row],[Imports_TIV]]</f>
        <v>905000000</v>
      </c>
    </row>
    <row r="1975" spans="1:9">
      <c r="A1975" s="4" t="s">
        <v>421</v>
      </c>
      <c r="B1975" s="4" t="s">
        <v>422</v>
      </c>
      <c r="C1975" s="5">
        <v>2013</v>
      </c>
      <c r="D1975" s="4">
        <v>11000000</v>
      </c>
      <c r="E1975" s="4">
        <v>155000000</v>
      </c>
      <c r="F1975" s="4" t="str">
        <f>_xlfn.LET(_xlpm.r, _xlfn.XLOOKUP(Clean_Data[[#This Row],[Country_Code]], Metadata_Country!$A:$A, Metadata_Country!$B:$B, "Unknown"), IF(OR(_xlpm.r=0, _xlpm.r=""), "Regional Aggregate", _xlpm.r))</f>
        <v>Sub-Saharan Africa</v>
      </c>
      <c r="G1975" s="4" t="str">
        <f>_xlfn.LET(_xlpm.ig, _xlfn.XLOOKUP(Clean_Data[[#This Row],[Country_Code]], Metadata_Country!$A:$A, Metadata_Country!$C:$C, "Unknown"), IF(OR(_xlpm.ig=0, _xlpm.ig=""), "Regional Aggregate", _xlpm.ig))</f>
        <v>Low income</v>
      </c>
      <c r="H1975" s="4">
        <f>Clean_Data[[#This Row],[Exports_TIV]] - Clean_Data[[#This Row],[Imports_TIV]]</f>
        <v>-144000000</v>
      </c>
      <c r="I1975" s="4">
        <f>Clean_Data[[#This Row],[Exports_TIV]] + Clean_Data[[#This Row],[Imports_TIV]]</f>
        <v>166000000</v>
      </c>
    </row>
    <row r="1976" spans="1:9">
      <c r="A1976" s="4" t="s">
        <v>449</v>
      </c>
      <c r="B1976" s="4" t="s">
        <v>450</v>
      </c>
      <c r="C1976" s="5">
        <v>2013</v>
      </c>
      <c r="D1976" s="4">
        <v>0</v>
      </c>
      <c r="E1976" s="4">
        <v>7000000</v>
      </c>
      <c r="F1976" s="4" t="str">
        <f>_xlfn.LET(_xlpm.r, _xlfn.XLOOKUP(Clean_Data[[#This Row],[Country_Code]], Metadata_Country!$A:$A, Metadata_Country!$B:$B, "Unknown"), IF(OR(_xlpm.r=0, _xlpm.r=""), "Regional Aggregate", _xlpm.r))</f>
        <v>Latin America &amp; Caribbean</v>
      </c>
      <c r="G1976" s="4" t="str">
        <f>_xlfn.LET(_xlpm.ig, _xlfn.XLOOKUP(Clean_Data[[#This Row],[Country_Code]], Metadata_Country!$A:$A, Metadata_Country!$C:$C, "Unknown"), IF(OR(_xlpm.ig=0, _xlpm.ig=""), "Regional Aggregate", _xlpm.ig))</f>
        <v>Upper middle income</v>
      </c>
      <c r="H1976" s="4">
        <f>Clean_Data[[#This Row],[Exports_TIV]] - Clean_Data[[#This Row],[Imports_TIV]]</f>
        <v>-7000000</v>
      </c>
      <c r="I1976" s="4">
        <f>Clean_Data[[#This Row],[Exports_TIV]] + Clean_Data[[#This Row],[Imports_TIV]]</f>
        <v>7000000</v>
      </c>
    </row>
    <row r="1977" spans="1:9">
      <c r="A1977" s="4" t="s">
        <v>455</v>
      </c>
      <c r="B1977" s="4" t="s">
        <v>456</v>
      </c>
      <c r="C1977" s="5">
        <v>2013</v>
      </c>
      <c r="D1977" s="4">
        <v>383000000</v>
      </c>
      <c r="E1977" s="4">
        <v>58000000</v>
      </c>
      <c r="F1977" s="4" t="str">
        <f>_xlfn.LET(_xlpm.r, _xlfn.XLOOKUP(Clean_Data[[#This Row],[Country_Code]], Metadata_Country!$A:$A, Metadata_Country!$B:$B, "Unknown"), IF(OR(_xlpm.r=0, _xlpm.r=""), "Regional Aggregate", _xlpm.r))</f>
        <v>Europe &amp; Central Asia</v>
      </c>
      <c r="G1977" s="4" t="str">
        <f>_xlfn.LET(_xlpm.ig, _xlfn.XLOOKUP(Clean_Data[[#This Row],[Country_Code]], Metadata_Country!$A:$A, Metadata_Country!$C:$C, "Unknown"), IF(OR(_xlpm.ig=0, _xlpm.ig=""), "Regional Aggregate", _xlpm.ig))</f>
        <v>High income</v>
      </c>
      <c r="H1977" s="4">
        <f>Clean_Data[[#This Row],[Exports_TIV]] - Clean_Data[[#This Row],[Imports_TIV]]</f>
        <v>325000000</v>
      </c>
      <c r="I1977" s="4">
        <f>Clean_Data[[#This Row],[Exports_TIV]] + Clean_Data[[#This Row],[Imports_TIV]]</f>
        <v>441000000</v>
      </c>
    </row>
    <row r="1978" spans="1:9">
      <c r="A1978" s="4" t="s">
        <v>83</v>
      </c>
      <c r="B1978" s="4" t="s">
        <v>84</v>
      </c>
      <c r="C1978" s="5">
        <v>2013</v>
      </c>
      <c r="D1978" s="4">
        <v>213000000</v>
      </c>
      <c r="E1978" s="4">
        <v>0</v>
      </c>
      <c r="F1978" s="4" t="str">
        <f>_xlfn.LET(_xlpm.r, _xlfn.XLOOKUP(Clean_Data[[#This Row],[Country_Code]], Metadata_Country!$A:$A, Metadata_Country!$B:$B, "Unknown"), IF(OR(_xlpm.r=0, _xlpm.r=""), "Regional Aggregate", _xlpm.r))</f>
        <v>Europe &amp; Central Asia</v>
      </c>
      <c r="G1978" s="4" t="str">
        <f>_xlfn.LET(_xlpm.ig, _xlfn.XLOOKUP(Clean_Data[[#This Row],[Country_Code]], Metadata_Country!$A:$A, Metadata_Country!$C:$C, "Unknown"), IF(OR(_xlpm.ig=0, _xlpm.ig=""), "Regional Aggregate", _xlpm.ig))</f>
        <v>High income</v>
      </c>
      <c r="H1978" s="4">
        <f>Clean_Data[[#This Row],[Exports_TIV]] - Clean_Data[[#This Row],[Imports_TIV]]</f>
        <v>213000000</v>
      </c>
      <c r="I1978" s="4">
        <f>Clean_Data[[#This Row],[Exports_TIV]] + Clean_Data[[#This Row],[Imports_TIV]]</f>
        <v>213000000</v>
      </c>
    </row>
    <row r="1979" spans="1:9">
      <c r="A1979" s="4" t="s">
        <v>463</v>
      </c>
      <c r="B1979" s="4" t="s">
        <v>464</v>
      </c>
      <c r="C1979" s="5">
        <v>2013</v>
      </c>
      <c r="D1979" s="4">
        <v>0</v>
      </c>
      <c r="E1979" s="4">
        <v>498000000</v>
      </c>
      <c r="F1979" s="4" t="str">
        <f>_xlfn.LET(_xlpm.r, _xlfn.XLOOKUP(Clean_Data[[#This Row],[Country_Code]], Metadata_Country!$A:$A, Metadata_Country!$B:$B, "Unknown"), IF(OR(_xlpm.r=0, _xlpm.r=""), "Regional Aggregate", _xlpm.r))</f>
        <v>Middle East &amp; North Africa</v>
      </c>
      <c r="G1979" s="4" t="str">
        <f>_xlfn.LET(_xlpm.ig, _xlfn.XLOOKUP(Clean_Data[[#This Row],[Country_Code]], Metadata_Country!$A:$A, Metadata_Country!$C:$C, "Unknown"), IF(OR(_xlpm.ig=0, _xlpm.ig=""), "Regional Aggregate", _xlpm.ig))</f>
        <v>Low income</v>
      </c>
      <c r="H1979" s="4">
        <f>Clean_Data[[#This Row],[Exports_TIV]] - Clean_Data[[#This Row],[Imports_TIV]]</f>
        <v>-498000000</v>
      </c>
      <c r="I1979" s="4">
        <f>Clean_Data[[#This Row],[Exports_TIV]] + Clean_Data[[#This Row],[Imports_TIV]]</f>
        <v>498000000</v>
      </c>
    </row>
    <row r="1980" spans="1:9">
      <c r="A1980" s="4" t="s">
        <v>477</v>
      </c>
      <c r="B1980" s="4" t="s">
        <v>478</v>
      </c>
      <c r="C1980" s="5">
        <v>2013</v>
      </c>
      <c r="D1980" s="4">
        <v>0</v>
      </c>
      <c r="E1980" s="4">
        <v>4000000</v>
      </c>
      <c r="F1980" s="4" t="str">
        <f>_xlfn.LET(_xlpm.r, _xlfn.XLOOKUP(Clean_Data[[#This Row],[Country_Code]], Metadata_Country!$A:$A, Metadata_Country!$B:$B, "Unknown"), IF(OR(_xlpm.r=0, _xlpm.r=""), "Regional Aggregate", _xlpm.r))</f>
        <v>Europe &amp; Central Asia</v>
      </c>
      <c r="G1980" s="4" t="str">
        <f>_xlfn.LET(_xlpm.ig, _xlfn.XLOOKUP(Clean_Data[[#This Row],[Country_Code]], Metadata_Country!$A:$A, Metadata_Country!$C:$C, "Unknown"), IF(OR(_xlpm.ig=0, _xlpm.ig=""), "Regional Aggregate", _xlpm.ig))</f>
        <v>Lower middle income</v>
      </c>
      <c r="H1980" s="4">
        <f>Clean_Data[[#This Row],[Exports_TIV]] - Clean_Data[[#This Row],[Imports_TIV]]</f>
        <v>-4000000</v>
      </c>
      <c r="I1980" s="4">
        <f>Clean_Data[[#This Row],[Exports_TIV]] + Clean_Data[[#This Row],[Imports_TIV]]</f>
        <v>4000000</v>
      </c>
    </row>
    <row r="1981" spans="1:9">
      <c r="A1981" s="4" t="s">
        <v>501</v>
      </c>
      <c r="B1981" s="4" t="s">
        <v>502</v>
      </c>
      <c r="C1981" s="5">
        <v>2013</v>
      </c>
      <c r="D1981" s="4">
        <v>0</v>
      </c>
      <c r="E1981" s="4">
        <v>130000000</v>
      </c>
      <c r="F1981" s="4" t="str">
        <f>_xlfn.LET(_xlpm.r, _xlfn.XLOOKUP(Clean_Data[[#This Row],[Country_Code]], Metadata_Country!$A:$A, Metadata_Country!$B:$B, "Unknown"), IF(OR(_xlpm.r=0, _xlpm.r=""), "Regional Aggregate", _xlpm.r))</f>
        <v>Sub-Saharan Africa</v>
      </c>
      <c r="G1981" s="4" t="str">
        <f>_xlfn.LET(_xlpm.ig, _xlfn.XLOOKUP(Clean_Data[[#This Row],[Country_Code]], Metadata_Country!$A:$A, Metadata_Country!$C:$C, "Unknown"), IF(OR(_xlpm.ig=0, _xlpm.ig=""), "Regional Aggregate", _xlpm.ig))</f>
        <v>Lower middle income</v>
      </c>
      <c r="H1981" s="4">
        <f>Clean_Data[[#This Row],[Exports_TIV]] - Clean_Data[[#This Row],[Imports_TIV]]</f>
        <v>-130000000</v>
      </c>
      <c r="I1981" s="4">
        <f>Clean_Data[[#This Row],[Exports_TIV]] + Clean_Data[[#This Row],[Imports_TIV]]</f>
        <v>130000000</v>
      </c>
    </row>
    <row r="1982" spans="1:9">
      <c r="A1982" s="4" t="s">
        <v>475</v>
      </c>
      <c r="B1982" s="4" t="s">
        <v>476</v>
      </c>
      <c r="C1982" s="5">
        <v>2013</v>
      </c>
      <c r="D1982" s="4">
        <v>0</v>
      </c>
      <c r="E1982" s="4">
        <v>383000000</v>
      </c>
      <c r="F1982" s="4" t="str">
        <f>_xlfn.LET(_xlpm.r, _xlfn.XLOOKUP(Clean_Data[[#This Row],[Country_Code]], Metadata_Country!$A:$A, Metadata_Country!$B:$B, "Unknown"), IF(OR(_xlpm.r=0, _xlpm.r=""), "Regional Aggregate", _xlpm.r))</f>
        <v>East Asia &amp; Pacific</v>
      </c>
      <c r="G1982" s="4" t="str">
        <f>_xlfn.LET(_xlpm.ig, _xlfn.XLOOKUP(Clean_Data[[#This Row],[Country_Code]], Metadata_Country!$A:$A, Metadata_Country!$C:$C, "Unknown"), IF(OR(_xlpm.ig=0, _xlpm.ig=""), "Regional Aggregate", _xlpm.ig))</f>
        <v>Upper middle income</v>
      </c>
      <c r="H1982" s="4">
        <f>Clean_Data[[#This Row],[Exports_TIV]] - Clean_Data[[#This Row],[Imports_TIV]]</f>
        <v>-383000000</v>
      </c>
      <c r="I1982" s="4">
        <f>Clean_Data[[#This Row],[Exports_TIV]] + Clean_Data[[#This Row],[Imports_TIV]]</f>
        <v>383000000</v>
      </c>
    </row>
    <row r="1983" spans="1:9">
      <c r="A1983" s="4" t="s">
        <v>495</v>
      </c>
      <c r="B1983" s="4" t="s">
        <v>496</v>
      </c>
      <c r="C1983" s="5">
        <v>2013</v>
      </c>
      <c r="D1983" s="4">
        <v>0</v>
      </c>
      <c r="E1983" s="4">
        <v>40000000</v>
      </c>
      <c r="F1983" s="4" t="str">
        <f>_xlfn.LET(_xlpm.r, _xlfn.XLOOKUP(Clean_Data[[#This Row],[Country_Code]], Metadata_Country!$A:$A, Metadata_Country!$B:$B, "Unknown"), IF(OR(_xlpm.r=0, _xlpm.r=""), "Regional Aggregate", _xlpm.r))</f>
        <v>Middle East &amp; North Africa</v>
      </c>
      <c r="G1983" s="4" t="str">
        <f>_xlfn.LET(_xlpm.ig, _xlfn.XLOOKUP(Clean_Data[[#This Row],[Country_Code]], Metadata_Country!$A:$A, Metadata_Country!$C:$C, "Unknown"), IF(OR(_xlpm.ig=0, _xlpm.ig=""), "Regional Aggregate", _xlpm.ig))</f>
        <v>Lower middle income</v>
      </c>
      <c r="H1983" s="4">
        <f>Clean_Data[[#This Row],[Exports_TIV]] - Clean_Data[[#This Row],[Imports_TIV]]</f>
        <v>-40000000</v>
      </c>
      <c r="I1983" s="4">
        <f>Clean_Data[[#This Row],[Exports_TIV]] + Clean_Data[[#This Row],[Imports_TIV]]</f>
        <v>40000000</v>
      </c>
    </row>
    <row r="1984" spans="1:9">
      <c r="A1984" s="4" t="s">
        <v>497</v>
      </c>
      <c r="B1984" s="4" t="s">
        <v>498</v>
      </c>
      <c r="C1984" s="5">
        <v>2013</v>
      </c>
      <c r="D1984" s="4">
        <v>146000000</v>
      </c>
      <c r="E1984" s="4">
        <v>769000000</v>
      </c>
      <c r="F1984" s="4" t="str">
        <f>_xlfn.LET(_xlpm.r, _xlfn.XLOOKUP(Clean_Data[[#This Row],[Country_Code]], Metadata_Country!$A:$A, Metadata_Country!$B:$B, "Unknown"), IF(OR(_xlpm.r=0, _xlpm.r=""), "Regional Aggregate", _xlpm.r))</f>
        <v>Europe &amp; Central Asia</v>
      </c>
      <c r="G1984" s="4" t="str">
        <f>_xlfn.LET(_xlpm.ig, _xlfn.XLOOKUP(Clean_Data[[#This Row],[Country_Code]], Metadata_Country!$A:$A, Metadata_Country!$C:$C, "Unknown"), IF(OR(_xlpm.ig=0, _xlpm.ig=""), "Regional Aggregate", _xlpm.ig))</f>
        <v>Upper middle income</v>
      </c>
      <c r="H1984" s="4">
        <f>Clean_Data[[#This Row],[Exports_TIV]] - Clean_Data[[#This Row],[Imports_TIV]]</f>
        <v>-623000000</v>
      </c>
      <c r="I1984" s="4">
        <f>Clean_Data[[#This Row],[Exports_TIV]] + Clean_Data[[#This Row],[Imports_TIV]]</f>
        <v>915000000</v>
      </c>
    </row>
    <row r="1985" spans="1:9">
      <c r="A1985" s="4" t="s">
        <v>479</v>
      </c>
      <c r="B1985" s="4" t="s">
        <v>480</v>
      </c>
      <c r="C1985" s="5">
        <v>2013</v>
      </c>
      <c r="D1985" s="4">
        <v>0</v>
      </c>
      <c r="E1985" s="4">
        <v>69000000</v>
      </c>
      <c r="F1985" s="4" t="str">
        <f>_xlfn.LET(_xlpm.r, _xlfn.XLOOKUP(Clean_Data[[#This Row],[Country_Code]], Metadata_Country!$A:$A, Metadata_Country!$B:$B, "Unknown"), IF(OR(_xlpm.r=0, _xlpm.r=""), "Regional Aggregate", _xlpm.r))</f>
        <v>Europe &amp; Central Asia</v>
      </c>
      <c r="G1985" s="4" t="str">
        <f>_xlfn.LET(_xlpm.ig, _xlfn.XLOOKUP(Clean_Data[[#This Row],[Country_Code]], Metadata_Country!$A:$A, Metadata_Country!$C:$C, "Unknown"), IF(OR(_xlpm.ig=0, _xlpm.ig=""), "Regional Aggregate", _xlpm.ig))</f>
        <v>Upper middle income</v>
      </c>
      <c r="H1985" s="4">
        <f>Clean_Data[[#This Row],[Exports_TIV]] - Clean_Data[[#This Row],[Imports_TIV]]</f>
        <v>-69000000</v>
      </c>
      <c r="I1985" s="4">
        <f>Clean_Data[[#This Row],[Exports_TIV]] + Clean_Data[[#This Row],[Imports_TIV]]</f>
        <v>69000000</v>
      </c>
    </row>
    <row r="1986" spans="1:9">
      <c r="A1986" s="4" t="s">
        <v>503</v>
      </c>
      <c r="B1986" s="4" t="s">
        <v>504</v>
      </c>
      <c r="C1986" s="5">
        <v>2013</v>
      </c>
      <c r="D1986" s="4">
        <v>0</v>
      </c>
      <c r="E1986" s="4">
        <v>20000000</v>
      </c>
      <c r="F1986" s="4" t="str">
        <f>_xlfn.LET(_xlpm.r, _xlfn.XLOOKUP(Clean_Data[[#This Row],[Country_Code]], Metadata_Country!$A:$A, Metadata_Country!$B:$B, "Unknown"), IF(OR(_xlpm.r=0, _xlpm.r=""), "Regional Aggregate", _xlpm.r))</f>
        <v>Sub-Saharan Africa</v>
      </c>
      <c r="G1986" s="4" t="str">
        <f>_xlfn.LET(_xlpm.ig, _xlfn.XLOOKUP(Clean_Data[[#This Row],[Country_Code]], Metadata_Country!$A:$A, Metadata_Country!$C:$C, "Unknown"), IF(OR(_xlpm.ig=0, _xlpm.ig=""), "Regional Aggregate", _xlpm.ig))</f>
        <v>Low income</v>
      </c>
      <c r="H1986" s="4">
        <f>Clean_Data[[#This Row],[Exports_TIV]] - Clean_Data[[#This Row],[Imports_TIV]]</f>
        <v>-20000000</v>
      </c>
      <c r="I1986" s="4">
        <f>Clean_Data[[#This Row],[Exports_TIV]] + Clean_Data[[#This Row],[Imports_TIV]]</f>
        <v>20000000</v>
      </c>
    </row>
    <row r="1987" spans="1:9">
      <c r="A1987" s="4" t="s">
        <v>505</v>
      </c>
      <c r="B1987" s="4" t="s">
        <v>506</v>
      </c>
      <c r="C1987" s="5">
        <v>2013</v>
      </c>
      <c r="D1987" s="4">
        <v>688000000</v>
      </c>
      <c r="E1987" s="4">
        <v>0</v>
      </c>
      <c r="F1987" s="4" t="str">
        <f>_xlfn.LET(_xlpm.r, _xlfn.XLOOKUP(Clean_Data[[#This Row],[Country_Code]], Metadata_Country!$A:$A, Metadata_Country!$B:$B, "Unknown"), IF(OR(_xlpm.r=0, _xlpm.r=""), "Regional Aggregate", _xlpm.r))</f>
        <v>Europe &amp; Central Asia</v>
      </c>
      <c r="G1987" s="4" t="str">
        <f>_xlfn.LET(_xlpm.ig, _xlfn.XLOOKUP(Clean_Data[[#This Row],[Country_Code]], Metadata_Country!$A:$A, Metadata_Country!$C:$C, "Unknown"), IF(OR(_xlpm.ig=0, _xlpm.ig=""), "Regional Aggregate", _xlpm.ig))</f>
        <v>Upper middle income</v>
      </c>
      <c r="H1987" s="4">
        <f>Clean_Data[[#This Row],[Exports_TIV]] - Clean_Data[[#This Row],[Imports_TIV]]</f>
        <v>688000000</v>
      </c>
      <c r="I1987" s="4">
        <f>Clean_Data[[#This Row],[Exports_TIV]] + Clean_Data[[#This Row],[Imports_TIV]]</f>
        <v>688000000</v>
      </c>
    </row>
    <row r="1988" spans="1:9">
      <c r="A1988" s="4" t="s">
        <v>25</v>
      </c>
      <c r="B1988" s="4" t="s">
        <v>26</v>
      </c>
      <c r="C1988" s="5">
        <v>2013</v>
      </c>
      <c r="D1988" s="4">
        <v>115000000</v>
      </c>
      <c r="E1988" s="4">
        <v>2324000000</v>
      </c>
      <c r="F1988" s="4" t="str">
        <f>_xlfn.LET(_xlpm.r, _xlfn.XLOOKUP(Clean_Data[[#This Row],[Country_Code]], Metadata_Country!$A:$A, Metadata_Country!$B:$B, "Unknown"), IF(OR(_xlpm.r=0, _xlpm.r=""), "Regional Aggregate", _xlpm.r))</f>
        <v>Middle East &amp; North Africa</v>
      </c>
      <c r="G1988" s="4" t="str">
        <f>_xlfn.LET(_xlpm.ig, _xlfn.XLOOKUP(Clean_Data[[#This Row],[Country_Code]], Metadata_Country!$A:$A, Metadata_Country!$C:$C, "Unknown"), IF(OR(_xlpm.ig=0, _xlpm.ig=""), "Regional Aggregate", _xlpm.ig))</f>
        <v>High income</v>
      </c>
      <c r="H1988" s="4">
        <f>Clean_Data[[#This Row],[Exports_TIV]] - Clean_Data[[#This Row],[Imports_TIV]]</f>
        <v>-2209000000</v>
      </c>
      <c r="I1988" s="4">
        <f>Clean_Data[[#This Row],[Exports_TIV]] + Clean_Data[[#This Row],[Imports_TIV]]</f>
        <v>2439000000</v>
      </c>
    </row>
    <row r="1989" spans="1:9">
      <c r="A1989" s="4" t="s">
        <v>171</v>
      </c>
      <c r="B1989" s="4" t="s">
        <v>172</v>
      </c>
      <c r="C1989" s="5">
        <v>2013</v>
      </c>
      <c r="D1989" s="4">
        <v>1509000000</v>
      </c>
      <c r="E1989" s="4">
        <v>509000000</v>
      </c>
      <c r="F1989" s="4" t="str">
        <f>_xlfn.LET(_xlpm.r, _xlfn.XLOOKUP(Clean_Data[[#This Row],[Country_Code]], Metadata_Country!$A:$A, Metadata_Country!$B:$B, "Unknown"), IF(OR(_xlpm.r=0, _xlpm.r=""), "Regional Aggregate", _xlpm.r))</f>
        <v>Europe &amp; Central Asia</v>
      </c>
      <c r="G1989" s="4" t="str">
        <f>_xlfn.LET(_xlpm.ig, _xlfn.XLOOKUP(Clean_Data[[#This Row],[Country_Code]], Metadata_Country!$A:$A, Metadata_Country!$C:$C, "Unknown"), IF(OR(_xlpm.ig=0, _xlpm.ig=""), "Regional Aggregate", _xlpm.ig))</f>
        <v>High income</v>
      </c>
      <c r="H1989" s="4">
        <f>Clean_Data[[#This Row],[Exports_TIV]] - Clean_Data[[#This Row],[Imports_TIV]]</f>
        <v>1000000000</v>
      </c>
      <c r="I1989" s="4">
        <f>Clean_Data[[#This Row],[Exports_TIV]] + Clean_Data[[#This Row],[Imports_TIV]]</f>
        <v>2018000000</v>
      </c>
    </row>
    <row r="1990" spans="1:9">
      <c r="A1990" s="4" t="s">
        <v>511</v>
      </c>
      <c r="B1990" s="4" t="s">
        <v>512</v>
      </c>
      <c r="C1990" s="5">
        <v>2013</v>
      </c>
      <c r="D1990" s="4">
        <v>7770000000</v>
      </c>
      <c r="E1990" s="4">
        <v>767000000</v>
      </c>
      <c r="F1990" s="4" t="str">
        <f>_xlfn.LET(_xlpm.r, _xlfn.XLOOKUP(Clean_Data[[#This Row],[Country_Code]], Metadata_Country!$A:$A, Metadata_Country!$B:$B, "Unknown"), IF(OR(_xlpm.r=0, _xlpm.r=""), "Regional Aggregate", _xlpm.r))</f>
        <v>North America</v>
      </c>
      <c r="G1990" s="4" t="str">
        <f>_xlfn.LET(_xlpm.ig, _xlfn.XLOOKUP(Clean_Data[[#This Row],[Country_Code]], Metadata_Country!$A:$A, Metadata_Country!$C:$C, "Unknown"), IF(OR(_xlpm.ig=0, _xlpm.ig=""), "Regional Aggregate", _xlpm.ig))</f>
        <v>High income</v>
      </c>
      <c r="H1990" s="4">
        <f>Clean_Data[[#This Row],[Exports_TIV]] - Clean_Data[[#This Row],[Imports_TIV]]</f>
        <v>7003000000</v>
      </c>
      <c r="I1990" s="4">
        <f>Clean_Data[[#This Row],[Exports_TIV]] + Clean_Data[[#This Row],[Imports_TIV]]</f>
        <v>8537000000</v>
      </c>
    </row>
    <row r="1991" spans="1:9">
      <c r="A1991" s="4" t="s">
        <v>507</v>
      </c>
      <c r="B1991" s="4" t="s">
        <v>508</v>
      </c>
      <c r="C1991" s="5">
        <v>2013</v>
      </c>
      <c r="D1991" s="4">
        <v>0</v>
      </c>
      <c r="E1991" s="4">
        <v>5953000000</v>
      </c>
      <c r="F1991" s="4" t="str">
        <f>_xlfn.LET(_xlpm.r, _xlfn.XLOOKUP(Clean_Data[[#This Row],[Country_Code]], Metadata_Country!$A:$A, Metadata_Country!$B:$B, "Unknown"), IF(OR(_xlpm.r=0, _xlpm.r=""), "Regional Aggregate", _xlpm.r))</f>
        <v>Regional Aggregate</v>
      </c>
      <c r="G1991" s="4" t="str">
        <f>_xlfn.LET(_xlpm.ig, _xlfn.XLOOKUP(Clean_Data[[#This Row],[Country_Code]], Metadata_Country!$A:$A, Metadata_Country!$C:$C, "Unknown"), IF(OR(_xlpm.ig=0, _xlpm.ig=""), "Regional Aggregate", _xlpm.ig))</f>
        <v>Regional Aggregate</v>
      </c>
      <c r="H1991" s="4">
        <f>Clean_Data[[#This Row],[Exports_TIV]] - Clean_Data[[#This Row],[Imports_TIV]]</f>
        <v>-5953000000</v>
      </c>
      <c r="I1991" s="4">
        <f>Clean_Data[[#This Row],[Exports_TIV]] + Clean_Data[[#This Row],[Imports_TIV]]</f>
        <v>5953000000</v>
      </c>
    </row>
    <row r="1992" spans="1:9">
      <c r="A1992" s="4" t="s">
        <v>509</v>
      </c>
      <c r="B1992" s="4" t="s">
        <v>510</v>
      </c>
      <c r="C1992" s="5">
        <v>2013</v>
      </c>
      <c r="D1992" s="4">
        <v>0</v>
      </c>
      <c r="E1992" s="4">
        <v>3000000</v>
      </c>
      <c r="F1992" s="4" t="str">
        <f>_xlfn.LET(_xlpm.r, _xlfn.XLOOKUP(Clean_Data[[#This Row],[Country_Code]], Metadata_Country!$A:$A, Metadata_Country!$B:$B, "Unknown"), IF(OR(_xlpm.r=0, _xlpm.r=""), "Regional Aggregate", _xlpm.r))</f>
        <v>Latin America &amp; Caribbean</v>
      </c>
      <c r="G1992" s="4" t="str">
        <f>_xlfn.LET(_xlpm.ig, _xlfn.XLOOKUP(Clean_Data[[#This Row],[Country_Code]], Metadata_Country!$A:$A, Metadata_Country!$C:$C, "Unknown"), IF(OR(_xlpm.ig=0, _xlpm.ig=""), "Regional Aggregate", _xlpm.ig))</f>
        <v>High income</v>
      </c>
      <c r="H1992" s="4">
        <f>Clean_Data[[#This Row],[Exports_TIV]] - Clean_Data[[#This Row],[Imports_TIV]]</f>
        <v>-3000000</v>
      </c>
      <c r="I1992" s="4">
        <f>Clean_Data[[#This Row],[Exports_TIV]] + Clean_Data[[#This Row],[Imports_TIV]]</f>
        <v>3000000</v>
      </c>
    </row>
    <row r="1993" spans="1:9">
      <c r="A1993" s="4" t="s">
        <v>517</v>
      </c>
      <c r="B1993" s="4" t="s">
        <v>518</v>
      </c>
      <c r="C1993" s="5">
        <v>2013</v>
      </c>
      <c r="D1993" s="4">
        <v>0</v>
      </c>
      <c r="E1993" s="4">
        <v>1006000000</v>
      </c>
      <c r="F1993" s="4" t="str">
        <f>_xlfn.LET(_xlpm.r, _xlfn.XLOOKUP(Clean_Data[[#This Row],[Country_Code]], Metadata_Country!$A:$A, Metadata_Country!$B:$B, "Unknown"), IF(OR(_xlpm.r=0, _xlpm.r=""), "Regional Aggregate", _xlpm.r))</f>
        <v>Latin America &amp; Caribbean</v>
      </c>
      <c r="G1993" s="4" t="str">
        <f>_xlfn.LET(_xlpm.ig, _xlfn.XLOOKUP(Clean_Data[[#This Row],[Country_Code]], Metadata_Country!$A:$A, Metadata_Country!$C:$C, "Unknown"), IF(OR(_xlpm.ig=0, _xlpm.ig=""), "Regional Aggregate", _xlpm.ig))</f>
        <v>Lower middle income</v>
      </c>
      <c r="H1993" s="4">
        <f>Clean_Data[[#This Row],[Exports_TIV]] - Clean_Data[[#This Row],[Imports_TIV]]</f>
        <v>-1006000000</v>
      </c>
      <c r="I1993" s="4">
        <f>Clean_Data[[#This Row],[Exports_TIV]] + Clean_Data[[#This Row],[Imports_TIV]]</f>
        <v>1006000000</v>
      </c>
    </row>
    <row r="1994" spans="1:9">
      <c r="A1994" s="4" t="s">
        <v>523</v>
      </c>
      <c r="B1994" s="4" t="s">
        <v>524</v>
      </c>
      <c r="C1994" s="5">
        <v>2013</v>
      </c>
      <c r="D1994" s="4">
        <v>0</v>
      </c>
      <c r="E1994" s="4">
        <v>360000000</v>
      </c>
      <c r="F1994" s="4" t="str">
        <f>_xlfn.LET(_xlpm.r, _xlfn.XLOOKUP(Clean_Data[[#This Row],[Country_Code]], Metadata_Country!$A:$A, Metadata_Country!$B:$B, "Unknown"), IF(OR(_xlpm.r=0, _xlpm.r=""), "Regional Aggregate", _xlpm.r))</f>
        <v>East Asia &amp; Pacific</v>
      </c>
      <c r="G1994" s="4" t="str">
        <f>_xlfn.LET(_xlpm.ig, _xlfn.XLOOKUP(Clean_Data[[#This Row],[Country_Code]], Metadata_Country!$A:$A, Metadata_Country!$C:$C, "Unknown"), IF(OR(_xlpm.ig=0, _xlpm.ig=""), "Regional Aggregate", _xlpm.ig))</f>
        <v>Upper middle income</v>
      </c>
      <c r="H1994" s="4">
        <f>Clean_Data[[#This Row],[Exports_TIV]] - Clean_Data[[#This Row],[Imports_TIV]]</f>
        <v>-360000000</v>
      </c>
      <c r="I1994" s="4">
        <f>Clean_Data[[#This Row],[Exports_TIV]] + Clean_Data[[#This Row],[Imports_TIV]]</f>
        <v>360000000</v>
      </c>
    </row>
    <row r="1995" spans="1:9">
      <c r="A1995" s="4" t="s">
        <v>527</v>
      </c>
      <c r="B1995" s="4" t="s">
        <v>528</v>
      </c>
      <c r="C1995" s="5">
        <v>2013</v>
      </c>
      <c r="D1995" s="4">
        <v>27407000000</v>
      </c>
      <c r="E1995" s="4">
        <v>27366000000</v>
      </c>
      <c r="F1995" s="4" t="str">
        <f>_xlfn.LET(_xlpm.r, _xlfn.XLOOKUP(Clean_Data[[#This Row],[Country_Code]], Metadata_Country!$A:$A, Metadata_Country!$B:$B, "Unknown"), IF(OR(_xlpm.r=0, _xlpm.r=""), "Regional Aggregate", _xlpm.r))</f>
        <v>Regional Aggregate</v>
      </c>
      <c r="G1995" s="4" t="str">
        <f>_xlfn.LET(_xlpm.ig, _xlfn.XLOOKUP(Clean_Data[[#This Row],[Country_Code]], Metadata_Country!$A:$A, Metadata_Country!$C:$C, "Unknown"), IF(OR(_xlpm.ig=0, _xlpm.ig=""), "Regional Aggregate", _xlpm.ig))</f>
        <v>Regional Aggregate</v>
      </c>
      <c r="H1995" s="4">
        <f>Clean_Data[[#This Row],[Exports_TIV]] - Clean_Data[[#This Row],[Imports_TIV]]</f>
        <v>41000000</v>
      </c>
      <c r="I1995" s="4">
        <f>Clean_Data[[#This Row],[Exports_TIV]] + Clean_Data[[#This Row],[Imports_TIV]]</f>
        <v>54773000000</v>
      </c>
    </row>
    <row r="1996" spans="1:9">
      <c r="A1996" s="4" t="s">
        <v>533</v>
      </c>
      <c r="B1996" s="4" t="s">
        <v>534</v>
      </c>
      <c r="C1996" s="5">
        <v>2013</v>
      </c>
      <c r="D1996" s="4">
        <v>0</v>
      </c>
      <c r="E1996" s="4">
        <v>23000000</v>
      </c>
      <c r="F1996" s="4" t="str">
        <f>_xlfn.LET(_xlpm.r, _xlfn.XLOOKUP(Clean_Data[[#This Row],[Country_Code]], Metadata_Country!$A:$A, Metadata_Country!$B:$B, "Unknown"), IF(OR(_xlpm.r=0, _xlpm.r=""), "Regional Aggregate", _xlpm.r))</f>
        <v>Middle East &amp; North Africa</v>
      </c>
      <c r="G1996" s="4" t="str">
        <f>_xlfn.LET(_xlpm.ig, _xlfn.XLOOKUP(Clean_Data[[#This Row],[Country_Code]], Metadata_Country!$A:$A, Metadata_Country!$C:$C, "Unknown"), IF(OR(_xlpm.ig=0, _xlpm.ig=""), "Regional Aggregate", _xlpm.ig))</f>
        <v>Low income</v>
      </c>
      <c r="H1996" s="4">
        <f>Clean_Data[[#This Row],[Exports_TIV]] - Clean_Data[[#This Row],[Imports_TIV]]</f>
        <v>-23000000</v>
      </c>
      <c r="I1996" s="4">
        <f>Clean_Data[[#This Row],[Exports_TIV]] + Clean_Data[[#This Row],[Imports_TIV]]</f>
        <v>23000000</v>
      </c>
    </row>
    <row r="1997" spans="1:9">
      <c r="A1997" s="4" t="s">
        <v>13</v>
      </c>
      <c r="B1997" s="4" t="s">
        <v>14</v>
      </c>
      <c r="C1997" s="5">
        <v>2012</v>
      </c>
      <c r="D1997" s="4">
        <v>0</v>
      </c>
      <c r="E1997" s="4">
        <v>518000000</v>
      </c>
      <c r="F1997" s="4" t="str">
        <f>_xlfn.LET(_xlpm.r, _xlfn.XLOOKUP(Clean_Data[[#This Row],[Country_Code]], Metadata_Country!$A:$A, Metadata_Country!$B:$B, "Unknown"), IF(OR(_xlpm.r=0, _xlpm.r=""), "Regional Aggregate", _xlpm.r))</f>
        <v>Middle East &amp; North Africa</v>
      </c>
      <c r="G1997" s="4" t="str">
        <f>_xlfn.LET(_xlpm.ig, _xlfn.XLOOKUP(Clean_Data[[#This Row],[Country_Code]], Metadata_Country!$A:$A, Metadata_Country!$C:$C, "Unknown"), IF(OR(_xlpm.ig=0, _xlpm.ig=""), "Regional Aggregate", _xlpm.ig))</f>
        <v>Low income</v>
      </c>
      <c r="H1997" s="4">
        <f>Clean_Data[[#This Row],[Exports_TIV]] - Clean_Data[[#This Row],[Imports_TIV]]</f>
        <v>-518000000</v>
      </c>
      <c r="I1997" s="4">
        <f>Clean_Data[[#This Row],[Exports_TIV]] + Clean_Data[[#This Row],[Imports_TIV]]</f>
        <v>518000000</v>
      </c>
    </row>
    <row r="1998" spans="1:9">
      <c r="A1998" s="4" t="s">
        <v>11</v>
      </c>
      <c r="B1998" s="4" t="s">
        <v>12</v>
      </c>
      <c r="C1998" s="5">
        <v>2012</v>
      </c>
      <c r="D1998" s="4">
        <v>0</v>
      </c>
      <c r="E1998" s="4">
        <v>988000000</v>
      </c>
      <c r="F1998" s="4" t="str">
        <f>_xlfn.LET(_xlpm.r, _xlfn.XLOOKUP(Clean_Data[[#This Row],[Country_Code]], Metadata_Country!$A:$A, Metadata_Country!$B:$B, "Unknown"), IF(OR(_xlpm.r=0, _xlpm.r=""), "Regional Aggregate", _xlpm.r))</f>
        <v>Regional Aggregate</v>
      </c>
      <c r="G1998" s="4" t="str">
        <f>_xlfn.LET(_xlpm.ig, _xlfn.XLOOKUP(Clean_Data[[#This Row],[Country_Code]], Metadata_Country!$A:$A, Metadata_Country!$C:$C, "Unknown"), IF(OR(_xlpm.ig=0, _xlpm.ig=""), "Regional Aggregate", _xlpm.ig))</f>
        <v>Regional Aggregate</v>
      </c>
      <c r="H1998" s="4">
        <f>Clean_Data[[#This Row],[Exports_TIV]] - Clean_Data[[#This Row],[Imports_TIV]]</f>
        <v>-988000000</v>
      </c>
      <c r="I1998" s="4">
        <f>Clean_Data[[#This Row],[Exports_TIV]] + Clean_Data[[#This Row],[Imports_TIV]]</f>
        <v>988000000</v>
      </c>
    </row>
    <row r="1999" spans="1:9">
      <c r="A1999" s="4" t="s">
        <v>15</v>
      </c>
      <c r="B1999" s="4" t="s">
        <v>16</v>
      </c>
      <c r="C1999" s="5">
        <v>2012</v>
      </c>
      <c r="D1999" s="4">
        <v>0</v>
      </c>
      <c r="E1999" s="4">
        <v>224000000</v>
      </c>
      <c r="F1999" s="4" t="str">
        <f>_xlfn.LET(_xlpm.r, _xlfn.XLOOKUP(Clean_Data[[#This Row],[Country_Code]], Metadata_Country!$A:$A, Metadata_Country!$B:$B, "Unknown"), IF(OR(_xlpm.r=0, _xlpm.r=""), "Regional Aggregate", _xlpm.r))</f>
        <v>Regional Aggregate</v>
      </c>
      <c r="G1999" s="4" t="str">
        <f>_xlfn.LET(_xlpm.ig, _xlfn.XLOOKUP(Clean_Data[[#This Row],[Country_Code]], Metadata_Country!$A:$A, Metadata_Country!$C:$C, "Unknown"), IF(OR(_xlpm.ig=0, _xlpm.ig=""), "Regional Aggregate", _xlpm.ig))</f>
        <v>Regional Aggregate</v>
      </c>
      <c r="H1999" s="4">
        <f>Clean_Data[[#This Row],[Exports_TIV]] - Clean_Data[[#This Row],[Imports_TIV]]</f>
        <v>-224000000</v>
      </c>
      <c r="I1999" s="4">
        <f>Clean_Data[[#This Row],[Exports_TIV]] + Clean_Data[[#This Row],[Imports_TIV]]</f>
        <v>224000000</v>
      </c>
    </row>
    <row r="2000" spans="1:9">
      <c r="A2000" s="4" t="s">
        <v>19</v>
      </c>
      <c r="B2000" s="4" t="s">
        <v>20</v>
      </c>
      <c r="C2000" s="5">
        <v>2012</v>
      </c>
      <c r="D2000" s="4">
        <v>0</v>
      </c>
      <c r="E2000" s="4">
        <v>15000000</v>
      </c>
      <c r="F2000" s="4" t="str">
        <f>_xlfn.LET(_xlpm.r, _xlfn.XLOOKUP(Clean_Data[[#This Row],[Country_Code]], Metadata_Country!$A:$A, Metadata_Country!$B:$B, "Unknown"), IF(OR(_xlpm.r=0, _xlpm.r=""), "Regional Aggregate", _xlpm.r))</f>
        <v>Europe &amp; Central Asia</v>
      </c>
      <c r="G2000" s="4" t="str">
        <f>_xlfn.LET(_xlpm.ig, _xlfn.XLOOKUP(Clean_Data[[#This Row],[Country_Code]], Metadata_Country!$A:$A, Metadata_Country!$C:$C, "Unknown"), IF(OR(_xlpm.ig=0, _xlpm.ig=""), "Regional Aggregate", _xlpm.ig))</f>
        <v>Upper middle income</v>
      </c>
      <c r="H2000" s="4">
        <f>Clean_Data[[#This Row],[Exports_TIV]] - Clean_Data[[#This Row],[Imports_TIV]]</f>
        <v>-15000000</v>
      </c>
      <c r="I2000" s="4">
        <f>Clean_Data[[#This Row],[Exports_TIV]] + Clean_Data[[#This Row],[Imports_TIV]]</f>
        <v>15000000</v>
      </c>
    </row>
    <row r="2001" spans="1:9">
      <c r="A2001" s="4" t="s">
        <v>129</v>
      </c>
      <c r="B2001" s="4" t="s">
        <v>130</v>
      </c>
      <c r="C2001" s="5">
        <v>2012</v>
      </c>
      <c r="D2001" s="4">
        <v>0</v>
      </c>
      <c r="E2001" s="4">
        <v>662000000</v>
      </c>
      <c r="F2001" s="4" t="str">
        <f>_xlfn.LET(_xlpm.r, _xlfn.XLOOKUP(Clean_Data[[#This Row],[Country_Code]], Metadata_Country!$A:$A, Metadata_Country!$B:$B, "Unknown"), IF(OR(_xlpm.r=0, _xlpm.r=""), "Regional Aggregate", _xlpm.r))</f>
        <v>Middle East &amp; North Africa</v>
      </c>
      <c r="G2001" s="4" t="str">
        <f>_xlfn.LET(_xlpm.ig, _xlfn.XLOOKUP(Clean_Data[[#This Row],[Country_Code]], Metadata_Country!$A:$A, Metadata_Country!$C:$C, "Unknown"), IF(OR(_xlpm.ig=0, _xlpm.ig=""), "Regional Aggregate", _xlpm.ig))</f>
        <v>Upper middle income</v>
      </c>
      <c r="H2001" s="4">
        <f>Clean_Data[[#This Row],[Exports_TIV]] - Clean_Data[[#This Row],[Imports_TIV]]</f>
        <v>-662000000</v>
      </c>
      <c r="I2001" s="4">
        <f>Clean_Data[[#This Row],[Exports_TIV]] + Clean_Data[[#This Row],[Imports_TIV]]</f>
        <v>662000000</v>
      </c>
    </row>
    <row r="2002" spans="1:9">
      <c r="A2002" s="4" t="s">
        <v>23</v>
      </c>
      <c r="B2002" s="4" t="s">
        <v>24</v>
      </c>
      <c r="C2002" s="5">
        <v>2012</v>
      </c>
      <c r="D2002" s="4">
        <v>0</v>
      </c>
      <c r="E2002" s="4">
        <v>6034000000</v>
      </c>
      <c r="F2002" s="4" t="str">
        <f>_xlfn.LET(_xlpm.r, _xlfn.XLOOKUP(Clean_Data[[#This Row],[Country_Code]], Metadata_Country!$A:$A, Metadata_Country!$B:$B, "Unknown"), IF(OR(_xlpm.r=0, _xlpm.r=""), "Regional Aggregate", _xlpm.r))</f>
        <v>Regional Aggregate</v>
      </c>
      <c r="G2002" s="4" t="str">
        <f>_xlfn.LET(_xlpm.ig, _xlfn.XLOOKUP(Clean_Data[[#This Row],[Country_Code]], Metadata_Country!$A:$A, Metadata_Country!$C:$C, "Unknown"), IF(OR(_xlpm.ig=0, _xlpm.ig=""), "Regional Aggregate", _xlpm.ig))</f>
        <v>Regional Aggregate</v>
      </c>
      <c r="H2002" s="4">
        <f>Clean_Data[[#This Row],[Exports_TIV]] - Clean_Data[[#This Row],[Imports_TIV]]</f>
        <v>-6034000000</v>
      </c>
      <c r="I2002" s="4">
        <f>Clean_Data[[#This Row],[Exports_TIV]] + Clean_Data[[#This Row],[Imports_TIV]]</f>
        <v>6034000000</v>
      </c>
    </row>
    <row r="2003" spans="1:9">
      <c r="A2003" s="4" t="s">
        <v>27</v>
      </c>
      <c r="B2003" s="4" t="s">
        <v>28</v>
      </c>
      <c r="C2003" s="5">
        <v>2012</v>
      </c>
      <c r="D2003" s="4">
        <v>0</v>
      </c>
      <c r="E2003" s="4">
        <v>5000000</v>
      </c>
      <c r="F2003" s="4" t="str">
        <f>_xlfn.LET(_xlpm.r, _xlfn.XLOOKUP(Clean_Data[[#This Row],[Country_Code]], Metadata_Country!$A:$A, Metadata_Country!$B:$B, "Unknown"), IF(OR(_xlpm.r=0, _xlpm.r=""), "Regional Aggregate", _xlpm.r))</f>
        <v>Latin America &amp; Caribbean</v>
      </c>
      <c r="G2003" s="4" t="str">
        <f>_xlfn.LET(_xlpm.ig, _xlfn.XLOOKUP(Clean_Data[[#This Row],[Country_Code]], Metadata_Country!$A:$A, Metadata_Country!$C:$C, "Unknown"), IF(OR(_xlpm.ig=0, _xlpm.ig=""), "Regional Aggregate", _xlpm.ig))</f>
        <v>Upper middle income</v>
      </c>
      <c r="H2003" s="4">
        <f>Clean_Data[[#This Row],[Exports_TIV]] - Clean_Data[[#This Row],[Imports_TIV]]</f>
        <v>-5000000</v>
      </c>
      <c r="I2003" s="4">
        <f>Clean_Data[[#This Row],[Exports_TIV]] + Clean_Data[[#This Row],[Imports_TIV]]</f>
        <v>5000000</v>
      </c>
    </row>
    <row r="2004" spans="1:9">
      <c r="A2004" s="4" t="s">
        <v>35</v>
      </c>
      <c r="B2004" s="4" t="s">
        <v>36</v>
      </c>
      <c r="C2004" s="5">
        <v>2012</v>
      </c>
      <c r="D2004" s="4">
        <v>45000000</v>
      </c>
      <c r="E2004" s="4">
        <v>787000000</v>
      </c>
      <c r="F2004" s="4" t="str">
        <f>_xlfn.LET(_xlpm.r, _xlfn.XLOOKUP(Clean_Data[[#This Row],[Country_Code]], Metadata_Country!$A:$A, Metadata_Country!$B:$B, "Unknown"), IF(OR(_xlpm.r=0, _xlpm.r=""), "Regional Aggregate", _xlpm.r))</f>
        <v>East Asia &amp; Pacific</v>
      </c>
      <c r="G2004" s="4" t="str">
        <f>_xlfn.LET(_xlpm.ig, _xlfn.XLOOKUP(Clean_Data[[#This Row],[Country_Code]], Metadata_Country!$A:$A, Metadata_Country!$C:$C, "Unknown"), IF(OR(_xlpm.ig=0, _xlpm.ig=""), "Regional Aggregate", _xlpm.ig))</f>
        <v>High income</v>
      </c>
      <c r="H2004" s="4">
        <f>Clean_Data[[#This Row],[Exports_TIV]] - Clean_Data[[#This Row],[Imports_TIV]]</f>
        <v>-742000000</v>
      </c>
      <c r="I2004" s="4">
        <f>Clean_Data[[#This Row],[Exports_TIV]] + Clean_Data[[#This Row],[Imports_TIV]]</f>
        <v>832000000</v>
      </c>
    </row>
    <row r="2005" spans="1:9">
      <c r="A2005" s="4" t="s">
        <v>37</v>
      </c>
      <c r="B2005" s="4" t="s">
        <v>38</v>
      </c>
      <c r="C2005" s="5">
        <v>2012</v>
      </c>
      <c r="D2005" s="4">
        <v>31000000</v>
      </c>
      <c r="E2005" s="4">
        <v>6000000</v>
      </c>
      <c r="F2005" s="4" t="str">
        <f>_xlfn.LET(_xlpm.r, _xlfn.XLOOKUP(Clean_Data[[#This Row],[Country_Code]], Metadata_Country!$A:$A, Metadata_Country!$B:$B, "Unknown"), IF(OR(_xlpm.r=0, _xlpm.r=""), "Regional Aggregate", _xlpm.r))</f>
        <v>Europe &amp; Central Asia</v>
      </c>
      <c r="G2005" s="4" t="str">
        <f>_xlfn.LET(_xlpm.ig, _xlfn.XLOOKUP(Clean_Data[[#This Row],[Country_Code]], Metadata_Country!$A:$A, Metadata_Country!$C:$C, "Unknown"), IF(OR(_xlpm.ig=0, _xlpm.ig=""), "Regional Aggregate", _xlpm.ig))</f>
        <v>High income</v>
      </c>
      <c r="H2005" s="4">
        <f>Clean_Data[[#This Row],[Exports_TIV]] - Clean_Data[[#This Row],[Imports_TIV]]</f>
        <v>25000000</v>
      </c>
      <c r="I2005" s="4">
        <f>Clean_Data[[#This Row],[Exports_TIV]] + Clean_Data[[#This Row],[Imports_TIV]]</f>
        <v>37000000</v>
      </c>
    </row>
    <row r="2006" spans="1:9">
      <c r="A2006" s="4" t="s">
        <v>39</v>
      </c>
      <c r="B2006" s="4" t="s">
        <v>40</v>
      </c>
      <c r="C2006" s="5">
        <v>2012</v>
      </c>
      <c r="D2006" s="4">
        <v>0</v>
      </c>
      <c r="E2006" s="4">
        <v>397000000</v>
      </c>
      <c r="F2006" s="4" t="str">
        <f>_xlfn.LET(_xlpm.r, _xlfn.XLOOKUP(Clean_Data[[#This Row],[Country_Code]], Metadata_Country!$A:$A, Metadata_Country!$B:$B, "Unknown"), IF(OR(_xlpm.r=0, _xlpm.r=""), "Regional Aggregate", _xlpm.r))</f>
        <v>Europe &amp; Central Asia</v>
      </c>
      <c r="G2006" s="4" t="str">
        <f>_xlfn.LET(_xlpm.ig, _xlfn.XLOOKUP(Clean_Data[[#This Row],[Country_Code]], Metadata_Country!$A:$A, Metadata_Country!$C:$C, "Unknown"), IF(OR(_xlpm.ig=0, _xlpm.ig=""), "Regional Aggregate", _xlpm.ig))</f>
        <v>Upper middle income</v>
      </c>
      <c r="H2006" s="4">
        <f>Clean_Data[[#This Row],[Exports_TIV]] - Clean_Data[[#This Row],[Imports_TIV]]</f>
        <v>-397000000</v>
      </c>
      <c r="I2006" s="4">
        <f>Clean_Data[[#This Row],[Exports_TIV]] + Clean_Data[[#This Row],[Imports_TIV]]</f>
        <v>397000000</v>
      </c>
    </row>
    <row r="2007" spans="1:9">
      <c r="A2007" s="4" t="s">
        <v>53</v>
      </c>
      <c r="B2007" s="4" t="s">
        <v>54</v>
      </c>
      <c r="C2007" s="5">
        <v>2012</v>
      </c>
      <c r="D2007" s="4">
        <v>0</v>
      </c>
      <c r="E2007" s="4">
        <v>24000000</v>
      </c>
      <c r="F2007" s="4" t="str">
        <f>_xlfn.LET(_xlpm.r, _xlfn.XLOOKUP(Clean_Data[[#This Row],[Country_Code]], Metadata_Country!$A:$A, Metadata_Country!$B:$B, "Unknown"), IF(OR(_xlpm.r=0, _xlpm.r=""), "Regional Aggregate", _xlpm.r))</f>
        <v>Middle East &amp; North Africa</v>
      </c>
      <c r="G2007" s="4" t="str">
        <f>_xlfn.LET(_xlpm.ig, _xlfn.XLOOKUP(Clean_Data[[#This Row],[Country_Code]], Metadata_Country!$A:$A, Metadata_Country!$C:$C, "Unknown"), IF(OR(_xlpm.ig=0, _xlpm.ig=""), "Regional Aggregate", _xlpm.ig))</f>
        <v>High income</v>
      </c>
      <c r="H2007" s="4">
        <f>Clean_Data[[#This Row],[Exports_TIV]] - Clean_Data[[#This Row],[Imports_TIV]]</f>
        <v>-24000000</v>
      </c>
      <c r="I2007" s="4">
        <f>Clean_Data[[#This Row],[Exports_TIV]] + Clean_Data[[#This Row],[Imports_TIV]]</f>
        <v>24000000</v>
      </c>
    </row>
    <row r="2008" spans="1:9">
      <c r="A2008" s="4" t="s">
        <v>49</v>
      </c>
      <c r="B2008" s="4" t="s">
        <v>50</v>
      </c>
      <c r="C2008" s="5">
        <v>2012</v>
      </c>
      <c r="D2008" s="4">
        <v>0</v>
      </c>
      <c r="E2008" s="4">
        <v>199000000</v>
      </c>
      <c r="F2008" s="4" t="str">
        <f>_xlfn.LET(_xlpm.r, _xlfn.XLOOKUP(Clean_Data[[#This Row],[Country_Code]], Metadata_Country!$A:$A, Metadata_Country!$B:$B, "Unknown"), IF(OR(_xlpm.r=0, _xlpm.r=""), "Regional Aggregate", _xlpm.r))</f>
        <v>South Asia</v>
      </c>
      <c r="G2008" s="4" t="str">
        <f>_xlfn.LET(_xlpm.ig, _xlfn.XLOOKUP(Clean_Data[[#This Row],[Country_Code]], Metadata_Country!$A:$A, Metadata_Country!$C:$C, "Unknown"), IF(OR(_xlpm.ig=0, _xlpm.ig=""), "Regional Aggregate", _xlpm.ig))</f>
        <v>Lower middle income</v>
      </c>
      <c r="H2008" s="4">
        <f>Clean_Data[[#This Row],[Exports_TIV]] - Clean_Data[[#This Row],[Imports_TIV]]</f>
        <v>-199000000</v>
      </c>
      <c r="I2008" s="4">
        <f>Clean_Data[[#This Row],[Exports_TIV]] + Clean_Data[[#This Row],[Imports_TIV]]</f>
        <v>199000000</v>
      </c>
    </row>
    <row r="2009" spans="1:9">
      <c r="A2009" s="4" t="s">
        <v>59</v>
      </c>
      <c r="B2009" s="4" t="s">
        <v>60</v>
      </c>
      <c r="C2009" s="5">
        <v>2012</v>
      </c>
      <c r="D2009" s="4">
        <v>97000000</v>
      </c>
      <c r="E2009" s="4">
        <v>75000000</v>
      </c>
      <c r="F2009" s="4" t="str">
        <f>_xlfn.LET(_xlpm.r, _xlfn.XLOOKUP(Clean_Data[[#This Row],[Country_Code]], Metadata_Country!$A:$A, Metadata_Country!$B:$B, "Unknown"), IF(OR(_xlpm.r=0, _xlpm.r=""), "Regional Aggregate", _xlpm.r))</f>
        <v>Europe &amp; Central Asia</v>
      </c>
      <c r="G2009" s="4" t="str">
        <f>_xlfn.LET(_xlpm.ig, _xlfn.XLOOKUP(Clean_Data[[#This Row],[Country_Code]], Metadata_Country!$A:$A, Metadata_Country!$C:$C, "Unknown"), IF(OR(_xlpm.ig=0, _xlpm.ig=""), "Regional Aggregate", _xlpm.ig))</f>
        <v>Upper middle income</v>
      </c>
      <c r="H2009" s="4">
        <f>Clean_Data[[#This Row],[Exports_TIV]] - Clean_Data[[#This Row],[Imports_TIV]]</f>
        <v>22000000</v>
      </c>
      <c r="I2009" s="4">
        <f>Clean_Data[[#This Row],[Exports_TIV]] + Clean_Data[[#This Row],[Imports_TIV]]</f>
        <v>172000000</v>
      </c>
    </row>
    <row r="2010" spans="1:9">
      <c r="A2010" s="4" t="s">
        <v>43</v>
      </c>
      <c r="B2010" s="4" t="s">
        <v>44</v>
      </c>
      <c r="C2010" s="5">
        <v>2012</v>
      </c>
      <c r="D2010" s="4">
        <v>21000000</v>
      </c>
      <c r="E2010" s="4">
        <v>33000000</v>
      </c>
      <c r="F2010" s="4" t="str">
        <f>_xlfn.LET(_xlpm.r, _xlfn.XLOOKUP(Clean_Data[[#This Row],[Country_Code]], Metadata_Country!$A:$A, Metadata_Country!$B:$B, "Unknown"), IF(OR(_xlpm.r=0, _xlpm.r=""), "Regional Aggregate", _xlpm.r))</f>
        <v>Europe &amp; Central Asia</v>
      </c>
      <c r="G2010" s="4" t="str">
        <f>_xlfn.LET(_xlpm.ig, _xlfn.XLOOKUP(Clean_Data[[#This Row],[Country_Code]], Metadata_Country!$A:$A, Metadata_Country!$C:$C, "Unknown"), IF(OR(_xlpm.ig=0, _xlpm.ig=""), "Regional Aggregate", _xlpm.ig))</f>
        <v>High income</v>
      </c>
      <c r="H2010" s="4">
        <f>Clean_Data[[#This Row],[Exports_TIV]] - Clean_Data[[#This Row],[Imports_TIV]]</f>
        <v>-12000000</v>
      </c>
      <c r="I2010" s="4">
        <f>Clean_Data[[#This Row],[Exports_TIV]] + Clean_Data[[#This Row],[Imports_TIV]]</f>
        <v>54000000</v>
      </c>
    </row>
    <row r="2011" spans="1:9">
      <c r="A2011" s="4" t="s">
        <v>45</v>
      </c>
      <c r="B2011" s="4" t="s">
        <v>46</v>
      </c>
      <c r="C2011" s="5">
        <v>2012</v>
      </c>
      <c r="D2011" s="4">
        <v>0</v>
      </c>
      <c r="E2011" s="4">
        <v>20000000</v>
      </c>
      <c r="F2011" s="4" t="str">
        <f>_xlfn.LET(_xlpm.r, _xlfn.XLOOKUP(Clean_Data[[#This Row],[Country_Code]], Metadata_Country!$A:$A, Metadata_Country!$B:$B, "Unknown"), IF(OR(_xlpm.r=0, _xlpm.r=""), "Regional Aggregate", _xlpm.r))</f>
        <v>Sub-Saharan Africa</v>
      </c>
      <c r="G2011" s="4" t="str">
        <f>_xlfn.LET(_xlpm.ig, _xlfn.XLOOKUP(Clean_Data[[#This Row],[Country_Code]], Metadata_Country!$A:$A, Metadata_Country!$C:$C, "Unknown"), IF(OR(_xlpm.ig=0, _xlpm.ig=""), "Regional Aggregate", _xlpm.ig))</f>
        <v>Lower middle income</v>
      </c>
      <c r="H2011" s="4">
        <f>Clean_Data[[#This Row],[Exports_TIV]] - Clean_Data[[#This Row],[Imports_TIV]]</f>
        <v>-20000000</v>
      </c>
      <c r="I2011" s="4">
        <f>Clean_Data[[#This Row],[Exports_TIV]] + Clean_Data[[#This Row],[Imports_TIV]]</f>
        <v>20000000</v>
      </c>
    </row>
    <row r="2012" spans="1:9">
      <c r="A2012" s="4" t="s">
        <v>65</v>
      </c>
      <c r="B2012" s="4" t="s">
        <v>66</v>
      </c>
      <c r="C2012" s="5">
        <v>2012</v>
      </c>
      <c r="D2012" s="4">
        <v>0</v>
      </c>
      <c r="E2012" s="4">
        <v>12000000</v>
      </c>
      <c r="F2012" s="4" t="str">
        <f>_xlfn.LET(_xlpm.r, _xlfn.XLOOKUP(Clean_Data[[#This Row],[Country_Code]], Metadata_Country!$A:$A, Metadata_Country!$B:$B, "Unknown"), IF(OR(_xlpm.r=0, _xlpm.r=""), "Regional Aggregate", _xlpm.r))</f>
        <v>Latin America &amp; Caribbean</v>
      </c>
      <c r="G2012" s="4" t="str">
        <f>_xlfn.LET(_xlpm.ig, _xlfn.XLOOKUP(Clean_Data[[#This Row],[Country_Code]], Metadata_Country!$A:$A, Metadata_Country!$C:$C, "Unknown"), IF(OR(_xlpm.ig=0, _xlpm.ig=""), "Regional Aggregate", _xlpm.ig))</f>
        <v>Lower middle income</v>
      </c>
      <c r="H2012" s="4">
        <f>Clean_Data[[#This Row],[Exports_TIV]] - Clean_Data[[#This Row],[Imports_TIV]]</f>
        <v>-12000000</v>
      </c>
      <c r="I2012" s="4">
        <f>Clean_Data[[#This Row],[Exports_TIV]] + Clean_Data[[#This Row],[Imports_TIV]]</f>
        <v>12000000</v>
      </c>
    </row>
    <row r="2013" spans="1:9">
      <c r="A2013" s="4" t="s">
        <v>75</v>
      </c>
      <c r="B2013" s="4" t="s">
        <v>76</v>
      </c>
      <c r="C2013" s="5">
        <v>2012</v>
      </c>
      <c r="D2013" s="4">
        <v>0</v>
      </c>
      <c r="E2013" s="4">
        <v>6000000</v>
      </c>
      <c r="F2013" s="4" t="str">
        <f>_xlfn.LET(_xlpm.r, _xlfn.XLOOKUP(Clean_Data[[#This Row],[Country_Code]], Metadata_Country!$A:$A, Metadata_Country!$B:$B, "Unknown"), IF(OR(_xlpm.r=0, _xlpm.r=""), "Regional Aggregate", _xlpm.r))</f>
        <v>Sub-Saharan Africa</v>
      </c>
      <c r="G2013" s="4" t="str">
        <f>_xlfn.LET(_xlpm.ig, _xlfn.XLOOKUP(Clean_Data[[#This Row],[Country_Code]], Metadata_Country!$A:$A, Metadata_Country!$C:$C, "Unknown"), IF(OR(_xlpm.ig=0, _xlpm.ig=""), "Regional Aggregate", _xlpm.ig))</f>
        <v>Upper middle income</v>
      </c>
      <c r="H2013" s="4">
        <f>Clean_Data[[#This Row],[Exports_TIV]] - Clean_Data[[#This Row],[Imports_TIV]]</f>
        <v>-6000000</v>
      </c>
      <c r="I2013" s="4">
        <f>Clean_Data[[#This Row],[Exports_TIV]] + Clean_Data[[#This Row],[Imports_TIV]]</f>
        <v>6000000</v>
      </c>
    </row>
    <row r="2014" spans="1:9">
      <c r="A2014" s="4" t="s">
        <v>67</v>
      </c>
      <c r="B2014" s="4" t="s">
        <v>68</v>
      </c>
      <c r="C2014" s="5">
        <v>2012</v>
      </c>
      <c r="D2014" s="4">
        <v>33000000</v>
      </c>
      <c r="E2014" s="4">
        <v>317000000</v>
      </c>
      <c r="F2014" s="4" t="str">
        <f>_xlfn.LET(_xlpm.r, _xlfn.XLOOKUP(Clean_Data[[#This Row],[Country_Code]], Metadata_Country!$A:$A, Metadata_Country!$B:$B, "Unknown"), IF(OR(_xlpm.r=0, _xlpm.r=""), "Regional Aggregate", _xlpm.r))</f>
        <v>Latin America &amp; Caribbean</v>
      </c>
      <c r="G2014" s="4" t="str">
        <f>_xlfn.LET(_xlpm.ig, _xlfn.XLOOKUP(Clean_Data[[#This Row],[Country_Code]], Metadata_Country!$A:$A, Metadata_Country!$C:$C, "Unknown"), IF(OR(_xlpm.ig=0, _xlpm.ig=""), "Regional Aggregate", _xlpm.ig))</f>
        <v>Upper middle income</v>
      </c>
      <c r="H2014" s="4">
        <f>Clean_Data[[#This Row],[Exports_TIV]] - Clean_Data[[#This Row],[Imports_TIV]]</f>
        <v>-284000000</v>
      </c>
      <c r="I2014" s="4">
        <f>Clean_Data[[#This Row],[Exports_TIV]] + Clean_Data[[#This Row],[Imports_TIV]]</f>
        <v>350000000</v>
      </c>
    </row>
    <row r="2015" spans="1:9">
      <c r="A2015" s="4" t="s">
        <v>71</v>
      </c>
      <c r="B2015" s="4" t="s">
        <v>72</v>
      </c>
      <c r="C2015" s="5">
        <v>2012</v>
      </c>
      <c r="D2015" s="4">
        <v>0</v>
      </c>
      <c r="E2015" s="4">
        <v>20000000</v>
      </c>
      <c r="F2015" s="4" t="str">
        <f>_xlfn.LET(_xlpm.r, _xlfn.XLOOKUP(Clean_Data[[#This Row],[Country_Code]], Metadata_Country!$A:$A, Metadata_Country!$B:$B, "Unknown"), IF(OR(_xlpm.r=0, _xlpm.r=""), "Regional Aggregate", _xlpm.r))</f>
        <v>East Asia &amp; Pacific</v>
      </c>
      <c r="G2015" s="4" t="str">
        <f>_xlfn.LET(_xlpm.ig, _xlfn.XLOOKUP(Clean_Data[[#This Row],[Country_Code]], Metadata_Country!$A:$A, Metadata_Country!$C:$C, "Unknown"), IF(OR(_xlpm.ig=0, _xlpm.ig=""), "Regional Aggregate", _xlpm.ig))</f>
        <v>High income</v>
      </c>
      <c r="H2015" s="4">
        <f>Clean_Data[[#This Row],[Exports_TIV]] - Clean_Data[[#This Row],[Imports_TIV]]</f>
        <v>-20000000</v>
      </c>
      <c r="I2015" s="4">
        <f>Clean_Data[[#This Row],[Exports_TIV]] + Clean_Data[[#This Row],[Imports_TIV]]</f>
        <v>20000000</v>
      </c>
    </row>
    <row r="2016" spans="1:9">
      <c r="A2016" s="4" t="s">
        <v>51</v>
      </c>
      <c r="B2016" s="4" t="s">
        <v>52</v>
      </c>
      <c r="C2016" s="5">
        <v>2012</v>
      </c>
      <c r="D2016" s="4">
        <v>22000000</v>
      </c>
      <c r="E2016" s="4">
        <v>5000000</v>
      </c>
      <c r="F2016" s="4" t="str">
        <f>_xlfn.LET(_xlpm.r, _xlfn.XLOOKUP(Clean_Data[[#This Row],[Country_Code]], Metadata_Country!$A:$A, Metadata_Country!$B:$B, "Unknown"), IF(OR(_xlpm.r=0, _xlpm.r=""), "Regional Aggregate", _xlpm.r))</f>
        <v>Europe &amp; Central Asia</v>
      </c>
      <c r="G2016" s="4" t="str">
        <f>_xlfn.LET(_xlpm.ig, _xlfn.XLOOKUP(Clean_Data[[#This Row],[Country_Code]], Metadata_Country!$A:$A, Metadata_Country!$C:$C, "Unknown"), IF(OR(_xlpm.ig=0, _xlpm.ig=""), "Regional Aggregate", _xlpm.ig))</f>
        <v>High income</v>
      </c>
      <c r="H2016" s="4">
        <f>Clean_Data[[#This Row],[Exports_TIV]] - Clean_Data[[#This Row],[Imports_TIV]]</f>
        <v>17000000</v>
      </c>
      <c r="I2016" s="4">
        <f>Clean_Data[[#This Row],[Exports_TIV]] + Clean_Data[[#This Row],[Imports_TIV]]</f>
        <v>27000000</v>
      </c>
    </row>
    <row r="2017" spans="1:9">
      <c r="A2017" s="4" t="s">
        <v>47</v>
      </c>
      <c r="B2017" s="4" t="s">
        <v>48</v>
      </c>
      <c r="C2017" s="5">
        <v>2012</v>
      </c>
      <c r="D2017" s="4">
        <v>0</v>
      </c>
      <c r="E2017" s="4">
        <v>3000000</v>
      </c>
      <c r="F2017" s="4" t="str">
        <f>_xlfn.LET(_xlpm.r, _xlfn.XLOOKUP(Clean_Data[[#This Row],[Country_Code]], Metadata_Country!$A:$A, Metadata_Country!$B:$B, "Unknown"), IF(OR(_xlpm.r=0, _xlpm.r=""), "Regional Aggregate", _xlpm.r))</f>
        <v>Sub-Saharan Africa</v>
      </c>
      <c r="G2017" s="4" t="str">
        <f>_xlfn.LET(_xlpm.ig, _xlfn.XLOOKUP(Clean_Data[[#This Row],[Country_Code]], Metadata_Country!$A:$A, Metadata_Country!$C:$C, "Unknown"), IF(OR(_xlpm.ig=0, _xlpm.ig=""), "Regional Aggregate", _xlpm.ig))</f>
        <v>Low income</v>
      </c>
      <c r="H2017" s="4">
        <f>Clean_Data[[#This Row],[Exports_TIV]] - Clean_Data[[#This Row],[Imports_TIV]]</f>
        <v>-3000000</v>
      </c>
      <c r="I2017" s="4">
        <f>Clean_Data[[#This Row],[Exports_TIV]] + Clean_Data[[#This Row],[Imports_TIV]]</f>
        <v>3000000</v>
      </c>
    </row>
    <row r="2018" spans="1:9">
      <c r="A2018" s="4" t="s">
        <v>41</v>
      </c>
      <c r="B2018" s="4" t="s">
        <v>42</v>
      </c>
      <c r="C2018" s="5">
        <v>2012</v>
      </c>
      <c r="D2018" s="4">
        <v>0</v>
      </c>
      <c r="E2018" s="4">
        <v>5000000</v>
      </c>
      <c r="F2018" s="4" t="str">
        <f>_xlfn.LET(_xlpm.r, _xlfn.XLOOKUP(Clean_Data[[#This Row],[Country_Code]], Metadata_Country!$A:$A, Metadata_Country!$B:$B, "Unknown"), IF(OR(_xlpm.r=0, _xlpm.r=""), "Regional Aggregate", _xlpm.r))</f>
        <v>Sub-Saharan Africa</v>
      </c>
      <c r="G2018" s="4" t="str">
        <f>_xlfn.LET(_xlpm.ig, _xlfn.XLOOKUP(Clean_Data[[#This Row],[Country_Code]], Metadata_Country!$A:$A, Metadata_Country!$C:$C, "Unknown"), IF(OR(_xlpm.ig=0, _xlpm.ig=""), "Regional Aggregate", _xlpm.ig))</f>
        <v>Low income</v>
      </c>
      <c r="H2018" s="4">
        <f>Clean_Data[[#This Row],[Exports_TIV]] - Clean_Data[[#This Row],[Imports_TIV]]</f>
        <v>-5000000</v>
      </c>
      <c r="I2018" s="4">
        <f>Clean_Data[[#This Row],[Exports_TIV]] + Clean_Data[[#This Row],[Imports_TIV]]</f>
        <v>5000000</v>
      </c>
    </row>
    <row r="2019" spans="1:9">
      <c r="A2019" s="4" t="s">
        <v>103</v>
      </c>
      <c r="B2019" s="4" t="s">
        <v>104</v>
      </c>
      <c r="C2019" s="5">
        <v>2012</v>
      </c>
      <c r="D2019" s="4">
        <v>0</v>
      </c>
      <c r="E2019" s="4">
        <v>10000000</v>
      </c>
      <c r="F2019" s="4" t="str">
        <f>_xlfn.LET(_xlpm.r, _xlfn.XLOOKUP(Clean_Data[[#This Row],[Country_Code]], Metadata_Country!$A:$A, Metadata_Country!$B:$B, "Unknown"), IF(OR(_xlpm.r=0, _xlpm.r=""), "Regional Aggregate", _xlpm.r))</f>
        <v>Sub-Saharan Africa</v>
      </c>
      <c r="G2019" s="4" t="str">
        <f>_xlfn.LET(_xlpm.ig, _xlfn.XLOOKUP(Clean_Data[[#This Row],[Country_Code]], Metadata_Country!$A:$A, Metadata_Country!$C:$C, "Unknown"), IF(OR(_xlpm.ig=0, _xlpm.ig=""), "Regional Aggregate", _xlpm.ig))</f>
        <v>Upper middle income</v>
      </c>
      <c r="H2019" s="4">
        <f>Clean_Data[[#This Row],[Exports_TIV]] - Clean_Data[[#This Row],[Imports_TIV]]</f>
        <v>-10000000</v>
      </c>
      <c r="I2019" s="4">
        <f>Clean_Data[[#This Row],[Exports_TIV]] + Clean_Data[[#This Row],[Imports_TIV]]</f>
        <v>10000000</v>
      </c>
    </row>
    <row r="2020" spans="1:9">
      <c r="A2020" s="4" t="s">
        <v>255</v>
      </c>
      <c r="B2020" s="4" t="s">
        <v>256</v>
      </c>
      <c r="C2020" s="5">
        <v>2012</v>
      </c>
      <c r="D2020" s="4">
        <v>0</v>
      </c>
      <c r="E2020" s="4">
        <v>78000000</v>
      </c>
      <c r="F2020" s="4" t="str">
        <f>_xlfn.LET(_xlpm.r, _xlfn.XLOOKUP(Clean_Data[[#This Row],[Country_Code]], Metadata_Country!$A:$A, Metadata_Country!$B:$B, "Unknown"), IF(OR(_xlpm.r=0, _xlpm.r=""), "Regional Aggregate", _xlpm.r))</f>
        <v>East Asia &amp; Pacific</v>
      </c>
      <c r="G2020" s="4" t="str">
        <f>_xlfn.LET(_xlpm.ig, _xlfn.XLOOKUP(Clean_Data[[#This Row],[Country_Code]], Metadata_Country!$A:$A, Metadata_Country!$C:$C, "Unknown"), IF(OR(_xlpm.ig=0, _xlpm.ig=""), "Regional Aggregate", _xlpm.ig))</f>
        <v>Lower middle income</v>
      </c>
      <c r="H2020" s="4">
        <f>Clean_Data[[#This Row],[Exports_TIV]] - Clean_Data[[#This Row],[Imports_TIV]]</f>
        <v>-78000000</v>
      </c>
      <c r="I2020" s="4">
        <f>Clean_Data[[#This Row],[Exports_TIV]] + Clean_Data[[#This Row],[Imports_TIV]]</f>
        <v>78000000</v>
      </c>
    </row>
    <row r="2021" spans="1:9">
      <c r="A2021" s="4" t="s">
        <v>93</v>
      </c>
      <c r="B2021" s="4" t="s">
        <v>94</v>
      </c>
      <c r="C2021" s="5">
        <v>2012</v>
      </c>
      <c r="D2021" s="4">
        <v>0</v>
      </c>
      <c r="E2021" s="4">
        <v>9000000</v>
      </c>
      <c r="F2021" s="4" t="str">
        <f>_xlfn.LET(_xlpm.r, _xlfn.XLOOKUP(Clean_Data[[#This Row],[Country_Code]], Metadata_Country!$A:$A, Metadata_Country!$B:$B, "Unknown"), IF(OR(_xlpm.r=0, _xlpm.r=""), "Regional Aggregate", _xlpm.r))</f>
        <v>Sub-Saharan Africa</v>
      </c>
      <c r="G2021" s="4" t="str">
        <f>_xlfn.LET(_xlpm.ig, _xlfn.XLOOKUP(Clean_Data[[#This Row],[Country_Code]], Metadata_Country!$A:$A, Metadata_Country!$C:$C, "Unknown"), IF(OR(_xlpm.ig=0, _xlpm.ig=""), "Regional Aggregate", _xlpm.ig))</f>
        <v>Lower middle income</v>
      </c>
      <c r="H2021" s="4">
        <f>Clean_Data[[#This Row],[Exports_TIV]] - Clean_Data[[#This Row],[Imports_TIV]]</f>
        <v>-9000000</v>
      </c>
      <c r="I2021" s="4">
        <f>Clean_Data[[#This Row],[Exports_TIV]] + Clean_Data[[#This Row],[Imports_TIV]]</f>
        <v>9000000</v>
      </c>
    </row>
    <row r="2022" spans="1:9">
      <c r="A2022" s="4" t="s">
        <v>79</v>
      </c>
      <c r="B2022" s="4" t="s">
        <v>80</v>
      </c>
      <c r="C2022" s="5">
        <v>2012</v>
      </c>
      <c r="D2022" s="4">
        <v>258000000</v>
      </c>
      <c r="E2022" s="4">
        <v>207000000</v>
      </c>
      <c r="F2022" s="4" t="str">
        <f>_xlfn.LET(_xlpm.r, _xlfn.XLOOKUP(Clean_Data[[#This Row],[Country_Code]], Metadata_Country!$A:$A, Metadata_Country!$B:$B, "Unknown"), IF(OR(_xlpm.r=0, _xlpm.r=""), "Regional Aggregate", _xlpm.r))</f>
        <v>North America</v>
      </c>
      <c r="G2022" s="4" t="str">
        <f>_xlfn.LET(_xlpm.ig, _xlfn.XLOOKUP(Clean_Data[[#This Row],[Country_Code]], Metadata_Country!$A:$A, Metadata_Country!$C:$C, "Unknown"), IF(OR(_xlpm.ig=0, _xlpm.ig=""), "Regional Aggregate", _xlpm.ig))</f>
        <v>High income</v>
      </c>
      <c r="H2022" s="4">
        <f>Clean_Data[[#This Row],[Exports_TIV]] - Clean_Data[[#This Row],[Imports_TIV]]</f>
        <v>51000000</v>
      </c>
      <c r="I2022" s="4">
        <f>Clean_Data[[#This Row],[Exports_TIV]] + Clean_Data[[#This Row],[Imports_TIV]]</f>
        <v>465000000</v>
      </c>
    </row>
    <row r="2023" spans="1:9">
      <c r="A2023" s="4" t="s">
        <v>81</v>
      </c>
      <c r="B2023" s="4" t="s">
        <v>82</v>
      </c>
      <c r="C2023" s="5">
        <v>2012</v>
      </c>
      <c r="D2023" s="4">
        <v>0</v>
      </c>
      <c r="E2023" s="4">
        <v>328000000</v>
      </c>
      <c r="F2023" s="4" t="str">
        <f>_xlfn.LET(_xlpm.r, _xlfn.XLOOKUP(Clean_Data[[#This Row],[Country_Code]], Metadata_Country!$A:$A, Metadata_Country!$B:$B, "Unknown"), IF(OR(_xlpm.r=0, _xlpm.r=""), "Regional Aggregate", _xlpm.r))</f>
        <v>Regional Aggregate</v>
      </c>
      <c r="G2023" s="4" t="str">
        <f>_xlfn.LET(_xlpm.ig, _xlfn.XLOOKUP(Clean_Data[[#This Row],[Country_Code]], Metadata_Country!$A:$A, Metadata_Country!$C:$C, "Unknown"), IF(OR(_xlpm.ig=0, _xlpm.ig=""), "Regional Aggregate", _xlpm.ig))</f>
        <v>Regional Aggregate</v>
      </c>
      <c r="H2023" s="4">
        <f>Clean_Data[[#This Row],[Exports_TIV]] - Clean_Data[[#This Row],[Imports_TIV]]</f>
        <v>-328000000</v>
      </c>
      <c r="I2023" s="4">
        <f>Clean_Data[[#This Row],[Exports_TIV]] + Clean_Data[[#This Row],[Imports_TIV]]</f>
        <v>328000000</v>
      </c>
    </row>
    <row r="2024" spans="1:9">
      <c r="A2024" s="4" t="s">
        <v>467</v>
      </c>
      <c r="B2024" s="4" t="s">
        <v>468</v>
      </c>
      <c r="C2024" s="5">
        <v>2012</v>
      </c>
      <c r="D2024" s="4">
        <v>0</v>
      </c>
      <c r="E2024" s="4">
        <v>4000000</v>
      </c>
      <c r="F2024" s="4" t="str">
        <f>_xlfn.LET(_xlpm.r, _xlfn.XLOOKUP(Clean_Data[[#This Row],[Country_Code]], Metadata_Country!$A:$A, Metadata_Country!$B:$B, "Unknown"), IF(OR(_xlpm.r=0, _xlpm.r=""), "Regional Aggregate", _xlpm.r))</f>
        <v>Sub-Saharan Africa</v>
      </c>
      <c r="G2024" s="4" t="str">
        <f>_xlfn.LET(_xlpm.ig, _xlfn.XLOOKUP(Clean_Data[[#This Row],[Country_Code]], Metadata_Country!$A:$A, Metadata_Country!$C:$C, "Unknown"), IF(OR(_xlpm.ig=0, _xlpm.ig=""), "Regional Aggregate", _xlpm.ig))</f>
        <v>Low income</v>
      </c>
      <c r="H2024" s="4">
        <f>Clean_Data[[#This Row],[Exports_TIV]] - Clean_Data[[#This Row],[Imports_TIV]]</f>
        <v>-4000000</v>
      </c>
      <c r="I2024" s="4">
        <f>Clean_Data[[#This Row],[Exports_TIV]] + Clean_Data[[#This Row],[Imports_TIV]]</f>
        <v>4000000</v>
      </c>
    </row>
    <row r="2025" spans="1:9">
      <c r="A2025" s="4" t="s">
        <v>87</v>
      </c>
      <c r="B2025" s="4" t="s">
        <v>88</v>
      </c>
      <c r="C2025" s="5">
        <v>2012</v>
      </c>
      <c r="D2025" s="4">
        <v>0</v>
      </c>
      <c r="E2025" s="4">
        <v>61000000</v>
      </c>
      <c r="F2025" s="4" t="str">
        <f>_xlfn.LET(_xlpm.r, _xlfn.XLOOKUP(Clean_Data[[#This Row],[Country_Code]], Metadata_Country!$A:$A, Metadata_Country!$B:$B, "Unknown"), IF(OR(_xlpm.r=0, _xlpm.r=""), "Regional Aggregate", _xlpm.r))</f>
        <v>Latin America &amp; Caribbean</v>
      </c>
      <c r="G2025" s="4" t="str">
        <f>_xlfn.LET(_xlpm.ig, _xlfn.XLOOKUP(Clean_Data[[#This Row],[Country_Code]], Metadata_Country!$A:$A, Metadata_Country!$C:$C, "Unknown"), IF(OR(_xlpm.ig=0, _xlpm.ig=""), "Regional Aggregate", _xlpm.ig))</f>
        <v>High income</v>
      </c>
      <c r="H2025" s="4">
        <f>Clean_Data[[#This Row],[Exports_TIV]] - Clean_Data[[#This Row],[Imports_TIV]]</f>
        <v>-61000000</v>
      </c>
      <c r="I2025" s="4">
        <f>Clean_Data[[#This Row],[Exports_TIV]] + Clean_Data[[#This Row],[Imports_TIV]]</f>
        <v>61000000</v>
      </c>
    </row>
    <row r="2026" spans="1:9">
      <c r="A2026" s="4" t="s">
        <v>89</v>
      </c>
      <c r="B2026" s="4" t="s">
        <v>90</v>
      </c>
      <c r="C2026" s="5">
        <v>2012</v>
      </c>
      <c r="D2026" s="4">
        <v>1499000000</v>
      </c>
      <c r="E2026" s="4">
        <v>1542000000</v>
      </c>
      <c r="F2026" s="4" t="str">
        <f>_xlfn.LET(_xlpm.r, _xlfn.XLOOKUP(Clean_Data[[#This Row],[Country_Code]], Metadata_Country!$A:$A, Metadata_Country!$B:$B, "Unknown"), IF(OR(_xlpm.r=0, _xlpm.r=""), "Regional Aggregate", _xlpm.r))</f>
        <v>East Asia &amp; Pacific</v>
      </c>
      <c r="G2026" s="4" t="str">
        <f>_xlfn.LET(_xlpm.ig, _xlfn.XLOOKUP(Clean_Data[[#This Row],[Country_Code]], Metadata_Country!$A:$A, Metadata_Country!$C:$C, "Unknown"), IF(OR(_xlpm.ig=0, _xlpm.ig=""), "Regional Aggregate", _xlpm.ig))</f>
        <v>Upper middle income</v>
      </c>
      <c r="H2026" s="4">
        <f>Clean_Data[[#This Row],[Exports_TIV]] - Clean_Data[[#This Row],[Imports_TIV]]</f>
        <v>-43000000</v>
      </c>
      <c r="I2026" s="4">
        <f>Clean_Data[[#This Row],[Exports_TIV]] + Clean_Data[[#This Row],[Imports_TIV]]</f>
        <v>3041000000</v>
      </c>
    </row>
    <row r="2027" spans="1:9">
      <c r="A2027" s="4" t="s">
        <v>99</v>
      </c>
      <c r="B2027" s="4" t="s">
        <v>100</v>
      </c>
      <c r="C2027" s="5">
        <v>2012</v>
      </c>
      <c r="D2027" s="4">
        <v>0</v>
      </c>
      <c r="E2027" s="4">
        <v>200000000</v>
      </c>
      <c r="F2027" s="4" t="str">
        <f>_xlfn.LET(_xlpm.r, _xlfn.XLOOKUP(Clean_Data[[#This Row],[Country_Code]], Metadata_Country!$A:$A, Metadata_Country!$B:$B, "Unknown"), IF(OR(_xlpm.r=0, _xlpm.r=""), "Regional Aggregate", _xlpm.r))</f>
        <v>Latin America &amp; Caribbean</v>
      </c>
      <c r="G2027" s="4" t="str">
        <f>_xlfn.LET(_xlpm.ig, _xlfn.XLOOKUP(Clean_Data[[#This Row],[Country_Code]], Metadata_Country!$A:$A, Metadata_Country!$C:$C, "Unknown"), IF(OR(_xlpm.ig=0, _xlpm.ig=""), "Regional Aggregate", _xlpm.ig))</f>
        <v>Upper middle income</v>
      </c>
      <c r="H2027" s="4">
        <f>Clean_Data[[#This Row],[Exports_TIV]] - Clean_Data[[#This Row],[Imports_TIV]]</f>
        <v>-200000000</v>
      </c>
      <c r="I2027" s="4">
        <f>Clean_Data[[#This Row],[Exports_TIV]] + Clean_Data[[#This Row],[Imports_TIV]]</f>
        <v>200000000</v>
      </c>
    </row>
    <row r="2028" spans="1:9">
      <c r="A2028" s="4" t="s">
        <v>101</v>
      </c>
      <c r="B2028" s="4" t="s">
        <v>102</v>
      </c>
      <c r="C2028" s="5">
        <v>2012</v>
      </c>
      <c r="D2028" s="4">
        <v>0</v>
      </c>
      <c r="E2028" s="4">
        <v>1000000</v>
      </c>
      <c r="F2028" s="4" t="str">
        <f>_xlfn.LET(_xlpm.r, _xlfn.XLOOKUP(Clean_Data[[#This Row],[Country_Code]], Metadata_Country!$A:$A, Metadata_Country!$B:$B, "Unknown"), IF(OR(_xlpm.r=0, _xlpm.r=""), "Regional Aggregate", _xlpm.r))</f>
        <v>Sub-Saharan Africa</v>
      </c>
      <c r="G2028" s="4" t="str">
        <f>_xlfn.LET(_xlpm.ig, _xlfn.XLOOKUP(Clean_Data[[#This Row],[Country_Code]], Metadata_Country!$A:$A, Metadata_Country!$C:$C, "Unknown"), IF(OR(_xlpm.ig=0, _xlpm.ig=""), "Regional Aggregate", _xlpm.ig))</f>
        <v>Lower middle income</v>
      </c>
      <c r="H2028" s="4">
        <f>Clean_Data[[#This Row],[Exports_TIV]] - Clean_Data[[#This Row],[Imports_TIV]]</f>
        <v>-1000000</v>
      </c>
      <c r="I2028" s="4">
        <f>Clean_Data[[#This Row],[Exports_TIV]] + Clean_Data[[#This Row],[Imports_TIV]]</f>
        <v>1000000</v>
      </c>
    </row>
    <row r="2029" spans="1:9">
      <c r="A2029" s="4" t="s">
        <v>95</v>
      </c>
      <c r="B2029" s="4" t="s">
        <v>96</v>
      </c>
      <c r="C2029" s="5">
        <v>2012</v>
      </c>
      <c r="D2029" s="4">
        <v>0</v>
      </c>
      <c r="E2029" s="4">
        <v>15000000</v>
      </c>
      <c r="F2029" s="4" t="str">
        <f>_xlfn.LET(_xlpm.r, _xlfn.XLOOKUP(Clean_Data[[#This Row],[Country_Code]], Metadata_Country!$A:$A, Metadata_Country!$B:$B, "Unknown"), IF(OR(_xlpm.r=0, _xlpm.r=""), "Regional Aggregate", _xlpm.r))</f>
        <v>Sub-Saharan Africa</v>
      </c>
      <c r="G2029" s="4" t="str">
        <f>_xlfn.LET(_xlpm.ig, _xlfn.XLOOKUP(Clean_Data[[#This Row],[Country_Code]], Metadata_Country!$A:$A, Metadata_Country!$C:$C, "Unknown"), IF(OR(_xlpm.ig=0, _xlpm.ig=""), "Regional Aggregate", _xlpm.ig))</f>
        <v>Low income</v>
      </c>
      <c r="H2029" s="4">
        <f>Clean_Data[[#This Row],[Exports_TIV]] - Clean_Data[[#This Row],[Imports_TIV]]</f>
        <v>-15000000</v>
      </c>
      <c r="I2029" s="4">
        <f>Clean_Data[[#This Row],[Exports_TIV]] + Clean_Data[[#This Row],[Imports_TIV]]</f>
        <v>15000000</v>
      </c>
    </row>
    <row r="2030" spans="1:9">
      <c r="A2030" s="4" t="s">
        <v>97</v>
      </c>
      <c r="B2030" s="4" t="s">
        <v>98</v>
      </c>
      <c r="C2030" s="5">
        <v>2012</v>
      </c>
      <c r="D2030" s="4">
        <v>0</v>
      </c>
      <c r="E2030" s="4">
        <v>26000000</v>
      </c>
      <c r="F2030" s="4" t="str">
        <f>_xlfn.LET(_xlpm.r, _xlfn.XLOOKUP(Clean_Data[[#This Row],[Country_Code]], Metadata_Country!$A:$A, Metadata_Country!$B:$B, "Unknown"), IF(OR(_xlpm.r=0, _xlpm.r=""), "Regional Aggregate", _xlpm.r))</f>
        <v>Sub-Saharan Africa</v>
      </c>
      <c r="G2030" s="4" t="str">
        <f>_xlfn.LET(_xlpm.ig, _xlfn.XLOOKUP(Clean_Data[[#This Row],[Country_Code]], Metadata_Country!$A:$A, Metadata_Country!$C:$C, "Unknown"), IF(OR(_xlpm.ig=0, _xlpm.ig=""), "Regional Aggregate", _xlpm.ig))</f>
        <v>Lower middle income</v>
      </c>
      <c r="H2030" s="4">
        <f>Clean_Data[[#This Row],[Exports_TIV]] - Clean_Data[[#This Row],[Imports_TIV]]</f>
        <v>-26000000</v>
      </c>
      <c r="I2030" s="4">
        <f>Clean_Data[[#This Row],[Exports_TIV]] + Clean_Data[[#This Row],[Imports_TIV]]</f>
        <v>26000000</v>
      </c>
    </row>
    <row r="2031" spans="1:9">
      <c r="A2031" s="4" t="s">
        <v>207</v>
      </c>
      <c r="B2031" s="4" t="s">
        <v>208</v>
      </c>
      <c r="C2031" s="5">
        <v>2012</v>
      </c>
      <c r="D2031" s="4">
        <v>0</v>
      </c>
      <c r="E2031" s="4">
        <v>18000000</v>
      </c>
      <c r="F2031" s="4" t="str">
        <f>_xlfn.LET(_xlpm.r, _xlfn.XLOOKUP(Clean_Data[[#This Row],[Country_Code]], Metadata_Country!$A:$A, Metadata_Country!$B:$B, "Unknown"), IF(OR(_xlpm.r=0, _xlpm.r=""), "Regional Aggregate", _xlpm.r))</f>
        <v>Europe &amp; Central Asia</v>
      </c>
      <c r="G2031" s="4" t="str">
        <f>_xlfn.LET(_xlpm.ig, _xlfn.XLOOKUP(Clean_Data[[#This Row],[Country_Code]], Metadata_Country!$A:$A, Metadata_Country!$C:$C, "Unknown"), IF(OR(_xlpm.ig=0, _xlpm.ig=""), "Regional Aggregate", _xlpm.ig))</f>
        <v>High income</v>
      </c>
      <c r="H2031" s="4">
        <f>Clean_Data[[#This Row],[Exports_TIV]] - Clean_Data[[#This Row],[Imports_TIV]]</f>
        <v>-18000000</v>
      </c>
      <c r="I2031" s="4">
        <f>Clean_Data[[#This Row],[Exports_TIV]] + Clean_Data[[#This Row],[Imports_TIV]]</f>
        <v>18000000</v>
      </c>
    </row>
    <row r="2032" spans="1:9">
      <c r="A2032" s="4" t="s">
        <v>115</v>
      </c>
      <c r="B2032" s="4" t="s">
        <v>116</v>
      </c>
      <c r="C2032" s="5">
        <v>2012</v>
      </c>
      <c r="D2032" s="4">
        <v>0</v>
      </c>
      <c r="E2032" s="4">
        <v>6000000</v>
      </c>
      <c r="F2032" s="4" t="str">
        <f>_xlfn.LET(_xlpm.r, _xlfn.XLOOKUP(Clean_Data[[#This Row],[Country_Code]], Metadata_Country!$A:$A, Metadata_Country!$B:$B, "Unknown"), IF(OR(_xlpm.r=0, _xlpm.r=""), "Regional Aggregate", _xlpm.r))</f>
        <v>Europe &amp; Central Asia</v>
      </c>
      <c r="G2032" s="4" t="str">
        <f>_xlfn.LET(_xlpm.ig, _xlfn.XLOOKUP(Clean_Data[[#This Row],[Country_Code]], Metadata_Country!$A:$A, Metadata_Country!$C:$C, "Unknown"), IF(OR(_xlpm.ig=0, _xlpm.ig=""), "Regional Aggregate", _xlpm.ig))</f>
        <v>High income</v>
      </c>
      <c r="H2032" s="4">
        <f>Clean_Data[[#This Row],[Exports_TIV]] - Clean_Data[[#This Row],[Imports_TIV]]</f>
        <v>-6000000</v>
      </c>
      <c r="I2032" s="4">
        <f>Clean_Data[[#This Row],[Exports_TIV]] + Clean_Data[[#This Row],[Imports_TIV]]</f>
        <v>6000000</v>
      </c>
    </row>
    <row r="2033" spans="1:9">
      <c r="A2033" s="4" t="s">
        <v>117</v>
      </c>
      <c r="B2033" s="4" t="s">
        <v>118</v>
      </c>
      <c r="C2033" s="5">
        <v>2012</v>
      </c>
      <c r="D2033" s="4">
        <v>8000000</v>
      </c>
      <c r="E2033" s="4">
        <v>44000000</v>
      </c>
      <c r="F2033" s="4" t="str">
        <f>_xlfn.LET(_xlpm.r, _xlfn.XLOOKUP(Clean_Data[[#This Row],[Country_Code]], Metadata_Country!$A:$A, Metadata_Country!$B:$B, "Unknown"), IF(OR(_xlpm.r=0, _xlpm.r=""), "Regional Aggregate", _xlpm.r))</f>
        <v>Europe &amp; Central Asia</v>
      </c>
      <c r="G2033" s="4" t="str">
        <f>_xlfn.LET(_xlpm.ig, _xlfn.XLOOKUP(Clean_Data[[#This Row],[Country_Code]], Metadata_Country!$A:$A, Metadata_Country!$C:$C, "Unknown"), IF(OR(_xlpm.ig=0, _xlpm.ig=""), "Regional Aggregate", _xlpm.ig))</f>
        <v>High income</v>
      </c>
      <c r="H2033" s="4">
        <f>Clean_Data[[#This Row],[Exports_TIV]] - Clean_Data[[#This Row],[Imports_TIV]]</f>
        <v>-36000000</v>
      </c>
      <c r="I2033" s="4">
        <f>Clean_Data[[#This Row],[Exports_TIV]] + Clean_Data[[#This Row],[Imports_TIV]]</f>
        <v>52000000</v>
      </c>
    </row>
    <row r="2034" spans="1:9">
      <c r="A2034" s="4" t="s">
        <v>125</v>
      </c>
      <c r="B2034" s="4" t="s">
        <v>126</v>
      </c>
      <c r="C2034" s="5">
        <v>2012</v>
      </c>
      <c r="D2034" s="4">
        <v>26000000</v>
      </c>
      <c r="E2034" s="4">
        <v>103000000</v>
      </c>
      <c r="F2034" s="4" t="str">
        <f>_xlfn.LET(_xlpm.r, _xlfn.XLOOKUP(Clean_Data[[#This Row],[Country_Code]], Metadata_Country!$A:$A, Metadata_Country!$B:$B, "Unknown"), IF(OR(_xlpm.r=0, _xlpm.r=""), "Regional Aggregate", _xlpm.r))</f>
        <v>Europe &amp; Central Asia</v>
      </c>
      <c r="G2034" s="4" t="str">
        <f>_xlfn.LET(_xlpm.ig, _xlfn.XLOOKUP(Clean_Data[[#This Row],[Country_Code]], Metadata_Country!$A:$A, Metadata_Country!$C:$C, "Unknown"), IF(OR(_xlpm.ig=0, _xlpm.ig=""), "Regional Aggregate", _xlpm.ig))</f>
        <v>High income</v>
      </c>
      <c r="H2034" s="4">
        <f>Clean_Data[[#This Row],[Exports_TIV]] - Clean_Data[[#This Row],[Imports_TIV]]</f>
        <v>-77000000</v>
      </c>
      <c r="I2034" s="4">
        <f>Clean_Data[[#This Row],[Exports_TIV]] + Clean_Data[[#This Row],[Imports_TIV]]</f>
        <v>129000000</v>
      </c>
    </row>
    <row r="2035" spans="1:9">
      <c r="A2035" s="4" t="s">
        <v>121</v>
      </c>
      <c r="B2035" s="4" t="s">
        <v>122</v>
      </c>
      <c r="C2035" s="5">
        <v>2012</v>
      </c>
      <c r="D2035" s="4">
        <v>0</v>
      </c>
      <c r="E2035" s="4">
        <v>6000000</v>
      </c>
      <c r="F2035" s="4" t="str">
        <f>_xlfn.LET(_xlpm.r, _xlfn.XLOOKUP(Clean_Data[[#This Row],[Country_Code]], Metadata_Country!$A:$A, Metadata_Country!$B:$B, "Unknown"), IF(OR(_xlpm.r=0, _xlpm.r=""), "Regional Aggregate", _xlpm.r))</f>
        <v>Middle East &amp; North Africa</v>
      </c>
      <c r="G2035" s="4" t="str">
        <f>_xlfn.LET(_xlpm.ig, _xlfn.XLOOKUP(Clean_Data[[#This Row],[Country_Code]], Metadata_Country!$A:$A, Metadata_Country!$C:$C, "Unknown"), IF(OR(_xlpm.ig=0, _xlpm.ig=""), "Regional Aggregate", _xlpm.ig))</f>
        <v>Lower middle income</v>
      </c>
      <c r="H2035" s="4">
        <f>Clean_Data[[#This Row],[Exports_TIV]] - Clean_Data[[#This Row],[Imports_TIV]]</f>
        <v>-6000000</v>
      </c>
      <c r="I2035" s="4">
        <f>Clean_Data[[#This Row],[Exports_TIV]] + Clean_Data[[#This Row],[Imports_TIV]]</f>
        <v>6000000</v>
      </c>
    </row>
    <row r="2036" spans="1:9">
      <c r="A2036" s="4" t="s">
        <v>133</v>
      </c>
      <c r="B2036" s="4" t="s">
        <v>134</v>
      </c>
      <c r="C2036" s="5">
        <v>2012</v>
      </c>
      <c r="D2036" s="4">
        <v>0</v>
      </c>
      <c r="E2036" s="4">
        <v>12356000000</v>
      </c>
      <c r="F2036" s="4" t="str">
        <f>_xlfn.LET(_xlpm.r, _xlfn.XLOOKUP(Clean_Data[[#This Row],[Country_Code]], Metadata_Country!$A:$A, Metadata_Country!$B:$B, "Unknown"), IF(OR(_xlpm.r=0, _xlpm.r=""), "Regional Aggregate", _xlpm.r))</f>
        <v>Regional Aggregate</v>
      </c>
      <c r="G2036" s="4" t="str">
        <f>_xlfn.LET(_xlpm.ig, _xlfn.XLOOKUP(Clean_Data[[#This Row],[Country_Code]], Metadata_Country!$A:$A, Metadata_Country!$C:$C, "Unknown"), IF(OR(_xlpm.ig=0, _xlpm.ig=""), "Regional Aggregate", _xlpm.ig))</f>
        <v>Regional Aggregate</v>
      </c>
      <c r="H2036" s="4">
        <f>Clean_Data[[#This Row],[Exports_TIV]] - Clean_Data[[#This Row],[Imports_TIV]]</f>
        <v>-12356000000</v>
      </c>
      <c r="I2036" s="4">
        <f>Clean_Data[[#This Row],[Exports_TIV]] + Clean_Data[[#This Row],[Imports_TIV]]</f>
        <v>12356000000</v>
      </c>
    </row>
    <row r="2037" spans="1:9">
      <c r="A2037" s="4" t="s">
        <v>135</v>
      </c>
      <c r="B2037" s="4" t="s">
        <v>136</v>
      </c>
      <c r="C2037" s="5">
        <v>2012</v>
      </c>
      <c r="D2037" s="4">
        <v>0</v>
      </c>
      <c r="E2037" s="4">
        <v>6687000000</v>
      </c>
      <c r="F2037" s="4" t="str">
        <f>_xlfn.LET(_xlpm.r, _xlfn.XLOOKUP(Clean_Data[[#This Row],[Country_Code]], Metadata_Country!$A:$A, Metadata_Country!$B:$B, "Unknown"), IF(OR(_xlpm.r=0, _xlpm.r=""), "Regional Aggregate", _xlpm.r))</f>
        <v>Regional Aggregate</v>
      </c>
      <c r="G2037" s="4" t="str">
        <f>_xlfn.LET(_xlpm.ig, _xlfn.XLOOKUP(Clean_Data[[#This Row],[Country_Code]], Metadata_Country!$A:$A, Metadata_Country!$C:$C, "Unknown"), IF(OR(_xlpm.ig=0, _xlpm.ig=""), "Regional Aggregate", _xlpm.ig))</f>
        <v>Regional Aggregate</v>
      </c>
      <c r="H2037" s="4">
        <f>Clean_Data[[#This Row],[Exports_TIV]] - Clean_Data[[#This Row],[Imports_TIV]]</f>
        <v>-6687000000</v>
      </c>
      <c r="I2037" s="4">
        <f>Clean_Data[[#This Row],[Exports_TIV]] + Clean_Data[[#This Row],[Imports_TIV]]</f>
        <v>6687000000</v>
      </c>
    </row>
    <row r="2038" spans="1:9">
      <c r="A2038" s="4" t="s">
        <v>131</v>
      </c>
      <c r="B2038" s="4" t="s">
        <v>132</v>
      </c>
      <c r="C2038" s="5">
        <v>2012</v>
      </c>
      <c r="D2038" s="4">
        <v>1499000000</v>
      </c>
      <c r="E2038" s="4">
        <v>3377000000</v>
      </c>
      <c r="F2038" s="4" t="str">
        <f>_xlfn.LET(_xlpm.r, _xlfn.XLOOKUP(Clean_Data[[#This Row],[Country_Code]], Metadata_Country!$A:$A, Metadata_Country!$B:$B, "Unknown"), IF(OR(_xlpm.r=0, _xlpm.r=""), "Regional Aggregate", _xlpm.r))</f>
        <v>Regional Aggregate</v>
      </c>
      <c r="G2038" s="4" t="str">
        <f>_xlfn.LET(_xlpm.ig, _xlfn.XLOOKUP(Clean_Data[[#This Row],[Country_Code]], Metadata_Country!$A:$A, Metadata_Country!$C:$C, "Unknown"), IF(OR(_xlpm.ig=0, _xlpm.ig=""), "Regional Aggregate", _xlpm.ig))</f>
        <v>Regional Aggregate</v>
      </c>
      <c r="H2038" s="4">
        <f>Clean_Data[[#This Row],[Exports_TIV]] - Clean_Data[[#This Row],[Imports_TIV]]</f>
        <v>-1878000000</v>
      </c>
      <c r="I2038" s="4">
        <f>Clean_Data[[#This Row],[Exports_TIV]] + Clean_Data[[#This Row],[Imports_TIV]]</f>
        <v>4876000000</v>
      </c>
    </row>
    <row r="2039" spans="1:9">
      <c r="A2039" s="4" t="s">
        <v>469</v>
      </c>
      <c r="B2039" s="4" t="s">
        <v>470</v>
      </c>
      <c r="C2039" s="5">
        <v>2012</v>
      </c>
      <c r="D2039" s="4">
        <v>1499000000</v>
      </c>
      <c r="E2039" s="4">
        <v>3377000000</v>
      </c>
      <c r="F2039" s="4" t="str">
        <f>_xlfn.LET(_xlpm.r, _xlfn.XLOOKUP(Clean_Data[[#This Row],[Country_Code]], Metadata_Country!$A:$A, Metadata_Country!$B:$B, "Unknown"), IF(OR(_xlpm.r=0, _xlpm.r=""), "Regional Aggregate", _xlpm.r))</f>
        <v>Regional Aggregate</v>
      </c>
      <c r="G2039" s="4" t="str">
        <f>_xlfn.LET(_xlpm.ig, _xlfn.XLOOKUP(Clean_Data[[#This Row],[Country_Code]], Metadata_Country!$A:$A, Metadata_Country!$C:$C, "Unknown"), IF(OR(_xlpm.ig=0, _xlpm.ig=""), "Regional Aggregate", _xlpm.ig))</f>
        <v>Regional Aggregate</v>
      </c>
      <c r="H2039" s="4">
        <f>Clean_Data[[#This Row],[Exports_TIV]] - Clean_Data[[#This Row],[Imports_TIV]]</f>
        <v>-1878000000</v>
      </c>
      <c r="I2039" s="4">
        <f>Clean_Data[[#This Row],[Exports_TIV]] + Clean_Data[[#This Row],[Imports_TIV]]</f>
        <v>4876000000</v>
      </c>
    </row>
    <row r="2040" spans="1:9">
      <c r="A2040" s="4" t="s">
        <v>141</v>
      </c>
      <c r="B2040" s="4" t="s">
        <v>142</v>
      </c>
      <c r="C2040" s="5">
        <v>2012</v>
      </c>
      <c r="D2040" s="4">
        <v>0</v>
      </c>
      <c r="E2040" s="4">
        <v>89000000</v>
      </c>
      <c r="F2040" s="4" t="str">
        <f>_xlfn.LET(_xlpm.r, _xlfn.XLOOKUP(Clean_Data[[#This Row],[Country_Code]], Metadata_Country!$A:$A, Metadata_Country!$B:$B, "Unknown"), IF(OR(_xlpm.r=0, _xlpm.r=""), "Regional Aggregate", _xlpm.r))</f>
        <v>Latin America &amp; Caribbean</v>
      </c>
      <c r="G2040" s="4" t="str">
        <f>_xlfn.LET(_xlpm.ig, _xlfn.XLOOKUP(Clean_Data[[#This Row],[Country_Code]], Metadata_Country!$A:$A, Metadata_Country!$C:$C, "Unknown"), IF(OR(_xlpm.ig=0, _xlpm.ig=""), "Regional Aggregate", _xlpm.ig))</f>
        <v>Upper middle income</v>
      </c>
      <c r="H2040" s="4">
        <f>Clean_Data[[#This Row],[Exports_TIV]] - Clean_Data[[#This Row],[Imports_TIV]]</f>
        <v>-89000000</v>
      </c>
      <c r="I2040" s="4">
        <f>Clean_Data[[#This Row],[Exports_TIV]] + Clean_Data[[#This Row],[Imports_TIV]]</f>
        <v>89000000</v>
      </c>
    </row>
    <row r="2041" spans="1:9">
      <c r="A2041" s="4" t="s">
        <v>143</v>
      </c>
      <c r="B2041" s="4" t="s">
        <v>144</v>
      </c>
      <c r="C2041" s="5">
        <v>2012</v>
      </c>
      <c r="D2041" s="4">
        <v>0</v>
      </c>
      <c r="E2041" s="4">
        <v>308000000</v>
      </c>
      <c r="F2041" s="4" t="str">
        <f>_xlfn.LET(_xlpm.r, _xlfn.XLOOKUP(Clean_Data[[#This Row],[Country_Code]], Metadata_Country!$A:$A, Metadata_Country!$B:$B, "Unknown"), IF(OR(_xlpm.r=0, _xlpm.r=""), "Regional Aggregate", _xlpm.r))</f>
        <v>Middle East &amp; North Africa</v>
      </c>
      <c r="G2041" s="4" t="str">
        <f>_xlfn.LET(_xlpm.ig, _xlfn.XLOOKUP(Clean_Data[[#This Row],[Country_Code]], Metadata_Country!$A:$A, Metadata_Country!$C:$C, "Unknown"), IF(OR(_xlpm.ig=0, _xlpm.ig=""), "Regional Aggregate", _xlpm.ig))</f>
        <v>Lower middle income</v>
      </c>
      <c r="H2041" s="4">
        <f>Clean_Data[[#This Row],[Exports_TIV]] - Clean_Data[[#This Row],[Imports_TIV]]</f>
        <v>-308000000</v>
      </c>
      <c r="I2041" s="4">
        <f>Clean_Data[[#This Row],[Exports_TIV]] + Clean_Data[[#This Row],[Imports_TIV]]</f>
        <v>308000000</v>
      </c>
    </row>
    <row r="2042" spans="1:9">
      <c r="A2042" s="4" t="s">
        <v>431</v>
      </c>
      <c r="B2042" s="4" t="s">
        <v>432</v>
      </c>
      <c r="C2042" s="5">
        <v>2012</v>
      </c>
      <c r="D2042" s="4">
        <v>0</v>
      </c>
      <c r="E2042" s="4">
        <v>4000000</v>
      </c>
      <c r="F2042" s="4" t="str">
        <f>_xlfn.LET(_xlpm.r, _xlfn.XLOOKUP(Clean_Data[[#This Row],[Country_Code]], Metadata_Country!$A:$A, Metadata_Country!$B:$B, "Unknown"), IF(OR(_xlpm.r=0, _xlpm.r=""), "Regional Aggregate", _xlpm.r))</f>
        <v>Latin America &amp; Caribbean</v>
      </c>
      <c r="G2042" s="4" t="str">
        <f>_xlfn.LET(_xlpm.ig, _xlfn.XLOOKUP(Clean_Data[[#This Row],[Country_Code]], Metadata_Country!$A:$A, Metadata_Country!$C:$C, "Unknown"), IF(OR(_xlpm.ig=0, _xlpm.ig=""), "Regional Aggregate", _xlpm.ig))</f>
        <v>Upper middle income</v>
      </c>
      <c r="H2042" s="4">
        <f>Clean_Data[[#This Row],[Exports_TIV]] - Clean_Data[[#This Row],[Imports_TIV]]</f>
        <v>-4000000</v>
      </c>
      <c r="I2042" s="4">
        <f>Clean_Data[[#This Row],[Exports_TIV]] + Clean_Data[[#This Row],[Imports_TIV]]</f>
        <v>4000000</v>
      </c>
    </row>
    <row r="2043" spans="1:9">
      <c r="A2043" s="4" t="s">
        <v>185</v>
      </c>
      <c r="B2043" s="4" t="s">
        <v>186</v>
      </c>
      <c r="C2043" s="5">
        <v>2012</v>
      </c>
      <c r="D2043" s="4">
        <v>0</v>
      </c>
      <c r="E2043" s="4">
        <v>60000000</v>
      </c>
      <c r="F2043" s="4" t="str">
        <f>_xlfn.LET(_xlpm.r, _xlfn.XLOOKUP(Clean_Data[[#This Row],[Country_Code]], Metadata_Country!$A:$A, Metadata_Country!$B:$B, "Unknown"), IF(OR(_xlpm.r=0, _xlpm.r=""), "Regional Aggregate", _xlpm.r))</f>
        <v>Sub-Saharan Africa</v>
      </c>
      <c r="G2043" s="4" t="str">
        <f>_xlfn.LET(_xlpm.ig, _xlfn.XLOOKUP(Clean_Data[[#This Row],[Country_Code]], Metadata_Country!$A:$A, Metadata_Country!$C:$C, "Unknown"), IF(OR(_xlpm.ig=0, _xlpm.ig=""), "Regional Aggregate", _xlpm.ig))</f>
        <v>Upper middle income</v>
      </c>
      <c r="H2043" s="4">
        <f>Clean_Data[[#This Row],[Exports_TIV]] - Clean_Data[[#This Row],[Imports_TIV]]</f>
        <v>-60000000</v>
      </c>
      <c r="I2043" s="4">
        <f>Clean_Data[[#This Row],[Exports_TIV]] + Clean_Data[[#This Row],[Imports_TIV]]</f>
        <v>60000000</v>
      </c>
    </row>
    <row r="2044" spans="1:9">
      <c r="A2044" s="4" t="s">
        <v>151</v>
      </c>
      <c r="B2044" s="4" t="s">
        <v>152</v>
      </c>
      <c r="C2044" s="5">
        <v>2012</v>
      </c>
      <c r="D2044" s="4">
        <v>0</v>
      </c>
      <c r="E2044" s="4">
        <v>2000000</v>
      </c>
      <c r="F2044" s="4" t="str">
        <f>_xlfn.LET(_xlpm.r, _xlfn.XLOOKUP(Clean_Data[[#This Row],[Country_Code]], Metadata_Country!$A:$A, Metadata_Country!$B:$B, "Unknown"), IF(OR(_xlpm.r=0, _xlpm.r=""), "Regional Aggregate", _xlpm.r))</f>
        <v>Europe &amp; Central Asia</v>
      </c>
      <c r="G2044" s="4" t="str">
        <f>_xlfn.LET(_xlpm.ig, _xlfn.XLOOKUP(Clean_Data[[#This Row],[Country_Code]], Metadata_Country!$A:$A, Metadata_Country!$C:$C, "Unknown"), IF(OR(_xlpm.ig=0, _xlpm.ig=""), "Regional Aggregate", _xlpm.ig))</f>
        <v>High income</v>
      </c>
      <c r="H2044" s="4">
        <f>Clean_Data[[#This Row],[Exports_TIV]] - Clean_Data[[#This Row],[Imports_TIV]]</f>
        <v>-2000000</v>
      </c>
      <c r="I2044" s="4">
        <f>Clean_Data[[#This Row],[Exports_TIV]] + Clean_Data[[#This Row],[Imports_TIV]]</f>
        <v>2000000</v>
      </c>
    </row>
    <row r="2045" spans="1:9">
      <c r="A2045" s="4" t="s">
        <v>153</v>
      </c>
      <c r="B2045" s="4" t="s">
        <v>154</v>
      </c>
      <c r="C2045" s="5">
        <v>2012</v>
      </c>
      <c r="D2045" s="4">
        <v>0</v>
      </c>
      <c r="E2045" s="4">
        <v>193000000</v>
      </c>
      <c r="F2045" s="4" t="str">
        <f>_xlfn.LET(_xlpm.r, _xlfn.XLOOKUP(Clean_Data[[#This Row],[Country_Code]], Metadata_Country!$A:$A, Metadata_Country!$B:$B, "Unknown"), IF(OR(_xlpm.r=0, _xlpm.r=""), "Regional Aggregate", _xlpm.r))</f>
        <v>Sub-Saharan Africa</v>
      </c>
      <c r="G2045" s="4" t="str">
        <f>_xlfn.LET(_xlpm.ig, _xlfn.XLOOKUP(Clean_Data[[#This Row],[Country_Code]], Metadata_Country!$A:$A, Metadata_Country!$C:$C, "Unknown"), IF(OR(_xlpm.ig=0, _xlpm.ig=""), "Regional Aggregate", _xlpm.ig))</f>
        <v>Low income</v>
      </c>
      <c r="H2045" s="4">
        <f>Clean_Data[[#This Row],[Exports_TIV]] - Clean_Data[[#This Row],[Imports_TIV]]</f>
        <v>-193000000</v>
      </c>
      <c r="I2045" s="4">
        <f>Clean_Data[[#This Row],[Exports_TIV]] + Clean_Data[[#This Row],[Imports_TIV]]</f>
        <v>193000000</v>
      </c>
    </row>
    <row r="2046" spans="1:9">
      <c r="A2046" s="4" t="s">
        <v>145</v>
      </c>
      <c r="B2046" s="4" t="s">
        <v>146</v>
      </c>
      <c r="C2046" s="5">
        <v>2012</v>
      </c>
      <c r="D2046" s="4">
        <v>4242000000</v>
      </c>
      <c r="E2046" s="4">
        <v>1061000000</v>
      </c>
      <c r="F2046" s="4" t="str">
        <f>_xlfn.LET(_xlpm.r, _xlfn.XLOOKUP(Clean_Data[[#This Row],[Country_Code]], Metadata_Country!$A:$A, Metadata_Country!$B:$B, "Unknown"), IF(OR(_xlpm.r=0, _xlpm.r=""), "Regional Aggregate", _xlpm.r))</f>
        <v>Regional Aggregate</v>
      </c>
      <c r="G2046" s="4" t="str">
        <f>_xlfn.LET(_xlpm.ig, _xlfn.XLOOKUP(Clean_Data[[#This Row],[Country_Code]], Metadata_Country!$A:$A, Metadata_Country!$C:$C, "Unknown"), IF(OR(_xlpm.ig=0, _xlpm.ig=""), "Regional Aggregate", _xlpm.ig))</f>
        <v>Regional Aggregate</v>
      </c>
      <c r="H2046" s="4">
        <f>Clean_Data[[#This Row],[Exports_TIV]] - Clean_Data[[#This Row],[Imports_TIV]]</f>
        <v>3181000000</v>
      </c>
      <c r="I2046" s="4">
        <f>Clean_Data[[#This Row],[Exports_TIV]] + Clean_Data[[#This Row],[Imports_TIV]]</f>
        <v>5303000000</v>
      </c>
    </row>
    <row r="2047" spans="1:9">
      <c r="A2047" s="4" t="s">
        <v>139</v>
      </c>
      <c r="B2047" s="4" t="s">
        <v>140</v>
      </c>
      <c r="C2047" s="5">
        <v>2012</v>
      </c>
      <c r="D2047" s="4">
        <v>15958000000</v>
      </c>
      <c r="E2047" s="4">
        <v>4672000000</v>
      </c>
      <c r="F2047" s="4" t="str">
        <f>_xlfn.LET(_xlpm.r, _xlfn.XLOOKUP(Clean_Data[[#This Row],[Country_Code]], Metadata_Country!$A:$A, Metadata_Country!$B:$B, "Unknown"), IF(OR(_xlpm.r=0, _xlpm.r=""), "Regional Aggregate", _xlpm.r))</f>
        <v>Regional Aggregate</v>
      </c>
      <c r="G2047" s="4" t="str">
        <f>_xlfn.LET(_xlpm.ig, _xlfn.XLOOKUP(Clean_Data[[#This Row],[Country_Code]], Metadata_Country!$A:$A, Metadata_Country!$C:$C, "Unknown"), IF(OR(_xlpm.ig=0, _xlpm.ig=""), "Regional Aggregate", _xlpm.ig))</f>
        <v>Regional Aggregate</v>
      </c>
      <c r="H2047" s="4">
        <f>Clean_Data[[#This Row],[Exports_TIV]] - Clean_Data[[#This Row],[Imports_TIV]]</f>
        <v>11286000000</v>
      </c>
      <c r="I2047" s="4">
        <f>Clean_Data[[#This Row],[Exports_TIV]] + Clean_Data[[#This Row],[Imports_TIV]]</f>
        <v>20630000000</v>
      </c>
    </row>
    <row r="2048" spans="1:9">
      <c r="A2048" s="4" t="s">
        <v>137</v>
      </c>
      <c r="B2048" s="4" t="s">
        <v>138</v>
      </c>
      <c r="C2048" s="5">
        <v>2012</v>
      </c>
      <c r="D2048" s="4">
        <v>1758000000</v>
      </c>
      <c r="E2048" s="4">
        <v>2186000000</v>
      </c>
      <c r="F2048" s="4" t="str">
        <f>_xlfn.LET(_xlpm.r, _xlfn.XLOOKUP(Clean_Data[[#This Row],[Country_Code]], Metadata_Country!$A:$A, Metadata_Country!$B:$B, "Unknown"), IF(OR(_xlpm.r=0, _xlpm.r=""), "Regional Aggregate", _xlpm.r))</f>
        <v>Regional Aggregate</v>
      </c>
      <c r="G2048" s="4" t="str">
        <f>_xlfn.LET(_xlpm.ig, _xlfn.XLOOKUP(Clean_Data[[#This Row],[Country_Code]], Metadata_Country!$A:$A, Metadata_Country!$C:$C, "Unknown"), IF(OR(_xlpm.ig=0, _xlpm.ig=""), "Regional Aggregate", _xlpm.ig))</f>
        <v>Regional Aggregate</v>
      </c>
      <c r="H2048" s="4">
        <f>Clean_Data[[#This Row],[Exports_TIV]] - Clean_Data[[#This Row],[Imports_TIV]]</f>
        <v>-428000000</v>
      </c>
      <c r="I2048" s="4">
        <f>Clean_Data[[#This Row],[Exports_TIV]] + Clean_Data[[#This Row],[Imports_TIV]]</f>
        <v>3944000000</v>
      </c>
    </row>
    <row r="2049" spans="1:9">
      <c r="A2049" s="4" t="s">
        <v>471</v>
      </c>
      <c r="B2049" s="4" t="s">
        <v>472</v>
      </c>
      <c r="C2049" s="5">
        <v>2012</v>
      </c>
      <c r="D2049" s="4">
        <v>10146000000</v>
      </c>
      <c r="E2049" s="4">
        <v>2578000000</v>
      </c>
      <c r="F2049" s="4" t="str">
        <f>_xlfn.LET(_xlpm.r, _xlfn.XLOOKUP(Clean_Data[[#This Row],[Country_Code]], Metadata_Country!$A:$A, Metadata_Country!$B:$B, "Unknown"), IF(OR(_xlpm.r=0, _xlpm.r=""), "Regional Aggregate", _xlpm.r))</f>
        <v>Regional Aggregate</v>
      </c>
      <c r="G2049" s="4" t="str">
        <f>_xlfn.LET(_xlpm.ig, _xlfn.XLOOKUP(Clean_Data[[#This Row],[Country_Code]], Metadata_Country!$A:$A, Metadata_Country!$C:$C, "Unknown"), IF(OR(_xlpm.ig=0, _xlpm.ig=""), "Regional Aggregate", _xlpm.ig))</f>
        <v>Regional Aggregate</v>
      </c>
      <c r="H2049" s="4">
        <f>Clean_Data[[#This Row],[Exports_TIV]] - Clean_Data[[#This Row],[Imports_TIV]]</f>
        <v>7568000000</v>
      </c>
      <c r="I2049" s="4">
        <f>Clean_Data[[#This Row],[Exports_TIV]] + Clean_Data[[#This Row],[Imports_TIV]]</f>
        <v>12724000000</v>
      </c>
    </row>
    <row r="2050" spans="1:9">
      <c r="A2050" s="4" t="s">
        <v>155</v>
      </c>
      <c r="B2050" s="4" t="s">
        <v>156</v>
      </c>
      <c r="C2050" s="5">
        <v>2012</v>
      </c>
      <c r="D2050" s="4">
        <v>4743000000</v>
      </c>
      <c r="E2050" s="4">
        <v>1658000000</v>
      </c>
      <c r="F2050" s="4" t="str">
        <f>_xlfn.LET(_xlpm.r, _xlfn.XLOOKUP(Clean_Data[[#This Row],[Country_Code]], Metadata_Country!$A:$A, Metadata_Country!$B:$B, "Unknown"), IF(OR(_xlpm.r=0, _xlpm.r=""), "Regional Aggregate", _xlpm.r))</f>
        <v>Regional Aggregate</v>
      </c>
      <c r="G2050" s="4" t="str">
        <f>_xlfn.LET(_xlpm.ig, _xlfn.XLOOKUP(Clean_Data[[#This Row],[Country_Code]], Metadata_Country!$A:$A, Metadata_Country!$C:$C, "Unknown"), IF(OR(_xlpm.ig=0, _xlpm.ig=""), "Regional Aggregate", _xlpm.ig))</f>
        <v>Regional Aggregate</v>
      </c>
      <c r="H2050" s="4">
        <f>Clean_Data[[#This Row],[Exports_TIV]] - Clean_Data[[#This Row],[Imports_TIV]]</f>
        <v>3085000000</v>
      </c>
      <c r="I2050" s="4">
        <f>Clean_Data[[#This Row],[Exports_TIV]] + Clean_Data[[#This Row],[Imports_TIV]]</f>
        <v>6401000000</v>
      </c>
    </row>
    <row r="2051" spans="1:9">
      <c r="A2051" s="4" t="s">
        <v>159</v>
      </c>
      <c r="B2051" s="4" t="s">
        <v>160</v>
      </c>
      <c r="C2051" s="5">
        <v>2012</v>
      </c>
      <c r="D2051" s="4">
        <v>105000000</v>
      </c>
      <c r="E2051" s="4">
        <v>87000000</v>
      </c>
      <c r="F2051" s="4" t="str">
        <f>_xlfn.LET(_xlpm.r, _xlfn.XLOOKUP(Clean_Data[[#This Row],[Country_Code]], Metadata_Country!$A:$A, Metadata_Country!$B:$B, "Unknown"), IF(OR(_xlpm.r=0, _xlpm.r=""), "Regional Aggregate", _xlpm.r))</f>
        <v>Europe &amp; Central Asia</v>
      </c>
      <c r="G2051" s="4" t="str">
        <f>_xlfn.LET(_xlpm.ig, _xlfn.XLOOKUP(Clean_Data[[#This Row],[Country_Code]], Metadata_Country!$A:$A, Metadata_Country!$C:$C, "Unknown"), IF(OR(_xlpm.ig=0, _xlpm.ig=""), "Regional Aggregate", _xlpm.ig))</f>
        <v>High income</v>
      </c>
      <c r="H2051" s="4">
        <f>Clean_Data[[#This Row],[Exports_TIV]] - Clean_Data[[#This Row],[Imports_TIV]]</f>
        <v>18000000</v>
      </c>
      <c r="I2051" s="4">
        <f>Clean_Data[[#This Row],[Exports_TIV]] + Clean_Data[[#This Row],[Imports_TIV]]</f>
        <v>192000000</v>
      </c>
    </row>
    <row r="2052" spans="1:9">
      <c r="A2052" s="4" t="s">
        <v>157</v>
      </c>
      <c r="B2052" s="4" t="s">
        <v>158</v>
      </c>
      <c r="C2052" s="5">
        <v>2012</v>
      </c>
      <c r="D2052" s="4">
        <v>0</v>
      </c>
      <c r="E2052" s="4">
        <v>2532000000</v>
      </c>
      <c r="F2052" s="4" t="str">
        <f>_xlfn.LET(_xlpm.r, _xlfn.XLOOKUP(Clean_Data[[#This Row],[Country_Code]], Metadata_Country!$A:$A, Metadata_Country!$B:$B, "Unknown"), IF(OR(_xlpm.r=0, _xlpm.r=""), "Regional Aggregate", _xlpm.r))</f>
        <v>Regional Aggregate</v>
      </c>
      <c r="G2052" s="4" t="str">
        <f>_xlfn.LET(_xlpm.ig, _xlfn.XLOOKUP(Clean_Data[[#This Row],[Country_Code]], Metadata_Country!$A:$A, Metadata_Country!$C:$C, "Unknown"), IF(OR(_xlpm.ig=0, _xlpm.ig=""), "Regional Aggregate", _xlpm.ig))</f>
        <v>Regional Aggregate</v>
      </c>
      <c r="H2052" s="4">
        <f>Clean_Data[[#This Row],[Exports_TIV]] - Clean_Data[[#This Row],[Imports_TIV]]</f>
        <v>-2532000000</v>
      </c>
      <c r="I2052" s="4">
        <f>Clean_Data[[#This Row],[Exports_TIV]] + Clean_Data[[#This Row],[Imports_TIV]]</f>
        <v>2532000000</v>
      </c>
    </row>
    <row r="2053" spans="1:9">
      <c r="A2053" s="4" t="s">
        <v>163</v>
      </c>
      <c r="B2053" s="4" t="s">
        <v>164</v>
      </c>
      <c r="C2053" s="5">
        <v>2012</v>
      </c>
      <c r="D2053" s="4">
        <v>1338000000</v>
      </c>
      <c r="E2053" s="4">
        <v>86000000</v>
      </c>
      <c r="F2053" s="4" t="str">
        <f>_xlfn.LET(_xlpm.r, _xlfn.XLOOKUP(Clean_Data[[#This Row],[Country_Code]], Metadata_Country!$A:$A, Metadata_Country!$B:$B, "Unknown"), IF(OR(_xlpm.r=0, _xlpm.r=""), "Regional Aggregate", _xlpm.r))</f>
        <v>Europe &amp; Central Asia</v>
      </c>
      <c r="G2053" s="4" t="str">
        <f>_xlfn.LET(_xlpm.ig, _xlfn.XLOOKUP(Clean_Data[[#This Row],[Country_Code]], Metadata_Country!$A:$A, Metadata_Country!$C:$C, "Unknown"), IF(OR(_xlpm.ig=0, _xlpm.ig=""), "Regional Aggregate", _xlpm.ig))</f>
        <v>High income</v>
      </c>
      <c r="H2053" s="4">
        <f>Clean_Data[[#This Row],[Exports_TIV]] - Clean_Data[[#This Row],[Imports_TIV]]</f>
        <v>1252000000</v>
      </c>
      <c r="I2053" s="4">
        <f>Clean_Data[[#This Row],[Exports_TIV]] + Clean_Data[[#This Row],[Imports_TIV]]</f>
        <v>1424000000</v>
      </c>
    </row>
    <row r="2054" spans="1:9">
      <c r="A2054" s="4" t="s">
        <v>169</v>
      </c>
      <c r="B2054" s="4" t="s">
        <v>170</v>
      </c>
      <c r="C2054" s="5">
        <v>2012</v>
      </c>
      <c r="D2054" s="4">
        <v>0</v>
      </c>
      <c r="E2054" s="4">
        <v>1000000</v>
      </c>
      <c r="F2054" s="4" t="str">
        <f>_xlfn.LET(_xlpm.r, _xlfn.XLOOKUP(Clean_Data[[#This Row],[Country_Code]], Metadata_Country!$A:$A, Metadata_Country!$B:$B, "Unknown"), IF(OR(_xlpm.r=0, _xlpm.r=""), "Regional Aggregate", _xlpm.r))</f>
        <v>Sub-Saharan Africa</v>
      </c>
      <c r="G2054" s="4" t="str">
        <f>_xlfn.LET(_xlpm.ig, _xlfn.XLOOKUP(Clean_Data[[#This Row],[Country_Code]], Metadata_Country!$A:$A, Metadata_Country!$C:$C, "Unknown"), IF(OR(_xlpm.ig=0, _xlpm.ig=""), "Regional Aggregate", _xlpm.ig))</f>
        <v>Upper middle income</v>
      </c>
      <c r="H2054" s="4">
        <f>Clean_Data[[#This Row],[Exports_TIV]] - Clean_Data[[#This Row],[Imports_TIV]]</f>
        <v>-1000000</v>
      </c>
      <c r="I2054" s="4">
        <f>Clean_Data[[#This Row],[Exports_TIV]] + Clean_Data[[#This Row],[Imports_TIV]]</f>
        <v>1000000</v>
      </c>
    </row>
    <row r="2055" spans="1:9">
      <c r="A2055" s="4" t="s">
        <v>173</v>
      </c>
      <c r="B2055" s="4" t="s">
        <v>174</v>
      </c>
      <c r="C2055" s="5">
        <v>2012</v>
      </c>
      <c r="D2055" s="4">
        <v>0</v>
      </c>
      <c r="E2055" s="4">
        <v>9000000</v>
      </c>
      <c r="F2055" s="4" t="str">
        <f>_xlfn.LET(_xlpm.r, _xlfn.XLOOKUP(Clean_Data[[#This Row],[Country_Code]], Metadata_Country!$A:$A, Metadata_Country!$B:$B, "Unknown"), IF(OR(_xlpm.r=0, _xlpm.r=""), "Regional Aggregate", _xlpm.r))</f>
        <v>Europe &amp; Central Asia</v>
      </c>
      <c r="G2055" s="4" t="str">
        <f>_xlfn.LET(_xlpm.ig, _xlfn.XLOOKUP(Clean_Data[[#This Row],[Country_Code]], Metadata_Country!$A:$A, Metadata_Country!$C:$C, "Unknown"), IF(OR(_xlpm.ig=0, _xlpm.ig=""), "Regional Aggregate", _xlpm.ig))</f>
        <v>Upper middle income</v>
      </c>
      <c r="H2055" s="4">
        <f>Clean_Data[[#This Row],[Exports_TIV]] - Clean_Data[[#This Row],[Imports_TIV]]</f>
        <v>-9000000</v>
      </c>
      <c r="I2055" s="4">
        <f>Clean_Data[[#This Row],[Exports_TIV]] + Clean_Data[[#This Row],[Imports_TIV]]</f>
        <v>9000000</v>
      </c>
    </row>
    <row r="2056" spans="1:9">
      <c r="A2056" s="4" t="s">
        <v>119</v>
      </c>
      <c r="B2056" s="4" t="s">
        <v>120</v>
      </c>
      <c r="C2056" s="5">
        <v>2012</v>
      </c>
      <c r="D2056" s="4">
        <v>715000000</v>
      </c>
      <c r="E2056" s="4">
        <v>140000000</v>
      </c>
      <c r="F2056" s="4" t="str">
        <f>_xlfn.LET(_xlpm.r, _xlfn.XLOOKUP(Clean_Data[[#This Row],[Country_Code]], Metadata_Country!$A:$A, Metadata_Country!$B:$B, "Unknown"), IF(OR(_xlpm.r=0, _xlpm.r=""), "Regional Aggregate", _xlpm.r))</f>
        <v>Europe &amp; Central Asia</v>
      </c>
      <c r="G2056" s="4" t="str">
        <f>_xlfn.LET(_xlpm.ig, _xlfn.XLOOKUP(Clean_Data[[#This Row],[Country_Code]], Metadata_Country!$A:$A, Metadata_Country!$C:$C, "Unknown"), IF(OR(_xlpm.ig=0, _xlpm.ig=""), "Regional Aggregate", _xlpm.ig))</f>
        <v>High income</v>
      </c>
      <c r="H2056" s="4">
        <f>Clean_Data[[#This Row],[Exports_TIV]] - Clean_Data[[#This Row],[Imports_TIV]]</f>
        <v>575000000</v>
      </c>
      <c r="I2056" s="4">
        <f>Clean_Data[[#This Row],[Exports_TIV]] + Clean_Data[[#This Row],[Imports_TIV]]</f>
        <v>855000000</v>
      </c>
    </row>
    <row r="2057" spans="1:9">
      <c r="A2057" s="4" t="s">
        <v>175</v>
      </c>
      <c r="B2057" s="4" t="s">
        <v>176</v>
      </c>
      <c r="C2057" s="5">
        <v>2012</v>
      </c>
      <c r="D2057" s="4">
        <v>0</v>
      </c>
      <c r="E2057" s="4">
        <v>39000000</v>
      </c>
      <c r="F2057" s="4" t="str">
        <f>_xlfn.LET(_xlpm.r, _xlfn.XLOOKUP(Clean_Data[[#This Row],[Country_Code]], Metadata_Country!$A:$A, Metadata_Country!$B:$B, "Unknown"), IF(OR(_xlpm.r=0, _xlpm.r=""), "Regional Aggregate", _xlpm.r))</f>
        <v>Sub-Saharan Africa</v>
      </c>
      <c r="G2057" s="4" t="str">
        <f>_xlfn.LET(_xlpm.ig, _xlfn.XLOOKUP(Clean_Data[[#This Row],[Country_Code]], Metadata_Country!$A:$A, Metadata_Country!$C:$C, "Unknown"), IF(OR(_xlpm.ig=0, _xlpm.ig=""), "Regional Aggregate", _xlpm.ig))</f>
        <v>Lower middle income</v>
      </c>
      <c r="H2057" s="4">
        <f>Clean_Data[[#This Row],[Exports_TIV]] - Clean_Data[[#This Row],[Imports_TIV]]</f>
        <v>-39000000</v>
      </c>
      <c r="I2057" s="4">
        <f>Clean_Data[[#This Row],[Exports_TIV]] + Clean_Data[[#This Row],[Imports_TIV]]</f>
        <v>39000000</v>
      </c>
    </row>
    <row r="2058" spans="1:9">
      <c r="A2058" s="4" t="s">
        <v>187</v>
      </c>
      <c r="B2058" s="4" t="s">
        <v>188</v>
      </c>
      <c r="C2058" s="5">
        <v>2012</v>
      </c>
      <c r="D2058" s="4">
        <v>0</v>
      </c>
      <c r="E2058" s="4">
        <v>19000000</v>
      </c>
      <c r="F2058" s="4" t="str">
        <f>_xlfn.LET(_xlpm.r, _xlfn.XLOOKUP(Clean_Data[[#This Row],[Country_Code]], Metadata_Country!$A:$A, Metadata_Country!$B:$B, "Unknown"), IF(OR(_xlpm.r=0, _xlpm.r=""), "Regional Aggregate", _xlpm.r))</f>
        <v>Europe &amp; Central Asia</v>
      </c>
      <c r="G2058" s="4" t="str">
        <f>_xlfn.LET(_xlpm.ig, _xlfn.XLOOKUP(Clean_Data[[#This Row],[Country_Code]], Metadata_Country!$A:$A, Metadata_Country!$C:$C, "Unknown"), IF(OR(_xlpm.ig=0, _xlpm.ig=""), "Regional Aggregate", _xlpm.ig))</f>
        <v>High income</v>
      </c>
      <c r="H2058" s="4">
        <f>Clean_Data[[#This Row],[Exports_TIV]] - Clean_Data[[#This Row],[Imports_TIV]]</f>
        <v>-19000000</v>
      </c>
      <c r="I2058" s="4">
        <f>Clean_Data[[#This Row],[Exports_TIV]] + Clean_Data[[#This Row],[Imports_TIV]]</f>
        <v>19000000</v>
      </c>
    </row>
    <row r="2059" spans="1:9">
      <c r="A2059" s="4" t="s">
        <v>193</v>
      </c>
      <c r="B2059" s="4" t="s">
        <v>194</v>
      </c>
      <c r="C2059" s="5">
        <v>2012</v>
      </c>
      <c r="D2059" s="4">
        <v>0</v>
      </c>
      <c r="E2059" s="4">
        <v>2000000</v>
      </c>
      <c r="F2059" s="4" t="str">
        <f>_xlfn.LET(_xlpm.r, _xlfn.XLOOKUP(Clean_Data[[#This Row],[Country_Code]], Metadata_Country!$A:$A, Metadata_Country!$B:$B, "Unknown"), IF(OR(_xlpm.r=0, _xlpm.r=""), "Regional Aggregate", _xlpm.r))</f>
        <v>Latin America &amp; Caribbean</v>
      </c>
      <c r="G2059" s="4" t="str">
        <f>_xlfn.LET(_xlpm.ig, _xlfn.XLOOKUP(Clean_Data[[#This Row],[Country_Code]], Metadata_Country!$A:$A, Metadata_Country!$C:$C, "Unknown"), IF(OR(_xlpm.ig=0, _xlpm.ig=""), "Regional Aggregate", _xlpm.ig))</f>
        <v>Upper middle income</v>
      </c>
      <c r="H2059" s="4">
        <f>Clean_Data[[#This Row],[Exports_TIV]] - Clean_Data[[#This Row],[Imports_TIV]]</f>
        <v>-2000000</v>
      </c>
      <c r="I2059" s="4">
        <f>Clean_Data[[#This Row],[Exports_TIV]] + Clean_Data[[#This Row],[Imports_TIV]]</f>
        <v>2000000</v>
      </c>
    </row>
    <row r="2060" spans="1:9">
      <c r="A2060" s="4" t="s">
        <v>179</v>
      </c>
      <c r="B2060" s="4" t="s">
        <v>180</v>
      </c>
      <c r="C2060" s="5">
        <v>2012</v>
      </c>
      <c r="D2060" s="4">
        <v>0</v>
      </c>
      <c r="E2060" s="4">
        <v>4000000</v>
      </c>
      <c r="F2060" s="4" t="str">
        <f>_xlfn.LET(_xlpm.r, _xlfn.XLOOKUP(Clean_Data[[#This Row],[Country_Code]], Metadata_Country!$A:$A, Metadata_Country!$B:$B, "Unknown"), IF(OR(_xlpm.r=0, _xlpm.r=""), "Regional Aggregate", _xlpm.r))</f>
        <v>Sub-Saharan Africa</v>
      </c>
      <c r="G2060" s="4" t="str">
        <f>_xlfn.LET(_xlpm.ig, _xlfn.XLOOKUP(Clean_Data[[#This Row],[Country_Code]], Metadata_Country!$A:$A, Metadata_Country!$C:$C, "Unknown"), IF(OR(_xlpm.ig=0, _xlpm.ig=""), "Regional Aggregate", _xlpm.ig))</f>
        <v>Lower middle income</v>
      </c>
      <c r="H2060" s="4">
        <f>Clean_Data[[#This Row],[Exports_TIV]] - Clean_Data[[#This Row],[Imports_TIV]]</f>
        <v>-4000000</v>
      </c>
      <c r="I2060" s="4">
        <f>Clean_Data[[#This Row],[Exports_TIV]] + Clean_Data[[#This Row],[Imports_TIV]]</f>
        <v>4000000</v>
      </c>
    </row>
    <row r="2061" spans="1:9">
      <c r="A2061" s="4" t="s">
        <v>205</v>
      </c>
      <c r="B2061" s="4" t="s">
        <v>206</v>
      </c>
      <c r="C2061" s="5">
        <v>2012</v>
      </c>
      <c r="D2061" s="4">
        <v>0</v>
      </c>
      <c r="E2061" s="4">
        <v>1383000000</v>
      </c>
      <c r="F2061" s="4" t="str">
        <f>_xlfn.LET(_xlpm.r, _xlfn.XLOOKUP(Clean_Data[[#This Row],[Country_Code]], Metadata_Country!$A:$A, Metadata_Country!$B:$B, "Unknown"), IF(OR(_xlpm.r=0, _xlpm.r=""), "Regional Aggregate", _xlpm.r))</f>
        <v>Regional Aggregate</v>
      </c>
      <c r="G2061" s="4" t="str">
        <f>_xlfn.LET(_xlpm.ig, _xlfn.XLOOKUP(Clean_Data[[#This Row],[Country_Code]], Metadata_Country!$A:$A, Metadata_Country!$C:$C, "Unknown"), IF(OR(_xlpm.ig=0, _xlpm.ig=""), "Regional Aggregate", _xlpm.ig))</f>
        <v>Regional Aggregate</v>
      </c>
      <c r="H2061" s="4">
        <f>Clean_Data[[#This Row],[Exports_TIV]] - Clean_Data[[#This Row],[Imports_TIV]]</f>
        <v>-1383000000</v>
      </c>
      <c r="I2061" s="4">
        <f>Clean_Data[[#This Row],[Exports_TIV]] + Clean_Data[[#This Row],[Imports_TIV]]</f>
        <v>1383000000</v>
      </c>
    </row>
    <row r="2062" spans="1:9">
      <c r="A2062" s="4" t="s">
        <v>199</v>
      </c>
      <c r="B2062" s="4" t="s">
        <v>200</v>
      </c>
      <c r="C2062" s="5">
        <v>2012</v>
      </c>
      <c r="D2062" s="4">
        <v>24384000000</v>
      </c>
      <c r="E2062" s="4">
        <v>9850000000</v>
      </c>
      <c r="F2062" s="4" t="str">
        <f>_xlfn.LET(_xlpm.r, _xlfn.XLOOKUP(Clean_Data[[#This Row],[Country_Code]], Metadata_Country!$A:$A, Metadata_Country!$B:$B, "Unknown"), IF(OR(_xlpm.r=0, _xlpm.r=""), "Regional Aggregate", _xlpm.r))</f>
        <v>Regional Aggregate</v>
      </c>
      <c r="G2062" s="4" t="str">
        <f>_xlfn.LET(_xlpm.ig, _xlfn.XLOOKUP(Clean_Data[[#This Row],[Country_Code]], Metadata_Country!$A:$A, Metadata_Country!$C:$C, "Unknown"), IF(OR(_xlpm.ig=0, _xlpm.ig=""), "Regional Aggregate", _xlpm.ig))</f>
        <v>Regional Aggregate</v>
      </c>
      <c r="H2062" s="4">
        <f>Clean_Data[[#This Row],[Exports_TIV]] - Clean_Data[[#This Row],[Imports_TIV]]</f>
        <v>14534000000</v>
      </c>
      <c r="I2062" s="4">
        <f>Clean_Data[[#This Row],[Exports_TIV]] + Clean_Data[[#This Row],[Imports_TIV]]</f>
        <v>34234000000</v>
      </c>
    </row>
    <row r="2063" spans="1:9">
      <c r="A2063" s="4" t="s">
        <v>203</v>
      </c>
      <c r="B2063" s="4" t="s">
        <v>204</v>
      </c>
      <c r="C2063" s="5">
        <v>2012</v>
      </c>
      <c r="D2063" s="4">
        <v>0</v>
      </c>
      <c r="E2063" s="4">
        <v>0</v>
      </c>
      <c r="F2063" s="4" t="str">
        <f>_xlfn.LET(_xlpm.r, _xlfn.XLOOKUP(Clean_Data[[#This Row],[Country_Code]], Metadata_Country!$A:$A, Metadata_Country!$B:$B, "Unknown"), IF(OR(_xlpm.r=0, _xlpm.r=""), "Regional Aggregate", _xlpm.r))</f>
        <v>Latin America &amp; Caribbean</v>
      </c>
      <c r="G2063" s="4" t="str">
        <f>_xlfn.LET(_xlpm.ig, _xlfn.XLOOKUP(Clean_Data[[#This Row],[Country_Code]], Metadata_Country!$A:$A, Metadata_Country!$C:$C, "Unknown"), IF(OR(_xlpm.ig=0, _xlpm.ig=""), "Regional Aggregate", _xlpm.ig))</f>
        <v>Lower middle income</v>
      </c>
      <c r="H2063" s="4">
        <f>Clean_Data[[#This Row],[Exports_TIV]] - Clean_Data[[#This Row],[Imports_TIV]]</f>
        <v>0</v>
      </c>
      <c r="I2063" s="4">
        <f>Clean_Data[[#This Row],[Exports_TIV]] + Clean_Data[[#This Row],[Imports_TIV]]</f>
        <v>0</v>
      </c>
    </row>
    <row r="2064" spans="1:9">
      <c r="A2064" s="4" t="s">
        <v>213</v>
      </c>
      <c r="B2064" s="4" t="s">
        <v>214</v>
      </c>
      <c r="C2064" s="5">
        <v>2012</v>
      </c>
      <c r="D2064" s="4">
        <v>0</v>
      </c>
      <c r="E2064" s="4">
        <v>14758000000</v>
      </c>
      <c r="F2064" s="4" t="str">
        <f>_xlfn.LET(_xlpm.r, _xlfn.XLOOKUP(Clean_Data[[#This Row],[Country_Code]], Metadata_Country!$A:$A, Metadata_Country!$B:$B, "Unknown"), IF(OR(_xlpm.r=0, _xlpm.r=""), "Regional Aggregate", _xlpm.r))</f>
        <v>Regional Aggregate</v>
      </c>
      <c r="G2064" s="4" t="str">
        <f>_xlfn.LET(_xlpm.ig, _xlfn.XLOOKUP(Clean_Data[[#This Row],[Country_Code]], Metadata_Country!$A:$A, Metadata_Country!$C:$C, "Unknown"), IF(OR(_xlpm.ig=0, _xlpm.ig=""), "Regional Aggregate", _xlpm.ig))</f>
        <v>Regional Aggregate</v>
      </c>
      <c r="H2064" s="4">
        <f>Clean_Data[[#This Row],[Exports_TIV]] - Clean_Data[[#This Row],[Imports_TIV]]</f>
        <v>-14758000000</v>
      </c>
      <c r="I2064" s="4">
        <f>Clean_Data[[#This Row],[Exports_TIV]] + Clean_Data[[#This Row],[Imports_TIV]]</f>
        <v>14758000000</v>
      </c>
    </row>
    <row r="2065" spans="1:9">
      <c r="A2065" s="4" t="s">
        <v>215</v>
      </c>
      <c r="B2065" s="4" t="s">
        <v>216</v>
      </c>
      <c r="C2065" s="5">
        <v>2012</v>
      </c>
      <c r="D2065" s="4">
        <v>0</v>
      </c>
      <c r="E2065" s="4">
        <v>18531000000</v>
      </c>
      <c r="F2065" s="4" t="str">
        <f>_xlfn.LET(_xlpm.r, _xlfn.XLOOKUP(Clean_Data[[#This Row],[Country_Code]], Metadata_Country!$A:$A, Metadata_Country!$B:$B, "Unknown"), IF(OR(_xlpm.r=0, _xlpm.r=""), "Regional Aggregate", _xlpm.r))</f>
        <v>Regional Aggregate</v>
      </c>
      <c r="G2065" s="4" t="str">
        <f>_xlfn.LET(_xlpm.ig, _xlfn.XLOOKUP(Clean_Data[[#This Row],[Country_Code]], Metadata_Country!$A:$A, Metadata_Country!$C:$C, "Unknown"), IF(OR(_xlpm.ig=0, _xlpm.ig=""), "Regional Aggregate", _xlpm.ig))</f>
        <v>Regional Aggregate</v>
      </c>
      <c r="H2065" s="4">
        <f>Clean_Data[[#This Row],[Exports_TIV]] - Clean_Data[[#This Row],[Imports_TIV]]</f>
        <v>-18531000000</v>
      </c>
      <c r="I2065" s="4">
        <f>Clean_Data[[#This Row],[Exports_TIV]] + Clean_Data[[#This Row],[Imports_TIV]]</f>
        <v>18531000000</v>
      </c>
    </row>
    <row r="2066" spans="1:9">
      <c r="A2066" s="4" t="s">
        <v>219</v>
      </c>
      <c r="B2066" s="4" t="s">
        <v>220</v>
      </c>
      <c r="C2066" s="5">
        <v>2012</v>
      </c>
      <c r="D2066" s="4">
        <v>0</v>
      </c>
      <c r="E2066" s="4">
        <v>1165000000</v>
      </c>
      <c r="F2066" s="4" t="str">
        <f>_xlfn.LET(_xlpm.r, _xlfn.XLOOKUP(Clean_Data[[#This Row],[Country_Code]], Metadata_Country!$A:$A, Metadata_Country!$B:$B, "Unknown"), IF(OR(_xlpm.r=0, _xlpm.r=""), "Regional Aggregate", _xlpm.r))</f>
        <v>Regional Aggregate</v>
      </c>
      <c r="G2066" s="4" t="str">
        <f>_xlfn.LET(_xlpm.ig, _xlfn.XLOOKUP(Clean_Data[[#This Row],[Country_Code]], Metadata_Country!$A:$A, Metadata_Country!$C:$C, "Unknown"), IF(OR(_xlpm.ig=0, _xlpm.ig=""), "Regional Aggregate", _xlpm.ig))</f>
        <v>Regional Aggregate</v>
      </c>
      <c r="H2066" s="4">
        <f>Clean_Data[[#This Row],[Exports_TIV]] - Clean_Data[[#This Row],[Imports_TIV]]</f>
        <v>-1165000000</v>
      </c>
      <c r="I2066" s="4">
        <f>Clean_Data[[#This Row],[Exports_TIV]] + Clean_Data[[#This Row],[Imports_TIV]]</f>
        <v>1165000000</v>
      </c>
    </row>
    <row r="2067" spans="1:9">
      <c r="A2067" s="4" t="s">
        <v>223</v>
      </c>
      <c r="B2067" s="4" t="s">
        <v>224</v>
      </c>
      <c r="C2067" s="5">
        <v>2012</v>
      </c>
      <c r="D2067" s="4">
        <v>0</v>
      </c>
      <c r="E2067" s="4">
        <v>2608000000</v>
      </c>
      <c r="F2067" s="4" t="str">
        <f>_xlfn.LET(_xlpm.r, _xlfn.XLOOKUP(Clean_Data[[#This Row],[Country_Code]], Metadata_Country!$A:$A, Metadata_Country!$B:$B, "Unknown"), IF(OR(_xlpm.r=0, _xlpm.r=""), "Regional Aggregate", _xlpm.r))</f>
        <v>Regional Aggregate</v>
      </c>
      <c r="G2067" s="4" t="str">
        <f>_xlfn.LET(_xlpm.ig, _xlfn.XLOOKUP(Clean_Data[[#This Row],[Country_Code]], Metadata_Country!$A:$A, Metadata_Country!$C:$C, "Unknown"), IF(OR(_xlpm.ig=0, _xlpm.ig=""), "Regional Aggregate", _xlpm.ig))</f>
        <v>Regional Aggregate</v>
      </c>
      <c r="H2067" s="4">
        <f>Clean_Data[[#This Row],[Exports_TIV]] - Clean_Data[[#This Row],[Imports_TIV]]</f>
        <v>-2608000000</v>
      </c>
      <c r="I2067" s="4">
        <f>Clean_Data[[#This Row],[Exports_TIV]] + Clean_Data[[#This Row],[Imports_TIV]]</f>
        <v>2608000000</v>
      </c>
    </row>
    <row r="2068" spans="1:9">
      <c r="A2068" s="4" t="s">
        <v>217</v>
      </c>
      <c r="B2068" s="4" t="s">
        <v>218</v>
      </c>
      <c r="C2068" s="5">
        <v>2012</v>
      </c>
      <c r="D2068" s="4">
        <v>0</v>
      </c>
      <c r="E2068" s="4">
        <v>3773000000</v>
      </c>
      <c r="F2068" s="4" t="str">
        <f>_xlfn.LET(_xlpm.r, _xlfn.XLOOKUP(Clean_Data[[#This Row],[Country_Code]], Metadata_Country!$A:$A, Metadata_Country!$B:$B, "Unknown"), IF(OR(_xlpm.r=0, _xlpm.r=""), "Regional Aggregate", _xlpm.r))</f>
        <v>Regional Aggregate</v>
      </c>
      <c r="G2068" s="4" t="str">
        <f>_xlfn.LET(_xlpm.ig, _xlfn.XLOOKUP(Clean_Data[[#This Row],[Country_Code]], Metadata_Country!$A:$A, Metadata_Country!$C:$C, "Unknown"), IF(OR(_xlpm.ig=0, _xlpm.ig=""), "Regional Aggregate", _xlpm.ig))</f>
        <v>Regional Aggregate</v>
      </c>
      <c r="H2068" s="4">
        <f>Clean_Data[[#This Row],[Exports_TIV]] - Clean_Data[[#This Row],[Imports_TIV]]</f>
        <v>-3773000000</v>
      </c>
      <c r="I2068" s="4">
        <f>Clean_Data[[#This Row],[Exports_TIV]] + Clean_Data[[#This Row],[Imports_TIV]]</f>
        <v>3773000000</v>
      </c>
    </row>
    <row r="2069" spans="1:9">
      <c r="A2069" s="4" t="s">
        <v>227</v>
      </c>
      <c r="B2069" s="4" t="s">
        <v>228</v>
      </c>
      <c r="C2069" s="5">
        <v>2012</v>
      </c>
      <c r="D2069" s="4">
        <v>0</v>
      </c>
      <c r="E2069" s="4">
        <v>4506000000</v>
      </c>
      <c r="F2069" s="4" t="str">
        <f>_xlfn.LET(_xlpm.r, _xlfn.XLOOKUP(Clean_Data[[#This Row],[Country_Code]], Metadata_Country!$A:$A, Metadata_Country!$B:$B, "Unknown"), IF(OR(_xlpm.r=0, _xlpm.r=""), "Regional Aggregate", _xlpm.r))</f>
        <v>South Asia</v>
      </c>
      <c r="G2069" s="4" t="str">
        <f>_xlfn.LET(_xlpm.ig, _xlfn.XLOOKUP(Clean_Data[[#This Row],[Country_Code]], Metadata_Country!$A:$A, Metadata_Country!$C:$C, "Unknown"), IF(OR(_xlpm.ig=0, _xlpm.ig=""), "Regional Aggregate", _xlpm.ig))</f>
        <v>Lower middle income</v>
      </c>
      <c r="H2069" s="4">
        <f>Clean_Data[[#This Row],[Exports_TIV]] - Clean_Data[[#This Row],[Imports_TIV]]</f>
        <v>-4506000000</v>
      </c>
      <c r="I2069" s="4">
        <f>Clean_Data[[#This Row],[Exports_TIV]] + Clean_Data[[#This Row],[Imports_TIV]]</f>
        <v>4506000000</v>
      </c>
    </row>
    <row r="2070" spans="1:9">
      <c r="A2070" s="4" t="s">
        <v>221</v>
      </c>
      <c r="B2070" s="4" t="s">
        <v>222</v>
      </c>
      <c r="C2070" s="5">
        <v>2012</v>
      </c>
      <c r="D2070" s="4">
        <v>0</v>
      </c>
      <c r="E2070" s="4">
        <v>162000000</v>
      </c>
      <c r="F2070" s="4" t="str">
        <f>_xlfn.LET(_xlpm.r, _xlfn.XLOOKUP(Clean_Data[[#This Row],[Country_Code]], Metadata_Country!$A:$A, Metadata_Country!$B:$B, "Unknown"), IF(OR(_xlpm.r=0, _xlpm.r=""), "Regional Aggregate", _xlpm.r))</f>
        <v>East Asia &amp; Pacific</v>
      </c>
      <c r="G2070" s="4" t="str">
        <f>_xlfn.LET(_xlpm.ig, _xlfn.XLOOKUP(Clean_Data[[#This Row],[Country_Code]], Metadata_Country!$A:$A, Metadata_Country!$C:$C, "Unknown"), IF(OR(_xlpm.ig=0, _xlpm.ig=""), "Regional Aggregate", _xlpm.ig))</f>
        <v>Upper middle income</v>
      </c>
      <c r="H2070" s="4">
        <f>Clean_Data[[#This Row],[Exports_TIV]] - Clean_Data[[#This Row],[Imports_TIV]]</f>
        <v>-162000000</v>
      </c>
      <c r="I2070" s="4">
        <f>Clean_Data[[#This Row],[Exports_TIV]] + Clean_Data[[#This Row],[Imports_TIV]]</f>
        <v>162000000</v>
      </c>
    </row>
    <row r="2071" spans="1:9">
      <c r="A2071" s="4" t="s">
        <v>233</v>
      </c>
      <c r="B2071" s="4" t="s">
        <v>234</v>
      </c>
      <c r="C2071" s="5">
        <v>2012</v>
      </c>
      <c r="D2071" s="4">
        <v>35000000</v>
      </c>
      <c r="E2071" s="4">
        <v>39000000</v>
      </c>
      <c r="F2071" s="4" t="str">
        <f>_xlfn.LET(_xlpm.r, _xlfn.XLOOKUP(Clean_Data[[#This Row],[Country_Code]], Metadata_Country!$A:$A, Metadata_Country!$B:$B, "Unknown"), IF(OR(_xlpm.r=0, _xlpm.r=""), "Regional Aggregate", _xlpm.r))</f>
        <v>Middle East &amp; North Africa</v>
      </c>
      <c r="G2071" s="4" t="str">
        <f>_xlfn.LET(_xlpm.ig, _xlfn.XLOOKUP(Clean_Data[[#This Row],[Country_Code]], Metadata_Country!$A:$A, Metadata_Country!$C:$C, "Unknown"), IF(OR(_xlpm.ig=0, _xlpm.ig=""), "Regional Aggregate", _xlpm.ig))</f>
        <v>Upper middle income</v>
      </c>
      <c r="H2071" s="4">
        <f>Clean_Data[[#This Row],[Exports_TIV]] - Clean_Data[[#This Row],[Imports_TIV]]</f>
        <v>-4000000</v>
      </c>
      <c r="I2071" s="4">
        <f>Clean_Data[[#This Row],[Exports_TIV]] + Clean_Data[[#This Row],[Imports_TIV]]</f>
        <v>74000000</v>
      </c>
    </row>
    <row r="2072" spans="1:9">
      <c r="A2072" s="4" t="s">
        <v>235</v>
      </c>
      <c r="B2072" s="4" t="s">
        <v>236</v>
      </c>
      <c r="C2072" s="5">
        <v>2012</v>
      </c>
      <c r="D2072" s="4">
        <v>0</v>
      </c>
      <c r="E2072" s="4">
        <v>523000000</v>
      </c>
      <c r="F2072" s="4" t="str">
        <f>_xlfn.LET(_xlpm.r, _xlfn.XLOOKUP(Clean_Data[[#This Row],[Country_Code]], Metadata_Country!$A:$A, Metadata_Country!$B:$B, "Unknown"), IF(OR(_xlpm.r=0, _xlpm.r=""), "Regional Aggregate", _xlpm.r))</f>
        <v>Middle East &amp; North Africa</v>
      </c>
      <c r="G2072" s="4" t="str">
        <f>_xlfn.LET(_xlpm.ig, _xlfn.XLOOKUP(Clean_Data[[#This Row],[Country_Code]], Metadata_Country!$A:$A, Metadata_Country!$C:$C, "Unknown"), IF(OR(_xlpm.ig=0, _xlpm.ig=""), "Regional Aggregate", _xlpm.ig))</f>
        <v>Upper middle income</v>
      </c>
      <c r="H2072" s="4">
        <f>Clean_Data[[#This Row],[Exports_TIV]] - Clean_Data[[#This Row],[Imports_TIV]]</f>
        <v>-523000000</v>
      </c>
      <c r="I2072" s="4">
        <f>Clean_Data[[#This Row],[Exports_TIV]] + Clean_Data[[#This Row],[Imports_TIV]]</f>
        <v>523000000</v>
      </c>
    </row>
    <row r="2073" spans="1:9">
      <c r="A2073" s="4" t="s">
        <v>231</v>
      </c>
      <c r="B2073" s="4" t="s">
        <v>232</v>
      </c>
      <c r="C2073" s="5">
        <v>2012</v>
      </c>
      <c r="D2073" s="4">
        <v>44000000</v>
      </c>
      <c r="E2073" s="4">
        <v>0</v>
      </c>
      <c r="F2073" s="4" t="str">
        <f>_xlfn.LET(_xlpm.r, _xlfn.XLOOKUP(Clean_Data[[#This Row],[Country_Code]], Metadata_Country!$A:$A, Metadata_Country!$B:$B, "Unknown"), IF(OR(_xlpm.r=0, _xlpm.r=""), "Regional Aggregate", _xlpm.r))</f>
        <v>Europe &amp; Central Asia</v>
      </c>
      <c r="G2073" s="4" t="str">
        <f>_xlfn.LET(_xlpm.ig, _xlfn.XLOOKUP(Clean_Data[[#This Row],[Country_Code]], Metadata_Country!$A:$A, Metadata_Country!$C:$C, "Unknown"), IF(OR(_xlpm.ig=0, _xlpm.ig=""), "Regional Aggregate", _xlpm.ig))</f>
        <v>High income</v>
      </c>
      <c r="H2073" s="4">
        <f>Clean_Data[[#This Row],[Exports_TIV]] - Clean_Data[[#This Row],[Imports_TIV]]</f>
        <v>44000000</v>
      </c>
      <c r="I2073" s="4">
        <f>Clean_Data[[#This Row],[Exports_TIV]] + Clean_Data[[#This Row],[Imports_TIV]]</f>
        <v>44000000</v>
      </c>
    </row>
    <row r="2074" spans="1:9">
      <c r="A2074" s="4" t="s">
        <v>239</v>
      </c>
      <c r="B2074" s="4" t="s">
        <v>240</v>
      </c>
      <c r="C2074" s="5">
        <v>2012</v>
      </c>
      <c r="D2074" s="4">
        <v>482000000</v>
      </c>
      <c r="E2074" s="4">
        <v>137000000</v>
      </c>
      <c r="F2074" s="4" t="str">
        <f>_xlfn.LET(_xlpm.r, _xlfn.XLOOKUP(Clean_Data[[#This Row],[Country_Code]], Metadata_Country!$A:$A, Metadata_Country!$B:$B, "Unknown"), IF(OR(_xlpm.r=0, _xlpm.r=""), "Regional Aggregate", _xlpm.r))</f>
        <v>Middle East &amp; North Africa</v>
      </c>
      <c r="G2074" s="4" t="str">
        <f>_xlfn.LET(_xlpm.ig, _xlfn.XLOOKUP(Clean_Data[[#This Row],[Country_Code]], Metadata_Country!$A:$A, Metadata_Country!$C:$C, "Unknown"), IF(OR(_xlpm.ig=0, _xlpm.ig=""), "Regional Aggregate", _xlpm.ig))</f>
        <v>High income</v>
      </c>
      <c r="H2074" s="4">
        <f>Clean_Data[[#This Row],[Exports_TIV]] - Clean_Data[[#This Row],[Imports_TIV]]</f>
        <v>345000000</v>
      </c>
      <c r="I2074" s="4">
        <f>Clean_Data[[#This Row],[Exports_TIV]] + Clean_Data[[#This Row],[Imports_TIV]]</f>
        <v>619000000</v>
      </c>
    </row>
    <row r="2075" spans="1:9">
      <c r="A2075" s="4" t="s">
        <v>241</v>
      </c>
      <c r="B2075" s="4" t="s">
        <v>242</v>
      </c>
      <c r="C2075" s="5">
        <v>2012</v>
      </c>
      <c r="D2075" s="4">
        <v>789000000</v>
      </c>
      <c r="E2075" s="4">
        <v>189000000</v>
      </c>
      <c r="F2075" s="4" t="str">
        <f>_xlfn.LET(_xlpm.r, _xlfn.XLOOKUP(Clean_Data[[#This Row],[Country_Code]], Metadata_Country!$A:$A, Metadata_Country!$B:$B, "Unknown"), IF(OR(_xlpm.r=0, _xlpm.r=""), "Regional Aggregate", _xlpm.r))</f>
        <v>Europe &amp; Central Asia</v>
      </c>
      <c r="G2075" s="4" t="str">
        <f>_xlfn.LET(_xlpm.ig, _xlfn.XLOOKUP(Clean_Data[[#This Row],[Country_Code]], Metadata_Country!$A:$A, Metadata_Country!$C:$C, "Unknown"), IF(OR(_xlpm.ig=0, _xlpm.ig=""), "Regional Aggregate", _xlpm.ig))</f>
        <v>High income</v>
      </c>
      <c r="H2075" s="4">
        <f>Clean_Data[[#This Row],[Exports_TIV]] - Clean_Data[[#This Row],[Imports_TIV]]</f>
        <v>600000000</v>
      </c>
      <c r="I2075" s="4">
        <f>Clean_Data[[#This Row],[Exports_TIV]] + Clean_Data[[#This Row],[Imports_TIV]]</f>
        <v>978000000</v>
      </c>
    </row>
    <row r="2076" spans="1:9">
      <c r="A2076" s="4" t="s">
        <v>247</v>
      </c>
      <c r="B2076" s="4" t="s">
        <v>248</v>
      </c>
      <c r="C2076" s="5">
        <v>2012</v>
      </c>
      <c r="D2076" s="4">
        <v>0</v>
      </c>
      <c r="E2076" s="4">
        <v>239000000</v>
      </c>
      <c r="F2076" s="4" t="str">
        <f>_xlfn.LET(_xlpm.r, _xlfn.XLOOKUP(Clean_Data[[#This Row],[Country_Code]], Metadata_Country!$A:$A, Metadata_Country!$B:$B, "Unknown"), IF(OR(_xlpm.r=0, _xlpm.r=""), "Regional Aggregate", _xlpm.r))</f>
        <v>East Asia &amp; Pacific</v>
      </c>
      <c r="G2076" s="4" t="str">
        <f>_xlfn.LET(_xlpm.ig, _xlfn.XLOOKUP(Clean_Data[[#This Row],[Country_Code]], Metadata_Country!$A:$A, Metadata_Country!$C:$C, "Unknown"), IF(OR(_xlpm.ig=0, _xlpm.ig=""), "Regional Aggregate", _xlpm.ig))</f>
        <v>High income</v>
      </c>
      <c r="H2076" s="4">
        <f>Clean_Data[[#This Row],[Exports_TIV]] - Clean_Data[[#This Row],[Imports_TIV]]</f>
        <v>-239000000</v>
      </c>
      <c r="I2076" s="4">
        <f>Clean_Data[[#This Row],[Exports_TIV]] + Clean_Data[[#This Row],[Imports_TIV]]</f>
        <v>239000000</v>
      </c>
    </row>
    <row r="2077" spans="1:9">
      <c r="A2077" s="4" t="s">
        <v>245</v>
      </c>
      <c r="B2077" s="4" t="s">
        <v>246</v>
      </c>
      <c r="C2077" s="5">
        <v>2012</v>
      </c>
      <c r="D2077" s="4">
        <v>21000000</v>
      </c>
      <c r="E2077" s="4">
        <v>185000000</v>
      </c>
      <c r="F2077" s="4" t="str">
        <f>_xlfn.LET(_xlpm.r, _xlfn.XLOOKUP(Clean_Data[[#This Row],[Country_Code]], Metadata_Country!$A:$A, Metadata_Country!$B:$B, "Unknown"), IF(OR(_xlpm.r=0, _xlpm.r=""), "Regional Aggregate", _xlpm.r))</f>
        <v>Middle East &amp; North Africa</v>
      </c>
      <c r="G2077" s="4" t="str">
        <f>_xlfn.LET(_xlpm.ig, _xlfn.XLOOKUP(Clean_Data[[#This Row],[Country_Code]], Metadata_Country!$A:$A, Metadata_Country!$C:$C, "Unknown"), IF(OR(_xlpm.ig=0, _xlpm.ig=""), "Regional Aggregate", _xlpm.ig))</f>
        <v>Upper middle income</v>
      </c>
      <c r="H2077" s="4">
        <f>Clean_Data[[#This Row],[Exports_TIV]] - Clean_Data[[#This Row],[Imports_TIV]]</f>
        <v>-164000000</v>
      </c>
      <c r="I2077" s="4">
        <f>Clean_Data[[#This Row],[Exports_TIV]] + Clean_Data[[#This Row],[Imports_TIV]]</f>
        <v>206000000</v>
      </c>
    </row>
    <row r="2078" spans="1:9">
      <c r="A2078" s="4" t="s">
        <v>249</v>
      </c>
      <c r="B2078" s="4" t="s">
        <v>250</v>
      </c>
      <c r="C2078" s="5">
        <v>2012</v>
      </c>
      <c r="D2078" s="4">
        <v>0</v>
      </c>
      <c r="E2078" s="4">
        <v>96000000</v>
      </c>
      <c r="F2078" s="4" t="str">
        <f>_xlfn.LET(_xlpm.r, _xlfn.XLOOKUP(Clean_Data[[#This Row],[Country_Code]], Metadata_Country!$A:$A, Metadata_Country!$B:$B, "Unknown"), IF(OR(_xlpm.r=0, _xlpm.r=""), "Regional Aggregate", _xlpm.r))</f>
        <v>Europe &amp; Central Asia</v>
      </c>
      <c r="G2078" s="4" t="str">
        <f>_xlfn.LET(_xlpm.ig, _xlfn.XLOOKUP(Clean_Data[[#This Row],[Country_Code]], Metadata_Country!$A:$A, Metadata_Country!$C:$C, "Unknown"), IF(OR(_xlpm.ig=0, _xlpm.ig=""), "Regional Aggregate", _xlpm.ig))</f>
        <v>Upper middle income</v>
      </c>
      <c r="H2078" s="4">
        <f>Clean_Data[[#This Row],[Exports_TIV]] - Clean_Data[[#This Row],[Imports_TIV]]</f>
        <v>-96000000</v>
      </c>
      <c r="I2078" s="4">
        <f>Clean_Data[[#This Row],[Exports_TIV]] + Clean_Data[[#This Row],[Imports_TIV]]</f>
        <v>96000000</v>
      </c>
    </row>
    <row r="2079" spans="1:9">
      <c r="A2079" s="4" t="s">
        <v>251</v>
      </c>
      <c r="B2079" s="4" t="s">
        <v>252</v>
      </c>
      <c r="C2079" s="5">
        <v>2012</v>
      </c>
      <c r="D2079" s="4">
        <v>0</v>
      </c>
      <c r="E2079" s="4">
        <v>68000000</v>
      </c>
      <c r="F2079" s="4" t="str">
        <f>_xlfn.LET(_xlpm.r, _xlfn.XLOOKUP(Clean_Data[[#This Row],[Country_Code]], Metadata_Country!$A:$A, Metadata_Country!$B:$B, "Unknown"), IF(OR(_xlpm.r=0, _xlpm.r=""), "Regional Aggregate", _xlpm.r))</f>
        <v>Sub-Saharan Africa</v>
      </c>
      <c r="G2079" s="4" t="str">
        <f>_xlfn.LET(_xlpm.ig, _xlfn.XLOOKUP(Clean_Data[[#This Row],[Country_Code]], Metadata_Country!$A:$A, Metadata_Country!$C:$C, "Unknown"), IF(OR(_xlpm.ig=0, _xlpm.ig=""), "Regional Aggregate", _xlpm.ig))</f>
        <v>Lower middle income</v>
      </c>
      <c r="H2079" s="4">
        <f>Clean_Data[[#This Row],[Exports_TIV]] - Clean_Data[[#This Row],[Imports_TIV]]</f>
        <v>-68000000</v>
      </c>
      <c r="I2079" s="4">
        <f>Clean_Data[[#This Row],[Exports_TIV]] + Clean_Data[[#This Row],[Imports_TIV]]</f>
        <v>68000000</v>
      </c>
    </row>
    <row r="2080" spans="1:9">
      <c r="A2080" s="4" t="s">
        <v>261</v>
      </c>
      <c r="B2080" s="4" t="s">
        <v>262</v>
      </c>
      <c r="C2080" s="5">
        <v>2012</v>
      </c>
      <c r="D2080" s="4">
        <v>203000000</v>
      </c>
      <c r="E2080" s="4">
        <v>1077000000</v>
      </c>
      <c r="F2080" s="4" t="str">
        <f>_xlfn.LET(_xlpm.r, _xlfn.XLOOKUP(Clean_Data[[#This Row],[Country_Code]], Metadata_Country!$A:$A, Metadata_Country!$B:$B, "Unknown"), IF(OR(_xlpm.r=0, _xlpm.r=""), "Regional Aggregate", _xlpm.r))</f>
        <v>East Asia &amp; Pacific</v>
      </c>
      <c r="G2080" s="4" t="str">
        <f>_xlfn.LET(_xlpm.ig, _xlfn.XLOOKUP(Clean_Data[[#This Row],[Country_Code]], Metadata_Country!$A:$A, Metadata_Country!$C:$C, "Unknown"), IF(OR(_xlpm.ig=0, _xlpm.ig=""), "Regional Aggregate", _xlpm.ig))</f>
        <v>High income</v>
      </c>
      <c r="H2080" s="4">
        <f>Clean_Data[[#This Row],[Exports_TIV]] - Clean_Data[[#This Row],[Imports_TIV]]</f>
        <v>-874000000</v>
      </c>
      <c r="I2080" s="4">
        <f>Clean_Data[[#This Row],[Exports_TIV]] + Clean_Data[[#This Row],[Imports_TIV]]</f>
        <v>1280000000</v>
      </c>
    </row>
    <row r="2081" spans="1:9">
      <c r="A2081" s="4" t="s">
        <v>263</v>
      </c>
      <c r="B2081" s="4" t="s">
        <v>264</v>
      </c>
      <c r="C2081" s="5">
        <v>2012</v>
      </c>
      <c r="D2081" s="4">
        <v>0</v>
      </c>
      <c r="E2081" s="4">
        <v>31000000</v>
      </c>
      <c r="F2081" s="4" t="str">
        <f>_xlfn.LET(_xlpm.r, _xlfn.XLOOKUP(Clean_Data[[#This Row],[Country_Code]], Metadata_Country!$A:$A, Metadata_Country!$B:$B, "Unknown"), IF(OR(_xlpm.r=0, _xlpm.r=""), "Regional Aggregate", _xlpm.r))</f>
        <v>Middle East &amp; North Africa</v>
      </c>
      <c r="G2081" s="4" t="str">
        <f>_xlfn.LET(_xlpm.ig, _xlfn.XLOOKUP(Clean_Data[[#This Row],[Country_Code]], Metadata_Country!$A:$A, Metadata_Country!$C:$C, "Unknown"), IF(OR(_xlpm.ig=0, _xlpm.ig=""), "Regional Aggregate", _xlpm.ig))</f>
        <v>High income</v>
      </c>
      <c r="H2081" s="4">
        <f>Clean_Data[[#This Row],[Exports_TIV]] - Clean_Data[[#This Row],[Imports_TIV]]</f>
        <v>-31000000</v>
      </c>
      <c r="I2081" s="4">
        <f>Clean_Data[[#This Row],[Exports_TIV]] + Clean_Data[[#This Row],[Imports_TIV]]</f>
        <v>31000000</v>
      </c>
    </row>
    <row r="2082" spans="1:9">
      <c r="A2082" s="4" t="s">
        <v>267</v>
      </c>
      <c r="B2082" s="4" t="s">
        <v>268</v>
      </c>
      <c r="C2082" s="5">
        <v>2012</v>
      </c>
      <c r="D2082" s="4">
        <v>0</v>
      </c>
      <c r="E2082" s="4">
        <v>19000000</v>
      </c>
      <c r="F2082" s="4" t="str">
        <f>_xlfn.LET(_xlpm.r, _xlfn.XLOOKUP(Clean_Data[[#This Row],[Country_Code]], Metadata_Country!$A:$A, Metadata_Country!$B:$B, "Unknown"), IF(OR(_xlpm.r=0, _xlpm.r=""), "Regional Aggregate", _xlpm.r))</f>
        <v>East Asia &amp; Pacific</v>
      </c>
      <c r="G2082" s="4" t="str">
        <f>_xlfn.LET(_xlpm.ig, _xlfn.XLOOKUP(Clean_Data[[#This Row],[Country_Code]], Metadata_Country!$A:$A, Metadata_Country!$C:$C, "Unknown"), IF(OR(_xlpm.ig=0, _xlpm.ig=""), "Regional Aggregate", _xlpm.ig))</f>
        <v>Lower middle income</v>
      </c>
      <c r="H2082" s="4">
        <f>Clean_Data[[#This Row],[Exports_TIV]] - Clean_Data[[#This Row],[Imports_TIV]]</f>
        <v>-19000000</v>
      </c>
      <c r="I2082" s="4">
        <f>Clean_Data[[#This Row],[Exports_TIV]] + Clean_Data[[#This Row],[Imports_TIV]]</f>
        <v>19000000</v>
      </c>
    </row>
    <row r="2083" spans="1:9">
      <c r="A2083" s="4" t="s">
        <v>293</v>
      </c>
      <c r="B2083" s="4" t="s">
        <v>294</v>
      </c>
      <c r="C2083" s="5">
        <v>2012</v>
      </c>
      <c r="D2083" s="4">
        <v>10037000000</v>
      </c>
      <c r="E2083" s="4">
        <v>6929000000</v>
      </c>
      <c r="F2083" s="4" t="str">
        <f>_xlfn.LET(_xlpm.r, _xlfn.XLOOKUP(Clean_Data[[#This Row],[Country_Code]], Metadata_Country!$A:$A, Metadata_Country!$B:$B, "Unknown"), IF(OR(_xlpm.r=0, _xlpm.r=""), "Regional Aggregate", _xlpm.r))</f>
        <v>Regional Aggregate</v>
      </c>
      <c r="G2083" s="4" t="str">
        <f>_xlfn.LET(_xlpm.ig, _xlfn.XLOOKUP(Clean_Data[[#This Row],[Country_Code]], Metadata_Country!$A:$A, Metadata_Country!$C:$C, "Unknown"), IF(OR(_xlpm.ig=0, _xlpm.ig=""), "Regional Aggregate", _xlpm.ig))</f>
        <v>Regional Aggregate</v>
      </c>
      <c r="H2083" s="4">
        <f>Clean_Data[[#This Row],[Exports_TIV]] - Clean_Data[[#This Row],[Imports_TIV]]</f>
        <v>3108000000</v>
      </c>
      <c r="I2083" s="4">
        <f>Clean_Data[[#This Row],[Exports_TIV]] + Clean_Data[[#This Row],[Imports_TIV]]</f>
        <v>16966000000</v>
      </c>
    </row>
    <row r="2084" spans="1:9">
      <c r="A2084" s="4" t="s">
        <v>277</v>
      </c>
      <c r="B2084" s="4" t="s">
        <v>278</v>
      </c>
      <c r="C2084" s="5">
        <v>2012</v>
      </c>
      <c r="D2084" s="4">
        <v>0</v>
      </c>
      <c r="E2084" s="4">
        <v>1666000000</v>
      </c>
      <c r="F2084" s="4" t="str">
        <f>_xlfn.LET(_xlpm.r, _xlfn.XLOOKUP(Clean_Data[[#This Row],[Country_Code]], Metadata_Country!$A:$A, Metadata_Country!$B:$B, "Unknown"), IF(OR(_xlpm.r=0, _xlpm.r=""), "Regional Aggregate", _xlpm.r))</f>
        <v>Regional Aggregate</v>
      </c>
      <c r="G2084" s="4" t="str">
        <f>_xlfn.LET(_xlpm.ig, _xlfn.XLOOKUP(Clean_Data[[#This Row],[Country_Code]], Metadata_Country!$A:$A, Metadata_Country!$C:$C, "Unknown"), IF(OR(_xlpm.ig=0, _xlpm.ig=""), "Regional Aggregate", _xlpm.ig))</f>
        <v>Regional Aggregate</v>
      </c>
      <c r="H2084" s="4">
        <f>Clean_Data[[#This Row],[Exports_TIV]] - Clean_Data[[#This Row],[Imports_TIV]]</f>
        <v>-1666000000</v>
      </c>
      <c r="I2084" s="4">
        <f>Clean_Data[[#This Row],[Exports_TIV]] + Clean_Data[[#This Row],[Imports_TIV]]</f>
        <v>1666000000</v>
      </c>
    </row>
    <row r="2085" spans="1:9">
      <c r="A2085" s="4" t="s">
        <v>265</v>
      </c>
      <c r="B2085" s="4" t="s">
        <v>266</v>
      </c>
      <c r="C2085" s="5">
        <v>2012</v>
      </c>
      <c r="D2085" s="4">
        <v>0</v>
      </c>
      <c r="E2085" s="4">
        <v>1593000000</v>
      </c>
      <c r="F2085" s="4" t="str">
        <f>_xlfn.LET(_xlpm.r, _xlfn.XLOOKUP(Clean_Data[[#This Row],[Country_Code]], Metadata_Country!$A:$A, Metadata_Country!$B:$B, "Unknown"), IF(OR(_xlpm.r=0, _xlpm.r=""), "Regional Aggregate", _xlpm.r))</f>
        <v>Regional Aggregate</v>
      </c>
      <c r="G2085" s="4" t="str">
        <f>_xlfn.LET(_xlpm.ig, _xlfn.XLOOKUP(Clean_Data[[#This Row],[Country_Code]], Metadata_Country!$A:$A, Metadata_Country!$C:$C, "Unknown"), IF(OR(_xlpm.ig=0, _xlpm.ig=""), "Regional Aggregate", _xlpm.ig))</f>
        <v>Regional Aggregate</v>
      </c>
      <c r="H2085" s="4">
        <f>Clean_Data[[#This Row],[Exports_TIV]] - Clean_Data[[#This Row],[Imports_TIV]]</f>
        <v>-1593000000</v>
      </c>
      <c r="I2085" s="4">
        <f>Clean_Data[[#This Row],[Exports_TIV]] + Clean_Data[[#This Row],[Imports_TIV]]</f>
        <v>1593000000</v>
      </c>
    </row>
    <row r="2086" spans="1:9">
      <c r="A2086" s="4" t="s">
        <v>481</v>
      </c>
      <c r="B2086" s="4" t="s">
        <v>482</v>
      </c>
      <c r="C2086" s="5">
        <v>2012</v>
      </c>
      <c r="D2086" s="4">
        <v>0</v>
      </c>
      <c r="E2086" s="4">
        <v>1666000000</v>
      </c>
      <c r="F2086" s="4" t="str">
        <f>_xlfn.LET(_xlpm.r, _xlfn.XLOOKUP(Clean_Data[[#This Row],[Country_Code]], Metadata_Country!$A:$A, Metadata_Country!$B:$B, "Unknown"), IF(OR(_xlpm.r=0, _xlpm.r=""), "Regional Aggregate", _xlpm.r))</f>
        <v>Regional Aggregate</v>
      </c>
      <c r="G2086" s="4" t="str">
        <f>_xlfn.LET(_xlpm.ig, _xlfn.XLOOKUP(Clean_Data[[#This Row],[Country_Code]], Metadata_Country!$A:$A, Metadata_Country!$C:$C, "Unknown"), IF(OR(_xlpm.ig=0, _xlpm.ig=""), "Regional Aggregate", _xlpm.ig))</f>
        <v>Regional Aggregate</v>
      </c>
      <c r="H2086" s="4">
        <f>Clean_Data[[#This Row],[Exports_TIV]] - Clean_Data[[#This Row],[Imports_TIV]]</f>
        <v>-1666000000</v>
      </c>
      <c r="I2086" s="4">
        <f>Clean_Data[[#This Row],[Exports_TIV]] + Clean_Data[[#This Row],[Imports_TIV]]</f>
        <v>1666000000</v>
      </c>
    </row>
    <row r="2087" spans="1:9">
      <c r="A2087" s="4" t="s">
        <v>299</v>
      </c>
      <c r="B2087" s="4" t="s">
        <v>300</v>
      </c>
      <c r="C2087" s="5">
        <v>2012</v>
      </c>
      <c r="D2087" s="4">
        <v>0</v>
      </c>
      <c r="E2087" s="4">
        <v>9000000</v>
      </c>
      <c r="F2087" s="4" t="str">
        <f>_xlfn.LET(_xlpm.r, _xlfn.XLOOKUP(Clean_Data[[#This Row],[Country_Code]], Metadata_Country!$A:$A, Metadata_Country!$B:$B, "Unknown"), IF(OR(_xlpm.r=0, _xlpm.r=""), "Regional Aggregate", _xlpm.r))</f>
        <v>Europe &amp; Central Asia</v>
      </c>
      <c r="G2087" s="4" t="str">
        <f>_xlfn.LET(_xlpm.ig, _xlfn.XLOOKUP(Clean_Data[[#This Row],[Country_Code]], Metadata_Country!$A:$A, Metadata_Country!$C:$C, "Unknown"), IF(OR(_xlpm.ig=0, _xlpm.ig=""), "Regional Aggregate", _xlpm.ig))</f>
        <v>High income</v>
      </c>
      <c r="H2087" s="4">
        <f>Clean_Data[[#This Row],[Exports_TIV]] - Clean_Data[[#This Row],[Imports_TIV]]</f>
        <v>-9000000</v>
      </c>
      <c r="I2087" s="4">
        <f>Clean_Data[[#This Row],[Exports_TIV]] + Clean_Data[[#This Row],[Imports_TIV]]</f>
        <v>9000000</v>
      </c>
    </row>
    <row r="2088" spans="1:9">
      <c r="A2088" s="4" t="s">
        <v>279</v>
      </c>
      <c r="B2088" s="4" t="s">
        <v>280</v>
      </c>
      <c r="C2088" s="5">
        <v>2012</v>
      </c>
      <c r="D2088" s="4">
        <v>0</v>
      </c>
      <c r="E2088" s="4">
        <v>2037000000</v>
      </c>
      <c r="F2088" s="4" t="str">
        <f>_xlfn.LET(_xlpm.r, _xlfn.XLOOKUP(Clean_Data[[#This Row],[Country_Code]], Metadata_Country!$A:$A, Metadata_Country!$B:$B, "Unknown"), IF(OR(_xlpm.r=0, _xlpm.r=""), "Regional Aggregate", _xlpm.r))</f>
        <v>Regional Aggregate</v>
      </c>
      <c r="G2088" s="4" t="str">
        <f>_xlfn.LET(_xlpm.ig, _xlfn.XLOOKUP(Clean_Data[[#This Row],[Country_Code]], Metadata_Country!$A:$A, Metadata_Country!$C:$C, "Unknown"), IF(OR(_xlpm.ig=0, _xlpm.ig=""), "Regional Aggregate", _xlpm.ig))</f>
        <v>Regional Aggregate</v>
      </c>
      <c r="H2088" s="4">
        <f>Clean_Data[[#This Row],[Exports_TIV]] - Clean_Data[[#This Row],[Imports_TIV]]</f>
        <v>-2037000000</v>
      </c>
      <c r="I2088" s="4">
        <f>Clean_Data[[#This Row],[Exports_TIV]] + Clean_Data[[#This Row],[Imports_TIV]]</f>
        <v>2037000000</v>
      </c>
    </row>
    <row r="2089" spans="1:9">
      <c r="A2089" s="4" t="s">
        <v>269</v>
      </c>
      <c r="B2089" s="4" t="s">
        <v>270</v>
      </c>
      <c r="C2089" s="5">
        <v>2012</v>
      </c>
      <c r="D2089" s="4">
        <v>0</v>
      </c>
      <c r="E2089" s="4">
        <v>31000000</v>
      </c>
      <c r="F2089" s="4" t="str">
        <f>_xlfn.LET(_xlpm.r, _xlfn.XLOOKUP(Clean_Data[[#This Row],[Country_Code]], Metadata_Country!$A:$A, Metadata_Country!$B:$B, "Unknown"), IF(OR(_xlpm.r=0, _xlpm.r=""), "Regional Aggregate", _xlpm.r))</f>
        <v>Middle East &amp; North Africa</v>
      </c>
      <c r="G2089" s="4" t="str">
        <f>_xlfn.LET(_xlpm.ig, _xlfn.XLOOKUP(Clean_Data[[#This Row],[Country_Code]], Metadata_Country!$A:$A, Metadata_Country!$C:$C, "Unknown"), IF(OR(_xlpm.ig=0, _xlpm.ig=""), "Regional Aggregate", _xlpm.ig))</f>
        <v>Lower middle income</v>
      </c>
      <c r="H2089" s="4">
        <f>Clean_Data[[#This Row],[Exports_TIV]] - Clean_Data[[#This Row],[Imports_TIV]]</f>
        <v>-31000000</v>
      </c>
      <c r="I2089" s="4">
        <f>Clean_Data[[#This Row],[Exports_TIV]] + Clean_Data[[#This Row],[Imports_TIV]]</f>
        <v>31000000</v>
      </c>
    </row>
    <row r="2090" spans="1:9">
      <c r="A2090" s="4" t="s">
        <v>273</v>
      </c>
      <c r="B2090" s="4" t="s">
        <v>274</v>
      </c>
      <c r="C2090" s="5">
        <v>2012</v>
      </c>
      <c r="D2090" s="4">
        <v>0</v>
      </c>
      <c r="E2090" s="4">
        <v>75000000</v>
      </c>
      <c r="F2090" s="4" t="str">
        <f>_xlfn.LET(_xlpm.r, _xlfn.XLOOKUP(Clean_Data[[#This Row],[Country_Code]], Metadata_Country!$A:$A, Metadata_Country!$B:$B, "Unknown"), IF(OR(_xlpm.r=0, _xlpm.r=""), "Regional Aggregate", _xlpm.r))</f>
        <v>Middle East &amp; North Africa</v>
      </c>
      <c r="G2090" s="4" t="str">
        <f>_xlfn.LET(_xlpm.ig, _xlfn.XLOOKUP(Clean_Data[[#This Row],[Country_Code]], Metadata_Country!$A:$A, Metadata_Country!$C:$C, "Unknown"), IF(OR(_xlpm.ig=0, _xlpm.ig=""), "Regional Aggregate", _xlpm.ig))</f>
        <v>Upper middle income</v>
      </c>
      <c r="H2090" s="4">
        <f>Clean_Data[[#This Row],[Exports_TIV]] - Clean_Data[[#This Row],[Imports_TIV]]</f>
        <v>-75000000</v>
      </c>
      <c r="I2090" s="4">
        <f>Clean_Data[[#This Row],[Exports_TIV]] + Clean_Data[[#This Row],[Imports_TIV]]</f>
        <v>75000000</v>
      </c>
    </row>
    <row r="2091" spans="1:9">
      <c r="A2091" s="4" t="s">
        <v>289</v>
      </c>
      <c r="B2091" s="4" t="s">
        <v>290</v>
      </c>
      <c r="C2091" s="5">
        <v>2012</v>
      </c>
      <c r="D2091" s="4">
        <v>0</v>
      </c>
      <c r="E2091" s="4">
        <v>18066000000</v>
      </c>
      <c r="F2091" s="4" t="str">
        <f>_xlfn.LET(_xlpm.r, _xlfn.XLOOKUP(Clean_Data[[#This Row],[Country_Code]], Metadata_Country!$A:$A, Metadata_Country!$B:$B, "Unknown"), IF(OR(_xlpm.r=0, _xlpm.r=""), "Regional Aggregate", _xlpm.r))</f>
        <v>Regional Aggregate</v>
      </c>
      <c r="G2091" s="4" t="str">
        <f>_xlfn.LET(_xlpm.ig, _xlfn.XLOOKUP(Clean_Data[[#This Row],[Country_Code]], Metadata_Country!$A:$A, Metadata_Country!$C:$C, "Unknown"), IF(OR(_xlpm.ig=0, _xlpm.ig=""), "Regional Aggregate", _xlpm.ig))</f>
        <v>Regional Aggregate</v>
      </c>
      <c r="H2091" s="4">
        <f>Clean_Data[[#This Row],[Exports_TIV]] - Clean_Data[[#This Row],[Imports_TIV]]</f>
        <v>-18066000000</v>
      </c>
      <c r="I2091" s="4">
        <f>Clean_Data[[#This Row],[Exports_TIV]] + Clean_Data[[#This Row],[Imports_TIV]]</f>
        <v>18066000000</v>
      </c>
    </row>
    <row r="2092" spans="1:9">
      <c r="A2092" s="4" t="s">
        <v>281</v>
      </c>
      <c r="B2092" s="4" t="s">
        <v>282</v>
      </c>
      <c r="C2092" s="5">
        <v>2012</v>
      </c>
      <c r="D2092" s="4">
        <v>0</v>
      </c>
      <c r="E2092" s="4">
        <v>1657000000</v>
      </c>
      <c r="F2092" s="4" t="str">
        <f>_xlfn.LET(_xlpm.r, _xlfn.XLOOKUP(Clean_Data[[#This Row],[Country_Code]], Metadata_Country!$A:$A, Metadata_Country!$B:$B, "Unknown"), IF(OR(_xlpm.r=0, _xlpm.r=""), "Regional Aggregate", _xlpm.r))</f>
        <v>Regional Aggregate</v>
      </c>
      <c r="G2092" s="4" t="str">
        <f>_xlfn.LET(_xlpm.ig, _xlfn.XLOOKUP(Clean_Data[[#This Row],[Country_Code]], Metadata_Country!$A:$A, Metadata_Country!$C:$C, "Unknown"), IF(OR(_xlpm.ig=0, _xlpm.ig=""), "Regional Aggregate", _xlpm.ig))</f>
        <v>Regional Aggregate</v>
      </c>
      <c r="H2092" s="4">
        <f>Clean_Data[[#This Row],[Exports_TIV]] - Clean_Data[[#This Row],[Imports_TIV]]</f>
        <v>-1657000000</v>
      </c>
      <c r="I2092" s="4">
        <f>Clean_Data[[#This Row],[Exports_TIV]] + Clean_Data[[#This Row],[Imports_TIV]]</f>
        <v>1657000000</v>
      </c>
    </row>
    <row r="2093" spans="1:9">
      <c r="A2093" s="4" t="s">
        <v>287</v>
      </c>
      <c r="B2093" s="4" t="s">
        <v>288</v>
      </c>
      <c r="C2093" s="5">
        <v>2012</v>
      </c>
      <c r="D2093" s="4">
        <v>0</v>
      </c>
      <c r="E2093" s="4">
        <v>8764000000</v>
      </c>
      <c r="F2093" s="4" t="str">
        <f>_xlfn.LET(_xlpm.r, _xlfn.XLOOKUP(Clean_Data[[#This Row],[Country_Code]], Metadata_Country!$A:$A, Metadata_Country!$B:$B, "Unknown"), IF(OR(_xlpm.r=0, _xlpm.r=""), "Regional Aggregate", _xlpm.r))</f>
        <v>Regional Aggregate</v>
      </c>
      <c r="G2093" s="4" t="str">
        <f>_xlfn.LET(_xlpm.ig, _xlfn.XLOOKUP(Clean_Data[[#This Row],[Country_Code]], Metadata_Country!$A:$A, Metadata_Country!$C:$C, "Unknown"), IF(OR(_xlpm.ig=0, _xlpm.ig=""), "Regional Aggregate", _xlpm.ig))</f>
        <v>Regional Aggregate</v>
      </c>
      <c r="H2093" s="4">
        <f>Clean_Data[[#This Row],[Exports_TIV]] - Clean_Data[[#This Row],[Imports_TIV]]</f>
        <v>-8764000000</v>
      </c>
      <c r="I2093" s="4">
        <f>Clean_Data[[#This Row],[Exports_TIV]] + Clean_Data[[#This Row],[Imports_TIV]]</f>
        <v>8764000000</v>
      </c>
    </row>
    <row r="2094" spans="1:9">
      <c r="A2094" s="4" t="s">
        <v>345</v>
      </c>
      <c r="B2094" s="4" t="s">
        <v>346</v>
      </c>
      <c r="C2094" s="5">
        <v>2012</v>
      </c>
      <c r="D2094" s="4">
        <v>0</v>
      </c>
      <c r="E2094" s="4">
        <v>1000000</v>
      </c>
      <c r="F2094" s="4" t="str">
        <f>_xlfn.LET(_xlpm.r, _xlfn.XLOOKUP(Clean_Data[[#This Row],[Country_Code]], Metadata_Country!$A:$A, Metadata_Country!$B:$B, "Unknown"), IF(OR(_xlpm.r=0, _xlpm.r=""), "Regional Aggregate", _xlpm.r))</f>
        <v>Sub-Saharan Africa</v>
      </c>
      <c r="G2094" s="4" t="str">
        <f>_xlfn.LET(_xlpm.ig, _xlfn.XLOOKUP(Clean_Data[[#This Row],[Country_Code]], Metadata_Country!$A:$A, Metadata_Country!$C:$C, "Unknown"), IF(OR(_xlpm.ig=0, _xlpm.ig=""), "Regional Aggregate", _xlpm.ig))</f>
        <v>Low income</v>
      </c>
      <c r="H2094" s="4">
        <f>Clean_Data[[#This Row],[Exports_TIV]] - Clean_Data[[#This Row],[Imports_TIV]]</f>
        <v>-1000000</v>
      </c>
      <c r="I2094" s="4">
        <f>Clean_Data[[#This Row],[Exports_TIV]] + Clean_Data[[#This Row],[Imports_TIV]]</f>
        <v>1000000</v>
      </c>
    </row>
    <row r="2095" spans="1:9">
      <c r="A2095" s="4" t="s">
        <v>347</v>
      </c>
      <c r="B2095" s="4" t="s">
        <v>348</v>
      </c>
      <c r="C2095" s="5">
        <v>2012</v>
      </c>
      <c r="D2095" s="4">
        <v>0</v>
      </c>
      <c r="E2095" s="4">
        <v>19000000</v>
      </c>
      <c r="F2095" s="4" t="str">
        <f>_xlfn.LET(_xlpm.r, _xlfn.XLOOKUP(Clean_Data[[#This Row],[Country_Code]], Metadata_Country!$A:$A, Metadata_Country!$B:$B, "Unknown"), IF(OR(_xlpm.r=0, _xlpm.r=""), "Regional Aggregate", _xlpm.r))</f>
        <v>East Asia &amp; Pacific</v>
      </c>
      <c r="G2095" s="4" t="str">
        <f>_xlfn.LET(_xlpm.ig, _xlfn.XLOOKUP(Clean_Data[[#This Row],[Country_Code]], Metadata_Country!$A:$A, Metadata_Country!$C:$C, "Unknown"), IF(OR(_xlpm.ig=0, _xlpm.ig=""), "Regional Aggregate", _xlpm.ig))</f>
        <v>Upper middle income</v>
      </c>
      <c r="H2095" s="4">
        <f>Clean_Data[[#This Row],[Exports_TIV]] - Clean_Data[[#This Row],[Imports_TIV]]</f>
        <v>-19000000</v>
      </c>
      <c r="I2095" s="4">
        <f>Clean_Data[[#This Row],[Exports_TIV]] + Clean_Data[[#This Row],[Imports_TIV]]</f>
        <v>19000000</v>
      </c>
    </row>
    <row r="2096" spans="1:9">
      <c r="A2096" s="4" t="s">
        <v>325</v>
      </c>
      <c r="B2096" s="4" t="s">
        <v>326</v>
      </c>
      <c r="C2096" s="5">
        <v>2012</v>
      </c>
      <c r="D2096" s="4">
        <v>0</v>
      </c>
      <c r="E2096" s="4">
        <v>9000000</v>
      </c>
      <c r="F2096" s="4" t="str">
        <f>_xlfn.LET(_xlpm.r, _xlfn.XLOOKUP(Clean_Data[[#This Row],[Country_Code]], Metadata_Country!$A:$A, Metadata_Country!$B:$B, "Unknown"), IF(OR(_xlpm.r=0, _xlpm.r=""), "Regional Aggregate", _xlpm.r))</f>
        <v>Sub-Saharan Africa</v>
      </c>
      <c r="G2096" s="4" t="str">
        <f>_xlfn.LET(_xlpm.ig, _xlfn.XLOOKUP(Clean_Data[[#This Row],[Country_Code]], Metadata_Country!$A:$A, Metadata_Country!$C:$C, "Unknown"), IF(OR(_xlpm.ig=0, _xlpm.ig=""), "Regional Aggregate", _xlpm.ig))</f>
        <v>Low income</v>
      </c>
      <c r="H2096" s="4">
        <f>Clean_Data[[#This Row],[Exports_TIV]] - Clean_Data[[#This Row],[Imports_TIV]]</f>
        <v>-9000000</v>
      </c>
      <c r="I2096" s="4">
        <f>Clean_Data[[#This Row],[Exports_TIV]] + Clean_Data[[#This Row],[Imports_TIV]]</f>
        <v>9000000</v>
      </c>
    </row>
    <row r="2097" spans="1:9">
      <c r="A2097" s="4" t="s">
        <v>327</v>
      </c>
      <c r="B2097" s="4" t="s">
        <v>328</v>
      </c>
      <c r="C2097" s="5">
        <v>2012</v>
      </c>
      <c r="D2097" s="4">
        <v>0</v>
      </c>
      <c r="E2097" s="4">
        <v>8000000</v>
      </c>
      <c r="F2097" s="4" t="str">
        <f>_xlfn.LET(_xlpm.r, _xlfn.XLOOKUP(Clean_Data[[#This Row],[Country_Code]], Metadata_Country!$A:$A, Metadata_Country!$B:$B, "Unknown"), IF(OR(_xlpm.r=0, _xlpm.r=""), "Regional Aggregate", _xlpm.r))</f>
        <v>Middle East &amp; North Africa</v>
      </c>
      <c r="G2097" s="4" t="str">
        <f>_xlfn.LET(_xlpm.ig, _xlfn.XLOOKUP(Clean_Data[[#This Row],[Country_Code]], Metadata_Country!$A:$A, Metadata_Country!$C:$C, "Unknown"), IF(OR(_xlpm.ig=0, _xlpm.ig=""), "Regional Aggregate", _xlpm.ig))</f>
        <v>High income</v>
      </c>
      <c r="H2097" s="4">
        <f>Clean_Data[[#This Row],[Exports_TIV]] - Clean_Data[[#This Row],[Imports_TIV]]</f>
        <v>-8000000</v>
      </c>
      <c r="I2097" s="4">
        <f>Clean_Data[[#This Row],[Exports_TIV]] + Clean_Data[[#This Row],[Imports_TIV]]</f>
        <v>8000000</v>
      </c>
    </row>
    <row r="2098" spans="1:9">
      <c r="A2098" s="4" t="s">
        <v>341</v>
      </c>
      <c r="B2098" s="4" t="s">
        <v>342</v>
      </c>
      <c r="C2098" s="5">
        <v>2012</v>
      </c>
      <c r="D2098" s="4">
        <v>0</v>
      </c>
      <c r="E2098" s="4">
        <v>11000000</v>
      </c>
      <c r="F2098" s="4" t="str">
        <f>_xlfn.LET(_xlpm.r, _xlfn.XLOOKUP(Clean_Data[[#This Row],[Country_Code]], Metadata_Country!$A:$A, Metadata_Country!$B:$B, "Unknown"), IF(OR(_xlpm.r=0, _xlpm.r=""), "Regional Aggregate", _xlpm.r))</f>
        <v>Sub-Saharan Africa</v>
      </c>
      <c r="G2098" s="4" t="str">
        <f>_xlfn.LET(_xlpm.ig, _xlfn.XLOOKUP(Clean_Data[[#This Row],[Country_Code]], Metadata_Country!$A:$A, Metadata_Country!$C:$C, "Unknown"), IF(OR(_xlpm.ig=0, _xlpm.ig=""), "Regional Aggregate", _xlpm.ig))</f>
        <v>Lower middle income</v>
      </c>
      <c r="H2098" s="4">
        <f>Clean_Data[[#This Row],[Exports_TIV]] - Clean_Data[[#This Row],[Imports_TIV]]</f>
        <v>-11000000</v>
      </c>
      <c r="I2098" s="4">
        <f>Clean_Data[[#This Row],[Exports_TIV]] + Clean_Data[[#This Row],[Imports_TIV]]</f>
        <v>11000000</v>
      </c>
    </row>
    <row r="2099" spans="1:9">
      <c r="A2099" s="4" t="s">
        <v>317</v>
      </c>
      <c r="B2099" s="4" t="s">
        <v>318</v>
      </c>
      <c r="C2099" s="5">
        <v>2012</v>
      </c>
      <c r="D2099" s="4">
        <v>0</v>
      </c>
      <c r="E2099" s="4">
        <v>260000000</v>
      </c>
      <c r="F2099" s="4" t="str">
        <f>_xlfn.LET(_xlpm.r, _xlfn.XLOOKUP(Clean_Data[[#This Row],[Country_Code]], Metadata_Country!$A:$A, Metadata_Country!$B:$B, "Unknown"), IF(OR(_xlpm.r=0, _xlpm.r=""), "Regional Aggregate", _xlpm.r))</f>
        <v>Latin America &amp; Caribbean</v>
      </c>
      <c r="G2099" s="4" t="str">
        <f>_xlfn.LET(_xlpm.ig, _xlfn.XLOOKUP(Clean_Data[[#This Row],[Country_Code]], Metadata_Country!$A:$A, Metadata_Country!$C:$C, "Unknown"), IF(OR(_xlpm.ig=0, _xlpm.ig=""), "Regional Aggregate", _xlpm.ig))</f>
        <v>Upper middle income</v>
      </c>
      <c r="H2099" s="4">
        <f>Clean_Data[[#This Row],[Exports_TIV]] - Clean_Data[[#This Row],[Imports_TIV]]</f>
        <v>-260000000</v>
      </c>
      <c r="I2099" s="4">
        <f>Clean_Data[[#This Row],[Exports_TIV]] + Clean_Data[[#This Row],[Imports_TIV]]</f>
        <v>260000000</v>
      </c>
    </row>
    <row r="2100" spans="1:9">
      <c r="A2100" s="4" t="s">
        <v>315</v>
      </c>
      <c r="B2100" s="4" t="s">
        <v>316</v>
      </c>
      <c r="C2100" s="5">
        <v>2012</v>
      </c>
      <c r="D2100" s="4">
        <v>0</v>
      </c>
      <c r="E2100" s="4">
        <v>7629000000</v>
      </c>
      <c r="F2100" s="4" t="str">
        <f>_xlfn.LET(_xlpm.r, _xlfn.XLOOKUP(Clean_Data[[#This Row],[Country_Code]], Metadata_Country!$A:$A, Metadata_Country!$B:$B, "Unknown"), IF(OR(_xlpm.r=0, _xlpm.r=""), "Regional Aggregate", _xlpm.r))</f>
        <v>Regional Aggregate</v>
      </c>
      <c r="G2100" s="4" t="str">
        <f>_xlfn.LET(_xlpm.ig, _xlfn.XLOOKUP(Clean_Data[[#This Row],[Country_Code]], Metadata_Country!$A:$A, Metadata_Country!$C:$C, "Unknown"), IF(OR(_xlpm.ig=0, _xlpm.ig=""), "Regional Aggregate", _xlpm.ig))</f>
        <v>Regional Aggregate</v>
      </c>
      <c r="H2100" s="4">
        <f>Clean_Data[[#This Row],[Exports_TIV]] - Clean_Data[[#This Row],[Imports_TIV]]</f>
        <v>-7629000000</v>
      </c>
      <c r="I2100" s="4">
        <f>Clean_Data[[#This Row],[Exports_TIV]] + Clean_Data[[#This Row],[Imports_TIV]]</f>
        <v>7629000000</v>
      </c>
    </row>
    <row r="2101" spans="1:9">
      <c r="A2101" s="4" t="s">
        <v>331</v>
      </c>
      <c r="B2101" s="4" t="s">
        <v>332</v>
      </c>
      <c r="C2101" s="5">
        <v>2012</v>
      </c>
      <c r="D2101" s="4">
        <v>0</v>
      </c>
      <c r="E2101" s="4">
        <v>4993000000</v>
      </c>
      <c r="F2101" s="4" t="str">
        <f>_xlfn.LET(_xlpm.r, _xlfn.XLOOKUP(Clean_Data[[#This Row],[Country_Code]], Metadata_Country!$A:$A, Metadata_Country!$B:$B, "Unknown"), IF(OR(_xlpm.r=0, _xlpm.r=""), "Regional Aggregate", _xlpm.r))</f>
        <v>Regional Aggregate</v>
      </c>
      <c r="G2101" s="4" t="str">
        <f>_xlfn.LET(_xlpm.ig, _xlfn.XLOOKUP(Clean_Data[[#This Row],[Country_Code]], Metadata_Country!$A:$A, Metadata_Country!$C:$C, "Unknown"), IF(OR(_xlpm.ig=0, _xlpm.ig=""), "Regional Aggregate", _xlpm.ig))</f>
        <v>Regional Aggregate</v>
      </c>
      <c r="H2101" s="4">
        <f>Clean_Data[[#This Row],[Exports_TIV]] - Clean_Data[[#This Row],[Imports_TIV]]</f>
        <v>-4993000000</v>
      </c>
      <c r="I2101" s="4">
        <f>Clean_Data[[#This Row],[Exports_TIV]] + Clean_Data[[#This Row],[Imports_TIV]]</f>
        <v>4993000000</v>
      </c>
    </row>
    <row r="2102" spans="1:9">
      <c r="A2102" s="4" t="s">
        <v>485</v>
      </c>
      <c r="B2102" s="4" t="s">
        <v>486</v>
      </c>
      <c r="C2102" s="5">
        <v>2012</v>
      </c>
      <c r="D2102" s="4">
        <v>0</v>
      </c>
      <c r="E2102" s="4">
        <v>4993000000</v>
      </c>
      <c r="F2102" s="4" t="str">
        <f>_xlfn.LET(_xlpm.r, _xlfn.XLOOKUP(Clean_Data[[#This Row],[Country_Code]], Metadata_Country!$A:$A, Metadata_Country!$B:$B, "Unknown"), IF(OR(_xlpm.r=0, _xlpm.r=""), "Regional Aggregate", _xlpm.r))</f>
        <v>Regional Aggregate</v>
      </c>
      <c r="G2102" s="4" t="str">
        <f>_xlfn.LET(_xlpm.ig, _xlfn.XLOOKUP(Clean_Data[[#This Row],[Country_Code]], Metadata_Country!$A:$A, Metadata_Country!$C:$C, "Unknown"), IF(OR(_xlpm.ig=0, _xlpm.ig=""), "Regional Aggregate", _xlpm.ig))</f>
        <v>Regional Aggregate</v>
      </c>
      <c r="H2102" s="4">
        <f>Clean_Data[[#This Row],[Exports_TIV]] - Clean_Data[[#This Row],[Imports_TIV]]</f>
        <v>-4993000000</v>
      </c>
      <c r="I2102" s="4">
        <f>Clean_Data[[#This Row],[Exports_TIV]] + Clean_Data[[#This Row],[Imports_TIV]]</f>
        <v>4993000000</v>
      </c>
    </row>
    <row r="2103" spans="1:9">
      <c r="A2103" s="4" t="s">
        <v>321</v>
      </c>
      <c r="B2103" s="4" t="s">
        <v>322</v>
      </c>
      <c r="C2103" s="5">
        <v>2012</v>
      </c>
      <c r="D2103" s="4">
        <v>0</v>
      </c>
      <c r="E2103" s="4">
        <v>16409000000</v>
      </c>
      <c r="F2103" s="4" t="str">
        <f>_xlfn.LET(_xlpm.r, _xlfn.XLOOKUP(Clean_Data[[#This Row],[Country_Code]], Metadata_Country!$A:$A, Metadata_Country!$B:$B, "Unknown"), IF(OR(_xlpm.r=0, _xlpm.r=""), "Regional Aggregate", _xlpm.r))</f>
        <v>Regional Aggregate</v>
      </c>
      <c r="G2103" s="4" t="str">
        <f>_xlfn.LET(_xlpm.ig, _xlfn.XLOOKUP(Clean_Data[[#This Row],[Country_Code]], Metadata_Country!$A:$A, Metadata_Country!$C:$C, "Unknown"), IF(OR(_xlpm.ig=0, _xlpm.ig=""), "Regional Aggregate", _xlpm.ig))</f>
        <v>Regional Aggregate</v>
      </c>
      <c r="H2103" s="4">
        <f>Clean_Data[[#This Row],[Exports_TIV]] - Clean_Data[[#This Row],[Imports_TIV]]</f>
        <v>-16409000000</v>
      </c>
      <c r="I2103" s="4">
        <f>Clean_Data[[#This Row],[Exports_TIV]] + Clean_Data[[#This Row],[Imports_TIV]]</f>
        <v>16409000000</v>
      </c>
    </row>
    <row r="2104" spans="1:9">
      <c r="A2104" s="4" t="s">
        <v>335</v>
      </c>
      <c r="B2104" s="4" t="s">
        <v>336</v>
      </c>
      <c r="C2104" s="5">
        <v>2012</v>
      </c>
      <c r="D2104" s="4">
        <v>0</v>
      </c>
      <c r="E2104" s="4">
        <v>78000000</v>
      </c>
      <c r="F2104" s="4" t="str">
        <f>_xlfn.LET(_xlpm.r, _xlfn.XLOOKUP(Clean_Data[[#This Row],[Country_Code]], Metadata_Country!$A:$A, Metadata_Country!$B:$B, "Unknown"), IF(OR(_xlpm.r=0, _xlpm.r=""), "Regional Aggregate", _xlpm.r))</f>
        <v>East Asia &amp; Pacific</v>
      </c>
      <c r="G2104" s="4" t="str">
        <f>_xlfn.LET(_xlpm.ig, _xlfn.XLOOKUP(Clean_Data[[#This Row],[Country_Code]], Metadata_Country!$A:$A, Metadata_Country!$C:$C, "Unknown"), IF(OR(_xlpm.ig=0, _xlpm.ig=""), "Regional Aggregate", _xlpm.ig))</f>
        <v>Upper middle income</v>
      </c>
      <c r="H2104" s="4">
        <f>Clean_Data[[#This Row],[Exports_TIV]] - Clean_Data[[#This Row],[Imports_TIV]]</f>
        <v>-78000000</v>
      </c>
      <c r="I2104" s="4">
        <f>Clean_Data[[#This Row],[Exports_TIV]] + Clean_Data[[#This Row],[Imports_TIV]]</f>
        <v>78000000</v>
      </c>
    </row>
    <row r="2105" spans="1:9">
      <c r="A2105" s="4" t="s">
        <v>305</v>
      </c>
      <c r="B2105" s="4" t="s">
        <v>306</v>
      </c>
      <c r="C2105" s="5">
        <v>2012</v>
      </c>
      <c r="D2105" s="4">
        <v>0</v>
      </c>
      <c r="E2105" s="4">
        <v>1052000000</v>
      </c>
      <c r="F2105" s="4" t="str">
        <f>_xlfn.LET(_xlpm.r, _xlfn.XLOOKUP(Clean_Data[[#This Row],[Country_Code]], Metadata_Country!$A:$A, Metadata_Country!$B:$B, "Unknown"), IF(OR(_xlpm.r=0, _xlpm.r=""), "Regional Aggregate", _xlpm.r))</f>
        <v>Middle East &amp; North Africa</v>
      </c>
      <c r="G2105" s="4" t="str">
        <f>_xlfn.LET(_xlpm.ig, _xlfn.XLOOKUP(Clean_Data[[#This Row],[Country_Code]], Metadata_Country!$A:$A, Metadata_Country!$C:$C, "Unknown"), IF(OR(_xlpm.ig=0, _xlpm.ig=""), "Regional Aggregate", _xlpm.ig))</f>
        <v>Lower middle income</v>
      </c>
      <c r="H2105" s="4">
        <f>Clean_Data[[#This Row],[Exports_TIV]] - Clean_Data[[#This Row],[Imports_TIV]]</f>
        <v>-1052000000</v>
      </c>
      <c r="I2105" s="4">
        <f>Clean_Data[[#This Row],[Exports_TIV]] + Clean_Data[[#This Row],[Imports_TIV]]</f>
        <v>1052000000</v>
      </c>
    </row>
    <row r="2106" spans="1:9">
      <c r="A2106" s="4" t="s">
        <v>339</v>
      </c>
      <c r="B2106" s="4" t="s">
        <v>340</v>
      </c>
      <c r="C2106" s="5">
        <v>2012</v>
      </c>
      <c r="D2106" s="4">
        <v>0</v>
      </c>
      <c r="E2106" s="4">
        <v>0</v>
      </c>
      <c r="F2106" s="4" t="str">
        <f>_xlfn.LET(_xlpm.r, _xlfn.XLOOKUP(Clean_Data[[#This Row],[Country_Code]], Metadata_Country!$A:$A, Metadata_Country!$B:$B, "Unknown"), IF(OR(_xlpm.r=0, _xlpm.r=""), "Regional Aggregate", _xlpm.r))</f>
        <v>Sub-Saharan Africa</v>
      </c>
      <c r="G2106" s="4" t="str">
        <f>_xlfn.LET(_xlpm.ig, _xlfn.XLOOKUP(Clean_Data[[#This Row],[Country_Code]], Metadata_Country!$A:$A, Metadata_Country!$C:$C, "Unknown"), IF(OR(_xlpm.ig=0, _xlpm.ig=""), "Regional Aggregate", _xlpm.ig))</f>
        <v>Low income</v>
      </c>
      <c r="H2106" s="4">
        <f>Clean_Data[[#This Row],[Exports_TIV]] - Clean_Data[[#This Row],[Imports_TIV]]</f>
        <v>0</v>
      </c>
      <c r="I2106" s="4">
        <f>Clean_Data[[#This Row],[Exports_TIV]] + Clean_Data[[#This Row],[Imports_TIV]]</f>
        <v>0</v>
      </c>
    </row>
    <row r="2107" spans="1:9">
      <c r="A2107" s="4" t="s">
        <v>329</v>
      </c>
      <c r="B2107" s="4" t="s">
        <v>330</v>
      </c>
      <c r="C2107" s="5">
        <v>2012</v>
      </c>
      <c r="D2107" s="4">
        <v>0</v>
      </c>
      <c r="E2107" s="4">
        <v>398000000</v>
      </c>
      <c r="F2107" s="4" t="str">
        <f>_xlfn.LET(_xlpm.r, _xlfn.XLOOKUP(Clean_Data[[#This Row],[Country_Code]], Metadata_Country!$A:$A, Metadata_Country!$B:$B, "Unknown"), IF(OR(_xlpm.r=0, _xlpm.r=""), "Regional Aggregate", _xlpm.r))</f>
        <v>East Asia &amp; Pacific</v>
      </c>
      <c r="G2107" s="4" t="str">
        <f>_xlfn.LET(_xlpm.ig, _xlfn.XLOOKUP(Clean_Data[[#This Row],[Country_Code]], Metadata_Country!$A:$A, Metadata_Country!$C:$C, "Unknown"), IF(OR(_xlpm.ig=0, _xlpm.ig=""), "Regional Aggregate", _xlpm.ig))</f>
        <v>Lower middle income</v>
      </c>
      <c r="H2107" s="4">
        <f>Clean_Data[[#This Row],[Exports_TIV]] - Clean_Data[[#This Row],[Imports_TIV]]</f>
        <v>-398000000</v>
      </c>
      <c r="I2107" s="4">
        <f>Clean_Data[[#This Row],[Exports_TIV]] + Clean_Data[[#This Row],[Imports_TIV]]</f>
        <v>398000000</v>
      </c>
    </row>
    <row r="2108" spans="1:9">
      <c r="A2108" s="4" t="s">
        <v>351</v>
      </c>
      <c r="B2108" s="4" t="s">
        <v>352</v>
      </c>
      <c r="C2108" s="5">
        <v>2012</v>
      </c>
      <c r="D2108" s="4">
        <v>0</v>
      </c>
      <c r="E2108" s="4">
        <v>57000000</v>
      </c>
      <c r="F2108" s="4" t="str">
        <f>_xlfn.LET(_xlpm.r, _xlfn.XLOOKUP(Clean_Data[[#This Row],[Country_Code]], Metadata_Country!$A:$A, Metadata_Country!$B:$B, "Unknown"), IF(OR(_xlpm.r=0, _xlpm.r=""), "Regional Aggregate", _xlpm.r))</f>
        <v>Sub-Saharan Africa</v>
      </c>
      <c r="G2108" s="4" t="str">
        <f>_xlfn.LET(_xlpm.ig, _xlfn.XLOOKUP(Clean_Data[[#This Row],[Country_Code]], Metadata_Country!$A:$A, Metadata_Country!$C:$C, "Unknown"), IF(OR(_xlpm.ig=0, _xlpm.ig=""), "Regional Aggregate", _xlpm.ig))</f>
        <v>Lower middle income</v>
      </c>
      <c r="H2108" s="4">
        <f>Clean_Data[[#This Row],[Exports_TIV]] - Clean_Data[[#This Row],[Imports_TIV]]</f>
        <v>-57000000</v>
      </c>
      <c r="I2108" s="4">
        <f>Clean_Data[[#This Row],[Exports_TIV]] + Clean_Data[[#This Row],[Imports_TIV]]</f>
        <v>57000000</v>
      </c>
    </row>
    <row r="2109" spans="1:9">
      <c r="A2109" s="4" t="s">
        <v>361</v>
      </c>
      <c r="B2109" s="4" t="s">
        <v>362</v>
      </c>
      <c r="C2109" s="5">
        <v>2012</v>
      </c>
      <c r="D2109" s="4">
        <v>906000000</v>
      </c>
      <c r="E2109" s="4">
        <v>190000000</v>
      </c>
      <c r="F2109" s="4" t="str">
        <f>_xlfn.LET(_xlpm.r, _xlfn.XLOOKUP(Clean_Data[[#This Row],[Country_Code]], Metadata_Country!$A:$A, Metadata_Country!$B:$B, "Unknown"), IF(OR(_xlpm.r=0, _xlpm.r=""), "Regional Aggregate", _xlpm.r))</f>
        <v>Europe &amp; Central Asia</v>
      </c>
      <c r="G2109" s="4" t="str">
        <f>_xlfn.LET(_xlpm.ig, _xlfn.XLOOKUP(Clean_Data[[#This Row],[Country_Code]], Metadata_Country!$A:$A, Metadata_Country!$C:$C, "Unknown"), IF(OR(_xlpm.ig=0, _xlpm.ig=""), "Regional Aggregate", _xlpm.ig))</f>
        <v>High income</v>
      </c>
      <c r="H2109" s="4">
        <f>Clean_Data[[#This Row],[Exports_TIV]] - Clean_Data[[#This Row],[Imports_TIV]]</f>
        <v>716000000</v>
      </c>
      <c r="I2109" s="4">
        <f>Clean_Data[[#This Row],[Exports_TIV]] + Clean_Data[[#This Row],[Imports_TIV]]</f>
        <v>1096000000</v>
      </c>
    </row>
    <row r="2110" spans="1:9">
      <c r="A2110" s="4" t="s">
        <v>369</v>
      </c>
      <c r="B2110" s="4" t="s">
        <v>370</v>
      </c>
      <c r="C2110" s="5">
        <v>2012</v>
      </c>
      <c r="D2110" s="4">
        <v>75000000</v>
      </c>
      <c r="E2110" s="4">
        <v>30000000</v>
      </c>
      <c r="F2110" s="4" t="str">
        <f>_xlfn.LET(_xlpm.r, _xlfn.XLOOKUP(Clean_Data[[#This Row],[Country_Code]], Metadata_Country!$A:$A, Metadata_Country!$B:$B, "Unknown"), IF(OR(_xlpm.r=0, _xlpm.r=""), "Regional Aggregate", _xlpm.r))</f>
        <v>East Asia &amp; Pacific</v>
      </c>
      <c r="G2110" s="4" t="str">
        <f>_xlfn.LET(_xlpm.ig, _xlfn.XLOOKUP(Clean_Data[[#This Row],[Country_Code]], Metadata_Country!$A:$A, Metadata_Country!$C:$C, "Unknown"), IF(OR(_xlpm.ig=0, _xlpm.ig=""), "Regional Aggregate", _xlpm.ig))</f>
        <v>High income</v>
      </c>
      <c r="H2110" s="4">
        <f>Clean_Data[[#This Row],[Exports_TIV]] - Clean_Data[[#This Row],[Imports_TIV]]</f>
        <v>45000000</v>
      </c>
      <c r="I2110" s="4">
        <f>Clean_Data[[#This Row],[Exports_TIV]] + Clean_Data[[#This Row],[Imports_TIV]]</f>
        <v>105000000</v>
      </c>
    </row>
    <row r="2111" spans="1:9">
      <c r="A2111" s="4" t="s">
        <v>357</v>
      </c>
      <c r="B2111" s="4" t="s">
        <v>358</v>
      </c>
      <c r="C2111" s="5">
        <v>2012</v>
      </c>
      <c r="D2111" s="4">
        <v>0</v>
      </c>
      <c r="E2111" s="4">
        <v>28000000</v>
      </c>
      <c r="F2111" s="4" t="str">
        <f>_xlfn.LET(_xlpm.r, _xlfn.XLOOKUP(Clean_Data[[#This Row],[Country_Code]], Metadata_Country!$A:$A, Metadata_Country!$B:$B, "Unknown"), IF(OR(_xlpm.r=0, _xlpm.r=""), "Regional Aggregate", _xlpm.r))</f>
        <v>Sub-Saharan Africa</v>
      </c>
      <c r="G2111" s="4" t="str">
        <f>_xlfn.LET(_xlpm.ig, _xlfn.XLOOKUP(Clean_Data[[#This Row],[Country_Code]], Metadata_Country!$A:$A, Metadata_Country!$C:$C, "Unknown"), IF(OR(_xlpm.ig=0, _xlpm.ig=""), "Regional Aggregate", _xlpm.ig))</f>
        <v>Lower middle income</v>
      </c>
      <c r="H2111" s="4">
        <f>Clean_Data[[#This Row],[Exports_TIV]] - Clean_Data[[#This Row],[Imports_TIV]]</f>
        <v>-28000000</v>
      </c>
      <c r="I2111" s="4">
        <f>Clean_Data[[#This Row],[Exports_TIV]] + Clean_Data[[#This Row],[Imports_TIV]]</f>
        <v>28000000</v>
      </c>
    </row>
    <row r="2112" spans="1:9">
      <c r="A2112" s="4" t="s">
        <v>349</v>
      </c>
      <c r="B2112" s="4" t="s">
        <v>350</v>
      </c>
      <c r="C2112" s="5">
        <v>2012</v>
      </c>
      <c r="D2112" s="4">
        <v>9223000000</v>
      </c>
      <c r="E2112" s="4">
        <v>1345000000</v>
      </c>
      <c r="F2112" s="4" t="str">
        <f>_xlfn.LET(_xlpm.r, _xlfn.XLOOKUP(Clean_Data[[#This Row],[Country_Code]], Metadata_Country!$A:$A, Metadata_Country!$B:$B, "Unknown"), IF(OR(_xlpm.r=0, _xlpm.r=""), "Regional Aggregate", _xlpm.r))</f>
        <v>Regional Aggregate</v>
      </c>
      <c r="G2112" s="4" t="str">
        <f>_xlfn.LET(_xlpm.ig, _xlfn.XLOOKUP(Clean_Data[[#This Row],[Country_Code]], Metadata_Country!$A:$A, Metadata_Country!$C:$C, "Unknown"), IF(OR(_xlpm.ig=0, _xlpm.ig=""), "Regional Aggregate", _xlpm.ig))</f>
        <v>Regional Aggregate</v>
      </c>
      <c r="H2112" s="4">
        <f>Clean_Data[[#This Row],[Exports_TIV]] - Clean_Data[[#This Row],[Imports_TIV]]</f>
        <v>7878000000</v>
      </c>
      <c r="I2112" s="4">
        <f>Clean_Data[[#This Row],[Exports_TIV]] + Clean_Data[[#This Row],[Imports_TIV]]</f>
        <v>10568000000</v>
      </c>
    </row>
    <row r="2113" spans="1:9">
      <c r="A2113" s="4" t="s">
        <v>323</v>
      </c>
      <c r="B2113" s="4" t="s">
        <v>324</v>
      </c>
      <c r="C2113" s="5">
        <v>2012</v>
      </c>
      <c r="D2113" s="4">
        <v>0</v>
      </c>
      <c r="E2113" s="4">
        <v>0</v>
      </c>
      <c r="F2113" s="4" t="str">
        <f>_xlfn.LET(_xlpm.r, _xlfn.XLOOKUP(Clean_Data[[#This Row],[Country_Code]], Metadata_Country!$A:$A, Metadata_Country!$B:$B, "Unknown"), IF(OR(_xlpm.r=0, _xlpm.r=""), "Regional Aggregate", _xlpm.r))</f>
        <v>Europe &amp; Central Asia</v>
      </c>
      <c r="G2113" s="4" t="str">
        <f>_xlfn.LET(_xlpm.ig, _xlfn.XLOOKUP(Clean_Data[[#This Row],[Country_Code]], Metadata_Country!$A:$A, Metadata_Country!$C:$C, "Unknown"), IF(OR(_xlpm.ig=0, _xlpm.ig=""), "Regional Aggregate", _xlpm.ig))</f>
        <v>Upper middle income</v>
      </c>
      <c r="H2113" s="4">
        <f>Clean_Data[[#This Row],[Exports_TIV]] - Clean_Data[[#This Row],[Imports_TIV]]</f>
        <v>0</v>
      </c>
      <c r="I2113" s="4">
        <f>Clean_Data[[#This Row],[Exports_TIV]] + Clean_Data[[#This Row],[Imports_TIV]]</f>
        <v>0</v>
      </c>
    </row>
    <row r="2114" spans="1:9">
      <c r="A2114" s="4" t="s">
        <v>363</v>
      </c>
      <c r="B2114" s="4" t="s">
        <v>364</v>
      </c>
      <c r="C2114" s="5">
        <v>2012</v>
      </c>
      <c r="D2114" s="4">
        <v>52000000</v>
      </c>
      <c r="E2114" s="4">
        <v>147000000</v>
      </c>
      <c r="F2114" s="4" t="str">
        <f>_xlfn.LET(_xlpm.r, _xlfn.XLOOKUP(Clean_Data[[#This Row],[Country_Code]], Metadata_Country!$A:$A, Metadata_Country!$B:$B, "Unknown"), IF(OR(_xlpm.r=0, _xlpm.r=""), "Regional Aggregate", _xlpm.r))</f>
        <v>Europe &amp; Central Asia</v>
      </c>
      <c r="G2114" s="4" t="str">
        <f>_xlfn.LET(_xlpm.ig, _xlfn.XLOOKUP(Clean_Data[[#This Row],[Country_Code]], Metadata_Country!$A:$A, Metadata_Country!$C:$C, "Unknown"), IF(OR(_xlpm.ig=0, _xlpm.ig=""), "Regional Aggregate", _xlpm.ig))</f>
        <v>High income</v>
      </c>
      <c r="H2114" s="4">
        <f>Clean_Data[[#This Row],[Exports_TIV]] - Clean_Data[[#This Row],[Imports_TIV]]</f>
        <v>-95000000</v>
      </c>
      <c r="I2114" s="4">
        <f>Clean_Data[[#This Row],[Exports_TIV]] + Clean_Data[[#This Row],[Imports_TIV]]</f>
        <v>199000000</v>
      </c>
    </row>
    <row r="2115" spans="1:9">
      <c r="A2115" s="4" t="s">
        <v>371</v>
      </c>
      <c r="B2115" s="4" t="s">
        <v>372</v>
      </c>
      <c r="C2115" s="5">
        <v>2012</v>
      </c>
      <c r="D2115" s="4">
        <v>16020000000</v>
      </c>
      <c r="E2115" s="4">
        <v>7933000000</v>
      </c>
      <c r="F2115" s="4" t="str">
        <f>_xlfn.LET(_xlpm.r, _xlfn.XLOOKUP(Clean_Data[[#This Row],[Country_Code]], Metadata_Country!$A:$A, Metadata_Country!$B:$B, "Unknown"), IF(OR(_xlpm.r=0, _xlpm.r=""), "Regional Aggregate", _xlpm.r))</f>
        <v>Regional Aggregate</v>
      </c>
      <c r="G2115" s="4" t="str">
        <f>_xlfn.LET(_xlpm.ig, _xlfn.XLOOKUP(Clean_Data[[#This Row],[Country_Code]], Metadata_Country!$A:$A, Metadata_Country!$C:$C, "Unknown"), IF(OR(_xlpm.ig=0, _xlpm.ig=""), "Regional Aggregate", _xlpm.ig))</f>
        <v>Regional Aggregate</v>
      </c>
      <c r="H2115" s="4">
        <f>Clean_Data[[#This Row],[Exports_TIV]] - Clean_Data[[#This Row],[Imports_TIV]]</f>
        <v>8087000000</v>
      </c>
      <c r="I2115" s="4">
        <f>Clean_Data[[#This Row],[Exports_TIV]] + Clean_Data[[#This Row],[Imports_TIV]]</f>
        <v>23953000000</v>
      </c>
    </row>
    <row r="2116" spans="1:9">
      <c r="A2116" s="4" t="s">
        <v>373</v>
      </c>
      <c r="B2116" s="4" t="s">
        <v>374</v>
      </c>
      <c r="C2116" s="5">
        <v>2012</v>
      </c>
      <c r="D2116" s="4">
        <v>0</v>
      </c>
      <c r="E2116" s="4">
        <v>127000000</v>
      </c>
      <c r="F2116" s="4" t="str">
        <f>_xlfn.LET(_xlpm.r, _xlfn.XLOOKUP(Clean_Data[[#This Row],[Country_Code]], Metadata_Country!$A:$A, Metadata_Country!$B:$B, "Unknown"), IF(OR(_xlpm.r=0, _xlpm.r=""), "Regional Aggregate", _xlpm.r))</f>
        <v>Middle East &amp; North Africa</v>
      </c>
      <c r="G2116" s="4" t="str">
        <f>_xlfn.LET(_xlpm.ig, _xlfn.XLOOKUP(Clean_Data[[#This Row],[Country_Code]], Metadata_Country!$A:$A, Metadata_Country!$C:$C, "Unknown"), IF(OR(_xlpm.ig=0, _xlpm.ig=""), "Regional Aggregate", _xlpm.ig))</f>
        <v>High income</v>
      </c>
      <c r="H2116" s="4">
        <f>Clean_Data[[#This Row],[Exports_TIV]] - Clean_Data[[#This Row],[Imports_TIV]]</f>
        <v>-127000000</v>
      </c>
      <c r="I2116" s="4">
        <f>Clean_Data[[#This Row],[Exports_TIV]] + Clean_Data[[#This Row],[Imports_TIV]]</f>
        <v>127000000</v>
      </c>
    </row>
    <row r="2117" spans="1:9">
      <c r="A2117" s="4" t="s">
        <v>375</v>
      </c>
      <c r="B2117" s="4" t="s">
        <v>376</v>
      </c>
      <c r="C2117" s="5">
        <v>2012</v>
      </c>
      <c r="D2117" s="4">
        <v>0</v>
      </c>
      <c r="E2117" s="4">
        <v>53000000</v>
      </c>
      <c r="F2117" s="4" t="str">
        <f>_xlfn.LET(_xlpm.r, _xlfn.XLOOKUP(Clean_Data[[#This Row],[Country_Code]], Metadata_Country!$A:$A, Metadata_Country!$B:$B, "Unknown"), IF(OR(_xlpm.r=0, _xlpm.r=""), "Regional Aggregate", _xlpm.r))</f>
        <v>Regional Aggregate</v>
      </c>
      <c r="G2117" s="4" t="str">
        <f>_xlfn.LET(_xlpm.ig, _xlfn.XLOOKUP(Clean_Data[[#This Row],[Country_Code]], Metadata_Country!$A:$A, Metadata_Country!$C:$C, "Unknown"), IF(OR(_xlpm.ig=0, _xlpm.ig=""), "Regional Aggregate", _xlpm.ig))</f>
        <v>Regional Aggregate</v>
      </c>
      <c r="H2117" s="4">
        <f>Clean_Data[[#This Row],[Exports_TIV]] - Clean_Data[[#This Row],[Imports_TIV]]</f>
        <v>-53000000</v>
      </c>
      <c r="I2117" s="4">
        <f>Clean_Data[[#This Row],[Exports_TIV]] + Clean_Data[[#This Row],[Imports_TIV]]</f>
        <v>53000000</v>
      </c>
    </row>
    <row r="2118" spans="1:9">
      <c r="A2118" s="4" t="s">
        <v>377</v>
      </c>
      <c r="B2118" s="4" t="s">
        <v>378</v>
      </c>
      <c r="C2118" s="5">
        <v>2012</v>
      </c>
      <c r="D2118" s="4">
        <v>0</v>
      </c>
      <c r="E2118" s="4">
        <v>1024000000</v>
      </c>
      <c r="F2118" s="4" t="str">
        <f>_xlfn.LET(_xlpm.r, _xlfn.XLOOKUP(Clean_Data[[#This Row],[Country_Code]], Metadata_Country!$A:$A, Metadata_Country!$B:$B, "Unknown"), IF(OR(_xlpm.r=0, _xlpm.r=""), "Regional Aggregate", _xlpm.r))</f>
        <v>Middle East &amp; North Africa</v>
      </c>
      <c r="G2118" s="4" t="str">
        <f>_xlfn.LET(_xlpm.ig, _xlfn.XLOOKUP(Clean_Data[[#This Row],[Country_Code]], Metadata_Country!$A:$A, Metadata_Country!$C:$C, "Unknown"), IF(OR(_xlpm.ig=0, _xlpm.ig=""), "Regional Aggregate", _xlpm.ig))</f>
        <v>Lower middle income</v>
      </c>
      <c r="H2118" s="4">
        <f>Clean_Data[[#This Row],[Exports_TIV]] - Clean_Data[[#This Row],[Imports_TIV]]</f>
        <v>-1024000000</v>
      </c>
      <c r="I2118" s="4">
        <f>Clean_Data[[#This Row],[Exports_TIV]] + Clean_Data[[#This Row],[Imports_TIV]]</f>
        <v>1024000000</v>
      </c>
    </row>
    <row r="2119" spans="1:9">
      <c r="A2119" s="4" t="s">
        <v>399</v>
      </c>
      <c r="B2119" s="4" t="s">
        <v>400</v>
      </c>
      <c r="C2119" s="5">
        <v>2012</v>
      </c>
      <c r="D2119" s="4">
        <v>0</v>
      </c>
      <c r="E2119" s="4">
        <v>7000000</v>
      </c>
      <c r="F2119" s="4" t="str">
        <f>_xlfn.LET(_xlpm.r, _xlfn.XLOOKUP(Clean_Data[[#This Row],[Country_Code]], Metadata_Country!$A:$A, Metadata_Country!$B:$B, "Unknown"), IF(OR(_xlpm.r=0, _xlpm.r=""), "Regional Aggregate", _xlpm.r))</f>
        <v>Latin America &amp; Caribbean</v>
      </c>
      <c r="G2119" s="4" t="str">
        <f>_xlfn.LET(_xlpm.ig, _xlfn.XLOOKUP(Clean_Data[[#This Row],[Country_Code]], Metadata_Country!$A:$A, Metadata_Country!$C:$C, "Unknown"), IF(OR(_xlpm.ig=0, _xlpm.ig=""), "Regional Aggregate", _xlpm.ig))</f>
        <v>Upper middle income</v>
      </c>
      <c r="H2119" s="4">
        <f>Clean_Data[[#This Row],[Exports_TIV]] - Clean_Data[[#This Row],[Imports_TIV]]</f>
        <v>-7000000</v>
      </c>
      <c r="I2119" s="4">
        <f>Clean_Data[[#This Row],[Exports_TIV]] + Clean_Data[[#This Row],[Imports_TIV]]</f>
        <v>7000000</v>
      </c>
    </row>
    <row r="2120" spans="1:9">
      <c r="A2120" s="4" t="s">
        <v>381</v>
      </c>
      <c r="B2120" s="4" t="s">
        <v>382</v>
      </c>
      <c r="C2120" s="5">
        <v>2012</v>
      </c>
      <c r="D2120" s="4">
        <v>0</v>
      </c>
      <c r="E2120" s="4">
        <v>5000000</v>
      </c>
      <c r="F2120" s="4" t="str">
        <f>_xlfn.LET(_xlpm.r, _xlfn.XLOOKUP(Clean_Data[[#This Row],[Country_Code]], Metadata_Country!$A:$A, Metadata_Country!$B:$B, "Unknown"), IF(OR(_xlpm.r=0, _xlpm.r=""), "Regional Aggregate", _xlpm.r))</f>
        <v>Latin America &amp; Caribbean</v>
      </c>
      <c r="G2120" s="4" t="str">
        <f>_xlfn.LET(_xlpm.ig, _xlfn.XLOOKUP(Clean_Data[[#This Row],[Country_Code]], Metadata_Country!$A:$A, Metadata_Country!$C:$C, "Unknown"), IF(OR(_xlpm.ig=0, _xlpm.ig=""), "Regional Aggregate", _xlpm.ig))</f>
        <v>Upper middle income</v>
      </c>
      <c r="H2120" s="4">
        <f>Clean_Data[[#This Row],[Exports_TIV]] - Clean_Data[[#This Row],[Imports_TIV]]</f>
        <v>-5000000</v>
      </c>
      <c r="I2120" s="4">
        <f>Clean_Data[[#This Row],[Exports_TIV]] + Clean_Data[[#This Row],[Imports_TIV]]</f>
        <v>5000000</v>
      </c>
    </row>
    <row r="2121" spans="1:9">
      <c r="A2121" s="4" t="s">
        <v>383</v>
      </c>
      <c r="B2121" s="4" t="s">
        <v>384</v>
      </c>
      <c r="C2121" s="5">
        <v>2012</v>
      </c>
      <c r="D2121" s="4">
        <v>0</v>
      </c>
      <c r="E2121" s="4">
        <v>21000000</v>
      </c>
      <c r="F2121" s="4" t="str">
        <f>_xlfn.LET(_xlpm.r, _xlfn.XLOOKUP(Clean_Data[[#This Row],[Country_Code]], Metadata_Country!$A:$A, Metadata_Country!$B:$B, "Unknown"), IF(OR(_xlpm.r=0, _xlpm.r=""), "Regional Aggregate", _xlpm.r))</f>
        <v>East Asia &amp; Pacific</v>
      </c>
      <c r="G2121" s="4" t="str">
        <f>_xlfn.LET(_xlpm.ig, _xlfn.XLOOKUP(Clean_Data[[#This Row],[Country_Code]], Metadata_Country!$A:$A, Metadata_Country!$C:$C, "Unknown"), IF(OR(_xlpm.ig=0, _xlpm.ig=""), "Regional Aggregate", _xlpm.ig))</f>
        <v>Upper middle income</v>
      </c>
      <c r="H2121" s="4">
        <f>Clean_Data[[#This Row],[Exports_TIV]] - Clean_Data[[#This Row],[Imports_TIV]]</f>
        <v>-21000000</v>
      </c>
      <c r="I2121" s="4">
        <f>Clean_Data[[#This Row],[Exports_TIV]] + Clean_Data[[#This Row],[Imports_TIV]]</f>
        <v>21000000</v>
      </c>
    </row>
    <row r="2122" spans="1:9">
      <c r="A2122" s="4" t="s">
        <v>389</v>
      </c>
      <c r="B2122" s="4" t="s">
        <v>390</v>
      </c>
      <c r="C2122" s="5">
        <v>2012</v>
      </c>
      <c r="D2122" s="4">
        <v>31000000</v>
      </c>
      <c r="E2122" s="4">
        <v>227000000</v>
      </c>
      <c r="F2122" s="4" t="str">
        <f>_xlfn.LET(_xlpm.r, _xlfn.XLOOKUP(Clean_Data[[#This Row],[Country_Code]], Metadata_Country!$A:$A, Metadata_Country!$B:$B, "Unknown"), IF(OR(_xlpm.r=0, _xlpm.r=""), "Regional Aggregate", _xlpm.r))</f>
        <v>Europe &amp; Central Asia</v>
      </c>
      <c r="G2122" s="4" t="str">
        <f>_xlfn.LET(_xlpm.ig, _xlfn.XLOOKUP(Clean_Data[[#This Row],[Country_Code]], Metadata_Country!$A:$A, Metadata_Country!$C:$C, "Unknown"), IF(OR(_xlpm.ig=0, _xlpm.ig=""), "Regional Aggregate", _xlpm.ig))</f>
        <v>High income</v>
      </c>
      <c r="H2122" s="4">
        <f>Clean_Data[[#This Row],[Exports_TIV]] - Clean_Data[[#This Row],[Imports_TIV]]</f>
        <v>-196000000</v>
      </c>
      <c r="I2122" s="4">
        <f>Clean_Data[[#This Row],[Exports_TIV]] + Clean_Data[[#This Row],[Imports_TIV]]</f>
        <v>258000000</v>
      </c>
    </row>
    <row r="2123" spans="1:9">
      <c r="A2123" s="4" t="s">
        <v>397</v>
      </c>
      <c r="B2123" s="4" t="s">
        <v>398</v>
      </c>
      <c r="C2123" s="5">
        <v>2012</v>
      </c>
      <c r="D2123" s="4">
        <v>0</v>
      </c>
      <c r="E2123" s="4">
        <v>42000000</v>
      </c>
      <c r="F2123" s="4" t="str">
        <f>_xlfn.LET(_xlpm.r, _xlfn.XLOOKUP(Clean_Data[[#This Row],[Country_Code]], Metadata_Country!$A:$A, Metadata_Country!$B:$B, "Unknown"), IF(OR(_xlpm.r=0, _xlpm.r=""), "Regional Aggregate", _xlpm.r))</f>
        <v>Europe &amp; Central Asia</v>
      </c>
      <c r="G2123" s="4" t="str">
        <f>_xlfn.LET(_xlpm.ig, _xlfn.XLOOKUP(Clean_Data[[#This Row],[Country_Code]], Metadata_Country!$A:$A, Metadata_Country!$C:$C, "Unknown"), IF(OR(_xlpm.ig=0, _xlpm.ig=""), "Regional Aggregate", _xlpm.ig))</f>
        <v>High income</v>
      </c>
      <c r="H2123" s="4">
        <f>Clean_Data[[#This Row],[Exports_TIV]] - Clean_Data[[#This Row],[Imports_TIV]]</f>
        <v>-42000000</v>
      </c>
      <c r="I2123" s="4">
        <f>Clean_Data[[#This Row],[Exports_TIV]] + Clean_Data[[#This Row],[Imports_TIV]]</f>
        <v>42000000</v>
      </c>
    </row>
    <row r="2124" spans="1:9">
      <c r="A2124" s="4" t="s">
        <v>405</v>
      </c>
      <c r="B2124" s="4" t="s">
        <v>406</v>
      </c>
      <c r="C2124" s="5">
        <v>2012</v>
      </c>
      <c r="D2124" s="4">
        <v>17004000000</v>
      </c>
      <c r="E2124" s="4">
        <v>6405000000</v>
      </c>
      <c r="F2124" s="4" t="str">
        <f>_xlfn.LET(_xlpm.r, _xlfn.XLOOKUP(Clean_Data[[#This Row],[Country_Code]], Metadata_Country!$A:$A, Metadata_Country!$B:$B, "Unknown"), IF(OR(_xlpm.r=0, _xlpm.r=""), "Regional Aggregate", _xlpm.r))</f>
        <v>Regional Aggregate</v>
      </c>
      <c r="G2124" s="4" t="str">
        <f>_xlfn.LET(_xlpm.ig, _xlfn.XLOOKUP(Clean_Data[[#This Row],[Country_Code]], Metadata_Country!$A:$A, Metadata_Country!$C:$C, "Unknown"), IF(OR(_xlpm.ig=0, _xlpm.ig=""), "Regional Aggregate", _xlpm.ig))</f>
        <v>Regional Aggregate</v>
      </c>
      <c r="H2124" s="4">
        <f>Clean_Data[[#This Row],[Exports_TIV]] - Clean_Data[[#This Row],[Imports_TIV]]</f>
        <v>10599000000</v>
      </c>
      <c r="I2124" s="4">
        <f>Clean_Data[[#This Row],[Exports_TIV]] + Clean_Data[[#This Row],[Imports_TIV]]</f>
        <v>23409000000</v>
      </c>
    </row>
    <row r="2125" spans="1:9">
      <c r="A2125" s="4" t="s">
        <v>391</v>
      </c>
      <c r="B2125" s="4" t="s">
        <v>392</v>
      </c>
      <c r="C2125" s="5">
        <v>2012</v>
      </c>
      <c r="D2125" s="4">
        <v>0</v>
      </c>
      <c r="E2125" s="4">
        <v>1815000000</v>
      </c>
      <c r="F2125" s="4" t="str">
        <f>_xlfn.LET(_xlpm.r, _xlfn.XLOOKUP(Clean_Data[[#This Row],[Country_Code]], Metadata_Country!$A:$A, Metadata_Country!$B:$B, "Unknown"), IF(OR(_xlpm.r=0, _xlpm.r=""), "Regional Aggregate", _xlpm.r))</f>
        <v>Regional Aggregate</v>
      </c>
      <c r="G2125" s="4" t="str">
        <f>_xlfn.LET(_xlpm.ig, _xlfn.XLOOKUP(Clean_Data[[#This Row],[Country_Code]], Metadata_Country!$A:$A, Metadata_Country!$C:$C, "Unknown"), IF(OR(_xlpm.ig=0, _xlpm.ig=""), "Regional Aggregate", _xlpm.ig))</f>
        <v>Regional Aggregate</v>
      </c>
      <c r="H2125" s="4">
        <f>Clean_Data[[#This Row],[Exports_TIV]] - Clean_Data[[#This Row],[Imports_TIV]]</f>
        <v>-1815000000</v>
      </c>
      <c r="I2125" s="4">
        <f>Clean_Data[[#This Row],[Exports_TIV]] + Clean_Data[[#This Row],[Imports_TIV]]</f>
        <v>1815000000</v>
      </c>
    </row>
    <row r="2126" spans="1:9">
      <c r="A2126" s="4" t="s">
        <v>409</v>
      </c>
      <c r="B2126" s="4" t="s">
        <v>410</v>
      </c>
      <c r="C2126" s="5">
        <v>2012</v>
      </c>
      <c r="D2126" s="4">
        <v>0</v>
      </c>
      <c r="E2126" s="4">
        <v>335000000</v>
      </c>
      <c r="F2126" s="4" t="str">
        <f>_xlfn.LET(_xlpm.r, _xlfn.XLOOKUP(Clean_Data[[#This Row],[Country_Code]], Metadata_Country!$A:$A, Metadata_Country!$B:$B, "Unknown"), IF(OR(_xlpm.r=0, _xlpm.r=""), "Regional Aggregate", _xlpm.r))</f>
        <v>Middle East &amp; North Africa</v>
      </c>
      <c r="G2126" s="4" t="str">
        <f>_xlfn.LET(_xlpm.ig, _xlfn.XLOOKUP(Clean_Data[[#This Row],[Country_Code]], Metadata_Country!$A:$A, Metadata_Country!$C:$C, "Unknown"), IF(OR(_xlpm.ig=0, _xlpm.ig=""), "Regional Aggregate", _xlpm.ig))</f>
        <v>High income</v>
      </c>
      <c r="H2126" s="4">
        <f>Clean_Data[[#This Row],[Exports_TIV]] - Clean_Data[[#This Row],[Imports_TIV]]</f>
        <v>-335000000</v>
      </c>
      <c r="I2126" s="4">
        <f>Clean_Data[[#This Row],[Exports_TIV]] + Clean_Data[[#This Row],[Imports_TIV]]</f>
        <v>335000000</v>
      </c>
    </row>
    <row r="2127" spans="1:9">
      <c r="A2127" s="4" t="s">
        <v>411</v>
      </c>
      <c r="B2127" s="4" t="s">
        <v>412</v>
      </c>
      <c r="C2127" s="5">
        <v>2012</v>
      </c>
      <c r="D2127" s="4">
        <v>0</v>
      </c>
      <c r="E2127" s="4">
        <v>21000000</v>
      </c>
      <c r="F2127" s="4" t="str">
        <f>_xlfn.LET(_xlpm.r, _xlfn.XLOOKUP(Clean_Data[[#This Row],[Country_Code]], Metadata_Country!$A:$A, Metadata_Country!$B:$B, "Unknown"), IF(OR(_xlpm.r=0, _xlpm.r=""), "Regional Aggregate", _xlpm.r))</f>
        <v>Europe &amp; Central Asia</v>
      </c>
      <c r="G2127" s="4" t="str">
        <f>_xlfn.LET(_xlpm.ig, _xlfn.XLOOKUP(Clean_Data[[#This Row],[Country_Code]], Metadata_Country!$A:$A, Metadata_Country!$C:$C, "Unknown"), IF(OR(_xlpm.ig=0, _xlpm.ig=""), "Regional Aggregate", _xlpm.ig))</f>
        <v>High income</v>
      </c>
      <c r="H2127" s="4">
        <f>Clean_Data[[#This Row],[Exports_TIV]] - Clean_Data[[#This Row],[Imports_TIV]]</f>
        <v>-21000000</v>
      </c>
      <c r="I2127" s="4">
        <f>Clean_Data[[#This Row],[Exports_TIV]] + Clean_Data[[#This Row],[Imports_TIV]]</f>
        <v>21000000</v>
      </c>
    </row>
    <row r="2128" spans="1:9">
      <c r="A2128" s="4" t="s">
        <v>413</v>
      </c>
      <c r="B2128" s="4" t="s">
        <v>414</v>
      </c>
      <c r="C2128" s="5">
        <v>2012</v>
      </c>
      <c r="D2128" s="4">
        <v>8335000000</v>
      </c>
      <c r="E2128" s="4">
        <v>121000000</v>
      </c>
      <c r="F2128" s="4" t="str">
        <f>_xlfn.LET(_xlpm.r, _xlfn.XLOOKUP(Clean_Data[[#This Row],[Country_Code]], Metadata_Country!$A:$A, Metadata_Country!$B:$B, "Unknown"), IF(OR(_xlpm.r=0, _xlpm.r=""), "Regional Aggregate", _xlpm.r))</f>
        <v>Europe &amp; Central Asia</v>
      </c>
      <c r="G2128" s="4" t="str">
        <f>_xlfn.LET(_xlpm.ig, _xlfn.XLOOKUP(Clean_Data[[#This Row],[Country_Code]], Metadata_Country!$A:$A, Metadata_Country!$C:$C, "Unknown"), IF(OR(_xlpm.ig=0, _xlpm.ig=""), "Regional Aggregate", _xlpm.ig))</f>
        <v>High income</v>
      </c>
      <c r="H2128" s="4">
        <f>Clean_Data[[#This Row],[Exports_TIV]] - Clean_Data[[#This Row],[Imports_TIV]]</f>
        <v>8214000000</v>
      </c>
      <c r="I2128" s="4">
        <f>Clean_Data[[#This Row],[Exports_TIV]] + Clean_Data[[#This Row],[Imports_TIV]]</f>
        <v>8456000000</v>
      </c>
    </row>
    <row r="2129" spans="1:9">
      <c r="A2129" s="4" t="s">
        <v>415</v>
      </c>
      <c r="B2129" s="4" t="s">
        <v>416</v>
      </c>
      <c r="C2129" s="5">
        <v>2012</v>
      </c>
      <c r="D2129" s="4">
        <v>0</v>
      </c>
      <c r="E2129" s="4">
        <v>5000000</v>
      </c>
      <c r="F2129" s="4" t="str">
        <f>_xlfn.LET(_xlpm.r, _xlfn.XLOOKUP(Clean_Data[[#This Row],[Country_Code]], Metadata_Country!$A:$A, Metadata_Country!$B:$B, "Unknown"), IF(OR(_xlpm.r=0, _xlpm.r=""), "Regional Aggregate", _xlpm.r))</f>
        <v>Sub-Saharan Africa</v>
      </c>
      <c r="G2129" s="4" t="str">
        <f>_xlfn.LET(_xlpm.ig, _xlfn.XLOOKUP(Clean_Data[[#This Row],[Country_Code]], Metadata_Country!$A:$A, Metadata_Country!$C:$C, "Unknown"), IF(OR(_xlpm.ig=0, _xlpm.ig=""), "Regional Aggregate", _xlpm.ig))</f>
        <v>Low income</v>
      </c>
      <c r="H2129" s="4">
        <f>Clean_Data[[#This Row],[Exports_TIV]] - Clean_Data[[#This Row],[Imports_TIV]]</f>
        <v>-5000000</v>
      </c>
      <c r="I2129" s="4">
        <f>Clean_Data[[#This Row],[Exports_TIV]] + Clean_Data[[#This Row],[Imports_TIV]]</f>
        <v>5000000</v>
      </c>
    </row>
    <row r="2130" spans="1:9">
      <c r="A2130" s="4" t="s">
        <v>419</v>
      </c>
      <c r="B2130" s="4" t="s">
        <v>420</v>
      </c>
      <c r="C2130" s="5">
        <v>2012</v>
      </c>
      <c r="D2130" s="4">
        <v>0</v>
      </c>
      <c r="E2130" s="4">
        <v>835000000</v>
      </c>
      <c r="F2130" s="4" t="str">
        <f>_xlfn.LET(_xlpm.r, _xlfn.XLOOKUP(Clean_Data[[#This Row],[Country_Code]], Metadata_Country!$A:$A, Metadata_Country!$B:$B, "Unknown"), IF(OR(_xlpm.r=0, _xlpm.r=""), "Regional Aggregate", _xlpm.r))</f>
        <v>Middle East &amp; North Africa</v>
      </c>
      <c r="G2130" s="4" t="str">
        <f>_xlfn.LET(_xlpm.ig, _xlfn.XLOOKUP(Clean_Data[[#This Row],[Country_Code]], Metadata_Country!$A:$A, Metadata_Country!$C:$C, "Unknown"), IF(OR(_xlpm.ig=0, _xlpm.ig=""), "Regional Aggregate", _xlpm.ig))</f>
        <v>High income</v>
      </c>
      <c r="H2130" s="4">
        <f>Clean_Data[[#This Row],[Exports_TIV]] - Clean_Data[[#This Row],[Imports_TIV]]</f>
        <v>-835000000</v>
      </c>
      <c r="I2130" s="4">
        <f>Clean_Data[[#This Row],[Exports_TIV]] + Clean_Data[[#This Row],[Imports_TIV]]</f>
        <v>835000000</v>
      </c>
    </row>
    <row r="2131" spans="1:9">
      <c r="A2131" s="4" t="s">
        <v>437</v>
      </c>
      <c r="B2131" s="4" t="s">
        <v>438</v>
      </c>
      <c r="C2131" s="5">
        <v>2012</v>
      </c>
      <c r="D2131" s="4">
        <v>15000000</v>
      </c>
      <c r="E2131" s="4">
        <v>0</v>
      </c>
      <c r="F2131" s="4" t="str">
        <f>_xlfn.LET(_xlpm.r, _xlfn.XLOOKUP(Clean_Data[[#This Row],[Country_Code]], Metadata_Country!$A:$A, Metadata_Country!$B:$B, "Unknown"), IF(OR(_xlpm.r=0, _xlpm.r=""), "Regional Aggregate", _xlpm.r))</f>
        <v>Europe &amp; Central Asia</v>
      </c>
      <c r="G2131" s="4" t="str">
        <f>_xlfn.LET(_xlpm.ig, _xlfn.XLOOKUP(Clean_Data[[#This Row],[Country_Code]], Metadata_Country!$A:$A, Metadata_Country!$C:$C, "Unknown"), IF(OR(_xlpm.ig=0, _xlpm.ig=""), "Regional Aggregate", _xlpm.ig))</f>
        <v>Upper middle income</v>
      </c>
      <c r="H2131" s="4">
        <f>Clean_Data[[#This Row],[Exports_TIV]] - Clean_Data[[#This Row],[Imports_TIV]]</f>
        <v>15000000</v>
      </c>
      <c r="I2131" s="4">
        <f>Clean_Data[[#This Row],[Exports_TIV]] + Clean_Data[[#This Row],[Imports_TIV]]</f>
        <v>15000000</v>
      </c>
    </row>
    <row r="2132" spans="1:9">
      <c r="A2132" s="4" t="s">
        <v>429</v>
      </c>
      <c r="B2132" s="4" t="s">
        <v>430</v>
      </c>
      <c r="C2132" s="5">
        <v>2012</v>
      </c>
      <c r="D2132" s="4">
        <v>0</v>
      </c>
      <c r="E2132" s="4">
        <v>0</v>
      </c>
      <c r="F2132" s="4" t="str">
        <f>_xlfn.LET(_xlpm.r, _xlfn.XLOOKUP(Clean_Data[[#This Row],[Country_Code]], Metadata_Country!$A:$A, Metadata_Country!$B:$B, "Unknown"), IF(OR(_xlpm.r=0, _xlpm.r=""), "Regional Aggregate", _xlpm.r))</f>
        <v>Sub-Saharan Africa</v>
      </c>
      <c r="G2132" s="4" t="str">
        <f>_xlfn.LET(_xlpm.ig, _xlfn.XLOOKUP(Clean_Data[[#This Row],[Country_Code]], Metadata_Country!$A:$A, Metadata_Country!$C:$C, "Unknown"), IF(OR(_xlpm.ig=0, _xlpm.ig=""), "Regional Aggregate", _xlpm.ig))</f>
        <v>Low income</v>
      </c>
      <c r="H2132" s="4">
        <f>Clean_Data[[#This Row],[Exports_TIV]] - Clean_Data[[#This Row],[Imports_TIV]]</f>
        <v>0</v>
      </c>
      <c r="I2132" s="4">
        <f>Clean_Data[[#This Row],[Exports_TIV]] + Clean_Data[[#This Row],[Imports_TIV]]</f>
        <v>0</v>
      </c>
    </row>
    <row r="2133" spans="1:9">
      <c r="A2133" s="4" t="s">
        <v>425</v>
      </c>
      <c r="B2133" s="4" t="s">
        <v>426</v>
      </c>
      <c r="C2133" s="5">
        <v>2012</v>
      </c>
      <c r="D2133" s="4">
        <v>79000000</v>
      </c>
      <c r="E2133" s="4">
        <v>746000000</v>
      </c>
      <c r="F2133" s="4" t="str">
        <f>_xlfn.LET(_xlpm.r, _xlfn.XLOOKUP(Clean_Data[[#This Row],[Country_Code]], Metadata_Country!$A:$A, Metadata_Country!$B:$B, "Unknown"), IF(OR(_xlpm.r=0, _xlpm.r=""), "Regional Aggregate", _xlpm.r))</f>
        <v>East Asia &amp; Pacific</v>
      </c>
      <c r="G2133" s="4" t="str">
        <f>_xlfn.LET(_xlpm.ig, _xlfn.XLOOKUP(Clean_Data[[#This Row],[Country_Code]], Metadata_Country!$A:$A, Metadata_Country!$C:$C, "Unknown"), IF(OR(_xlpm.ig=0, _xlpm.ig=""), "Regional Aggregate", _xlpm.ig))</f>
        <v>High income</v>
      </c>
      <c r="H2133" s="4">
        <f>Clean_Data[[#This Row],[Exports_TIV]] - Clean_Data[[#This Row],[Imports_TIV]]</f>
        <v>-667000000</v>
      </c>
      <c r="I2133" s="4">
        <f>Clean_Data[[#This Row],[Exports_TIV]] + Clean_Data[[#This Row],[Imports_TIV]]</f>
        <v>825000000</v>
      </c>
    </row>
    <row r="2134" spans="1:9">
      <c r="A2134" s="4" t="s">
        <v>451</v>
      </c>
      <c r="B2134" s="4" t="s">
        <v>452</v>
      </c>
      <c r="C2134" s="5">
        <v>2012</v>
      </c>
      <c r="D2134" s="4">
        <v>5000000</v>
      </c>
      <c r="E2134" s="4">
        <v>2000000</v>
      </c>
      <c r="F2134" s="4" t="str">
        <f>_xlfn.LET(_xlpm.r, _xlfn.XLOOKUP(Clean_Data[[#This Row],[Country_Code]], Metadata_Country!$A:$A, Metadata_Country!$B:$B, "Unknown"), IF(OR(_xlpm.r=0, _xlpm.r=""), "Regional Aggregate", _xlpm.r))</f>
        <v>Europe &amp; Central Asia</v>
      </c>
      <c r="G2134" s="4" t="str">
        <f>_xlfn.LET(_xlpm.ig, _xlfn.XLOOKUP(Clean_Data[[#This Row],[Country_Code]], Metadata_Country!$A:$A, Metadata_Country!$C:$C, "Unknown"), IF(OR(_xlpm.ig=0, _xlpm.ig=""), "Regional Aggregate", _xlpm.ig))</f>
        <v>High income</v>
      </c>
      <c r="H2134" s="4">
        <f>Clean_Data[[#This Row],[Exports_TIV]] - Clean_Data[[#This Row],[Imports_TIV]]</f>
        <v>3000000</v>
      </c>
      <c r="I2134" s="4">
        <f>Clean_Data[[#This Row],[Exports_TIV]] + Clean_Data[[#This Row],[Imports_TIV]]</f>
        <v>7000000</v>
      </c>
    </row>
    <row r="2135" spans="1:9">
      <c r="A2135" s="4" t="s">
        <v>445</v>
      </c>
      <c r="B2135" s="4" t="s">
        <v>446</v>
      </c>
      <c r="C2135" s="5">
        <v>2012</v>
      </c>
      <c r="D2135" s="4">
        <v>0</v>
      </c>
      <c r="E2135" s="4">
        <v>65000000</v>
      </c>
      <c r="F2135" s="4" t="str">
        <f>_xlfn.LET(_xlpm.r, _xlfn.XLOOKUP(Clean_Data[[#This Row],[Country_Code]], Metadata_Country!$A:$A, Metadata_Country!$B:$B, "Unknown"), IF(OR(_xlpm.r=0, _xlpm.r=""), "Regional Aggregate", _xlpm.r))</f>
        <v>Regional Aggregate</v>
      </c>
      <c r="G2135" s="4" t="str">
        <f>_xlfn.LET(_xlpm.ig, _xlfn.XLOOKUP(Clean_Data[[#This Row],[Country_Code]], Metadata_Country!$A:$A, Metadata_Country!$C:$C, "Unknown"), IF(OR(_xlpm.ig=0, _xlpm.ig=""), "Regional Aggregate", _xlpm.ig))</f>
        <v>Regional Aggregate</v>
      </c>
      <c r="H2135" s="4">
        <f>Clean_Data[[#This Row],[Exports_TIV]] - Clean_Data[[#This Row],[Imports_TIV]]</f>
        <v>-65000000</v>
      </c>
      <c r="I2135" s="4">
        <f>Clean_Data[[#This Row],[Exports_TIV]] + Clean_Data[[#This Row],[Imports_TIV]]</f>
        <v>65000000</v>
      </c>
    </row>
    <row r="2136" spans="1:9">
      <c r="A2136" s="4" t="s">
        <v>535</v>
      </c>
      <c r="B2136" s="4" t="s">
        <v>536</v>
      </c>
      <c r="C2136" s="5">
        <v>2012</v>
      </c>
      <c r="D2136" s="4">
        <v>193000000</v>
      </c>
      <c r="E2136" s="4">
        <v>127000000</v>
      </c>
      <c r="F2136" s="4" t="str">
        <f>_xlfn.LET(_xlpm.r, _xlfn.XLOOKUP(Clean_Data[[#This Row],[Country_Code]], Metadata_Country!$A:$A, Metadata_Country!$B:$B, "Unknown"), IF(OR(_xlpm.r=0, _xlpm.r=""), "Regional Aggregate", _xlpm.r))</f>
        <v>Sub-Saharan Africa</v>
      </c>
      <c r="G2136" s="4" t="str">
        <f>_xlfn.LET(_xlpm.ig, _xlfn.XLOOKUP(Clean_Data[[#This Row],[Country_Code]], Metadata_Country!$A:$A, Metadata_Country!$C:$C, "Unknown"), IF(OR(_xlpm.ig=0, _xlpm.ig=""), "Regional Aggregate", _xlpm.ig))</f>
        <v>Upper middle income</v>
      </c>
      <c r="H2136" s="4">
        <f>Clean_Data[[#This Row],[Exports_TIV]] - Clean_Data[[#This Row],[Imports_TIV]]</f>
        <v>66000000</v>
      </c>
      <c r="I2136" s="4">
        <f>Clean_Data[[#This Row],[Exports_TIV]] + Clean_Data[[#This Row],[Imports_TIV]]</f>
        <v>320000000</v>
      </c>
    </row>
    <row r="2137" spans="1:9">
      <c r="A2137" s="4" t="s">
        <v>417</v>
      </c>
      <c r="B2137" s="4" t="s">
        <v>418</v>
      </c>
      <c r="C2137" s="5">
        <v>2012</v>
      </c>
      <c r="D2137" s="4">
        <v>0</v>
      </c>
      <c r="E2137" s="4">
        <v>4705000000</v>
      </c>
      <c r="F2137" s="4" t="str">
        <f>_xlfn.LET(_xlpm.r, _xlfn.XLOOKUP(Clean_Data[[#This Row],[Country_Code]], Metadata_Country!$A:$A, Metadata_Country!$B:$B, "Unknown"), IF(OR(_xlpm.r=0, _xlpm.r=""), "Regional Aggregate", _xlpm.r))</f>
        <v>Regional Aggregate</v>
      </c>
      <c r="G2137" s="4" t="str">
        <f>_xlfn.LET(_xlpm.ig, _xlfn.XLOOKUP(Clean_Data[[#This Row],[Country_Code]], Metadata_Country!$A:$A, Metadata_Country!$C:$C, "Unknown"), IF(OR(_xlpm.ig=0, _xlpm.ig=""), "Regional Aggregate", _xlpm.ig))</f>
        <v>Regional Aggregate</v>
      </c>
      <c r="H2137" s="4">
        <f>Clean_Data[[#This Row],[Exports_TIV]] - Clean_Data[[#This Row],[Imports_TIV]]</f>
        <v>-4705000000</v>
      </c>
      <c r="I2137" s="4">
        <f>Clean_Data[[#This Row],[Exports_TIV]] + Clean_Data[[#This Row],[Imports_TIV]]</f>
        <v>4705000000</v>
      </c>
    </row>
    <row r="2138" spans="1:9">
      <c r="A2138" s="4" t="s">
        <v>489</v>
      </c>
      <c r="B2138" s="4" t="s">
        <v>490</v>
      </c>
      <c r="C2138" s="5">
        <v>2012</v>
      </c>
      <c r="D2138" s="4">
        <v>0</v>
      </c>
      <c r="E2138" s="4">
        <v>4705000000</v>
      </c>
      <c r="F2138" s="4" t="str">
        <f>_xlfn.LET(_xlpm.r, _xlfn.XLOOKUP(Clean_Data[[#This Row],[Country_Code]], Metadata_Country!$A:$A, Metadata_Country!$B:$B, "Unknown"), IF(OR(_xlpm.r=0, _xlpm.r=""), "Regional Aggregate", _xlpm.r))</f>
        <v>Regional Aggregate</v>
      </c>
      <c r="G2138" s="4" t="str">
        <f>_xlfn.LET(_xlpm.ig, _xlfn.XLOOKUP(Clean_Data[[#This Row],[Country_Code]], Metadata_Country!$A:$A, Metadata_Country!$C:$C, "Unknown"), IF(OR(_xlpm.ig=0, _xlpm.ig=""), "Regional Aggregate", _xlpm.ig))</f>
        <v>Regional Aggregate</v>
      </c>
      <c r="H2138" s="4">
        <f>Clean_Data[[#This Row],[Exports_TIV]] - Clean_Data[[#This Row],[Imports_TIV]]</f>
        <v>-4705000000</v>
      </c>
      <c r="I2138" s="4">
        <f>Clean_Data[[#This Row],[Exports_TIV]] + Clean_Data[[#This Row],[Imports_TIV]]</f>
        <v>4705000000</v>
      </c>
    </row>
    <row r="2139" spans="1:9">
      <c r="A2139" s="4" t="s">
        <v>441</v>
      </c>
      <c r="B2139" s="4" t="s">
        <v>442</v>
      </c>
      <c r="C2139" s="5">
        <v>2012</v>
      </c>
      <c r="D2139" s="4">
        <v>0</v>
      </c>
      <c r="E2139" s="4">
        <v>2000000</v>
      </c>
      <c r="F2139" s="4" t="str">
        <f>_xlfn.LET(_xlpm.r, _xlfn.XLOOKUP(Clean_Data[[#This Row],[Country_Code]], Metadata_Country!$A:$A, Metadata_Country!$B:$B, "Unknown"), IF(OR(_xlpm.r=0, _xlpm.r=""), "Regional Aggregate", _xlpm.r))</f>
        <v>Sub-Saharan Africa</v>
      </c>
      <c r="G2139" s="4" t="str">
        <f>_xlfn.LET(_xlpm.ig, _xlfn.XLOOKUP(Clean_Data[[#This Row],[Country_Code]], Metadata_Country!$A:$A, Metadata_Country!$C:$C, "Unknown"), IF(OR(_xlpm.ig=0, _xlpm.ig=""), "Regional Aggregate", _xlpm.ig))</f>
        <v>Low income</v>
      </c>
      <c r="H2139" s="4">
        <f>Clean_Data[[#This Row],[Exports_TIV]] - Clean_Data[[#This Row],[Imports_TIV]]</f>
        <v>-2000000</v>
      </c>
      <c r="I2139" s="4">
        <f>Clean_Data[[#This Row],[Exports_TIV]] + Clean_Data[[#This Row],[Imports_TIV]]</f>
        <v>2000000</v>
      </c>
    </row>
    <row r="2140" spans="1:9">
      <c r="A2140" s="4" t="s">
        <v>149</v>
      </c>
      <c r="B2140" s="4" t="s">
        <v>150</v>
      </c>
      <c r="C2140" s="5">
        <v>2012</v>
      </c>
      <c r="D2140" s="4">
        <v>266000000</v>
      </c>
      <c r="E2140" s="4">
        <v>219000000</v>
      </c>
      <c r="F2140" s="4" t="str">
        <f>_xlfn.LET(_xlpm.r, _xlfn.XLOOKUP(Clean_Data[[#This Row],[Country_Code]], Metadata_Country!$A:$A, Metadata_Country!$B:$B, "Unknown"), IF(OR(_xlpm.r=0, _xlpm.r=""), "Regional Aggregate", _xlpm.r))</f>
        <v>Europe &amp; Central Asia</v>
      </c>
      <c r="G2140" s="4" t="str">
        <f>_xlfn.LET(_xlpm.ig, _xlfn.XLOOKUP(Clean_Data[[#This Row],[Country_Code]], Metadata_Country!$A:$A, Metadata_Country!$C:$C, "Unknown"), IF(OR(_xlpm.ig=0, _xlpm.ig=""), "Regional Aggregate", _xlpm.ig))</f>
        <v>High income</v>
      </c>
      <c r="H2140" s="4">
        <f>Clean_Data[[#This Row],[Exports_TIV]] - Clean_Data[[#This Row],[Imports_TIV]]</f>
        <v>47000000</v>
      </c>
      <c r="I2140" s="4">
        <f>Clean_Data[[#This Row],[Exports_TIV]] + Clean_Data[[#This Row],[Imports_TIV]]</f>
        <v>485000000</v>
      </c>
    </row>
    <row r="2141" spans="1:9">
      <c r="A2141" s="4" t="s">
        <v>443</v>
      </c>
      <c r="B2141" s="4" t="s">
        <v>444</v>
      </c>
      <c r="C2141" s="5">
        <v>2012</v>
      </c>
      <c r="D2141" s="4">
        <v>0</v>
      </c>
      <c r="E2141" s="4">
        <v>1212000000</v>
      </c>
      <c r="F2141" s="4" t="str">
        <f>_xlfn.LET(_xlpm.r, _xlfn.XLOOKUP(Clean_Data[[#This Row],[Country_Code]], Metadata_Country!$A:$A, Metadata_Country!$B:$B, "Unknown"), IF(OR(_xlpm.r=0, _xlpm.r=""), "Regional Aggregate", _xlpm.r))</f>
        <v>Regional Aggregate</v>
      </c>
      <c r="G2141" s="4" t="str">
        <f>_xlfn.LET(_xlpm.ig, _xlfn.XLOOKUP(Clean_Data[[#This Row],[Country_Code]], Metadata_Country!$A:$A, Metadata_Country!$C:$C, "Unknown"), IF(OR(_xlpm.ig=0, _xlpm.ig=""), "Regional Aggregate", _xlpm.ig))</f>
        <v>Regional Aggregate</v>
      </c>
      <c r="H2141" s="4">
        <f>Clean_Data[[#This Row],[Exports_TIV]] - Clean_Data[[#This Row],[Imports_TIV]]</f>
        <v>-1212000000</v>
      </c>
      <c r="I2141" s="4">
        <f>Clean_Data[[#This Row],[Exports_TIV]] + Clean_Data[[#This Row],[Imports_TIV]]</f>
        <v>1212000000</v>
      </c>
    </row>
    <row r="2142" spans="1:9">
      <c r="A2142" s="4" t="s">
        <v>439</v>
      </c>
      <c r="B2142" s="4" t="s">
        <v>440</v>
      </c>
      <c r="C2142" s="5">
        <v>2012</v>
      </c>
      <c r="D2142" s="4">
        <v>0</v>
      </c>
      <c r="E2142" s="4">
        <v>1212000000</v>
      </c>
      <c r="F2142" s="4" t="str">
        <f>_xlfn.LET(_xlpm.r, _xlfn.XLOOKUP(Clean_Data[[#This Row],[Country_Code]], Metadata_Country!$A:$A, Metadata_Country!$B:$B, "Unknown"), IF(OR(_xlpm.r=0, _xlpm.r=""), "Regional Aggregate", _xlpm.r))</f>
        <v>Regional Aggregate</v>
      </c>
      <c r="G2142" s="4" t="str">
        <f>_xlfn.LET(_xlpm.ig, _xlfn.XLOOKUP(Clean_Data[[#This Row],[Country_Code]], Metadata_Country!$A:$A, Metadata_Country!$C:$C, "Unknown"), IF(OR(_xlpm.ig=0, _xlpm.ig=""), "Regional Aggregate", _xlpm.ig))</f>
        <v>Regional Aggregate</v>
      </c>
      <c r="H2142" s="4">
        <f>Clean_Data[[#This Row],[Exports_TIV]] - Clean_Data[[#This Row],[Imports_TIV]]</f>
        <v>-1212000000</v>
      </c>
      <c r="I2142" s="4">
        <f>Clean_Data[[#This Row],[Exports_TIV]] + Clean_Data[[#This Row],[Imports_TIV]]</f>
        <v>1212000000</v>
      </c>
    </row>
    <row r="2143" spans="1:9">
      <c r="A2143" s="4" t="s">
        <v>491</v>
      </c>
      <c r="B2143" s="4" t="s">
        <v>492</v>
      </c>
      <c r="C2143" s="5">
        <v>2012</v>
      </c>
      <c r="D2143" s="4">
        <v>0</v>
      </c>
      <c r="E2143" s="4">
        <v>1212000000</v>
      </c>
      <c r="F2143" s="4" t="str">
        <f>_xlfn.LET(_xlpm.r, _xlfn.XLOOKUP(Clean_Data[[#This Row],[Country_Code]], Metadata_Country!$A:$A, Metadata_Country!$B:$B, "Unknown"), IF(OR(_xlpm.r=0, _xlpm.r=""), "Regional Aggregate", _xlpm.r))</f>
        <v>Regional Aggregate</v>
      </c>
      <c r="G2143" s="4" t="str">
        <f>_xlfn.LET(_xlpm.ig, _xlfn.XLOOKUP(Clean_Data[[#This Row],[Country_Code]], Metadata_Country!$A:$A, Metadata_Country!$C:$C, "Unknown"), IF(OR(_xlpm.ig=0, _xlpm.ig=""), "Regional Aggregate", _xlpm.ig))</f>
        <v>Regional Aggregate</v>
      </c>
      <c r="H2143" s="4">
        <f>Clean_Data[[#This Row],[Exports_TIV]] - Clean_Data[[#This Row],[Imports_TIV]]</f>
        <v>-1212000000</v>
      </c>
      <c r="I2143" s="4">
        <f>Clean_Data[[#This Row],[Exports_TIV]] + Clean_Data[[#This Row],[Imports_TIV]]</f>
        <v>1212000000</v>
      </c>
    </row>
    <row r="2144" spans="1:9">
      <c r="A2144" s="4" t="s">
        <v>421</v>
      </c>
      <c r="B2144" s="4" t="s">
        <v>422</v>
      </c>
      <c r="C2144" s="5">
        <v>2012</v>
      </c>
      <c r="D2144" s="4">
        <v>0</v>
      </c>
      <c r="E2144" s="4">
        <v>119000000</v>
      </c>
      <c r="F2144" s="4" t="str">
        <f>_xlfn.LET(_xlpm.r, _xlfn.XLOOKUP(Clean_Data[[#This Row],[Country_Code]], Metadata_Country!$A:$A, Metadata_Country!$B:$B, "Unknown"), IF(OR(_xlpm.r=0, _xlpm.r=""), "Regional Aggregate", _xlpm.r))</f>
        <v>Sub-Saharan Africa</v>
      </c>
      <c r="G2144" s="4" t="str">
        <f>_xlfn.LET(_xlpm.ig, _xlfn.XLOOKUP(Clean_Data[[#This Row],[Country_Code]], Metadata_Country!$A:$A, Metadata_Country!$C:$C, "Unknown"), IF(OR(_xlpm.ig=0, _xlpm.ig=""), "Regional Aggregate", _xlpm.ig))</f>
        <v>Low income</v>
      </c>
      <c r="H2144" s="4">
        <f>Clean_Data[[#This Row],[Exports_TIV]] - Clean_Data[[#This Row],[Imports_TIV]]</f>
        <v>-119000000</v>
      </c>
      <c r="I2144" s="4">
        <f>Clean_Data[[#This Row],[Exports_TIV]] + Clean_Data[[#This Row],[Imports_TIV]]</f>
        <v>119000000</v>
      </c>
    </row>
    <row r="2145" spans="1:9">
      <c r="A2145" s="4" t="s">
        <v>449</v>
      </c>
      <c r="B2145" s="4" t="s">
        <v>450</v>
      </c>
      <c r="C2145" s="5">
        <v>2012</v>
      </c>
      <c r="D2145" s="4">
        <v>0</v>
      </c>
      <c r="E2145" s="4">
        <v>0</v>
      </c>
      <c r="F2145" s="4" t="str">
        <f>_xlfn.LET(_xlpm.r, _xlfn.XLOOKUP(Clean_Data[[#This Row],[Country_Code]], Metadata_Country!$A:$A, Metadata_Country!$B:$B, "Unknown"), IF(OR(_xlpm.r=0, _xlpm.r=""), "Regional Aggregate", _xlpm.r))</f>
        <v>Latin America &amp; Caribbean</v>
      </c>
      <c r="G2145" s="4" t="str">
        <f>_xlfn.LET(_xlpm.ig, _xlfn.XLOOKUP(Clean_Data[[#This Row],[Country_Code]], Metadata_Country!$A:$A, Metadata_Country!$C:$C, "Unknown"), IF(OR(_xlpm.ig=0, _xlpm.ig=""), "Regional Aggregate", _xlpm.ig))</f>
        <v>Upper middle income</v>
      </c>
      <c r="H2145" s="4">
        <f>Clean_Data[[#This Row],[Exports_TIV]] - Clean_Data[[#This Row],[Imports_TIV]]</f>
        <v>0</v>
      </c>
      <c r="I2145" s="4">
        <f>Clean_Data[[#This Row],[Exports_TIV]] + Clean_Data[[#This Row],[Imports_TIV]]</f>
        <v>0</v>
      </c>
    </row>
    <row r="2146" spans="1:9">
      <c r="A2146" s="4" t="s">
        <v>455</v>
      </c>
      <c r="B2146" s="4" t="s">
        <v>456</v>
      </c>
      <c r="C2146" s="5">
        <v>2012</v>
      </c>
      <c r="D2146" s="4">
        <v>436000000</v>
      </c>
      <c r="E2146" s="4">
        <v>202000000</v>
      </c>
      <c r="F2146" s="4" t="str">
        <f>_xlfn.LET(_xlpm.r, _xlfn.XLOOKUP(Clean_Data[[#This Row],[Country_Code]], Metadata_Country!$A:$A, Metadata_Country!$B:$B, "Unknown"), IF(OR(_xlpm.r=0, _xlpm.r=""), "Regional Aggregate", _xlpm.r))</f>
        <v>Europe &amp; Central Asia</v>
      </c>
      <c r="G2146" s="4" t="str">
        <f>_xlfn.LET(_xlpm.ig, _xlfn.XLOOKUP(Clean_Data[[#This Row],[Country_Code]], Metadata_Country!$A:$A, Metadata_Country!$C:$C, "Unknown"), IF(OR(_xlpm.ig=0, _xlpm.ig=""), "Regional Aggregate", _xlpm.ig))</f>
        <v>High income</v>
      </c>
      <c r="H2146" s="4">
        <f>Clean_Data[[#This Row],[Exports_TIV]] - Clean_Data[[#This Row],[Imports_TIV]]</f>
        <v>234000000</v>
      </c>
      <c r="I2146" s="4">
        <f>Clean_Data[[#This Row],[Exports_TIV]] + Clean_Data[[#This Row],[Imports_TIV]]</f>
        <v>638000000</v>
      </c>
    </row>
    <row r="2147" spans="1:9">
      <c r="A2147" s="4" t="s">
        <v>83</v>
      </c>
      <c r="B2147" s="4" t="s">
        <v>84</v>
      </c>
      <c r="C2147" s="5">
        <v>2012</v>
      </c>
      <c r="D2147" s="4">
        <v>257000000</v>
      </c>
      <c r="E2147" s="4">
        <v>2000000</v>
      </c>
      <c r="F2147" s="4" t="str">
        <f>_xlfn.LET(_xlpm.r, _xlfn.XLOOKUP(Clean_Data[[#This Row],[Country_Code]], Metadata_Country!$A:$A, Metadata_Country!$B:$B, "Unknown"), IF(OR(_xlpm.r=0, _xlpm.r=""), "Regional Aggregate", _xlpm.r))</f>
        <v>Europe &amp; Central Asia</v>
      </c>
      <c r="G2147" s="4" t="str">
        <f>_xlfn.LET(_xlpm.ig, _xlfn.XLOOKUP(Clean_Data[[#This Row],[Country_Code]], Metadata_Country!$A:$A, Metadata_Country!$C:$C, "Unknown"), IF(OR(_xlpm.ig=0, _xlpm.ig=""), "Regional Aggregate", _xlpm.ig))</f>
        <v>High income</v>
      </c>
      <c r="H2147" s="4">
        <f>Clean_Data[[#This Row],[Exports_TIV]] - Clean_Data[[#This Row],[Imports_TIV]]</f>
        <v>255000000</v>
      </c>
      <c r="I2147" s="4">
        <f>Clean_Data[[#This Row],[Exports_TIV]] + Clean_Data[[#This Row],[Imports_TIV]]</f>
        <v>259000000</v>
      </c>
    </row>
    <row r="2148" spans="1:9">
      <c r="A2148" s="4" t="s">
        <v>463</v>
      </c>
      <c r="B2148" s="4" t="s">
        <v>464</v>
      </c>
      <c r="C2148" s="5">
        <v>2012</v>
      </c>
      <c r="D2148" s="4">
        <v>0</v>
      </c>
      <c r="E2148" s="4">
        <v>532000000</v>
      </c>
      <c r="F2148" s="4" t="str">
        <f>_xlfn.LET(_xlpm.r, _xlfn.XLOOKUP(Clean_Data[[#This Row],[Country_Code]], Metadata_Country!$A:$A, Metadata_Country!$B:$B, "Unknown"), IF(OR(_xlpm.r=0, _xlpm.r=""), "Regional Aggregate", _xlpm.r))</f>
        <v>Middle East &amp; North Africa</v>
      </c>
      <c r="G2148" s="4" t="str">
        <f>_xlfn.LET(_xlpm.ig, _xlfn.XLOOKUP(Clean_Data[[#This Row],[Country_Code]], Metadata_Country!$A:$A, Metadata_Country!$C:$C, "Unknown"), IF(OR(_xlpm.ig=0, _xlpm.ig=""), "Regional Aggregate", _xlpm.ig))</f>
        <v>Low income</v>
      </c>
      <c r="H2148" s="4">
        <f>Clean_Data[[#This Row],[Exports_TIV]] - Clean_Data[[#This Row],[Imports_TIV]]</f>
        <v>-532000000</v>
      </c>
      <c r="I2148" s="4">
        <f>Clean_Data[[#This Row],[Exports_TIV]] + Clean_Data[[#This Row],[Imports_TIV]]</f>
        <v>532000000</v>
      </c>
    </row>
    <row r="2149" spans="1:9">
      <c r="A2149" s="4" t="s">
        <v>501</v>
      </c>
      <c r="B2149" s="4" t="s">
        <v>502</v>
      </c>
      <c r="C2149" s="5">
        <v>2012</v>
      </c>
      <c r="D2149" s="4">
        <v>0</v>
      </c>
      <c r="E2149" s="4">
        <v>115000000</v>
      </c>
      <c r="F2149" s="4" t="str">
        <f>_xlfn.LET(_xlpm.r, _xlfn.XLOOKUP(Clean_Data[[#This Row],[Country_Code]], Metadata_Country!$A:$A, Metadata_Country!$B:$B, "Unknown"), IF(OR(_xlpm.r=0, _xlpm.r=""), "Regional Aggregate", _xlpm.r))</f>
        <v>Sub-Saharan Africa</v>
      </c>
      <c r="G2149" s="4" t="str">
        <f>_xlfn.LET(_xlpm.ig, _xlfn.XLOOKUP(Clean_Data[[#This Row],[Country_Code]], Metadata_Country!$A:$A, Metadata_Country!$C:$C, "Unknown"), IF(OR(_xlpm.ig=0, _xlpm.ig=""), "Regional Aggregate", _xlpm.ig))</f>
        <v>Lower middle income</v>
      </c>
      <c r="H2149" s="4">
        <f>Clean_Data[[#This Row],[Exports_TIV]] - Clean_Data[[#This Row],[Imports_TIV]]</f>
        <v>-115000000</v>
      </c>
      <c r="I2149" s="4">
        <f>Clean_Data[[#This Row],[Exports_TIV]] + Clean_Data[[#This Row],[Imports_TIV]]</f>
        <v>115000000</v>
      </c>
    </row>
    <row r="2150" spans="1:9">
      <c r="A2150" s="4" t="s">
        <v>475</v>
      </c>
      <c r="B2150" s="4" t="s">
        <v>476</v>
      </c>
      <c r="C2150" s="5">
        <v>2012</v>
      </c>
      <c r="D2150" s="4">
        <v>0</v>
      </c>
      <c r="E2150" s="4">
        <v>278000000</v>
      </c>
      <c r="F2150" s="4" t="str">
        <f>_xlfn.LET(_xlpm.r, _xlfn.XLOOKUP(Clean_Data[[#This Row],[Country_Code]], Metadata_Country!$A:$A, Metadata_Country!$B:$B, "Unknown"), IF(OR(_xlpm.r=0, _xlpm.r=""), "Regional Aggregate", _xlpm.r))</f>
        <v>East Asia &amp; Pacific</v>
      </c>
      <c r="G2150" s="4" t="str">
        <f>_xlfn.LET(_xlpm.ig, _xlfn.XLOOKUP(Clean_Data[[#This Row],[Country_Code]], Metadata_Country!$A:$A, Metadata_Country!$C:$C, "Unknown"), IF(OR(_xlpm.ig=0, _xlpm.ig=""), "Regional Aggregate", _xlpm.ig))</f>
        <v>Upper middle income</v>
      </c>
      <c r="H2150" s="4">
        <f>Clean_Data[[#This Row],[Exports_TIV]] - Clean_Data[[#This Row],[Imports_TIV]]</f>
        <v>-278000000</v>
      </c>
      <c r="I2150" s="4">
        <f>Clean_Data[[#This Row],[Exports_TIV]] + Clean_Data[[#This Row],[Imports_TIV]]</f>
        <v>278000000</v>
      </c>
    </row>
    <row r="2151" spans="1:9">
      <c r="A2151" s="4" t="s">
        <v>493</v>
      </c>
      <c r="B2151" s="4" t="s">
        <v>494</v>
      </c>
      <c r="C2151" s="5">
        <v>2012</v>
      </c>
      <c r="D2151" s="4">
        <v>0</v>
      </c>
      <c r="E2151" s="4">
        <v>12000000</v>
      </c>
      <c r="F2151" s="4" t="str">
        <f>_xlfn.LET(_xlpm.r, _xlfn.XLOOKUP(Clean_Data[[#This Row],[Country_Code]], Metadata_Country!$A:$A, Metadata_Country!$B:$B, "Unknown"), IF(OR(_xlpm.r=0, _xlpm.r=""), "Regional Aggregate", _xlpm.r))</f>
        <v>Latin America &amp; Caribbean</v>
      </c>
      <c r="G2151" s="4" t="str">
        <f>_xlfn.LET(_xlpm.ig, _xlfn.XLOOKUP(Clean_Data[[#This Row],[Country_Code]], Metadata_Country!$A:$A, Metadata_Country!$C:$C, "Unknown"), IF(OR(_xlpm.ig=0, _xlpm.ig=""), "Regional Aggregate", _xlpm.ig))</f>
        <v>High income</v>
      </c>
      <c r="H2151" s="4">
        <f>Clean_Data[[#This Row],[Exports_TIV]] - Clean_Data[[#This Row],[Imports_TIV]]</f>
        <v>-12000000</v>
      </c>
      <c r="I2151" s="4">
        <f>Clean_Data[[#This Row],[Exports_TIV]] + Clean_Data[[#This Row],[Imports_TIV]]</f>
        <v>12000000</v>
      </c>
    </row>
    <row r="2152" spans="1:9">
      <c r="A2152" s="4" t="s">
        <v>497</v>
      </c>
      <c r="B2152" s="4" t="s">
        <v>498</v>
      </c>
      <c r="C2152" s="5">
        <v>2012</v>
      </c>
      <c r="D2152" s="4">
        <v>149000000</v>
      </c>
      <c r="E2152" s="4">
        <v>1482000000</v>
      </c>
      <c r="F2152" s="4" t="str">
        <f>_xlfn.LET(_xlpm.r, _xlfn.XLOOKUP(Clean_Data[[#This Row],[Country_Code]], Metadata_Country!$A:$A, Metadata_Country!$B:$B, "Unknown"), IF(OR(_xlpm.r=0, _xlpm.r=""), "Regional Aggregate", _xlpm.r))</f>
        <v>Europe &amp; Central Asia</v>
      </c>
      <c r="G2152" s="4" t="str">
        <f>_xlfn.LET(_xlpm.ig, _xlfn.XLOOKUP(Clean_Data[[#This Row],[Country_Code]], Metadata_Country!$A:$A, Metadata_Country!$C:$C, "Unknown"), IF(OR(_xlpm.ig=0, _xlpm.ig=""), "Regional Aggregate", _xlpm.ig))</f>
        <v>Upper middle income</v>
      </c>
      <c r="H2152" s="4">
        <f>Clean_Data[[#This Row],[Exports_TIV]] - Clean_Data[[#This Row],[Imports_TIV]]</f>
        <v>-1333000000</v>
      </c>
      <c r="I2152" s="4">
        <f>Clean_Data[[#This Row],[Exports_TIV]] + Clean_Data[[#This Row],[Imports_TIV]]</f>
        <v>1631000000</v>
      </c>
    </row>
    <row r="2153" spans="1:9">
      <c r="A2153" s="4" t="s">
        <v>479</v>
      </c>
      <c r="B2153" s="4" t="s">
        <v>480</v>
      </c>
      <c r="C2153" s="5">
        <v>2012</v>
      </c>
      <c r="D2153" s="4">
        <v>0</v>
      </c>
      <c r="E2153" s="4">
        <v>112000000</v>
      </c>
      <c r="F2153" s="4" t="str">
        <f>_xlfn.LET(_xlpm.r, _xlfn.XLOOKUP(Clean_Data[[#This Row],[Country_Code]], Metadata_Country!$A:$A, Metadata_Country!$B:$B, "Unknown"), IF(OR(_xlpm.r=0, _xlpm.r=""), "Regional Aggregate", _xlpm.r))</f>
        <v>Europe &amp; Central Asia</v>
      </c>
      <c r="G2153" s="4" t="str">
        <f>_xlfn.LET(_xlpm.ig, _xlfn.XLOOKUP(Clean_Data[[#This Row],[Country_Code]], Metadata_Country!$A:$A, Metadata_Country!$C:$C, "Unknown"), IF(OR(_xlpm.ig=0, _xlpm.ig=""), "Regional Aggregate", _xlpm.ig))</f>
        <v>Upper middle income</v>
      </c>
      <c r="H2153" s="4">
        <f>Clean_Data[[#This Row],[Exports_TIV]] - Clean_Data[[#This Row],[Imports_TIV]]</f>
        <v>-112000000</v>
      </c>
      <c r="I2153" s="4">
        <f>Clean_Data[[#This Row],[Exports_TIV]] + Clean_Data[[#This Row],[Imports_TIV]]</f>
        <v>112000000</v>
      </c>
    </row>
    <row r="2154" spans="1:9">
      <c r="A2154" s="4" t="s">
        <v>503</v>
      </c>
      <c r="B2154" s="4" t="s">
        <v>504</v>
      </c>
      <c r="C2154" s="5">
        <v>2012</v>
      </c>
      <c r="D2154" s="4">
        <v>0</v>
      </c>
      <c r="E2154" s="4">
        <v>213000000</v>
      </c>
      <c r="F2154" s="4" t="str">
        <f>_xlfn.LET(_xlpm.r, _xlfn.XLOOKUP(Clean_Data[[#This Row],[Country_Code]], Metadata_Country!$A:$A, Metadata_Country!$B:$B, "Unknown"), IF(OR(_xlpm.r=0, _xlpm.r=""), "Regional Aggregate", _xlpm.r))</f>
        <v>Sub-Saharan Africa</v>
      </c>
      <c r="G2154" s="4" t="str">
        <f>_xlfn.LET(_xlpm.ig, _xlfn.XLOOKUP(Clean_Data[[#This Row],[Country_Code]], Metadata_Country!$A:$A, Metadata_Country!$C:$C, "Unknown"), IF(OR(_xlpm.ig=0, _xlpm.ig=""), "Regional Aggregate", _xlpm.ig))</f>
        <v>Low income</v>
      </c>
      <c r="H2154" s="4">
        <f>Clean_Data[[#This Row],[Exports_TIV]] - Clean_Data[[#This Row],[Imports_TIV]]</f>
        <v>-213000000</v>
      </c>
      <c r="I2154" s="4">
        <f>Clean_Data[[#This Row],[Exports_TIV]] + Clean_Data[[#This Row],[Imports_TIV]]</f>
        <v>213000000</v>
      </c>
    </row>
    <row r="2155" spans="1:9">
      <c r="A2155" s="4" t="s">
        <v>505</v>
      </c>
      <c r="B2155" s="4" t="s">
        <v>506</v>
      </c>
      <c r="C2155" s="5">
        <v>2012</v>
      </c>
      <c r="D2155" s="4">
        <v>1497000000</v>
      </c>
      <c r="E2155" s="4">
        <v>0</v>
      </c>
      <c r="F2155" s="4" t="str">
        <f>_xlfn.LET(_xlpm.r, _xlfn.XLOOKUP(Clean_Data[[#This Row],[Country_Code]], Metadata_Country!$A:$A, Metadata_Country!$B:$B, "Unknown"), IF(OR(_xlpm.r=0, _xlpm.r=""), "Regional Aggregate", _xlpm.r))</f>
        <v>Europe &amp; Central Asia</v>
      </c>
      <c r="G2155" s="4" t="str">
        <f>_xlfn.LET(_xlpm.ig, _xlfn.XLOOKUP(Clean_Data[[#This Row],[Country_Code]], Metadata_Country!$A:$A, Metadata_Country!$C:$C, "Unknown"), IF(OR(_xlpm.ig=0, _xlpm.ig=""), "Regional Aggregate", _xlpm.ig))</f>
        <v>Upper middle income</v>
      </c>
      <c r="H2155" s="4">
        <f>Clean_Data[[#This Row],[Exports_TIV]] - Clean_Data[[#This Row],[Imports_TIV]]</f>
        <v>1497000000</v>
      </c>
      <c r="I2155" s="4">
        <f>Clean_Data[[#This Row],[Exports_TIV]] + Clean_Data[[#This Row],[Imports_TIV]]</f>
        <v>1497000000</v>
      </c>
    </row>
    <row r="2156" spans="1:9">
      <c r="A2156" s="4" t="s">
        <v>25</v>
      </c>
      <c r="B2156" s="4" t="s">
        <v>26</v>
      </c>
      <c r="C2156" s="5">
        <v>2012</v>
      </c>
      <c r="D2156" s="4">
        <v>75000000</v>
      </c>
      <c r="E2156" s="4">
        <v>1139000000</v>
      </c>
      <c r="F2156" s="4" t="str">
        <f>_xlfn.LET(_xlpm.r, _xlfn.XLOOKUP(Clean_Data[[#This Row],[Country_Code]], Metadata_Country!$A:$A, Metadata_Country!$B:$B, "Unknown"), IF(OR(_xlpm.r=0, _xlpm.r=""), "Regional Aggregate", _xlpm.r))</f>
        <v>Middle East &amp; North Africa</v>
      </c>
      <c r="G2156" s="4" t="str">
        <f>_xlfn.LET(_xlpm.ig, _xlfn.XLOOKUP(Clean_Data[[#This Row],[Country_Code]], Metadata_Country!$A:$A, Metadata_Country!$C:$C, "Unknown"), IF(OR(_xlpm.ig=0, _xlpm.ig=""), "Regional Aggregate", _xlpm.ig))</f>
        <v>High income</v>
      </c>
      <c r="H2156" s="4">
        <f>Clean_Data[[#This Row],[Exports_TIV]] - Clean_Data[[#This Row],[Imports_TIV]]</f>
        <v>-1064000000</v>
      </c>
      <c r="I2156" s="4">
        <f>Clean_Data[[#This Row],[Exports_TIV]] + Clean_Data[[#This Row],[Imports_TIV]]</f>
        <v>1214000000</v>
      </c>
    </row>
    <row r="2157" spans="1:9">
      <c r="A2157" s="4" t="s">
        <v>171</v>
      </c>
      <c r="B2157" s="4" t="s">
        <v>172</v>
      </c>
      <c r="C2157" s="5">
        <v>2012</v>
      </c>
      <c r="D2157" s="4">
        <v>813000000</v>
      </c>
      <c r="E2157" s="4">
        <v>566000000</v>
      </c>
      <c r="F2157" s="4" t="str">
        <f>_xlfn.LET(_xlpm.r, _xlfn.XLOOKUP(Clean_Data[[#This Row],[Country_Code]], Metadata_Country!$A:$A, Metadata_Country!$B:$B, "Unknown"), IF(OR(_xlpm.r=0, _xlpm.r=""), "Regional Aggregate", _xlpm.r))</f>
        <v>Europe &amp; Central Asia</v>
      </c>
      <c r="G2157" s="4" t="str">
        <f>_xlfn.LET(_xlpm.ig, _xlfn.XLOOKUP(Clean_Data[[#This Row],[Country_Code]], Metadata_Country!$A:$A, Metadata_Country!$C:$C, "Unknown"), IF(OR(_xlpm.ig=0, _xlpm.ig=""), "Regional Aggregate", _xlpm.ig))</f>
        <v>High income</v>
      </c>
      <c r="H2157" s="4">
        <f>Clean_Data[[#This Row],[Exports_TIV]] - Clean_Data[[#This Row],[Imports_TIV]]</f>
        <v>247000000</v>
      </c>
      <c r="I2157" s="4">
        <f>Clean_Data[[#This Row],[Exports_TIV]] + Clean_Data[[#This Row],[Imports_TIV]]</f>
        <v>1379000000</v>
      </c>
    </row>
    <row r="2158" spans="1:9">
      <c r="A2158" s="4" t="s">
        <v>511</v>
      </c>
      <c r="B2158" s="4" t="s">
        <v>512</v>
      </c>
      <c r="C2158" s="5">
        <v>2012</v>
      </c>
      <c r="D2158" s="4">
        <v>8965000000</v>
      </c>
      <c r="E2158" s="4">
        <v>1138000000</v>
      </c>
      <c r="F2158" s="4" t="str">
        <f>_xlfn.LET(_xlpm.r, _xlfn.XLOOKUP(Clean_Data[[#This Row],[Country_Code]], Metadata_Country!$A:$A, Metadata_Country!$B:$B, "Unknown"), IF(OR(_xlpm.r=0, _xlpm.r=""), "Regional Aggregate", _xlpm.r))</f>
        <v>North America</v>
      </c>
      <c r="G2158" s="4" t="str">
        <f>_xlfn.LET(_xlpm.ig, _xlfn.XLOOKUP(Clean_Data[[#This Row],[Country_Code]], Metadata_Country!$A:$A, Metadata_Country!$C:$C, "Unknown"), IF(OR(_xlpm.ig=0, _xlpm.ig=""), "Regional Aggregate", _xlpm.ig))</f>
        <v>High income</v>
      </c>
      <c r="H2158" s="4">
        <f>Clean_Data[[#This Row],[Exports_TIV]] - Clean_Data[[#This Row],[Imports_TIV]]</f>
        <v>7827000000</v>
      </c>
      <c r="I2158" s="4">
        <f>Clean_Data[[#This Row],[Exports_TIV]] + Clean_Data[[#This Row],[Imports_TIV]]</f>
        <v>10103000000</v>
      </c>
    </row>
    <row r="2159" spans="1:9">
      <c r="A2159" s="4" t="s">
        <v>507</v>
      </c>
      <c r="B2159" s="4" t="s">
        <v>508</v>
      </c>
      <c r="C2159" s="5">
        <v>2012</v>
      </c>
      <c r="D2159" s="4">
        <v>0</v>
      </c>
      <c r="E2159" s="4">
        <v>7645000000</v>
      </c>
      <c r="F2159" s="4" t="str">
        <f>_xlfn.LET(_xlpm.r, _xlfn.XLOOKUP(Clean_Data[[#This Row],[Country_Code]], Metadata_Country!$A:$A, Metadata_Country!$B:$B, "Unknown"), IF(OR(_xlpm.r=0, _xlpm.r=""), "Regional Aggregate", _xlpm.r))</f>
        <v>Regional Aggregate</v>
      </c>
      <c r="G2159" s="4" t="str">
        <f>_xlfn.LET(_xlpm.ig, _xlfn.XLOOKUP(Clean_Data[[#This Row],[Country_Code]], Metadata_Country!$A:$A, Metadata_Country!$C:$C, "Unknown"), IF(OR(_xlpm.ig=0, _xlpm.ig=""), "Regional Aggregate", _xlpm.ig))</f>
        <v>Regional Aggregate</v>
      </c>
      <c r="H2159" s="4">
        <f>Clean_Data[[#This Row],[Exports_TIV]] - Clean_Data[[#This Row],[Imports_TIV]]</f>
        <v>-7645000000</v>
      </c>
      <c r="I2159" s="4">
        <f>Clean_Data[[#This Row],[Exports_TIV]] + Clean_Data[[#This Row],[Imports_TIV]]</f>
        <v>7645000000</v>
      </c>
    </row>
    <row r="2160" spans="1:9">
      <c r="A2160" s="4" t="s">
        <v>517</v>
      </c>
      <c r="B2160" s="4" t="s">
        <v>518</v>
      </c>
      <c r="C2160" s="5">
        <v>2012</v>
      </c>
      <c r="D2160" s="4">
        <v>0</v>
      </c>
      <c r="E2160" s="4">
        <v>692000000</v>
      </c>
      <c r="F2160" s="4" t="str">
        <f>_xlfn.LET(_xlpm.r, _xlfn.XLOOKUP(Clean_Data[[#This Row],[Country_Code]], Metadata_Country!$A:$A, Metadata_Country!$B:$B, "Unknown"), IF(OR(_xlpm.r=0, _xlpm.r=""), "Regional Aggregate", _xlpm.r))</f>
        <v>Latin America &amp; Caribbean</v>
      </c>
      <c r="G2160" s="4" t="str">
        <f>_xlfn.LET(_xlpm.ig, _xlfn.XLOOKUP(Clean_Data[[#This Row],[Country_Code]], Metadata_Country!$A:$A, Metadata_Country!$C:$C, "Unknown"), IF(OR(_xlpm.ig=0, _xlpm.ig=""), "Regional Aggregate", _xlpm.ig))</f>
        <v>Lower middle income</v>
      </c>
      <c r="H2160" s="4">
        <f>Clean_Data[[#This Row],[Exports_TIV]] - Clean_Data[[#This Row],[Imports_TIV]]</f>
        <v>-692000000</v>
      </c>
      <c r="I2160" s="4">
        <f>Clean_Data[[#This Row],[Exports_TIV]] + Clean_Data[[#This Row],[Imports_TIV]]</f>
        <v>692000000</v>
      </c>
    </row>
    <row r="2161" spans="1:9">
      <c r="A2161" s="4" t="s">
        <v>523</v>
      </c>
      <c r="B2161" s="4" t="s">
        <v>524</v>
      </c>
      <c r="C2161" s="5">
        <v>2012</v>
      </c>
      <c r="D2161" s="4">
        <v>0</v>
      </c>
      <c r="E2161" s="4">
        <v>782000000</v>
      </c>
      <c r="F2161" s="4" t="str">
        <f>_xlfn.LET(_xlpm.r, _xlfn.XLOOKUP(Clean_Data[[#This Row],[Country_Code]], Metadata_Country!$A:$A, Metadata_Country!$B:$B, "Unknown"), IF(OR(_xlpm.r=0, _xlpm.r=""), "Regional Aggregate", _xlpm.r))</f>
        <v>East Asia &amp; Pacific</v>
      </c>
      <c r="G2161" s="4" t="str">
        <f>_xlfn.LET(_xlpm.ig, _xlfn.XLOOKUP(Clean_Data[[#This Row],[Country_Code]], Metadata_Country!$A:$A, Metadata_Country!$C:$C, "Unknown"), IF(OR(_xlpm.ig=0, _xlpm.ig=""), "Regional Aggregate", _xlpm.ig))</f>
        <v>Upper middle income</v>
      </c>
      <c r="H2161" s="4">
        <f>Clean_Data[[#This Row],[Exports_TIV]] - Clean_Data[[#This Row],[Imports_TIV]]</f>
        <v>-782000000</v>
      </c>
      <c r="I2161" s="4">
        <f>Clean_Data[[#This Row],[Exports_TIV]] + Clean_Data[[#This Row],[Imports_TIV]]</f>
        <v>782000000</v>
      </c>
    </row>
    <row r="2162" spans="1:9">
      <c r="A2162" s="4" t="s">
        <v>527</v>
      </c>
      <c r="B2162" s="4" t="s">
        <v>528</v>
      </c>
      <c r="C2162" s="5">
        <v>2012</v>
      </c>
      <c r="D2162" s="4">
        <v>27937000000</v>
      </c>
      <c r="E2162" s="4">
        <v>27916000000</v>
      </c>
      <c r="F2162" s="4" t="str">
        <f>_xlfn.LET(_xlpm.r, _xlfn.XLOOKUP(Clean_Data[[#This Row],[Country_Code]], Metadata_Country!$A:$A, Metadata_Country!$B:$B, "Unknown"), IF(OR(_xlpm.r=0, _xlpm.r=""), "Regional Aggregate", _xlpm.r))</f>
        <v>Regional Aggregate</v>
      </c>
      <c r="G2162" s="4" t="str">
        <f>_xlfn.LET(_xlpm.ig, _xlfn.XLOOKUP(Clean_Data[[#This Row],[Country_Code]], Metadata_Country!$A:$A, Metadata_Country!$C:$C, "Unknown"), IF(OR(_xlpm.ig=0, _xlpm.ig=""), "Regional Aggregate", _xlpm.ig))</f>
        <v>Regional Aggregate</v>
      </c>
      <c r="H2162" s="4">
        <f>Clean_Data[[#This Row],[Exports_TIV]] - Clean_Data[[#This Row],[Imports_TIV]]</f>
        <v>21000000</v>
      </c>
      <c r="I2162" s="4">
        <f>Clean_Data[[#This Row],[Exports_TIV]] + Clean_Data[[#This Row],[Imports_TIV]]</f>
        <v>55853000000</v>
      </c>
    </row>
    <row r="2163" spans="1:9">
      <c r="A2163" s="4" t="s">
        <v>533</v>
      </c>
      <c r="B2163" s="4" t="s">
        <v>534</v>
      </c>
      <c r="C2163" s="5">
        <v>2012</v>
      </c>
      <c r="D2163" s="4">
        <v>0</v>
      </c>
      <c r="E2163" s="4">
        <v>38000000</v>
      </c>
      <c r="F2163" s="4" t="str">
        <f>_xlfn.LET(_xlpm.r, _xlfn.XLOOKUP(Clean_Data[[#This Row],[Country_Code]], Metadata_Country!$A:$A, Metadata_Country!$B:$B, "Unknown"), IF(OR(_xlpm.r=0, _xlpm.r=""), "Regional Aggregate", _xlpm.r))</f>
        <v>Middle East &amp; North Africa</v>
      </c>
      <c r="G2163" s="4" t="str">
        <f>_xlfn.LET(_xlpm.ig, _xlfn.XLOOKUP(Clean_Data[[#This Row],[Country_Code]], Metadata_Country!$A:$A, Metadata_Country!$C:$C, "Unknown"), IF(OR(_xlpm.ig=0, _xlpm.ig=""), "Regional Aggregate", _xlpm.ig))</f>
        <v>Low income</v>
      </c>
      <c r="H2163" s="4">
        <f>Clean_Data[[#This Row],[Exports_TIV]] - Clean_Data[[#This Row],[Imports_TIV]]</f>
        <v>-38000000</v>
      </c>
      <c r="I2163" s="4">
        <f>Clean_Data[[#This Row],[Exports_TIV]] + Clean_Data[[#This Row],[Imports_TIV]]</f>
        <v>38000000</v>
      </c>
    </row>
    <row r="2164" spans="1:9">
      <c r="A2164" s="4" t="s">
        <v>537</v>
      </c>
      <c r="B2164" s="4" t="s">
        <v>538</v>
      </c>
      <c r="C2164" s="5">
        <v>2012</v>
      </c>
      <c r="D2164" s="4">
        <v>0</v>
      </c>
      <c r="E2164" s="4">
        <v>61000000</v>
      </c>
      <c r="F2164" s="4" t="str">
        <f>_xlfn.LET(_xlpm.r, _xlfn.XLOOKUP(Clean_Data[[#This Row],[Country_Code]], Metadata_Country!$A:$A, Metadata_Country!$B:$B, "Unknown"), IF(OR(_xlpm.r=0, _xlpm.r=""), "Regional Aggregate", _xlpm.r))</f>
        <v>Sub-Saharan Africa</v>
      </c>
      <c r="G2164" s="4" t="str">
        <f>_xlfn.LET(_xlpm.ig, _xlfn.XLOOKUP(Clean_Data[[#This Row],[Country_Code]], Metadata_Country!$A:$A, Metadata_Country!$C:$C, "Unknown"), IF(OR(_xlpm.ig=0, _xlpm.ig=""), "Regional Aggregate", _xlpm.ig))</f>
        <v>Lower middle income</v>
      </c>
      <c r="H2164" s="4">
        <f>Clean_Data[[#This Row],[Exports_TIV]] - Clean_Data[[#This Row],[Imports_TIV]]</f>
        <v>-61000000</v>
      </c>
      <c r="I2164" s="4">
        <f>Clean_Data[[#This Row],[Exports_TIV]] + Clean_Data[[#This Row],[Imports_TIV]]</f>
        <v>61000000</v>
      </c>
    </row>
    <row r="2165" spans="1:9">
      <c r="A2165" s="4" t="s">
        <v>13</v>
      </c>
      <c r="B2165" s="4" t="s">
        <v>14</v>
      </c>
      <c r="C2165" s="5">
        <v>2011</v>
      </c>
      <c r="D2165" s="4">
        <v>0</v>
      </c>
      <c r="E2165" s="4">
        <v>632000000</v>
      </c>
      <c r="F2165" s="4" t="str">
        <f>_xlfn.LET(_xlpm.r, _xlfn.XLOOKUP(Clean_Data[[#This Row],[Country_Code]], Metadata_Country!$A:$A, Metadata_Country!$B:$B, "Unknown"), IF(OR(_xlpm.r=0, _xlpm.r=""), "Regional Aggregate", _xlpm.r))</f>
        <v>Middle East &amp; North Africa</v>
      </c>
      <c r="G2165" s="4" t="str">
        <f>_xlfn.LET(_xlpm.ig, _xlfn.XLOOKUP(Clean_Data[[#This Row],[Country_Code]], Metadata_Country!$A:$A, Metadata_Country!$C:$C, "Unknown"), IF(OR(_xlpm.ig=0, _xlpm.ig=""), "Regional Aggregate", _xlpm.ig))</f>
        <v>Low income</v>
      </c>
      <c r="H2165" s="4">
        <f>Clean_Data[[#This Row],[Exports_TIV]] - Clean_Data[[#This Row],[Imports_TIV]]</f>
        <v>-632000000</v>
      </c>
      <c r="I2165" s="4">
        <f>Clean_Data[[#This Row],[Exports_TIV]] + Clean_Data[[#This Row],[Imports_TIV]]</f>
        <v>632000000</v>
      </c>
    </row>
    <row r="2166" spans="1:9">
      <c r="A2166" s="4" t="s">
        <v>11</v>
      </c>
      <c r="B2166" s="4" t="s">
        <v>12</v>
      </c>
      <c r="C2166" s="5">
        <v>2011</v>
      </c>
      <c r="D2166" s="4">
        <v>0</v>
      </c>
      <c r="E2166" s="4">
        <v>1131000000</v>
      </c>
      <c r="F2166" s="4" t="str">
        <f>_xlfn.LET(_xlpm.r, _xlfn.XLOOKUP(Clean_Data[[#This Row],[Country_Code]], Metadata_Country!$A:$A, Metadata_Country!$B:$B, "Unknown"), IF(OR(_xlpm.r=0, _xlpm.r=""), "Regional Aggregate", _xlpm.r))</f>
        <v>Regional Aggregate</v>
      </c>
      <c r="G2166" s="4" t="str">
        <f>_xlfn.LET(_xlpm.ig, _xlfn.XLOOKUP(Clean_Data[[#This Row],[Country_Code]], Metadata_Country!$A:$A, Metadata_Country!$C:$C, "Unknown"), IF(OR(_xlpm.ig=0, _xlpm.ig=""), "Regional Aggregate", _xlpm.ig))</f>
        <v>Regional Aggregate</v>
      </c>
      <c r="H2166" s="4">
        <f>Clean_Data[[#This Row],[Exports_TIV]] - Clean_Data[[#This Row],[Imports_TIV]]</f>
        <v>-1131000000</v>
      </c>
      <c r="I2166" s="4">
        <f>Clean_Data[[#This Row],[Exports_TIV]] + Clean_Data[[#This Row],[Imports_TIV]]</f>
        <v>1131000000</v>
      </c>
    </row>
    <row r="2167" spans="1:9">
      <c r="A2167" s="4" t="s">
        <v>15</v>
      </c>
      <c r="B2167" s="4" t="s">
        <v>16</v>
      </c>
      <c r="C2167" s="5">
        <v>2011</v>
      </c>
      <c r="D2167" s="4">
        <v>0</v>
      </c>
      <c r="E2167" s="4">
        <v>253000000</v>
      </c>
      <c r="F2167" s="4" t="str">
        <f>_xlfn.LET(_xlpm.r, _xlfn.XLOOKUP(Clean_Data[[#This Row],[Country_Code]], Metadata_Country!$A:$A, Metadata_Country!$B:$B, "Unknown"), IF(OR(_xlpm.r=0, _xlpm.r=""), "Regional Aggregate", _xlpm.r))</f>
        <v>Regional Aggregate</v>
      </c>
      <c r="G2167" s="4" t="str">
        <f>_xlfn.LET(_xlpm.ig, _xlfn.XLOOKUP(Clean_Data[[#This Row],[Country_Code]], Metadata_Country!$A:$A, Metadata_Country!$C:$C, "Unknown"), IF(OR(_xlpm.ig=0, _xlpm.ig=""), "Regional Aggregate", _xlpm.ig))</f>
        <v>Regional Aggregate</v>
      </c>
      <c r="H2167" s="4">
        <f>Clean_Data[[#This Row],[Exports_TIV]] - Clean_Data[[#This Row],[Imports_TIV]]</f>
        <v>-253000000</v>
      </c>
      <c r="I2167" s="4">
        <f>Clean_Data[[#This Row],[Exports_TIV]] + Clean_Data[[#This Row],[Imports_TIV]]</f>
        <v>253000000</v>
      </c>
    </row>
    <row r="2168" spans="1:9">
      <c r="A2168" s="4" t="s">
        <v>19</v>
      </c>
      <c r="B2168" s="4" t="s">
        <v>20</v>
      </c>
      <c r="C2168" s="5">
        <v>2011</v>
      </c>
      <c r="D2168" s="4">
        <v>1000000</v>
      </c>
      <c r="E2168" s="4">
        <v>0</v>
      </c>
      <c r="F2168" s="4" t="str">
        <f>_xlfn.LET(_xlpm.r, _xlfn.XLOOKUP(Clean_Data[[#This Row],[Country_Code]], Metadata_Country!$A:$A, Metadata_Country!$B:$B, "Unknown"), IF(OR(_xlpm.r=0, _xlpm.r=""), "Regional Aggregate", _xlpm.r))</f>
        <v>Europe &amp; Central Asia</v>
      </c>
      <c r="G2168" s="4" t="str">
        <f>_xlfn.LET(_xlpm.ig, _xlfn.XLOOKUP(Clean_Data[[#This Row],[Country_Code]], Metadata_Country!$A:$A, Metadata_Country!$C:$C, "Unknown"), IF(OR(_xlpm.ig=0, _xlpm.ig=""), "Regional Aggregate", _xlpm.ig))</f>
        <v>Upper middle income</v>
      </c>
      <c r="H2168" s="4">
        <f>Clean_Data[[#This Row],[Exports_TIV]] - Clean_Data[[#This Row],[Imports_TIV]]</f>
        <v>1000000</v>
      </c>
      <c r="I2168" s="4">
        <f>Clean_Data[[#This Row],[Exports_TIV]] + Clean_Data[[#This Row],[Imports_TIV]]</f>
        <v>1000000</v>
      </c>
    </row>
    <row r="2169" spans="1:9">
      <c r="A2169" s="4" t="s">
        <v>129</v>
      </c>
      <c r="B2169" s="4" t="s">
        <v>130</v>
      </c>
      <c r="C2169" s="5">
        <v>2011</v>
      </c>
      <c r="D2169" s="4">
        <v>0</v>
      </c>
      <c r="E2169" s="4">
        <v>1133000000</v>
      </c>
      <c r="F2169" s="4" t="str">
        <f>_xlfn.LET(_xlpm.r, _xlfn.XLOOKUP(Clean_Data[[#This Row],[Country_Code]], Metadata_Country!$A:$A, Metadata_Country!$B:$B, "Unknown"), IF(OR(_xlpm.r=0, _xlpm.r=""), "Regional Aggregate", _xlpm.r))</f>
        <v>Middle East &amp; North Africa</v>
      </c>
      <c r="G2169" s="4" t="str">
        <f>_xlfn.LET(_xlpm.ig, _xlfn.XLOOKUP(Clean_Data[[#This Row],[Country_Code]], Metadata_Country!$A:$A, Metadata_Country!$C:$C, "Unknown"), IF(OR(_xlpm.ig=0, _xlpm.ig=""), "Regional Aggregate", _xlpm.ig))</f>
        <v>Upper middle income</v>
      </c>
      <c r="H2169" s="4">
        <f>Clean_Data[[#This Row],[Exports_TIV]] - Clean_Data[[#This Row],[Imports_TIV]]</f>
        <v>-1133000000</v>
      </c>
      <c r="I2169" s="4">
        <f>Clean_Data[[#This Row],[Exports_TIV]] + Clean_Data[[#This Row],[Imports_TIV]]</f>
        <v>1133000000</v>
      </c>
    </row>
    <row r="2170" spans="1:9">
      <c r="A2170" s="4" t="s">
        <v>23</v>
      </c>
      <c r="B2170" s="4" t="s">
        <v>24</v>
      </c>
      <c r="C2170" s="5">
        <v>2011</v>
      </c>
      <c r="D2170" s="4">
        <v>0</v>
      </c>
      <c r="E2170" s="4">
        <v>7377000000</v>
      </c>
      <c r="F2170" s="4" t="str">
        <f>_xlfn.LET(_xlpm.r, _xlfn.XLOOKUP(Clean_Data[[#This Row],[Country_Code]], Metadata_Country!$A:$A, Metadata_Country!$B:$B, "Unknown"), IF(OR(_xlpm.r=0, _xlpm.r=""), "Regional Aggregate", _xlpm.r))</f>
        <v>Regional Aggregate</v>
      </c>
      <c r="G2170" s="4" t="str">
        <f>_xlfn.LET(_xlpm.ig, _xlfn.XLOOKUP(Clean_Data[[#This Row],[Country_Code]], Metadata_Country!$A:$A, Metadata_Country!$C:$C, "Unknown"), IF(OR(_xlpm.ig=0, _xlpm.ig=""), "Regional Aggregate", _xlpm.ig))</f>
        <v>Regional Aggregate</v>
      </c>
      <c r="H2170" s="4">
        <f>Clean_Data[[#This Row],[Exports_TIV]] - Clean_Data[[#This Row],[Imports_TIV]]</f>
        <v>-7377000000</v>
      </c>
      <c r="I2170" s="4">
        <f>Clean_Data[[#This Row],[Exports_TIV]] + Clean_Data[[#This Row],[Imports_TIV]]</f>
        <v>7377000000</v>
      </c>
    </row>
    <row r="2171" spans="1:9">
      <c r="A2171" s="4" t="s">
        <v>27</v>
      </c>
      <c r="B2171" s="4" t="s">
        <v>28</v>
      </c>
      <c r="C2171" s="5">
        <v>2011</v>
      </c>
      <c r="D2171" s="4">
        <v>1000000</v>
      </c>
      <c r="E2171" s="4">
        <v>16000000</v>
      </c>
      <c r="F2171" s="4" t="str">
        <f>_xlfn.LET(_xlpm.r, _xlfn.XLOOKUP(Clean_Data[[#This Row],[Country_Code]], Metadata_Country!$A:$A, Metadata_Country!$B:$B, "Unknown"), IF(OR(_xlpm.r=0, _xlpm.r=""), "Regional Aggregate", _xlpm.r))</f>
        <v>Latin America &amp; Caribbean</v>
      </c>
      <c r="G2171" s="4" t="str">
        <f>_xlfn.LET(_xlpm.ig, _xlfn.XLOOKUP(Clean_Data[[#This Row],[Country_Code]], Metadata_Country!$A:$A, Metadata_Country!$C:$C, "Unknown"), IF(OR(_xlpm.ig=0, _xlpm.ig=""), "Regional Aggregate", _xlpm.ig))</f>
        <v>Upper middle income</v>
      </c>
      <c r="H2171" s="4">
        <f>Clean_Data[[#This Row],[Exports_TIV]] - Clean_Data[[#This Row],[Imports_TIV]]</f>
        <v>-15000000</v>
      </c>
      <c r="I2171" s="4">
        <f>Clean_Data[[#This Row],[Exports_TIV]] + Clean_Data[[#This Row],[Imports_TIV]]</f>
        <v>17000000</v>
      </c>
    </row>
    <row r="2172" spans="1:9">
      <c r="A2172" s="4" t="s">
        <v>29</v>
      </c>
      <c r="B2172" s="4" t="s">
        <v>30</v>
      </c>
      <c r="C2172" s="5">
        <v>2011</v>
      </c>
      <c r="D2172" s="4">
        <v>0</v>
      </c>
      <c r="E2172" s="4">
        <v>5000000</v>
      </c>
      <c r="F2172" s="4" t="str">
        <f>_xlfn.LET(_xlpm.r, _xlfn.XLOOKUP(Clean_Data[[#This Row],[Country_Code]], Metadata_Country!$A:$A, Metadata_Country!$B:$B, "Unknown"), IF(OR(_xlpm.r=0, _xlpm.r=""), "Regional Aggregate", _xlpm.r))</f>
        <v>Europe &amp; Central Asia</v>
      </c>
      <c r="G2172" s="4" t="str">
        <f>_xlfn.LET(_xlpm.ig, _xlfn.XLOOKUP(Clean_Data[[#This Row],[Country_Code]], Metadata_Country!$A:$A, Metadata_Country!$C:$C, "Unknown"), IF(OR(_xlpm.ig=0, _xlpm.ig=""), "Regional Aggregate", _xlpm.ig))</f>
        <v>Upper middle income</v>
      </c>
      <c r="H2172" s="4">
        <f>Clean_Data[[#This Row],[Exports_TIV]] - Clean_Data[[#This Row],[Imports_TIV]]</f>
        <v>-5000000</v>
      </c>
      <c r="I2172" s="4">
        <f>Clean_Data[[#This Row],[Exports_TIV]] + Clean_Data[[#This Row],[Imports_TIV]]</f>
        <v>5000000</v>
      </c>
    </row>
    <row r="2173" spans="1:9">
      <c r="A2173" s="4" t="s">
        <v>35</v>
      </c>
      <c r="B2173" s="4" t="s">
        <v>36</v>
      </c>
      <c r="C2173" s="5">
        <v>2011</v>
      </c>
      <c r="D2173" s="4">
        <v>143000000</v>
      </c>
      <c r="E2173" s="4">
        <v>1582000000</v>
      </c>
      <c r="F2173" s="4" t="str">
        <f>_xlfn.LET(_xlpm.r, _xlfn.XLOOKUP(Clean_Data[[#This Row],[Country_Code]], Metadata_Country!$A:$A, Metadata_Country!$B:$B, "Unknown"), IF(OR(_xlpm.r=0, _xlpm.r=""), "Regional Aggregate", _xlpm.r))</f>
        <v>East Asia &amp; Pacific</v>
      </c>
      <c r="G2173" s="4" t="str">
        <f>_xlfn.LET(_xlpm.ig, _xlfn.XLOOKUP(Clean_Data[[#This Row],[Country_Code]], Metadata_Country!$A:$A, Metadata_Country!$C:$C, "Unknown"), IF(OR(_xlpm.ig=0, _xlpm.ig=""), "Regional Aggregate", _xlpm.ig))</f>
        <v>High income</v>
      </c>
      <c r="H2173" s="4">
        <f>Clean_Data[[#This Row],[Exports_TIV]] - Clean_Data[[#This Row],[Imports_TIV]]</f>
        <v>-1439000000</v>
      </c>
      <c r="I2173" s="4">
        <f>Clean_Data[[#This Row],[Exports_TIV]] + Clean_Data[[#This Row],[Imports_TIV]]</f>
        <v>1725000000</v>
      </c>
    </row>
    <row r="2174" spans="1:9">
      <c r="A2174" s="4" t="s">
        <v>37</v>
      </c>
      <c r="B2174" s="4" t="s">
        <v>38</v>
      </c>
      <c r="C2174" s="5">
        <v>2011</v>
      </c>
      <c r="D2174" s="4">
        <v>62000000</v>
      </c>
      <c r="E2174" s="4">
        <v>6000000</v>
      </c>
      <c r="F2174" s="4" t="str">
        <f>_xlfn.LET(_xlpm.r, _xlfn.XLOOKUP(Clean_Data[[#This Row],[Country_Code]], Metadata_Country!$A:$A, Metadata_Country!$B:$B, "Unknown"), IF(OR(_xlpm.r=0, _xlpm.r=""), "Regional Aggregate", _xlpm.r))</f>
        <v>Europe &amp; Central Asia</v>
      </c>
      <c r="G2174" s="4" t="str">
        <f>_xlfn.LET(_xlpm.ig, _xlfn.XLOOKUP(Clean_Data[[#This Row],[Country_Code]], Metadata_Country!$A:$A, Metadata_Country!$C:$C, "Unknown"), IF(OR(_xlpm.ig=0, _xlpm.ig=""), "Regional Aggregate", _xlpm.ig))</f>
        <v>High income</v>
      </c>
      <c r="H2174" s="4">
        <f>Clean_Data[[#This Row],[Exports_TIV]] - Clean_Data[[#This Row],[Imports_TIV]]</f>
        <v>56000000</v>
      </c>
      <c r="I2174" s="4">
        <f>Clean_Data[[#This Row],[Exports_TIV]] + Clean_Data[[#This Row],[Imports_TIV]]</f>
        <v>68000000</v>
      </c>
    </row>
    <row r="2175" spans="1:9">
      <c r="A2175" s="4" t="s">
        <v>39</v>
      </c>
      <c r="B2175" s="4" t="s">
        <v>40</v>
      </c>
      <c r="C2175" s="5">
        <v>2011</v>
      </c>
      <c r="D2175" s="4">
        <v>0</v>
      </c>
      <c r="E2175" s="4">
        <v>569000000</v>
      </c>
      <c r="F2175" s="4" t="str">
        <f>_xlfn.LET(_xlpm.r, _xlfn.XLOOKUP(Clean_Data[[#This Row],[Country_Code]], Metadata_Country!$A:$A, Metadata_Country!$B:$B, "Unknown"), IF(OR(_xlpm.r=0, _xlpm.r=""), "Regional Aggregate", _xlpm.r))</f>
        <v>Europe &amp; Central Asia</v>
      </c>
      <c r="G2175" s="4" t="str">
        <f>_xlfn.LET(_xlpm.ig, _xlfn.XLOOKUP(Clean_Data[[#This Row],[Country_Code]], Metadata_Country!$A:$A, Metadata_Country!$C:$C, "Unknown"), IF(OR(_xlpm.ig=0, _xlpm.ig=""), "Regional Aggregate", _xlpm.ig))</f>
        <v>Upper middle income</v>
      </c>
      <c r="H2175" s="4">
        <f>Clean_Data[[#This Row],[Exports_TIV]] - Clean_Data[[#This Row],[Imports_TIV]]</f>
        <v>-569000000</v>
      </c>
      <c r="I2175" s="4">
        <f>Clean_Data[[#This Row],[Exports_TIV]] + Clean_Data[[#This Row],[Imports_TIV]]</f>
        <v>569000000</v>
      </c>
    </row>
    <row r="2176" spans="1:9">
      <c r="A2176" s="4" t="s">
        <v>53</v>
      </c>
      <c r="B2176" s="4" t="s">
        <v>54</v>
      </c>
      <c r="C2176" s="5">
        <v>2011</v>
      </c>
      <c r="D2176" s="4">
        <v>0</v>
      </c>
      <c r="E2176" s="4">
        <v>4000000</v>
      </c>
      <c r="F2176" s="4" t="str">
        <f>_xlfn.LET(_xlpm.r, _xlfn.XLOOKUP(Clean_Data[[#This Row],[Country_Code]], Metadata_Country!$A:$A, Metadata_Country!$B:$B, "Unknown"), IF(OR(_xlpm.r=0, _xlpm.r=""), "Regional Aggregate", _xlpm.r))</f>
        <v>Middle East &amp; North Africa</v>
      </c>
      <c r="G2176" s="4" t="str">
        <f>_xlfn.LET(_xlpm.ig, _xlfn.XLOOKUP(Clean_Data[[#This Row],[Country_Code]], Metadata_Country!$A:$A, Metadata_Country!$C:$C, "Unknown"), IF(OR(_xlpm.ig=0, _xlpm.ig=""), "Regional Aggregate", _xlpm.ig))</f>
        <v>High income</v>
      </c>
      <c r="H2176" s="4">
        <f>Clean_Data[[#This Row],[Exports_TIV]] - Clean_Data[[#This Row],[Imports_TIV]]</f>
        <v>-4000000</v>
      </c>
      <c r="I2176" s="4">
        <f>Clean_Data[[#This Row],[Exports_TIV]] + Clean_Data[[#This Row],[Imports_TIV]]</f>
        <v>4000000</v>
      </c>
    </row>
    <row r="2177" spans="1:9">
      <c r="A2177" s="4" t="s">
        <v>49</v>
      </c>
      <c r="B2177" s="4" t="s">
        <v>50</v>
      </c>
      <c r="C2177" s="5">
        <v>2011</v>
      </c>
      <c r="D2177" s="4">
        <v>0</v>
      </c>
      <c r="E2177" s="4">
        <v>120000000</v>
      </c>
      <c r="F2177" s="4" t="str">
        <f>_xlfn.LET(_xlpm.r, _xlfn.XLOOKUP(Clean_Data[[#This Row],[Country_Code]], Metadata_Country!$A:$A, Metadata_Country!$B:$B, "Unknown"), IF(OR(_xlpm.r=0, _xlpm.r=""), "Regional Aggregate", _xlpm.r))</f>
        <v>South Asia</v>
      </c>
      <c r="G2177" s="4" t="str">
        <f>_xlfn.LET(_xlpm.ig, _xlfn.XLOOKUP(Clean_Data[[#This Row],[Country_Code]], Metadata_Country!$A:$A, Metadata_Country!$C:$C, "Unknown"), IF(OR(_xlpm.ig=0, _xlpm.ig=""), "Regional Aggregate", _xlpm.ig))</f>
        <v>Lower middle income</v>
      </c>
      <c r="H2177" s="4">
        <f>Clean_Data[[#This Row],[Exports_TIV]] - Clean_Data[[#This Row],[Imports_TIV]]</f>
        <v>-120000000</v>
      </c>
      <c r="I2177" s="4">
        <f>Clean_Data[[#This Row],[Exports_TIV]] + Clean_Data[[#This Row],[Imports_TIV]]</f>
        <v>120000000</v>
      </c>
    </row>
    <row r="2178" spans="1:9">
      <c r="A2178" s="4" t="s">
        <v>59</v>
      </c>
      <c r="B2178" s="4" t="s">
        <v>60</v>
      </c>
      <c r="C2178" s="5">
        <v>2011</v>
      </c>
      <c r="D2178" s="4">
        <v>98000000</v>
      </c>
      <c r="E2178" s="4">
        <v>75000000</v>
      </c>
      <c r="F2178" s="4" t="str">
        <f>_xlfn.LET(_xlpm.r, _xlfn.XLOOKUP(Clean_Data[[#This Row],[Country_Code]], Metadata_Country!$A:$A, Metadata_Country!$B:$B, "Unknown"), IF(OR(_xlpm.r=0, _xlpm.r=""), "Regional Aggregate", _xlpm.r))</f>
        <v>Europe &amp; Central Asia</v>
      </c>
      <c r="G2178" s="4" t="str">
        <f>_xlfn.LET(_xlpm.ig, _xlfn.XLOOKUP(Clean_Data[[#This Row],[Country_Code]], Metadata_Country!$A:$A, Metadata_Country!$C:$C, "Unknown"), IF(OR(_xlpm.ig=0, _xlpm.ig=""), "Regional Aggregate", _xlpm.ig))</f>
        <v>Upper middle income</v>
      </c>
      <c r="H2178" s="4">
        <f>Clean_Data[[#This Row],[Exports_TIV]] - Clean_Data[[#This Row],[Imports_TIV]]</f>
        <v>23000000</v>
      </c>
      <c r="I2178" s="4">
        <f>Clean_Data[[#This Row],[Exports_TIV]] + Clean_Data[[#This Row],[Imports_TIV]]</f>
        <v>173000000</v>
      </c>
    </row>
    <row r="2179" spans="1:9">
      <c r="A2179" s="4" t="s">
        <v>43</v>
      </c>
      <c r="B2179" s="4" t="s">
        <v>44</v>
      </c>
      <c r="C2179" s="5">
        <v>2011</v>
      </c>
      <c r="D2179" s="4">
        <v>110000000</v>
      </c>
      <c r="E2179" s="4">
        <v>27000000</v>
      </c>
      <c r="F2179" s="4" t="str">
        <f>_xlfn.LET(_xlpm.r, _xlfn.XLOOKUP(Clean_Data[[#This Row],[Country_Code]], Metadata_Country!$A:$A, Metadata_Country!$B:$B, "Unknown"), IF(OR(_xlpm.r=0, _xlpm.r=""), "Regional Aggregate", _xlpm.r))</f>
        <v>Europe &amp; Central Asia</v>
      </c>
      <c r="G2179" s="4" t="str">
        <f>_xlfn.LET(_xlpm.ig, _xlfn.XLOOKUP(Clean_Data[[#This Row],[Country_Code]], Metadata_Country!$A:$A, Metadata_Country!$C:$C, "Unknown"), IF(OR(_xlpm.ig=0, _xlpm.ig=""), "Regional Aggregate", _xlpm.ig))</f>
        <v>High income</v>
      </c>
      <c r="H2179" s="4">
        <f>Clean_Data[[#This Row],[Exports_TIV]] - Clean_Data[[#This Row],[Imports_TIV]]</f>
        <v>83000000</v>
      </c>
      <c r="I2179" s="4">
        <f>Clean_Data[[#This Row],[Exports_TIV]] + Clean_Data[[#This Row],[Imports_TIV]]</f>
        <v>137000000</v>
      </c>
    </row>
    <row r="2180" spans="1:9">
      <c r="A2180" s="4" t="s">
        <v>45</v>
      </c>
      <c r="B2180" s="4" t="s">
        <v>46</v>
      </c>
      <c r="C2180" s="5">
        <v>2011</v>
      </c>
      <c r="D2180" s="4">
        <v>0</v>
      </c>
      <c r="E2180" s="4">
        <v>0</v>
      </c>
      <c r="F2180" s="4" t="str">
        <f>_xlfn.LET(_xlpm.r, _xlfn.XLOOKUP(Clean_Data[[#This Row],[Country_Code]], Metadata_Country!$A:$A, Metadata_Country!$B:$B, "Unknown"), IF(OR(_xlpm.r=0, _xlpm.r=""), "Regional Aggregate", _xlpm.r))</f>
        <v>Sub-Saharan Africa</v>
      </c>
      <c r="G2180" s="4" t="str">
        <f>_xlfn.LET(_xlpm.ig, _xlfn.XLOOKUP(Clean_Data[[#This Row],[Country_Code]], Metadata_Country!$A:$A, Metadata_Country!$C:$C, "Unknown"), IF(OR(_xlpm.ig=0, _xlpm.ig=""), "Regional Aggregate", _xlpm.ig))</f>
        <v>Lower middle income</v>
      </c>
      <c r="H2180" s="4">
        <f>Clean_Data[[#This Row],[Exports_TIV]] - Clean_Data[[#This Row],[Imports_TIV]]</f>
        <v>0</v>
      </c>
      <c r="I2180" s="4">
        <f>Clean_Data[[#This Row],[Exports_TIV]] + Clean_Data[[#This Row],[Imports_TIV]]</f>
        <v>0</v>
      </c>
    </row>
    <row r="2181" spans="1:9">
      <c r="A2181" s="4" t="s">
        <v>65</v>
      </c>
      <c r="B2181" s="4" t="s">
        <v>66</v>
      </c>
      <c r="C2181" s="5">
        <v>2011</v>
      </c>
      <c r="D2181" s="4">
        <v>0</v>
      </c>
      <c r="E2181" s="4">
        <v>25000000</v>
      </c>
      <c r="F2181" s="4" t="str">
        <f>_xlfn.LET(_xlpm.r, _xlfn.XLOOKUP(Clean_Data[[#This Row],[Country_Code]], Metadata_Country!$A:$A, Metadata_Country!$B:$B, "Unknown"), IF(OR(_xlpm.r=0, _xlpm.r=""), "Regional Aggregate", _xlpm.r))</f>
        <v>Latin America &amp; Caribbean</v>
      </c>
      <c r="G2181" s="4" t="str">
        <f>_xlfn.LET(_xlpm.ig, _xlfn.XLOOKUP(Clean_Data[[#This Row],[Country_Code]], Metadata_Country!$A:$A, Metadata_Country!$C:$C, "Unknown"), IF(OR(_xlpm.ig=0, _xlpm.ig=""), "Regional Aggregate", _xlpm.ig))</f>
        <v>Lower middle income</v>
      </c>
      <c r="H2181" s="4">
        <f>Clean_Data[[#This Row],[Exports_TIV]] - Clean_Data[[#This Row],[Imports_TIV]]</f>
        <v>-25000000</v>
      </c>
      <c r="I2181" s="4">
        <f>Clean_Data[[#This Row],[Exports_TIV]] + Clean_Data[[#This Row],[Imports_TIV]]</f>
        <v>25000000</v>
      </c>
    </row>
    <row r="2182" spans="1:9">
      <c r="A2182" s="4" t="s">
        <v>57</v>
      </c>
      <c r="B2182" s="4" t="s">
        <v>58</v>
      </c>
      <c r="C2182" s="5">
        <v>2011</v>
      </c>
      <c r="D2182" s="4">
        <v>14000000</v>
      </c>
      <c r="E2182" s="4">
        <v>0</v>
      </c>
      <c r="F2182" s="4" t="str">
        <f>_xlfn.LET(_xlpm.r, _xlfn.XLOOKUP(Clean_Data[[#This Row],[Country_Code]], Metadata_Country!$A:$A, Metadata_Country!$B:$B, "Unknown"), IF(OR(_xlpm.r=0, _xlpm.r=""), "Regional Aggregate", _xlpm.r))</f>
        <v>Europe &amp; Central Asia</v>
      </c>
      <c r="G2182" s="4" t="str">
        <f>_xlfn.LET(_xlpm.ig, _xlfn.XLOOKUP(Clean_Data[[#This Row],[Country_Code]], Metadata_Country!$A:$A, Metadata_Country!$C:$C, "Unknown"), IF(OR(_xlpm.ig=0, _xlpm.ig=""), "Regional Aggregate", _xlpm.ig))</f>
        <v>Upper middle income</v>
      </c>
      <c r="H2182" s="4">
        <f>Clean_Data[[#This Row],[Exports_TIV]] - Clean_Data[[#This Row],[Imports_TIV]]</f>
        <v>14000000</v>
      </c>
      <c r="I2182" s="4">
        <f>Clean_Data[[#This Row],[Exports_TIV]] + Clean_Data[[#This Row],[Imports_TIV]]</f>
        <v>14000000</v>
      </c>
    </row>
    <row r="2183" spans="1:9">
      <c r="A2183" s="4" t="s">
        <v>67</v>
      </c>
      <c r="B2183" s="4" t="s">
        <v>68</v>
      </c>
      <c r="C2183" s="5">
        <v>2011</v>
      </c>
      <c r="D2183" s="4">
        <v>32000000</v>
      </c>
      <c r="E2183" s="4">
        <v>231000000</v>
      </c>
      <c r="F2183" s="4" t="str">
        <f>_xlfn.LET(_xlpm.r, _xlfn.XLOOKUP(Clean_Data[[#This Row],[Country_Code]], Metadata_Country!$A:$A, Metadata_Country!$B:$B, "Unknown"), IF(OR(_xlpm.r=0, _xlpm.r=""), "Regional Aggregate", _xlpm.r))</f>
        <v>Latin America &amp; Caribbean</v>
      </c>
      <c r="G2183" s="4" t="str">
        <f>_xlfn.LET(_xlpm.ig, _xlfn.XLOOKUP(Clean_Data[[#This Row],[Country_Code]], Metadata_Country!$A:$A, Metadata_Country!$C:$C, "Unknown"), IF(OR(_xlpm.ig=0, _xlpm.ig=""), "Regional Aggregate", _xlpm.ig))</f>
        <v>Upper middle income</v>
      </c>
      <c r="H2183" s="4">
        <f>Clean_Data[[#This Row],[Exports_TIV]] - Clean_Data[[#This Row],[Imports_TIV]]</f>
        <v>-199000000</v>
      </c>
      <c r="I2183" s="4">
        <f>Clean_Data[[#This Row],[Exports_TIV]] + Clean_Data[[#This Row],[Imports_TIV]]</f>
        <v>263000000</v>
      </c>
    </row>
    <row r="2184" spans="1:9">
      <c r="A2184" s="4" t="s">
        <v>71</v>
      </c>
      <c r="B2184" s="4" t="s">
        <v>72</v>
      </c>
      <c r="C2184" s="5">
        <v>2011</v>
      </c>
      <c r="D2184" s="4">
        <v>24000000</v>
      </c>
      <c r="E2184" s="4">
        <v>229000000</v>
      </c>
      <c r="F2184" s="4" t="str">
        <f>_xlfn.LET(_xlpm.r, _xlfn.XLOOKUP(Clean_Data[[#This Row],[Country_Code]], Metadata_Country!$A:$A, Metadata_Country!$B:$B, "Unknown"), IF(OR(_xlpm.r=0, _xlpm.r=""), "Regional Aggregate", _xlpm.r))</f>
        <v>East Asia &amp; Pacific</v>
      </c>
      <c r="G2184" s="4" t="str">
        <f>_xlfn.LET(_xlpm.ig, _xlfn.XLOOKUP(Clean_Data[[#This Row],[Country_Code]], Metadata_Country!$A:$A, Metadata_Country!$C:$C, "Unknown"), IF(OR(_xlpm.ig=0, _xlpm.ig=""), "Regional Aggregate", _xlpm.ig))</f>
        <v>High income</v>
      </c>
      <c r="H2184" s="4">
        <f>Clean_Data[[#This Row],[Exports_TIV]] - Clean_Data[[#This Row],[Imports_TIV]]</f>
        <v>-205000000</v>
      </c>
      <c r="I2184" s="4">
        <f>Clean_Data[[#This Row],[Exports_TIV]] + Clean_Data[[#This Row],[Imports_TIV]]</f>
        <v>253000000</v>
      </c>
    </row>
    <row r="2185" spans="1:9">
      <c r="A2185" s="4" t="s">
        <v>51</v>
      </c>
      <c r="B2185" s="4" t="s">
        <v>52</v>
      </c>
      <c r="C2185" s="5">
        <v>2011</v>
      </c>
      <c r="D2185" s="4">
        <v>2000000</v>
      </c>
      <c r="E2185" s="4">
        <v>29000000</v>
      </c>
      <c r="F2185" s="4" t="str">
        <f>_xlfn.LET(_xlpm.r, _xlfn.XLOOKUP(Clean_Data[[#This Row],[Country_Code]], Metadata_Country!$A:$A, Metadata_Country!$B:$B, "Unknown"), IF(OR(_xlpm.r=0, _xlpm.r=""), "Regional Aggregate", _xlpm.r))</f>
        <v>Europe &amp; Central Asia</v>
      </c>
      <c r="G2185" s="4" t="str">
        <f>_xlfn.LET(_xlpm.ig, _xlfn.XLOOKUP(Clean_Data[[#This Row],[Country_Code]], Metadata_Country!$A:$A, Metadata_Country!$C:$C, "Unknown"), IF(OR(_xlpm.ig=0, _xlpm.ig=""), "Regional Aggregate", _xlpm.ig))</f>
        <v>High income</v>
      </c>
      <c r="H2185" s="4">
        <f>Clean_Data[[#This Row],[Exports_TIV]] - Clean_Data[[#This Row],[Imports_TIV]]</f>
        <v>-27000000</v>
      </c>
      <c r="I2185" s="4">
        <f>Clean_Data[[#This Row],[Exports_TIV]] + Clean_Data[[#This Row],[Imports_TIV]]</f>
        <v>31000000</v>
      </c>
    </row>
    <row r="2186" spans="1:9">
      <c r="A2186" s="4" t="s">
        <v>47</v>
      </c>
      <c r="B2186" s="4" t="s">
        <v>48</v>
      </c>
      <c r="C2186" s="5">
        <v>2011</v>
      </c>
      <c r="D2186" s="4">
        <v>0</v>
      </c>
      <c r="E2186" s="4">
        <v>16000000</v>
      </c>
      <c r="F2186" s="4" t="str">
        <f>_xlfn.LET(_xlpm.r, _xlfn.XLOOKUP(Clean_Data[[#This Row],[Country_Code]], Metadata_Country!$A:$A, Metadata_Country!$B:$B, "Unknown"), IF(OR(_xlpm.r=0, _xlpm.r=""), "Regional Aggregate", _xlpm.r))</f>
        <v>Sub-Saharan Africa</v>
      </c>
      <c r="G2186" s="4" t="str">
        <f>_xlfn.LET(_xlpm.ig, _xlfn.XLOOKUP(Clean_Data[[#This Row],[Country_Code]], Metadata_Country!$A:$A, Metadata_Country!$C:$C, "Unknown"), IF(OR(_xlpm.ig=0, _xlpm.ig=""), "Regional Aggregate", _xlpm.ig))</f>
        <v>Low income</v>
      </c>
      <c r="H2186" s="4">
        <f>Clean_Data[[#This Row],[Exports_TIV]] - Clean_Data[[#This Row],[Imports_TIV]]</f>
        <v>-16000000</v>
      </c>
      <c r="I2186" s="4">
        <f>Clean_Data[[#This Row],[Exports_TIV]] + Clean_Data[[#This Row],[Imports_TIV]]</f>
        <v>16000000</v>
      </c>
    </row>
    <row r="2187" spans="1:9">
      <c r="A2187" s="4" t="s">
        <v>79</v>
      </c>
      <c r="B2187" s="4" t="s">
        <v>80</v>
      </c>
      <c r="C2187" s="5">
        <v>2011</v>
      </c>
      <c r="D2187" s="4">
        <v>277000000</v>
      </c>
      <c r="E2187" s="4">
        <v>356000000</v>
      </c>
      <c r="F2187" s="4" t="str">
        <f>_xlfn.LET(_xlpm.r, _xlfn.XLOOKUP(Clean_Data[[#This Row],[Country_Code]], Metadata_Country!$A:$A, Metadata_Country!$B:$B, "Unknown"), IF(OR(_xlpm.r=0, _xlpm.r=""), "Regional Aggregate", _xlpm.r))</f>
        <v>North America</v>
      </c>
      <c r="G2187" s="4" t="str">
        <f>_xlfn.LET(_xlpm.ig, _xlfn.XLOOKUP(Clean_Data[[#This Row],[Country_Code]], Metadata_Country!$A:$A, Metadata_Country!$C:$C, "Unknown"), IF(OR(_xlpm.ig=0, _xlpm.ig=""), "Regional Aggregate", _xlpm.ig))</f>
        <v>High income</v>
      </c>
      <c r="H2187" s="4">
        <f>Clean_Data[[#This Row],[Exports_TIV]] - Clean_Data[[#This Row],[Imports_TIV]]</f>
        <v>-79000000</v>
      </c>
      <c r="I2187" s="4">
        <f>Clean_Data[[#This Row],[Exports_TIV]] + Clean_Data[[#This Row],[Imports_TIV]]</f>
        <v>633000000</v>
      </c>
    </row>
    <row r="2188" spans="1:9">
      <c r="A2188" s="4" t="s">
        <v>77</v>
      </c>
      <c r="B2188" s="4" t="s">
        <v>78</v>
      </c>
      <c r="C2188" s="5">
        <v>2011</v>
      </c>
      <c r="D2188" s="4">
        <v>0</v>
      </c>
      <c r="E2188" s="4">
        <v>7000000</v>
      </c>
      <c r="F2188" s="4" t="str">
        <f>_xlfn.LET(_xlpm.r, _xlfn.XLOOKUP(Clean_Data[[#This Row],[Country_Code]], Metadata_Country!$A:$A, Metadata_Country!$B:$B, "Unknown"), IF(OR(_xlpm.r=0, _xlpm.r=""), "Regional Aggregate", _xlpm.r))</f>
        <v>Sub-Saharan Africa</v>
      </c>
      <c r="G2188" s="4" t="str">
        <f>_xlfn.LET(_xlpm.ig, _xlfn.XLOOKUP(Clean_Data[[#This Row],[Country_Code]], Metadata_Country!$A:$A, Metadata_Country!$C:$C, "Unknown"), IF(OR(_xlpm.ig=0, _xlpm.ig=""), "Regional Aggregate", _xlpm.ig))</f>
        <v>Low income</v>
      </c>
      <c r="H2188" s="4">
        <f>Clean_Data[[#This Row],[Exports_TIV]] - Clean_Data[[#This Row],[Imports_TIV]]</f>
        <v>-7000000</v>
      </c>
      <c r="I2188" s="4">
        <f>Clean_Data[[#This Row],[Exports_TIV]] + Clean_Data[[#This Row],[Imports_TIV]]</f>
        <v>7000000</v>
      </c>
    </row>
    <row r="2189" spans="1:9">
      <c r="A2189" s="4" t="s">
        <v>81</v>
      </c>
      <c r="B2189" s="4" t="s">
        <v>82</v>
      </c>
      <c r="C2189" s="5">
        <v>2011</v>
      </c>
      <c r="D2189" s="4">
        <v>0</v>
      </c>
      <c r="E2189" s="4">
        <v>443000000</v>
      </c>
      <c r="F2189" s="4" t="str">
        <f>_xlfn.LET(_xlpm.r, _xlfn.XLOOKUP(Clean_Data[[#This Row],[Country_Code]], Metadata_Country!$A:$A, Metadata_Country!$B:$B, "Unknown"), IF(OR(_xlpm.r=0, _xlpm.r=""), "Regional Aggregate", _xlpm.r))</f>
        <v>Regional Aggregate</v>
      </c>
      <c r="G2189" s="4" t="str">
        <f>_xlfn.LET(_xlpm.ig, _xlfn.XLOOKUP(Clean_Data[[#This Row],[Country_Code]], Metadata_Country!$A:$A, Metadata_Country!$C:$C, "Unknown"), IF(OR(_xlpm.ig=0, _xlpm.ig=""), "Regional Aggregate", _xlpm.ig))</f>
        <v>Regional Aggregate</v>
      </c>
      <c r="H2189" s="4">
        <f>Clean_Data[[#This Row],[Exports_TIV]] - Clean_Data[[#This Row],[Imports_TIV]]</f>
        <v>-443000000</v>
      </c>
      <c r="I2189" s="4">
        <f>Clean_Data[[#This Row],[Exports_TIV]] + Clean_Data[[#This Row],[Imports_TIV]]</f>
        <v>443000000</v>
      </c>
    </row>
    <row r="2190" spans="1:9">
      <c r="A2190" s="4" t="s">
        <v>467</v>
      </c>
      <c r="B2190" s="4" t="s">
        <v>468</v>
      </c>
      <c r="C2190" s="5">
        <v>2011</v>
      </c>
      <c r="D2190" s="4">
        <v>0</v>
      </c>
      <c r="E2190" s="4">
        <v>1000000</v>
      </c>
      <c r="F2190" s="4" t="str">
        <f>_xlfn.LET(_xlpm.r, _xlfn.XLOOKUP(Clean_Data[[#This Row],[Country_Code]], Metadata_Country!$A:$A, Metadata_Country!$B:$B, "Unknown"), IF(OR(_xlpm.r=0, _xlpm.r=""), "Regional Aggregate", _xlpm.r))</f>
        <v>Sub-Saharan Africa</v>
      </c>
      <c r="G2190" s="4" t="str">
        <f>_xlfn.LET(_xlpm.ig, _xlfn.XLOOKUP(Clean_Data[[#This Row],[Country_Code]], Metadata_Country!$A:$A, Metadata_Country!$C:$C, "Unknown"), IF(OR(_xlpm.ig=0, _xlpm.ig=""), "Regional Aggregate", _xlpm.ig))</f>
        <v>Low income</v>
      </c>
      <c r="H2190" s="4">
        <f>Clean_Data[[#This Row],[Exports_TIV]] - Clean_Data[[#This Row],[Imports_TIV]]</f>
        <v>-1000000</v>
      </c>
      <c r="I2190" s="4">
        <f>Clean_Data[[#This Row],[Exports_TIV]] + Clean_Data[[#This Row],[Imports_TIV]]</f>
        <v>1000000</v>
      </c>
    </row>
    <row r="2191" spans="1:9">
      <c r="A2191" s="4" t="s">
        <v>87</v>
      </c>
      <c r="B2191" s="4" t="s">
        <v>88</v>
      </c>
      <c r="C2191" s="5">
        <v>2011</v>
      </c>
      <c r="D2191" s="4">
        <v>0</v>
      </c>
      <c r="E2191" s="4">
        <v>326000000</v>
      </c>
      <c r="F2191" s="4" t="str">
        <f>_xlfn.LET(_xlpm.r, _xlfn.XLOOKUP(Clean_Data[[#This Row],[Country_Code]], Metadata_Country!$A:$A, Metadata_Country!$B:$B, "Unknown"), IF(OR(_xlpm.r=0, _xlpm.r=""), "Regional Aggregate", _xlpm.r))</f>
        <v>Latin America &amp; Caribbean</v>
      </c>
      <c r="G2191" s="4" t="str">
        <f>_xlfn.LET(_xlpm.ig, _xlfn.XLOOKUP(Clean_Data[[#This Row],[Country_Code]], Metadata_Country!$A:$A, Metadata_Country!$C:$C, "Unknown"), IF(OR(_xlpm.ig=0, _xlpm.ig=""), "Regional Aggregate", _xlpm.ig))</f>
        <v>High income</v>
      </c>
      <c r="H2191" s="4">
        <f>Clean_Data[[#This Row],[Exports_TIV]] - Clean_Data[[#This Row],[Imports_TIV]]</f>
        <v>-326000000</v>
      </c>
      <c r="I2191" s="4">
        <f>Clean_Data[[#This Row],[Exports_TIV]] + Clean_Data[[#This Row],[Imports_TIV]]</f>
        <v>326000000</v>
      </c>
    </row>
    <row r="2192" spans="1:9">
      <c r="A2192" s="4" t="s">
        <v>89</v>
      </c>
      <c r="B2192" s="4" t="s">
        <v>90</v>
      </c>
      <c r="C2192" s="5">
        <v>2011</v>
      </c>
      <c r="D2192" s="4">
        <v>1308000000</v>
      </c>
      <c r="E2192" s="4">
        <v>1033000000</v>
      </c>
      <c r="F2192" s="4" t="str">
        <f>_xlfn.LET(_xlpm.r, _xlfn.XLOOKUP(Clean_Data[[#This Row],[Country_Code]], Metadata_Country!$A:$A, Metadata_Country!$B:$B, "Unknown"), IF(OR(_xlpm.r=0, _xlpm.r=""), "Regional Aggregate", _xlpm.r))</f>
        <v>East Asia &amp; Pacific</v>
      </c>
      <c r="G2192" s="4" t="str">
        <f>_xlfn.LET(_xlpm.ig, _xlfn.XLOOKUP(Clean_Data[[#This Row],[Country_Code]], Metadata_Country!$A:$A, Metadata_Country!$C:$C, "Unknown"), IF(OR(_xlpm.ig=0, _xlpm.ig=""), "Regional Aggregate", _xlpm.ig))</f>
        <v>Upper middle income</v>
      </c>
      <c r="H2192" s="4">
        <f>Clean_Data[[#This Row],[Exports_TIV]] - Clean_Data[[#This Row],[Imports_TIV]]</f>
        <v>275000000</v>
      </c>
      <c r="I2192" s="4">
        <f>Clean_Data[[#This Row],[Exports_TIV]] + Clean_Data[[#This Row],[Imports_TIV]]</f>
        <v>2341000000</v>
      </c>
    </row>
    <row r="2193" spans="1:9">
      <c r="A2193" s="4" t="s">
        <v>99</v>
      </c>
      <c r="B2193" s="4" t="s">
        <v>100</v>
      </c>
      <c r="C2193" s="5">
        <v>2011</v>
      </c>
      <c r="D2193" s="4">
        <v>0</v>
      </c>
      <c r="E2193" s="4">
        <v>145000000</v>
      </c>
      <c r="F2193" s="4" t="str">
        <f>_xlfn.LET(_xlpm.r, _xlfn.XLOOKUP(Clean_Data[[#This Row],[Country_Code]], Metadata_Country!$A:$A, Metadata_Country!$B:$B, "Unknown"), IF(OR(_xlpm.r=0, _xlpm.r=""), "Regional Aggregate", _xlpm.r))</f>
        <v>Latin America &amp; Caribbean</v>
      </c>
      <c r="G2193" s="4" t="str">
        <f>_xlfn.LET(_xlpm.ig, _xlfn.XLOOKUP(Clean_Data[[#This Row],[Country_Code]], Metadata_Country!$A:$A, Metadata_Country!$C:$C, "Unknown"), IF(OR(_xlpm.ig=0, _xlpm.ig=""), "Regional Aggregate", _xlpm.ig))</f>
        <v>Upper middle income</v>
      </c>
      <c r="H2193" s="4">
        <f>Clean_Data[[#This Row],[Exports_TIV]] - Clean_Data[[#This Row],[Imports_TIV]]</f>
        <v>-145000000</v>
      </c>
      <c r="I2193" s="4">
        <f>Clean_Data[[#This Row],[Exports_TIV]] + Clean_Data[[#This Row],[Imports_TIV]]</f>
        <v>145000000</v>
      </c>
    </row>
    <row r="2194" spans="1:9">
      <c r="A2194" s="4" t="s">
        <v>97</v>
      </c>
      <c r="B2194" s="4" t="s">
        <v>98</v>
      </c>
      <c r="C2194" s="5">
        <v>2011</v>
      </c>
      <c r="D2194" s="4">
        <v>0</v>
      </c>
      <c r="E2194" s="4">
        <v>5000000</v>
      </c>
      <c r="F2194" s="4" t="str">
        <f>_xlfn.LET(_xlpm.r, _xlfn.XLOOKUP(Clean_Data[[#This Row],[Country_Code]], Metadata_Country!$A:$A, Metadata_Country!$B:$B, "Unknown"), IF(OR(_xlpm.r=0, _xlpm.r=""), "Regional Aggregate", _xlpm.r))</f>
        <v>Sub-Saharan Africa</v>
      </c>
      <c r="G2194" s="4" t="str">
        <f>_xlfn.LET(_xlpm.ig, _xlfn.XLOOKUP(Clean_Data[[#This Row],[Country_Code]], Metadata_Country!$A:$A, Metadata_Country!$C:$C, "Unknown"), IF(OR(_xlpm.ig=0, _xlpm.ig=""), "Regional Aggregate", _xlpm.ig))</f>
        <v>Lower middle income</v>
      </c>
      <c r="H2194" s="4">
        <f>Clean_Data[[#This Row],[Exports_TIV]] - Clean_Data[[#This Row],[Imports_TIV]]</f>
        <v>-5000000</v>
      </c>
      <c r="I2194" s="4">
        <f>Clean_Data[[#This Row],[Exports_TIV]] + Clean_Data[[#This Row],[Imports_TIV]]</f>
        <v>5000000</v>
      </c>
    </row>
    <row r="2195" spans="1:9">
      <c r="A2195" s="4" t="s">
        <v>207</v>
      </c>
      <c r="B2195" s="4" t="s">
        <v>208</v>
      </c>
      <c r="C2195" s="5">
        <v>2011</v>
      </c>
      <c r="D2195" s="4">
        <v>0</v>
      </c>
      <c r="E2195" s="4">
        <v>18000000</v>
      </c>
      <c r="F2195" s="4" t="str">
        <f>_xlfn.LET(_xlpm.r, _xlfn.XLOOKUP(Clean_Data[[#This Row],[Country_Code]], Metadata_Country!$A:$A, Metadata_Country!$B:$B, "Unknown"), IF(OR(_xlpm.r=0, _xlpm.r=""), "Regional Aggregate", _xlpm.r))</f>
        <v>Europe &amp; Central Asia</v>
      </c>
      <c r="G2195" s="4" t="str">
        <f>_xlfn.LET(_xlpm.ig, _xlfn.XLOOKUP(Clean_Data[[#This Row],[Country_Code]], Metadata_Country!$A:$A, Metadata_Country!$C:$C, "Unknown"), IF(OR(_xlpm.ig=0, _xlpm.ig=""), "Regional Aggregate", _xlpm.ig))</f>
        <v>High income</v>
      </c>
      <c r="H2195" s="4">
        <f>Clean_Data[[#This Row],[Exports_TIV]] - Clean_Data[[#This Row],[Imports_TIV]]</f>
        <v>-18000000</v>
      </c>
      <c r="I2195" s="4">
        <f>Clean_Data[[#This Row],[Exports_TIV]] + Clean_Data[[#This Row],[Imports_TIV]]</f>
        <v>18000000</v>
      </c>
    </row>
    <row r="2196" spans="1:9">
      <c r="A2196" s="4" t="s">
        <v>115</v>
      </c>
      <c r="B2196" s="4" t="s">
        <v>116</v>
      </c>
      <c r="C2196" s="5">
        <v>2011</v>
      </c>
      <c r="D2196" s="4">
        <v>0</v>
      </c>
      <c r="E2196" s="4">
        <v>41000000</v>
      </c>
      <c r="F2196" s="4" t="str">
        <f>_xlfn.LET(_xlpm.r, _xlfn.XLOOKUP(Clean_Data[[#This Row],[Country_Code]], Metadata_Country!$A:$A, Metadata_Country!$B:$B, "Unknown"), IF(OR(_xlpm.r=0, _xlpm.r=""), "Regional Aggregate", _xlpm.r))</f>
        <v>Europe &amp; Central Asia</v>
      </c>
      <c r="G2196" s="4" t="str">
        <f>_xlfn.LET(_xlpm.ig, _xlfn.XLOOKUP(Clean_Data[[#This Row],[Country_Code]], Metadata_Country!$A:$A, Metadata_Country!$C:$C, "Unknown"), IF(OR(_xlpm.ig=0, _xlpm.ig=""), "Regional Aggregate", _xlpm.ig))</f>
        <v>High income</v>
      </c>
      <c r="H2196" s="4">
        <f>Clean_Data[[#This Row],[Exports_TIV]] - Clean_Data[[#This Row],[Imports_TIV]]</f>
        <v>-41000000</v>
      </c>
      <c r="I2196" s="4">
        <f>Clean_Data[[#This Row],[Exports_TIV]] + Clean_Data[[#This Row],[Imports_TIV]]</f>
        <v>41000000</v>
      </c>
    </row>
    <row r="2197" spans="1:9">
      <c r="A2197" s="4" t="s">
        <v>117</v>
      </c>
      <c r="B2197" s="4" t="s">
        <v>118</v>
      </c>
      <c r="C2197" s="5">
        <v>2011</v>
      </c>
      <c r="D2197" s="4">
        <v>10000000</v>
      </c>
      <c r="E2197" s="4">
        <v>112000000</v>
      </c>
      <c r="F2197" s="4" t="str">
        <f>_xlfn.LET(_xlpm.r, _xlfn.XLOOKUP(Clean_Data[[#This Row],[Country_Code]], Metadata_Country!$A:$A, Metadata_Country!$B:$B, "Unknown"), IF(OR(_xlpm.r=0, _xlpm.r=""), "Regional Aggregate", _xlpm.r))</f>
        <v>Europe &amp; Central Asia</v>
      </c>
      <c r="G2197" s="4" t="str">
        <f>_xlfn.LET(_xlpm.ig, _xlfn.XLOOKUP(Clean_Data[[#This Row],[Country_Code]], Metadata_Country!$A:$A, Metadata_Country!$C:$C, "Unknown"), IF(OR(_xlpm.ig=0, _xlpm.ig=""), "Regional Aggregate", _xlpm.ig))</f>
        <v>High income</v>
      </c>
      <c r="H2197" s="4">
        <f>Clean_Data[[#This Row],[Exports_TIV]] - Clean_Data[[#This Row],[Imports_TIV]]</f>
        <v>-102000000</v>
      </c>
      <c r="I2197" s="4">
        <f>Clean_Data[[#This Row],[Exports_TIV]] + Clean_Data[[#This Row],[Imports_TIV]]</f>
        <v>122000000</v>
      </c>
    </row>
    <row r="2198" spans="1:9">
      <c r="A2198" s="4" t="s">
        <v>125</v>
      </c>
      <c r="B2198" s="4" t="s">
        <v>126</v>
      </c>
      <c r="C2198" s="5">
        <v>2011</v>
      </c>
      <c r="D2198" s="4">
        <v>26000000</v>
      </c>
      <c r="E2198" s="4">
        <v>6000000</v>
      </c>
      <c r="F2198" s="4" t="str">
        <f>_xlfn.LET(_xlpm.r, _xlfn.XLOOKUP(Clean_Data[[#This Row],[Country_Code]], Metadata_Country!$A:$A, Metadata_Country!$B:$B, "Unknown"), IF(OR(_xlpm.r=0, _xlpm.r=""), "Regional Aggregate", _xlpm.r))</f>
        <v>Europe &amp; Central Asia</v>
      </c>
      <c r="G2198" s="4" t="str">
        <f>_xlfn.LET(_xlpm.ig, _xlfn.XLOOKUP(Clean_Data[[#This Row],[Country_Code]], Metadata_Country!$A:$A, Metadata_Country!$C:$C, "Unknown"), IF(OR(_xlpm.ig=0, _xlpm.ig=""), "Regional Aggregate", _xlpm.ig))</f>
        <v>High income</v>
      </c>
      <c r="H2198" s="4">
        <f>Clean_Data[[#This Row],[Exports_TIV]] - Clean_Data[[#This Row],[Imports_TIV]]</f>
        <v>20000000</v>
      </c>
      <c r="I2198" s="4">
        <f>Clean_Data[[#This Row],[Exports_TIV]] + Clean_Data[[#This Row],[Imports_TIV]]</f>
        <v>32000000</v>
      </c>
    </row>
    <row r="2199" spans="1:9">
      <c r="A2199" s="4" t="s">
        <v>127</v>
      </c>
      <c r="B2199" s="4" t="s">
        <v>128</v>
      </c>
      <c r="C2199" s="5">
        <v>2011</v>
      </c>
      <c r="D2199" s="4">
        <v>0</v>
      </c>
      <c r="E2199" s="4">
        <v>12000000</v>
      </c>
      <c r="F2199" s="4" t="str">
        <f>_xlfn.LET(_xlpm.r, _xlfn.XLOOKUP(Clean_Data[[#This Row],[Country_Code]], Metadata_Country!$A:$A, Metadata_Country!$B:$B, "Unknown"), IF(OR(_xlpm.r=0, _xlpm.r=""), "Regional Aggregate", _xlpm.r))</f>
        <v>Latin America &amp; Caribbean</v>
      </c>
      <c r="G2199" s="4" t="str">
        <f>_xlfn.LET(_xlpm.ig, _xlfn.XLOOKUP(Clean_Data[[#This Row],[Country_Code]], Metadata_Country!$A:$A, Metadata_Country!$C:$C, "Unknown"), IF(OR(_xlpm.ig=0, _xlpm.ig=""), "Regional Aggregate", _xlpm.ig))</f>
        <v>Upper middle income</v>
      </c>
      <c r="H2199" s="4">
        <f>Clean_Data[[#This Row],[Exports_TIV]] - Clean_Data[[#This Row],[Imports_TIV]]</f>
        <v>-12000000</v>
      </c>
      <c r="I2199" s="4">
        <f>Clean_Data[[#This Row],[Exports_TIV]] + Clean_Data[[#This Row],[Imports_TIV]]</f>
        <v>12000000</v>
      </c>
    </row>
    <row r="2200" spans="1:9">
      <c r="A2200" s="4" t="s">
        <v>133</v>
      </c>
      <c r="B2200" s="4" t="s">
        <v>134</v>
      </c>
      <c r="C2200" s="5">
        <v>2011</v>
      </c>
      <c r="D2200" s="4">
        <v>0</v>
      </c>
      <c r="E2200" s="4">
        <v>12247000000</v>
      </c>
      <c r="F2200" s="4" t="str">
        <f>_xlfn.LET(_xlpm.r, _xlfn.XLOOKUP(Clean_Data[[#This Row],[Country_Code]], Metadata_Country!$A:$A, Metadata_Country!$B:$B, "Unknown"), IF(OR(_xlpm.r=0, _xlpm.r=""), "Regional Aggregate", _xlpm.r))</f>
        <v>Regional Aggregate</v>
      </c>
      <c r="G2200" s="4" t="str">
        <f>_xlfn.LET(_xlpm.ig, _xlfn.XLOOKUP(Clean_Data[[#This Row],[Country_Code]], Metadata_Country!$A:$A, Metadata_Country!$C:$C, "Unknown"), IF(OR(_xlpm.ig=0, _xlpm.ig=""), "Regional Aggregate", _xlpm.ig))</f>
        <v>Regional Aggregate</v>
      </c>
      <c r="H2200" s="4">
        <f>Clean_Data[[#This Row],[Exports_TIV]] - Clean_Data[[#This Row],[Imports_TIV]]</f>
        <v>-12247000000</v>
      </c>
      <c r="I2200" s="4">
        <f>Clean_Data[[#This Row],[Exports_TIV]] + Clean_Data[[#This Row],[Imports_TIV]]</f>
        <v>12247000000</v>
      </c>
    </row>
    <row r="2201" spans="1:9">
      <c r="A2201" s="4" t="s">
        <v>135</v>
      </c>
      <c r="B2201" s="4" t="s">
        <v>136</v>
      </c>
      <c r="C2201" s="5">
        <v>2011</v>
      </c>
      <c r="D2201" s="4">
        <v>0</v>
      </c>
      <c r="E2201" s="4">
        <v>8084000000</v>
      </c>
      <c r="F2201" s="4" t="str">
        <f>_xlfn.LET(_xlpm.r, _xlfn.XLOOKUP(Clean_Data[[#This Row],[Country_Code]], Metadata_Country!$A:$A, Metadata_Country!$B:$B, "Unknown"), IF(OR(_xlpm.r=0, _xlpm.r=""), "Regional Aggregate", _xlpm.r))</f>
        <v>Regional Aggregate</v>
      </c>
      <c r="G2201" s="4" t="str">
        <f>_xlfn.LET(_xlpm.ig, _xlfn.XLOOKUP(Clean_Data[[#This Row],[Country_Code]], Metadata_Country!$A:$A, Metadata_Country!$C:$C, "Unknown"), IF(OR(_xlpm.ig=0, _xlpm.ig=""), "Regional Aggregate", _xlpm.ig))</f>
        <v>Regional Aggregate</v>
      </c>
      <c r="H2201" s="4">
        <f>Clean_Data[[#This Row],[Exports_TIV]] - Clean_Data[[#This Row],[Imports_TIV]]</f>
        <v>-8084000000</v>
      </c>
      <c r="I2201" s="4">
        <f>Clean_Data[[#This Row],[Exports_TIV]] + Clean_Data[[#This Row],[Imports_TIV]]</f>
        <v>8084000000</v>
      </c>
    </row>
    <row r="2202" spans="1:9">
      <c r="A2202" s="4" t="s">
        <v>131</v>
      </c>
      <c r="B2202" s="4" t="s">
        <v>132</v>
      </c>
      <c r="C2202" s="5">
        <v>2011</v>
      </c>
      <c r="D2202" s="4">
        <v>1312000000</v>
      </c>
      <c r="E2202" s="4">
        <v>3325000000</v>
      </c>
      <c r="F2202" s="4" t="str">
        <f>_xlfn.LET(_xlpm.r, _xlfn.XLOOKUP(Clean_Data[[#This Row],[Country_Code]], Metadata_Country!$A:$A, Metadata_Country!$B:$B, "Unknown"), IF(OR(_xlpm.r=0, _xlpm.r=""), "Regional Aggregate", _xlpm.r))</f>
        <v>Regional Aggregate</v>
      </c>
      <c r="G2202" s="4" t="str">
        <f>_xlfn.LET(_xlpm.ig, _xlfn.XLOOKUP(Clean_Data[[#This Row],[Country_Code]], Metadata_Country!$A:$A, Metadata_Country!$C:$C, "Unknown"), IF(OR(_xlpm.ig=0, _xlpm.ig=""), "Regional Aggregate", _xlpm.ig))</f>
        <v>Regional Aggregate</v>
      </c>
      <c r="H2202" s="4">
        <f>Clean_Data[[#This Row],[Exports_TIV]] - Clean_Data[[#This Row],[Imports_TIV]]</f>
        <v>-2013000000</v>
      </c>
      <c r="I2202" s="4">
        <f>Clean_Data[[#This Row],[Exports_TIV]] + Clean_Data[[#This Row],[Imports_TIV]]</f>
        <v>4637000000</v>
      </c>
    </row>
    <row r="2203" spans="1:9">
      <c r="A2203" s="4" t="s">
        <v>469</v>
      </c>
      <c r="B2203" s="4" t="s">
        <v>470</v>
      </c>
      <c r="C2203" s="5">
        <v>2011</v>
      </c>
      <c r="D2203" s="4">
        <v>1312000000</v>
      </c>
      <c r="E2203" s="4">
        <v>3325000000</v>
      </c>
      <c r="F2203" s="4" t="str">
        <f>_xlfn.LET(_xlpm.r, _xlfn.XLOOKUP(Clean_Data[[#This Row],[Country_Code]], Metadata_Country!$A:$A, Metadata_Country!$B:$B, "Unknown"), IF(OR(_xlpm.r=0, _xlpm.r=""), "Regional Aggregate", _xlpm.r))</f>
        <v>Regional Aggregate</v>
      </c>
      <c r="G2203" s="4" t="str">
        <f>_xlfn.LET(_xlpm.ig, _xlfn.XLOOKUP(Clean_Data[[#This Row],[Country_Code]], Metadata_Country!$A:$A, Metadata_Country!$C:$C, "Unknown"), IF(OR(_xlpm.ig=0, _xlpm.ig=""), "Regional Aggregate", _xlpm.ig))</f>
        <v>Regional Aggregate</v>
      </c>
      <c r="H2203" s="4">
        <f>Clean_Data[[#This Row],[Exports_TIV]] - Clean_Data[[#This Row],[Imports_TIV]]</f>
        <v>-2013000000</v>
      </c>
      <c r="I2203" s="4">
        <f>Clean_Data[[#This Row],[Exports_TIV]] + Clean_Data[[#This Row],[Imports_TIV]]</f>
        <v>4637000000</v>
      </c>
    </row>
    <row r="2204" spans="1:9">
      <c r="A2204" s="4" t="s">
        <v>141</v>
      </c>
      <c r="B2204" s="4" t="s">
        <v>142</v>
      </c>
      <c r="C2204" s="5">
        <v>2011</v>
      </c>
      <c r="D2204" s="4">
        <v>0</v>
      </c>
      <c r="E2204" s="4">
        <v>70000000</v>
      </c>
      <c r="F2204" s="4" t="str">
        <f>_xlfn.LET(_xlpm.r, _xlfn.XLOOKUP(Clean_Data[[#This Row],[Country_Code]], Metadata_Country!$A:$A, Metadata_Country!$B:$B, "Unknown"), IF(OR(_xlpm.r=0, _xlpm.r=""), "Regional Aggregate", _xlpm.r))</f>
        <v>Latin America &amp; Caribbean</v>
      </c>
      <c r="G2204" s="4" t="str">
        <f>_xlfn.LET(_xlpm.ig, _xlfn.XLOOKUP(Clean_Data[[#This Row],[Country_Code]], Metadata_Country!$A:$A, Metadata_Country!$C:$C, "Unknown"), IF(OR(_xlpm.ig=0, _xlpm.ig=""), "Regional Aggregate", _xlpm.ig))</f>
        <v>Upper middle income</v>
      </c>
      <c r="H2204" s="4">
        <f>Clean_Data[[#This Row],[Exports_TIV]] - Clean_Data[[#This Row],[Imports_TIV]]</f>
        <v>-70000000</v>
      </c>
      <c r="I2204" s="4">
        <f>Clean_Data[[#This Row],[Exports_TIV]] + Clean_Data[[#This Row],[Imports_TIV]]</f>
        <v>70000000</v>
      </c>
    </row>
    <row r="2205" spans="1:9">
      <c r="A2205" s="4" t="s">
        <v>143</v>
      </c>
      <c r="B2205" s="4" t="s">
        <v>144</v>
      </c>
      <c r="C2205" s="5">
        <v>2011</v>
      </c>
      <c r="D2205" s="4">
        <v>0</v>
      </c>
      <c r="E2205" s="4">
        <v>653000000</v>
      </c>
      <c r="F2205" s="4" t="str">
        <f>_xlfn.LET(_xlpm.r, _xlfn.XLOOKUP(Clean_Data[[#This Row],[Country_Code]], Metadata_Country!$A:$A, Metadata_Country!$B:$B, "Unknown"), IF(OR(_xlpm.r=0, _xlpm.r=""), "Regional Aggregate", _xlpm.r))</f>
        <v>Middle East &amp; North Africa</v>
      </c>
      <c r="G2205" s="4" t="str">
        <f>_xlfn.LET(_xlpm.ig, _xlfn.XLOOKUP(Clean_Data[[#This Row],[Country_Code]], Metadata_Country!$A:$A, Metadata_Country!$C:$C, "Unknown"), IF(OR(_xlpm.ig=0, _xlpm.ig=""), "Regional Aggregate", _xlpm.ig))</f>
        <v>Lower middle income</v>
      </c>
      <c r="H2205" s="4">
        <f>Clean_Data[[#This Row],[Exports_TIV]] - Clean_Data[[#This Row],[Imports_TIV]]</f>
        <v>-653000000</v>
      </c>
      <c r="I2205" s="4">
        <f>Clean_Data[[#This Row],[Exports_TIV]] + Clean_Data[[#This Row],[Imports_TIV]]</f>
        <v>653000000</v>
      </c>
    </row>
    <row r="2206" spans="1:9">
      <c r="A2206" s="4" t="s">
        <v>431</v>
      </c>
      <c r="B2206" s="4" t="s">
        <v>432</v>
      </c>
      <c r="C2206" s="5">
        <v>2011</v>
      </c>
      <c r="D2206" s="4">
        <v>0</v>
      </c>
      <c r="E2206" s="4">
        <v>2000000</v>
      </c>
      <c r="F2206" s="4" t="str">
        <f>_xlfn.LET(_xlpm.r, _xlfn.XLOOKUP(Clean_Data[[#This Row],[Country_Code]], Metadata_Country!$A:$A, Metadata_Country!$B:$B, "Unknown"), IF(OR(_xlpm.r=0, _xlpm.r=""), "Regional Aggregate", _xlpm.r))</f>
        <v>Latin America &amp; Caribbean</v>
      </c>
      <c r="G2206" s="4" t="str">
        <f>_xlfn.LET(_xlpm.ig, _xlfn.XLOOKUP(Clean_Data[[#This Row],[Country_Code]], Metadata_Country!$A:$A, Metadata_Country!$C:$C, "Unknown"), IF(OR(_xlpm.ig=0, _xlpm.ig=""), "Regional Aggregate", _xlpm.ig))</f>
        <v>Upper middle income</v>
      </c>
      <c r="H2206" s="4">
        <f>Clean_Data[[#This Row],[Exports_TIV]] - Clean_Data[[#This Row],[Imports_TIV]]</f>
        <v>-2000000</v>
      </c>
      <c r="I2206" s="4">
        <f>Clean_Data[[#This Row],[Exports_TIV]] + Clean_Data[[#This Row],[Imports_TIV]]</f>
        <v>2000000</v>
      </c>
    </row>
    <row r="2207" spans="1:9">
      <c r="A2207" s="4" t="s">
        <v>185</v>
      </c>
      <c r="B2207" s="4" t="s">
        <v>186</v>
      </c>
      <c r="C2207" s="5">
        <v>2011</v>
      </c>
      <c r="D2207" s="4">
        <v>0</v>
      </c>
      <c r="E2207" s="4">
        <v>56000000</v>
      </c>
      <c r="F2207" s="4" t="str">
        <f>_xlfn.LET(_xlpm.r, _xlfn.XLOOKUP(Clean_Data[[#This Row],[Country_Code]], Metadata_Country!$A:$A, Metadata_Country!$B:$B, "Unknown"), IF(OR(_xlpm.r=0, _xlpm.r=""), "Regional Aggregate", _xlpm.r))</f>
        <v>Sub-Saharan Africa</v>
      </c>
      <c r="G2207" s="4" t="str">
        <f>_xlfn.LET(_xlpm.ig, _xlfn.XLOOKUP(Clean_Data[[#This Row],[Country_Code]], Metadata_Country!$A:$A, Metadata_Country!$C:$C, "Unknown"), IF(OR(_xlpm.ig=0, _xlpm.ig=""), "Regional Aggregate", _xlpm.ig))</f>
        <v>Upper middle income</v>
      </c>
      <c r="H2207" s="4">
        <f>Clean_Data[[#This Row],[Exports_TIV]] - Clean_Data[[#This Row],[Imports_TIV]]</f>
        <v>-56000000</v>
      </c>
      <c r="I2207" s="4">
        <f>Clean_Data[[#This Row],[Exports_TIV]] + Clean_Data[[#This Row],[Imports_TIV]]</f>
        <v>56000000</v>
      </c>
    </row>
    <row r="2208" spans="1:9">
      <c r="A2208" s="4" t="s">
        <v>151</v>
      </c>
      <c r="B2208" s="4" t="s">
        <v>152</v>
      </c>
      <c r="C2208" s="5">
        <v>2011</v>
      </c>
      <c r="D2208" s="4">
        <v>0</v>
      </c>
      <c r="E2208" s="4">
        <v>1000000</v>
      </c>
      <c r="F2208" s="4" t="str">
        <f>_xlfn.LET(_xlpm.r, _xlfn.XLOOKUP(Clean_Data[[#This Row],[Country_Code]], Metadata_Country!$A:$A, Metadata_Country!$B:$B, "Unknown"), IF(OR(_xlpm.r=0, _xlpm.r=""), "Regional Aggregate", _xlpm.r))</f>
        <v>Europe &amp; Central Asia</v>
      </c>
      <c r="G2208" s="4" t="str">
        <f>_xlfn.LET(_xlpm.ig, _xlfn.XLOOKUP(Clean_Data[[#This Row],[Country_Code]], Metadata_Country!$A:$A, Metadata_Country!$C:$C, "Unknown"), IF(OR(_xlpm.ig=0, _xlpm.ig=""), "Regional Aggregate", _xlpm.ig))</f>
        <v>High income</v>
      </c>
      <c r="H2208" s="4">
        <f>Clean_Data[[#This Row],[Exports_TIV]] - Clean_Data[[#This Row],[Imports_TIV]]</f>
        <v>-1000000</v>
      </c>
      <c r="I2208" s="4">
        <f>Clean_Data[[#This Row],[Exports_TIV]] + Clean_Data[[#This Row],[Imports_TIV]]</f>
        <v>1000000</v>
      </c>
    </row>
    <row r="2209" spans="1:9">
      <c r="A2209" s="4" t="s">
        <v>153</v>
      </c>
      <c r="B2209" s="4" t="s">
        <v>154</v>
      </c>
      <c r="C2209" s="5">
        <v>2011</v>
      </c>
      <c r="D2209" s="4">
        <v>0</v>
      </c>
      <c r="E2209" s="4">
        <v>76000000</v>
      </c>
      <c r="F2209" s="4" t="str">
        <f>_xlfn.LET(_xlpm.r, _xlfn.XLOOKUP(Clean_Data[[#This Row],[Country_Code]], Metadata_Country!$A:$A, Metadata_Country!$B:$B, "Unknown"), IF(OR(_xlpm.r=0, _xlpm.r=""), "Regional Aggregate", _xlpm.r))</f>
        <v>Sub-Saharan Africa</v>
      </c>
      <c r="G2209" s="4" t="str">
        <f>_xlfn.LET(_xlpm.ig, _xlfn.XLOOKUP(Clean_Data[[#This Row],[Country_Code]], Metadata_Country!$A:$A, Metadata_Country!$C:$C, "Unknown"), IF(OR(_xlpm.ig=0, _xlpm.ig=""), "Regional Aggregate", _xlpm.ig))</f>
        <v>Low income</v>
      </c>
      <c r="H2209" s="4">
        <f>Clean_Data[[#This Row],[Exports_TIV]] - Clean_Data[[#This Row],[Imports_TIV]]</f>
        <v>-76000000</v>
      </c>
      <c r="I2209" s="4">
        <f>Clean_Data[[#This Row],[Exports_TIV]] + Clean_Data[[#This Row],[Imports_TIV]]</f>
        <v>76000000</v>
      </c>
    </row>
    <row r="2210" spans="1:9">
      <c r="A2210" s="4" t="s">
        <v>145</v>
      </c>
      <c r="B2210" s="4" t="s">
        <v>146</v>
      </c>
      <c r="C2210" s="5">
        <v>2011</v>
      </c>
      <c r="D2210" s="4">
        <v>6029000000</v>
      </c>
      <c r="E2210" s="4">
        <v>1171000000</v>
      </c>
      <c r="F2210" s="4" t="str">
        <f>_xlfn.LET(_xlpm.r, _xlfn.XLOOKUP(Clean_Data[[#This Row],[Country_Code]], Metadata_Country!$A:$A, Metadata_Country!$B:$B, "Unknown"), IF(OR(_xlpm.r=0, _xlpm.r=""), "Regional Aggregate", _xlpm.r))</f>
        <v>Regional Aggregate</v>
      </c>
      <c r="G2210" s="4" t="str">
        <f>_xlfn.LET(_xlpm.ig, _xlfn.XLOOKUP(Clean_Data[[#This Row],[Country_Code]], Metadata_Country!$A:$A, Metadata_Country!$C:$C, "Unknown"), IF(OR(_xlpm.ig=0, _xlpm.ig=""), "Regional Aggregate", _xlpm.ig))</f>
        <v>Regional Aggregate</v>
      </c>
      <c r="H2210" s="4">
        <f>Clean_Data[[#This Row],[Exports_TIV]] - Clean_Data[[#This Row],[Imports_TIV]]</f>
        <v>4858000000</v>
      </c>
      <c r="I2210" s="4">
        <f>Clean_Data[[#This Row],[Exports_TIV]] + Clean_Data[[#This Row],[Imports_TIV]]</f>
        <v>7200000000</v>
      </c>
    </row>
    <row r="2211" spans="1:9">
      <c r="A2211" s="4" t="s">
        <v>139</v>
      </c>
      <c r="B2211" s="4" t="s">
        <v>140</v>
      </c>
      <c r="C2211" s="5">
        <v>2011</v>
      </c>
      <c r="D2211" s="4">
        <v>17938000000</v>
      </c>
      <c r="E2211" s="4">
        <v>4478000000</v>
      </c>
      <c r="F2211" s="4" t="str">
        <f>_xlfn.LET(_xlpm.r, _xlfn.XLOOKUP(Clean_Data[[#This Row],[Country_Code]], Metadata_Country!$A:$A, Metadata_Country!$B:$B, "Unknown"), IF(OR(_xlpm.r=0, _xlpm.r=""), "Regional Aggregate", _xlpm.r))</f>
        <v>Regional Aggregate</v>
      </c>
      <c r="G2211" s="4" t="str">
        <f>_xlfn.LET(_xlpm.ig, _xlfn.XLOOKUP(Clean_Data[[#This Row],[Country_Code]], Metadata_Country!$A:$A, Metadata_Country!$C:$C, "Unknown"), IF(OR(_xlpm.ig=0, _xlpm.ig=""), "Regional Aggregate", _xlpm.ig))</f>
        <v>Regional Aggregate</v>
      </c>
      <c r="H2211" s="4">
        <f>Clean_Data[[#This Row],[Exports_TIV]] - Clean_Data[[#This Row],[Imports_TIV]]</f>
        <v>13460000000</v>
      </c>
      <c r="I2211" s="4">
        <f>Clean_Data[[#This Row],[Exports_TIV]] + Clean_Data[[#This Row],[Imports_TIV]]</f>
        <v>22416000000</v>
      </c>
    </row>
    <row r="2212" spans="1:9">
      <c r="A2212" s="4" t="s">
        <v>137</v>
      </c>
      <c r="B2212" s="4" t="s">
        <v>138</v>
      </c>
      <c r="C2212" s="5">
        <v>2011</v>
      </c>
      <c r="D2212" s="4">
        <v>1002000000</v>
      </c>
      <c r="E2212" s="4">
        <v>1745000000</v>
      </c>
      <c r="F2212" s="4" t="str">
        <f>_xlfn.LET(_xlpm.r, _xlfn.XLOOKUP(Clean_Data[[#This Row],[Country_Code]], Metadata_Country!$A:$A, Metadata_Country!$B:$B, "Unknown"), IF(OR(_xlpm.r=0, _xlpm.r=""), "Regional Aggregate", _xlpm.r))</f>
        <v>Regional Aggregate</v>
      </c>
      <c r="G2212" s="4" t="str">
        <f>_xlfn.LET(_xlpm.ig, _xlfn.XLOOKUP(Clean_Data[[#This Row],[Country_Code]], Metadata_Country!$A:$A, Metadata_Country!$C:$C, "Unknown"), IF(OR(_xlpm.ig=0, _xlpm.ig=""), "Regional Aggregate", _xlpm.ig))</f>
        <v>Regional Aggregate</v>
      </c>
      <c r="H2212" s="4">
        <f>Clean_Data[[#This Row],[Exports_TIV]] - Clean_Data[[#This Row],[Imports_TIV]]</f>
        <v>-743000000</v>
      </c>
      <c r="I2212" s="4">
        <f>Clean_Data[[#This Row],[Exports_TIV]] + Clean_Data[[#This Row],[Imports_TIV]]</f>
        <v>2747000000</v>
      </c>
    </row>
    <row r="2213" spans="1:9">
      <c r="A2213" s="4" t="s">
        <v>471</v>
      </c>
      <c r="B2213" s="4" t="s">
        <v>472</v>
      </c>
      <c r="C2213" s="5">
        <v>2011</v>
      </c>
      <c r="D2213" s="4">
        <v>9805000000</v>
      </c>
      <c r="E2213" s="4">
        <v>2023000000</v>
      </c>
      <c r="F2213" s="4" t="str">
        <f>_xlfn.LET(_xlpm.r, _xlfn.XLOOKUP(Clean_Data[[#This Row],[Country_Code]], Metadata_Country!$A:$A, Metadata_Country!$B:$B, "Unknown"), IF(OR(_xlpm.r=0, _xlpm.r=""), "Regional Aggregate", _xlpm.r))</f>
        <v>Regional Aggregate</v>
      </c>
      <c r="G2213" s="4" t="str">
        <f>_xlfn.LET(_xlpm.ig, _xlfn.XLOOKUP(Clean_Data[[#This Row],[Country_Code]], Metadata_Country!$A:$A, Metadata_Country!$C:$C, "Unknown"), IF(OR(_xlpm.ig=0, _xlpm.ig=""), "Regional Aggregate", _xlpm.ig))</f>
        <v>Regional Aggregate</v>
      </c>
      <c r="H2213" s="4">
        <f>Clean_Data[[#This Row],[Exports_TIV]] - Clean_Data[[#This Row],[Imports_TIV]]</f>
        <v>7782000000</v>
      </c>
      <c r="I2213" s="4">
        <f>Clean_Data[[#This Row],[Exports_TIV]] + Clean_Data[[#This Row],[Imports_TIV]]</f>
        <v>11828000000</v>
      </c>
    </row>
    <row r="2214" spans="1:9">
      <c r="A2214" s="4" t="s">
        <v>155</v>
      </c>
      <c r="B2214" s="4" t="s">
        <v>156</v>
      </c>
      <c r="C2214" s="5">
        <v>2011</v>
      </c>
      <c r="D2214" s="4">
        <v>6731000000</v>
      </c>
      <c r="E2214" s="4">
        <v>1703000000</v>
      </c>
      <c r="F2214" s="4" t="str">
        <f>_xlfn.LET(_xlpm.r, _xlfn.XLOOKUP(Clean_Data[[#This Row],[Country_Code]], Metadata_Country!$A:$A, Metadata_Country!$B:$B, "Unknown"), IF(OR(_xlpm.r=0, _xlpm.r=""), "Regional Aggregate", _xlpm.r))</f>
        <v>Regional Aggregate</v>
      </c>
      <c r="G2214" s="4" t="str">
        <f>_xlfn.LET(_xlpm.ig, _xlfn.XLOOKUP(Clean_Data[[#This Row],[Country_Code]], Metadata_Country!$A:$A, Metadata_Country!$C:$C, "Unknown"), IF(OR(_xlpm.ig=0, _xlpm.ig=""), "Regional Aggregate", _xlpm.ig))</f>
        <v>Regional Aggregate</v>
      </c>
      <c r="H2214" s="4">
        <f>Clean_Data[[#This Row],[Exports_TIV]] - Clean_Data[[#This Row],[Imports_TIV]]</f>
        <v>5028000000</v>
      </c>
      <c r="I2214" s="4">
        <f>Clean_Data[[#This Row],[Exports_TIV]] + Clean_Data[[#This Row],[Imports_TIV]]</f>
        <v>8434000000</v>
      </c>
    </row>
    <row r="2215" spans="1:9">
      <c r="A2215" s="4" t="s">
        <v>159</v>
      </c>
      <c r="B2215" s="4" t="s">
        <v>160</v>
      </c>
      <c r="C2215" s="5">
        <v>2011</v>
      </c>
      <c r="D2215" s="4">
        <v>70000000</v>
      </c>
      <c r="E2215" s="4">
        <v>60000000</v>
      </c>
      <c r="F2215" s="4" t="str">
        <f>_xlfn.LET(_xlpm.r, _xlfn.XLOOKUP(Clean_Data[[#This Row],[Country_Code]], Metadata_Country!$A:$A, Metadata_Country!$B:$B, "Unknown"), IF(OR(_xlpm.r=0, _xlpm.r=""), "Regional Aggregate", _xlpm.r))</f>
        <v>Europe &amp; Central Asia</v>
      </c>
      <c r="G2215" s="4" t="str">
        <f>_xlfn.LET(_xlpm.ig, _xlfn.XLOOKUP(Clean_Data[[#This Row],[Country_Code]], Metadata_Country!$A:$A, Metadata_Country!$C:$C, "Unknown"), IF(OR(_xlpm.ig=0, _xlpm.ig=""), "Regional Aggregate", _xlpm.ig))</f>
        <v>High income</v>
      </c>
      <c r="H2215" s="4">
        <f>Clean_Data[[#This Row],[Exports_TIV]] - Clean_Data[[#This Row],[Imports_TIV]]</f>
        <v>10000000</v>
      </c>
      <c r="I2215" s="4">
        <f>Clean_Data[[#This Row],[Exports_TIV]] + Clean_Data[[#This Row],[Imports_TIV]]</f>
        <v>130000000</v>
      </c>
    </row>
    <row r="2216" spans="1:9">
      <c r="A2216" s="4" t="s">
        <v>163</v>
      </c>
      <c r="B2216" s="4" t="s">
        <v>164</v>
      </c>
      <c r="C2216" s="5">
        <v>2011</v>
      </c>
      <c r="D2216" s="4">
        <v>2079000000</v>
      </c>
      <c r="E2216" s="4">
        <v>41000000</v>
      </c>
      <c r="F2216" s="4" t="str">
        <f>_xlfn.LET(_xlpm.r, _xlfn.XLOOKUP(Clean_Data[[#This Row],[Country_Code]], Metadata_Country!$A:$A, Metadata_Country!$B:$B, "Unknown"), IF(OR(_xlpm.r=0, _xlpm.r=""), "Regional Aggregate", _xlpm.r))</f>
        <v>Europe &amp; Central Asia</v>
      </c>
      <c r="G2216" s="4" t="str">
        <f>_xlfn.LET(_xlpm.ig, _xlfn.XLOOKUP(Clean_Data[[#This Row],[Country_Code]], Metadata_Country!$A:$A, Metadata_Country!$C:$C, "Unknown"), IF(OR(_xlpm.ig=0, _xlpm.ig=""), "Regional Aggregate", _xlpm.ig))</f>
        <v>High income</v>
      </c>
      <c r="H2216" s="4">
        <f>Clean_Data[[#This Row],[Exports_TIV]] - Clean_Data[[#This Row],[Imports_TIV]]</f>
        <v>2038000000</v>
      </c>
      <c r="I2216" s="4">
        <f>Clean_Data[[#This Row],[Exports_TIV]] + Clean_Data[[#This Row],[Imports_TIV]]</f>
        <v>2120000000</v>
      </c>
    </row>
    <row r="2217" spans="1:9">
      <c r="A2217" s="4" t="s">
        <v>169</v>
      </c>
      <c r="B2217" s="4" t="s">
        <v>170</v>
      </c>
      <c r="C2217" s="5">
        <v>2011</v>
      </c>
      <c r="D2217" s="4">
        <v>0</v>
      </c>
      <c r="E2217" s="4">
        <v>5000000</v>
      </c>
      <c r="F2217" s="4" t="str">
        <f>_xlfn.LET(_xlpm.r, _xlfn.XLOOKUP(Clean_Data[[#This Row],[Country_Code]], Metadata_Country!$A:$A, Metadata_Country!$B:$B, "Unknown"), IF(OR(_xlpm.r=0, _xlpm.r=""), "Regional Aggregate", _xlpm.r))</f>
        <v>Sub-Saharan Africa</v>
      </c>
      <c r="G2217" s="4" t="str">
        <f>_xlfn.LET(_xlpm.ig, _xlfn.XLOOKUP(Clean_Data[[#This Row],[Country_Code]], Metadata_Country!$A:$A, Metadata_Country!$C:$C, "Unknown"), IF(OR(_xlpm.ig=0, _xlpm.ig=""), "Regional Aggregate", _xlpm.ig))</f>
        <v>Upper middle income</v>
      </c>
      <c r="H2217" s="4">
        <f>Clean_Data[[#This Row],[Exports_TIV]] - Clean_Data[[#This Row],[Imports_TIV]]</f>
        <v>-5000000</v>
      </c>
      <c r="I2217" s="4">
        <f>Clean_Data[[#This Row],[Exports_TIV]] + Clean_Data[[#This Row],[Imports_TIV]]</f>
        <v>5000000</v>
      </c>
    </row>
    <row r="2218" spans="1:9">
      <c r="A2218" s="4" t="s">
        <v>173</v>
      </c>
      <c r="B2218" s="4" t="s">
        <v>174</v>
      </c>
      <c r="C2218" s="5">
        <v>2011</v>
      </c>
      <c r="D2218" s="4">
        <v>0</v>
      </c>
      <c r="E2218" s="4">
        <v>2000000</v>
      </c>
      <c r="F2218" s="4" t="str">
        <f>_xlfn.LET(_xlpm.r, _xlfn.XLOOKUP(Clean_Data[[#This Row],[Country_Code]], Metadata_Country!$A:$A, Metadata_Country!$B:$B, "Unknown"), IF(OR(_xlpm.r=0, _xlpm.r=""), "Regional Aggregate", _xlpm.r))</f>
        <v>Europe &amp; Central Asia</v>
      </c>
      <c r="G2218" s="4" t="str">
        <f>_xlfn.LET(_xlpm.ig, _xlfn.XLOOKUP(Clean_Data[[#This Row],[Country_Code]], Metadata_Country!$A:$A, Metadata_Country!$C:$C, "Unknown"), IF(OR(_xlpm.ig=0, _xlpm.ig=""), "Regional Aggregate", _xlpm.ig))</f>
        <v>Upper middle income</v>
      </c>
      <c r="H2218" s="4">
        <f>Clean_Data[[#This Row],[Exports_TIV]] - Clean_Data[[#This Row],[Imports_TIV]]</f>
        <v>-2000000</v>
      </c>
      <c r="I2218" s="4">
        <f>Clean_Data[[#This Row],[Exports_TIV]] + Clean_Data[[#This Row],[Imports_TIV]]</f>
        <v>2000000</v>
      </c>
    </row>
    <row r="2219" spans="1:9">
      <c r="A2219" s="4" t="s">
        <v>119</v>
      </c>
      <c r="B2219" s="4" t="s">
        <v>120</v>
      </c>
      <c r="C2219" s="5">
        <v>2011</v>
      </c>
      <c r="D2219" s="4">
        <v>1203000000</v>
      </c>
      <c r="E2219" s="4">
        <v>79000000</v>
      </c>
      <c r="F2219" s="4" t="str">
        <f>_xlfn.LET(_xlpm.r, _xlfn.XLOOKUP(Clean_Data[[#This Row],[Country_Code]], Metadata_Country!$A:$A, Metadata_Country!$B:$B, "Unknown"), IF(OR(_xlpm.r=0, _xlpm.r=""), "Regional Aggregate", _xlpm.r))</f>
        <v>Europe &amp; Central Asia</v>
      </c>
      <c r="G2219" s="4" t="str">
        <f>_xlfn.LET(_xlpm.ig, _xlfn.XLOOKUP(Clean_Data[[#This Row],[Country_Code]], Metadata_Country!$A:$A, Metadata_Country!$C:$C, "Unknown"), IF(OR(_xlpm.ig=0, _xlpm.ig=""), "Regional Aggregate", _xlpm.ig))</f>
        <v>High income</v>
      </c>
      <c r="H2219" s="4">
        <f>Clean_Data[[#This Row],[Exports_TIV]] - Clean_Data[[#This Row],[Imports_TIV]]</f>
        <v>1124000000</v>
      </c>
      <c r="I2219" s="4">
        <f>Clean_Data[[#This Row],[Exports_TIV]] + Clean_Data[[#This Row],[Imports_TIV]]</f>
        <v>1282000000</v>
      </c>
    </row>
    <row r="2220" spans="1:9">
      <c r="A2220" s="4" t="s">
        <v>175</v>
      </c>
      <c r="B2220" s="4" t="s">
        <v>176</v>
      </c>
      <c r="C2220" s="5">
        <v>2011</v>
      </c>
      <c r="D2220" s="4">
        <v>0</v>
      </c>
      <c r="E2220" s="4">
        <v>76000000</v>
      </c>
      <c r="F2220" s="4" t="str">
        <f>_xlfn.LET(_xlpm.r, _xlfn.XLOOKUP(Clean_Data[[#This Row],[Country_Code]], Metadata_Country!$A:$A, Metadata_Country!$B:$B, "Unknown"), IF(OR(_xlpm.r=0, _xlpm.r=""), "Regional Aggregate", _xlpm.r))</f>
        <v>Sub-Saharan Africa</v>
      </c>
      <c r="G2220" s="4" t="str">
        <f>_xlfn.LET(_xlpm.ig, _xlfn.XLOOKUP(Clean_Data[[#This Row],[Country_Code]], Metadata_Country!$A:$A, Metadata_Country!$C:$C, "Unknown"), IF(OR(_xlpm.ig=0, _xlpm.ig=""), "Regional Aggregate", _xlpm.ig))</f>
        <v>Lower middle income</v>
      </c>
      <c r="H2220" s="4">
        <f>Clean_Data[[#This Row],[Exports_TIV]] - Clean_Data[[#This Row],[Imports_TIV]]</f>
        <v>-76000000</v>
      </c>
      <c r="I2220" s="4">
        <f>Clean_Data[[#This Row],[Exports_TIV]] + Clean_Data[[#This Row],[Imports_TIV]]</f>
        <v>76000000</v>
      </c>
    </row>
    <row r="2221" spans="1:9">
      <c r="A2221" s="4" t="s">
        <v>187</v>
      </c>
      <c r="B2221" s="4" t="s">
        <v>188</v>
      </c>
      <c r="C2221" s="5">
        <v>2011</v>
      </c>
      <c r="D2221" s="4">
        <v>0</v>
      </c>
      <c r="E2221" s="4">
        <v>70000000</v>
      </c>
      <c r="F2221" s="4" t="str">
        <f>_xlfn.LET(_xlpm.r, _xlfn.XLOOKUP(Clean_Data[[#This Row],[Country_Code]], Metadata_Country!$A:$A, Metadata_Country!$B:$B, "Unknown"), IF(OR(_xlpm.r=0, _xlpm.r=""), "Regional Aggregate", _xlpm.r))</f>
        <v>Europe &amp; Central Asia</v>
      </c>
      <c r="G2221" s="4" t="str">
        <f>_xlfn.LET(_xlpm.ig, _xlfn.XLOOKUP(Clean_Data[[#This Row],[Country_Code]], Metadata_Country!$A:$A, Metadata_Country!$C:$C, "Unknown"), IF(OR(_xlpm.ig=0, _xlpm.ig=""), "Regional Aggregate", _xlpm.ig))</f>
        <v>High income</v>
      </c>
      <c r="H2221" s="4">
        <f>Clean_Data[[#This Row],[Exports_TIV]] - Clean_Data[[#This Row],[Imports_TIV]]</f>
        <v>-70000000</v>
      </c>
      <c r="I2221" s="4">
        <f>Clean_Data[[#This Row],[Exports_TIV]] + Clean_Data[[#This Row],[Imports_TIV]]</f>
        <v>70000000</v>
      </c>
    </row>
    <row r="2222" spans="1:9">
      <c r="A2222" s="4" t="s">
        <v>179</v>
      </c>
      <c r="B2222" s="4" t="s">
        <v>180</v>
      </c>
      <c r="C2222" s="5">
        <v>2011</v>
      </c>
      <c r="D2222" s="4">
        <v>0</v>
      </c>
      <c r="E2222" s="4">
        <v>1000000</v>
      </c>
      <c r="F2222" s="4" t="str">
        <f>_xlfn.LET(_xlpm.r, _xlfn.XLOOKUP(Clean_Data[[#This Row],[Country_Code]], Metadata_Country!$A:$A, Metadata_Country!$B:$B, "Unknown"), IF(OR(_xlpm.r=0, _xlpm.r=""), "Regional Aggregate", _xlpm.r))</f>
        <v>Sub-Saharan Africa</v>
      </c>
      <c r="G2222" s="4" t="str">
        <f>_xlfn.LET(_xlpm.ig, _xlfn.XLOOKUP(Clean_Data[[#This Row],[Country_Code]], Metadata_Country!$A:$A, Metadata_Country!$C:$C, "Unknown"), IF(OR(_xlpm.ig=0, _xlpm.ig=""), "Regional Aggregate", _xlpm.ig))</f>
        <v>Lower middle income</v>
      </c>
      <c r="H2222" s="4">
        <f>Clean_Data[[#This Row],[Exports_TIV]] - Clean_Data[[#This Row],[Imports_TIV]]</f>
        <v>-1000000</v>
      </c>
      <c r="I2222" s="4">
        <f>Clean_Data[[#This Row],[Exports_TIV]] + Clean_Data[[#This Row],[Imports_TIV]]</f>
        <v>1000000</v>
      </c>
    </row>
    <row r="2223" spans="1:9">
      <c r="A2223" s="4" t="s">
        <v>205</v>
      </c>
      <c r="B2223" s="4" t="s">
        <v>206</v>
      </c>
      <c r="C2223" s="5">
        <v>2011</v>
      </c>
      <c r="D2223" s="4">
        <v>0</v>
      </c>
      <c r="E2223" s="4">
        <v>1600000000</v>
      </c>
      <c r="F2223" s="4" t="str">
        <f>_xlfn.LET(_xlpm.r, _xlfn.XLOOKUP(Clean_Data[[#This Row],[Country_Code]], Metadata_Country!$A:$A, Metadata_Country!$B:$B, "Unknown"), IF(OR(_xlpm.r=0, _xlpm.r=""), "Regional Aggregate", _xlpm.r))</f>
        <v>Regional Aggregate</v>
      </c>
      <c r="G2223" s="4" t="str">
        <f>_xlfn.LET(_xlpm.ig, _xlfn.XLOOKUP(Clean_Data[[#This Row],[Country_Code]], Metadata_Country!$A:$A, Metadata_Country!$C:$C, "Unknown"), IF(OR(_xlpm.ig=0, _xlpm.ig=""), "Regional Aggregate", _xlpm.ig))</f>
        <v>Regional Aggregate</v>
      </c>
      <c r="H2223" s="4">
        <f>Clean_Data[[#This Row],[Exports_TIV]] - Clean_Data[[#This Row],[Imports_TIV]]</f>
        <v>-1600000000</v>
      </c>
      <c r="I2223" s="4">
        <f>Clean_Data[[#This Row],[Exports_TIV]] + Clean_Data[[#This Row],[Imports_TIV]]</f>
        <v>1600000000</v>
      </c>
    </row>
    <row r="2224" spans="1:9">
      <c r="A2224" s="4" t="s">
        <v>199</v>
      </c>
      <c r="B2224" s="4" t="s">
        <v>200</v>
      </c>
      <c r="C2224" s="5">
        <v>2011</v>
      </c>
      <c r="D2224" s="4">
        <v>27417000000</v>
      </c>
      <c r="E2224" s="4">
        <v>11949000000</v>
      </c>
      <c r="F2224" s="4" t="str">
        <f>_xlfn.LET(_xlpm.r, _xlfn.XLOOKUP(Clean_Data[[#This Row],[Country_Code]], Metadata_Country!$A:$A, Metadata_Country!$B:$B, "Unknown"), IF(OR(_xlpm.r=0, _xlpm.r=""), "Regional Aggregate", _xlpm.r))</f>
        <v>Regional Aggregate</v>
      </c>
      <c r="G2224" s="4" t="str">
        <f>_xlfn.LET(_xlpm.ig, _xlfn.XLOOKUP(Clean_Data[[#This Row],[Country_Code]], Metadata_Country!$A:$A, Metadata_Country!$C:$C, "Unknown"), IF(OR(_xlpm.ig=0, _xlpm.ig=""), "Regional Aggregate", _xlpm.ig))</f>
        <v>Regional Aggregate</v>
      </c>
      <c r="H2224" s="4">
        <f>Clean_Data[[#This Row],[Exports_TIV]] - Clean_Data[[#This Row],[Imports_TIV]]</f>
        <v>15468000000</v>
      </c>
      <c r="I2224" s="4">
        <f>Clean_Data[[#This Row],[Exports_TIV]] + Clean_Data[[#This Row],[Imports_TIV]]</f>
        <v>39366000000</v>
      </c>
    </row>
    <row r="2225" spans="1:9">
      <c r="A2225" s="4" t="s">
        <v>203</v>
      </c>
      <c r="B2225" s="4" t="s">
        <v>204</v>
      </c>
      <c r="C2225" s="5">
        <v>2011</v>
      </c>
      <c r="D2225" s="4">
        <v>0</v>
      </c>
      <c r="E2225" s="4">
        <v>0</v>
      </c>
      <c r="F2225" s="4" t="str">
        <f>_xlfn.LET(_xlpm.r, _xlfn.XLOOKUP(Clean_Data[[#This Row],[Country_Code]], Metadata_Country!$A:$A, Metadata_Country!$B:$B, "Unknown"), IF(OR(_xlpm.r=0, _xlpm.r=""), "Regional Aggregate", _xlpm.r))</f>
        <v>Latin America &amp; Caribbean</v>
      </c>
      <c r="G2225" s="4" t="str">
        <f>_xlfn.LET(_xlpm.ig, _xlfn.XLOOKUP(Clean_Data[[#This Row],[Country_Code]], Metadata_Country!$A:$A, Metadata_Country!$C:$C, "Unknown"), IF(OR(_xlpm.ig=0, _xlpm.ig=""), "Regional Aggregate", _xlpm.ig))</f>
        <v>Lower middle income</v>
      </c>
      <c r="H2225" s="4">
        <f>Clean_Data[[#This Row],[Exports_TIV]] - Clean_Data[[#This Row],[Imports_TIV]]</f>
        <v>0</v>
      </c>
      <c r="I2225" s="4">
        <f>Clean_Data[[#This Row],[Exports_TIV]] + Clean_Data[[#This Row],[Imports_TIV]]</f>
        <v>0</v>
      </c>
    </row>
    <row r="2226" spans="1:9">
      <c r="A2226" s="4" t="s">
        <v>211</v>
      </c>
      <c r="B2226" s="4" t="s">
        <v>212</v>
      </c>
      <c r="C2226" s="5">
        <v>2011</v>
      </c>
      <c r="D2226" s="4">
        <v>0</v>
      </c>
      <c r="E2226" s="4">
        <v>8000000</v>
      </c>
      <c r="F2226" s="4" t="str">
        <f>_xlfn.LET(_xlpm.r, _xlfn.XLOOKUP(Clean_Data[[#This Row],[Country_Code]], Metadata_Country!$A:$A, Metadata_Country!$B:$B, "Unknown"), IF(OR(_xlpm.r=0, _xlpm.r=""), "Regional Aggregate", _xlpm.r))</f>
        <v>Europe &amp; Central Asia</v>
      </c>
      <c r="G2226" s="4" t="str">
        <f>_xlfn.LET(_xlpm.ig, _xlfn.XLOOKUP(Clean_Data[[#This Row],[Country_Code]], Metadata_Country!$A:$A, Metadata_Country!$C:$C, "Unknown"), IF(OR(_xlpm.ig=0, _xlpm.ig=""), "Regional Aggregate", _xlpm.ig))</f>
        <v>High income</v>
      </c>
      <c r="H2226" s="4">
        <f>Clean_Data[[#This Row],[Exports_TIV]] - Clean_Data[[#This Row],[Imports_TIV]]</f>
        <v>-8000000</v>
      </c>
      <c r="I2226" s="4">
        <f>Clean_Data[[#This Row],[Exports_TIV]] + Clean_Data[[#This Row],[Imports_TIV]]</f>
        <v>8000000</v>
      </c>
    </row>
    <row r="2227" spans="1:9">
      <c r="A2227" s="4" t="s">
        <v>213</v>
      </c>
      <c r="B2227" s="4" t="s">
        <v>214</v>
      </c>
      <c r="C2227" s="5">
        <v>2011</v>
      </c>
      <c r="D2227" s="4">
        <v>11097000000</v>
      </c>
      <c r="E2227" s="4">
        <v>14311000000</v>
      </c>
      <c r="F2227" s="4" t="str">
        <f>_xlfn.LET(_xlpm.r, _xlfn.XLOOKUP(Clean_Data[[#This Row],[Country_Code]], Metadata_Country!$A:$A, Metadata_Country!$B:$B, "Unknown"), IF(OR(_xlpm.r=0, _xlpm.r=""), "Regional Aggregate", _xlpm.r))</f>
        <v>Regional Aggregate</v>
      </c>
      <c r="G2227" s="4" t="str">
        <f>_xlfn.LET(_xlpm.ig, _xlfn.XLOOKUP(Clean_Data[[#This Row],[Country_Code]], Metadata_Country!$A:$A, Metadata_Country!$C:$C, "Unknown"), IF(OR(_xlpm.ig=0, _xlpm.ig=""), "Regional Aggregate", _xlpm.ig))</f>
        <v>Regional Aggregate</v>
      </c>
      <c r="H2227" s="4">
        <f>Clean_Data[[#This Row],[Exports_TIV]] - Clean_Data[[#This Row],[Imports_TIV]]</f>
        <v>-3214000000</v>
      </c>
      <c r="I2227" s="4">
        <f>Clean_Data[[#This Row],[Exports_TIV]] + Clean_Data[[#This Row],[Imports_TIV]]</f>
        <v>25408000000</v>
      </c>
    </row>
    <row r="2228" spans="1:9">
      <c r="A2228" s="4" t="s">
        <v>237</v>
      </c>
      <c r="B2228" s="4" t="s">
        <v>238</v>
      </c>
      <c r="C2228" s="5">
        <v>2011</v>
      </c>
      <c r="D2228" s="4">
        <v>0</v>
      </c>
      <c r="E2228" s="4">
        <v>50000000</v>
      </c>
      <c r="F2228" s="4" t="str">
        <f>_xlfn.LET(_xlpm.r, _xlfn.XLOOKUP(Clean_Data[[#This Row],[Country_Code]], Metadata_Country!$A:$A, Metadata_Country!$B:$B, "Unknown"), IF(OR(_xlpm.r=0, _xlpm.r=""), "Regional Aggregate", _xlpm.r))</f>
        <v>Europe &amp; Central Asia</v>
      </c>
      <c r="G2228" s="4" t="str">
        <f>_xlfn.LET(_xlpm.ig, _xlfn.XLOOKUP(Clean_Data[[#This Row],[Country_Code]], Metadata_Country!$A:$A, Metadata_Country!$C:$C, "Unknown"), IF(OR(_xlpm.ig=0, _xlpm.ig=""), "Regional Aggregate", _xlpm.ig))</f>
        <v>High income</v>
      </c>
      <c r="H2228" s="4">
        <f>Clean_Data[[#This Row],[Exports_TIV]] - Clean_Data[[#This Row],[Imports_TIV]]</f>
        <v>-50000000</v>
      </c>
      <c r="I2228" s="4">
        <f>Clean_Data[[#This Row],[Exports_TIV]] + Clean_Data[[#This Row],[Imports_TIV]]</f>
        <v>50000000</v>
      </c>
    </row>
    <row r="2229" spans="1:9">
      <c r="A2229" s="4" t="s">
        <v>215</v>
      </c>
      <c r="B2229" s="4" t="s">
        <v>216</v>
      </c>
      <c r="C2229" s="5">
        <v>2011</v>
      </c>
      <c r="D2229" s="4">
        <v>0</v>
      </c>
      <c r="E2229" s="4">
        <v>18600000000</v>
      </c>
      <c r="F2229" s="4" t="str">
        <f>_xlfn.LET(_xlpm.r, _xlfn.XLOOKUP(Clean_Data[[#This Row],[Country_Code]], Metadata_Country!$A:$A, Metadata_Country!$B:$B, "Unknown"), IF(OR(_xlpm.r=0, _xlpm.r=""), "Regional Aggregate", _xlpm.r))</f>
        <v>Regional Aggregate</v>
      </c>
      <c r="G2229" s="4" t="str">
        <f>_xlfn.LET(_xlpm.ig, _xlfn.XLOOKUP(Clean_Data[[#This Row],[Country_Code]], Metadata_Country!$A:$A, Metadata_Country!$C:$C, "Unknown"), IF(OR(_xlpm.ig=0, _xlpm.ig=""), "Regional Aggregate", _xlpm.ig))</f>
        <v>Regional Aggregate</v>
      </c>
      <c r="H2229" s="4">
        <f>Clean_Data[[#This Row],[Exports_TIV]] - Clean_Data[[#This Row],[Imports_TIV]]</f>
        <v>-18600000000</v>
      </c>
      <c r="I2229" s="4">
        <f>Clean_Data[[#This Row],[Exports_TIV]] + Clean_Data[[#This Row],[Imports_TIV]]</f>
        <v>18600000000</v>
      </c>
    </row>
    <row r="2230" spans="1:9">
      <c r="A2230" s="4" t="s">
        <v>219</v>
      </c>
      <c r="B2230" s="4" t="s">
        <v>220</v>
      </c>
      <c r="C2230" s="5">
        <v>2011</v>
      </c>
      <c r="D2230" s="4">
        <v>0</v>
      </c>
      <c r="E2230" s="4">
        <v>1295000000</v>
      </c>
      <c r="F2230" s="4" t="str">
        <f>_xlfn.LET(_xlpm.r, _xlfn.XLOOKUP(Clean_Data[[#This Row],[Country_Code]], Metadata_Country!$A:$A, Metadata_Country!$B:$B, "Unknown"), IF(OR(_xlpm.r=0, _xlpm.r=""), "Regional Aggregate", _xlpm.r))</f>
        <v>Regional Aggregate</v>
      </c>
      <c r="G2230" s="4" t="str">
        <f>_xlfn.LET(_xlpm.ig, _xlfn.XLOOKUP(Clean_Data[[#This Row],[Country_Code]], Metadata_Country!$A:$A, Metadata_Country!$C:$C, "Unknown"), IF(OR(_xlpm.ig=0, _xlpm.ig=""), "Regional Aggregate", _xlpm.ig))</f>
        <v>Regional Aggregate</v>
      </c>
      <c r="H2230" s="4">
        <f>Clean_Data[[#This Row],[Exports_TIV]] - Clean_Data[[#This Row],[Imports_TIV]]</f>
        <v>-1295000000</v>
      </c>
      <c r="I2230" s="4">
        <f>Clean_Data[[#This Row],[Exports_TIV]] + Clean_Data[[#This Row],[Imports_TIV]]</f>
        <v>1295000000</v>
      </c>
    </row>
    <row r="2231" spans="1:9">
      <c r="A2231" s="4" t="s">
        <v>223</v>
      </c>
      <c r="B2231" s="4" t="s">
        <v>224</v>
      </c>
      <c r="C2231" s="5">
        <v>2011</v>
      </c>
      <c r="D2231" s="4">
        <v>0</v>
      </c>
      <c r="E2231" s="4">
        <v>2994000000</v>
      </c>
      <c r="F2231" s="4" t="str">
        <f>_xlfn.LET(_xlpm.r, _xlfn.XLOOKUP(Clean_Data[[#This Row],[Country_Code]], Metadata_Country!$A:$A, Metadata_Country!$B:$B, "Unknown"), IF(OR(_xlpm.r=0, _xlpm.r=""), "Regional Aggregate", _xlpm.r))</f>
        <v>Regional Aggregate</v>
      </c>
      <c r="G2231" s="4" t="str">
        <f>_xlfn.LET(_xlpm.ig, _xlfn.XLOOKUP(Clean_Data[[#This Row],[Country_Code]], Metadata_Country!$A:$A, Metadata_Country!$C:$C, "Unknown"), IF(OR(_xlpm.ig=0, _xlpm.ig=""), "Regional Aggregate", _xlpm.ig))</f>
        <v>Regional Aggregate</v>
      </c>
      <c r="H2231" s="4">
        <f>Clean_Data[[#This Row],[Exports_TIV]] - Clean_Data[[#This Row],[Imports_TIV]]</f>
        <v>-2994000000</v>
      </c>
      <c r="I2231" s="4">
        <f>Clean_Data[[#This Row],[Exports_TIV]] + Clean_Data[[#This Row],[Imports_TIV]]</f>
        <v>2994000000</v>
      </c>
    </row>
    <row r="2232" spans="1:9">
      <c r="A2232" s="4" t="s">
        <v>217</v>
      </c>
      <c r="B2232" s="4" t="s">
        <v>218</v>
      </c>
      <c r="C2232" s="5">
        <v>2011</v>
      </c>
      <c r="D2232" s="4">
        <v>0</v>
      </c>
      <c r="E2232" s="4">
        <v>4289000000</v>
      </c>
      <c r="F2232" s="4" t="str">
        <f>_xlfn.LET(_xlpm.r, _xlfn.XLOOKUP(Clean_Data[[#This Row],[Country_Code]], Metadata_Country!$A:$A, Metadata_Country!$B:$B, "Unknown"), IF(OR(_xlpm.r=0, _xlpm.r=""), "Regional Aggregate", _xlpm.r))</f>
        <v>Regional Aggregate</v>
      </c>
      <c r="G2232" s="4" t="str">
        <f>_xlfn.LET(_xlpm.ig, _xlfn.XLOOKUP(Clean_Data[[#This Row],[Country_Code]], Metadata_Country!$A:$A, Metadata_Country!$C:$C, "Unknown"), IF(OR(_xlpm.ig=0, _xlpm.ig=""), "Regional Aggregate", _xlpm.ig))</f>
        <v>Regional Aggregate</v>
      </c>
      <c r="H2232" s="4">
        <f>Clean_Data[[#This Row],[Exports_TIV]] - Clean_Data[[#This Row],[Imports_TIV]]</f>
        <v>-4289000000</v>
      </c>
      <c r="I2232" s="4">
        <f>Clean_Data[[#This Row],[Exports_TIV]] + Clean_Data[[#This Row],[Imports_TIV]]</f>
        <v>4289000000</v>
      </c>
    </row>
    <row r="2233" spans="1:9">
      <c r="A2233" s="4" t="s">
        <v>227</v>
      </c>
      <c r="B2233" s="4" t="s">
        <v>228</v>
      </c>
      <c r="C2233" s="5">
        <v>2011</v>
      </c>
      <c r="D2233" s="4">
        <v>3000000</v>
      </c>
      <c r="E2233" s="4">
        <v>3625000000</v>
      </c>
      <c r="F2233" s="4" t="str">
        <f>_xlfn.LET(_xlpm.r, _xlfn.XLOOKUP(Clean_Data[[#This Row],[Country_Code]], Metadata_Country!$A:$A, Metadata_Country!$B:$B, "Unknown"), IF(OR(_xlpm.r=0, _xlpm.r=""), "Regional Aggregate", _xlpm.r))</f>
        <v>South Asia</v>
      </c>
      <c r="G2233" s="4" t="str">
        <f>_xlfn.LET(_xlpm.ig, _xlfn.XLOOKUP(Clean_Data[[#This Row],[Country_Code]], Metadata_Country!$A:$A, Metadata_Country!$C:$C, "Unknown"), IF(OR(_xlpm.ig=0, _xlpm.ig=""), "Regional Aggregate", _xlpm.ig))</f>
        <v>Lower middle income</v>
      </c>
      <c r="H2233" s="4">
        <f>Clean_Data[[#This Row],[Exports_TIV]] - Clean_Data[[#This Row],[Imports_TIV]]</f>
        <v>-3622000000</v>
      </c>
      <c r="I2233" s="4">
        <f>Clean_Data[[#This Row],[Exports_TIV]] + Clean_Data[[#This Row],[Imports_TIV]]</f>
        <v>3628000000</v>
      </c>
    </row>
    <row r="2234" spans="1:9">
      <c r="A2234" s="4" t="s">
        <v>221</v>
      </c>
      <c r="B2234" s="4" t="s">
        <v>222</v>
      </c>
      <c r="C2234" s="5">
        <v>2011</v>
      </c>
      <c r="D2234" s="4">
        <v>4000000</v>
      </c>
      <c r="E2234" s="4">
        <v>257000000</v>
      </c>
      <c r="F2234" s="4" t="str">
        <f>_xlfn.LET(_xlpm.r, _xlfn.XLOOKUP(Clean_Data[[#This Row],[Country_Code]], Metadata_Country!$A:$A, Metadata_Country!$B:$B, "Unknown"), IF(OR(_xlpm.r=0, _xlpm.r=""), "Regional Aggregate", _xlpm.r))</f>
        <v>East Asia &amp; Pacific</v>
      </c>
      <c r="G2234" s="4" t="str">
        <f>_xlfn.LET(_xlpm.ig, _xlfn.XLOOKUP(Clean_Data[[#This Row],[Country_Code]], Metadata_Country!$A:$A, Metadata_Country!$C:$C, "Unknown"), IF(OR(_xlpm.ig=0, _xlpm.ig=""), "Regional Aggregate", _xlpm.ig))</f>
        <v>Upper middle income</v>
      </c>
      <c r="H2234" s="4">
        <f>Clean_Data[[#This Row],[Exports_TIV]] - Clean_Data[[#This Row],[Imports_TIV]]</f>
        <v>-253000000</v>
      </c>
      <c r="I2234" s="4">
        <f>Clean_Data[[#This Row],[Exports_TIV]] + Clean_Data[[#This Row],[Imports_TIV]]</f>
        <v>261000000</v>
      </c>
    </row>
    <row r="2235" spans="1:9">
      <c r="A2235" s="4" t="s">
        <v>233</v>
      </c>
      <c r="B2235" s="4" t="s">
        <v>234</v>
      </c>
      <c r="C2235" s="5">
        <v>2011</v>
      </c>
      <c r="D2235" s="4">
        <v>77000000</v>
      </c>
      <c r="E2235" s="4">
        <v>89000000</v>
      </c>
      <c r="F2235" s="4" t="str">
        <f>_xlfn.LET(_xlpm.r, _xlfn.XLOOKUP(Clean_Data[[#This Row],[Country_Code]], Metadata_Country!$A:$A, Metadata_Country!$B:$B, "Unknown"), IF(OR(_xlpm.r=0, _xlpm.r=""), "Regional Aggregate", _xlpm.r))</f>
        <v>Middle East &amp; North Africa</v>
      </c>
      <c r="G2235" s="4" t="str">
        <f>_xlfn.LET(_xlpm.ig, _xlfn.XLOOKUP(Clean_Data[[#This Row],[Country_Code]], Metadata_Country!$A:$A, Metadata_Country!$C:$C, "Unknown"), IF(OR(_xlpm.ig=0, _xlpm.ig=""), "Regional Aggregate", _xlpm.ig))</f>
        <v>Upper middle income</v>
      </c>
      <c r="H2235" s="4">
        <f>Clean_Data[[#This Row],[Exports_TIV]] - Clean_Data[[#This Row],[Imports_TIV]]</f>
        <v>-12000000</v>
      </c>
      <c r="I2235" s="4">
        <f>Clean_Data[[#This Row],[Exports_TIV]] + Clean_Data[[#This Row],[Imports_TIV]]</f>
        <v>166000000</v>
      </c>
    </row>
    <row r="2236" spans="1:9">
      <c r="A2236" s="4" t="s">
        <v>235</v>
      </c>
      <c r="B2236" s="4" t="s">
        <v>236</v>
      </c>
      <c r="C2236" s="5">
        <v>2011</v>
      </c>
      <c r="D2236" s="4">
        <v>0</v>
      </c>
      <c r="E2236" s="4">
        <v>623000000</v>
      </c>
      <c r="F2236" s="4" t="str">
        <f>_xlfn.LET(_xlpm.r, _xlfn.XLOOKUP(Clean_Data[[#This Row],[Country_Code]], Metadata_Country!$A:$A, Metadata_Country!$B:$B, "Unknown"), IF(OR(_xlpm.r=0, _xlpm.r=""), "Regional Aggregate", _xlpm.r))</f>
        <v>Middle East &amp; North Africa</v>
      </c>
      <c r="G2236" s="4" t="str">
        <f>_xlfn.LET(_xlpm.ig, _xlfn.XLOOKUP(Clean_Data[[#This Row],[Country_Code]], Metadata_Country!$A:$A, Metadata_Country!$C:$C, "Unknown"), IF(OR(_xlpm.ig=0, _xlpm.ig=""), "Regional Aggregate", _xlpm.ig))</f>
        <v>Upper middle income</v>
      </c>
      <c r="H2236" s="4">
        <f>Clean_Data[[#This Row],[Exports_TIV]] - Clean_Data[[#This Row],[Imports_TIV]]</f>
        <v>-623000000</v>
      </c>
      <c r="I2236" s="4">
        <f>Clean_Data[[#This Row],[Exports_TIV]] + Clean_Data[[#This Row],[Imports_TIV]]</f>
        <v>623000000</v>
      </c>
    </row>
    <row r="2237" spans="1:9">
      <c r="A2237" s="4" t="s">
        <v>231</v>
      </c>
      <c r="B2237" s="4" t="s">
        <v>232</v>
      </c>
      <c r="C2237" s="5">
        <v>2011</v>
      </c>
      <c r="D2237" s="4">
        <v>1000000</v>
      </c>
      <c r="E2237" s="4">
        <v>0</v>
      </c>
      <c r="F2237" s="4" t="str">
        <f>_xlfn.LET(_xlpm.r, _xlfn.XLOOKUP(Clean_Data[[#This Row],[Country_Code]], Metadata_Country!$A:$A, Metadata_Country!$B:$B, "Unknown"), IF(OR(_xlpm.r=0, _xlpm.r=""), "Regional Aggregate", _xlpm.r))</f>
        <v>Europe &amp; Central Asia</v>
      </c>
      <c r="G2237" s="4" t="str">
        <f>_xlfn.LET(_xlpm.ig, _xlfn.XLOOKUP(Clean_Data[[#This Row],[Country_Code]], Metadata_Country!$A:$A, Metadata_Country!$C:$C, "Unknown"), IF(OR(_xlpm.ig=0, _xlpm.ig=""), "Regional Aggregate", _xlpm.ig))</f>
        <v>High income</v>
      </c>
      <c r="H2237" s="4">
        <f>Clean_Data[[#This Row],[Exports_TIV]] - Clean_Data[[#This Row],[Imports_TIV]]</f>
        <v>1000000</v>
      </c>
      <c r="I2237" s="4">
        <f>Clean_Data[[#This Row],[Exports_TIV]] + Clean_Data[[#This Row],[Imports_TIV]]</f>
        <v>1000000</v>
      </c>
    </row>
    <row r="2238" spans="1:9">
      <c r="A2238" s="4" t="s">
        <v>239</v>
      </c>
      <c r="B2238" s="4" t="s">
        <v>240</v>
      </c>
      <c r="C2238" s="5">
        <v>2011</v>
      </c>
      <c r="D2238" s="4">
        <v>590000000</v>
      </c>
      <c r="E2238" s="4">
        <v>86000000</v>
      </c>
      <c r="F2238" s="4" t="str">
        <f>_xlfn.LET(_xlpm.r, _xlfn.XLOOKUP(Clean_Data[[#This Row],[Country_Code]], Metadata_Country!$A:$A, Metadata_Country!$B:$B, "Unknown"), IF(OR(_xlpm.r=0, _xlpm.r=""), "Regional Aggregate", _xlpm.r))</f>
        <v>Middle East &amp; North Africa</v>
      </c>
      <c r="G2238" s="4" t="str">
        <f>_xlfn.LET(_xlpm.ig, _xlfn.XLOOKUP(Clean_Data[[#This Row],[Country_Code]], Metadata_Country!$A:$A, Metadata_Country!$C:$C, "Unknown"), IF(OR(_xlpm.ig=0, _xlpm.ig=""), "Regional Aggregate", _xlpm.ig))</f>
        <v>High income</v>
      </c>
      <c r="H2238" s="4">
        <f>Clean_Data[[#This Row],[Exports_TIV]] - Clean_Data[[#This Row],[Imports_TIV]]</f>
        <v>504000000</v>
      </c>
      <c r="I2238" s="4">
        <f>Clean_Data[[#This Row],[Exports_TIV]] + Clean_Data[[#This Row],[Imports_TIV]]</f>
        <v>676000000</v>
      </c>
    </row>
    <row r="2239" spans="1:9">
      <c r="A2239" s="4" t="s">
        <v>241</v>
      </c>
      <c r="B2239" s="4" t="s">
        <v>242</v>
      </c>
      <c r="C2239" s="5">
        <v>2011</v>
      </c>
      <c r="D2239" s="4">
        <v>964000000</v>
      </c>
      <c r="E2239" s="4">
        <v>286000000</v>
      </c>
      <c r="F2239" s="4" t="str">
        <f>_xlfn.LET(_xlpm.r, _xlfn.XLOOKUP(Clean_Data[[#This Row],[Country_Code]], Metadata_Country!$A:$A, Metadata_Country!$B:$B, "Unknown"), IF(OR(_xlpm.r=0, _xlpm.r=""), "Regional Aggregate", _xlpm.r))</f>
        <v>Europe &amp; Central Asia</v>
      </c>
      <c r="G2239" s="4" t="str">
        <f>_xlfn.LET(_xlpm.ig, _xlfn.XLOOKUP(Clean_Data[[#This Row],[Country_Code]], Metadata_Country!$A:$A, Metadata_Country!$C:$C, "Unknown"), IF(OR(_xlpm.ig=0, _xlpm.ig=""), "Regional Aggregate", _xlpm.ig))</f>
        <v>High income</v>
      </c>
      <c r="H2239" s="4">
        <f>Clean_Data[[#This Row],[Exports_TIV]] - Clean_Data[[#This Row],[Imports_TIV]]</f>
        <v>678000000</v>
      </c>
      <c r="I2239" s="4">
        <f>Clean_Data[[#This Row],[Exports_TIV]] + Clean_Data[[#This Row],[Imports_TIV]]</f>
        <v>1250000000</v>
      </c>
    </row>
    <row r="2240" spans="1:9">
      <c r="A2240" s="4" t="s">
        <v>247</v>
      </c>
      <c r="B2240" s="4" t="s">
        <v>248</v>
      </c>
      <c r="C2240" s="5">
        <v>2011</v>
      </c>
      <c r="D2240" s="4">
        <v>0</v>
      </c>
      <c r="E2240" s="4">
        <v>300000000</v>
      </c>
      <c r="F2240" s="4" t="str">
        <f>_xlfn.LET(_xlpm.r, _xlfn.XLOOKUP(Clean_Data[[#This Row],[Country_Code]], Metadata_Country!$A:$A, Metadata_Country!$B:$B, "Unknown"), IF(OR(_xlpm.r=0, _xlpm.r=""), "Regional Aggregate", _xlpm.r))</f>
        <v>East Asia &amp; Pacific</v>
      </c>
      <c r="G2240" s="4" t="str">
        <f>_xlfn.LET(_xlpm.ig, _xlfn.XLOOKUP(Clean_Data[[#This Row],[Country_Code]], Metadata_Country!$A:$A, Metadata_Country!$C:$C, "Unknown"), IF(OR(_xlpm.ig=0, _xlpm.ig=""), "Regional Aggregate", _xlpm.ig))</f>
        <v>High income</v>
      </c>
      <c r="H2240" s="4">
        <f>Clean_Data[[#This Row],[Exports_TIV]] - Clean_Data[[#This Row],[Imports_TIV]]</f>
        <v>-300000000</v>
      </c>
      <c r="I2240" s="4">
        <f>Clean_Data[[#This Row],[Exports_TIV]] + Clean_Data[[#This Row],[Imports_TIV]]</f>
        <v>300000000</v>
      </c>
    </row>
    <row r="2241" spans="1:9">
      <c r="A2241" s="4" t="s">
        <v>245</v>
      </c>
      <c r="B2241" s="4" t="s">
        <v>246</v>
      </c>
      <c r="C2241" s="5">
        <v>2011</v>
      </c>
      <c r="D2241" s="4">
        <v>0</v>
      </c>
      <c r="E2241" s="4">
        <v>211000000</v>
      </c>
      <c r="F2241" s="4" t="str">
        <f>_xlfn.LET(_xlpm.r, _xlfn.XLOOKUP(Clean_Data[[#This Row],[Country_Code]], Metadata_Country!$A:$A, Metadata_Country!$B:$B, "Unknown"), IF(OR(_xlpm.r=0, _xlpm.r=""), "Regional Aggregate", _xlpm.r))</f>
        <v>Middle East &amp; North Africa</v>
      </c>
      <c r="G2241" s="4" t="str">
        <f>_xlfn.LET(_xlpm.ig, _xlfn.XLOOKUP(Clean_Data[[#This Row],[Country_Code]], Metadata_Country!$A:$A, Metadata_Country!$C:$C, "Unknown"), IF(OR(_xlpm.ig=0, _xlpm.ig=""), "Regional Aggregate", _xlpm.ig))</f>
        <v>Upper middle income</v>
      </c>
      <c r="H2241" s="4">
        <f>Clean_Data[[#This Row],[Exports_TIV]] - Clean_Data[[#This Row],[Imports_TIV]]</f>
        <v>-211000000</v>
      </c>
      <c r="I2241" s="4">
        <f>Clean_Data[[#This Row],[Exports_TIV]] + Clean_Data[[#This Row],[Imports_TIV]]</f>
        <v>211000000</v>
      </c>
    </row>
    <row r="2242" spans="1:9">
      <c r="A2242" s="4" t="s">
        <v>249</v>
      </c>
      <c r="B2242" s="4" t="s">
        <v>250</v>
      </c>
      <c r="C2242" s="5">
        <v>2011</v>
      </c>
      <c r="D2242" s="4">
        <v>0</v>
      </c>
      <c r="E2242" s="4">
        <v>63000000</v>
      </c>
      <c r="F2242" s="4" t="str">
        <f>_xlfn.LET(_xlpm.r, _xlfn.XLOOKUP(Clean_Data[[#This Row],[Country_Code]], Metadata_Country!$A:$A, Metadata_Country!$B:$B, "Unknown"), IF(OR(_xlpm.r=0, _xlpm.r=""), "Regional Aggregate", _xlpm.r))</f>
        <v>Europe &amp; Central Asia</v>
      </c>
      <c r="G2242" s="4" t="str">
        <f>_xlfn.LET(_xlpm.ig, _xlfn.XLOOKUP(Clean_Data[[#This Row],[Country_Code]], Metadata_Country!$A:$A, Metadata_Country!$C:$C, "Unknown"), IF(OR(_xlpm.ig=0, _xlpm.ig=""), "Regional Aggregate", _xlpm.ig))</f>
        <v>Upper middle income</v>
      </c>
      <c r="H2242" s="4">
        <f>Clean_Data[[#This Row],[Exports_TIV]] - Clean_Data[[#This Row],[Imports_TIV]]</f>
        <v>-63000000</v>
      </c>
      <c r="I2242" s="4">
        <f>Clean_Data[[#This Row],[Exports_TIV]] + Clean_Data[[#This Row],[Imports_TIV]]</f>
        <v>63000000</v>
      </c>
    </row>
    <row r="2243" spans="1:9">
      <c r="A2243" s="4" t="s">
        <v>251</v>
      </c>
      <c r="B2243" s="4" t="s">
        <v>252</v>
      </c>
      <c r="C2243" s="5">
        <v>2011</v>
      </c>
      <c r="D2243" s="4">
        <v>0</v>
      </c>
      <c r="E2243" s="4">
        <v>35000000</v>
      </c>
      <c r="F2243" s="4" t="str">
        <f>_xlfn.LET(_xlpm.r, _xlfn.XLOOKUP(Clean_Data[[#This Row],[Country_Code]], Metadata_Country!$A:$A, Metadata_Country!$B:$B, "Unknown"), IF(OR(_xlpm.r=0, _xlpm.r=""), "Regional Aggregate", _xlpm.r))</f>
        <v>Sub-Saharan Africa</v>
      </c>
      <c r="G2243" s="4" t="str">
        <f>_xlfn.LET(_xlpm.ig, _xlfn.XLOOKUP(Clean_Data[[#This Row],[Country_Code]], Metadata_Country!$A:$A, Metadata_Country!$C:$C, "Unknown"), IF(OR(_xlpm.ig=0, _xlpm.ig=""), "Regional Aggregate", _xlpm.ig))</f>
        <v>Lower middle income</v>
      </c>
      <c r="H2243" s="4">
        <f>Clean_Data[[#This Row],[Exports_TIV]] - Clean_Data[[#This Row],[Imports_TIV]]</f>
        <v>-35000000</v>
      </c>
      <c r="I2243" s="4">
        <f>Clean_Data[[#This Row],[Exports_TIV]] + Clean_Data[[#This Row],[Imports_TIV]]</f>
        <v>35000000</v>
      </c>
    </row>
    <row r="2244" spans="1:9">
      <c r="A2244" s="4" t="s">
        <v>261</v>
      </c>
      <c r="B2244" s="4" t="s">
        <v>262</v>
      </c>
      <c r="C2244" s="5">
        <v>2011</v>
      </c>
      <c r="D2244" s="4">
        <v>328000000</v>
      </c>
      <c r="E2244" s="4">
        <v>1568000000</v>
      </c>
      <c r="F2244" s="4" t="str">
        <f>_xlfn.LET(_xlpm.r, _xlfn.XLOOKUP(Clean_Data[[#This Row],[Country_Code]], Metadata_Country!$A:$A, Metadata_Country!$B:$B, "Unknown"), IF(OR(_xlpm.r=0, _xlpm.r=""), "Regional Aggregate", _xlpm.r))</f>
        <v>East Asia &amp; Pacific</v>
      </c>
      <c r="G2244" s="4" t="str">
        <f>_xlfn.LET(_xlpm.ig, _xlfn.XLOOKUP(Clean_Data[[#This Row],[Country_Code]], Metadata_Country!$A:$A, Metadata_Country!$C:$C, "Unknown"), IF(OR(_xlpm.ig=0, _xlpm.ig=""), "Regional Aggregate", _xlpm.ig))</f>
        <v>High income</v>
      </c>
      <c r="H2244" s="4">
        <f>Clean_Data[[#This Row],[Exports_TIV]] - Clean_Data[[#This Row],[Imports_TIV]]</f>
        <v>-1240000000</v>
      </c>
      <c r="I2244" s="4">
        <f>Clean_Data[[#This Row],[Exports_TIV]] + Clean_Data[[#This Row],[Imports_TIV]]</f>
        <v>1896000000</v>
      </c>
    </row>
    <row r="2245" spans="1:9">
      <c r="A2245" s="4" t="s">
        <v>263</v>
      </c>
      <c r="B2245" s="4" t="s">
        <v>264</v>
      </c>
      <c r="C2245" s="5">
        <v>2011</v>
      </c>
      <c r="D2245" s="4">
        <v>0</v>
      </c>
      <c r="E2245" s="4">
        <v>116000000</v>
      </c>
      <c r="F2245" s="4" t="str">
        <f>_xlfn.LET(_xlpm.r, _xlfn.XLOOKUP(Clean_Data[[#This Row],[Country_Code]], Metadata_Country!$A:$A, Metadata_Country!$B:$B, "Unknown"), IF(OR(_xlpm.r=0, _xlpm.r=""), "Regional Aggregate", _xlpm.r))</f>
        <v>Middle East &amp; North Africa</v>
      </c>
      <c r="G2245" s="4" t="str">
        <f>_xlfn.LET(_xlpm.ig, _xlfn.XLOOKUP(Clean_Data[[#This Row],[Country_Code]], Metadata_Country!$A:$A, Metadata_Country!$C:$C, "Unknown"), IF(OR(_xlpm.ig=0, _xlpm.ig=""), "Regional Aggregate", _xlpm.ig))</f>
        <v>High income</v>
      </c>
      <c r="H2245" s="4">
        <f>Clean_Data[[#This Row],[Exports_TIV]] - Clean_Data[[#This Row],[Imports_TIV]]</f>
        <v>-116000000</v>
      </c>
      <c r="I2245" s="4">
        <f>Clean_Data[[#This Row],[Exports_TIV]] + Clean_Data[[#This Row],[Imports_TIV]]</f>
        <v>116000000</v>
      </c>
    </row>
    <row r="2246" spans="1:9">
      <c r="A2246" s="4" t="s">
        <v>267</v>
      </c>
      <c r="B2246" s="4" t="s">
        <v>268</v>
      </c>
      <c r="C2246" s="5">
        <v>2011</v>
      </c>
      <c r="D2246" s="4">
        <v>0</v>
      </c>
      <c r="E2246" s="4">
        <v>15000000</v>
      </c>
      <c r="F2246" s="4" t="str">
        <f>_xlfn.LET(_xlpm.r, _xlfn.XLOOKUP(Clean_Data[[#This Row],[Country_Code]], Metadata_Country!$A:$A, Metadata_Country!$B:$B, "Unknown"), IF(OR(_xlpm.r=0, _xlpm.r=""), "Regional Aggregate", _xlpm.r))</f>
        <v>East Asia &amp; Pacific</v>
      </c>
      <c r="G2246" s="4" t="str">
        <f>_xlfn.LET(_xlpm.ig, _xlfn.XLOOKUP(Clean_Data[[#This Row],[Country_Code]], Metadata_Country!$A:$A, Metadata_Country!$C:$C, "Unknown"), IF(OR(_xlpm.ig=0, _xlpm.ig=""), "Regional Aggregate", _xlpm.ig))</f>
        <v>Lower middle income</v>
      </c>
      <c r="H2246" s="4">
        <f>Clean_Data[[#This Row],[Exports_TIV]] - Clean_Data[[#This Row],[Imports_TIV]]</f>
        <v>-15000000</v>
      </c>
      <c r="I2246" s="4">
        <f>Clean_Data[[#This Row],[Exports_TIV]] + Clean_Data[[#This Row],[Imports_TIV]]</f>
        <v>15000000</v>
      </c>
    </row>
    <row r="2247" spans="1:9">
      <c r="A2247" s="4" t="s">
        <v>293</v>
      </c>
      <c r="B2247" s="4" t="s">
        <v>294</v>
      </c>
      <c r="C2247" s="5">
        <v>2011</v>
      </c>
      <c r="D2247" s="4">
        <v>10186000000</v>
      </c>
      <c r="E2247" s="4">
        <v>7110000000</v>
      </c>
      <c r="F2247" s="4" t="str">
        <f>_xlfn.LET(_xlpm.r, _xlfn.XLOOKUP(Clean_Data[[#This Row],[Country_Code]], Metadata_Country!$A:$A, Metadata_Country!$B:$B, "Unknown"), IF(OR(_xlpm.r=0, _xlpm.r=""), "Regional Aggregate", _xlpm.r))</f>
        <v>Regional Aggregate</v>
      </c>
      <c r="G2247" s="4" t="str">
        <f>_xlfn.LET(_xlpm.ig, _xlfn.XLOOKUP(Clean_Data[[#This Row],[Country_Code]], Metadata_Country!$A:$A, Metadata_Country!$C:$C, "Unknown"), IF(OR(_xlpm.ig=0, _xlpm.ig=""), "Regional Aggregate", _xlpm.ig))</f>
        <v>Regional Aggregate</v>
      </c>
      <c r="H2247" s="4">
        <f>Clean_Data[[#This Row],[Exports_TIV]] - Clean_Data[[#This Row],[Imports_TIV]]</f>
        <v>3076000000</v>
      </c>
      <c r="I2247" s="4">
        <f>Clean_Data[[#This Row],[Exports_TIV]] + Clean_Data[[#This Row],[Imports_TIV]]</f>
        <v>17296000000</v>
      </c>
    </row>
    <row r="2248" spans="1:9">
      <c r="A2248" s="4" t="s">
        <v>277</v>
      </c>
      <c r="B2248" s="4" t="s">
        <v>278</v>
      </c>
      <c r="C2248" s="5">
        <v>2011</v>
      </c>
      <c r="D2248" s="4">
        <v>0</v>
      </c>
      <c r="E2248" s="4">
        <v>1743000000</v>
      </c>
      <c r="F2248" s="4" t="str">
        <f>_xlfn.LET(_xlpm.r, _xlfn.XLOOKUP(Clean_Data[[#This Row],[Country_Code]], Metadata_Country!$A:$A, Metadata_Country!$B:$B, "Unknown"), IF(OR(_xlpm.r=0, _xlpm.r=""), "Regional Aggregate", _xlpm.r))</f>
        <v>Regional Aggregate</v>
      </c>
      <c r="G2248" s="4" t="str">
        <f>_xlfn.LET(_xlpm.ig, _xlfn.XLOOKUP(Clean_Data[[#This Row],[Country_Code]], Metadata_Country!$A:$A, Metadata_Country!$C:$C, "Unknown"), IF(OR(_xlpm.ig=0, _xlpm.ig=""), "Regional Aggregate", _xlpm.ig))</f>
        <v>Regional Aggregate</v>
      </c>
      <c r="H2248" s="4">
        <f>Clean_Data[[#This Row],[Exports_TIV]] - Clean_Data[[#This Row],[Imports_TIV]]</f>
        <v>-1743000000</v>
      </c>
      <c r="I2248" s="4">
        <f>Clean_Data[[#This Row],[Exports_TIV]] + Clean_Data[[#This Row],[Imports_TIV]]</f>
        <v>1743000000</v>
      </c>
    </row>
    <row r="2249" spans="1:9">
      <c r="A2249" s="4" t="s">
        <v>265</v>
      </c>
      <c r="B2249" s="4" t="s">
        <v>266</v>
      </c>
      <c r="C2249" s="5">
        <v>2011</v>
      </c>
      <c r="D2249" s="4">
        <v>0</v>
      </c>
      <c r="E2249" s="4">
        <v>1405000000</v>
      </c>
      <c r="F2249" s="4" t="str">
        <f>_xlfn.LET(_xlpm.r, _xlfn.XLOOKUP(Clean_Data[[#This Row],[Country_Code]], Metadata_Country!$A:$A, Metadata_Country!$B:$B, "Unknown"), IF(OR(_xlpm.r=0, _xlpm.r=""), "Regional Aggregate", _xlpm.r))</f>
        <v>Regional Aggregate</v>
      </c>
      <c r="G2249" s="4" t="str">
        <f>_xlfn.LET(_xlpm.ig, _xlfn.XLOOKUP(Clean_Data[[#This Row],[Country_Code]], Metadata_Country!$A:$A, Metadata_Country!$C:$C, "Unknown"), IF(OR(_xlpm.ig=0, _xlpm.ig=""), "Regional Aggregate", _xlpm.ig))</f>
        <v>Regional Aggregate</v>
      </c>
      <c r="H2249" s="4">
        <f>Clean_Data[[#This Row],[Exports_TIV]] - Clean_Data[[#This Row],[Imports_TIV]]</f>
        <v>-1405000000</v>
      </c>
      <c r="I2249" s="4">
        <f>Clean_Data[[#This Row],[Exports_TIV]] + Clean_Data[[#This Row],[Imports_TIV]]</f>
        <v>1405000000</v>
      </c>
    </row>
    <row r="2250" spans="1:9">
      <c r="A2250" s="4" t="s">
        <v>481</v>
      </c>
      <c r="B2250" s="4" t="s">
        <v>482</v>
      </c>
      <c r="C2250" s="5">
        <v>2011</v>
      </c>
      <c r="D2250" s="4">
        <v>0</v>
      </c>
      <c r="E2250" s="4">
        <v>1743000000</v>
      </c>
      <c r="F2250" s="4" t="str">
        <f>_xlfn.LET(_xlpm.r, _xlfn.XLOOKUP(Clean_Data[[#This Row],[Country_Code]], Metadata_Country!$A:$A, Metadata_Country!$B:$B, "Unknown"), IF(OR(_xlpm.r=0, _xlpm.r=""), "Regional Aggregate", _xlpm.r))</f>
        <v>Regional Aggregate</v>
      </c>
      <c r="G2250" s="4" t="str">
        <f>_xlfn.LET(_xlpm.ig, _xlfn.XLOOKUP(Clean_Data[[#This Row],[Country_Code]], Metadata_Country!$A:$A, Metadata_Country!$C:$C, "Unknown"), IF(OR(_xlpm.ig=0, _xlpm.ig=""), "Regional Aggregate", _xlpm.ig))</f>
        <v>Regional Aggregate</v>
      </c>
      <c r="H2250" s="4">
        <f>Clean_Data[[#This Row],[Exports_TIV]] - Clean_Data[[#This Row],[Imports_TIV]]</f>
        <v>-1743000000</v>
      </c>
      <c r="I2250" s="4">
        <f>Clean_Data[[#This Row],[Exports_TIV]] + Clean_Data[[#This Row],[Imports_TIV]]</f>
        <v>1743000000</v>
      </c>
    </row>
    <row r="2251" spans="1:9">
      <c r="A2251" s="4" t="s">
        <v>299</v>
      </c>
      <c r="B2251" s="4" t="s">
        <v>300</v>
      </c>
      <c r="C2251" s="5">
        <v>2011</v>
      </c>
      <c r="D2251" s="4">
        <v>0</v>
      </c>
      <c r="E2251" s="4">
        <v>27000000</v>
      </c>
      <c r="F2251" s="4" t="str">
        <f>_xlfn.LET(_xlpm.r, _xlfn.XLOOKUP(Clean_Data[[#This Row],[Country_Code]], Metadata_Country!$A:$A, Metadata_Country!$B:$B, "Unknown"), IF(OR(_xlpm.r=0, _xlpm.r=""), "Regional Aggregate", _xlpm.r))</f>
        <v>Europe &amp; Central Asia</v>
      </c>
      <c r="G2251" s="4" t="str">
        <f>_xlfn.LET(_xlpm.ig, _xlfn.XLOOKUP(Clean_Data[[#This Row],[Country_Code]], Metadata_Country!$A:$A, Metadata_Country!$C:$C, "Unknown"), IF(OR(_xlpm.ig=0, _xlpm.ig=""), "Regional Aggregate", _xlpm.ig))</f>
        <v>High income</v>
      </c>
      <c r="H2251" s="4">
        <f>Clean_Data[[#This Row],[Exports_TIV]] - Clean_Data[[#This Row],[Imports_TIV]]</f>
        <v>-27000000</v>
      </c>
      <c r="I2251" s="4">
        <f>Clean_Data[[#This Row],[Exports_TIV]] + Clean_Data[[#This Row],[Imports_TIV]]</f>
        <v>27000000</v>
      </c>
    </row>
    <row r="2252" spans="1:9">
      <c r="A2252" s="4" t="s">
        <v>269</v>
      </c>
      <c r="B2252" s="4" t="s">
        <v>270</v>
      </c>
      <c r="C2252" s="5">
        <v>2011</v>
      </c>
      <c r="D2252" s="4">
        <v>0</v>
      </c>
      <c r="E2252" s="4">
        <v>1000000</v>
      </c>
      <c r="F2252" s="4" t="str">
        <f>_xlfn.LET(_xlpm.r, _xlfn.XLOOKUP(Clean_Data[[#This Row],[Country_Code]], Metadata_Country!$A:$A, Metadata_Country!$B:$B, "Unknown"), IF(OR(_xlpm.r=0, _xlpm.r=""), "Regional Aggregate", _xlpm.r))</f>
        <v>Middle East &amp; North Africa</v>
      </c>
      <c r="G2252" s="4" t="str">
        <f>_xlfn.LET(_xlpm.ig, _xlfn.XLOOKUP(Clean_Data[[#This Row],[Country_Code]], Metadata_Country!$A:$A, Metadata_Country!$C:$C, "Unknown"), IF(OR(_xlpm.ig=0, _xlpm.ig=""), "Regional Aggregate", _xlpm.ig))</f>
        <v>Lower middle income</v>
      </c>
      <c r="H2252" s="4">
        <f>Clean_Data[[#This Row],[Exports_TIV]] - Clean_Data[[#This Row],[Imports_TIV]]</f>
        <v>-1000000</v>
      </c>
      <c r="I2252" s="4">
        <f>Clean_Data[[#This Row],[Exports_TIV]] + Clean_Data[[#This Row],[Imports_TIV]]</f>
        <v>1000000</v>
      </c>
    </row>
    <row r="2253" spans="1:9">
      <c r="A2253" s="4" t="s">
        <v>273</v>
      </c>
      <c r="B2253" s="4" t="s">
        <v>274</v>
      </c>
      <c r="C2253" s="5">
        <v>2011</v>
      </c>
      <c r="D2253" s="4">
        <v>0</v>
      </c>
      <c r="E2253" s="4">
        <v>8000000</v>
      </c>
      <c r="F2253" s="4" t="str">
        <f>_xlfn.LET(_xlpm.r, _xlfn.XLOOKUP(Clean_Data[[#This Row],[Country_Code]], Metadata_Country!$A:$A, Metadata_Country!$B:$B, "Unknown"), IF(OR(_xlpm.r=0, _xlpm.r=""), "Regional Aggregate", _xlpm.r))</f>
        <v>Middle East &amp; North Africa</v>
      </c>
      <c r="G2253" s="4" t="str">
        <f>_xlfn.LET(_xlpm.ig, _xlfn.XLOOKUP(Clean_Data[[#This Row],[Country_Code]], Metadata_Country!$A:$A, Metadata_Country!$C:$C, "Unknown"), IF(OR(_xlpm.ig=0, _xlpm.ig=""), "Regional Aggregate", _xlpm.ig))</f>
        <v>Upper middle income</v>
      </c>
      <c r="H2253" s="4">
        <f>Clean_Data[[#This Row],[Exports_TIV]] - Clean_Data[[#This Row],[Imports_TIV]]</f>
        <v>-8000000</v>
      </c>
      <c r="I2253" s="4">
        <f>Clean_Data[[#This Row],[Exports_TIV]] + Clean_Data[[#This Row],[Imports_TIV]]</f>
        <v>8000000</v>
      </c>
    </row>
    <row r="2254" spans="1:9">
      <c r="A2254" s="4" t="s">
        <v>289</v>
      </c>
      <c r="B2254" s="4" t="s">
        <v>290</v>
      </c>
      <c r="C2254" s="5">
        <v>2011</v>
      </c>
      <c r="D2254" s="4">
        <v>0</v>
      </c>
      <c r="E2254" s="4">
        <v>17976000000</v>
      </c>
      <c r="F2254" s="4" t="str">
        <f>_xlfn.LET(_xlpm.r, _xlfn.XLOOKUP(Clean_Data[[#This Row],[Country_Code]], Metadata_Country!$A:$A, Metadata_Country!$B:$B, "Unknown"), IF(OR(_xlpm.r=0, _xlpm.r=""), "Regional Aggregate", _xlpm.r))</f>
        <v>Regional Aggregate</v>
      </c>
      <c r="G2254" s="4" t="str">
        <f>_xlfn.LET(_xlpm.ig, _xlfn.XLOOKUP(Clean_Data[[#This Row],[Country_Code]], Metadata_Country!$A:$A, Metadata_Country!$C:$C, "Unknown"), IF(OR(_xlpm.ig=0, _xlpm.ig=""), "Regional Aggregate", _xlpm.ig))</f>
        <v>Regional Aggregate</v>
      </c>
      <c r="H2254" s="4">
        <f>Clean_Data[[#This Row],[Exports_TIV]] - Clean_Data[[#This Row],[Imports_TIV]]</f>
        <v>-17976000000</v>
      </c>
      <c r="I2254" s="4">
        <f>Clean_Data[[#This Row],[Exports_TIV]] + Clean_Data[[#This Row],[Imports_TIV]]</f>
        <v>17976000000</v>
      </c>
    </row>
    <row r="2255" spans="1:9">
      <c r="A2255" s="4" t="s">
        <v>281</v>
      </c>
      <c r="B2255" s="4" t="s">
        <v>282</v>
      </c>
      <c r="C2255" s="5">
        <v>2011</v>
      </c>
      <c r="D2255" s="4">
        <v>0</v>
      </c>
      <c r="E2255" s="4">
        <v>1990000000</v>
      </c>
      <c r="F2255" s="4" t="str">
        <f>_xlfn.LET(_xlpm.r, _xlfn.XLOOKUP(Clean_Data[[#This Row],[Country_Code]], Metadata_Country!$A:$A, Metadata_Country!$B:$B, "Unknown"), IF(OR(_xlpm.r=0, _xlpm.r=""), "Regional Aggregate", _xlpm.r))</f>
        <v>Regional Aggregate</v>
      </c>
      <c r="G2255" s="4" t="str">
        <f>_xlfn.LET(_xlpm.ig, _xlfn.XLOOKUP(Clean_Data[[#This Row],[Country_Code]], Metadata_Country!$A:$A, Metadata_Country!$C:$C, "Unknown"), IF(OR(_xlpm.ig=0, _xlpm.ig=""), "Regional Aggregate", _xlpm.ig))</f>
        <v>Regional Aggregate</v>
      </c>
      <c r="H2255" s="4">
        <f>Clean_Data[[#This Row],[Exports_TIV]] - Clean_Data[[#This Row],[Imports_TIV]]</f>
        <v>-1990000000</v>
      </c>
      <c r="I2255" s="4">
        <f>Clean_Data[[#This Row],[Exports_TIV]] + Clean_Data[[#This Row],[Imports_TIV]]</f>
        <v>1990000000</v>
      </c>
    </row>
    <row r="2256" spans="1:9">
      <c r="A2256" s="4" t="s">
        <v>287</v>
      </c>
      <c r="B2256" s="4" t="s">
        <v>288</v>
      </c>
      <c r="C2256" s="5">
        <v>2011</v>
      </c>
      <c r="D2256" s="4">
        <v>0</v>
      </c>
      <c r="E2256" s="4">
        <v>8479000000</v>
      </c>
      <c r="F2256" s="4" t="str">
        <f>_xlfn.LET(_xlpm.r, _xlfn.XLOOKUP(Clean_Data[[#This Row],[Country_Code]], Metadata_Country!$A:$A, Metadata_Country!$B:$B, "Unknown"), IF(OR(_xlpm.r=0, _xlpm.r=""), "Regional Aggregate", _xlpm.r))</f>
        <v>Regional Aggregate</v>
      </c>
      <c r="G2256" s="4" t="str">
        <f>_xlfn.LET(_xlpm.ig, _xlfn.XLOOKUP(Clean_Data[[#This Row],[Country_Code]], Metadata_Country!$A:$A, Metadata_Country!$C:$C, "Unknown"), IF(OR(_xlpm.ig=0, _xlpm.ig=""), "Regional Aggregate", _xlpm.ig))</f>
        <v>Regional Aggregate</v>
      </c>
      <c r="H2256" s="4">
        <f>Clean_Data[[#This Row],[Exports_TIV]] - Clean_Data[[#This Row],[Imports_TIV]]</f>
        <v>-8479000000</v>
      </c>
      <c r="I2256" s="4">
        <f>Clean_Data[[#This Row],[Exports_TIV]] + Clean_Data[[#This Row],[Imports_TIV]]</f>
        <v>8479000000</v>
      </c>
    </row>
    <row r="2257" spans="1:9">
      <c r="A2257" s="4" t="s">
        <v>347</v>
      </c>
      <c r="B2257" s="4" t="s">
        <v>348</v>
      </c>
      <c r="C2257" s="5">
        <v>2011</v>
      </c>
      <c r="D2257" s="4">
        <v>0</v>
      </c>
      <c r="E2257" s="4">
        <v>4000000</v>
      </c>
      <c r="F2257" s="4" t="str">
        <f>_xlfn.LET(_xlpm.r, _xlfn.XLOOKUP(Clean_Data[[#This Row],[Country_Code]], Metadata_Country!$A:$A, Metadata_Country!$B:$B, "Unknown"), IF(OR(_xlpm.r=0, _xlpm.r=""), "Regional Aggregate", _xlpm.r))</f>
        <v>East Asia &amp; Pacific</v>
      </c>
      <c r="G2257" s="4" t="str">
        <f>_xlfn.LET(_xlpm.ig, _xlfn.XLOOKUP(Clean_Data[[#This Row],[Country_Code]], Metadata_Country!$A:$A, Metadata_Country!$C:$C, "Unknown"), IF(OR(_xlpm.ig=0, _xlpm.ig=""), "Regional Aggregate", _xlpm.ig))</f>
        <v>Upper middle income</v>
      </c>
      <c r="H2257" s="4">
        <f>Clean_Data[[#This Row],[Exports_TIV]] - Clean_Data[[#This Row],[Imports_TIV]]</f>
        <v>-4000000</v>
      </c>
      <c r="I2257" s="4">
        <f>Clean_Data[[#This Row],[Exports_TIV]] + Clean_Data[[#This Row],[Imports_TIV]]</f>
        <v>4000000</v>
      </c>
    </row>
    <row r="2258" spans="1:9">
      <c r="A2258" s="4" t="s">
        <v>325</v>
      </c>
      <c r="B2258" s="4" t="s">
        <v>326</v>
      </c>
      <c r="C2258" s="5">
        <v>2011</v>
      </c>
      <c r="D2258" s="4">
        <v>0</v>
      </c>
      <c r="E2258" s="4">
        <v>0</v>
      </c>
      <c r="F2258" s="4" t="str">
        <f>_xlfn.LET(_xlpm.r, _xlfn.XLOOKUP(Clean_Data[[#This Row],[Country_Code]], Metadata_Country!$A:$A, Metadata_Country!$B:$B, "Unknown"), IF(OR(_xlpm.r=0, _xlpm.r=""), "Regional Aggregate", _xlpm.r))</f>
        <v>Sub-Saharan Africa</v>
      </c>
      <c r="G2258" s="4" t="str">
        <f>_xlfn.LET(_xlpm.ig, _xlfn.XLOOKUP(Clean_Data[[#This Row],[Country_Code]], Metadata_Country!$A:$A, Metadata_Country!$C:$C, "Unknown"), IF(OR(_xlpm.ig=0, _xlpm.ig=""), "Regional Aggregate", _xlpm.ig))</f>
        <v>Low income</v>
      </c>
      <c r="H2258" s="4">
        <f>Clean_Data[[#This Row],[Exports_TIV]] - Clean_Data[[#This Row],[Imports_TIV]]</f>
        <v>0</v>
      </c>
      <c r="I2258" s="4">
        <f>Clean_Data[[#This Row],[Exports_TIV]] + Clean_Data[[#This Row],[Imports_TIV]]</f>
        <v>0</v>
      </c>
    </row>
    <row r="2259" spans="1:9">
      <c r="A2259" s="4" t="s">
        <v>327</v>
      </c>
      <c r="B2259" s="4" t="s">
        <v>328</v>
      </c>
      <c r="C2259" s="5">
        <v>2011</v>
      </c>
      <c r="D2259" s="4">
        <v>0</v>
      </c>
      <c r="E2259" s="4">
        <v>8000000</v>
      </c>
      <c r="F2259" s="4" t="str">
        <f>_xlfn.LET(_xlpm.r, _xlfn.XLOOKUP(Clean_Data[[#This Row],[Country_Code]], Metadata_Country!$A:$A, Metadata_Country!$B:$B, "Unknown"), IF(OR(_xlpm.r=0, _xlpm.r=""), "Regional Aggregate", _xlpm.r))</f>
        <v>Middle East &amp; North Africa</v>
      </c>
      <c r="G2259" s="4" t="str">
        <f>_xlfn.LET(_xlpm.ig, _xlfn.XLOOKUP(Clean_Data[[#This Row],[Country_Code]], Metadata_Country!$A:$A, Metadata_Country!$C:$C, "Unknown"), IF(OR(_xlpm.ig=0, _xlpm.ig=""), "Regional Aggregate", _xlpm.ig))</f>
        <v>High income</v>
      </c>
      <c r="H2259" s="4">
        <f>Clean_Data[[#This Row],[Exports_TIV]] - Clean_Data[[#This Row],[Imports_TIV]]</f>
        <v>-8000000</v>
      </c>
      <c r="I2259" s="4">
        <f>Clean_Data[[#This Row],[Exports_TIV]] + Clean_Data[[#This Row],[Imports_TIV]]</f>
        <v>8000000</v>
      </c>
    </row>
    <row r="2260" spans="1:9">
      <c r="A2260" s="4" t="s">
        <v>341</v>
      </c>
      <c r="B2260" s="4" t="s">
        <v>342</v>
      </c>
      <c r="C2260" s="5">
        <v>2011</v>
      </c>
      <c r="D2260" s="4">
        <v>0</v>
      </c>
      <c r="E2260" s="4">
        <v>5000000</v>
      </c>
      <c r="F2260" s="4" t="str">
        <f>_xlfn.LET(_xlpm.r, _xlfn.XLOOKUP(Clean_Data[[#This Row],[Country_Code]], Metadata_Country!$A:$A, Metadata_Country!$B:$B, "Unknown"), IF(OR(_xlpm.r=0, _xlpm.r=""), "Regional Aggregate", _xlpm.r))</f>
        <v>Sub-Saharan Africa</v>
      </c>
      <c r="G2260" s="4" t="str">
        <f>_xlfn.LET(_xlpm.ig, _xlfn.XLOOKUP(Clean_Data[[#This Row],[Country_Code]], Metadata_Country!$A:$A, Metadata_Country!$C:$C, "Unknown"), IF(OR(_xlpm.ig=0, _xlpm.ig=""), "Regional Aggregate", _xlpm.ig))</f>
        <v>Lower middle income</v>
      </c>
      <c r="H2260" s="4">
        <f>Clean_Data[[#This Row],[Exports_TIV]] - Clean_Data[[#This Row],[Imports_TIV]]</f>
        <v>-5000000</v>
      </c>
      <c r="I2260" s="4">
        <f>Clean_Data[[#This Row],[Exports_TIV]] + Clean_Data[[#This Row],[Imports_TIV]]</f>
        <v>5000000</v>
      </c>
    </row>
    <row r="2261" spans="1:9">
      <c r="A2261" s="4" t="s">
        <v>317</v>
      </c>
      <c r="B2261" s="4" t="s">
        <v>318</v>
      </c>
      <c r="C2261" s="5">
        <v>2011</v>
      </c>
      <c r="D2261" s="4">
        <v>0</v>
      </c>
      <c r="E2261" s="4">
        <v>225000000</v>
      </c>
      <c r="F2261" s="4" t="str">
        <f>_xlfn.LET(_xlpm.r, _xlfn.XLOOKUP(Clean_Data[[#This Row],[Country_Code]], Metadata_Country!$A:$A, Metadata_Country!$B:$B, "Unknown"), IF(OR(_xlpm.r=0, _xlpm.r=""), "Regional Aggregate", _xlpm.r))</f>
        <v>Latin America &amp; Caribbean</v>
      </c>
      <c r="G2261" s="4" t="str">
        <f>_xlfn.LET(_xlpm.ig, _xlfn.XLOOKUP(Clean_Data[[#This Row],[Country_Code]], Metadata_Country!$A:$A, Metadata_Country!$C:$C, "Unknown"), IF(OR(_xlpm.ig=0, _xlpm.ig=""), "Regional Aggregate", _xlpm.ig))</f>
        <v>Upper middle income</v>
      </c>
      <c r="H2261" s="4">
        <f>Clean_Data[[#This Row],[Exports_TIV]] - Clean_Data[[#This Row],[Imports_TIV]]</f>
        <v>-225000000</v>
      </c>
      <c r="I2261" s="4">
        <f>Clean_Data[[#This Row],[Exports_TIV]] + Clean_Data[[#This Row],[Imports_TIV]]</f>
        <v>225000000</v>
      </c>
    </row>
    <row r="2262" spans="1:9">
      <c r="A2262" s="4" t="s">
        <v>315</v>
      </c>
      <c r="B2262" s="4" t="s">
        <v>316</v>
      </c>
      <c r="C2262" s="5">
        <v>2011</v>
      </c>
      <c r="D2262" s="4">
        <v>0</v>
      </c>
      <c r="E2262" s="4">
        <v>9174000000</v>
      </c>
      <c r="F2262" s="4" t="str">
        <f>_xlfn.LET(_xlpm.r, _xlfn.XLOOKUP(Clean_Data[[#This Row],[Country_Code]], Metadata_Country!$A:$A, Metadata_Country!$B:$B, "Unknown"), IF(OR(_xlpm.r=0, _xlpm.r=""), "Regional Aggregate", _xlpm.r))</f>
        <v>Regional Aggregate</v>
      </c>
      <c r="G2262" s="4" t="str">
        <f>_xlfn.LET(_xlpm.ig, _xlfn.XLOOKUP(Clean_Data[[#This Row],[Country_Code]], Metadata_Country!$A:$A, Metadata_Country!$C:$C, "Unknown"), IF(OR(_xlpm.ig=0, _xlpm.ig=""), "Regional Aggregate", _xlpm.ig))</f>
        <v>Regional Aggregate</v>
      </c>
      <c r="H2262" s="4">
        <f>Clean_Data[[#This Row],[Exports_TIV]] - Clean_Data[[#This Row],[Imports_TIV]]</f>
        <v>-9174000000</v>
      </c>
      <c r="I2262" s="4">
        <f>Clean_Data[[#This Row],[Exports_TIV]] + Clean_Data[[#This Row],[Imports_TIV]]</f>
        <v>9174000000</v>
      </c>
    </row>
    <row r="2263" spans="1:9">
      <c r="A2263" s="4" t="s">
        <v>331</v>
      </c>
      <c r="B2263" s="4" t="s">
        <v>332</v>
      </c>
      <c r="C2263" s="5">
        <v>2011</v>
      </c>
      <c r="D2263" s="4">
        <v>0</v>
      </c>
      <c r="E2263" s="4">
        <v>6356000000</v>
      </c>
      <c r="F2263" s="4" t="str">
        <f>_xlfn.LET(_xlpm.r, _xlfn.XLOOKUP(Clean_Data[[#This Row],[Country_Code]], Metadata_Country!$A:$A, Metadata_Country!$B:$B, "Unknown"), IF(OR(_xlpm.r=0, _xlpm.r=""), "Regional Aggregate", _xlpm.r))</f>
        <v>Regional Aggregate</v>
      </c>
      <c r="G2263" s="4" t="str">
        <f>_xlfn.LET(_xlpm.ig, _xlfn.XLOOKUP(Clean_Data[[#This Row],[Country_Code]], Metadata_Country!$A:$A, Metadata_Country!$C:$C, "Unknown"), IF(OR(_xlpm.ig=0, _xlpm.ig=""), "Regional Aggregate", _xlpm.ig))</f>
        <v>Regional Aggregate</v>
      </c>
      <c r="H2263" s="4">
        <f>Clean_Data[[#This Row],[Exports_TIV]] - Clean_Data[[#This Row],[Imports_TIV]]</f>
        <v>-6356000000</v>
      </c>
      <c r="I2263" s="4">
        <f>Clean_Data[[#This Row],[Exports_TIV]] + Clean_Data[[#This Row],[Imports_TIV]]</f>
        <v>6356000000</v>
      </c>
    </row>
    <row r="2264" spans="1:9">
      <c r="A2264" s="4" t="s">
        <v>485</v>
      </c>
      <c r="B2264" s="4" t="s">
        <v>486</v>
      </c>
      <c r="C2264" s="5">
        <v>2011</v>
      </c>
      <c r="D2264" s="4">
        <v>0</v>
      </c>
      <c r="E2264" s="4">
        <v>6356000000</v>
      </c>
      <c r="F2264" s="4" t="str">
        <f>_xlfn.LET(_xlpm.r, _xlfn.XLOOKUP(Clean_Data[[#This Row],[Country_Code]], Metadata_Country!$A:$A, Metadata_Country!$B:$B, "Unknown"), IF(OR(_xlpm.r=0, _xlpm.r=""), "Regional Aggregate", _xlpm.r))</f>
        <v>Regional Aggregate</v>
      </c>
      <c r="G2264" s="4" t="str">
        <f>_xlfn.LET(_xlpm.ig, _xlfn.XLOOKUP(Clean_Data[[#This Row],[Country_Code]], Metadata_Country!$A:$A, Metadata_Country!$C:$C, "Unknown"), IF(OR(_xlpm.ig=0, _xlpm.ig=""), "Regional Aggregate", _xlpm.ig))</f>
        <v>Regional Aggregate</v>
      </c>
      <c r="H2264" s="4">
        <f>Clean_Data[[#This Row],[Exports_TIV]] - Clean_Data[[#This Row],[Imports_TIV]]</f>
        <v>-6356000000</v>
      </c>
      <c r="I2264" s="4">
        <f>Clean_Data[[#This Row],[Exports_TIV]] + Clean_Data[[#This Row],[Imports_TIV]]</f>
        <v>6356000000</v>
      </c>
    </row>
    <row r="2265" spans="1:9">
      <c r="A2265" s="4" t="s">
        <v>321</v>
      </c>
      <c r="B2265" s="4" t="s">
        <v>322</v>
      </c>
      <c r="C2265" s="5">
        <v>2011</v>
      </c>
      <c r="D2265" s="4">
        <v>0</v>
      </c>
      <c r="E2265" s="4">
        <v>15986000000</v>
      </c>
      <c r="F2265" s="4" t="str">
        <f>_xlfn.LET(_xlpm.r, _xlfn.XLOOKUP(Clean_Data[[#This Row],[Country_Code]], Metadata_Country!$A:$A, Metadata_Country!$B:$B, "Unknown"), IF(OR(_xlpm.r=0, _xlpm.r=""), "Regional Aggregate", _xlpm.r))</f>
        <v>Regional Aggregate</v>
      </c>
      <c r="G2265" s="4" t="str">
        <f>_xlfn.LET(_xlpm.ig, _xlfn.XLOOKUP(Clean_Data[[#This Row],[Country_Code]], Metadata_Country!$A:$A, Metadata_Country!$C:$C, "Unknown"), IF(OR(_xlpm.ig=0, _xlpm.ig=""), "Regional Aggregate", _xlpm.ig))</f>
        <v>Regional Aggregate</v>
      </c>
      <c r="H2265" s="4">
        <f>Clean_Data[[#This Row],[Exports_TIV]] - Clean_Data[[#This Row],[Imports_TIV]]</f>
        <v>-15986000000</v>
      </c>
      <c r="I2265" s="4">
        <f>Clean_Data[[#This Row],[Exports_TIV]] + Clean_Data[[#This Row],[Imports_TIV]]</f>
        <v>15986000000</v>
      </c>
    </row>
    <row r="2266" spans="1:9">
      <c r="A2266" s="4" t="s">
        <v>309</v>
      </c>
      <c r="B2266" s="4" t="s">
        <v>310</v>
      </c>
      <c r="C2266" s="5">
        <v>2011</v>
      </c>
      <c r="D2266" s="4">
        <v>12000000</v>
      </c>
      <c r="E2266" s="4">
        <v>0</v>
      </c>
      <c r="F2266" s="4" t="str">
        <f>_xlfn.LET(_xlpm.r, _xlfn.XLOOKUP(Clean_Data[[#This Row],[Country_Code]], Metadata_Country!$A:$A, Metadata_Country!$B:$B, "Unknown"), IF(OR(_xlpm.r=0, _xlpm.r=""), "Regional Aggregate", _xlpm.r))</f>
        <v>Europe &amp; Central Asia</v>
      </c>
      <c r="G2266" s="4" t="str">
        <f>_xlfn.LET(_xlpm.ig, _xlfn.XLOOKUP(Clean_Data[[#This Row],[Country_Code]], Metadata_Country!$A:$A, Metadata_Country!$C:$C, "Unknown"), IF(OR(_xlpm.ig=0, _xlpm.ig=""), "Regional Aggregate", _xlpm.ig))</f>
        <v>Upper middle income</v>
      </c>
      <c r="H2266" s="4">
        <f>Clean_Data[[#This Row],[Exports_TIV]] - Clean_Data[[#This Row],[Imports_TIV]]</f>
        <v>12000000</v>
      </c>
      <c r="I2266" s="4">
        <f>Clean_Data[[#This Row],[Exports_TIV]] + Clean_Data[[#This Row],[Imports_TIV]]</f>
        <v>12000000</v>
      </c>
    </row>
    <row r="2267" spans="1:9">
      <c r="A2267" s="4" t="s">
        <v>335</v>
      </c>
      <c r="B2267" s="4" t="s">
        <v>336</v>
      </c>
      <c r="C2267" s="5">
        <v>2011</v>
      </c>
      <c r="D2267" s="4">
        <v>0</v>
      </c>
      <c r="E2267" s="4">
        <v>3000000</v>
      </c>
      <c r="F2267" s="4" t="str">
        <f>_xlfn.LET(_xlpm.r, _xlfn.XLOOKUP(Clean_Data[[#This Row],[Country_Code]], Metadata_Country!$A:$A, Metadata_Country!$B:$B, "Unknown"), IF(OR(_xlpm.r=0, _xlpm.r=""), "Regional Aggregate", _xlpm.r))</f>
        <v>East Asia &amp; Pacific</v>
      </c>
      <c r="G2267" s="4" t="str">
        <f>_xlfn.LET(_xlpm.ig, _xlfn.XLOOKUP(Clean_Data[[#This Row],[Country_Code]], Metadata_Country!$A:$A, Metadata_Country!$C:$C, "Unknown"), IF(OR(_xlpm.ig=0, _xlpm.ig=""), "Regional Aggregate", _xlpm.ig))</f>
        <v>Upper middle income</v>
      </c>
      <c r="H2267" s="4">
        <f>Clean_Data[[#This Row],[Exports_TIV]] - Clean_Data[[#This Row],[Imports_TIV]]</f>
        <v>-3000000</v>
      </c>
      <c r="I2267" s="4">
        <f>Clean_Data[[#This Row],[Exports_TIV]] + Clean_Data[[#This Row],[Imports_TIV]]</f>
        <v>3000000</v>
      </c>
    </row>
    <row r="2268" spans="1:9">
      <c r="A2268" s="4" t="s">
        <v>305</v>
      </c>
      <c r="B2268" s="4" t="s">
        <v>306</v>
      </c>
      <c r="C2268" s="5">
        <v>2011</v>
      </c>
      <c r="D2268" s="4">
        <v>0</v>
      </c>
      <c r="E2268" s="4">
        <v>1289000000</v>
      </c>
      <c r="F2268" s="4" t="str">
        <f>_xlfn.LET(_xlpm.r, _xlfn.XLOOKUP(Clean_Data[[#This Row],[Country_Code]], Metadata_Country!$A:$A, Metadata_Country!$B:$B, "Unknown"), IF(OR(_xlpm.r=0, _xlpm.r=""), "Regional Aggregate", _xlpm.r))</f>
        <v>Middle East &amp; North Africa</v>
      </c>
      <c r="G2268" s="4" t="str">
        <f>_xlfn.LET(_xlpm.ig, _xlfn.XLOOKUP(Clean_Data[[#This Row],[Country_Code]], Metadata_Country!$A:$A, Metadata_Country!$C:$C, "Unknown"), IF(OR(_xlpm.ig=0, _xlpm.ig=""), "Regional Aggregate", _xlpm.ig))</f>
        <v>Lower middle income</v>
      </c>
      <c r="H2268" s="4">
        <f>Clean_Data[[#This Row],[Exports_TIV]] - Clean_Data[[#This Row],[Imports_TIV]]</f>
        <v>-1289000000</v>
      </c>
      <c r="I2268" s="4">
        <f>Clean_Data[[#This Row],[Exports_TIV]] + Clean_Data[[#This Row],[Imports_TIV]]</f>
        <v>1289000000</v>
      </c>
    </row>
    <row r="2269" spans="1:9">
      <c r="A2269" s="4" t="s">
        <v>339</v>
      </c>
      <c r="B2269" s="4" t="s">
        <v>340</v>
      </c>
      <c r="C2269" s="5">
        <v>2011</v>
      </c>
      <c r="D2269" s="4">
        <v>0</v>
      </c>
      <c r="E2269" s="4">
        <v>0</v>
      </c>
      <c r="F2269" s="4" t="str">
        <f>_xlfn.LET(_xlpm.r, _xlfn.XLOOKUP(Clean_Data[[#This Row],[Country_Code]], Metadata_Country!$A:$A, Metadata_Country!$B:$B, "Unknown"), IF(OR(_xlpm.r=0, _xlpm.r=""), "Regional Aggregate", _xlpm.r))</f>
        <v>Sub-Saharan Africa</v>
      </c>
      <c r="G2269" s="4" t="str">
        <f>_xlfn.LET(_xlpm.ig, _xlfn.XLOOKUP(Clean_Data[[#This Row],[Country_Code]], Metadata_Country!$A:$A, Metadata_Country!$C:$C, "Unknown"), IF(OR(_xlpm.ig=0, _xlpm.ig=""), "Regional Aggregate", _xlpm.ig))</f>
        <v>Low income</v>
      </c>
      <c r="H2269" s="4">
        <f>Clean_Data[[#This Row],[Exports_TIV]] - Clean_Data[[#This Row],[Imports_TIV]]</f>
        <v>0</v>
      </c>
      <c r="I2269" s="4">
        <f>Clean_Data[[#This Row],[Exports_TIV]] + Clean_Data[[#This Row],[Imports_TIV]]</f>
        <v>0</v>
      </c>
    </row>
    <row r="2270" spans="1:9">
      <c r="A2270" s="4" t="s">
        <v>329</v>
      </c>
      <c r="B2270" s="4" t="s">
        <v>330</v>
      </c>
      <c r="C2270" s="5">
        <v>2011</v>
      </c>
      <c r="D2270" s="4">
        <v>0</v>
      </c>
      <c r="E2270" s="4">
        <v>668000000</v>
      </c>
      <c r="F2270" s="4" t="str">
        <f>_xlfn.LET(_xlpm.r, _xlfn.XLOOKUP(Clean_Data[[#This Row],[Country_Code]], Metadata_Country!$A:$A, Metadata_Country!$B:$B, "Unknown"), IF(OR(_xlpm.r=0, _xlpm.r=""), "Regional Aggregate", _xlpm.r))</f>
        <v>East Asia &amp; Pacific</v>
      </c>
      <c r="G2270" s="4" t="str">
        <f>_xlfn.LET(_xlpm.ig, _xlfn.XLOOKUP(Clean_Data[[#This Row],[Country_Code]], Metadata_Country!$A:$A, Metadata_Country!$C:$C, "Unknown"), IF(OR(_xlpm.ig=0, _xlpm.ig=""), "Regional Aggregate", _xlpm.ig))</f>
        <v>Lower middle income</v>
      </c>
      <c r="H2270" s="4">
        <f>Clean_Data[[#This Row],[Exports_TIV]] - Clean_Data[[#This Row],[Imports_TIV]]</f>
        <v>-668000000</v>
      </c>
      <c r="I2270" s="4">
        <f>Clean_Data[[#This Row],[Exports_TIV]] + Clean_Data[[#This Row],[Imports_TIV]]</f>
        <v>668000000</v>
      </c>
    </row>
    <row r="2271" spans="1:9">
      <c r="A2271" s="4" t="s">
        <v>351</v>
      </c>
      <c r="B2271" s="4" t="s">
        <v>352</v>
      </c>
      <c r="C2271" s="5">
        <v>2011</v>
      </c>
      <c r="D2271" s="4">
        <v>0</v>
      </c>
      <c r="E2271" s="4">
        <v>1000000</v>
      </c>
      <c r="F2271" s="4" t="str">
        <f>_xlfn.LET(_xlpm.r, _xlfn.XLOOKUP(Clean_Data[[#This Row],[Country_Code]], Metadata_Country!$A:$A, Metadata_Country!$B:$B, "Unknown"), IF(OR(_xlpm.r=0, _xlpm.r=""), "Regional Aggregate", _xlpm.r))</f>
        <v>Sub-Saharan Africa</v>
      </c>
      <c r="G2271" s="4" t="str">
        <f>_xlfn.LET(_xlpm.ig, _xlfn.XLOOKUP(Clean_Data[[#This Row],[Country_Code]], Metadata_Country!$A:$A, Metadata_Country!$C:$C, "Unknown"), IF(OR(_xlpm.ig=0, _xlpm.ig=""), "Regional Aggregate", _xlpm.ig))</f>
        <v>Lower middle income</v>
      </c>
      <c r="H2271" s="4">
        <f>Clean_Data[[#This Row],[Exports_TIV]] - Clean_Data[[#This Row],[Imports_TIV]]</f>
        <v>-1000000</v>
      </c>
      <c r="I2271" s="4">
        <f>Clean_Data[[#This Row],[Exports_TIV]] + Clean_Data[[#This Row],[Imports_TIV]]</f>
        <v>1000000</v>
      </c>
    </row>
    <row r="2272" spans="1:9">
      <c r="A2272" s="4" t="s">
        <v>365</v>
      </c>
      <c r="B2272" s="4" t="s">
        <v>366</v>
      </c>
      <c r="C2272" s="5">
        <v>2011</v>
      </c>
      <c r="D2272" s="4">
        <v>0</v>
      </c>
      <c r="E2272" s="4">
        <v>3000000</v>
      </c>
      <c r="F2272" s="4" t="str">
        <f>_xlfn.LET(_xlpm.r, _xlfn.XLOOKUP(Clean_Data[[#This Row],[Country_Code]], Metadata_Country!$A:$A, Metadata_Country!$B:$B, "Unknown"), IF(OR(_xlpm.r=0, _xlpm.r=""), "Regional Aggregate", _xlpm.r))</f>
        <v>South Asia</v>
      </c>
      <c r="G2272" s="4" t="str">
        <f>_xlfn.LET(_xlpm.ig, _xlfn.XLOOKUP(Clean_Data[[#This Row],[Country_Code]], Metadata_Country!$A:$A, Metadata_Country!$C:$C, "Unknown"), IF(OR(_xlpm.ig=0, _xlpm.ig=""), "Regional Aggregate", _xlpm.ig))</f>
        <v>Lower middle income</v>
      </c>
      <c r="H2272" s="4">
        <f>Clean_Data[[#This Row],[Exports_TIV]] - Clean_Data[[#This Row],[Imports_TIV]]</f>
        <v>-3000000</v>
      </c>
      <c r="I2272" s="4">
        <f>Clean_Data[[#This Row],[Exports_TIV]] + Clean_Data[[#This Row],[Imports_TIV]]</f>
        <v>3000000</v>
      </c>
    </row>
    <row r="2273" spans="1:9">
      <c r="A2273" s="4" t="s">
        <v>361</v>
      </c>
      <c r="B2273" s="4" t="s">
        <v>362</v>
      </c>
      <c r="C2273" s="5">
        <v>2011</v>
      </c>
      <c r="D2273" s="4">
        <v>541000000</v>
      </c>
      <c r="E2273" s="4">
        <v>115000000</v>
      </c>
      <c r="F2273" s="4" t="str">
        <f>_xlfn.LET(_xlpm.r, _xlfn.XLOOKUP(Clean_Data[[#This Row],[Country_Code]], Metadata_Country!$A:$A, Metadata_Country!$B:$B, "Unknown"), IF(OR(_xlpm.r=0, _xlpm.r=""), "Regional Aggregate", _xlpm.r))</f>
        <v>Europe &amp; Central Asia</v>
      </c>
      <c r="G2273" s="4" t="str">
        <f>_xlfn.LET(_xlpm.ig, _xlfn.XLOOKUP(Clean_Data[[#This Row],[Country_Code]], Metadata_Country!$A:$A, Metadata_Country!$C:$C, "Unknown"), IF(OR(_xlpm.ig=0, _xlpm.ig=""), "Regional Aggregate", _xlpm.ig))</f>
        <v>High income</v>
      </c>
      <c r="H2273" s="4">
        <f>Clean_Data[[#This Row],[Exports_TIV]] - Clean_Data[[#This Row],[Imports_TIV]]</f>
        <v>426000000</v>
      </c>
      <c r="I2273" s="4">
        <f>Clean_Data[[#This Row],[Exports_TIV]] + Clean_Data[[#This Row],[Imports_TIV]]</f>
        <v>656000000</v>
      </c>
    </row>
    <row r="2274" spans="1:9">
      <c r="A2274" s="4" t="s">
        <v>369</v>
      </c>
      <c r="B2274" s="4" t="s">
        <v>370</v>
      </c>
      <c r="C2274" s="5">
        <v>2011</v>
      </c>
      <c r="D2274" s="4">
        <v>0</v>
      </c>
      <c r="E2274" s="4">
        <v>28000000</v>
      </c>
      <c r="F2274" s="4" t="str">
        <f>_xlfn.LET(_xlpm.r, _xlfn.XLOOKUP(Clean_Data[[#This Row],[Country_Code]], Metadata_Country!$A:$A, Metadata_Country!$B:$B, "Unknown"), IF(OR(_xlpm.r=0, _xlpm.r=""), "Regional Aggregate", _xlpm.r))</f>
        <v>East Asia &amp; Pacific</v>
      </c>
      <c r="G2274" s="4" t="str">
        <f>_xlfn.LET(_xlpm.ig, _xlfn.XLOOKUP(Clean_Data[[#This Row],[Country_Code]], Metadata_Country!$A:$A, Metadata_Country!$C:$C, "Unknown"), IF(OR(_xlpm.ig=0, _xlpm.ig=""), "Regional Aggregate", _xlpm.ig))</f>
        <v>High income</v>
      </c>
      <c r="H2274" s="4">
        <f>Clean_Data[[#This Row],[Exports_TIV]] - Clean_Data[[#This Row],[Imports_TIV]]</f>
        <v>-28000000</v>
      </c>
      <c r="I2274" s="4">
        <f>Clean_Data[[#This Row],[Exports_TIV]] + Clean_Data[[#This Row],[Imports_TIV]]</f>
        <v>28000000</v>
      </c>
    </row>
    <row r="2275" spans="1:9">
      <c r="A2275" s="4" t="s">
        <v>357</v>
      </c>
      <c r="B2275" s="4" t="s">
        <v>358</v>
      </c>
      <c r="C2275" s="5">
        <v>2011</v>
      </c>
      <c r="D2275" s="4">
        <v>0</v>
      </c>
      <c r="E2275" s="4">
        <v>63000000</v>
      </c>
      <c r="F2275" s="4" t="str">
        <f>_xlfn.LET(_xlpm.r, _xlfn.XLOOKUP(Clean_Data[[#This Row],[Country_Code]], Metadata_Country!$A:$A, Metadata_Country!$B:$B, "Unknown"), IF(OR(_xlpm.r=0, _xlpm.r=""), "Regional Aggregate", _xlpm.r))</f>
        <v>Sub-Saharan Africa</v>
      </c>
      <c r="G2275" s="4" t="str">
        <f>_xlfn.LET(_xlpm.ig, _xlfn.XLOOKUP(Clean_Data[[#This Row],[Country_Code]], Metadata_Country!$A:$A, Metadata_Country!$C:$C, "Unknown"), IF(OR(_xlpm.ig=0, _xlpm.ig=""), "Regional Aggregate", _xlpm.ig))</f>
        <v>Lower middle income</v>
      </c>
      <c r="H2275" s="4">
        <f>Clean_Data[[#This Row],[Exports_TIV]] - Clean_Data[[#This Row],[Imports_TIV]]</f>
        <v>-63000000</v>
      </c>
      <c r="I2275" s="4">
        <f>Clean_Data[[#This Row],[Exports_TIV]] + Clean_Data[[#This Row],[Imports_TIV]]</f>
        <v>63000000</v>
      </c>
    </row>
    <row r="2276" spans="1:9">
      <c r="A2276" s="4" t="s">
        <v>349</v>
      </c>
      <c r="B2276" s="4" t="s">
        <v>350</v>
      </c>
      <c r="C2276" s="5">
        <v>2011</v>
      </c>
      <c r="D2276" s="4">
        <v>9318000000</v>
      </c>
      <c r="E2276" s="4">
        <v>1293000000</v>
      </c>
      <c r="F2276" s="4" t="str">
        <f>_xlfn.LET(_xlpm.r, _xlfn.XLOOKUP(Clean_Data[[#This Row],[Country_Code]], Metadata_Country!$A:$A, Metadata_Country!$B:$B, "Unknown"), IF(OR(_xlpm.r=0, _xlpm.r=""), "Regional Aggregate", _xlpm.r))</f>
        <v>Regional Aggregate</v>
      </c>
      <c r="G2276" s="4" t="str">
        <f>_xlfn.LET(_xlpm.ig, _xlfn.XLOOKUP(Clean_Data[[#This Row],[Country_Code]], Metadata_Country!$A:$A, Metadata_Country!$C:$C, "Unknown"), IF(OR(_xlpm.ig=0, _xlpm.ig=""), "Regional Aggregate", _xlpm.ig))</f>
        <v>Regional Aggregate</v>
      </c>
      <c r="H2276" s="4">
        <f>Clean_Data[[#This Row],[Exports_TIV]] - Clean_Data[[#This Row],[Imports_TIV]]</f>
        <v>8025000000</v>
      </c>
      <c r="I2276" s="4">
        <f>Clean_Data[[#This Row],[Exports_TIV]] + Clean_Data[[#This Row],[Imports_TIV]]</f>
        <v>10611000000</v>
      </c>
    </row>
    <row r="2277" spans="1:9">
      <c r="A2277" s="4" t="s">
        <v>363</v>
      </c>
      <c r="B2277" s="4" t="s">
        <v>364</v>
      </c>
      <c r="C2277" s="5">
        <v>2011</v>
      </c>
      <c r="D2277" s="4">
        <v>62000000</v>
      </c>
      <c r="E2277" s="4">
        <v>607000000</v>
      </c>
      <c r="F2277" s="4" t="str">
        <f>_xlfn.LET(_xlpm.r, _xlfn.XLOOKUP(Clean_Data[[#This Row],[Country_Code]], Metadata_Country!$A:$A, Metadata_Country!$B:$B, "Unknown"), IF(OR(_xlpm.r=0, _xlpm.r=""), "Regional Aggregate", _xlpm.r))</f>
        <v>Europe &amp; Central Asia</v>
      </c>
      <c r="G2277" s="4" t="str">
        <f>_xlfn.LET(_xlpm.ig, _xlfn.XLOOKUP(Clean_Data[[#This Row],[Country_Code]], Metadata_Country!$A:$A, Metadata_Country!$C:$C, "Unknown"), IF(OR(_xlpm.ig=0, _xlpm.ig=""), "Regional Aggregate", _xlpm.ig))</f>
        <v>High income</v>
      </c>
      <c r="H2277" s="4">
        <f>Clean_Data[[#This Row],[Exports_TIV]] - Clean_Data[[#This Row],[Imports_TIV]]</f>
        <v>-545000000</v>
      </c>
      <c r="I2277" s="4">
        <f>Clean_Data[[#This Row],[Exports_TIV]] + Clean_Data[[#This Row],[Imports_TIV]]</f>
        <v>669000000</v>
      </c>
    </row>
    <row r="2278" spans="1:9">
      <c r="A2278" s="4" t="s">
        <v>371</v>
      </c>
      <c r="B2278" s="4" t="s">
        <v>372</v>
      </c>
      <c r="C2278" s="5">
        <v>2011</v>
      </c>
      <c r="D2278" s="4">
        <v>18615000000</v>
      </c>
      <c r="E2278" s="4">
        <v>8902000000</v>
      </c>
      <c r="F2278" s="4" t="str">
        <f>_xlfn.LET(_xlpm.r, _xlfn.XLOOKUP(Clean_Data[[#This Row],[Country_Code]], Metadata_Country!$A:$A, Metadata_Country!$B:$B, "Unknown"), IF(OR(_xlpm.r=0, _xlpm.r=""), "Regional Aggregate", _xlpm.r))</f>
        <v>Regional Aggregate</v>
      </c>
      <c r="G2278" s="4" t="str">
        <f>_xlfn.LET(_xlpm.ig, _xlfn.XLOOKUP(Clean_Data[[#This Row],[Country_Code]], Metadata_Country!$A:$A, Metadata_Country!$C:$C, "Unknown"), IF(OR(_xlpm.ig=0, _xlpm.ig=""), "Regional Aggregate", _xlpm.ig))</f>
        <v>Regional Aggregate</v>
      </c>
      <c r="H2278" s="4">
        <f>Clean_Data[[#This Row],[Exports_TIV]] - Clean_Data[[#This Row],[Imports_TIV]]</f>
        <v>9713000000</v>
      </c>
      <c r="I2278" s="4">
        <f>Clean_Data[[#This Row],[Exports_TIV]] + Clean_Data[[#This Row],[Imports_TIV]]</f>
        <v>27517000000</v>
      </c>
    </row>
    <row r="2279" spans="1:9">
      <c r="A2279" s="4" t="s">
        <v>373</v>
      </c>
      <c r="B2279" s="4" t="s">
        <v>374</v>
      </c>
      <c r="C2279" s="5">
        <v>2011</v>
      </c>
      <c r="D2279" s="4">
        <v>0</v>
      </c>
      <c r="E2279" s="4">
        <v>21000000</v>
      </c>
      <c r="F2279" s="4" t="str">
        <f>_xlfn.LET(_xlpm.r, _xlfn.XLOOKUP(Clean_Data[[#This Row],[Country_Code]], Metadata_Country!$A:$A, Metadata_Country!$B:$B, "Unknown"), IF(OR(_xlpm.r=0, _xlpm.r=""), "Regional Aggregate", _xlpm.r))</f>
        <v>Middle East &amp; North Africa</v>
      </c>
      <c r="G2279" s="4" t="str">
        <f>_xlfn.LET(_xlpm.ig, _xlfn.XLOOKUP(Clean_Data[[#This Row],[Country_Code]], Metadata_Country!$A:$A, Metadata_Country!$C:$C, "Unknown"), IF(OR(_xlpm.ig=0, _xlpm.ig=""), "Regional Aggregate", _xlpm.ig))</f>
        <v>High income</v>
      </c>
      <c r="H2279" s="4">
        <f>Clean_Data[[#This Row],[Exports_TIV]] - Clean_Data[[#This Row],[Imports_TIV]]</f>
        <v>-21000000</v>
      </c>
      <c r="I2279" s="4">
        <f>Clean_Data[[#This Row],[Exports_TIV]] + Clean_Data[[#This Row],[Imports_TIV]]</f>
        <v>21000000</v>
      </c>
    </row>
    <row r="2280" spans="1:9">
      <c r="A2280" s="4" t="s">
        <v>375</v>
      </c>
      <c r="B2280" s="4" t="s">
        <v>376</v>
      </c>
      <c r="C2280" s="5">
        <v>2011</v>
      </c>
      <c r="D2280" s="4">
        <v>0</v>
      </c>
      <c r="E2280" s="4">
        <v>351000000</v>
      </c>
      <c r="F2280" s="4" t="str">
        <f>_xlfn.LET(_xlpm.r, _xlfn.XLOOKUP(Clean_Data[[#This Row],[Country_Code]], Metadata_Country!$A:$A, Metadata_Country!$B:$B, "Unknown"), IF(OR(_xlpm.r=0, _xlpm.r=""), "Regional Aggregate", _xlpm.r))</f>
        <v>Regional Aggregate</v>
      </c>
      <c r="G2280" s="4" t="str">
        <f>_xlfn.LET(_xlpm.ig, _xlfn.XLOOKUP(Clean_Data[[#This Row],[Country_Code]], Metadata_Country!$A:$A, Metadata_Country!$C:$C, "Unknown"), IF(OR(_xlpm.ig=0, _xlpm.ig=""), "Regional Aggregate", _xlpm.ig))</f>
        <v>Regional Aggregate</v>
      </c>
      <c r="H2280" s="4">
        <f>Clean_Data[[#This Row],[Exports_TIV]] - Clean_Data[[#This Row],[Imports_TIV]]</f>
        <v>-351000000</v>
      </c>
      <c r="I2280" s="4">
        <f>Clean_Data[[#This Row],[Exports_TIV]] + Clean_Data[[#This Row],[Imports_TIV]]</f>
        <v>351000000</v>
      </c>
    </row>
    <row r="2281" spans="1:9">
      <c r="A2281" s="4" t="s">
        <v>377</v>
      </c>
      <c r="B2281" s="4" t="s">
        <v>378</v>
      </c>
      <c r="C2281" s="5">
        <v>2011</v>
      </c>
      <c r="D2281" s="4">
        <v>0</v>
      </c>
      <c r="E2281" s="4">
        <v>1178000000</v>
      </c>
      <c r="F2281" s="4" t="str">
        <f>_xlfn.LET(_xlpm.r, _xlfn.XLOOKUP(Clean_Data[[#This Row],[Country_Code]], Metadata_Country!$A:$A, Metadata_Country!$B:$B, "Unknown"), IF(OR(_xlpm.r=0, _xlpm.r=""), "Regional Aggregate", _xlpm.r))</f>
        <v>Middle East &amp; North Africa</v>
      </c>
      <c r="G2281" s="4" t="str">
        <f>_xlfn.LET(_xlpm.ig, _xlfn.XLOOKUP(Clean_Data[[#This Row],[Country_Code]], Metadata_Country!$A:$A, Metadata_Country!$C:$C, "Unknown"), IF(OR(_xlpm.ig=0, _xlpm.ig=""), "Regional Aggregate", _xlpm.ig))</f>
        <v>Lower middle income</v>
      </c>
      <c r="H2281" s="4">
        <f>Clean_Data[[#This Row],[Exports_TIV]] - Clean_Data[[#This Row],[Imports_TIV]]</f>
        <v>-1178000000</v>
      </c>
      <c r="I2281" s="4">
        <f>Clean_Data[[#This Row],[Exports_TIV]] + Clean_Data[[#This Row],[Imports_TIV]]</f>
        <v>1178000000</v>
      </c>
    </row>
    <row r="2282" spans="1:9">
      <c r="A2282" s="4" t="s">
        <v>399</v>
      </c>
      <c r="B2282" s="4" t="s">
        <v>400</v>
      </c>
      <c r="C2282" s="5">
        <v>2011</v>
      </c>
      <c r="D2282" s="4">
        <v>0</v>
      </c>
      <c r="E2282" s="4">
        <v>8000000</v>
      </c>
      <c r="F2282" s="4" t="str">
        <f>_xlfn.LET(_xlpm.r, _xlfn.XLOOKUP(Clean_Data[[#This Row],[Country_Code]], Metadata_Country!$A:$A, Metadata_Country!$B:$B, "Unknown"), IF(OR(_xlpm.r=0, _xlpm.r=""), "Regional Aggregate", _xlpm.r))</f>
        <v>Latin America &amp; Caribbean</v>
      </c>
      <c r="G2282" s="4" t="str">
        <f>_xlfn.LET(_xlpm.ig, _xlfn.XLOOKUP(Clean_Data[[#This Row],[Country_Code]], Metadata_Country!$A:$A, Metadata_Country!$C:$C, "Unknown"), IF(OR(_xlpm.ig=0, _xlpm.ig=""), "Regional Aggregate", _xlpm.ig))</f>
        <v>Upper middle income</v>
      </c>
      <c r="H2282" s="4">
        <f>Clean_Data[[#This Row],[Exports_TIV]] - Clean_Data[[#This Row],[Imports_TIV]]</f>
        <v>-8000000</v>
      </c>
      <c r="I2282" s="4">
        <f>Clean_Data[[#This Row],[Exports_TIV]] + Clean_Data[[#This Row],[Imports_TIV]]</f>
        <v>8000000</v>
      </c>
    </row>
    <row r="2283" spans="1:9">
      <c r="A2283" s="4" t="s">
        <v>381</v>
      </c>
      <c r="B2283" s="4" t="s">
        <v>382</v>
      </c>
      <c r="C2283" s="5">
        <v>2011</v>
      </c>
      <c r="D2283" s="4">
        <v>0</v>
      </c>
      <c r="E2283" s="4">
        <v>71000000</v>
      </c>
      <c r="F2283" s="4" t="str">
        <f>_xlfn.LET(_xlpm.r, _xlfn.XLOOKUP(Clean_Data[[#This Row],[Country_Code]], Metadata_Country!$A:$A, Metadata_Country!$B:$B, "Unknown"), IF(OR(_xlpm.r=0, _xlpm.r=""), "Regional Aggregate", _xlpm.r))</f>
        <v>Latin America &amp; Caribbean</v>
      </c>
      <c r="G2283" s="4" t="str">
        <f>_xlfn.LET(_xlpm.ig, _xlfn.XLOOKUP(Clean_Data[[#This Row],[Country_Code]], Metadata_Country!$A:$A, Metadata_Country!$C:$C, "Unknown"), IF(OR(_xlpm.ig=0, _xlpm.ig=""), "Regional Aggregate", _xlpm.ig))</f>
        <v>Upper middle income</v>
      </c>
      <c r="H2283" s="4">
        <f>Clean_Data[[#This Row],[Exports_TIV]] - Clean_Data[[#This Row],[Imports_TIV]]</f>
        <v>-71000000</v>
      </c>
      <c r="I2283" s="4">
        <f>Clean_Data[[#This Row],[Exports_TIV]] + Clean_Data[[#This Row],[Imports_TIV]]</f>
        <v>71000000</v>
      </c>
    </row>
    <row r="2284" spans="1:9">
      <c r="A2284" s="4" t="s">
        <v>383</v>
      </c>
      <c r="B2284" s="4" t="s">
        <v>384</v>
      </c>
      <c r="C2284" s="5">
        <v>2011</v>
      </c>
      <c r="D2284" s="4">
        <v>0</v>
      </c>
      <c r="E2284" s="4">
        <v>63000000</v>
      </c>
      <c r="F2284" s="4" t="str">
        <f>_xlfn.LET(_xlpm.r, _xlfn.XLOOKUP(Clean_Data[[#This Row],[Country_Code]], Metadata_Country!$A:$A, Metadata_Country!$B:$B, "Unknown"), IF(OR(_xlpm.r=0, _xlpm.r=""), "Regional Aggregate", _xlpm.r))</f>
        <v>East Asia &amp; Pacific</v>
      </c>
      <c r="G2284" s="4" t="str">
        <f>_xlfn.LET(_xlpm.ig, _xlfn.XLOOKUP(Clean_Data[[#This Row],[Country_Code]], Metadata_Country!$A:$A, Metadata_Country!$C:$C, "Unknown"), IF(OR(_xlpm.ig=0, _xlpm.ig=""), "Regional Aggregate", _xlpm.ig))</f>
        <v>Upper middle income</v>
      </c>
      <c r="H2284" s="4">
        <f>Clean_Data[[#This Row],[Exports_TIV]] - Clean_Data[[#This Row],[Imports_TIV]]</f>
        <v>-63000000</v>
      </c>
      <c r="I2284" s="4">
        <f>Clean_Data[[#This Row],[Exports_TIV]] + Clean_Data[[#This Row],[Imports_TIV]]</f>
        <v>63000000</v>
      </c>
    </row>
    <row r="2285" spans="1:9">
      <c r="A2285" s="4" t="s">
        <v>389</v>
      </c>
      <c r="B2285" s="4" t="s">
        <v>390</v>
      </c>
      <c r="C2285" s="5">
        <v>2011</v>
      </c>
      <c r="D2285" s="4">
        <v>8000000</v>
      </c>
      <c r="E2285" s="4">
        <v>141000000</v>
      </c>
      <c r="F2285" s="4" t="str">
        <f>_xlfn.LET(_xlpm.r, _xlfn.XLOOKUP(Clean_Data[[#This Row],[Country_Code]], Metadata_Country!$A:$A, Metadata_Country!$B:$B, "Unknown"), IF(OR(_xlpm.r=0, _xlpm.r=""), "Regional Aggregate", _xlpm.r))</f>
        <v>Europe &amp; Central Asia</v>
      </c>
      <c r="G2285" s="4" t="str">
        <f>_xlfn.LET(_xlpm.ig, _xlfn.XLOOKUP(Clean_Data[[#This Row],[Country_Code]], Metadata_Country!$A:$A, Metadata_Country!$C:$C, "Unknown"), IF(OR(_xlpm.ig=0, _xlpm.ig=""), "Regional Aggregate", _xlpm.ig))</f>
        <v>High income</v>
      </c>
      <c r="H2285" s="4">
        <f>Clean_Data[[#This Row],[Exports_TIV]] - Clean_Data[[#This Row],[Imports_TIV]]</f>
        <v>-133000000</v>
      </c>
      <c r="I2285" s="4">
        <f>Clean_Data[[#This Row],[Exports_TIV]] + Clean_Data[[#This Row],[Imports_TIV]]</f>
        <v>149000000</v>
      </c>
    </row>
    <row r="2286" spans="1:9">
      <c r="A2286" s="4" t="s">
        <v>397</v>
      </c>
      <c r="B2286" s="4" t="s">
        <v>398</v>
      </c>
      <c r="C2286" s="5">
        <v>2011</v>
      </c>
      <c r="D2286" s="4">
        <v>0</v>
      </c>
      <c r="E2286" s="4">
        <v>170000000</v>
      </c>
      <c r="F2286" s="4" t="str">
        <f>_xlfn.LET(_xlpm.r, _xlfn.XLOOKUP(Clean_Data[[#This Row],[Country_Code]], Metadata_Country!$A:$A, Metadata_Country!$B:$B, "Unknown"), IF(OR(_xlpm.r=0, _xlpm.r=""), "Regional Aggregate", _xlpm.r))</f>
        <v>Europe &amp; Central Asia</v>
      </c>
      <c r="G2286" s="4" t="str">
        <f>_xlfn.LET(_xlpm.ig, _xlfn.XLOOKUP(Clean_Data[[#This Row],[Country_Code]], Metadata_Country!$A:$A, Metadata_Country!$C:$C, "Unknown"), IF(OR(_xlpm.ig=0, _xlpm.ig=""), "Regional Aggregate", _xlpm.ig))</f>
        <v>High income</v>
      </c>
      <c r="H2286" s="4">
        <f>Clean_Data[[#This Row],[Exports_TIV]] - Clean_Data[[#This Row],[Imports_TIV]]</f>
        <v>-170000000</v>
      </c>
      <c r="I2286" s="4">
        <f>Clean_Data[[#This Row],[Exports_TIV]] + Clean_Data[[#This Row],[Imports_TIV]]</f>
        <v>170000000</v>
      </c>
    </row>
    <row r="2287" spans="1:9">
      <c r="A2287" s="4" t="s">
        <v>405</v>
      </c>
      <c r="B2287" s="4" t="s">
        <v>406</v>
      </c>
      <c r="C2287" s="5">
        <v>2011</v>
      </c>
      <c r="D2287" s="4">
        <v>18621000000</v>
      </c>
      <c r="E2287" s="4">
        <v>8116000000</v>
      </c>
      <c r="F2287" s="4" t="str">
        <f>_xlfn.LET(_xlpm.r, _xlfn.XLOOKUP(Clean_Data[[#This Row],[Country_Code]], Metadata_Country!$A:$A, Metadata_Country!$B:$B, "Unknown"), IF(OR(_xlpm.r=0, _xlpm.r=""), "Regional Aggregate", _xlpm.r))</f>
        <v>Regional Aggregate</v>
      </c>
      <c r="G2287" s="4" t="str">
        <f>_xlfn.LET(_xlpm.ig, _xlfn.XLOOKUP(Clean_Data[[#This Row],[Country_Code]], Metadata_Country!$A:$A, Metadata_Country!$C:$C, "Unknown"), IF(OR(_xlpm.ig=0, _xlpm.ig=""), "Regional Aggregate", _xlpm.ig))</f>
        <v>Regional Aggregate</v>
      </c>
      <c r="H2287" s="4">
        <f>Clean_Data[[#This Row],[Exports_TIV]] - Clean_Data[[#This Row],[Imports_TIV]]</f>
        <v>10505000000</v>
      </c>
      <c r="I2287" s="4">
        <f>Clean_Data[[#This Row],[Exports_TIV]] + Clean_Data[[#This Row],[Imports_TIV]]</f>
        <v>26737000000</v>
      </c>
    </row>
    <row r="2288" spans="1:9">
      <c r="A2288" s="4" t="s">
        <v>391</v>
      </c>
      <c r="B2288" s="4" t="s">
        <v>392</v>
      </c>
      <c r="C2288" s="5">
        <v>2011</v>
      </c>
      <c r="D2288" s="4">
        <v>0</v>
      </c>
      <c r="E2288" s="4">
        <v>2279000000</v>
      </c>
      <c r="F2288" s="4" t="str">
        <f>_xlfn.LET(_xlpm.r, _xlfn.XLOOKUP(Clean_Data[[#This Row],[Country_Code]], Metadata_Country!$A:$A, Metadata_Country!$B:$B, "Unknown"), IF(OR(_xlpm.r=0, _xlpm.r=""), "Regional Aggregate", _xlpm.r))</f>
        <v>Regional Aggregate</v>
      </c>
      <c r="G2288" s="4" t="str">
        <f>_xlfn.LET(_xlpm.ig, _xlfn.XLOOKUP(Clean_Data[[#This Row],[Country_Code]], Metadata_Country!$A:$A, Metadata_Country!$C:$C, "Unknown"), IF(OR(_xlpm.ig=0, _xlpm.ig=""), "Regional Aggregate", _xlpm.ig))</f>
        <v>Regional Aggregate</v>
      </c>
      <c r="H2288" s="4">
        <f>Clean_Data[[#This Row],[Exports_TIV]] - Clean_Data[[#This Row],[Imports_TIV]]</f>
        <v>-2279000000</v>
      </c>
      <c r="I2288" s="4">
        <f>Clean_Data[[#This Row],[Exports_TIV]] + Clean_Data[[#This Row],[Imports_TIV]]</f>
        <v>2279000000</v>
      </c>
    </row>
    <row r="2289" spans="1:9">
      <c r="A2289" s="4" t="s">
        <v>409</v>
      </c>
      <c r="B2289" s="4" t="s">
        <v>410</v>
      </c>
      <c r="C2289" s="5">
        <v>2011</v>
      </c>
      <c r="D2289" s="4">
        <v>0</v>
      </c>
      <c r="E2289" s="4">
        <v>190000000</v>
      </c>
      <c r="F2289" s="4" t="str">
        <f>_xlfn.LET(_xlpm.r, _xlfn.XLOOKUP(Clean_Data[[#This Row],[Country_Code]], Metadata_Country!$A:$A, Metadata_Country!$B:$B, "Unknown"), IF(OR(_xlpm.r=0, _xlpm.r=""), "Regional Aggregate", _xlpm.r))</f>
        <v>Middle East &amp; North Africa</v>
      </c>
      <c r="G2289" s="4" t="str">
        <f>_xlfn.LET(_xlpm.ig, _xlfn.XLOOKUP(Clean_Data[[#This Row],[Country_Code]], Metadata_Country!$A:$A, Metadata_Country!$C:$C, "Unknown"), IF(OR(_xlpm.ig=0, _xlpm.ig=""), "Regional Aggregate", _xlpm.ig))</f>
        <v>High income</v>
      </c>
      <c r="H2289" s="4">
        <f>Clean_Data[[#This Row],[Exports_TIV]] - Clean_Data[[#This Row],[Imports_TIV]]</f>
        <v>-190000000</v>
      </c>
      <c r="I2289" s="4">
        <f>Clean_Data[[#This Row],[Exports_TIV]] + Clean_Data[[#This Row],[Imports_TIV]]</f>
        <v>190000000</v>
      </c>
    </row>
    <row r="2290" spans="1:9">
      <c r="A2290" s="4" t="s">
        <v>411</v>
      </c>
      <c r="B2290" s="4" t="s">
        <v>412</v>
      </c>
      <c r="C2290" s="5">
        <v>2011</v>
      </c>
      <c r="D2290" s="4">
        <v>0</v>
      </c>
      <c r="E2290" s="4">
        <v>80000000</v>
      </c>
      <c r="F2290" s="4" t="str">
        <f>_xlfn.LET(_xlpm.r, _xlfn.XLOOKUP(Clean_Data[[#This Row],[Country_Code]], Metadata_Country!$A:$A, Metadata_Country!$B:$B, "Unknown"), IF(OR(_xlpm.r=0, _xlpm.r=""), "Regional Aggregate", _xlpm.r))</f>
        <v>Europe &amp; Central Asia</v>
      </c>
      <c r="G2290" s="4" t="str">
        <f>_xlfn.LET(_xlpm.ig, _xlfn.XLOOKUP(Clean_Data[[#This Row],[Country_Code]], Metadata_Country!$A:$A, Metadata_Country!$C:$C, "Unknown"), IF(OR(_xlpm.ig=0, _xlpm.ig=""), "Regional Aggregate", _xlpm.ig))</f>
        <v>High income</v>
      </c>
      <c r="H2290" s="4">
        <f>Clean_Data[[#This Row],[Exports_TIV]] - Clean_Data[[#This Row],[Imports_TIV]]</f>
        <v>-80000000</v>
      </c>
      <c r="I2290" s="4">
        <f>Clean_Data[[#This Row],[Exports_TIV]] + Clean_Data[[#This Row],[Imports_TIV]]</f>
        <v>80000000</v>
      </c>
    </row>
    <row r="2291" spans="1:9">
      <c r="A2291" s="4" t="s">
        <v>413</v>
      </c>
      <c r="B2291" s="4" t="s">
        <v>414</v>
      </c>
      <c r="C2291" s="5">
        <v>2011</v>
      </c>
      <c r="D2291" s="4">
        <v>8793000000</v>
      </c>
      <c r="E2291" s="4">
        <v>10000000</v>
      </c>
      <c r="F2291" s="4" t="str">
        <f>_xlfn.LET(_xlpm.r, _xlfn.XLOOKUP(Clean_Data[[#This Row],[Country_Code]], Metadata_Country!$A:$A, Metadata_Country!$B:$B, "Unknown"), IF(OR(_xlpm.r=0, _xlpm.r=""), "Regional Aggregate", _xlpm.r))</f>
        <v>Europe &amp; Central Asia</v>
      </c>
      <c r="G2291" s="4" t="str">
        <f>_xlfn.LET(_xlpm.ig, _xlfn.XLOOKUP(Clean_Data[[#This Row],[Country_Code]], Metadata_Country!$A:$A, Metadata_Country!$C:$C, "Unknown"), IF(OR(_xlpm.ig=0, _xlpm.ig=""), "Regional Aggregate", _xlpm.ig))</f>
        <v>High income</v>
      </c>
      <c r="H2291" s="4">
        <f>Clean_Data[[#This Row],[Exports_TIV]] - Clean_Data[[#This Row],[Imports_TIV]]</f>
        <v>8783000000</v>
      </c>
      <c r="I2291" s="4">
        <f>Clean_Data[[#This Row],[Exports_TIV]] + Clean_Data[[#This Row],[Imports_TIV]]</f>
        <v>8803000000</v>
      </c>
    </row>
    <row r="2292" spans="1:9">
      <c r="A2292" s="4" t="s">
        <v>419</v>
      </c>
      <c r="B2292" s="4" t="s">
        <v>420</v>
      </c>
      <c r="C2292" s="5">
        <v>2011</v>
      </c>
      <c r="D2292" s="4">
        <v>58000000</v>
      </c>
      <c r="E2292" s="4">
        <v>1176000000</v>
      </c>
      <c r="F2292" s="4" t="str">
        <f>_xlfn.LET(_xlpm.r, _xlfn.XLOOKUP(Clean_Data[[#This Row],[Country_Code]], Metadata_Country!$A:$A, Metadata_Country!$B:$B, "Unknown"), IF(OR(_xlpm.r=0, _xlpm.r=""), "Regional Aggregate", _xlpm.r))</f>
        <v>Middle East &amp; North Africa</v>
      </c>
      <c r="G2292" s="4" t="str">
        <f>_xlfn.LET(_xlpm.ig, _xlfn.XLOOKUP(Clean_Data[[#This Row],[Country_Code]], Metadata_Country!$A:$A, Metadata_Country!$C:$C, "Unknown"), IF(OR(_xlpm.ig=0, _xlpm.ig=""), "Regional Aggregate", _xlpm.ig))</f>
        <v>High income</v>
      </c>
      <c r="H2292" s="4">
        <f>Clean_Data[[#This Row],[Exports_TIV]] - Clean_Data[[#This Row],[Imports_TIV]]</f>
        <v>-1118000000</v>
      </c>
      <c r="I2292" s="4">
        <f>Clean_Data[[#This Row],[Exports_TIV]] + Clean_Data[[#This Row],[Imports_TIV]]</f>
        <v>1234000000</v>
      </c>
    </row>
    <row r="2293" spans="1:9">
      <c r="A2293" s="4" t="s">
        <v>423</v>
      </c>
      <c r="B2293" s="4" t="s">
        <v>424</v>
      </c>
      <c r="C2293" s="5">
        <v>2011</v>
      </c>
      <c r="D2293" s="4">
        <v>0</v>
      </c>
      <c r="E2293" s="4">
        <v>16000000</v>
      </c>
      <c r="F2293" s="4" t="str">
        <f>_xlfn.LET(_xlpm.r, _xlfn.XLOOKUP(Clean_Data[[#This Row],[Country_Code]], Metadata_Country!$A:$A, Metadata_Country!$B:$B, "Unknown"), IF(OR(_xlpm.r=0, _xlpm.r=""), "Regional Aggregate", _xlpm.r))</f>
        <v>Sub-Saharan Africa</v>
      </c>
      <c r="G2293" s="4" t="str">
        <f>_xlfn.LET(_xlpm.ig, _xlfn.XLOOKUP(Clean_Data[[#This Row],[Country_Code]], Metadata_Country!$A:$A, Metadata_Country!$C:$C, "Unknown"), IF(OR(_xlpm.ig=0, _xlpm.ig=""), "Regional Aggregate", _xlpm.ig))</f>
        <v>Lower middle income</v>
      </c>
      <c r="H2293" s="4">
        <f>Clean_Data[[#This Row],[Exports_TIV]] - Clean_Data[[#This Row],[Imports_TIV]]</f>
        <v>-16000000</v>
      </c>
      <c r="I2293" s="4">
        <f>Clean_Data[[#This Row],[Exports_TIV]] + Clean_Data[[#This Row],[Imports_TIV]]</f>
        <v>16000000</v>
      </c>
    </row>
    <row r="2294" spans="1:9">
      <c r="A2294" s="4" t="s">
        <v>437</v>
      </c>
      <c r="B2294" s="4" t="s">
        <v>438</v>
      </c>
      <c r="C2294" s="5">
        <v>2011</v>
      </c>
      <c r="D2294" s="4">
        <v>4000000</v>
      </c>
      <c r="E2294" s="4">
        <v>0</v>
      </c>
      <c r="F2294" s="4" t="str">
        <f>_xlfn.LET(_xlpm.r, _xlfn.XLOOKUP(Clean_Data[[#This Row],[Country_Code]], Metadata_Country!$A:$A, Metadata_Country!$B:$B, "Unknown"), IF(OR(_xlpm.r=0, _xlpm.r=""), "Regional Aggregate", _xlpm.r))</f>
        <v>Europe &amp; Central Asia</v>
      </c>
      <c r="G2294" s="4" t="str">
        <f>_xlfn.LET(_xlpm.ig, _xlfn.XLOOKUP(Clean_Data[[#This Row],[Country_Code]], Metadata_Country!$A:$A, Metadata_Country!$C:$C, "Unknown"), IF(OR(_xlpm.ig=0, _xlpm.ig=""), "Regional Aggregate", _xlpm.ig))</f>
        <v>Upper middle income</v>
      </c>
      <c r="H2294" s="4">
        <f>Clean_Data[[#This Row],[Exports_TIV]] - Clean_Data[[#This Row],[Imports_TIV]]</f>
        <v>4000000</v>
      </c>
      <c r="I2294" s="4">
        <f>Clean_Data[[#This Row],[Exports_TIV]] + Clean_Data[[#This Row],[Imports_TIV]]</f>
        <v>4000000</v>
      </c>
    </row>
    <row r="2295" spans="1:9">
      <c r="A2295" s="4" t="s">
        <v>461</v>
      </c>
      <c r="B2295" s="4" t="s">
        <v>462</v>
      </c>
      <c r="C2295" s="5">
        <v>2011</v>
      </c>
      <c r="D2295" s="4">
        <v>0</v>
      </c>
      <c r="E2295" s="4">
        <v>8000000</v>
      </c>
      <c r="F2295" s="4" t="str">
        <f>_xlfn.LET(_xlpm.r, _xlfn.XLOOKUP(Clean_Data[[#This Row],[Country_Code]], Metadata_Country!$A:$A, Metadata_Country!$B:$B, "Unknown"), IF(OR(_xlpm.r=0, _xlpm.r=""), "Regional Aggregate", _xlpm.r))</f>
        <v>Sub-Saharan Africa</v>
      </c>
      <c r="G2295" s="4" t="str">
        <f>_xlfn.LET(_xlpm.ig, _xlfn.XLOOKUP(Clean_Data[[#This Row],[Country_Code]], Metadata_Country!$A:$A, Metadata_Country!$C:$C, "Unknown"), IF(OR(_xlpm.ig=0, _xlpm.ig=""), "Regional Aggregate", _xlpm.ig))</f>
        <v>High income</v>
      </c>
      <c r="H2295" s="4">
        <f>Clean_Data[[#This Row],[Exports_TIV]] - Clean_Data[[#This Row],[Imports_TIV]]</f>
        <v>-8000000</v>
      </c>
      <c r="I2295" s="4">
        <f>Clean_Data[[#This Row],[Exports_TIV]] + Clean_Data[[#This Row],[Imports_TIV]]</f>
        <v>8000000</v>
      </c>
    </row>
    <row r="2296" spans="1:9">
      <c r="A2296" s="4" t="s">
        <v>429</v>
      </c>
      <c r="B2296" s="4" t="s">
        <v>430</v>
      </c>
      <c r="C2296" s="5">
        <v>2011</v>
      </c>
      <c r="D2296" s="4">
        <v>0</v>
      </c>
      <c r="E2296" s="4">
        <v>2000000</v>
      </c>
      <c r="F2296" s="4" t="str">
        <f>_xlfn.LET(_xlpm.r, _xlfn.XLOOKUP(Clean_Data[[#This Row],[Country_Code]], Metadata_Country!$A:$A, Metadata_Country!$B:$B, "Unknown"), IF(OR(_xlpm.r=0, _xlpm.r=""), "Regional Aggregate", _xlpm.r))</f>
        <v>Sub-Saharan Africa</v>
      </c>
      <c r="G2296" s="4" t="str">
        <f>_xlfn.LET(_xlpm.ig, _xlfn.XLOOKUP(Clean_Data[[#This Row],[Country_Code]], Metadata_Country!$A:$A, Metadata_Country!$C:$C, "Unknown"), IF(OR(_xlpm.ig=0, _xlpm.ig=""), "Regional Aggregate", _xlpm.ig))</f>
        <v>Low income</v>
      </c>
      <c r="H2296" s="4">
        <f>Clean_Data[[#This Row],[Exports_TIV]] - Clean_Data[[#This Row],[Imports_TIV]]</f>
        <v>-2000000</v>
      </c>
      <c r="I2296" s="4">
        <f>Clean_Data[[#This Row],[Exports_TIV]] + Clean_Data[[#This Row],[Imports_TIV]]</f>
        <v>2000000</v>
      </c>
    </row>
    <row r="2297" spans="1:9">
      <c r="A2297" s="4" t="s">
        <v>425</v>
      </c>
      <c r="B2297" s="4" t="s">
        <v>426</v>
      </c>
      <c r="C2297" s="5">
        <v>2011</v>
      </c>
      <c r="D2297" s="4">
        <v>17000000</v>
      </c>
      <c r="E2297" s="4">
        <v>879000000</v>
      </c>
      <c r="F2297" s="4" t="str">
        <f>_xlfn.LET(_xlpm.r, _xlfn.XLOOKUP(Clean_Data[[#This Row],[Country_Code]], Metadata_Country!$A:$A, Metadata_Country!$B:$B, "Unknown"), IF(OR(_xlpm.r=0, _xlpm.r=""), "Regional Aggregate", _xlpm.r))</f>
        <v>East Asia &amp; Pacific</v>
      </c>
      <c r="G2297" s="4" t="str">
        <f>_xlfn.LET(_xlpm.ig, _xlfn.XLOOKUP(Clean_Data[[#This Row],[Country_Code]], Metadata_Country!$A:$A, Metadata_Country!$C:$C, "Unknown"), IF(OR(_xlpm.ig=0, _xlpm.ig=""), "Regional Aggregate", _xlpm.ig))</f>
        <v>High income</v>
      </c>
      <c r="H2297" s="4">
        <f>Clean_Data[[#This Row],[Exports_TIV]] - Clean_Data[[#This Row],[Imports_TIV]]</f>
        <v>-862000000</v>
      </c>
      <c r="I2297" s="4">
        <f>Clean_Data[[#This Row],[Exports_TIV]] + Clean_Data[[#This Row],[Imports_TIV]]</f>
        <v>896000000</v>
      </c>
    </row>
    <row r="2298" spans="1:9">
      <c r="A2298" s="4" t="s">
        <v>453</v>
      </c>
      <c r="B2298" s="4" t="s">
        <v>454</v>
      </c>
      <c r="C2298" s="5">
        <v>2011</v>
      </c>
      <c r="D2298" s="4">
        <v>0</v>
      </c>
      <c r="E2298" s="4">
        <v>27000000</v>
      </c>
      <c r="F2298" s="4" t="str">
        <f>_xlfn.LET(_xlpm.r, _xlfn.XLOOKUP(Clean_Data[[#This Row],[Country_Code]], Metadata_Country!$A:$A, Metadata_Country!$B:$B, "Unknown"), IF(OR(_xlpm.r=0, _xlpm.r=""), "Regional Aggregate", _xlpm.r))</f>
        <v>Europe &amp; Central Asia</v>
      </c>
      <c r="G2298" s="4" t="str">
        <f>_xlfn.LET(_xlpm.ig, _xlfn.XLOOKUP(Clean_Data[[#This Row],[Country_Code]], Metadata_Country!$A:$A, Metadata_Country!$C:$C, "Unknown"), IF(OR(_xlpm.ig=0, _xlpm.ig=""), "Regional Aggregate", _xlpm.ig))</f>
        <v>High income</v>
      </c>
      <c r="H2298" s="4">
        <f>Clean_Data[[#This Row],[Exports_TIV]] - Clean_Data[[#This Row],[Imports_TIV]]</f>
        <v>-27000000</v>
      </c>
      <c r="I2298" s="4">
        <f>Clean_Data[[#This Row],[Exports_TIV]] + Clean_Data[[#This Row],[Imports_TIV]]</f>
        <v>27000000</v>
      </c>
    </row>
    <row r="2299" spans="1:9">
      <c r="A2299" s="4" t="s">
        <v>445</v>
      </c>
      <c r="B2299" s="4" t="s">
        <v>446</v>
      </c>
      <c r="C2299" s="5">
        <v>2011</v>
      </c>
      <c r="D2299" s="4">
        <v>0</v>
      </c>
      <c r="E2299" s="4">
        <v>363000000</v>
      </c>
      <c r="F2299" s="4" t="str">
        <f>_xlfn.LET(_xlpm.r, _xlfn.XLOOKUP(Clean_Data[[#This Row],[Country_Code]], Metadata_Country!$A:$A, Metadata_Country!$B:$B, "Unknown"), IF(OR(_xlpm.r=0, _xlpm.r=""), "Regional Aggregate", _xlpm.r))</f>
        <v>Regional Aggregate</v>
      </c>
      <c r="G2299" s="4" t="str">
        <f>_xlfn.LET(_xlpm.ig, _xlfn.XLOOKUP(Clean_Data[[#This Row],[Country_Code]], Metadata_Country!$A:$A, Metadata_Country!$C:$C, "Unknown"), IF(OR(_xlpm.ig=0, _xlpm.ig=""), "Regional Aggregate", _xlpm.ig))</f>
        <v>Regional Aggregate</v>
      </c>
      <c r="H2299" s="4">
        <f>Clean_Data[[#This Row],[Exports_TIV]] - Clean_Data[[#This Row],[Imports_TIV]]</f>
        <v>-363000000</v>
      </c>
      <c r="I2299" s="4">
        <f>Clean_Data[[#This Row],[Exports_TIV]] + Clean_Data[[#This Row],[Imports_TIV]]</f>
        <v>363000000</v>
      </c>
    </row>
    <row r="2300" spans="1:9">
      <c r="A2300" s="4" t="s">
        <v>535</v>
      </c>
      <c r="B2300" s="4" t="s">
        <v>536</v>
      </c>
      <c r="C2300" s="5">
        <v>2011</v>
      </c>
      <c r="D2300" s="4">
        <v>76000000</v>
      </c>
      <c r="E2300" s="4">
        <v>208000000</v>
      </c>
      <c r="F2300" s="4" t="str">
        <f>_xlfn.LET(_xlpm.r, _xlfn.XLOOKUP(Clean_Data[[#This Row],[Country_Code]], Metadata_Country!$A:$A, Metadata_Country!$B:$B, "Unknown"), IF(OR(_xlpm.r=0, _xlpm.r=""), "Regional Aggregate", _xlpm.r))</f>
        <v>Sub-Saharan Africa</v>
      </c>
      <c r="G2300" s="4" t="str">
        <f>_xlfn.LET(_xlpm.ig, _xlfn.XLOOKUP(Clean_Data[[#This Row],[Country_Code]], Metadata_Country!$A:$A, Metadata_Country!$C:$C, "Unknown"), IF(OR(_xlpm.ig=0, _xlpm.ig=""), "Regional Aggregate", _xlpm.ig))</f>
        <v>Upper middle income</v>
      </c>
      <c r="H2300" s="4">
        <f>Clean_Data[[#This Row],[Exports_TIV]] - Clean_Data[[#This Row],[Imports_TIV]]</f>
        <v>-132000000</v>
      </c>
      <c r="I2300" s="4">
        <f>Clean_Data[[#This Row],[Exports_TIV]] + Clean_Data[[#This Row],[Imports_TIV]]</f>
        <v>284000000</v>
      </c>
    </row>
    <row r="2301" spans="1:9">
      <c r="A2301" s="4" t="s">
        <v>417</v>
      </c>
      <c r="B2301" s="4" t="s">
        <v>418</v>
      </c>
      <c r="C2301" s="5">
        <v>2011</v>
      </c>
      <c r="D2301" s="4">
        <v>3000000</v>
      </c>
      <c r="E2301" s="4">
        <v>3769000000</v>
      </c>
      <c r="F2301" s="4" t="str">
        <f>_xlfn.LET(_xlpm.r, _xlfn.XLOOKUP(Clean_Data[[#This Row],[Country_Code]], Metadata_Country!$A:$A, Metadata_Country!$B:$B, "Unknown"), IF(OR(_xlpm.r=0, _xlpm.r=""), "Regional Aggregate", _xlpm.r))</f>
        <v>Regional Aggregate</v>
      </c>
      <c r="G2301" s="4" t="str">
        <f>_xlfn.LET(_xlpm.ig, _xlfn.XLOOKUP(Clean_Data[[#This Row],[Country_Code]], Metadata_Country!$A:$A, Metadata_Country!$C:$C, "Unknown"), IF(OR(_xlpm.ig=0, _xlpm.ig=""), "Regional Aggregate", _xlpm.ig))</f>
        <v>Regional Aggregate</v>
      </c>
      <c r="H2301" s="4">
        <f>Clean_Data[[#This Row],[Exports_TIV]] - Clean_Data[[#This Row],[Imports_TIV]]</f>
        <v>-3766000000</v>
      </c>
      <c r="I2301" s="4">
        <f>Clean_Data[[#This Row],[Exports_TIV]] + Clean_Data[[#This Row],[Imports_TIV]]</f>
        <v>3772000000</v>
      </c>
    </row>
    <row r="2302" spans="1:9">
      <c r="A2302" s="4" t="s">
        <v>489</v>
      </c>
      <c r="B2302" s="4" t="s">
        <v>490</v>
      </c>
      <c r="C2302" s="5">
        <v>2011</v>
      </c>
      <c r="D2302" s="4">
        <v>3000000</v>
      </c>
      <c r="E2302" s="4">
        <v>3769000000</v>
      </c>
      <c r="F2302" s="4" t="str">
        <f>_xlfn.LET(_xlpm.r, _xlfn.XLOOKUP(Clean_Data[[#This Row],[Country_Code]], Metadata_Country!$A:$A, Metadata_Country!$B:$B, "Unknown"), IF(OR(_xlpm.r=0, _xlpm.r=""), "Regional Aggregate", _xlpm.r))</f>
        <v>Regional Aggregate</v>
      </c>
      <c r="G2302" s="4" t="str">
        <f>_xlfn.LET(_xlpm.ig, _xlfn.XLOOKUP(Clean_Data[[#This Row],[Country_Code]], Metadata_Country!$A:$A, Metadata_Country!$C:$C, "Unknown"), IF(OR(_xlpm.ig=0, _xlpm.ig=""), "Regional Aggregate", _xlpm.ig))</f>
        <v>Regional Aggregate</v>
      </c>
      <c r="H2302" s="4">
        <f>Clean_Data[[#This Row],[Exports_TIV]] - Clean_Data[[#This Row],[Imports_TIV]]</f>
        <v>-3766000000</v>
      </c>
      <c r="I2302" s="4">
        <f>Clean_Data[[#This Row],[Exports_TIV]] + Clean_Data[[#This Row],[Imports_TIV]]</f>
        <v>3772000000</v>
      </c>
    </row>
    <row r="2303" spans="1:9">
      <c r="A2303" s="4" t="s">
        <v>441</v>
      </c>
      <c r="B2303" s="4" t="s">
        <v>442</v>
      </c>
      <c r="C2303" s="5">
        <v>2011</v>
      </c>
      <c r="D2303" s="4">
        <v>0</v>
      </c>
      <c r="E2303" s="4">
        <v>65000000</v>
      </c>
      <c r="F2303" s="4" t="str">
        <f>_xlfn.LET(_xlpm.r, _xlfn.XLOOKUP(Clean_Data[[#This Row],[Country_Code]], Metadata_Country!$A:$A, Metadata_Country!$B:$B, "Unknown"), IF(OR(_xlpm.r=0, _xlpm.r=""), "Regional Aggregate", _xlpm.r))</f>
        <v>Sub-Saharan Africa</v>
      </c>
      <c r="G2303" s="4" t="str">
        <f>_xlfn.LET(_xlpm.ig, _xlfn.XLOOKUP(Clean_Data[[#This Row],[Country_Code]], Metadata_Country!$A:$A, Metadata_Country!$C:$C, "Unknown"), IF(OR(_xlpm.ig=0, _xlpm.ig=""), "Regional Aggregate", _xlpm.ig))</f>
        <v>Low income</v>
      </c>
      <c r="H2303" s="4">
        <f>Clean_Data[[#This Row],[Exports_TIV]] - Clean_Data[[#This Row],[Imports_TIV]]</f>
        <v>-65000000</v>
      </c>
      <c r="I2303" s="4">
        <f>Clean_Data[[#This Row],[Exports_TIV]] + Clean_Data[[#This Row],[Imports_TIV]]</f>
        <v>65000000</v>
      </c>
    </row>
    <row r="2304" spans="1:9">
      <c r="A2304" s="4" t="s">
        <v>149</v>
      </c>
      <c r="B2304" s="4" t="s">
        <v>150</v>
      </c>
      <c r="C2304" s="5">
        <v>2011</v>
      </c>
      <c r="D2304" s="4">
        <v>997000000</v>
      </c>
      <c r="E2304" s="4">
        <v>166000000</v>
      </c>
      <c r="F2304" s="4" t="str">
        <f>_xlfn.LET(_xlpm.r, _xlfn.XLOOKUP(Clean_Data[[#This Row],[Country_Code]], Metadata_Country!$A:$A, Metadata_Country!$B:$B, "Unknown"), IF(OR(_xlpm.r=0, _xlpm.r=""), "Regional Aggregate", _xlpm.r))</f>
        <v>Europe &amp; Central Asia</v>
      </c>
      <c r="G2304" s="4" t="str">
        <f>_xlfn.LET(_xlpm.ig, _xlfn.XLOOKUP(Clean_Data[[#This Row],[Country_Code]], Metadata_Country!$A:$A, Metadata_Country!$C:$C, "Unknown"), IF(OR(_xlpm.ig=0, _xlpm.ig=""), "Regional Aggregate", _xlpm.ig))</f>
        <v>High income</v>
      </c>
      <c r="H2304" s="4">
        <f>Clean_Data[[#This Row],[Exports_TIV]] - Clean_Data[[#This Row],[Imports_TIV]]</f>
        <v>831000000</v>
      </c>
      <c r="I2304" s="4">
        <f>Clean_Data[[#This Row],[Exports_TIV]] + Clean_Data[[#This Row],[Imports_TIV]]</f>
        <v>1163000000</v>
      </c>
    </row>
    <row r="2305" spans="1:9">
      <c r="A2305" s="4" t="s">
        <v>285</v>
      </c>
      <c r="B2305" s="4" t="s">
        <v>286</v>
      </c>
      <c r="C2305" s="5">
        <v>2011</v>
      </c>
      <c r="D2305" s="4">
        <v>0</v>
      </c>
      <c r="E2305" s="4">
        <v>21000000</v>
      </c>
      <c r="F2305" s="4" t="str">
        <f>_xlfn.LET(_xlpm.r, _xlfn.XLOOKUP(Clean_Data[[#This Row],[Country_Code]], Metadata_Country!$A:$A, Metadata_Country!$B:$B, "Unknown"), IF(OR(_xlpm.r=0, _xlpm.r=""), "Regional Aggregate", _xlpm.r))</f>
        <v>South Asia</v>
      </c>
      <c r="G2305" s="4" t="str">
        <f>_xlfn.LET(_xlpm.ig, _xlfn.XLOOKUP(Clean_Data[[#This Row],[Country_Code]], Metadata_Country!$A:$A, Metadata_Country!$C:$C, "Unknown"), IF(OR(_xlpm.ig=0, _xlpm.ig=""), "Regional Aggregate", _xlpm.ig))</f>
        <v>Upper middle income</v>
      </c>
      <c r="H2305" s="4">
        <f>Clean_Data[[#This Row],[Exports_TIV]] - Clean_Data[[#This Row],[Imports_TIV]]</f>
        <v>-21000000</v>
      </c>
      <c r="I2305" s="4">
        <f>Clean_Data[[#This Row],[Exports_TIV]] + Clean_Data[[#This Row],[Imports_TIV]]</f>
        <v>21000000</v>
      </c>
    </row>
    <row r="2306" spans="1:9">
      <c r="A2306" s="4" t="s">
        <v>443</v>
      </c>
      <c r="B2306" s="4" t="s">
        <v>444</v>
      </c>
      <c r="C2306" s="5">
        <v>2011</v>
      </c>
      <c r="D2306" s="4">
        <v>0</v>
      </c>
      <c r="E2306" s="4">
        <v>1384000000</v>
      </c>
      <c r="F2306" s="4" t="str">
        <f>_xlfn.LET(_xlpm.r, _xlfn.XLOOKUP(Clean_Data[[#This Row],[Country_Code]], Metadata_Country!$A:$A, Metadata_Country!$B:$B, "Unknown"), IF(OR(_xlpm.r=0, _xlpm.r=""), "Regional Aggregate", _xlpm.r))</f>
        <v>Regional Aggregate</v>
      </c>
      <c r="G2306" s="4" t="str">
        <f>_xlfn.LET(_xlpm.ig, _xlfn.XLOOKUP(Clean_Data[[#This Row],[Country_Code]], Metadata_Country!$A:$A, Metadata_Country!$C:$C, "Unknown"), IF(OR(_xlpm.ig=0, _xlpm.ig=""), "Regional Aggregate", _xlpm.ig))</f>
        <v>Regional Aggregate</v>
      </c>
      <c r="H2306" s="4">
        <f>Clean_Data[[#This Row],[Exports_TIV]] - Clean_Data[[#This Row],[Imports_TIV]]</f>
        <v>-1384000000</v>
      </c>
      <c r="I2306" s="4">
        <f>Clean_Data[[#This Row],[Exports_TIV]] + Clean_Data[[#This Row],[Imports_TIV]]</f>
        <v>1384000000</v>
      </c>
    </row>
    <row r="2307" spans="1:9">
      <c r="A2307" s="4" t="s">
        <v>439</v>
      </c>
      <c r="B2307" s="4" t="s">
        <v>440</v>
      </c>
      <c r="C2307" s="5">
        <v>2011</v>
      </c>
      <c r="D2307" s="4">
        <v>0</v>
      </c>
      <c r="E2307" s="4">
        <v>1376000000</v>
      </c>
      <c r="F2307" s="4" t="str">
        <f>_xlfn.LET(_xlpm.r, _xlfn.XLOOKUP(Clean_Data[[#This Row],[Country_Code]], Metadata_Country!$A:$A, Metadata_Country!$B:$B, "Unknown"), IF(OR(_xlpm.r=0, _xlpm.r=""), "Regional Aggregate", _xlpm.r))</f>
        <v>Regional Aggregate</v>
      </c>
      <c r="G2307" s="4" t="str">
        <f>_xlfn.LET(_xlpm.ig, _xlfn.XLOOKUP(Clean_Data[[#This Row],[Country_Code]], Metadata_Country!$A:$A, Metadata_Country!$C:$C, "Unknown"), IF(OR(_xlpm.ig=0, _xlpm.ig=""), "Regional Aggregate", _xlpm.ig))</f>
        <v>Regional Aggregate</v>
      </c>
      <c r="H2307" s="4">
        <f>Clean_Data[[#This Row],[Exports_TIV]] - Clean_Data[[#This Row],[Imports_TIV]]</f>
        <v>-1376000000</v>
      </c>
      <c r="I2307" s="4">
        <f>Clean_Data[[#This Row],[Exports_TIV]] + Clean_Data[[#This Row],[Imports_TIV]]</f>
        <v>1376000000</v>
      </c>
    </row>
    <row r="2308" spans="1:9">
      <c r="A2308" s="4" t="s">
        <v>491</v>
      </c>
      <c r="B2308" s="4" t="s">
        <v>492</v>
      </c>
      <c r="C2308" s="5">
        <v>2011</v>
      </c>
      <c r="D2308" s="4">
        <v>0</v>
      </c>
      <c r="E2308" s="4">
        <v>1384000000</v>
      </c>
      <c r="F2308" s="4" t="str">
        <f>_xlfn.LET(_xlpm.r, _xlfn.XLOOKUP(Clean_Data[[#This Row],[Country_Code]], Metadata_Country!$A:$A, Metadata_Country!$B:$B, "Unknown"), IF(OR(_xlpm.r=0, _xlpm.r=""), "Regional Aggregate", _xlpm.r))</f>
        <v>Regional Aggregate</v>
      </c>
      <c r="G2308" s="4" t="str">
        <f>_xlfn.LET(_xlpm.ig, _xlfn.XLOOKUP(Clean_Data[[#This Row],[Country_Code]], Metadata_Country!$A:$A, Metadata_Country!$C:$C, "Unknown"), IF(OR(_xlpm.ig=0, _xlpm.ig=""), "Regional Aggregate", _xlpm.ig))</f>
        <v>Regional Aggregate</v>
      </c>
      <c r="H2308" s="4">
        <f>Clean_Data[[#This Row],[Exports_TIV]] - Clean_Data[[#This Row],[Imports_TIV]]</f>
        <v>-1384000000</v>
      </c>
      <c r="I2308" s="4">
        <f>Clean_Data[[#This Row],[Exports_TIV]] + Clean_Data[[#This Row],[Imports_TIV]]</f>
        <v>1384000000</v>
      </c>
    </row>
    <row r="2309" spans="1:9">
      <c r="A2309" s="4" t="s">
        <v>421</v>
      </c>
      <c r="B2309" s="4" t="s">
        <v>422</v>
      </c>
      <c r="C2309" s="5">
        <v>2011</v>
      </c>
      <c r="D2309" s="4">
        <v>0</v>
      </c>
      <c r="E2309" s="4">
        <v>191000000</v>
      </c>
      <c r="F2309" s="4" t="str">
        <f>_xlfn.LET(_xlpm.r, _xlfn.XLOOKUP(Clean_Data[[#This Row],[Country_Code]], Metadata_Country!$A:$A, Metadata_Country!$B:$B, "Unknown"), IF(OR(_xlpm.r=0, _xlpm.r=""), "Regional Aggregate", _xlpm.r))</f>
        <v>Sub-Saharan Africa</v>
      </c>
      <c r="G2309" s="4" t="str">
        <f>_xlfn.LET(_xlpm.ig, _xlfn.XLOOKUP(Clean_Data[[#This Row],[Country_Code]], Metadata_Country!$A:$A, Metadata_Country!$C:$C, "Unknown"), IF(OR(_xlpm.ig=0, _xlpm.ig=""), "Regional Aggregate", _xlpm.ig))</f>
        <v>Low income</v>
      </c>
      <c r="H2309" s="4">
        <f>Clean_Data[[#This Row],[Exports_TIV]] - Clean_Data[[#This Row],[Imports_TIV]]</f>
        <v>-191000000</v>
      </c>
      <c r="I2309" s="4">
        <f>Clean_Data[[#This Row],[Exports_TIV]] + Clean_Data[[#This Row],[Imports_TIV]]</f>
        <v>191000000</v>
      </c>
    </row>
    <row r="2310" spans="1:9">
      <c r="A2310" s="4" t="s">
        <v>455</v>
      </c>
      <c r="B2310" s="4" t="s">
        <v>456</v>
      </c>
      <c r="C2310" s="5">
        <v>2011</v>
      </c>
      <c r="D2310" s="4">
        <v>658000000</v>
      </c>
      <c r="E2310" s="4">
        <v>185000000</v>
      </c>
      <c r="F2310" s="4" t="str">
        <f>_xlfn.LET(_xlpm.r, _xlfn.XLOOKUP(Clean_Data[[#This Row],[Country_Code]], Metadata_Country!$A:$A, Metadata_Country!$B:$B, "Unknown"), IF(OR(_xlpm.r=0, _xlpm.r=""), "Regional Aggregate", _xlpm.r))</f>
        <v>Europe &amp; Central Asia</v>
      </c>
      <c r="G2310" s="4" t="str">
        <f>_xlfn.LET(_xlpm.ig, _xlfn.XLOOKUP(Clean_Data[[#This Row],[Country_Code]], Metadata_Country!$A:$A, Metadata_Country!$C:$C, "Unknown"), IF(OR(_xlpm.ig=0, _xlpm.ig=""), "Regional Aggregate", _xlpm.ig))</f>
        <v>High income</v>
      </c>
      <c r="H2310" s="4">
        <f>Clean_Data[[#This Row],[Exports_TIV]] - Clean_Data[[#This Row],[Imports_TIV]]</f>
        <v>473000000</v>
      </c>
      <c r="I2310" s="4">
        <f>Clean_Data[[#This Row],[Exports_TIV]] + Clean_Data[[#This Row],[Imports_TIV]]</f>
        <v>843000000</v>
      </c>
    </row>
    <row r="2311" spans="1:9">
      <c r="A2311" s="4" t="s">
        <v>83</v>
      </c>
      <c r="B2311" s="4" t="s">
        <v>84</v>
      </c>
      <c r="C2311" s="5">
        <v>2011</v>
      </c>
      <c r="D2311" s="4">
        <v>349000000</v>
      </c>
      <c r="E2311" s="4">
        <v>24000000</v>
      </c>
      <c r="F2311" s="4" t="str">
        <f>_xlfn.LET(_xlpm.r, _xlfn.XLOOKUP(Clean_Data[[#This Row],[Country_Code]], Metadata_Country!$A:$A, Metadata_Country!$B:$B, "Unknown"), IF(OR(_xlpm.r=0, _xlpm.r=""), "Regional Aggregate", _xlpm.r))</f>
        <v>Europe &amp; Central Asia</v>
      </c>
      <c r="G2311" s="4" t="str">
        <f>_xlfn.LET(_xlpm.ig, _xlfn.XLOOKUP(Clean_Data[[#This Row],[Country_Code]], Metadata_Country!$A:$A, Metadata_Country!$C:$C, "Unknown"), IF(OR(_xlpm.ig=0, _xlpm.ig=""), "Regional Aggregate", _xlpm.ig))</f>
        <v>High income</v>
      </c>
      <c r="H2311" s="4">
        <f>Clean_Data[[#This Row],[Exports_TIV]] - Clean_Data[[#This Row],[Imports_TIV]]</f>
        <v>325000000</v>
      </c>
      <c r="I2311" s="4">
        <f>Clean_Data[[#This Row],[Exports_TIV]] + Clean_Data[[#This Row],[Imports_TIV]]</f>
        <v>373000000</v>
      </c>
    </row>
    <row r="2312" spans="1:9">
      <c r="A2312" s="4" t="s">
        <v>463</v>
      </c>
      <c r="B2312" s="4" t="s">
        <v>464</v>
      </c>
      <c r="C2312" s="5">
        <v>2011</v>
      </c>
      <c r="D2312" s="4">
        <v>0</v>
      </c>
      <c r="E2312" s="4">
        <v>485000000</v>
      </c>
      <c r="F2312" s="4" t="str">
        <f>_xlfn.LET(_xlpm.r, _xlfn.XLOOKUP(Clean_Data[[#This Row],[Country_Code]], Metadata_Country!$A:$A, Metadata_Country!$B:$B, "Unknown"), IF(OR(_xlpm.r=0, _xlpm.r=""), "Regional Aggregate", _xlpm.r))</f>
        <v>Middle East &amp; North Africa</v>
      </c>
      <c r="G2312" s="4" t="str">
        <f>_xlfn.LET(_xlpm.ig, _xlfn.XLOOKUP(Clean_Data[[#This Row],[Country_Code]], Metadata_Country!$A:$A, Metadata_Country!$C:$C, "Unknown"), IF(OR(_xlpm.ig=0, _xlpm.ig=""), "Regional Aggregate", _xlpm.ig))</f>
        <v>Low income</v>
      </c>
      <c r="H2312" s="4">
        <f>Clean_Data[[#This Row],[Exports_TIV]] - Clean_Data[[#This Row],[Imports_TIV]]</f>
        <v>-485000000</v>
      </c>
      <c r="I2312" s="4">
        <f>Clean_Data[[#This Row],[Exports_TIV]] + Clean_Data[[#This Row],[Imports_TIV]]</f>
        <v>485000000</v>
      </c>
    </row>
    <row r="2313" spans="1:9">
      <c r="A2313" s="4" t="s">
        <v>501</v>
      </c>
      <c r="B2313" s="4" t="s">
        <v>502</v>
      </c>
      <c r="C2313" s="5">
        <v>2011</v>
      </c>
      <c r="D2313" s="4">
        <v>0</v>
      </c>
      <c r="E2313" s="4">
        <v>78000000</v>
      </c>
      <c r="F2313" s="4" t="str">
        <f>_xlfn.LET(_xlpm.r, _xlfn.XLOOKUP(Clean_Data[[#This Row],[Country_Code]], Metadata_Country!$A:$A, Metadata_Country!$B:$B, "Unknown"), IF(OR(_xlpm.r=0, _xlpm.r=""), "Regional Aggregate", _xlpm.r))</f>
        <v>Sub-Saharan Africa</v>
      </c>
      <c r="G2313" s="4" t="str">
        <f>_xlfn.LET(_xlpm.ig, _xlfn.XLOOKUP(Clean_Data[[#This Row],[Country_Code]], Metadata_Country!$A:$A, Metadata_Country!$C:$C, "Unknown"), IF(OR(_xlpm.ig=0, _xlpm.ig=""), "Regional Aggregate", _xlpm.ig))</f>
        <v>Lower middle income</v>
      </c>
      <c r="H2313" s="4">
        <f>Clean_Data[[#This Row],[Exports_TIV]] - Clean_Data[[#This Row],[Imports_TIV]]</f>
        <v>-78000000</v>
      </c>
      <c r="I2313" s="4">
        <f>Clean_Data[[#This Row],[Exports_TIV]] + Clean_Data[[#This Row],[Imports_TIV]]</f>
        <v>78000000</v>
      </c>
    </row>
    <row r="2314" spans="1:9">
      <c r="A2314" s="4" t="s">
        <v>475</v>
      </c>
      <c r="B2314" s="4" t="s">
        <v>476</v>
      </c>
      <c r="C2314" s="5">
        <v>2011</v>
      </c>
      <c r="D2314" s="4">
        <v>0</v>
      </c>
      <c r="E2314" s="4">
        <v>252000000</v>
      </c>
      <c r="F2314" s="4" t="str">
        <f>_xlfn.LET(_xlpm.r, _xlfn.XLOOKUP(Clean_Data[[#This Row],[Country_Code]], Metadata_Country!$A:$A, Metadata_Country!$B:$B, "Unknown"), IF(OR(_xlpm.r=0, _xlpm.r=""), "Regional Aggregate", _xlpm.r))</f>
        <v>East Asia &amp; Pacific</v>
      </c>
      <c r="G2314" s="4" t="str">
        <f>_xlfn.LET(_xlpm.ig, _xlfn.XLOOKUP(Clean_Data[[#This Row],[Country_Code]], Metadata_Country!$A:$A, Metadata_Country!$C:$C, "Unknown"), IF(OR(_xlpm.ig=0, _xlpm.ig=""), "Regional Aggregate", _xlpm.ig))</f>
        <v>Upper middle income</v>
      </c>
      <c r="H2314" s="4">
        <f>Clean_Data[[#This Row],[Exports_TIV]] - Clean_Data[[#This Row],[Imports_TIV]]</f>
        <v>-252000000</v>
      </c>
      <c r="I2314" s="4">
        <f>Clean_Data[[#This Row],[Exports_TIV]] + Clean_Data[[#This Row],[Imports_TIV]]</f>
        <v>252000000</v>
      </c>
    </row>
    <row r="2315" spans="1:9">
      <c r="A2315" s="4" t="s">
        <v>483</v>
      </c>
      <c r="B2315" s="4" t="s">
        <v>484</v>
      </c>
      <c r="C2315" s="5">
        <v>2011</v>
      </c>
      <c r="D2315" s="4">
        <v>0</v>
      </c>
      <c r="E2315" s="4">
        <v>14000000</v>
      </c>
      <c r="F2315" s="4" t="str">
        <f>_xlfn.LET(_xlpm.r, _xlfn.XLOOKUP(Clean_Data[[#This Row],[Country_Code]], Metadata_Country!$A:$A, Metadata_Country!$B:$B, "Unknown"), IF(OR(_xlpm.r=0, _xlpm.r=""), "Regional Aggregate", _xlpm.r))</f>
        <v>East Asia &amp; Pacific</v>
      </c>
      <c r="G2315" s="4" t="str">
        <f>_xlfn.LET(_xlpm.ig, _xlfn.XLOOKUP(Clean_Data[[#This Row],[Country_Code]], Metadata_Country!$A:$A, Metadata_Country!$C:$C, "Unknown"), IF(OR(_xlpm.ig=0, _xlpm.ig=""), "Regional Aggregate", _xlpm.ig))</f>
        <v>Lower middle income</v>
      </c>
      <c r="H2315" s="4">
        <f>Clean_Data[[#This Row],[Exports_TIV]] - Clean_Data[[#This Row],[Imports_TIV]]</f>
        <v>-14000000</v>
      </c>
      <c r="I2315" s="4">
        <f>Clean_Data[[#This Row],[Exports_TIV]] + Clean_Data[[#This Row],[Imports_TIV]]</f>
        <v>14000000</v>
      </c>
    </row>
    <row r="2316" spans="1:9">
      <c r="A2316" s="4" t="s">
        <v>493</v>
      </c>
      <c r="B2316" s="4" t="s">
        <v>494</v>
      </c>
      <c r="C2316" s="5">
        <v>2011</v>
      </c>
      <c r="D2316" s="4">
        <v>0</v>
      </c>
      <c r="E2316" s="4">
        <v>12000000</v>
      </c>
      <c r="F2316" s="4" t="str">
        <f>_xlfn.LET(_xlpm.r, _xlfn.XLOOKUP(Clean_Data[[#This Row],[Country_Code]], Metadata_Country!$A:$A, Metadata_Country!$B:$B, "Unknown"), IF(OR(_xlpm.r=0, _xlpm.r=""), "Regional Aggregate", _xlpm.r))</f>
        <v>Latin America &amp; Caribbean</v>
      </c>
      <c r="G2316" s="4" t="str">
        <f>_xlfn.LET(_xlpm.ig, _xlfn.XLOOKUP(Clean_Data[[#This Row],[Country_Code]], Metadata_Country!$A:$A, Metadata_Country!$C:$C, "Unknown"), IF(OR(_xlpm.ig=0, _xlpm.ig=""), "Regional Aggregate", _xlpm.ig))</f>
        <v>High income</v>
      </c>
      <c r="H2316" s="4">
        <f>Clean_Data[[#This Row],[Exports_TIV]] - Clean_Data[[#This Row],[Imports_TIV]]</f>
        <v>-12000000</v>
      </c>
      <c r="I2316" s="4">
        <f>Clean_Data[[#This Row],[Exports_TIV]] + Clean_Data[[#This Row],[Imports_TIV]]</f>
        <v>12000000</v>
      </c>
    </row>
    <row r="2317" spans="1:9">
      <c r="A2317" s="4" t="s">
        <v>495</v>
      </c>
      <c r="B2317" s="4" t="s">
        <v>496</v>
      </c>
      <c r="C2317" s="5">
        <v>2011</v>
      </c>
      <c r="D2317" s="4">
        <v>0</v>
      </c>
      <c r="E2317" s="4">
        <v>7000000</v>
      </c>
      <c r="F2317" s="4" t="str">
        <f>_xlfn.LET(_xlpm.r, _xlfn.XLOOKUP(Clean_Data[[#This Row],[Country_Code]], Metadata_Country!$A:$A, Metadata_Country!$B:$B, "Unknown"), IF(OR(_xlpm.r=0, _xlpm.r=""), "Regional Aggregate", _xlpm.r))</f>
        <v>Middle East &amp; North Africa</v>
      </c>
      <c r="G2317" s="4" t="str">
        <f>_xlfn.LET(_xlpm.ig, _xlfn.XLOOKUP(Clean_Data[[#This Row],[Country_Code]], Metadata_Country!$A:$A, Metadata_Country!$C:$C, "Unknown"), IF(OR(_xlpm.ig=0, _xlpm.ig=""), "Regional Aggregate", _xlpm.ig))</f>
        <v>Lower middle income</v>
      </c>
      <c r="H2317" s="4">
        <f>Clean_Data[[#This Row],[Exports_TIV]] - Clean_Data[[#This Row],[Imports_TIV]]</f>
        <v>-7000000</v>
      </c>
      <c r="I2317" s="4">
        <f>Clean_Data[[#This Row],[Exports_TIV]] + Clean_Data[[#This Row],[Imports_TIV]]</f>
        <v>7000000</v>
      </c>
    </row>
    <row r="2318" spans="1:9">
      <c r="A2318" s="4" t="s">
        <v>497</v>
      </c>
      <c r="B2318" s="4" t="s">
        <v>498</v>
      </c>
      <c r="C2318" s="5">
        <v>2011</v>
      </c>
      <c r="D2318" s="4">
        <v>95000000</v>
      </c>
      <c r="E2318" s="4">
        <v>794000000</v>
      </c>
      <c r="F2318" s="4" t="str">
        <f>_xlfn.LET(_xlpm.r, _xlfn.XLOOKUP(Clean_Data[[#This Row],[Country_Code]], Metadata_Country!$A:$A, Metadata_Country!$B:$B, "Unknown"), IF(OR(_xlpm.r=0, _xlpm.r=""), "Regional Aggregate", _xlpm.r))</f>
        <v>Europe &amp; Central Asia</v>
      </c>
      <c r="G2318" s="4" t="str">
        <f>_xlfn.LET(_xlpm.ig, _xlfn.XLOOKUP(Clean_Data[[#This Row],[Country_Code]], Metadata_Country!$A:$A, Metadata_Country!$C:$C, "Unknown"), IF(OR(_xlpm.ig=0, _xlpm.ig=""), "Regional Aggregate", _xlpm.ig))</f>
        <v>Upper middle income</v>
      </c>
      <c r="H2318" s="4">
        <f>Clean_Data[[#This Row],[Exports_TIV]] - Clean_Data[[#This Row],[Imports_TIV]]</f>
        <v>-699000000</v>
      </c>
      <c r="I2318" s="4">
        <f>Clean_Data[[#This Row],[Exports_TIV]] + Clean_Data[[#This Row],[Imports_TIV]]</f>
        <v>889000000</v>
      </c>
    </row>
    <row r="2319" spans="1:9">
      <c r="A2319" s="4" t="s">
        <v>479</v>
      </c>
      <c r="B2319" s="4" t="s">
        <v>480</v>
      </c>
      <c r="C2319" s="5">
        <v>2011</v>
      </c>
      <c r="D2319" s="4">
        <v>0</v>
      </c>
      <c r="E2319" s="4">
        <v>237000000</v>
      </c>
      <c r="F2319" s="4" t="str">
        <f>_xlfn.LET(_xlpm.r, _xlfn.XLOOKUP(Clean_Data[[#This Row],[Country_Code]], Metadata_Country!$A:$A, Metadata_Country!$B:$B, "Unknown"), IF(OR(_xlpm.r=0, _xlpm.r=""), "Regional Aggregate", _xlpm.r))</f>
        <v>Europe &amp; Central Asia</v>
      </c>
      <c r="G2319" s="4" t="str">
        <f>_xlfn.LET(_xlpm.ig, _xlfn.XLOOKUP(Clean_Data[[#This Row],[Country_Code]], Metadata_Country!$A:$A, Metadata_Country!$C:$C, "Unknown"), IF(OR(_xlpm.ig=0, _xlpm.ig=""), "Regional Aggregate", _xlpm.ig))</f>
        <v>Upper middle income</v>
      </c>
      <c r="H2319" s="4">
        <f>Clean_Data[[#This Row],[Exports_TIV]] - Clean_Data[[#This Row],[Imports_TIV]]</f>
        <v>-237000000</v>
      </c>
      <c r="I2319" s="4">
        <f>Clean_Data[[#This Row],[Exports_TIV]] + Clean_Data[[#This Row],[Imports_TIV]]</f>
        <v>237000000</v>
      </c>
    </row>
    <row r="2320" spans="1:9">
      <c r="A2320" s="4" t="s">
        <v>503</v>
      </c>
      <c r="B2320" s="4" t="s">
        <v>504</v>
      </c>
      <c r="C2320" s="5">
        <v>2011</v>
      </c>
      <c r="D2320" s="4">
        <v>0</v>
      </c>
      <c r="E2320" s="4">
        <v>468000000</v>
      </c>
      <c r="F2320" s="4" t="str">
        <f>_xlfn.LET(_xlpm.r, _xlfn.XLOOKUP(Clean_Data[[#This Row],[Country_Code]], Metadata_Country!$A:$A, Metadata_Country!$B:$B, "Unknown"), IF(OR(_xlpm.r=0, _xlpm.r=""), "Regional Aggregate", _xlpm.r))</f>
        <v>Sub-Saharan Africa</v>
      </c>
      <c r="G2320" s="4" t="str">
        <f>_xlfn.LET(_xlpm.ig, _xlfn.XLOOKUP(Clean_Data[[#This Row],[Country_Code]], Metadata_Country!$A:$A, Metadata_Country!$C:$C, "Unknown"), IF(OR(_xlpm.ig=0, _xlpm.ig=""), "Regional Aggregate", _xlpm.ig))</f>
        <v>Low income</v>
      </c>
      <c r="H2320" s="4">
        <f>Clean_Data[[#This Row],[Exports_TIV]] - Clean_Data[[#This Row],[Imports_TIV]]</f>
        <v>-468000000</v>
      </c>
      <c r="I2320" s="4">
        <f>Clean_Data[[#This Row],[Exports_TIV]] + Clean_Data[[#This Row],[Imports_TIV]]</f>
        <v>468000000</v>
      </c>
    </row>
    <row r="2321" spans="1:9">
      <c r="A2321" s="4" t="s">
        <v>505</v>
      </c>
      <c r="B2321" s="4" t="s">
        <v>506</v>
      </c>
      <c r="C2321" s="5">
        <v>2011</v>
      </c>
      <c r="D2321" s="4">
        <v>569000000</v>
      </c>
      <c r="E2321" s="4">
        <v>0</v>
      </c>
      <c r="F2321" s="4" t="str">
        <f>_xlfn.LET(_xlpm.r, _xlfn.XLOOKUP(Clean_Data[[#This Row],[Country_Code]], Metadata_Country!$A:$A, Metadata_Country!$B:$B, "Unknown"), IF(OR(_xlpm.r=0, _xlpm.r=""), "Regional Aggregate", _xlpm.r))</f>
        <v>Europe &amp; Central Asia</v>
      </c>
      <c r="G2321" s="4" t="str">
        <f>_xlfn.LET(_xlpm.ig, _xlfn.XLOOKUP(Clean_Data[[#This Row],[Country_Code]], Metadata_Country!$A:$A, Metadata_Country!$C:$C, "Unknown"), IF(OR(_xlpm.ig=0, _xlpm.ig=""), "Regional Aggregate", _xlpm.ig))</f>
        <v>Upper middle income</v>
      </c>
      <c r="H2321" s="4">
        <f>Clean_Data[[#This Row],[Exports_TIV]] - Clean_Data[[#This Row],[Imports_TIV]]</f>
        <v>569000000</v>
      </c>
      <c r="I2321" s="4">
        <f>Clean_Data[[#This Row],[Exports_TIV]] + Clean_Data[[#This Row],[Imports_TIV]]</f>
        <v>569000000</v>
      </c>
    </row>
    <row r="2322" spans="1:9">
      <c r="A2322" s="4" t="s">
        <v>25</v>
      </c>
      <c r="B2322" s="4" t="s">
        <v>26</v>
      </c>
      <c r="C2322" s="5">
        <v>2011</v>
      </c>
      <c r="D2322" s="4">
        <v>3000000</v>
      </c>
      <c r="E2322" s="4">
        <v>1217000000</v>
      </c>
      <c r="F2322" s="4" t="str">
        <f>_xlfn.LET(_xlpm.r, _xlfn.XLOOKUP(Clean_Data[[#This Row],[Country_Code]], Metadata_Country!$A:$A, Metadata_Country!$B:$B, "Unknown"), IF(OR(_xlpm.r=0, _xlpm.r=""), "Regional Aggregate", _xlpm.r))</f>
        <v>Middle East &amp; North Africa</v>
      </c>
      <c r="G2322" s="4" t="str">
        <f>_xlfn.LET(_xlpm.ig, _xlfn.XLOOKUP(Clean_Data[[#This Row],[Country_Code]], Metadata_Country!$A:$A, Metadata_Country!$C:$C, "Unknown"), IF(OR(_xlpm.ig=0, _xlpm.ig=""), "Regional Aggregate", _xlpm.ig))</f>
        <v>High income</v>
      </c>
      <c r="H2322" s="4">
        <f>Clean_Data[[#This Row],[Exports_TIV]] - Clean_Data[[#This Row],[Imports_TIV]]</f>
        <v>-1214000000</v>
      </c>
      <c r="I2322" s="4">
        <f>Clean_Data[[#This Row],[Exports_TIV]] + Clean_Data[[#This Row],[Imports_TIV]]</f>
        <v>1220000000</v>
      </c>
    </row>
    <row r="2323" spans="1:9">
      <c r="A2323" s="4" t="s">
        <v>171</v>
      </c>
      <c r="B2323" s="4" t="s">
        <v>172</v>
      </c>
      <c r="C2323" s="5">
        <v>2011</v>
      </c>
      <c r="D2323" s="4">
        <v>1001000000</v>
      </c>
      <c r="E2323" s="4">
        <v>347000000</v>
      </c>
      <c r="F2323" s="4" t="str">
        <f>_xlfn.LET(_xlpm.r, _xlfn.XLOOKUP(Clean_Data[[#This Row],[Country_Code]], Metadata_Country!$A:$A, Metadata_Country!$B:$B, "Unknown"), IF(OR(_xlpm.r=0, _xlpm.r=""), "Regional Aggregate", _xlpm.r))</f>
        <v>Europe &amp; Central Asia</v>
      </c>
      <c r="G2323" s="4" t="str">
        <f>_xlfn.LET(_xlpm.ig, _xlfn.XLOOKUP(Clean_Data[[#This Row],[Country_Code]], Metadata_Country!$A:$A, Metadata_Country!$C:$C, "Unknown"), IF(OR(_xlpm.ig=0, _xlpm.ig=""), "Regional Aggregate", _xlpm.ig))</f>
        <v>High income</v>
      </c>
      <c r="H2323" s="4">
        <f>Clean_Data[[#This Row],[Exports_TIV]] - Clean_Data[[#This Row],[Imports_TIV]]</f>
        <v>654000000</v>
      </c>
      <c r="I2323" s="4">
        <f>Clean_Data[[#This Row],[Exports_TIV]] + Clean_Data[[#This Row],[Imports_TIV]]</f>
        <v>1348000000</v>
      </c>
    </row>
    <row r="2324" spans="1:9">
      <c r="A2324" s="4" t="s">
        <v>511</v>
      </c>
      <c r="B2324" s="4" t="s">
        <v>512</v>
      </c>
      <c r="C2324" s="5">
        <v>2011</v>
      </c>
      <c r="D2324" s="4">
        <v>9041000000</v>
      </c>
      <c r="E2324" s="4">
        <v>937000000</v>
      </c>
      <c r="F2324" s="4" t="str">
        <f>_xlfn.LET(_xlpm.r, _xlfn.XLOOKUP(Clean_Data[[#This Row],[Country_Code]], Metadata_Country!$A:$A, Metadata_Country!$B:$B, "Unknown"), IF(OR(_xlpm.r=0, _xlpm.r=""), "Regional Aggregate", _xlpm.r))</f>
        <v>North America</v>
      </c>
      <c r="G2324" s="4" t="str">
        <f>_xlfn.LET(_xlpm.ig, _xlfn.XLOOKUP(Clean_Data[[#This Row],[Country_Code]], Metadata_Country!$A:$A, Metadata_Country!$C:$C, "Unknown"), IF(OR(_xlpm.ig=0, _xlpm.ig=""), "Regional Aggregate", _xlpm.ig))</f>
        <v>High income</v>
      </c>
      <c r="H2324" s="4">
        <f>Clean_Data[[#This Row],[Exports_TIV]] - Clean_Data[[#This Row],[Imports_TIV]]</f>
        <v>8104000000</v>
      </c>
      <c r="I2324" s="4">
        <f>Clean_Data[[#This Row],[Exports_TIV]] + Clean_Data[[#This Row],[Imports_TIV]]</f>
        <v>9978000000</v>
      </c>
    </row>
    <row r="2325" spans="1:9">
      <c r="A2325" s="4" t="s">
        <v>507</v>
      </c>
      <c r="B2325" s="4" t="s">
        <v>508</v>
      </c>
      <c r="C2325" s="5">
        <v>2011</v>
      </c>
      <c r="D2325" s="4">
        <v>0</v>
      </c>
      <c r="E2325" s="4">
        <v>7507000000</v>
      </c>
      <c r="F2325" s="4" t="str">
        <f>_xlfn.LET(_xlpm.r, _xlfn.XLOOKUP(Clean_Data[[#This Row],[Country_Code]], Metadata_Country!$A:$A, Metadata_Country!$B:$B, "Unknown"), IF(OR(_xlpm.r=0, _xlpm.r=""), "Regional Aggregate", _xlpm.r))</f>
        <v>Regional Aggregate</v>
      </c>
      <c r="G2325" s="4" t="str">
        <f>_xlfn.LET(_xlpm.ig, _xlfn.XLOOKUP(Clean_Data[[#This Row],[Country_Code]], Metadata_Country!$A:$A, Metadata_Country!$C:$C, "Unknown"), IF(OR(_xlpm.ig=0, _xlpm.ig=""), "Regional Aggregate", _xlpm.ig))</f>
        <v>Regional Aggregate</v>
      </c>
      <c r="H2325" s="4">
        <f>Clean_Data[[#This Row],[Exports_TIV]] - Clean_Data[[#This Row],[Imports_TIV]]</f>
        <v>-7507000000</v>
      </c>
      <c r="I2325" s="4">
        <f>Clean_Data[[#This Row],[Exports_TIV]] + Clean_Data[[#This Row],[Imports_TIV]]</f>
        <v>7507000000</v>
      </c>
    </row>
    <row r="2326" spans="1:9">
      <c r="A2326" s="4" t="s">
        <v>513</v>
      </c>
      <c r="B2326" s="4" t="s">
        <v>514</v>
      </c>
      <c r="C2326" s="5">
        <v>2011</v>
      </c>
      <c r="D2326" s="4">
        <v>209000000</v>
      </c>
      <c r="E2326" s="4">
        <v>0</v>
      </c>
      <c r="F2326" s="4" t="str">
        <f>_xlfn.LET(_xlpm.r, _xlfn.XLOOKUP(Clean_Data[[#This Row],[Country_Code]], Metadata_Country!$A:$A, Metadata_Country!$B:$B, "Unknown"), IF(OR(_xlpm.r=0, _xlpm.r=""), "Regional Aggregate", _xlpm.r))</f>
        <v>Europe &amp; Central Asia</v>
      </c>
      <c r="G2326" s="4" t="str">
        <f>_xlfn.LET(_xlpm.ig, _xlfn.XLOOKUP(Clean_Data[[#This Row],[Country_Code]], Metadata_Country!$A:$A, Metadata_Country!$C:$C, "Unknown"), IF(OR(_xlpm.ig=0, _xlpm.ig=""), "Regional Aggregate", _xlpm.ig))</f>
        <v>Lower middle income</v>
      </c>
      <c r="H2326" s="4">
        <f>Clean_Data[[#This Row],[Exports_TIV]] - Clean_Data[[#This Row],[Imports_TIV]]</f>
        <v>209000000</v>
      </c>
      <c r="I2326" s="4">
        <f>Clean_Data[[#This Row],[Exports_TIV]] + Clean_Data[[#This Row],[Imports_TIV]]</f>
        <v>209000000</v>
      </c>
    </row>
    <row r="2327" spans="1:9">
      <c r="A2327" s="4" t="s">
        <v>517</v>
      </c>
      <c r="B2327" s="4" t="s">
        <v>518</v>
      </c>
      <c r="C2327" s="5">
        <v>2011</v>
      </c>
      <c r="D2327" s="4">
        <v>0</v>
      </c>
      <c r="E2327" s="4">
        <v>600000000</v>
      </c>
      <c r="F2327" s="4" t="str">
        <f>_xlfn.LET(_xlpm.r, _xlfn.XLOOKUP(Clean_Data[[#This Row],[Country_Code]], Metadata_Country!$A:$A, Metadata_Country!$B:$B, "Unknown"), IF(OR(_xlpm.r=0, _xlpm.r=""), "Regional Aggregate", _xlpm.r))</f>
        <v>Latin America &amp; Caribbean</v>
      </c>
      <c r="G2327" s="4" t="str">
        <f>_xlfn.LET(_xlpm.ig, _xlfn.XLOOKUP(Clean_Data[[#This Row],[Country_Code]], Metadata_Country!$A:$A, Metadata_Country!$C:$C, "Unknown"), IF(OR(_xlpm.ig=0, _xlpm.ig=""), "Regional Aggregate", _xlpm.ig))</f>
        <v>Lower middle income</v>
      </c>
      <c r="H2327" s="4">
        <f>Clean_Data[[#This Row],[Exports_TIV]] - Clean_Data[[#This Row],[Imports_TIV]]</f>
        <v>-600000000</v>
      </c>
      <c r="I2327" s="4">
        <f>Clean_Data[[#This Row],[Exports_TIV]] + Clean_Data[[#This Row],[Imports_TIV]]</f>
        <v>600000000</v>
      </c>
    </row>
    <row r="2328" spans="1:9">
      <c r="A2328" s="4" t="s">
        <v>523</v>
      </c>
      <c r="B2328" s="4" t="s">
        <v>524</v>
      </c>
      <c r="C2328" s="5">
        <v>2011</v>
      </c>
      <c r="D2328" s="4">
        <v>0</v>
      </c>
      <c r="E2328" s="4">
        <v>1016000000</v>
      </c>
      <c r="F2328" s="4" t="str">
        <f>_xlfn.LET(_xlpm.r, _xlfn.XLOOKUP(Clean_Data[[#This Row],[Country_Code]], Metadata_Country!$A:$A, Metadata_Country!$B:$B, "Unknown"), IF(OR(_xlpm.r=0, _xlpm.r=""), "Regional Aggregate", _xlpm.r))</f>
        <v>East Asia &amp; Pacific</v>
      </c>
      <c r="G2328" s="4" t="str">
        <f>_xlfn.LET(_xlpm.ig, _xlfn.XLOOKUP(Clean_Data[[#This Row],[Country_Code]], Metadata_Country!$A:$A, Metadata_Country!$C:$C, "Unknown"), IF(OR(_xlpm.ig=0, _xlpm.ig=""), "Regional Aggregate", _xlpm.ig))</f>
        <v>Upper middle income</v>
      </c>
      <c r="H2328" s="4">
        <f>Clean_Data[[#This Row],[Exports_TIV]] - Clean_Data[[#This Row],[Imports_TIV]]</f>
        <v>-1016000000</v>
      </c>
      <c r="I2328" s="4">
        <f>Clean_Data[[#This Row],[Exports_TIV]] + Clean_Data[[#This Row],[Imports_TIV]]</f>
        <v>1016000000</v>
      </c>
    </row>
    <row r="2329" spans="1:9">
      <c r="A2329" s="4" t="s">
        <v>527</v>
      </c>
      <c r="B2329" s="4" t="s">
        <v>528</v>
      </c>
      <c r="C2329" s="5">
        <v>2011</v>
      </c>
      <c r="D2329" s="4">
        <v>29928000000</v>
      </c>
      <c r="E2329" s="4">
        <v>29925000000</v>
      </c>
      <c r="F2329" s="4" t="str">
        <f>_xlfn.LET(_xlpm.r, _xlfn.XLOOKUP(Clean_Data[[#This Row],[Country_Code]], Metadata_Country!$A:$A, Metadata_Country!$B:$B, "Unknown"), IF(OR(_xlpm.r=0, _xlpm.r=""), "Regional Aggregate", _xlpm.r))</f>
        <v>Regional Aggregate</v>
      </c>
      <c r="G2329" s="4" t="str">
        <f>_xlfn.LET(_xlpm.ig, _xlfn.XLOOKUP(Clean_Data[[#This Row],[Country_Code]], Metadata_Country!$A:$A, Metadata_Country!$C:$C, "Unknown"), IF(OR(_xlpm.ig=0, _xlpm.ig=""), "Regional Aggregate", _xlpm.ig))</f>
        <v>Regional Aggregate</v>
      </c>
      <c r="H2329" s="4">
        <f>Clean_Data[[#This Row],[Exports_TIV]] - Clean_Data[[#This Row],[Imports_TIV]]</f>
        <v>3000000</v>
      </c>
      <c r="I2329" s="4">
        <f>Clean_Data[[#This Row],[Exports_TIV]] + Clean_Data[[#This Row],[Imports_TIV]]</f>
        <v>59853000000</v>
      </c>
    </row>
    <row r="2330" spans="1:9">
      <c r="A2330" s="4" t="s">
        <v>533</v>
      </c>
      <c r="B2330" s="4" t="s">
        <v>534</v>
      </c>
      <c r="C2330" s="5">
        <v>2011</v>
      </c>
      <c r="D2330" s="4">
        <v>0</v>
      </c>
      <c r="E2330" s="4">
        <v>47000000</v>
      </c>
      <c r="F2330" s="4" t="str">
        <f>_xlfn.LET(_xlpm.r, _xlfn.XLOOKUP(Clean_Data[[#This Row],[Country_Code]], Metadata_Country!$A:$A, Metadata_Country!$B:$B, "Unknown"), IF(OR(_xlpm.r=0, _xlpm.r=""), "Regional Aggregate", _xlpm.r))</f>
        <v>Middle East &amp; North Africa</v>
      </c>
      <c r="G2330" s="4" t="str">
        <f>_xlfn.LET(_xlpm.ig, _xlfn.XLOOKUP(Clean_Data[[#This Row],[Country_Code]], Metadata_Country!$A:$A, Metadata_Country!$C:$C, "Unknown"), IF(OR(_xlpm.ig=0, _xlpm.ig=""), "Regional Aggregate", _xlpm.ig))</f>
        <v>Low income</v>
      </c>
      <c r="H2330" s="4">
        <f>Clean_Data[[#This Row],[Exports_TIV]] - Clean_Data[[#This Row],[Imports_TIV]]</f>
        <v>-47000000</v>
      </c>
      <c r="I2330" s="4">
        <f>Clean_Data[[#This Row],[Exports_TIV]] + Clean_Data[[#This Row],[Imports_TIV]]</f>
        <v>47000000</v>
      </c>
    </row>
    <row r="2331" spans="1:9">
      <c r="A2331" s="4" t="s">
        <v>537</v>
      </c>
      <c r="B2331" s="4" t="s">
        <v>538</v>
      </c>
      <c r="C2331" s="5">
        <v>2011</v>
      </c>
      <c r="D2331" s="4">
        <v>0</v>
      </c>
      <c r="E2331" s="4">
        <v>1000000</v>
      </c>
      <c r="F2331" s="4" t="str">
        <f>_xlfn.LET(_xlpm.r, _xlfn.XLOOKUP(Clean_Data[[#This Row],[Country_Code]], Metadata_Country!$A:$A, Metadata_Country!$B:$B, "Unknown"), IF(OR(_xlpm.r=0, _xlpm.r=""), "Regional Aggregate", _xlpm.r))</f>
        <v>Sub-Saharan Africa</v>
      </c>
      <c r="G2331" s="4" t="str">
        <f>_xlfn.LET(_xlpm.ig, _xlfn.XLOOKUP(Clean_Data[[#This Row],[Country_Code]], Metadata_Country!$A:$A, Metadata_Country!$C:$C, "Unknown"), IF(OR(_xlpm.ig=0, _xlpm.ig=""), "Regional Aggregate", _xlpm.ig))</f>
        <v>Lower middle income</v>
      </c>
      <c r="H2331" s="4">
        <f>Clean_Data[[#This Row],[Exports_TIV]] - Clean_Data[[#This Row],[Imports_TIV]]</f>
        <v>-1000000</v>
      </c>
      <c r="I2331" s="4">
        <f>Clean_Data[[#This Row],[Exports_TIV]] + Clean_Data[[#This Row],[Imports_TIV]]</f>
        <v>1000000</v>
      </c>
    </row>
    <row r="2332" spans="1:9">
      <c r="A2332" s="4" t="s">
        <v>13</v>
      </c>
      <c r="B2332" s="4" t="s">
        <v>14</v>
      </c>
      <c r="C2332" s="5">
        <v>2010</v>
      </c>
      <c r="D2332" s="4">
        <v>0</v>
      </c>
      <c r="E2332" s="4">
        <v>365000000</v>
      </c>
      <c r="F2332" s="4" t="str">
        <f>_xlfn.LET(_xlpm.r, _xlfn.XLOOKUP(Clean_Data[[#This Row],[Country_Code]], Metadata_Country!$A:$A, Metadata_Country!$B:$B, "Unknown"), IF(OR(_xlpm.r=0, _xlpm.r=""), "Regional Aggregate", _xlpm.r))</f>
        <v>Middle East &amp; North Africa</v>
      </c>
      <c r="G2332" s="4" t="str">
        <f>_xlfn.LET(_xlpm.ig, _xlfn.XLOOKUP(Clean_Data[[#This Row],[Country_Code]], Metadata_Country!$A:$A, Metadata_Country!$C:$C, "Unknown"), IF(OR(_xlpm.ig=0, _xlpm.ig=""), "Regional Aggregate", _xlpm.ig))</f>
        <v>Low income</v>
      </c>
      <c r="H2332" s="4">
        <f>Clean_Data[[#This Row],[Exports_TIV]] - Clean_Data[[#This Row],[Imports_TIV]]</f>
        <v>-365000000</v>
      </c>
      <c r="I2332" s="4">
        <f>Clean_Data[[#This Row],[Exports_TIV]] + Clean_Data[[#This Row],[Imports_TIV]]</f>
        <v>365000000</v>
      </c>
    </row>
    <row r="2333" spans="1:9">
      <c r="A2333" s="4" t="s">
        <v>15</v>
      </c>
      <c r="B2333" s="4" t="s">
        <v>16</v>
      </c>
      <c r="C2333" s="5">
        <v>2010</v>
      </c>
      <c r="D2333" s="4">
        <v>0</v>
      </c>
      <c r="E2333" s="4">
        <v>367000000</v>
      </c>
      <c r="F2333" s="4" t="str">
        <f>_xlfn.LET(_xlpm.r, _xlfn.XLOOKUP(Clean_Data[[#This Row],[Country_Code]], Metadata_Country!$A:$A, Metadata_Country!$B:$B, "Unknown"), IF(OR(_xlpm.r=0, _xlpm.r=""), "Regional Aggregate", _xlpm.r))</f>
        <v>Regional Aggregate</v>
      </c>
      <c r="G2333" s="4" t="str">
        <f>_xlfn.LET(_xlpm.ig, _xlfn.XLOOKUP(Clean_Data[[#This Row],[Country_Code]], Metadata_Country!$A:$A, Metadata_Country!$C:$C, "Unknown"), IF(OR(_xlpm.ig=0, _xlpm.ig=""), "Regional Aggregate", _xlpm.ig))</f>
        <v>Regional Aggregate</v>
      </c>
      <c r="H2333" s="4">
        <f>Clean_Data[[#This Row],[Exports_TIV]] - Clean_Data[[#This Row],[Imports_TIV]]</f>
        <v>-367000000</v>
      </c>
      <c r="I2333" s="4">
        <f>Clean_Data[[#This Row],[Exports_TIV]] + Clean_Data[[#This Row],[Imports_TIV]]</f>
        <v>367000000</v>
      </c>
    </row>
    <row r="2334" spans="1:9">
      <c r="A2334" s="4" t="s">
        <v>129</v>
      </c>
      <c r="B2334" s="4" t="s">
        <v>130</v>
      </c>
      <c r="C2334" s="5">
        <v>2010</v>
      </c>
      <c r="D2334" s="4">
        <v>0</v>
      </c>
      <c r="E2334" s="4">
        <v>831000000</v>
      </c>
      <c r="F2334" s="4" t="str">
        <f>_xlfn.LET(_xlpm.r, _xlfn.XLOOKUP(Clean_Data[[#This Row],[Country_Code]], Metadata_Country!$A:$A, Metadata_Country!$B:$B, "Unknown"), IF(OR(_xlpm.r=0, _xlpm.r=""), "Regional Aggregate", _xlpm.r))</f>
        <v>Middle East &amp; North Africa</v>
      </c>
      <c r="G2334" s="4" t="str">
        <f>_xlfn.LET(_xlpm.ig, _xlfn.XLOOKUP(Clean_Data[[#This Row],[Country_Code]], Metadata_Country!$A:$A, Metadata_Country!$C:$C, "Unknown"), IF(OR(_xlpm.ig=0, _xlpm.ig=""), "Regional Aggregate", _xlpm.ig))</f>
        <v>Upper middle income</v>
      </c>
      <c r="H2334" s="4">
        <f>Clean_Data[[#This Row],[Exports_TIV]] - Clean_Data[[#This Row],[Imports_TIV]]</f>
        <v>-831000000</v>
      </c>
      <c r="I2334" s="4">
        <f>Clean_Data[[#This Row],[Exports_TIV]] + Clean_Data[[#This Row],[Imports_TIV]]</f>
        <v>831000000</v>
      </c>
    </row>
    <row r="2335" spans="1:9">
      <c r="A2335" s="4" t="s">
        <v>23</v>
      </c>
      <c r="B2335" s="4" t="s">
        <v>24</v>
      </c>
      <c r="C2335" s="5">
        <v>2010</v>
      </c>
      <c r="D2335" s="4">
        <v>0</v>
      </c>
      <c r="E2335" s="4">
        <v>5446000000</v>
      </c>
      <c r="F2335" s="4" t="str">
        <f>_xlfn.LET(_xlpm.r, _xlfn.XLOOKUP(Clean_Data[[#This Row],[Country_Code]], Metadata_Country!$A:$A, Metadata_Country!$B:$B, "Unknown"), IF(OR(_xlpm.r=0, _xlpm.r=""), "Regional Aggregate", _xlpm.r))</f>
        <v>Regional Aggregate</v>
      </c>
      <c r="G2335" s="4" t="str">
        <f>_xlfn.LET(_xlpm.ig, _xlfn.XLOOKUP(Clean_Data[[#This Row],[Country_Code]], Metadata_Country!$A:$A, Metadata_Country!$C:$C, "Unknown"), IF(OR(_xlpm.ig=0, _xlpm.ig=""), "Regional Aggregate", _xlpm.ig))</f>
        <v>Regional Aggregate</v>
      </c>
      <c r="H2335" s="4">
        <f>Clean_Data[[#This Row],[Exports_TIV]] - Clean_Data[[#This Row],[Imports_TIV]]</f>
        <v>-5446000000</v>
      </c>
      <c r="I2335" s="4">
        <f>Clean_Data[[#This Row],[Exports_TIV]] + Clean_Data[[#This Row],[Imports_TIV]]</f>
        <v>5446000000</v>
      </c>
    </row>
    <row r="2336" spans="1:9">
      <c r="A2336" s="4" t="s">
        <v>27</v>
      </c>
      <c r="B2336" s="4" t="s">
        <v>28</v>
      </c>
      <c r="C2336" s="5">
        <v>2010</v>
      </c>
      <c r="D2336" s="4">
        <v>0</v>
      </c>
      <c r="E2336" s="4">
        <v>11000000</v>
      </c>
      <c r="F2336" s="4" t="str">
        <f>_xlfn.LET(_xlpm.r, _xlfn.XLOOKUP(Clean_Data[[#This Row],[Country_Code]], Metadata_Country!$A:$A, Metadata_Country!$B:$B, "Unknown"), IF(OR(_xlpm.r=0, _xlpm.r=""), "Regional Aggregate", _xlpm.r))</f>
        <v>Latin America &amp; Caribbean</v>
      </c>
      <c r="G2336" s="4" t="str">
        <f>_xlfn.LET(_xlpm.ig, _xlfn.XLOOKUP(Clean_Data[[#This Row],[Country_Code]], Metadata_Country!$A:$A, Metadata_Country!$C:$C, "Unknown"), IF(OR(_xlpm.ig=0, _xlpm.ig=""), "Regional Aggregate", _xlpm.ig))</f>
        <v>Upper middle income</v>
      </c>
      <c r="H2336" s="4">
        <f>Clean_Data[[#This Row],[Exports_TIV]] - Clean_Data[[#This Row],[Imports_TIV]]</f>
        <v>-11000000</v>
      </c>
      <c r="I2336" s="4">
        <f>Clean_Data[[#This Row],[Exports_TIV]] + Clean_Data[[#This Row],[Imports_TIV]]</f>
        <v>11000000</v>
      </c>
    </row>
    <row r="2337" spans="1:9">
      <c r="A2337" s="4" t="s">
        <v>29</v>
      </c>
      <c r="B2337" s="4" t="s">
        <v>30</v>
      </c>
      <c r="C2337" s="5">
        <v>2010</v>
      </c>
      <c r="D2337" s="4">
        <v>0</v>
      </c>
      <c r="E2337" s="4">
        <v>52000000</v>
      </c>
      <c r="F2337" s="4" t="str">
        <f>_xlfn.LET(_xlpm.r, _xlfn.XLOOKUP(Clean_Data[[#This Row],[Country_Code]], Metadata_Country!$A:$A, Metadata_Country!$B:$B, "Unknown"), IF(OR(_xlpm.r=0, _xlpm.r=""), "Regional Aggregate", _xlpm.r))</f>
        <v>Europe &amp; Central Asia</v>
      </c>
      <c r="G2337" s="4" t="str">
        <f>_xlfn.LET(_xlpm.ig, _xlfn.XLOOKUP(Clean_Data[[#This Row],[Country_Code]], Metadata_Country!$A:$A, Metadata_Country!$C:$C, "Unknown"), IF(OR(_xlpm.ig=0, _xlpm.ig=""), "Regional Aggregate", _xlpm.ig))</f>
        <v>Upper middle income</v>
      </c>
      <c r="H2337" s="4">
        <f>Clean_Data[[#This Row],[Exports_TIV]] - Clean_Data[[#This Row],[Imports_TIV]]</f>
        <v>-52000000</v>
      </c>
      <c r="I2337" s="4">
        <f>Clean_Data[[#This Row],[Exports_TIV]] + Clean_Data[[#This Row],[Imports_TIV]]</f>
        <v>52000000</v>
      </c>
    </row>
    <row r="2338" spans="1:9">
      <c r="A2338" s="4" t="s">
        <v>35</v>
      </c>
      <c r="B2338" s="4" t="s">
        <v>36</v>
      </c>
      <c r="C2338" s="5">
        <v>2010</v>
      </c>
      <c r="D2338" s="4">
        <v>137000000</v>
      </c>
      <c r="E2338" s="4">
        <v>1558000000</v>
      </c>
      <c r="F2338" s="4" t="str">
        <f>_xlfn.LET(_xlpm.r, _xlfn.XLOOKUP(Clean_Data[[#This Row],[Country_Code]], Metadata_Country!$A:$A, Metadata_Country!$B:$B, "Unknown"), IF(OR(_xlpm.r=0, _xlpm.r=""), "Regional Aggregate", _xlpm.r))</f>
        <v>East Asia &amp; Pacific</v>
      </c>
      <c r="G2338" s="4" t="str">
        <f>_xlfn.LET(_xlpm.ig, _xlfn.XLOOKUP(Clean_Data[[#This Row],[Country_Code]], Metadata_Country!$A:$A, Metadata_Country!$C:$C, "Unknown"), IF(OR(_xlpm.ig=0, _xlpm.ig=""), "Regional Aggregate", _xlpm.ig))</f>
        <v>High income</v>
      </c>
      <c r="H2338" s="4">
        <f>Clean_Data[[#This Row],[Exports_TIV]] - Clean_Data[[#This Row],[Imports_TIV]]</f>
        <v>-1421000000</v>
      </c>
      <c r="I2338" s="4">
        <f>Clean_Data[[#This Row],[Exports_TIV]] + Clean_Data[[#This Row],[Imports_TIV]]</f>
        <v>1695000000</v>
      </c>
    </row>
    <row r="2339" spans="1:9">
      <c r="A2339" s="4" t="s">
        <v>37</v>
      </c>
      <c r="B2339" s="4" t="s">
        <v>38</v>
      </c>
      <c r="C2339" s="5">
        <v>2010</v>
      </c>
      <c r="D2339" s="4">
        <v>75000000</v>
      </c>
      <c r="E2339" s="4">
        <v>5000000</v>
      </c>
      <c r="F2339" s="4" t="str">
        <f>_xlfn.LET(_xlpm.r, _xlfn.XLOOKUP(Clean_Data[[#This Row],[Country_Code]], Metadata_Country!$A:$A, Metadata_Country!$B:$B, "Unknown"), IF(OR(_xlpm.r=0, _xlpm.r=""), "Regional Aggregate", _xlpm.r))</f>
        <v>Europe &amp; Central Asia</v>
      </c>
      <c r="G2339" s="4" t="str">
        <f>_xlfn.LET(_xlpm.ig, _xlfn.XLOOKUP(Clean_Data[[#This Row],[Country_Code]], Metadata_Country!$A:$A, Metadata_Country!$C:$C, "Unknown"), IF(OR(_xlpm.ig=0, _xlpm.ig=""), "Regional Aggregate", _xlpm.ig))</f>
        <v>High income</v>
      </c>
      <c r="H2339" s="4">
        <f>Clean_Data[[#This Row],[Exports_TIV]] - Clean_Data[[#This Row],[Imports_TIV]]</f>
        <v>70000000</v>
      </c>
      <c r="I2339" s="4">
        <f>Clean_Data[[#This Row],[Exports_TIV]] + Clean_Data[[#This Row],[Imports_TIV]]</f>
        <v>80000000</v>
      </c>
    </row>
    <row r="2340" spans="1:9">
      <c r="A2340" s="4" t="s">
        <v>39</v>
      </c>
      <c r="B2340" s="4" t="s">
        <v>40</v>
      </c>
      <c r="C2340" s="5">
        <v>2010</v>
      </c>
      <c r="D2340" s="4">
        <v>0</v>
      </c>
      <c r="E2340" s="4">
        <v>163000000</v>
      </c>
      <c r="F2340" s="4" t="str">
        <f>_xlfn.LET(_xlpm.r, _xlfn.XLOOKUP(Clean_Data[[#This Row],[Country_Code]], Metadata_Country!$A:$A, Metadata_Country!$B:$B, "Unknown"), IF(OR(_xlpm.r=0, _xlpm.r=""), "Regional Aggregate", _xlpm.r))</f>
        <v>Europe &amp; Central Asia</v>
      </c>
      <c r="G2340" s="4" t="str">
        <f>_xlfn.LET(_xlpm.ig, _xlfn.XLOOKUP(Clean_Data[[#This Row],[Country_Code]], Metadata_Country!$A:$A, Metadata_Country!$C:$C, "Unknown"), IF(OR(_xlpm.ig=0, _xlpm.ig=""), "Regional Aggregate", _xlpm.ig))</f>
        <v>Upper middle income</v>
      </c>
      <c r="H2340" s="4">
        <f>Clean_Data[[#This Row],[Exports_TIV]] - Clean_Data[[#This Row],[Imports_TIV]]</f>
        <v>-163000000</v>
      </c>
      <c r="I2340" s="4">
        <f>Clean_Data[[#This Row],[Exports_TIV]] + Clean_Data[[#This Row],[Imports_TIV]]</f>
        <v>163000000</v>
      </c>
    </row>
    <row r="2341" spans="1:9">
      <c r="A2341" s="4" t="s">
        <v>53</v>
      </c>
      <c r="B2341" s="4" t="s">
        <v>54</v>
      </c>
      <c r="C2341" s="5">
        <v>2010</v>
      </c>
      <c r="D2341" s="4">
        <v>0</v>
      </c>
      <c r="E2341" s="4">
        <v>98000000</v>
      </c>
      <c r="F2341" s="4" t="str">
        <f>_xlfn.LET(_xlpm.r, _xlfn.XLOOKUP(Clean_Data[[#This Row],[Country_Code]], Metadata_Country!$A:$A, Metadata_Country!$B:$B, "Unknown"), IF(OR(_xlpm.r=0, _xlpm.r=""), "Regional Aggregate", _xlpm.r))</f>
        <v>Middle East &amp; North Africa</v>
      </c>
      <c r="G2341" s="4" t="str">
        <f>_xlfn.LET(_xlpm.ig, _xlfn.XLOOKUP(Clean_Data[[#This Row],[Country_Code]], Metadata_Country!$A:$A, Metadata_Country!$C:$C, "Unknown"), IF(OR(_xlpm.ig=0, _xlpm.ig=""), "Regional Aggregate", _xlpm.ig))</f>
        <v>High income</v>
      </c>
      <c r="H2341" s="4">
        <f>Clean_Data[[#This Row],[Exports_TIV]] - Clean_Data[[#This Row],[Imports_TIV]]</f>
        <v>-98000000</v>
      </c>
      <c r="I2341" s="4">
        <f>Clean_Data[[#This Row],[Exports_TIV]] + Clean_Data[[#This Row],[Imports_TIV]]</f>
        <v>98000000</v>
      </c>
    </row>
    <row r="2342" spans="1:9">
      <c r="A2342" s="4" t="s">
        <v>49</v>
      </c>
      <c r="B2342" s="4" t="s">
        <v>50</v>
      </c>
      <c r="C2342" s="5">
        <v>2010</v>
      </c>
      <c r="D2342" s="4">
        <v>0</v>
      </c>
      <c r="E2342" s="4">
        <v>36000000</v>
      </c>
      <c r="F2342" s="4" t="str">
        <f>_xlfn.LET(_xlpm.r, _xlfn.XLOOKUP(Clean_Data[[#This Row],[Country_Code]], Metadata_Country!$A:$A, Metadata_Country!$B:$B, "Unknown"), IF(OR(_xlpm.r=0, _xlpm.r=""), "Regional Aggregate", _xlpm.r))</f>
        <v>South Asia</v>
      </c>
      <c r="G2342" s="4" t="str">
        <f>_xlfn.LET(_xlpm.ig, _xlfn.XLOOKUP(Clean_Data[[#This Row],[Country_Code]], Metadata_Country!$A:$A, Metadata_Country!$C:$C, "Unknown"), IF(OR(_xlpm.ig=0, _xlpm.ig=""), "Regional Aggregate", _xlpm.ig))</f>
        <v>Lower middle income</v>
      </c>
      <c r="H2342" s="4">
        <f>Clean_Data[[#This Row],[Exports_TIV]] - Clean_Data[[#This Row],[Imports_TIV]]</f>
        <v>-36000000</v>
      </c>
      <c r="I2342" s="4">
        <f>Clean_Data[[#This Row],[Exports_TIV]] + Clean_Data[[#This Row],[Imports_TIV]]</f>
        <v>36000000</v>
      </c>
    </row>
    <row r="2343" spans="1:9">
      <c r="A2343" s="4" t="s">
        <v>59</v>
      </c>
      <c r="B2343" s="4" t="s">
        <v>60</v>
      </c>
      <c r="C2343" s="5">
        <v>2010</v>
      </c>
      <c r="D2343" s="4">
        <v>161000000</v>
      </c>
      <c r="E2343" s="4">
        <v>0</v>
      </c>
      <c r="F2343" s="4" t="str">
        <f>_xlfn.LET(_xlpm.r, _xlfn.XLOOKUP(Clean_Data[[#This Row],[Country_Code]], Metadata_Country!$A:$A, Metadata_Country!$B:$B, "Unknown"), IF(OR(_xlpm.r=0, _xlpm.r=""), "Regional Aggregate", _xlpm.r))</f>
        <v>Europe &amp; Central Asia</v>
      </c>
      <c r="G2343" s="4" t="str">
        <f>_xlfn.LET(_xlpm.ig, _xlfn.XLOOKUP(Clean_Data[[#This Row],[Country_Code]], Metadata_Country!$A:$A, Metadata_Country!$C:$C, "Unknown"), IF(OR(_xlpm.ig=0, _xlpm.ig=""), "Regional Aggregate", _xlpm.ig))</f>
        <v>Upper middle income</v>
      </c>
      <c r="H2343" s="4">
        <f>Clean_Data[[#This Row],[Exports_TIV]] - Clean_Data[[#This Row],[Imports_TIV]]</f>
        <v>161000000</v>
      </c>
      <c r="I2343" s="4">
        <f>Clean_Data[[#This Row],[Exports_TIV]] + Clean_Data[[#This Row],[Imports_TIV]]</f>
        <v>161000000</v>
      </c>
    </row>
    <row r="2344" spans="1:9">
      <c r="A2344" s="4" t="s">
        <v>43</v>
      </c>
      <c r="B2344" s="4" t="s">
        <v>44</v>
      </c>
      <c r="C2344" s="5">
        <v>2010</v>
      </c>
      <c r="D2344" s="4">
        <v>11000000</v>
      </c>
      <c r="E2344" s="4">
        <v>40000000</v>
      </c>
      <c r="F2344" s="4" t="str">
        <f>_xlfn.LET(_xlpm.r, _xlfn.XLOOKUP(Clean_Data[[#This Row],[Country_Code]], Metadata_Country!$A:$A, Metadata_Country!$B:$B, "Unknown"), IF(OR(_xlpm.r=0, _xlpm.r=""), "Regional Aggregate", _xlpm.r))</f>
        <v>Europe &amp; Central Asia</v>
      </c>
      <c r="G2344" s="4" t="str">
        <f>_xlfn.LET(_xlpm.ig, _xlfn.XLOOKUP(Clean_Data[[#This Row],[Country_Code]], Metadata_Country!$A:$A, Metadata_Country!$C:$C, "Unknown"), IF(OR(_xlpm.ig=0, _xlpm.ig=""), "Regional Aggregate", _xlpm.ig))</f>
        <v>High income</v>
      </c>
      <c r="H2344" s="4">
        <f>Clean_Data[[#This Row],[Exports_TIV]] - Clean_Data[[#This Row],[Imports_TIV]]</f>
        <v>-29000000</v>
      </c>
      <c r="I2344" s="4">
        <f>Clean_Data[[#This Row],[Exports_TIV]] + Clean_Data[[#This Row],[Imports_TIV]]</f>
        <v>51000000</v>
      </c>
    </row>
    <row r="2345" spans="1:9">
      <c r="A2345" s="4" t="s">
        <v>45</v>
      </c>
      <c r="B2345" s="4" t="s">
        <v>46</v>
      </c>
      <c r="C2345" s="5">
        <v>2010</v>
      </c>
      <c r="D2345" s="4">
        <v>0</v>
      </c>
      <c r="E2345" s="4">
        <v>0</v>
      </c>
      <c r="F2345" s="4" t="str">
        <f>_xlfn.LET(_xlpm.r, _xlfn.XLOOKUP(Clean_Data[[#This Row],[Country_Code]], Metadata_Country!$A:$A, Metadata_Country!$B:$B, "Unknown"), IF(OR(_xlpm.r=0, _xlpm.r=""), "Regional Aggregate", _xlpm.r))</f>
        <v>Sub-Saharan Africa</v>
      </c>
      <c r="G2345" s="4" t="str">
        <f>_xlfn.LET(_xlpm.ig, _xlfn.XLOOKUP(Clean_Data[[#This Row],[Country_Code]], Metadata_Country!$A:$A, Metadata_Country!$C:$C, "Unknown"), IF(OR(_xlpm.ig=0, _xlpm.ig=""), "Regional Aggregate", _xlpm.ig))</f>
        <v>Lower middle income</v>
      </c>
      <c r="H2345" s="4">
        <f>Clean_Data[[#This Row],[Exports_TIV]] - Clean_Data[[#This Row],[Imports_TIV]]</f>
        <v>0</v>
      </c>
      <c r="I2345" s="4">
        <f>Clean_Data[[#This Row],[Exports_TIV]] + Clean_Data[[#This Row],[Imports_TIV]]</f>
        <v>0</v>
      </c>
    </row>
    <row r="2346" spans="1:9">
      <c r="A2346" s="4" t="s">
        <v>65</v>
      </c>
      <c r="B2346" s="4" t="s">
        <v>66</v>
      </c>
      <c r="C2346" s="5">
        <v>2010</v>
      </c>
      <c r="D2346" s="4">
        <v>0</v>
      </c>
      <c r="E2346" s="4">
        <v>1000000</v>
      </c>
      <c r="F2346" s="4" t="str">
        <f>_xlfn.LET(_xlpm.r, _xlfn.XLOOKUP(Clean_Data[[#This Row],[Country_Code]], Metadata_Country!$A:$A, Metadata_Country!$B:$B, "Unknown"), IF(OR(_xlpm.r=0, _xlpm.r=""), "Regional Aggregate", _xlpm.r))</f>
        <v>Latin America &amp; Caribbean</v>
      </c>
      <c r="G2346" s="4" t="str">
        <f>_xlfn.LET(_xlpm.ig, _xlfn.XLOOKUP(Clean_Data[[#This Row],[Country_Code]], Metadata_Country!$A:$A, Metadata_Country!$C:$C, "Unknown"), IF(OR(_xlpm.ig=0, _xlpm.ig=""), "Regional Aggregate", _xlpm.ig))</f>
        <v>Lower middle income</v>
      </c>
      <c r="H2346" s="4">
        <f>Clean_Data[[#This Row],[Exports_TIV]] - Clean_Data[[#This Row],[Imports_TIV]]</f>
        <v>-1000000</v>
      </c>
      <c r="I2346" s="4">
        <f>Clean_Data[[#This Row],[Exports_TIV]] + Clean_Data[[#This Row],[Imports_TIV]]</f>
        <v>1000000</v>
      </c>
    </row>
    <row r="2347" spans="1:9">
      <c r="A2347" s="4" t="s">
        <v>57</v>
      </c>
      <c r="B2347" s="4" t="s">
        <v>58</v>
      </c>
      <c r="C2347" s="5">
        <v>2010</v>
      </c>
      <c r="D2347" s="4">
        <v>0</v>
      </c>
      <c r="E2347" s="4">
        <v>0</v>
      </c>
      <c r="F2347" s="4" t="str">
        <f>_xlfn.LET(_xlpm.r, _xlfn.XLOOKUP(Clean_Data[[#This Row],[Country_Code]], Metadata_Country!$A:$A, Metadata_Country!$B:$B, "Unknown"), IF(OR(_xlpm.r=0, _xlpm.r=""), "Regional Aggregate", _xlpm.r))</f>
        <v>Europe &amp; Central Asia</v>
      </c>
      <c r="G2347" s="4" t="str">
        <f>_xlfn.LET(_xlpm.ig, _xlfn.XLOOKUP(Clean_Data[[#This Row],[Country_Code]], Metadata_Country!$A:$A, Metadata_Country!$C:$C, "Unknown"), IF(OR(_xlpm.ig=0, _xlpm.ig=""), "Regional Aggregate", _xlpm.ig))</f>
        <v>Upper middle income</v>
      </c>
      <c r="H2347" s="4">
        <f>Clean_Data[[#This Row],[Exports_TIV]] - Clean_Data[[#This Row],[Imports_TIV]]</f>
        <v>0</v>
      </c>
      <c r="I2347" s="4">
        <f>Clean_Data[[#This Row],[Exports_TIV]] + Clean_Data[[#This Row],[Imports_TIV]]</f>
        <v>0</v>
      </c>
    </row>
    <row r="2348" spans="1:9">
      <c r="A2348" s="4" t="s">
        <v>75</v>
      </c>
      <c r="B2348" s="4" t="s">
        <v>76</v>
      </c>
      <c r="C2348" s="5">
        <v>2010</v>
      </c>
      <c r="D2348" s="4">
        <v>0</v>
      </c>
      <c r="E2348" s="4">
        <v>10000000</v>
      </c>
      <c r="F2348" s="4" t="str">
        <f>_xlfn.LET(_xlpm.r, _xlfn.XLOOKUP(Clean_Data[[#This Row],[Country_Code]], Metadata_Country!$A:$A, Metadata_Country!$B:$B, "Unknown"), IF(OR(_xlpm.r=0, _xlpm.r=""), "Regional Aggregate", _xlpm.r))</f>
        <v>Sub-Saharan Africa</v>
      </c>
      <c r="G2348" s="4" t="str">
        <f>_xlfn.LET(_xlpm.ig, _xlfn.XLOOKUP(Clean_Data[[#This Row],[Country_Code]], Metadata_Country!$A:$A, Metadata_Country!$C:$C, "Unknown"), IF(OR(_xlpm.ig=0, _xlpm.ig=""), "Regional Aggregate", _xlpm.ig))</f>
        <v>Upper middle income</v>
      </c>
      <c r="H2348" s="4">
        <f>Clean_Data[[#This Row],[Exports_TIV]] - Clean_Data[[#This Row],[Imports_TIV]]</f>
        <v>-10000000</v>
      </c>
      <c r="I2348" s="4">
        <f>Clean_Data[[#This Row],[Exports_TIV]] + Clean_Data[[#This Row],[Imports_TIV]]</f>
        <v>10000000</v>
      </c>
    </row>
    <row r="2349" spans="1:9">
      <c r="A2349" s="4" t="s">
        <v>67</v>
      </c>
      <c r="B2349" s="4" t="s">
        <v>68</v>
      </c>
      <c r="C2349" s="5">
        <v>2010</v>
      </c>
      <c r="D2349" s="4">
        <v>147000000</v>
      </c>
      <c r="E2349" s="4">
        <v>256000000</v>
      </c>
      <c r="F2349" s="4" t="str">
        <f>_xlfn.LET(_xlpm.r, _xlfn.XLOOKUP(Clean_Data[[#This Row],[Country_Code]], Metadata_Country!$A:$A, Metadata_Country!$B:$B, "Unknown"), IF(OR(_xlpm.r=0, _xlpm.r=""), "Regional Aggregate", _xlpm.r))</f>
        <v>Latin America &amp; Caribbean</v>
      </c>
      <c r="G2349" s="4" t="str">
        <f>_xlfn.LET(_xlpm.ig, _xlfn.XLOOKUP(Clean_Data[[#This Row],[Country_Code]], Metadata_Country!$A:$A, Metadata_Country!$C:$C, "Unknown"), IF(OR(_xlpm.ig=0, _xlpm.ig=""), "Regional Aggregate", _xlpm.ig))</f>
        <v>Upper middle income</v>
      </c>
      <c r="H2349" s="4">
        <f>Clean_Data[[#This Row],[Exports_TIV]] - Clean_Data[[#This Row],[Imports_TIV]]</f>
        <v>-109000000</v>
      </c>
      <c r="I2349" s="4">
        <f>Clean_Data[[#This Row],[Exports_TIV]] + Clean_Data[[#This Row],[Imports_TIV]]</f>
        <v>403000000</v>
      </c>
    </row>
    <row r="2350" spans="1:9">
      <c r="A2350" s="4" t="s">
        <v>71</v>
      </c>
      <c r="B2350" s="4" t="s">
        <v>72</v>
      </c>
      <c r="C2350" s="5">
        <v>2010</v>
      </c>
      <c r="D2350" s="4">
        <v>0</v>
      </c>
      <c r="E2350" s="4">
        <v>33000000</v>
      </c>
      <c r="F2350" s="4" t="str">
        <f>_xlfn.LET(_xlpm.r, _xlfn.XLOOKUP(Clean_Data[[#This Row],[Country_Code]], Metadata_Country!$A:$A, Metadata_Country!$B:$B, "Unknown"), IF(OR(_xlpm.r=0, _xlpm.r=""), "Regional Aggregate", _xlpm.r))</f>
        <v>East Asia &amp; Pacific</v>
      </c>
      <c r="G2350" s="4" t="str">
        <f>_xlfn.LET(_xlpm.ig, _xlfn.XLOOKUP(Clean_Data[[#This Row],[Country_Code]], Metadata_Country!$A:$A, Metadata_Country!$C:$C, "Unknown"), IF(OR(_xlpm.ig=0, _xlpm.ig=""), "Regional Aggregate", _xlpm.ig))</f>
        <v>High income</v>
      </c>
      <c r="H2350" s="4">
        <f>Clean_Data[[#This Row],[Exports_TIV]] - Clean_Data[[#This Row],[Imports_TIV]]</f>
        <v>-33000000</v>
      </c>
      <c r="I2350" s="4">
        <f>Clean_Data[[#This Row],[Exports_TIV]] + Clean_Data[[#This Row],[Imports_TIV]]</f>
        <v>33000000</v>
      </c>
    </row>
    <row r="2351" spans="1:9">
      <c r="A2351" s="4" t="s">
        <v>51</v>
      </c>
      <c r="B2351" s="4" t="s">
        <v>52</v>
      </c>
      <c r="C2351" s="5">
        <v>2010</v>
      </c>
      <c r="D2351" s="4">
        <v>4000000</v>
      </c>
      <c r="E2351" s="4">
        <v>8000000</v>
      </c>
      <c r="F2351" s="4" t="str">
        <f>_xlfn.LET(_xlpm.r, _xlfn.XLOOKUP(Clean_Data[[#This Row],[Country_Code]], Metadata_Country!$A:$A, Metadata_Country!$B:$B, "Unknown"), IF(OR(_xlpm.r=0, _xlpm.r=""), "Regional Aggregate", _xlpm.r))</f>
        <v>Europe &amp; Central Asia</v>
      </c>
      <c r="G2351" s="4" t="str">
        <f>_xlfn.LET(_xlpm.ig, _xlfn.XLOOKUP(Clean_Data[[#This Row],[Country_Code]], Metadata_Country!$A:$A, Metadata_Country!$C:$C, "Unknown"), IF(OR(_xlpm.ig=0, _xlpm.ig=""), "Regional Aggregate", _xlpm.ig))</f>
        <v>High income</v>
      </c>
      <c r="H2351" s="4">
        <f>Clean_Data[[#This Row],[Exports_TIV]] - Clean_Data[[#This Row],[Imports_TIV]]</f>
        <v>-4000000</v>
      </c>
      <c r="I2351" s="4">
        <f>Clean_Data[[#This Row],[Exports_TIV]] + Clean_Data[[#This Row],[Imports_TIV]]</f>
        <v>12000000</v>
      </c>
    </row>
    <row r="2352" spans="1:9">
      <c r="A2352" s="4" t="s">
        <v>47</v>
      </c>
      <c r="B2352" s="4" t="s">
        <v>48</v>
      </c>
      <c r="C2352" s="5">
        <v>2010</v>
      </c>
      <c r="D2352" s="4">
        <v>0</v>
      </c>
      <c r="E2352" s="4">
        <v>0</v>
      </c>
      <c r="F2352" s="4" t="str">
        <f>_xlfn.LET(_xlpm.r, _xlfn.XLOOKUP(Clean_Data[[#This Row],[Country_Code]], Metadata_Country!$A:$A, Metadata_Country!$B:$B, "Unknown"), IF(OR(_xlpm.r=0, _xlpm.r=""), "Regional Aggregate", _xlpm.r))</f>
        <v>Sub-Saharan Africa</v>
      </c>
      <c r="G2352" s="4" t="str">
        <f>_xlfn.LET(_xlpm.ig, _xlfn.XLOOKUP(Clean_Data[[#This Row],[Country_Code]], Metadata_Country!$A:$A, Metadata_Country!$C:$C, "Unknown"), IF(OR(_xlpm.ig=0, _xlpm.ig=""), "Regional Aggregate", _xlpm.ig))</f>
        <v>Low income</v>
      </c>
      <c r="H2352" s="4">
        <f>Clean_Data[[#This Row],[Exports_TIV]] - Clean_Data[[#This Row],[Imports_TIV]]</f>
        <v>0</v>
      </c>
      <c r="I2352" s="4">
        <f>Clean_Data[[#This Row],[Exports_TIV]] + Clean_Data[[#This Row],[Imports_TIV]]</f>
        <v>0</v>
      </c>
    </row>
    <row r="2353" spans="1:9">
      <c r="A2353" s="4" t="s">
        <v>41</v>
      </c>
      <c r="B2353" s="4" t="s">
        <v>42</v>
      </c>
      <c r="C2353" s="5">
        <v>2010</v>
      </c>
      <c r="D2353" s="4">
        <v>0</v>
      </c>
      <c r="E2353" s="4">
        <v>2000000</v>
      </c>
      <c r="F2353" s="4" t="str">
        <f>_xlfn.LET(_xlpm.r, _xlfn.XLOOKUP(Clean_Data[[#This Row],[Country_Code]], Metadata_Country!$A:$A, Metadata_Country!$B:$B, "Unknown"), IF(OR(_xlpm.r=0, _xlpm.r=""), "Regional Aggregate", _xlpm.r))</f>
        <v>Sub-Saharan Africa</v>
      </c>
      <c r="G2353" s="4" t="str">
        <f>_xlfn.LET(_xlpm.ig, _xlfn.XLOOKUP(Clean_Data[[#This Row],[Country_Code]], Metadata_Country!$A:$A, Metadata_Country!$C:$C, "Unknown"), IF(OR(_xlpm.ig=0, _xlpm.ig=""), "Regional Aggregate", _xlpm.ig))</f>
        <v>Low income</v>
      </c>
      <c r="H2353" s="4">
        <f>Clean_Data[[#This Row],[Exports_TIV]] - Clean_Data[[#This Row],[Imports_TIV]]</f>
        <v>-2000000</v>
      </c>
      <c r="I2353" s="4">
        <f>Clean_Data[[#This Row],[Exports_TIV]] + Clean_Data[[#This Row],[Imports_TIV]]</f>
        <v>2000000</v>
      </c>
    </row>
    <row r="2354" spans="1:9">
      <c r="A2354" s="4" t="s">
        <v>255</v>
      </c>
      <c r="B2354" s="4" t="s">
        <v>256</v>
      </c>
      <c r="C2354" s="5">
        <v>2010</v>
      </c>
      <c r="D2354" s="4">
        <v>0</v>
      </c>
      <c r="E2354" s="4">
        <v>34000000</v>
      </c>
      <c r="F2354" s="4" t="str">
        <f>_xlfn.LET(_xlpm.r, _xlfn.XLOOKUP(Clean_Data[[#This Row],[Country_Code]], Metadata_Country!$A:$A, Metadata_Country!$B:$B, "Unknown"), IF(OR(_xlpm.r=0, _xlpm.r=""), "Regional Aggregate", _xlpm.r))</f>
        <v>East Asia &amp; Pacific</v>
      </c>
      <c r="G2354" s="4" t="str">
        <f>_xlfn.LET(_xlpm.ig, _xlfn.XLOOKUP(Clean_Data[[#This Row],[Country_Code]], Metadata_Country!$A:$A, Metadata_Country!$C:$C, "Unknown"), IF(OR(_xlpm.ig=0, _xlpm.ig=""), "Regional Aggregate", _xlpm.ig))</f>
        <v>Lower middle income</v>
      </c>
      <c r="H2354" s="4">
        <f>Clean_Data[[#This Row],[Exports_TIV]] - Clean_Data[[#This Row],[Imports_TIV]]</f>
        <v>-34000000</v>
      </c>
      <c r="I2354" s="4">
        <f>Clean_Data[[#This Row],[Exports_TIV]] + Clean_Data[[#This Row],[Imports_TIV]]</f>
        <v>34000000</v>
      </c>
    </row>
    <row r="2355" spans="1:9">
      <c r="A2355" s="4" t="s">
        <v>93</v>
      </c>
      <c r="B2355" s="4" t="s">
        <v>94</v>
      </c>
      <c r="C2355" s="5">
        <v>2010</v>
      </c>
      <c r="D2355" s="4">
        <v>0</v>
      </c>
      <c r="E2355" s="4">
        <v>10000000</v>
      </c>
      <c r="F2355" s="4" t="str">
        <f>_xlfn.LET(_xlpm.r, _xlfn.XLOOKUP(Clean_Data[[#This Row],[Country_Code]], Metadata_Country!$A:$A, Metadata_Country!$B:$B, "Unknown"), IF(OR(_xlpm.r=0, _xlpm.r=""), "Regional Aggregate", _xlpm.r))</f>
        <v>Sub-Saharan Africa</v>
      </c>
      <c r="G2355" s="4" t="str">
        <f>_xlfn.LET(_xlpm.ig, _xlfn.XLOOKUP(Clean_Data[[#This Row],[Country_Code]], Metadata_Country!$A:$A, Metadata_Country!$C:$C, "Unknown"), IF(OR(_xlpm.ig=0, _xlpm.ig=""), "Regional Aggregate", _xlpm.ig))</f>
        <v>Lower middle income</v>
      </c>
      <c r="H2355" s="4">
        <f>Clean_Data[[#This Row],[Exports_TIV]] - Clean_Data[[#This Row],[Imports_TIV]]</f>
        <v>-10000000</v>
      </c>
      <c r="I2355" s="4">
        <f>Clean_Data[[#This Row],[Exports_TIV]] + Clean_Data[[#This Row],[Imports_TIV]]</f>
        <v>10000000</v>
      </c>
    </row>
    <row r="2356" spans="1:9">
      <c r="A2356" s="4" t="s">
        <v>79</v>
      </c>
      <c r="B2356" s="4" t="s">
        <v>80</v>
      </c>
      <c r="C2356" s="5">
        <v>2010</v>
      </c>
      <c r="D2356" s="4">
        <v>196000000</v>
      </c>
      <c r="E2356" s="4">
        <v>242000000</v>
      </c>
      <c r="F2356" s="4" t="str">
        <f>_xlfn.LET(_xlpm.r, _xlfn.XLOOKUP(Clean_Data[[#This Row],[Country_Code]], Metadata_Country!$A:$A, Metadata_Country!$B:$B, "Unknown"), IF(OR(_xlpm.r=0, _xlpm.r=""), "Regional Aggregate", _xlpm.r))</f>
        <v>North America</v>
      </c>
      <c r="G2356" s="4" t="str">
        <f>_xlfn.LET(_xlpm.ig, _xlfn.XLOOKUP(Clean_Data[[#This Row],[Country_Code]], Metadata_Country!$A:$A, Metadata_Country!$C:$C, "Unknown"), IF(OR(_xlpm.ig=0, _xlpm.ig=""), "Regional Aggregate", _xlpm.ig))</f>
        <v>High income</v>
      </c>
      <c r="H2356" s="4">
        <f>Clean_Data[[#This Row],[Exports_TIV]] - Clean_Data[[#This Row],[Imports_TIV]]</f>
        <v>-46000000</v>
      </c>
      <c r="I2356" s="4">
        <f>Clean_Data[[#This Row],[Exports_TIV]] + Clean_Data[[#This Row],[Imports_TIV]]</f>
        <v>438000000</v>
      </c>
    </row>
    <row r="2357" spans="1:9">
      <c r="A2357" s="4" t="s">
        <v>81</v>
      </c>
      <c r="B2357" s="4" t="s">
        <v>82</v>
      </c>
      <c r="C2357" s="5">
        <v>2010</v>
      </c>
      <c r="D2357" s="4">
        <v>0</v>
      </c>
      <c r="E2357" s="4">
        <v>453000000</v>
      </c>
      <c r="F2357" s="4" t="str">
        <f>_xlfn.LET(_xlpm.r, _xlfn.XLOOKUP(Clean_Data[[#This Row],[Country_Code]], Metadata_Country!$A:$A, Metadata_Country!$B:$B, "Unknown"), IF(OR(_xlpm.r=0, _xlpm.r=""), "Regional Aggregate", _xlpm.r))</f>
        <v>Regional Aggregate</v>
      </c>
      <c r="G2357" s="4" t="str">
        <f>_xlfn.LET(_xlpm.ig, _xlfn.XLOOKUP(Clean_Data[[#This Row],[Country_Code]], Metadata_Country!$A:$A, Metadata_Country!$C:$C, "Unknown"), IF(OR(_xlpm.ig=0, _xlpm.ig=""), "Regional Aggregate", _xlpm.ig))</f>
        <v>Regional Aggregate</v>
      </c>
      <c r="H2357" s="4">
        <f>Clean_Data[[#This Row],[Exports_TIV]] - Clean_Data[[#This Row],[Imports_TIV]]</f>
        <v>-453000000</v>
      </c>
      <c r="I2357" s="4">
        <f>Clean_Data[[#This Row],[Exports_TIV]] + Clean_Data[[#This Row],[Imports_TIV]]</f>
        <v>453000000</v>
      </c>
    </row>
    <row r="2358" spans="1:9">
      <c r="A2358" s="4" t="s">
        <v>467</v>
      </c>
      <c r="B2358" s="4" t="s">
        <v>468</v>
      </c>
      <c r="C2358" s="5">
        <v>2010</v>
      </c>
      <c r="D2358" s="4">
        <v>0</v>
      </c>
      <c r="E2358" s="4">
        <v>43000000</v>
      </c>
      <c r="F2358" s="4" t="str">
        <f>_xlfn.LET(_xlpm.r, _xlfn.XLOOKUP(Clean_Data[[#This Row],[Country_Code]], Metadata_Country!$A:$A, Metadata_Country!$B:$B, "Unknown"), IF(OR(_xlpm.r=0, _xlpm.r=""), "Regional Aggregate", _xlpm.r))</f>
        <v>Sub-Saharan Africa</v>
      </c>
      <c r="G2358" s="4" t="str">
        <f>_xlfn.LET(_xlpm.ig, _xlfn.XLOOKUP(Clean_Data[[#This Row],[Country_Code]], Metadata_Country!$A:$A, Metadata_Country!$C:$C, "Unknown"), IF(OR(_xlpm.ig=0, _xlpm.ig=""), "Regional Aggregate", _xlpm.ig))</f>
        <v>Low income</v>
      </c>
      <c r="H2358" s="4">
        <f>Clean_Data[[#This Row],[Exports_TIV]] - Clean_Data[[#This Row],[Imports_TIV]]</f>
        <v>-43000000</v>
      </c>
      <c r="I2358" s="4">
        <f>Clean_Data[[#This Row],[Exports_TIV]] + Clean_Data[[#This Row],[Imports_TIV]]</f>
        <v>43000000</v>
      </c>
    </row>
    <row r="2359" spans="1:9">
      <c r="A2359" s="4" t="s">
        <v>87</v>
      </c>
      <c r="B2359" s="4" t="s">
        <v>88</v>
      </c>
      <c r="C2359" s="5">
        <v>2010</v>
      </c>
      <c r="D2359" s="4">
        <v>0</v>
      </c>
      <c r="E2359" s="4">
        <v>474000000</v>
      </c>
      <c r="F2359" s="4" t="str">
        <f>_xlfn.LET(_xlpm.r, _xlfn.XLOOKUP(Clean_Data[[#This Row],[Country_Code]], Metadata_Country!$A:$A, Metadata_Country!$B:$B, "Unknown"), IF(OR(_xlpm.r=0, _xlpm.r=""), "Regional Aggregate", _xlpm.r))</f>
        <v>Latin America &amp; Caribbean</v>
      </c>
      <c r="G2359" s="4" t="str">
        <f>_xlfn.LET(_xlpm.ig, _xlfn.XLOOKUP(Clean_Data[[#This Row],[Country_Code]], Metadata_Country!$A:$A, Metadata_Country!$C:$C, "Unknown"), IF(OR(_xlpm.ig=0, _xlpm.ig=""), "Regional Aggregate", _xlpm.ig))</f>
        <v>High income</v>
      </c>
      <c r="H2359" s="4">
        <f>Clean_Data[[#This Row],[Exports_TIV]] - Clean_Data[[#This Row],[Imports_TIV]]</f>
        <v>-474000000</v>
      </c>
      <c r="I2359" s="4">
        <f>Clean_Data[[#This Row],[Exports_TIV]] + Clean_Data[[#This Row],[Imports_TIV]]</f>
        <v>474000000</v>
      </c>
    </row>
    <row r="2360" spans="1:9">
      <c r="A2360" s="4" t="s">
        <v>89</v>
      </c>
      <c r="B2360" s="4" t="s">
        <v>90</v>
      </c>
      <c r="C2360" s="5">
        <v>2010</v>
      </c>
      <c r="D2360" s="4">
        <v>1531000000</v>
      </c>
      <c r="E2360" s="4">
        <v>940000000</v>
      </c>
      <c r="F2360" s="4" t="str">
        <f>_xlfn.LET(_xlpm.r, _xlfn.XLOOKUP(Clean_Data[[#This Row],[Country_Code]], Metadata_Country!$A:$A, Metadata_Country!$B:$B, "Unknown"), IF(OR(_xlpm.r=0, _xlpm.r=""), "Regional Aggregate", _xlpm.r))</f>
        <v>East Asia &amp; Pacific</v>
      </c>
      <c r="G2360" s="4" t="str">
        <f>_xlfn.LET(_xlpm.ig, _xlfn.XLOOKUP(Clean_Data[[#This Row],[Country_Code]], Metadata_Country!$A:$A, Metadata_Country!$C:$C, "Unknown"), IF(OR(_xlpm.ig=0, _xlpm.ig=""), "Regional Aggregate", _xlpm.ig))</f>
        <v>Upper middle income</v>
      </c>
      <c r="H2360" s="4">
        <f>Clean_Data[[#This Row],[Exports_TIV]] - Clean_Data[[#This Row],[Imports_TIV]]</f>
        <v>591000000</v>
      </c>
      <c r="I2360" s="4">
        <f>Clean_Data[[#This Row],[Exports_TIV]] + Clean_Data[[#This Row],[Imports_TIV]]</f>
        <v>2471000000</v>
      </c>
    </row>
    <row r="2361" spans="1:9">
      <c r="A2361" s="4" t="s">
        <v>99</v>
      </c>
      <c r="B2361" s="4" t="s">
        <v>100</v>
      </c>
      <c r="C2361" s="5">
        <v>2010</v>
      </c>
      <c r="D2361" s="4">
        <v>0</v>
      </c>
      <c r="E2361" s="4">
        <v>259000000</v>
      </c>
      <c r="F2361" s="4" t="str">
        <f>_xlfn.LET(_xlpm.r, _xlfn.XLOOKUP(Clean_Data[[#This Row],[Country_Code]], Metadata_Country!$A:$A, Metadata_Country!$B:$B, "Unknown"), IF(OR(_xlpm.r=0, _xlpm.r=""), "Regional Aggregate", _xlpm.r))</f>
        <v>Latin America &amp; Caribbean</v>
      </c>
      <c r="G2361" s="4" t="str">
        <f>_xlfn.LET(_xlpm.ig, _xlfn.XLOOKUP(Clean_Data[[#This Row],[Country_Code]], Metadata_Country!$A:$A, Metadata_Country!$C:$C, "Unknown"), IF(OR(_xlpm.ig=0, _xlpm.ig=""), "Regional Aggregate", _xlpm.ig))</f>
        <v>Upper middle income</v>
      </c>
      <c r="H2361" s="4">
        <f>Clean_Data[[#This Row],[Exports_TIV]] - Clean_Data[[#This Row],[Imports_TIV]]</f>
        <v>-259000000</v>
      </c>
      <c r="I2361" s="4">
        <f>Clean_Data[[#This Row],[Exports_TIV]] + Clean_Data[[#This Row],[Imports_TIV]]</f>
        <v>259000000</v>
      </c>
    </row>
    <row r="2362" spans="1:9">
      <c r="A2362" s="4" t="s">
        <v>95</v>
      </c>
      <c r="B2362" s="4" t="s">
        <v>96</v>
      </c>
      <c r="C2362" s="5">
        <v>2010</v>
      </c>
      <c r="D2362" s="4">
        <v>0</v>
      </c>
      <c r="E2362" s="4">
        <v>156000000</v>
      </c>
      <c r="F2362" s="4" t="str">
        <f>_xlfn.LET(_xlpm.r, _xlfn.XLOOKUP(Clean_Data[[#This Row],[Country_Code]], Metadata_Country!$A:$A, Metadata_Country!$B:$B, "Unknown"), IF(OR(_xlpm.r=0, _xlpm.r=""), "Regional Aggregate", _xlpm.r))</f>
        <v>Sub-Saharan Africa</v>
      </c>
      <c r="G2362" s="4" t="str">
        <f>_xlfn.LET(_xlpm.ig, _xlfn.XLOOKUP(Clean_Data[[#This Row],[Country_Code]], Metadata_Country!$A:$A, Metadata_Country!$C:$C, "Unknown"), IF(OR(_xlpm.ig=0, _xlpm.ig=""), "Regional Aggregate", _xlpm.ig))</f>
        <v>Low income</v>
      </c>
      <c r="H2362" s="4">
        <f>Clean_Data[[#This Row],[Exports_TIV]] - Clean_Data[[#This Row],[Imports_TIV]]</f>
        <v>-156000000</v>
      </c>
      <c r="I2362" s="4">
        <f>Clean_Data[[#This Row],[Exports_TIV]] + Clean_Data[[#This Row],[Imports_TIV]]</f>
        <v>156000000</v>
      </c>
    </row>
    <row r="2363" spans="1:9">
      <c r="A2363" s="4" t="s">
        <v>97</v>
      </c>
      <c r="B2363" s="4" t="s">
        <v>98</v>
      </c>
      <c r="C2363" s="5">
        <v>2010</v>
      </c>
      <c r="D2363" s="4">
        <v>0</v>
      </c>
      <c r="E2363" s="4">
        <v>32000000</v>
      </c>
      <c r="F2363" s="4" t="str">
        <f>_xlfn.LET(_xlpm.r, _xlfn.XLOOKUP(Clean_Data[[#This Row],[Country_Code]], Metadata_Country!$A:$A, Metadata_Country!$B:$B, "Unknown"), IF(OR(_xlpm.r=0, _xlpm.r=""), "Regional Aggregate", _xlpm.r))</f>
        <v>Sub-Saharan Africa</v>
      </c>
      <c r="G2363" s="4" t="str">
        <f>_xlfn.LET(_xlpm.ig, _xlfn.XLOOKUP(Clean_Data[[#This Row],[Country_Code]], Metadata_Country!$A:$A, Metadata_Country!$C:$C, "Unknown"), IF(OR(_xlpm.ig=0, _xlpm.ig=""), "Regional Aggregate", _xlpm.ig))</f>
        <v>Lower middle income</v>
      </c>
      <c r="H2363" s="4">
        <f>Clean_Data[[#This Row],[Exports_TIV]] - Clean_Data[[#This Row],[Imports_TIV]]</f>
        <v>-32000000</v>
      </c>
      <c r="I2363" s="4">
        <f>Clean_Data[[#This Row],[Exports_TIV]] + Clean_Data[[#This Row],[Imports_TIV]]</f>
        <v>32000000</v>
      </c>
    </row>
    <row r="2364" spans="1:9">
      <c r="A2364" s="4" t="s">
        <v>207</v>
      </c>
      <c r="B2364" s="4" t="s">
        <v>208</v>
      </c>
      <c r="C2364" s="5">
        <v>2010</v>
      </c>
      <c r="D2364" s="4">
        <v>0</v>
      </c>
      <c r="E2364" s="4">
        <v>10000000</v>
      </c>
      <c r="F2364" s="4" t="str">
        <f>_xlfn.LET(_xlpm.r, _xlfn.XLOOKUP(Clean_Data[[#This Row],[Country_Code]], Metadata_Country!$A:$A, Metadata_Country!$B:$B, "Unknown"), IF(OR(_xlpm.r=0, _xlpm.r=""), "Regional Aggregate", _xlpm.r))</f>
        <v>Europe &amp; Central Asia</v>
      </c>
      <c r="G2364" s="4" t="str">
        <f>_xlfn.LET(_xlpm.ig, _xlfn.XLOOKUP(Clean_Data[[#This Row],[Country_Code]], Metadata_Country!$A:$A, Metadata_Country!$C:$C, "Unknown"), IF(OR(_xlpm.ig=0, _xlpm.ig=""), "Regional Aggregate", _xlpm.ig))</f>
        <v>High income</v>
      </c>
      <c r="H2364" s="4">
        <f>Clean_Data[[#This Row],[Exports_TIV]] - Clean_Data[[#This Row],[Imports_TIV]]</f>
        <v>-10000000</v>
      </c>
      <c r="I2364" s="4">
        <f>Clean_Data[[#This Row],[Exports_TIV]] + Clean_Data[[#This Row],[Imports_TIV]]</f>
        <v>10000000</v>
      </c>
    </row>
    <row r="2365" spans="1:9">
      <c r="A2365" s="4" t="s">
        <v>115</v>
      </c>
      <c r="B2365" s="4" t="s">
        <v>116</v>
      </c>
      <c r="C2365" s="5">
        <v>2010</v>
      </c>
      <c r="D2365" s="4">
        <v>0</v>
      </c>
      <c r="E2365" s="4">
        <v>44000000</v>
      </c>
      <c r="F2365" s="4" t="str">
        <f>_xlfn.LET(_xlpm.r, _xlfn.XLOOKUP(Clean_Data[[#This Row],[Country_Code]], Metadata_Country!$A:$A, Metadata_Country!$B:$B, "Unknown"), IF(OR(_xlpm.r=0, _xlpm.r=""), "Regional Aggregate", _xlpm.r))</f>
        <v>Europe &amp; Central Asia</v>
      </c>
      <c r="G2365" s="4" t="str">
        <f>_xlfn.LET(_xlpm.ig, _xlfn.XLOOKUP(Clean_Data[[#This Row],[Country_Code]], Metadata_Country!$A:$A, Metadata_Country!$C:$C, "Unknown"), IF(OR(_xlpm.ig=0, _xlpm.ig=""), "Regional Aggregate", _xlpm.ig))</f>
        <v>High income</v>
      </c>
      <c r="H2365" s="4">
        <f>Clean_Data[[#This Row],[Exports_TIV]] - Clean_Data[[#This Row],[Imports_TIV]]</f>
        <v>-44000000</v>
      </c>
      <c r="I2365" s="4">
        <f>Clean_Data[[#This Row],[Exports_TIV]] + Clean_Data[[#This Row],[Imports_TIV]]</f>
        <v>44000000</v>
      </c>
    </row>
    <row r="2366" spans="1:9">
      <c r="A2366" s="4" t="s">
        <v>117</v>
      </c>
      <c r="B2366" s="4" t="s">
        <v>118</v>
      </c>
      <c r="C2366" s="5">
        <v>2010</v>
      </c>
      <c r="D2366" s="4">
        <v>5000000</v>
      </c>
      <c r="E2366" s="4">
        <v>50000000</v>
      </c>
      <c r="F2366" s="4" t="str">
        <f>_xlfn.LET(_xlpm.r, _xlfn.XLOOKUP(Clean_Data[[#This Row],[Country_Code]], Metadata_Country!$A:$A, Metadata_Country!$B:$B, "Unknown"), IF(OR(_xlpm.r=0, _xlpm.r=""), "Regional Aggregate", _xlpm.r))</f>
        <v>Europe &amp; Central Asia</v>
      </c>
      <c r="G2366" s="4" t="str">
        <f>_xlfn.LET(_xlpm.ig, _xlfn.XLOOKUP(Clean_Data[[#This Row],[Country_Code]], Metadata_Country!$A:$A, Metadata_Country!$C:$C, "Unknown"), IF(OR(_xlpm.ig=0, _xlpm.ig=""), "Regional Aggregate", _xlpm.ig))</f>
        <v>High income</v>
      </c>
      <c r="H2366" s="4">
        <f>Clean_Data[[#This Row],[Exports_TIV]] - Clean_Data[[#This Row],[Imports_TIV]]</f>
        <v>-45000000</v>
      </c>
      <c r="I2366" s="4">
        <f>Clean_Data[[#This Row],[Exports_TIV]] + Clean_Data[[#This Row],[Imports_TIV]]</f>
        <v>55000000</v>
      </c>
    </row>
    <row r="2367" spans="1:9">
      <c r="A2367" s="4" t="s">
        <v>125</v>
      </c>
      <c r="B2367" s="4" t="s">
        <v>126</v>
      </c>
      <c r="C2367" s="5">
        <v>2010</v>
      </c>
      <c r="D2367" s="4">
        <v>8000000</v>
      </c>
      <c r="E2367" s="4">
        <v>22000000</v>
      </c>
      <c r="F2367" s="4" t="str">
        <f>_xlfn.LET(_xlpm.r, _xlfn.XLOOKUP(Clean_Data[[#This Row],[Country_Code]], Metadata_Country!$A:$A, Metadata_Country!$B:$B, "Unknown"), IF(OR(_xlpm.r=0, _xlpm.r=""), "Regional Aggregate", _xlpm.r))</f>
        <v>Europe &amp; Central Asia</v>
      </c>
      <c r="G2367" s="4" t="str">
        <f>_xlfn.LET(_xlpm.ig, _xlfn.XLOOKUP(Clean_Data[[#This Row],[Country_Code]], Metadata_Country!$A:$A, Metadata_Country!$C:$C, "Unknown"), IF(OR(_xlpm.ig=0, _xlpm.ig=""), "Regional Aggregate", _xlpm.ig))</f>
        <v>High income</v>
      </c>
      <c r="H2367" s="4">
        <f>Clean_Data[[#This Row],[Exports_TIV]] - Clean_Data[[#This Row],[Imports_TIV]]</f>
        <v>-14000000</v>
      </c>
      <c r="I2367" s="4">
        <f>Clean_Data[[#This Row],[Exports_TIV]] + Clean_Data[[#This Row],[Imports_TIV]]</f>
        <v>30000000</v>
      </c>
    </row>
    <row r="2368" spans="1:9">
      <c r="A2368" s="4" t="s">
        <v>127</v>
      </c>
      <c r="B2368" s="4" t="s">
        <v>128</v>
      </c>
      <c r="C2368" s="5">
        <v>2010</v>
      </c>
      <c r="D2368" s="4">
        <v>0</v>
      </c>
      <c r="E2368" s="4">
        <v>51000000</v>
      </c>
      <c r="F2368" s="4" t="str">
        <f>_xlfn.LET(_xlpm.r, _xlfn.XLOOKUP(Clean_Data[[#This Row],[Country_Code]], Metadata_Country!$A:$A, Metadata_Country!$B:$B, "Unknown"), IF(OR(_xlpm.r=0, _xlpm.r=""), "Regional Aggregate", _xlpm.r))</f>
        <v>Latin America &amp; Caribbean</v>
      </c>
      <c r="G2368" s="4" t="str">
        <f>_xlfn.LET(_xlpm.ig, _xlfn.XLOOKUP(Clean_Data[[#This Row],[Country_Code]], Metadata_Country!$A:$A, Metadata_Country!$C:$C, "Unknown"), IF(OR(_xlpm.ig=0, _xlpm.ig=""), "Regional Aggregate", _xlpm.ig))</f>
        <v>Upper middle income</v>
      </c>
      <c r="H2368" s="4">
        <f>Clean_Data[[#This Row],[Exports_TIV]] - Clean_Data[[#This Row],[Imports_TIV]]</f>
        <v>-51000000</v>
      </c>
      <c r="I2368" s="4">
        <f>Clean_Data[[#This Row],[Exports_TIV]] + Clean_Data[[#This Row],[Imports_TIV]]</f>
        <v>51000000</v>
      </c>
    </row>
    <row r="2369" spans="1:9">
      <c r="A2369" s="4" t="s">
        <v>133</v>
      </c>
      <c r="B2369" s="4" t="s">
        <v>134</v>
      </c>
      <c r="C2369" s="5">
        <v>2010</v>
      </c>
      <c r="D2369" s="4">
        <v>0</v>
      </c>
      <c r="E2369" s="4">
        <v>10523000000</v>
      </c>
      <c r="F2369" s="4" t="str">
        <f>_xlfn.LET(_xlpm.r, _xlfn.XLOOKUP(Clean_Data[[#This Row],[Country_Code]], Metadata_Country!$A:$A, Metadata_Country!$B:$B, "Unknown"), IF(OR(_xlpm.r=0, _xlpm.r=""), "Regional Aggregate", _xlpm.r))</f>
        <v>Regional Aggregate</v>
      </c>
      <c r="G2369" s="4" t="str">
        <f>_xlfn.LET(_xlpm.ig, _xlfn.XLOOKUP(Clean_Data[[#This Row],[Country_Code]], Metadata_Country!$A:$A, Metadata_Country!$C:$C, "Unknown"), IF(OR(_xlpm.ig=0, _xlpm.ig=""), "Regional Aggregate", _xlpm.ig))</f>
        <v>Regional Aggregate</v>
      </c>
      <c r="H2369" s="4">
        <f>Clean_Data[[#This Row],[Exports_TIV]] - Clean_Data[[#This Row],[Imports_TIV]]</f>
        <v>-10523000000</v>
      </c>
      <c r="I2369" s="4">
        <f>Clean_Data[[#This Row],[Exports_TIV]] + Clean_Data[[#This Row],[Imports_TIV]]</f>
        <v>10523000000</v>
      </c>
    </row>
    <row r="2370" spans="1:9">
      <c r="A2370" s="4" t="s">
        <v>135</v>
      </c>
      <c r="B2370" s="4" t="s">
        <v>136</v>
      </c>
      <c r="C2370" s="5">
        <v>2010</v>
      </c>
      <c r="D2370" s="4">
        <v>0</v>
      </c>
      <c r="E2370" s="4">
        <v>6411000000</v>
      </c>
      <c r="F2370" s="4" t="str">
        <f>_xlfn.LET(_xlpm.r, _xlfn.XLOOKUP(Clean_Data[[#This Row],[Country_Code]], Metadata_Country!$A:$A, Metadata_Country!$B:$B, "Unknown"), IF(OR(_xlpm.r=0, _xlpm.r=""), "Regional Aggregate", _xlpm.r))</f>
        <v>Regional Aggregate</v>
      </c>
      <c r="G2370" s="4" t="str">
        <f>_xlfn.LET(_xlpm.ig, _xlfn.XLOOKUP(Clean_Data[[#This Row],[Country_Code]], Metadata_Country!$A:$A, Metadata_Country!$C:$C, "Unknown"), IF(OR(_xlpm.ig=0, _xlpm.ig=""), "Regional Aggregate", _xlpm.ig))</f>
        <v>Regional Aggregate</v>
      </c>
      <c r="H2370" s="4">
        <f>Clean_Data[[#This Row],[Exports_TIV]] - Clean_Data[[#This Row],[Imports_TIV]]</f>
        <v>-6411000000</v>
      </c>
      <c r="I2370" s="4">
        <f>Clean_Data[[#This Row],[Exports_TIV]] + Clean_Data[[#This Row],[Imports_TIV]]</f>
        <v>6411000000</v>
      </c>
    </row>
    <row r="2371" spans="1:9">
      <c r="A2371" s="4" t="s">
        <v>131</v>
      </c>
      <c r="B2371" s="4" t="s">
        <v>132</v>
      </c>
      <c r="C2371" s="5">
        <v>2010</v>
      </c>
      <c r="D2371" s="4">
        <v>1538000000</v>
      </c>
      <c r="E2371" s="4">
        <v>1777000000</v>
      </c>
      <c r="F2371" s="4" t="str">
        <f>_xlfn.LET(_xlpm.r, _xlfn.XLOOKUP(Clean_Data[[#This Row],[Country_Code]], Metadata_Country!$A:$A, Metadata_Country!$B:$B, "Unknown"), IF(OR(_xlpm.r=0, _xlpm.r=""), "Regional Aggregate", _xlpm.r))</f>
        <v>Regional Aggregate</v>
      </c>
      <c r="G2371" s="4" t="str">
        <f>_xlfn.LET(_xlpm.ig, _xlfn.XLOOKUP(Clean_Data[[#This Row],[Country_Code]], Metadata_Country!$A:$A, Metadata_Country!$C:$C, "Unknown"), IF(OR(_xlpm.ig=0, _xlpm.ig=""), "Regional Aggregate", _xlpm.ig))</f>
        <v>Regional Aggregate</v>
      </c>
      <c r="H2371" s="4">
        <f>Clean_Data[[#This Row],[Exports_TIV]] - Clean_Data[[#This Row],[Imports_TIV]]</f>
        <v>-239000000</v>
      </c>
      <c r="I2371" s="4">
        <f>Clean_Data[[#This Row],[Exports_TIV]] + Clean_Data[[#This Row],[Imports_TIV]]</f>
        <v>3315000000</v>
      </c>
    </row>
    <row r="2372" spans="1:9">
      <c r="A2372" s="4" t="s">
        <v>469</v>
      </c>
      <c r="B2372" s="4" t="s">
        <v>470</v>
      </c>
      <c r="C2372" s="5">
        <v>2010</v>
      </c>
      <c r="D2372" s="4">
        <v>1531000000</v>
      </c>
      <c r="E2372" s="4">
        <v>1776000000</v>
      </c>
      <c r="F2372" s="4" t="str">
        <f>_xlfn.LET(_xlpm.r, _xlfn.XLOOKUP(Clean_Data[[#This Row],[Country_Code]], Metadata_Country!$A:$A, Metadata_Country!$B:$B, "Unknown"), IF(OR(_xlpm.r=0, _xlpm.r=""), "Regional Aggregate", _xlpm.r))</f>
        <v>Regional Aggregate</v>
      </c>
      <c r="G2372" s="4" t="str">
        <f>_xlfn.LET(_xlpm.ig, _xlfn.XLOOKUP(Clean_Data[[#This Row],[Country_Code]], Metadata_Country!$A:$A, Metadata_Country!$C:$C, "Unknown"), IF(OR(_xlpm.ig=0, _xlpm.ig=""), "Regional Aggregate", _xlpm.ig))</f>
        <v>Regional Aggregate</v>
      </c>
      <c r="H2372" s="4">
        <f>Clean_Data[[#This Row],[Exports_TIV]] - Clean_Data[[#This Row],[Imports_TIV]]</f>
        <v>-245000000</v>
      </c>
      <c r="I2372" s="4">
        <f>Clean_Data[[#This Row],[Exports_TIV]] + Clean_Data[[#This Row],[Imports_TIV]]</f>
        <v>3307000000</v>
      </c>
    </row>
    <row r="2373" spans="1:9">
      <c r="A2373" s="4" t="s">
        <v>141</v>
      </c>
      <c r="B2373" s="4" t="s">
        <v>142</v>
      </c>
      <c r="C2373" s="5">
        <v>2010</v>
      </c>
      <c r="D2373" s="4">
        <v>0</v>
      </c>
      <c r="E2373" s="4">
        <v>90000000</v>
      </c>
      <c r="F2373" s="4" t="str">
        <f>_xlfn.LET(_xlpm.r, _xlfn.XLOOKUP(Clean_Data[[#This Row],[Country_Code]], Metadata_Country!$A:$A, Metadata_Country!$B:$B, "Unknown"), IF(OR(_xlpm.r=0, _xlpm.r=""), "Regional Aggregate", _xlpm.r))</f>
        <v>Latin America &amp; Caribbean</v>
      </c>
      <c r="G2373" s="4" t="str">
        <f>_xlfn.LET(_xlpm.ig, _xlfn.XLOOKUP(Clean_Data[[#This Row],[Country_Code]], Metadata_Country!$A:$A, Metadata_Country!$C:$C, "Unknown"), IF(OR(_xlpm.ig=0, _xlpm.ig=""), "Regional Aggregate", _xlpm.ig))</f>
        <v>Upper middle income</v>
      </c>
      <c r="H2373" s="4">
        <f>Clean_Data[[#This Row],[Exports_TIV]] - Clean_Data[[#This Row],[Imports_TIV]]</f>
        <v>-90000000</v>
      </c>
      <c r="I2373" s="4">
        <f>Clean_Data[[#This Row],[Exports_TIV]] + Clean_Data[[#This Row],[Imports_TIV]]</f>
        <v>90000000</v>
      </c>
    </row>
    <row r="2374" spans="1:9">
      <c r="A2374" s="4" t="s">
        <v>143</v>
      </c>
      <c r="B2374" s="4" t="s">
        <v>144</v>
      </c>
      <c r="C2374" s="5">
        <v>2010</v>
      </c>
      <c r="D2374" s="4">
        <v>0</v>
      </c>
      <c r="E2374" s="4">
        <v>689000000</v>
      </c>
      <c r="F2374" s="4" t="str">
        <f>_xlfn.LET(_xlpm.r, _xlfn.XLOOKUP(Clean_Data[[#This Row],[Country_Code]], Metadata_Country!$A:$A, Metadata_Country!$B:$B, "Unknown"), IF(OR(_xlpm.r=0, _xlpm.r=""), "Regional Aggregate", _xlpm.r))</f>
        <v>Middle East &amp; North Africa</v>
      </c>
      <c r="G2374" s="4" t="str">
        <f>_xlfn.LET(_xlpm.ig, _xlfn.XLOOKUP(Clean_Data[[#This Row],[Country_Code]], Metadata_Country!$A:$A, Metadata_Country!$C:$C, "Unknown"), IF(OR(_xlpm.ig=0, _xlpm.ig=""), "Regional Aggregate", _xlpm.ig))</f>
        <v>Lower middle income</v>
      </c>
      <c r="H2374" s="4">
        <f>Clean_Data[[#This Row],[Exports_TIV]] - Clean_Data[[#This Row],[Imports_TIV]]</f>
        <v>-689000000</v>
      </c>
      <c r="I2374" s="4">
        <f>Clean_Data[[#This Row],[Exports_TIV]] + Clean_Data[[#This Row],[Imports_TIV]]</f>
        <v>689000000</v>
      </c>
    </row>
    <row r="2375" spans="1:9">
      <c r="A2375" s="4" t="s">
        <v>431</v>
      </c>
      <c r="B2375" s="4" t="s">
        <v>432</v>
      </c>
      <c r="C2375" s="5">
        <v>2010</v>
      </c>
      <c r="D2375" s="4">
        <v>0</v>
      </c>
      <c r="E2375" s="4">
        <v>2000000</v>
      </c>
      <c r="F2375" s="4" t="str">
        <f>_xlfn.LET(_xlpm.r, _xlfn.XLOOKUP(Clean_Data[[#This Row],[Country_Code]], Metadata_Country!$A:$A, Metadata_Country!$B:$B, "Unknown"), IF(OR(_xlpm.r=0, _xlpm.r=""), "Regional Aggregate", _xlpm.r))</f>
        <v>Latin America &amp; Caribbean</v>
      </c>
      <c r="G2375" s="4" t="str">
        <f>_xlfn.LET(_xlpm.ig, _xlfn.XLOOKUP(Clean_Data[[#This Row],[Country_Code]], Metadata_Country!$A:$A, Metadata_Country!$C:$C, "Unknown"), IF(OR(_xlpm.ig=0, _xlpm.ig=""), "Regional Aggregate", _xlpm.ig))</f>
        <v>Upper middle income</v>
      </c>
      <c r="H2375" s="4">
        <f>Clean_Data[[#This Row],[Exports_TIV]] - Clean_Data[[#This Row],[Imports_TIV]]</f>
        <v>-2000000</v>
      </c>
      <c r="I2375" s="4">
        <f>Clean_Data[[#This Row],[Exports_TIV]] + Clean_Data[[#This Row],[Imports_TIV]]</f>
        <v>2000000</v>
      </c>
    </row>
    <row r="2376" spans="1:9">
      <c r="A2376" s="4" t="s">
        <v>185</v>
      </c>
      <c r="B2376" s="4" t="s">
        <v>186</v>
      </c>
      <c r="C2376" s="5">
        <v>2010</v>
      </c>
      <c r="D2376" s="4">
        <v>0</v>
      </c>
      <c r="E2376" s="4">
        <v>3000000</v>
      </c>
      <c r="F2376" s="4" t="str">
        <f>_xlfn.LET(_xlpm.r, _xlfn.XLOOKUP(Clean_Data[[#This Row],[Country_Code]], Metadata_Country!$A:$A, Metadata_Country!$B:$B, "Unknown"), IF(OR(_xlpm.r=0, _xlpm.r=""), "Regional Aggregate", _xlpm.r))</f>
        <v>Sub-Saharan Africa</v>
      </c>
      <c r="G2376" s="4" t="str">
        <f>_xlfn.LET(_xlpm.ig, _xlfn.XLOOKUP(Clean_Data[[#This Row],[Country_Code]], Metadata_Country!$A:$A, Metadata_Country!$C:$C, "Unknown"), IF(OR(_xlpm.ig=0, _xlpm.ig=""), "Regional Aggregate", _xlpm.ig))</f>
        <v>Upper middle income</v>
      </c>
      <c r="H2376" s="4">
        <f>Clean_Data[[#This Row],[Exports_TIV]] - Clean_Data[[#This Row],[Imports_TIV]]</f>
        <v>-3000000</v>
      </c>
      <c r="I2376" s="4">
        <f>Clean_Data[[#This Row],[Exports_TIV]] + Clean_Data[[#This Row],[Imports_TIV]]</f>
        <v>3000000</v>
      </c>
    </row>
    <row r="2377" spans="1:9">
      <c r="A2377" s="4" t="s">
        <v>151</v>
      </c>
      <c r="B2377" s="4" t="s">
        <v>152</v>
      </c>
      <c r="C2377" s="5">
        <v>2010</v>
      </c>
      <c r="D2377" s="4">
        <v>0</v>
      </c>
      <c r="E2377" s="4">
        <v>13000000</v>
      </c>
      <c r="F2377" s="4" t="str">
        <f>_xlfn.LET(_xlpm.r, _xlfn.XLOOKUP(Clean_Data[[#This Row],[Country_Code]], Metadata_Country!$A:$A, Metadata_Country!$B:$B, "Unknown"), IF(OR(_xlpm.r=0, _xlpm.r=""), "Regional Aggregate", _xlpm.r))</f>
        <v>Europe &amp; Central Asia</v>
      </c>
      <c r="G2377" s="4" t="str">
        <f>_xlfn.LET(_xlpm.ig, _xlfn.XLOOKUP(Clean_Data[[#This Row],[Country_Code]], Metadata_Country!$A:$A, Metadata_Country!$C:$C, "Unknown"), IF(OR(_xlpm.ig=0, _xlpm.ig=""), "Regional Aggregate", _xlpm.ig))</f>
        <v>High income</v>
      </c>
      <c r="H2377" s="4">
        <f>Clean_Data[[#This Row],[Exports_TIV]] - Clean_Data[[#This Row],[Imports_TIV]]</f>
        <v>-13000000</v>
      </c>
      <c r="I2377" s="4">
        <f>Clean_Data[[#This Row],[Exports_TIV]] + Clean_Data[[#This Row],[Imports_TIV]]</f>
        <v>13000000</v>
      </c>
    </row>
    <row r="2378" spans="1:9">
      <c r="A2378" s="4" t="s">
        <v>153</v>
      </c>
      <c r="B2378" s="4" t="s">
        <v>154</v>
      </c>
      <c r="C2378" s="5">
        <v>2010</v>
      </c>
      <c r="D2378" s="4">
        <v>0</v>
      </c>
      <c r="E2378" s="4">
        <v>58000000</v>
      </c>
      <c r="F2378" s="4" t="str">
        <f>_xlfn.LET(_xlpm.r, _xlfn.XLOOKUP(Clean_Data[[#This Row],[Country_Code]], Metadata_Country!$A:$A, Metadata_Country!$B:$B, "Unknown"), IF(OR(_xlpm.r=0, _xlpm.r=""), "Regional Aggregate", _xlpm.r))</f>
        <v>Sub-Saharan Africa</v>
      </c>
      <c r="G2378" s="4" t="str">
        <f>_xlfn.LET(_xlpm.ig, _xlfn.XLOOKUP(Clean_Data[[#This Row],[Country_Code]], Metadata_Country!$A:$A, Metadata_Country!$C:$C, "Unknown"), IF(OR(_xlpm.ig=0, _xlpm.ig=""), "Regional Aggregate", _xlpm.ig))</f>
        <v>Low income</v>
      </c>
      <c r="H2378" s="4">
        <f>Clean_Data[[#This Row],[Exports_TIV]] - Clean_Data[[#This Row],[Imports_TIV]]</f>
        <v>-58000000</v>
      </c>
      <c r="I2378" s="4">
        <f>Clean_Data[[#This Row],[Exports_TIV]] + Clean_Data[[#This Row],[Imports_TIV]]</f>
        <v>58000000</v>
      </c>
    </row>
    <row r="2379" spans="1:9">
      <c r="A2379" s="4" t="s">
        <v>145</v>
      </c>
      <c r="B2379" s="4" t="s">
        <v>146</v>
      </c>
      <c r="C2379" s="5">
        <v>2010</v>
      </c>
      <c r="D2379" s="4">
        <v>4673000000</v>
      </c>
      <c r="E2379" s="4">
        <v>2712000000</v>
      </c>
      <c r="F2379" s="4" t="str">
        <f>_xlfn.LET(_xlpm.r, _xlfn.XLOOKUP(Clean_Data[[#This Row],[Country_Code]], Metadata_Country!$A:$A, Metadata_Country!$B:$B, "Unknown"), IF(OR(_xlpm.r=0, _xlpm.r=""), "Regional Aggregate", _xlpm.r))</f>
        <v>Regional Aggregate</v>
      </c>
      <c r="G2379" s="4" t="str">
        <f>_xlfn.LET(_xlpm.ig, _xlfn.XLOOKUP(Clean_Data[[#This Row],[Country_Code]], Metadata_Country!$A:$A, Metadata_Country!$C:$C, "Unknown"), IF(OR(_xlpm.ig=0, _xlpm.ig=""), "Regional Aggregate", _xlpm.ig))</f>
        <v>Regional Aggregate</v>
      </c>
      <c r="H2379" s="4">
        <f>Clean_Data[[#This Row],[Exports_TIV]] - Clean_Data[[#This Row],[Imports_TIV]]</f>
        <v>1961000000</v>
      </c>
      <c r="I2379" s="4">
        <f>Clean_Data[[#This Row],[Exports_TIV]] + Clean_Data[[#This Row],[Imports_TIV]]</f>
        <v>7385000000</v>
      </c>
    </row>
    <row r="2380" spans="1:9">
      <c r="A2380" s="4" t="s">
        <v>139</v>
      </c>
      <c r="B2380" s="4" t="s">
        <v>140</v>
      </c>
      <c r="C2380" s="5">
        <v>2010</v>
      </c>
      <c r="D2380" s="4">
        <v>14002000000</v>
      </c>
      <c r="E2380" s="4">
        <v>4578000000</v>
      </c>
      <c r="F2380" s="4" t="str">
        <f>_xlfn.LET(_xlpm.r, _xlfn.XLOOKUP(Clean_Data[[#This Row],[Country_Code]], Metadata_Country!$A:$A, Metadata_Country!$B:$B, "Unknown"), IF(OR(_xlpm.r=0, _xlpm.r=""), "Regional Aggregate", _xlpm.r))</f>
        <v>Regional Aggregate</v>
      </c>
      <c r="G2380" s="4" t="str">
        <f>_xlfn.LET(_xlpm.ig, _xlfn.XLOOKUP(Clean_Data[[#This Row],[Country_Code]], Metadata_Country!$A:$A, Metadata_Country!$C:$C, "Unknown"), IF(OR(_xlpm.ig=0, _xlpm.ig=""), "Regional Aggregate", _xlpm.ig))</f>
        <v>Regional Aggregate</v>
      </c>
      <c r="H2380" s="4">
        <f>Clean_Data[[#This Row],[Exports_TIV]] - Clean_Data[[#This Row],[Imports_TIV]]</f>
        <v>9424000000</v>
      </c>
      <c r="I2380" s="4">
        <f>Clean_Data[[#This Row],[Exports_TIV]] + Clean_Data[[#This Row],[Imports_TIV]]</f>
        <v>18580000000</v>
      </c>
    </row>
    <row r="2381" spans="1:9">
      <c r="A2381" s="4" t="s">
        <v>137</v>
      </c>
      <c r="B2381" s="4" t="s">
        <v>138</v>
      </c>
      <c r="C2381" s="5">
        <v>2010</v>
      </c>
      <c r="D2381" s="4">
        <v>1017000000</v>
      </c>
      <c r="E2381" s="4">
        <v>821000000</v>
      </c>
      <c r="F2381" s="4" t="str">
        <f>_xlfn.LET(_xlpm.r, _xlfn.XLOOKUP(Clean_Data[[#This Row],[Country_Code]], Metadata_Country!$A:$A, Metadata_Country!$B:$B, "Unknown"), IF(OR(_xlpm.r=0, _xlpm.r=""), "Regional Aggregate", _xlpm.r))</f>
        <v>Regional Aggregate</v>
      </c>
      <c r="G2381" s="4" t="str">
        <f>_xlfn.LET(_xlpm.ig, _xlfn.XLOOKUP(Clean_Data[[#This Row],[Country_Code]], Metadata_Country!$A:$A, Metadata_Country!$C:$C, "Unknown"), IF(OR(_xlpm.ig=0, _xlpm.ig=""), "Regional Aggregate", _xlpm.ig))</f>
        <v>Regional Aggregate</v>
      </c>
      <c r="H2381" s="4">
        <f>Clean_Data[[#This Row],[Exports_TIV]] - Clean_Data[[#This Row],[Imports_TIV]]</f>
        <v>196000000</v>
      </c>
      <c r="I2381" s="4">
        <f>Clean_Data[[#This Row],[Exports_TIV]] + Clean_Data[[#This Row],[Imports_TIV]]</f>
        <v>1838000000</v>
      </c>
    </row>
    <row r="2382" spans="1:9">
      <c r="A2382" s="4" t="s">
        <v>471</v>
      </c>
      <c r="B2382" s="4" t="s">
        <v>472</v>
      </c>
      <c r="C2382" s="5">
        <v>2010</v>
      </c>
      <c r="D2382" s="4">
        <v>7277000000</v>
      </c>
      <c r="E2382" s="4">
        <v>1145000000</v>
      </c>
      <c r="F2382" s="4" t="str">
        <f>_xlfn.LET(_xlpm.r, _xlfn.XLOOKUP(Clean_Data[[#This Row],[Country_Code]], Metadata_Country!$A:$A, Metadata_Country!$B:$B, "Unknown"), IF(OR(_xlpm.r=0, _xlpm.r=""), "Regional Aggregate", _xlpm.r))</f>
        <v>Regional Aggregate</v>
      </c>
      <c r="G2382" s="4" t="str">
        <f>_xlfn.LET(_xlpm.ig, _xlfn.XLOOKUP(Clean_Data[[#This Row],[Country_Code]], Metadata_Country!$A:$A, Metadata_Country!$C:$C, "Unknown"), IF(OR(_xlpm.ig=0, _xlpm.ig=""), "Regional Aggregate", _xlpm.ig))</f>
        <v>Regional Aggregate</v>
      </c>
      <c r="H2382" s="4">
        <f>Clean_Data[[#This Row],[Exports_TIV]] - Clean_Data[[#This Row],[Imports_TIV]]</f>
        <v>6132000000</v>
      </c>
      <c r="I2382" s="4">
        <f>Clean_Data[[#This Row],[Exports_TIV]] + Clean_Data[[#This Row],[Imports_TIV]]</f>
        <v>8422000000</v>
      </c>
    </row>
    <row r="2383" spans="1:9">
      <c r="A2383" s="4" t="s">
        <v>155</v>
      </c>
      <c r="B2383" s="4" t="s">
        <v>156</v>
      </c>
      <c r="C2383" s="5">
        <v>2010</v>
      </c>
      <c r="D2383" s="4">
        <v>5327000000</v>
      </c>
      <c r="E2383" s="4">
        <v>3083000000</v>
      </c>
      <c r="F2383" s="4" t="str">
        <f>_xlfn.LET(_xlpm.r, _xlfn.XLOOKUP(Clean_Data[[#This Row],[Country_Code]], Metadata_Country!$A:$A, Metadata_Country!$B:$B, "Unknown"), IF(OR(_xlpm.r=0, _xlpm.r=""), "Regional Aggregate", _xlpm.r))</f>
        <v>Regional Aggregate</v>
      </c>
      <c r="G2383" s="4" t="str">
        <f>_xlfn.LET(_xlpm.ig, _xlfn.XLOOKUP(Clean_Data[[#This Row],[Country_Code]], Metadata_Country!$A:$A, Metadata_Country!$C:$C, "Unknown"), IF(OR(_xlpm.ig=0, _xlpm.ig=""), "Regional Aggregate", _xlpm.ig))</f>
        <v>Regional Aggregate</v>
      </c>
      <c r="H2383" s="4">
        <f>Clean_Data[[#This Row],[Exports_TIV]] - Clean_Data[[#This Row],[Imports_TIV]]</f>
        <v>2244000000</v>
      </c>
      <c r="I2383" s="4">
        <f>Clean_Data[[#This Row],[Exports_TIV]] + Clean_Data[[#This Row],[Imports_TIV]]</f>
        <v>8410000000</v>
      </c>
    </row>
    <row r="2384" spans="1:9">
      <c r="A2384" s="4" t="s">
        <v>159</v>
      </c>
      <c r="B2384" s="4" t="s">
        <v>160</v>
      </c>
      <c r="C2384" s="5">
        <v>2010</v>
      </c>
      <c r="D2384" s="4">
        <v>73000000</v>
      </c>
      <c r="E2384" s="4">
        <v>41000000</v>
      </c>
      <c r="F2384" s="4" t="str">
        <f>_xlfn.LET(_xlpm.r, _xlfn.XLOOKUP(Clean_Data[[#This Row],[Country_Code]], Metadata_Country!$A:$A, Metadata_Country!$B:$B, "Unknown"), IF(OR(_xlpm.r=0, _xlpm.r=""), "Regional Aggregate", _xlpm.r))</f>
        <v>Europe &amp; Central Asia</v>
      </c>
      <c r="G2384" s="4" t="str">
        <f>_xlfn.LET(_xlpm.ig, _xlfn.XLOOKUP(Clean_Data[[#This Row],[Country_Code]], Metadata_Country!$A:$A, Metadata_Country!$C:$C, "Unknown"), IF(OR(_xlpm.ig=0, _xlpm.ig=""), "Regional Aggregate", _xlpm.ig))</f>
        <v>High income</v>
      </c>
      <c r="H2384" s="4">
        <f>Clean_Data[[#This Row],[Exports_TIV]] - Clean_Data[[#This Row],[Imports_TIV]]</f>
        <v>32000000</v>
      </c>
      <c r="I2384" s="4">
        <f>Clean_Data[[#This Row],[Exports_TIV]] + Clean_Data[[#This Row],[Imports_TIV]]</f>
        <v>114000000</v>
      </c>
    </row>
    <row r="2385" spans="1:9">
      <c r="A2385" s="4" t="s">
        <v>157</v>
      </c>
      <c r="B2385" s="4" t="s">
        <v>158</v>
      </c>
      <c r="C2385" s="5">
        <v>2010</v>
      </c>
      <c r="D2385" s="4">
        <v>0</v>
      </c>
      <c r="E2385" s="4">
        <v>2426000000</v>
      </c>
      <c r="F2385" s="4" t="str">
        <f>_xlfn.LET(_xlpm.r, _xlfn.XLOOKUP(Clean_Data[[#This Row],[Country_Code]], Metadata_Country!$A:$A, Metadata_Country!$B:$B, "Unknown"), IF(OR(_xlpm.r=0, _xlpm.r=""), "Regional Aggregate", _xlpm.r))</f>
        <v>Regional Aggregate</v>
      </c>
      <c r="G2385" s="4" t="str">
        <f>_xlfn.LET(_xlpm.ig, _xlfn.XLOOKUP(Clean_Data[[#This Row],[Country_Code]], Metadata_Country!$A:$A, Metadata_Country!$C:$C, "Unknown"), IF(OR(_xlpm.ig=0, _xlpm.ig=""), "Regional Aggregate", _xlpm.ig))</f>
        <v>Regional Aggregate</v>
      </c>
      <c r="H2385" s="4">
        <f>Clean_Data[[#This Row],[Exports_TIV]] - Clean_Data[[#This Row],[Imports_TIV]]</f>
        <v>-2426000000</v>
      </c>
      <c r="I2385" s="4">
        <f>Clean_Data[[#This Row],[Exports_TIV]] + Clean_Data[[#This Row],[Imports_TIV]]</f>
        <v>2426000000</v>
      </c>
    </row>
    <row r="2386" spans="1:9">
      <c r="A2386" s="4" t="s">
        <v>163</v>
      </c>
      <c r="B2386" s="4" t="s">
        <v>164</v>
      </c>
      <c r="C2386" s="5">
        <v>2010</v>
      </c>
      <c r="D2386" s="4">
        <v>888000000</v>
      </c>
      <c r="E2386" s="4">
        <v>103000000</v>
      </c>
      <c r="F2386" s="4" t="str">
        <f>_xlfn.LET(_xlpm.r, _xlfn.XLOOKUP(Clean_Data[[#This Row],[Country_Code]], Metadata_Country!$A:$A, Metadata_Country!$B:$B, "Unknown"), IF(OR(_xlpm.r=0, _xlpm.r=""), "Regional Aggregate", _xlpm.r))</f>
        <v>Europe &amp; Central Asia</v>
      </c>
      <c r="G2386" s="4" t="str">
        <f>_xlfn.LET(_xlpm.ig, _xlfn.XLOOKUP(Clean_Data[[#This Row],[Country_Code]], Metadata_Country!$A:$A, Metadata_Country!$C:$C, "Unknown"), IF(OR(_xlpm.ig=0, _xlpm.ig=""), "Regional Aggregate", _xlpm.ig))</f>
        <v>High income</v>
      </c>
      <c r="H2386" s="4">
        <f>Clean_Data[[#This Row],[Exports_TIV]] - Clean_Data[[#This Row],[Imports_TIV]]</f>
        <v>785000000</v>
      </c>
      <c r="I2386" s="4">
        <f>Clean_Data[[#This Row],[Exports_TIV]] + Clean_Data[[#This Row],[Imports_TIV]]</f>
        <v>991000000</v>
      </c>
    </row>
    <row r="2387" spans="1:9">
      <c r="A2387" s="4" t="s">
        <v>169</v>
      </c>
      <c r="B2387" s="4" t="s">
        <v>170</v>
      </c>
      <c r="C2387" s="5">
        <v>2010</v>
      </c>
      <c r="D2387" s="4">
        <v>0</v>
      </c>
      <c r="E2387" s="4">
        <v>27000000</v>
      </c>
      <c r="F2387" s="4" t="str">
        <f>_xlfn.LET(_xlpm.r, _xlfn.XLOOKUP(Clean_Data[[#This Row],[Country_Code]], Metadata_Country!$A:$A, Metadata_Country!$B:$B, "Unknown"), IF(OR(_xlpm.r=0, _xlpm.r=""), "Regional Aggregate", _xlpm.r))</f>
        <v>Sub-Saharan Africa</v>
      </c>
      <c r="G2387" s="4" t="str">
        <f>_xlfn.LET(_xlpm.ig, _xlfn.XLOOKUP(Clean_Data[[#This Row],[Country_Code]], Metadata_Country!$A:$A, Metadata_Country!$C:$C, "Unknown"), IF(OR(_xlpm.ig=0, _xlpm.ig=""), "Regional Aggregate", _xlpm.ig))</f>
        <v>Upper middle income</v>
      </c>
      <c r="H2387" s="4">
        <f>Clean_Data[[#This Row],[Exports_TIV]] - Clean_Data[[#This Row],[Imports_TIV]]</f>
        <v>-27000000</v>
      </c>
      <c r="I2387" s="4">
        <f>Clean_Data[[#This Row],[Exports_TIV]] + Clean_Data[[#This Row],[Imports_TIV]]</f>
        <v>27000000</v>
      </c>
    </row>
    <row r="2388" spans="1:9">
      <c r="A2388" s="4" t="s">
        <v>119</v>
      </c>
      <c r="B2388" s="4" t="s">
        <v>120</v>
      </c>
      <c r="C2388" s="5">
        <v>2010</v>
      </c>
      <c r="D2388" s="4">
        <v>2364000000</v>
      </c>
      <c r="E2388" s="4">
        <v>301000000</v>
      </c>
      <c r="F2388" s="4" t="str">
        <f>_xlfn.LET(_xlpm.r, _xlfn.XLOOKUP(Clean_Data[[#This Row],[Country_Code]], Metadata_Country!$A:$A, Metadata_Country!$B:$B, "Unknown"), IF(OR(_xlpm.r=0, _xlpm.r=""), "Regional Aggregate", _xlpm.r))</f>
        <v>Europe &amp; Central Asia</v>
      </c>
      <c r="G2388" s="4" t="str">
        <f>_xlfn.LET(_xlpm.ig, _xlfn.XLOOKUP(Clean_Data[[#This Row],[Country_Code]], Metadata_Country!$A:$A, Metadata_Country!$C:$C, "Unknown"), IF(OR(_xlpm.ig=0, _xlpm.ig=""), "Regional Aggregate", _xlpm.ig))</f>
        <v>High income</v>
      </c>
      <c r="H2388" s="4">
        <f>Clean_Data[[#This Row],[Exports_TIV]] - Clean_Data[[#This Row],[Imports_TIV]]</f>
        <v>2063000000</v>
      </c>
      <c r="I2388" s="4">
        <f>Clean_Data[[#This Row],[Exports_TIV]] + Clean_Data[[#This Row],[Imports_TIV]]</f>
        <v>2665000000</v>
      </c>
    </row>
    <row r="2389" spans="1:9">
      <c r="A2389" s="4" t="s">
        <v>175</v>
      </c>
      <c r="B2389" s="4" t="s">
        <v>176</v>
      </c>
      <c r="C2389" s="5">
        <v>2010</v>
      </c>
      <c r="D2389" s="4">
        <v>0</v>
      </c>
      <c r="E2389" s="4">
        <v>2000000</v>
      </c>
      <c r="F2389" s="4" t="str">
        <f>_xlfn.LET(_xlpm.r, _xlfn.XLOOKUP(Clean_Data[[#This Row],[Country_Code]], Metadata_Country!$A:$A, Metadata_Country!$B:$B, "Unknown"), IF(OR(_xlpm.r=0, _xlpm.r=""), "Regional Aggregate", _xlpm.r))</f>
        <v>Sub-Saharan Africa</v>
      </c>
      <c r="G2389" s="4" t="str">
        <f>_xlfn.LET(_xlpm.ig, _xlfn.XLOOKUP(Clean_Data[[#This Row],[Country_Code]], Metadata_Country!$A:$A, Metadata_Country!$C:$C, "Unknown"), IF(OR(_xlpm.ig=0, _xlpm.ig=""), "Regional Aggregate", _xlpm.ig))</f>
        <v>Lower middle income</v>
      </c>
      <c r="H2389" s="4">
        <f>Clean_Data[[#This Row],[Exports_TIV]] - Clean_Data[[#This Row],[Imports_TIV]]</f>
        <v>-2000000</v>
      </c>
      <c r="I2389" s="4">
        <f>Clean_Data[[#This Row],[Exports_TIV]] + Clean_Data[[#This Row],[Imports_TIV]]</f>
        <v>2000000</v>
      </c>
    </row>
    <row r="2390" spans="1:9">
      <c r="A2390" s="4" t="s">
        <v>187</v>
      </c>
      <c r="B2390" s="4" t="s">
        <v>188</v>
      </c>
      <c r="C2390" s="5">
        <v>2010</v>
      </c>
      <c r="D2390" s="4">
        <v>0</v>
      </c>
      <c r="E2390" s="4">
        <v>630000000</v>
      </c>
      <c r="F2390" s="4" t="str">
        <f>_xlfn.LET(_xlpm.r, _xlfn.XLOOKUP(Clean_Data[[#This Row],[Country_Code]], Metadata_Country!$A:$A, Metadata_Country!$B:$B, "Unknown"), IF(OR(_xlpm.r=0, _xlpm.r=""), "Regional Aggregate", _xlpm.r))</f>
        <v>Europe &amp; Central Asia</v>
      </c>
      <c r="G2390" s="4" t="str">
        <f>_xlfn.LET(_xlpm.ig, _xlfn.XLOOKUP(Clean_Data[[#This Row],[Country_Code]], Metadata_Country!$A:$A, Metadata_Country!$C:$C, "Unknown"), IF(OR(_xlpm.ig=0, _xlpm.ig=""), "Regional Aggregate", _xlpm.ig))</f>
        <v>High income</v>
      </c>
      <c r="H2390" s="4">
        <f>Clean_Data[[#This Row],[Exports_TIV]] - Clean_Data[[#This Row],[Imports_TIV]]</f>
        <v>-630000000</v>
      </c>
      <c r="I2390" s="4">
        <f>Clean_Data[[#This Row],[Exports_TIV]] + Clean_Data[[#This Row],[Imports_TIV]]</f>
        <v>630000000</v>
      </c>
    </row>
    <row r="2391" spans="1:9">
      <c r="A2391" s="4" t="s">
        <v>179</v>
      </c>
      <c r="B2391" s="4" t="s">
        <v>180</v>
      </c>
      <c r="C2391" s="5">
        <v>2010</v>
      </c>
      <c r="D2391" s="4">
        <v>0</v>
      </c>
      <c r="E2391" s="4">
        <v>5000000</v>
      </c>
      <c r="F2391" s="4" t="str">
        <f>_xlfn.LET(_xlpm.r, _xlfn.XLOOKUP(Clean_Data[[#This Row],[Country_Code]], Metadata_Country!$A:$A, Metadata_Country!$B:$B, "Unknown"), IF(OR(_xlpm.r=0, _xlpm.r=""), "Regional Aggregate", _xlpm.r))</f>
        <v>Sub-Saharan Africa</v>
      </c>
      <c r="G2391" s="4" t="str">
        <f>_xlfn.LET(_xlpm.ig, _xlfn.XLOOKUP(Clean_Data[[#This Row],[Country_Code]], Metadata_Country!$A:$A, Metadata_Country!$C:$C, "Unknown"), IF(OR(_xlpm.ig=0, _xlpm.ig=""), "Regional Aggregate", _xlpm.ig))</f>
        <v>Lower middle income</v>
      </c>
      <c r="H2391" s="4">
        <f>Clean_Data[[#This Row],[Exports_TIV]] - Clean_Data[[#This Row],[Imports_TIV]]</f>
        <v>-5000000</v>
      </c>
      <c r="I2391" s="4">
        <f>Clean_Data[[#This Row],[Exports_TIV]] + Clean_Data[[#This Row],[Imports_TIV]]</f>
        <v>5000000</v>
      </c>
    </row>
    <row r="2392" spans="1:9">
      <c r="A2392" s="4" t="s">
        <v>199</v>
      </c>
      <c r="B2392" s="4" t="s">
        <v>200</v>
      </c>
      <c r="C2392" s="5">
        <v>2010</v>
      </c>
      <c r="D2392" s="4">
        <v>22616000000</v>
      </c>
      <c r="E2392" s="4">
        <v>12201000000</v>
      </c>
      <c r="F2392" s="4" t="str">
        <f>_xlfn.LET(_xlpm.r, _xlfn.XLOOKUP(Clean_Data[[#This Row],[Country_Code]], Metadata_Country!$A:$A, Metadata_Country!$B:$B, "Unknown"), IF(OR(_xlpm.r=0, _xlpm.r=""), "Regional Aggregate", _xlpm.r))</f>
        <v>Regional Aggregate</v>
      </c>
      <c r="G2392" s="4" t="str">
        <f>_xlfn.LET(_xlpm.ig, _xlfn.XLOOKUP(Clean_Data[[#This Row],[Country_Code]], Metadata_Country!$A:$A, Metadata_Country!$C:$C, "Unknown"), IF(OR(_xlpm.ig=0, _xlpm.ig=""), "Regional Aggregate", _xlpm.ig))</f>
        <v>Regional Aggregate</v>
      </c>
      <c r="H2392" s="4">
        <f>Clean_Data[[#This Row],[Exports_TIV]] - Clean_Data[[#This Row],[Imports_TIV]]</f>
        <v>10415000000</v>
      </c>
      <c r="I2392" s="4">
        <f>Clean_Data[[#This Row],[Exports_TIV]] + Clean_Data[[#This Row],[Imports_TIV]]</f>
        <v>34817000000</v>
      </c>
    </row>
    <row r="2393" spans="1:9">
      <c r="A2393" s="4" t="s">
        <v>211</v>
      </c>
      <c r="B2393" s="4" t="s">
        <v>212</v>
      </c>
      <c r="C2393" s="5">
        <v>2010</v>
      </c>
      <c r="D2393" s="4">
        <v>0</v>
      </c>
      <c r="E2393" s="4">
        <v>18000000</v>
      </c>
      <c r="F2393" s="4" t="str">
        <f>_xlfn.LET(_xlpm.r, _xlfn.XLOOKUP(Clean_Data[[#This Row],[Country_Code]], Metadata_Country!$A:$A, Metadata_Country!$B:$B, "Unknown"), IF(OR(_xlpm.r=0, _xlpm.r=""), "Regional Aggregate", _xlpm.r))</f>
        <v>Europe &amp; Central Asia</v>
      </c>
      <c r="G2393" s="4" t="str">
        <f>_xlfn.LET(_xlpm.ig, _xlfn.XLOOKUP(Clean_Data[[#This Row],[Country_Code]], Metadata_Country!$A:$A, Metadata_Country!$C:$C, "Unknown"), IF(OR(_xlpm.ig=0, _xlpm.ig=""), "Regional Aggregate", _xlpm.ig))</f>
        <v>High income</v>
      </c>
      <c r="H2393" s="4">
        <f>Clean_Data[[#This Row],[Exports_TIV]] - Clean_Data[[#This Row],[Imports_TIV]]</f>
        <v>-18000000</v>
      </c>
      <c r="I2393" s="4">
        <f>Clean_Data[[#This Row],[Exports_TIV]] + Clean_Data[[#This Row],[Imports_TIV]]</f>
        <v>18000000</v>
      </c>
    </row>
    <row r="2394" spans="1:9">
      <c r="A2394" s="4" t="s">
        <v>213</v>
      </c>
      <c r="B2394" s="4" t="s">
        <v>214</v>
      </c>
      <c r="C2394" s="5">
        <v>2010</v>
      </c>
      <c r="D2394" s="4">
        <v>0</v>
      </c>
      <c r="E2394" s="4">
        <v>10082000000</v>
      </c>
      <c r="F2394" s="4" t="str">
        <f>_xlfn.LET(_xlpm.r, _xlfn.XLOOKUP(Clean_Data[[#This Row],[Country_Code]], Metadata_Country!$A:$A, Metadata_Country!$B:$B, "Unknown"), IF(OR(_xlpm.r=0, _xlpm.r=""), "Regional Aggregate", _xlpm.r))</f>
        <v>Regional Aggregate</v>
      </c>
      <c r="G2394" s="4" t="str">
        <f>_xlfn.LET(_xlpm.ig, _xlfn.XLOOKUP(Clean_Data[[#This Row],[Country_Code]], Metadata_Country!$A:$A, Metadata_Country!$C:$C, "Unknown"), IF(OR(_xlpm.ig=0, _xlpm.ig=""), "Regional Aggregate", _xlpm.ig))</f>
        <v>Regional Aggregate</v>
      </c>
      <c r="H2394" s="4">
        <f>Clean_Data[[#This Row],[Exports_TIV]] - Clean_Data[[#This Row],[Imports_TIV]]</f>
        <v>-10082000000</v>
      </c>
      <c r="I2394" s="4">
        <f>Clean_Data[[#This Row],[Exports_TIV]] + Clean_Data[[#This Row],[Imports_TIV]]</f>
        <v>10082000000</v>
      </c>
    </row>
    <row r="2395" spans="1:9">
      <c r="A2395" s="4" t="s">
        <v>215</v>
      </c>
      <c r="B2395" s="4" t="s">
        <v>216</v>
      </c>
      <c r="C2395" s="5">
        <v>2010</v>
      </c>
      <c r="D2395" s="4">
        <v>0</v>
      </c>
      <c r="E2395" s="4">
        <v>14434000000</v>
      </c>
      <c r="F2395" s="4" t="str">
        <f>_xlfn.LET(_xlpm.r, _xlfn.XLOOKUP(Clean_Data[[#This Row],[Country_Code]], Metadata_Country!$A:$A, Metadata_Country!$B:$B, "Unknown"), IF(OR(_xlpm.r=0, _xlpm.r=""), "Regional Aggregate", _xlpm.r))</f>
        <v>Regional Aggregate</v>
      </c>
      <c r="G2395" s="4" t="str">
        <f>_xlfn.LET(_xlpm.ig, _xlfn.XLOOKUP(Clean_Data[[#This Row],[Country_Code]], Metadata_Country!$A:$A, Metadata_Country!$C:$C, "Unknown"), IF(OR(_xlpm.ig=0, _xlpm.ig=""), "Regional Aggregate", _xlpm.ig))</f>
        <v>Regional Aggregate</v>
      </c>
      <c r="H2395" s="4">
        <f>Clean_Data[[#This Row],[Exports_TIV]] - Clean_Data[[#This Row],[Imports_TIV]]</f>
        <v>-14434000000</v>
      </c>
      <c r="I2395" s="4">
        <f>Clean_Data[[#This Row],[Exports_TIV]] + Clean_Data[[#This Row],[Imports_TIV]]</f>
        <v>14434000000</v>
      </c>
    </row>
    <row r="2396" spans="1:9">
      <c r="A2396" s="4" t="s">
        <v>219</v>
      </c>
      <c r="B2396" s="4" t="s">
        <v>220</v>
      </c>
      <c r="C2396" s="5">
        <v>2010</v>
      </c>
      <c r="D2396" s="4">
        <v>0</v>
      </c>
      <c r="E2396" s="4">
        <v>2641000000</v>
      </c>
      <c r="F2396" s="4" t="str">
        <f>_xlfn.LET(_xlpm.r, _xlfn.XLOOKUP(Clean_Data[[#This Row],[Country_Code]], Metadata_Country!$A:$A, Metadata_Country!$B:$B, "Unknown"), IF(OR(_xlpm.r=0, _xlpm.r=""), "Regional Aggregate", _xlpm.r))</f>
        <v>Regional Aggregate</v>
      </c>
      <c r="G2396" s="4" t="str">
        <f>_xlfn.LET(_xlpm.ig, _xlfn.XLOOKUP(Clean_Data[[#This Row],[Country_Code]], Metadata_Country!$A:$A, Metadata_Country!$C:$C, "Unknown"), IF(OR(_xlpm.ig=0, _xlpm.ig=""), "Regional Aggregate", _xlpm.ig))</f>
        <v>Regional Aggregate</v>
      </c>
      <c r="H2396" s="4">
        <f>Clean_Data[[#This Row],[Exports_TIV]] - Clean_Data[[#This Row],[Imports_TIV]]</f>
        <v>-2641000000</v>
      </c>
      <c r="I2396" s="4">
        <f>Clean_Data[[#This Row],[Exports_TIV]] + Clean_Data[[#This Row],[Imports_TIV]]</f>
        <v>2641000000</v>
      </c>
    </row>
    <row r="2397" spans="1:9">
      <c r="A2397" s="4" t="s">
        <v>223</v>
      </c>
      <c r="B2397" s="4" t="s">
        <v>224</v>
      </c>
      <c r="C2397" s="5">
        <v>2010</v>
      </c>
      <c r="D2397" s="4">
        <v>0</v>
      </c>
      <c r="E2397" s="4">
        <v>1711000000</v>
      </c>
      <c r="F2397" s="4" t="str">
        <f>_xlfn.LET(_xlpm.r, _xlfn.XLOOKUP(Clean_Data[[#This Row],[Country_Code]], Metadata_Country!$A:$A, Metadata_Country!$B:$B, "Unknown"), IF(OR(_xlpm.r=0, _xlpm.r=""), "Regional Aggregate", _xlpm.r))</f>
        <v>Regional Aggregate</v>
      </c>
      <c r="G2397" s="4" t="str">
        <f>_xlfn.LET(_xlpm.ig, _xlfn.XLOOKUP(Clean_Data[[#This Row],[Country_Code]], Metadata_Country!$A:$A, Metadata_Country!$C:$C, "Unknown"), IF(OR(_xlpm.ig=0, _xlpm.ig=""), "Regional Aggregate", _xlpm.ig))</f>
        <v>Regional Aggregate</v>
      </c>
      <c r="H2397" s="4">
        <f>Clean_Data[[#This Row],[Exports_TIV]] - Clean_Data[[#This Row],[Imports_TIV]]</f>
        <v>-1711000000</v>
      </c>
      <c r="I2397" s="4">
        <f>Clean_Data[[#This Row],[Exports_TIV]] + Clean_Data[[#This Row],[Imports_TIV]]</f>
        <v>1711000000</v>
      </c>
    </row>
    <row r="2398" spans="1:9">
      <c r="A2398" s="4" t="s">
        <v>217</v>
      </c>
      <c r="B2398" s="4" t="s">
        <v>218</v>
      </c>
      <c r="C2398" s="5">
        <v>2010</v>
      </c>
      <c r="D2398" s="4">
        <v>0</v>
      </c>
      <c r="E2398" s="4">
        <v>4352000000</v>
      </c>
      <c r="F2398" s="4" t="str">
        <f>_xlfn.LET(_xlpm.r, _xlfn.XLOOKUP(Clean_Data[[#This Row],[Country_Code]], Metadata_Country!$A:$A, Metadata_Country!$B:$B, "Unknown"), IF(OR(_xlpm.r=0, _xlpm.r=""), "Regional Aggregate", _xlpm.r))</f>
        <v>Regional Aggregate</v>
      </c>
      <c r="G2398" s="4" t="str">
        <f>_xlfn.LET(_xlpm.ig, _xlfn.XLOOKUP(Clean_Data[[#This Row],[Country_Code]], Metadata_Country!$A:$A, Metadata_Country!$C:$C, "Unknown"), IF(OR(_xlpm.ig=0, _xlpm.ig=""), "Regional Aggregate", _xlpm.ig))</f>
        <v>Regional Aggregate</v>
      </c>
      <c r="H2398" s="4">
        <f>Clean_Data[[#This Row],[Exports_TIV]] - Clean_Data[[#This Row],[Imports_TIV]]</f>
        <v>-4352000000</v>
      </c>
      <c r="I2398" s="4">
        <f>Clean_Data[[#This Row],[Exports_TIV]] + Clean_Data[[#This Row],[Imports_TIV]]</f>
        <v>4352000000</v>
      </c>
    </row>
    <row r="2399" spans="1:9">
      <c r="A2399" s="4" t="s">
        <v>227</v>
      </c>
      <c r="B2399" s="4" t="s">
        <v>228</v>
      </c>
      <c r="C2399" s="5">
        <v>2010</v>
      </c>
      <c r="D2399" s="4">
        <v>5000000</v>
      </c>
      <c r="E2399" s="4">
        <v>2897000000</v>
      </c>
      <c r="F2399" s="4" t="str">
        <f>_xlfn.LET(_xlpm.r, _xlfn.XLOOKUP(Clean_Data[[#This Row],[Country_Code]], Metadata_Country!$A:$A, Metadata_Country!$B:$B, "Unknown"), IF(OR(_xlpm.r=0, _xlpm.r=""), "Regional Aggregate", _xlpm.r))</f>
        <v>South Asia</v>
      </c>
      <c r="G2399" s="4" t="str">
        <f>_xlfn.LET(_xlpm.ig, _xlfn.XLOOKUP(Clean_Data[[#This Row],[Country_Code]], Metadata_Country!$A:$A, Metadata_Country!$C:$C, "Unknown"), IF(OR(_xlpm.ig=0, _xlpm.ig=""), "Regional Aggregate", _xlpm.ig))</f>
        <v>Lower middle income</v>
      </c>
      <c r="H2399" s="4">
        <f>Clean_Data[[#This Row],[Exports_TIV]] - Clean_Data[[#This Row],[Imports_TIV]]</f>
        <v>-2892000000</v>
      </c>
      <c r="I2399" s="4">
        <f>Clean_Data[[#This Row],[Exports_TIV]] + Clean_Data[[#This Row],[Imports_TIV]]</f>
        <v>2902000000</v>
      </c>
    </row>
    <row r="2400" spans="1:9">
      <c r="A2400" s="4" t="s">
        <v>221</v>
      </c>
      <c r="B2400" s="4" t="s">
        <v>222</v>
      </c>
      <c r="C2400" s="5">
        <v>2010</v>
      </c>
      <c r="D2400" s="4">
        <v>0</v>
      </c>
      <c r="E2400" s="4">
        <v>221000000</v>
      </c>
      <c r="F2400" s="4" t="str">
        <f>_xlfn.LET(_xlpm.r, _xlfn.XLOOKUP(Clean_Data[[#This Row],[Country_Code]], Metadata_Country!$A:$A, Metadata_Country!$B:$B, "Unknown"), IF(OR(_xlpm.r=0, _xlpm.r=""), "Regional Aggregate", _xlpm.r))</f>
        <v>East Asia &amp; Pacific</v>
      </c>
      <c r="G2400" s="4" t="str">
        <f>_xlfn.LET(_xlpm.ig, _xlfn.XLOOKUP(Clean_Data[[#This Row],[Country_Code]], Metadata_Country!$A:$A, Metadata_Country!$C:$C, "Unknown"), IF(OR(_xlpm.ig=0, _xlpm.ig=""), "Regional Aggregate", _xlpm.ig))</f>
        <v>Upper middle income</v>
      </c>
      <c r="H2400" s="4">
        <f>Clean_Data[[#This Row],[Exports_TIV]] - Clean_Data[[#This Row],[Imports_TIV]]</f>
        <v>-221000000</v>
      </c>
      <c r="I2400" s="4">
        <f>Clean_Data[[#This Row],[Exports_TIV]] + Clean_Data[[#This Row],[Imports_TIV]]</f>
        <v>221000000</v>
      </c>
    </row>
    <row r="2401" spans="1:9">
      <c r="A2401" s="4" t="s">
        <v>233</v>
      </c>
      <c r="B2401" s="4" t="s">
        <v>234</v>
      </c>
      <c r="C2401" s="5">
        <v>2010</v>
      </c>
      <c r="D2401" s="4">
        <v>54000000</v>
      </c>
      <c r="E2401" s="4">
        <v>87000000</v>
      </c>
      <c r="F2401" s="4" t="str">
        <f>_xlfn.LET(_xlpm.r, _xlfn.XLOOKUP(Clean_Data[[#This Row],[Country_Code]], Metadata_Country!$A:$A, Metadata_Country!$B:$B, "Unknown"), IF(OR(_xlpm.r=0, _xlpm.r=""), "Regional Aggregate", _xlpm.r))</f>
        <v>Middle East &amp; North Africa</v>
      </c>
      <c r="G2401" s="4" t="str">
        <f>_xlfn.LET(_xlpm.ig, _xlfn.XLOOKUP(Clean_Data[[#This Row],[Country_Code]], Metadata_Country!$A:$A, Metadata_Country!$C:$C, "Unknown"), IF(OR(_xlpm.ig=0, _xlpm.ig=""), "Regional Aggregate", _xlpm.ig))</f>
        <v>Upper middle income</v>
      </c>
      <c r="H2401" s="4">
        <f>Clean_Data[[#This Row],[Exports_TIV]] - Clean_Data[[#This Row],[Imports_TIV]]</f>
        <v>-33000000</v>
      </c>
      <c r="I2401" s="4">
        <f>Clean_Data[[#This Row],[Exports_TIV]] + Clean_Data[[#This Row],[Imports_TIV]]</f>
        <v>141000000</v>
      </c>
    </row>
    <row r="2402" spans="1:9">
      <c r="A2402" s="4" t="s">
        <v>235</v>
      </c>
      <c r="B2402" s="4" t="s">
        <v>236</v>
      </c>
      <c r="C2402" s="5">
        <v>2010</v>
      </c>
      <c r="D2402" s="4">
        <v>0</v>
      </c>
      <c r="E2402" s="4">
        <v>480000000</v>
      </c>
      <c r="F2402" s="4" t="str">
        <f>_xlfn.LET(_xlpm.r, _xlfn.XLOOKUP(Clean_Data[[#This Row],[Country_Code]], Metadata_Country!$A:$A, Metadata_Country!$B:$B, "Unknown"), IF(OR(_xlpm.r=0, _xlpm.r=""), "Regional Aggregate", _xlpm.r))</f>
        <v>Middle East &amp; North Africa</v>
      </c>
      <c r="G2402" s="4" t="str">
        <f>_xlfn.LET(_xlpm.ig, _xlfn.XLOOKUP(Clean_Data[[#This Row],[Country_Code]], Metadata_Country!$A:$A, Metadata_Country!$C:$C, "Unknown"), IF(OR(_xlpm.ig=0, _xlpm.ig=""), "Regional Aggregate", _xlpm.ig))</f>
        <v>Upper middle income</v>
      </c>
      <c r="H2402" s="4">
        <f>Clean_Data[[#This Row],[Exports_TIV]] - Clean_Data[[#This Row],[Imports_TIV]]</f>
        <v>-480000000</v>
      </c>
      <c r="I2402" s="4">
        <f>Clean_Data[[#This Row],[Exports_TIV]] + Clean_Data[[#This Row],[Imports_TIV]]</f>
        <v>480000000</v>
      </c>
    </row>
    <row r="2403" spans="1:9">
      <c r="A2403" s="4" t="s">
        <v>231</v>
      </c>
      <c r="B2403" s="4" t="s">
        <v>232</v>
      </c>
      <c r="C2403" s="5">
        <v>2010</v>
      </c>
      <c r="D2403" s="4">
        <v>42000000</v>
      </c>
      <c r="E2403" s="4">
        <v>4000000</v>
      </c>
      <c r="F2403" s="4" t="str">
        <f>_xlfn.LET(_xlpm.r, _xlfn.XLOOKUP(Clean_Data[[#This Row],[Country_Code]], Metadata_Country!$A:$A, Metadata_Country!$B:$B, "Unknown"), IF(OR(_xlpm.r=0, _xlpm.r=""), "Regional Aggregate", _xlpm.r))</f>
        <v>Europe &amp; Central Asia</v>
      </c>
      <c r="G2403" s="4" t="str">
        <f>_xlfn.LET(_xlpm.ig, _xlfn.XLOOKUP(Clean_Data[[#This Row],[Country_Code]], Metadata_Country!$A:$A, Metadata_Country!$C:$C, "Unknown"), IF(OR(_xlpm.ig=0, _xlpm.ig=""), "Regional Aggregate", _xlpm.ig))</f>
        <v>High income</v>
      </c>
      <c r="H2403" s="4">
        <f>Clean_Data[[#This Row],[Exports_TIV]] - Clean_Data[[#This Row],[Imports_TIV]]</f>
        <v>38000000</v>
      </c>
      <c r="I2403" s="4">
        <f>Clean_Data[[#This Row],[Exports_TIV]] + Clean_Data[[#This Row],[Imports_TIV]]</f>
        <v>46000000</v>
      </c>
    </row>
    <row r="2404" spans="1:9">
      <c r="A2404" s="4" t="s">
        <v>239</v>
      </c>
      <c r="B2404" s="4" t="s">
        <v>240</v>
      </c>
      <c r="C2404" s="5">
        <v>2010</v>
      </c>
      <c r="D2404" s="4">
        <v>695000000</v>
      </c>
      <c r="E2404" s="4">
        <v>76000000</v>
      </c>
      <c r="F2404" s="4" t="str">
        <f>_xlfn.LET(_xlpm.r, _xlfn.XLOOKUP(Clean_Data[[#This Row],[Country_Code]], Metadata_Country!$A:$A, Metadata_Country!$B:$B, "Unknown"), IF(OR(_xlpm.r=0, _xlpm.r=""), "Regional Aggregate", _xlpm.r))</f>
        <v>Middle East &amp; North Africa</v>
      </c>
      <c r="G2404" s="4" t="str">
        <f>_xlfn.LET(_xlpm.ig, _xlfn.XLOOKUP(Clean_Data[[#This Row],[Country_Code]], Metadata_Country!$A:$A, Metadata_Country!$C:$C, "Unknown"), IF(OR(_xlpm.ig=0, _xlpm.ig=""), "Regional Aggregate", _xlpm.ig))</f>
        <v>High income</v>
      </c>
      <c r="H2404" s="4">
        <f>Clean_Data[[#This Row],[Exports_TIV]] - Clean_Data[[#This Row],[Imports_TIV]]</f>
        <v>619000000</v>
      </c>
      <c r="I2404" s="4">
        <f>Clean_Data[[#This Row],[Exports_TIV]] + Clean_Data[[#This Row],[Imports_TIV]]</f>
        <v>771000000</v>
      </c>
    </row>
    <row r="2405" spans="1:9">
      <c r="A2405" s="4" t="s">
        <v>241</v>
      </c>
      <c r="B2405" s="4" t="s">
        <v>242</v>
      </c>
      <c r="C2405" s="5">
        <v>2010</v>
      </c>
      <c r="D2405" s="4">
        <v>577000000</v>
      </c>
      <c r="E2405" s="4">
        <v>98000000</v>
      </c>
      <c r="F2405" s="4" t="str">
        <f>_xlfn.LET(_xlpm.r, _xlfn.XLOOKUP(Clean_Data[[#This Row],[Country_Code]], Metadata_Country!$A:$A, Metadata_Country!$B:$B, "Unknown"), IF(OR(_xlpm.r=0, _xlpm.r=""), "Regional Aggregate", _xlpm.r))</f>
        <v>Europe &amp; Central Asia</v>
      </c>
      <c r="G2405" s="4" t="str">
        <f>_xlfn.LET(_xlpm.ig, _xlfn.XLOOKUP(Clean_Data[[#This Row],[Country_Code]], Metadata_Country!$A:$A, Metadata_Country!$C:$C, "Unknown"), IF(OR(_xlpm.ig=0, _xlpm.ig=""), "Regional Aggregate", _xlpm.ig))</f>
        <v>High income</v>
      </c>
      <c r="H2405" s="4">
        <f>Clean_Data[[#This Row],[Exports_TIV]] - Clean_Data[[#This Row],[Imports_TIV]]</f>
        <v>479000000</v>
      </c>
      <c r="I2405" s="4">
        <f>Clean_Data[[#This Row],[Exports_TIV]] + Clean_Data[[#This Row],[Imports_TIV]]</f>
        <v>675000000</v>
      </c>
    </row>
    <row r="2406" spans="1:9">
      <c r="A2406" s="4" t="s">
        <v>243</v>
      </c>
      <c r="B2406" s="4" t="s">
        <v>244</v>
      </c>
      <c r="C2406" s="5">
        <v>2010</v>
      </c>
      <c r="D2406" s="4">
        <v>0</v>
      </c>
      <c r="E2406" s="4">
        <v>1000000</v>
      </c>
      <c r="F2406" s="4" t="str">
        <f>_xlfn.LET(_xlpm.r, _xlfn.XLOOKUP(Clean_Data[[#This Row],[Country_Code]], Metadata_Country!$A:$A, Metadata_Country!$B:$B, "Unknown"), IF(OR(_xlpm.r=0, _xlpm.r=""), "Regional Aggregate", _xlpm.r))</f>
        <v>Latin America &amp; Caribbean</v>
      </c>
      <c r="G2406" s="4" t="str">
        <f>_xlfn.LET(_xlpm.ig, _xlfn.XLOOKUP(Clean_Data[[#This Row],[Country_Code]], Metadata_Country!$A:$A, Metadata_Country!$C:$C, "Unknown"), IF(OR(_xlpm.ig=0, _xlpm.ig=""), "Regional Aggregate", _xlpm.ig))</f>
        <v>Upper middle income</v>
      </c>
      <c r="H2406" s="4">
        <f>Clean_Data[[#This Row],[Exports_TIV]] - Clean_Data[[#This Row],[Imports_TIV]]</f>
        <v>-1000000</v>
      </c>
      <c r="I2406" s="4">
        <f>Clean_Data[[#This Row],[Exports_TIV]] + Clean_Data[[#This Row],[Imports_TIV]]</f>
        <v>1000000</v>
      </c>
    </row>
    <row r="2407" spans="1:9">
      <c r="A2407" s="4" t="s">
        <v>247</v>
      </c>
      <c r="B2407" s="4" t="s">
        <v>248</v>
      </c>
      <c r="C2407" s="5">
        <v>2010</v>
      </c>
      <c r="D2407" s="4">
        <v>0</v>
      </c>
      <c r="E2407" s="4">
        <v>658000000</v>
      </c>
      <c r="F2407" s="4" t="str">
        <f>_xlfn.LET(_xlpm.r, _xlfn.XLOOKUP(Clean_Data[[#This Row],[Country_Code]], Metadata_Country!$A:$A, Metadata_Country!$B:$B, "Unknown"), IF(OR(_xlpm.r=0, _xlpm.r=""), "Regional Aggregate", _xlpm.r))</f>
        <v>East Asia &amp; Pacific</v>
      </c>
      <c r="G2407" s="4" t="str">
        <f>_xlfn.LET(_xlpm.ig, _xlfn.XLOOKUP(Clean_Data[[#This Row],[Country_Code]], Metadata_Country!$A:$A, Metadata_Country!$C:$C, "Unknown"), IF(OR(_xlpm.ig=0, _xlpm.ig=""), "Regional Aggregate", _xlpm.ig))</f>
        <v>High income</v>
      </c>
      <c r="H2407" s="4">
        <f>Clean_Data[[#This Row],[Exports_TIV]] - Clean_Data[[#This Row],[Imports_TIV]]</f>
        <v>-658000000</v>
      </c>
      <c r="I2407" s="4">
        <f>Clean_Data[[#This Row],[Exports_TIV]] + Clean_Data[[#This Row],[Imports_TIV]]</f>
        <v>658000000</v>
      </c>
    </row>
    <row r="2408" spans="1:9">
      <c r="A2408" s="4" t="s">
        <v>245</v>
      </c>
      <c r="B2408" s="4" t="s">
        <v>246</v>
      </c>
      <c r="C2408" s="5">
        <v>2010</v>
      </c>
      <c r="D2408" s="4">
        <v>117000000</v>
      </c>
      <c r="E2408" s="4">
        <v>87000000</v>
      </c>
      <c r="F2408" s="4" t="str">
        <f>_xlfn.LET(_xlpm.r, _xlfn.XLOOKUP(Clean_Data[[#This Row],[Country_Code]], Metadata_Country!$A:$A, Metadata_Country!$B:$B, "Unknown"), IF(OR(_xlpm.r=0, _xlpm.r=""), "Regional Aggregate", _xlpm.r))</f>
        <v>Middle East &amp; North Africa</v>
      </c>
      <c r="G2408" s="4" t="str">
        <f>_xlfn.LET(_xlpm.ig, _xlfn.XLOOKUP(Clean_Data[[#This Row],[Country_Code]], Metadata_Country!$A:$A, Metadata_Country!$C:$C, "Unknown"), IF(OR(_xlpm.ig=0, _xlpm.ig=""), "Regional Aggregate", _xlpm.ig))</f>
        <v>Upper middle income</v>
      </c>
      <c r="H2408" s="4">
        <f>Clean_Data[[#This Row],[Exports_TIV]] - Clean_Data[[#This Row],[Imports_TIV]]</f>
        <v>30000000</v>
      </c>
      <c r="I2408" s="4">
        <f>Clean_Data[[#This Row],[Exports_TIV]] + Clean_Data[[#This Row],[Imports_TIV]]</f>
        <v>204000000</v>
      </c>
    </row>
    <row r="2409" spans="1:9">
      <c r="A2409" s="4" t="s">
        <v>249</v>
      </c>
      <c r="B2409" s="4" t="s">
        <v>250</v>
      </c>
      <c r="C2409" s="5">
        <v>2010</v>
      </c>
      <c r="D2409" s="4">
        <v>0</v>
      </c>
      <c r="E2409" s="4">
        <v>59000000</v>
      </c>
      <c r="F2409" s="4" t="str">
        <f>_xlfn.LET(_xlpm.r, _xlfn.XLOOKUP(Clean_Data[[#This Row],[Country_Code]], Metadata_Country!$A:$A, Metadata_Country!$B:$B, "Unknown"), IF(OR(_xlpm.r=0, _xlpm.r=""), "Regional Aggregate", _xlpm.r))</f>
        <v>Europe &amp; Central Asia</v>
      </c>
      <c r="G2409" s="4" t="str">
        <f>_xlfn.LET(_xlpm.ig, _xlfn.XLOOKUP(Clean_Data[[#This Row],[Country_Code]], Metadata_Country!$A:$A, Metadata_Country!$C:$C, "Unknown"), IF(OR(_xlpm.ig=0, _xlpm.ig=""), "Regional Aggregate", _xlpm.ig))</f>
        <v>Upper middle income</v>
      </c>
      <c r="H2409" s="4">
        <f>Clean_Data[[#This Row],[Exports_TIV]] - Clean_Data[[#This Row],[Imports_TIV]]</f>
        <v>-59000000</v>
      </c>
      <c r="I2409" s="4">
        <f>Clean_Data[[#This Row],[Exports_TIV]] + Clean_Data[[#This Row],[Imports_TIV]]</f>
        <v>59000000</v>
      </c>
    </row>
    <row r="2410" spans="1:9">
      <c r="A2410" s="4" t="s">
        <v>251</v>
      </c>
      <c r="B2410" s="4" t="s">
        <v>252</v>
      </c>
      <c r="C2410" s="5">
        <v>2010</v>
      </c>
      <c r="D2410" s="4">
        <v>0</v>
      </c>
      <c r="E2410" s="4">
        <v>96000000</v>
      </c>
      <c r="F2410" s="4" t="str">
        <f>_xlfn.LET(_xlpm.r, _xlfn.XLOOKUP(Clean_Data[[#This Row],[Country_Code]], Metadata_Country!$A:$A, Metadata_Country!$B:$B, "Unknown"), IF(OR(_xlpm.r=0, _xlpm.r=""), "Regional Aggregate", _xlpm.r))</f>
        <v>Sub-Saharan Africa</v>
      </c>
      <c r="G2410" s="4" t="str">
        <f>_xlfn.LET(_xlpm.ig, _xlfn.XLOOKUP(Clean_Data[[#This Row],[Country_Code]], Metadata_Country!$A:$A, Metadata_Country!$C:$C, "Unknown"), IF(OR(_xlpm.ig=0, _xlpm.ig=""), "Regional Aggregate", _xlpm.ig))</f>
        <v>Lower middle income</v>
      </c>
      <c r="H2410" s="4">
        <f>Clean_Data[[#This Row],[Exports_TIV]] - Clean_Data[[#This Row],[Imports_TIV]]</f>
        <v>-96000000</v>
      </c>
      <c r="I2410" s="4">
        <f>Clean_Data[[#This Row],[Exports_TIV]] + Clean_Data[[#This Row],[Imports_TIV]]</f>
        <v>96000000</v>
      </c>
    </row>
    <row r="2411" spans="1:9">
      <c r="A2411" s="4" t="s">
        <v>395</v>
      </c>
      <c r="B2411" s="4" t="s">
        <v>396</v>
      </c>
      <c r="C2411" s="5">
        <v>2010</v>
      </c>
      <c r="D2411" s="4">
        <v>7000000</v>
      </c>
      <c r="E2411" s="4">
        <v>1000000</v>
      </c>
      <c r="F2411" s="4" t="str">
        <f>_xlfn.LET(_xlpm.r, _xlfn.XLOOKUP(Clean_Data[[#This Row],[Country_Code]], Metadata_Country!$A:$A, Metadata_Country!$B:$B, "Unknown"), IF(OR(_xlpm.r=0, _xlpm.r=""), "Regional Aggregate", _xlpm.r))</f>
        <v>East Asia &amp; Pacific</v>
      </c>
      <c r="G2411" s="4" t="str">
        <f>_xlfn.LET(_xlpm.ig, _xlfn.XLOOKUP(Clean_Data[[#This Row],[Country_Code]], Metadata_Country!$A:$A, Metadata_Country!$C:$C, "Unknown"), IF(OR(_xlpm.ig=0, _xlpm.ig=""), "Regional Aggregate", _xlpm.ig))</f>
        <v>Low income</v>
      </c>
      <c r="H2411" s="4">
        <f>Clean_Data[[#This Row],[Exports_TIV]] - Clean_Data[[#This Row],[Imports_TIV]]</f>
        <v>6000000</v>
      </c>
      <c r="I2411" s="4">
        <f>Clean_Data[[#This Row],[Exports_TIV]] + Clean_Data[[#This Row],[Imports_TIV]]</f>
        <v>8000000</v>
      </c>
    </row>
    <row r="2412" spans="1:9">
      <c r="A2412" s="4" t="s">
        <v>261</v>
      </c>
      <c r="B2412" s="4" t="s">
        <v>262</v>
      </c>
      <c r="C2412" s="5">
        <v>2010</v>
      </c>
      <c r="D2412" s="4">
        <v>177000000</v>
      </c>
      <c r="E2412" s="4">
        <v>1299000000</v>
      </c>
      <c r="F2412" s="4" t="str">
        <f>_xlfn.LET(_xlpm.r, _xlfn.XLOOKUP(Clean_Data[[#This Row],[Country_Code]], Metadata_Country!$A:$A, Metadata_Country!$B:$B, "Unknown"), IF(OR(_xlpm.r=0, _xlpm.r=""), "Regional Aggregate", _xlpm.r))</f>
        <v>East Asia &amp; Pacific</v>
      </c>
      <c r="G2412" s="4" t="str">
        <f>_xlfn.LET(_xlpm.ig, _xlfn.XLOOKUP(Clean_Data[[#This Row],[Country_Code]], Metadata_Country!$A:$A, Metadata_Country!$C:$C, "Unknown"), IF(OR(_xlpm.ig=0, _xlpm.ig=""), "Regional Aggregate", _xlpm.ig))</f>
        <v>High income</v>
      </c>
      <c r="H2412" s="4">
        <f>Clean_Data[[#This Row],[Exports_TIV]] - Clean_Data[[#This Row],[Imports_TIV]]</f>
        <v>-1122000000</v>
      </c>
      <c r="I2412" s="4">
        <f>Clean_Data[[#This Row],[Exports_TIV]] + Clean_Data[[#This Row],[Imports_TIV]]</f>
        <v>1476000000</v>
      </c>
    </row>
    <row r="2413" spans="1:9">
      <c r="A2413" s="4" t="s">
        <v>263</v>
      </c>
      <c r="B2413" s="4" t="s">
        <v>264</v>
      </c>
      <c r="C2413" s="5">
        <v>2010</v>
      </c>
      <c r="D2413" s="4">
        <v>0</v>
      </c>
      <c r="E2413" s="4">
        <v>87000000</v>
      </c>
      <c r="F2413" s="4" t="str">
        <f>_xlfn.LET(_xlpm.r, _xlfn.XLOOKUP(Clean_Data[[#This Row],[Country_Code]], Metadata_Country!$A:$A, Metadata_Country!$B:$B, "Unknown"), IF(OR(_xlpm.r=0, _xlpm.r=""), "Regional Aggregate", _xlpm.r))</f>
        <v>Middle East &amp; North Africa</v>
      </c>
      <c r="G2413" s="4" t="str">
        <f>_xlfn.LET(_xlpm.ig, _xlfn.XLOOKUP(Clean_Data[[#This Row],[Country_Code]], Metadata_Country!$A:$A, Metadata_Country!$C:$C, "Unknown"), IF(OR(_xlpm.ig=0, _xlpm.ig=""), "Regional Aggregate", _xlpm.ig))</f>
        <v>High income</v>
      </c>
      <c r="H2413" s="4">
        <f>Clean_Data[[#This Row],[Exports_TIV]] - Clean_Data[[#This Row],[Imports_TIV]]</f>
        <v>-87000000</v>
      </c>
      <c r="I2413" s="4">
        <f>Clean_Data[[#This Row],[Exports_TIV]] + Clean_Data[[#This Row],[Imports_TIV]]</f>
        <v>87000000</v>
      </c>
    </row>
    <row r="2414" spans="1:9">
      <c r="A2414" s="4" t="s">
        <v>293</v>
      </c>
      <c r="B2414" s="4" t="s">
        <v>294</v>
      </c>
      <c r="C2414" s="5">
        <v>2010</v>
      </c>
      <c r="D2414" s="4">
        <v>8071000000</v>
      </c>
      <c r="E2414" s="4">
        <v>4409000000</v>
      </c>
      <c r="F2414" s="4" t="str">
        <f>_xlfn.LET(_xlpm.r, _xlfn.XLOOKUP(Clean_Data[[#This Row],[Country_Code]], Metadata_Country!$A:$A, Metadata_Country!$B:$B, "Unknown"), IF(OR(_xlpm.r=0, _xlpm.r=""), "Regional Aggregate", _xlpm.r))</f>
        <v>Regional Aggregate</v>
      </c>
      <c r="G2414" s="4" t="str">
        <f>_xlfn.LET(_xlpm.ig, _xlfn.XLOOKUP(Clean_Data[[#This Row],[Country_Code]], Metadata_Country!$A:$A, Metadata_Country!$C:$C, "Unknown"), IF(OR(_xlpm.ig=0, _xlpm.ig=""), "Regional Aggregate", _xlpm.ig))</f>
        <v>Regional Aggregate</v>
      </c>
      <c r="H2414" s="4">
        <f>Clean_Data[[#This Row],[Exports_TIV]] - Clean_Data[[#This Row],[Imports_TIV]]</f>
        <v>3662000000</v>
      </c>
      <c r="I2414" s="4">
        <f>Clean_Data[[#This Row],[Exports_TIV]] + Clean_Data[[#This Row],[Imports_TIV]]</f>
        <v>12480000000</v>
      </c>
    </row>
    <row r="2415" spans="1:9">
      <c r="A2415" s="4" t="s">
        <v>277</v>
      </c>
      <c r="B2415" s="4" t="s">
        <v>278</v>
      </c>
      <c r="C2415" s="5">
        <v>2010</v>
      </c>
      <c r="D2415" s="4">
        <v>0</v>
      </c>
      <c r="E2415" s="4">
        <v>1558000000</v>
      </c>
      <c r="F2415" s="4" t="str">
        <f>_xlfn.LET(_xlpm.r, _xlfn.XLOOKUP(Clean_Data[[#This Row],[Country_Code]], Metadata_Country!$A:$A, Metadata_Country!$B:$B, "Unknown"), IF(OR(_xlpm.r=0, _xlpm.r=""), "Regional Aggregate", _xlpm.r))</f>
        <v>Regional Aggregate</v>
      </c>
      <c r="G2415" s="4" t="str">
        <f>_xlfn.LET(_xlpm.ig, _xlfn.XLOOKUP(Clean_Data[[#This Row],[Country_Code]], Metadata_Country!$A:$A, Metadata_Country!$C:$C, "Unknown"), IF(OR(_xlpm.ig=0, _xlpm.ig=""), "Regional Aggregate", _xlpm.ig))</f>
        <v>Regional Aggregate</v>
      </c>
      <c r="H2415" s="4">
        <f>Clean_Data[[#This Row],[Exports_TIV]] - Clean_Data[[#This Row],[Imports_TIV]]</f>
        <v>-1558000000</v>
      </c>
      <c r="I2415" s="4">
        <f>Clean_Data[[#This Row],[Exports_TIV]] + Clean_Data[[#This Row],[Imports_TIV]]</f>
        <v>1558000000</v>
      </c>
    </row>
    <row r="2416" spans="1:9">
      <c r="A2416" s="4" t="s">
        <v>265</v>
      </c>
      <c r="B2416" s="4" t="s">
        <v>266</v>
      </c>
      <c r="C2416" s="5">
        <v>2010</v>
      </c>
      <c r="D2416" s="4">
        <v>0</v>
      </c>
      <c r="E2416" s="4">
        <v>1040000000</v>
      </c>
      <c r="F2416" s="4" t="str">
        <f>_xlfn.LET(_xlpm.r, _xlfn.XLOOKUP(Clean_Data[[#This Row],[Country_Code]], Metadata_Country!$A:$A, Metadata_Country!$B:$B, "Unknown"), IF(OR(_xlpm.r=0, _xlpm.r=""), "Regional Aggregate", _xlpm.r))</f>
        <v>Regional Aggregate</v>
      </c>
      <c r="G2416" s="4" t="str">
        <f>_xlfn.LET(_xlpm.ig, _xlfn.XLOOKUP(Clean_Data[[#This Row],[Country_Code]], Metadata_Country!$A:$A, Metadata_Country!$C:$C, "Unknown"), IF(OR(_xlpm.ig=0, _xlpm.ig=""), "Regional Aggregate", _xlpm.ig))</f>
        <v>Regional Aggregate</v>
      </c>
      <c r="H2416" s="4">
        <f>Clean_Data[[#This Row],[Exports_TIV]] - Clean_Data[[#This Row],[Imports_TIV]]</f>
        <v>-1040000000</v>
      </c>
      <c r="I2416" s="4">
        <f>Clean_Data[[#This Row],[Exports_TIV]] + Clean_Data[[#This Row],[Imports_TIV]]</f>
        <v>1040000000</v>
      </c>
    </row>
    <row r="2417" spans="1:9">
      <c r="A2417" s="4" t="s">
        <v>481</v>
      </c>
      <c r="B2417" s="4" t="s">
        <v>482</v>
      </c>
      <c r="C2417" s="5">
        <v>2010</v>
      </c>
      <c r="D2417" s="4">
        <v>0</v>
      </c>
      <c r="E2417" s="4">
        <v>1558000000</v>
      </c>
      <c r="F2417" s="4" t="str">
        <f>_xlfn.LET(_xlpm.r, _xlfn.XLOOKUP(Clean_Data[[#This Row],[Country_Code]], Metadata_Country!$A:$A, Metadata_Country!$B:$B, "Unknown"), IF(OR(_xlpm.r=0, _xlpm.r=""), "Regional Aggregate", _xlpm.r))</f>
        <v>Regional Aggregate</v>
      </c>
      <c r="G2417" s="4" t="str">
        <f>_xlfn.LET(_xlpm.ig, _xlfn.XLOOKUP(Clean_Data[[#This Row],[Country_Code]], Metadata_Country!$A:$A, Metadata_Country!$C:$C, "Unknown"), IF(OR(_xlpm.ig=0, _xlpm.ig=""), "Regional Aggregate", _xlpm.ig))</f>
        <v>Regional Aggregate</v>
      </c>
      <c r="H2417" s="4">
        <f>Clean_Data[[#This Row],[Exports_TIV]] - Clean_Data[[#This Row],[Imports_TIV]]</f>
        <v>-1558000000</v>
      </c>
      <c r="I2417" s="4">
        <f>Clean_Data[[#This Row],[Exports_TIV]] + Clean_Data[[#This Row],[Imports_TIV]]</f>
        <v>1558000000</v>
      </c>
    </row>
    <row r="2418" spans="1:9">
      <c r="A2418" s="4" t="s">
        <v>299</v>
      </c>
      <c r="B2418" s="4" t="s">
        <v>300</v>
      </c>
      <c r="C2418" s="5">
        <v>2010</v>
      </c>
      <c r="D2418" s="4">
        <v>0</v>
      </c>
      <c r="E2418" s="4">
        <v>16000000</v>
      </c>
      <c r="F2418" s="4" t="str">
        <f>_xlfn.LET(_xlpm.r, _xlfn.XLOOKUP(Clean_Data[[#This Row],[Country_Code]], Metadata_Country!$A:$A, Metadata_Country!$B:$B, "Unknown"), IF(OR(_xlpm.r=0, _xlpm.r=""), "Regional Aggregate", _xlpm.r))</f>
        <v>Europe &amp; Central Asia</v>
      </c>
      <c r="G2418" s="4" t="str">
        <f>_xlfn.LET(_xlpm.ig, _xlfn.XLOOKUP(Clean_Data[[#This Row],[Country_Code]], Metadata_Country!$A:$A, Metadata_Country!$C:$C, "Unknown"), IF(OR(_xlpm.ig=0, _xlpm.ig=""), "Regional Aggregate", _xlpm.ig))</f>
        <v>High income</v>
      </c>
      <c r="H2418" s="4">
        <f>Clean_Data[[#This Row],[Exports_TIV]] - Clean_Data[[#This Row],[Imports_TIV]]</f>
        <v>-16000000</v>
      </c>
      <c r="I2418" s="4">
        <f>Clean_Data[[#This Row],[Exports_TIV]] + Clean_Data[[#This Row],[Imports_TIV]]</f>
        <v>16000000</v>
      </c>
    </row>
    <row r="2419" spans="1:9">
      <c r="A2419" s="4" t="s">
        <v>269</v>
      </c>
      <c r="B2419" s="4" t="s">
        <v>270</v>
      </c>
      <c r="C2419" s="5">
        <v>2010</v>
      </c>
      <c r="D2419" s="4">
        <v>0</v>
      </c>
      <c r="E2419" s="4">
        <v>64000000</v>
      </c>
      <c r="F2419" s="4" t="str">
        <f>_xlfn.LET(_xlpm.r, _xlfn.XLOOKUP(Clean_Data[[#This Row],[Country_Code]], Metadata_Country!$A:$A, Metadata_Country!$B:$B, "Unknown"), IF(OR(_xlpm.r=0, _xlpm.r=""), "Regional Aggregate", _xlpm.r))</f>
        <v>Middle East &amp; North Africa</v>
      </c>
      <c r="G2419" s="4" t="str">
        <f>_xlfn.LET(_xlpm.ig, _xlfn.XLOOKUP(Clean_Data[[#This Row],[Country_Code]], Metadata_Country!$A:$A, Metadata_Country!$C:$C, "Unknown"), IF(OR(_xlpm.ig=0, _xlpm.ig=""), "Regional Aggregate", _xlpm.ig))</f>
        <v>Lower middle income</v>
      </c>
      <c r="H2419" s="4">
        <f>Clean_Data[[#This Row],[Exports_TIV]] - Clean_Data[[#This Row],[Imports_TIV]]</f>
        <v>-64000000</v>
      </c>
      <c r="I2419" s="4">
        <f>Clean_Data[[#This Row],[Exports_TIV]] + Clean_Data[[#This Row],[Imports_TIV]]</f>
        <v>64000000</v>
      </c>
    </row>
    <row r="2420" spans="1:9">
      <c r="A2420" s="4" t="s">
        <v>273</v>
      </c>
      <c r="B2420" s="4" t="s">
        <v>274</v>
      </c>
      <c r="C2420" s="5">
        <v>2010</v>
      </c>
      <c r="D2420" s="4">
        <v>27000000</v>
      </c>
      <c r="E2420" s="4">
        <v>37000000</v>
      </c>
      <c r="F2420" s="4" t="str">
        <f>_xlfn.LET(_xlpm.r, _xlfn.XLOOKUP(Clean_Data[[#This Row],[Country_Code]], Metadata_Country!$A:$A, Metadata_Country!$B:$B, "Unknown"), IF(OR(_xlpm.r=0, _xlpm.r=""), "Regional Aggregate", _xlpm.r))</f>
        <v>Middle East &amp; North Africa</v>
      </c>
      <c r="G2420" s="4" t="str">
        <f>_xlfn.LET(_xlpm.ig, _xlfn.XLOOKUP(Clean_Data[[#This Row],[Country_Code]], Metadata_Country!$A:$A, Metadata_Country!$C:$C, "Unknown"), IF(OR(_xlpm.ig=0, _xlpm.ig=""), "Regional Aggregate", _xlpm.ig))</f>
        <v>Upper middle income</v>
      </c>
      <c r="H2420" s="4">
        <f>Clean_Data[[#This Row],[Exports_TIV]] - Clean_Data[[#This Row],[Imports_TIV]]</f>
        <v>-10000000</v>
      </c>
      <c r="I2420" s="4">
        <f>Clean_Data[[#This Row],[Exports_TIV]] + Clean_Data[[#This Row],[Imports_TIV]]</f>
        <v>64000000</v>
      </c>
    </row>
    <row r="2421" spans="1:9">
      <c r="A2421" s="4" t="s">
        <v>295</v>
      </c>
      <c r="B2421" s="4" t="s">
        <v>296</v>
      </c>
      <c r="C2421" s="5">
        <v>2010</v>
      </c>
      <c r="D2421" s="4">
        <v>0</v>
      </c>
      <c r="E2421" s="4">
        <v>8000000</v>
      </c>
      <c r="F2421" s="4" t="str">
        <f>_xlfn.LET(_xlpm.r, _xlfn.XLOOKUP(Clean_Data[[#This Row],[Country_Code]], Metadata_Country!$A:$A, Metadata_Country!$B:$B, "Unknown"), IF(OR(_xlpm.r=0, _xlpm.r=""), "Regional Aggregate", _xlpm.r))</f>
        <v>Europe &amp; Central Asia</v>
      </c>
      <c r="G2421" s="4" t="str">
        <f>_xlfn.LET(_xlpm.ig, _xlfn.XLOOKUP(Clean_Data[[#This Row],[Country_Code]], Metadata_Country!$A:$A, Metadata_Country!$C:$C, "Unknown"), IF(OR(_xlpm.ig=0, _xlpm.ig=""), "Regional Aggregate", _xlpm.ig))</f>
        <v>High income</v>
      </c>
      <c r="H2421" s="4">
        <f>Clean_Data[[#This Row],[Exports_TIV]] - Clean_Data[[#This Row],[Imports_TIV]]</f>
        <v>-8000000</v>
      </c>
      <c r="I2421" s="4">
        <f>Clean_Data[[#This Row],[Exports_TIV]] + Clean_Data[[#This Row],[Imports_TIV]]</f>
        <v>8000000</v>
      </c>
    </row>
    <row r="2422" spans="1:9">
      <c r="A2422" s="4" t="s">
        <v>289</v>
      </c>
      <c r="B2422" s="4" t="s">
        <v>290</v>
      </c>
      <c r="C2422" s="5">
        <v>2010</v>
      </c>
      <c r="D2422" s="4">
        <v>0</v>
      </c>
      <c r="E2422" s="4">
        <v>13598000000</v>
      </c>
      <c r="F2422" s="4" t="str">
        <f>_xlfn.LET(_xlpm.r, _xlfn.XLOOKUP(Clean_Data[[#This Row],[Country_Code]], Metadata_Country!$A:$A, Metadata_Country!$B:$B, "Unknown"), IF(OR(_xlpm.r=0, _xlpm.r=""), "Regional Aggregate", _xlpm.r))</f>
        <v>Regional Aggregate</v>
      </c>
      <c r="G2422" s="4" t="str">
        <f>_xlfn.LET(_xlpm.ig, _xlfn.XLOOKUP(Clean_Data[[#This Row],[Country_Code]], Metadata_Country!$A:$A, Metadata_Country!$C:$C, "Unknown"), IF(OR(_xlpm.ig=0, _xlpm.ig=""), "Regional Aggregate", _xlpm.ig))</f>
        <v>Regional Aggregate</v>
      </c>
      <c r="H2422" s="4">
        <f>Clean_Data[[#This Row],[Exports_TIV]] - Clean_Data[[#This Row],[Imports_TIV]]</f>
        <v>-13598000000</v>
      </c>
      <c r="I2422" s="4">
        <f>Clean_Data[[#This Row],[Exports_TIV]] + Clean_Data[[#This Row],[Imports_TIV]]</f>
        <v>13598000000</v>
      </c>
    </row>
    <row r="2423" spans="1:9">
      <c r="A2423" s="4" t="s">
        <v>281</v>
      </c>
      <c r="B2423" s="4" t="s">
        <v>282</v>
      </c>
      <c r="C2423" s="5">
        <v>2010</v>
      </c>
      <c r="D2423" s="4">
        <v>0</v>
      </c>
      <c r="E2423" s="4">
        <v>1541000000</v>
      </c>
      <c r="F2423" s="4" t="str">
        <f>_xlfn.LET(_xlpm.r, _xlfn.XLOOKUP(Clean_Data[[#This Row],[Country_Code]], Metadata_Country!$A:$A, Metadata_Country!$B:$B, "Unknown"), IF(OR(_xlpm.r=0, _xlpm.r=""), "Regional Aggregate", _xlpm.r))</f>
        <v>Regional Aggregate</v>
      </c>
      <c r="G2423" s="4" t="str">
        <f>_xlfn.LET(_xlpm.ig, _xlfn.XLOOKUP(Clean_Data[[#This Row],[Country_Code]], Metadata_Country!$A:$A, Metadata_Country!$C:$C, "Unknown"), IF(OR(_xlpm.ig=0, _xlpm.ig=""), "Regional Aggregate", _xlpm.ig))</f>
        <v>Regional Aggregate</v>
      </c>
      <c r="H2423" s="4">
        <f>Clean_Data[[#This Row],[Exports_TIV]] - Clean_Data[[#This Row],[Imports_TIV]]</f>
        <v>-1541000000</v>
      </c>
      <c r="I2423" s="4">
        <f>Clean_Data[[#This Row],[Exports_TIV]] + Clean_Data[[#This Row],[Imports_TIV]]</f>
        <v>1541000000</v>
      </c>
    </row>
    <row r="2424" spans="1:9">
      <c r="A2424" s="4" t="s">
        <v>287</v>
      </c>
      <c r="B2424" s="4" t="s">
        <v>288</v>
      </c>
      <c r="C2424" s="5">
        <v>2010</v>
      </c>
      <c r="D2424" s="4">
        <v>0</v>
      </c>
      <c r="E2424" s="4">
        <v>7026000000</v>
      </c>
      <c r="F2424" s="4" t="str">
        <f>_xlfn.LET(_xlpm.r, _xlfn.XLOOKUP(Clean_Data[[#This Row],[Country_Code]], Metadata_Country!$A:$A, Metadata_Country!$B:$B, "Unknown"), IF(OR(_xlpm.r=0, _xlpm.r=""), "Regional Aggregate", _xlpm.r))</f>
        <v>Regional Aggregate</v>
      </c>
      <c r="G2424" s="4" t="str">
        <f>_xlfn.LET(_xlpm.ig, _xlfn.XLOOKUP(Clean_Data[[#This Row],[Country_Code]], Metadata_Country!$A:$A, Metadata_Country!$C:$C, "Unknown"), IF(OR(_xlpm.ig=0, _xlpm.ig=""), "Regional Aggregate", _xlpm.ig))</f>
        <v>Regional Aggregate</v>
      </c>
      <c r="H2424" s="4">
        <f>Clean_Data[[#This Row],[Exports_TIV]] - Clean_Data[[#This Row],[Imports_TIV]]</f>
        <v>-7026000000</v>
      </c>
      <c r="I2424" s="4">
        <f>Clean_Data[[#This Row],[Exports_TIV]] + Clean_Data[[#This Row],[Imports_TIV]]</f>
        <v>7026000000</v>
      </c>
    </row>
    <row r="2425" spans="1:9">
      <c r="A2425" s="4" t="s">
        <v>297</v>
      </c>
      <c r="B2425" s="4" t="s">
        <v>298</v>
      </c>
      <c r="C2425" s="5">
        <v>2010</v>
      </c>
      <c r="D2425" s="4">
        <v>0</v>
      </c>
      <c r="E2425" s="4">
        <v>8000000</v>
      </c>
      <c r="F2425" s="4" t="str">
        <f>_xlfn.LET(_xlpm.r, _xlfn.XLOOKUP(Clean_Data[[#This Row],[Country_Code]], Metadata_Country!$A:$A, Metadata_Country!$B:$B, "Unknown"), IF(OR(_xlpm.r=0, _xlpm.r=""), "Regional Aggregate", _xlpm.r))</f>
        <v>Europe &amp; Central Asia</v>
      </c>
      <c r="G2425" s="4" t="str">
        <f>_xlfn.LET(_xlpm.ig, _xlfn.XLOOKUP(Clean_Data[[#This Row],[Country_Code]], Metadata_Country!$A:$A, Metadata_Country!$C:$C, "Unknown"), IF(OR(_xlpm.ig=0, _xlpm.ig=""), "Regional Aggregate", _xlpm.ig))</f>
        <v>High income</v>
      </c>
      <c r="H2425" s="4">
        <f>Clean_Data[[#This Row],[Exports_TIV]] - Clean_Data[[#This Row],[Imports_TIV]]</f>
        <v>-8000000</v>
      </c>
      <c r="I2425" s="4">
        <f>Clean_Data[[#This Row],[Exports_TIV]] + Clean_Data[[#This Row],[Imports_TIV]]</f>
        <v>8000000</v>
      </c>
    </row>
    <row r="2426" spans="1:9">
      <c r="A2426" s="4" t="s">
        <v>347</v>
      </c>
      <c r="B2426" s="4" t="s">
        <v>348</v>
      </c>
      <c r="C2426" s="5">
        <v>2010</v>
      </c>
      <c r="D2426" s="4">
        <v>0</v>
      </c>
      <c r="E2426" s="4">
        <v>213000000</v>
      </c>
      <c r="F2426" s="4" t="str">
        <f>_xlfn.LET(_xlpm.r, _xlfn.XLOOKUP(Clean_Data[[#This Row],[Country_Code]], Metadata_Country!$A:$A, Metadata_Country!$B:$B, "Unknown"), IF(OR(_xlpm.r=0, _xlpm.r=""), "Regional Aggregate", _xlpm.r))</f>
        <v>East Asia &amp; Pacific</v>
      </c>
      <c r="G2426" s="4" t="str">
        <f>_xlfn.LET(_xlpm.ig, _xlfn.XLOOKUP(Clean_Data[[#This Row],[Country_Code]], Metadata_Country!$A:$A, Metadata_Country!$C:$C, "Unknown"), IF(OR(_xlpm.ig=0, _xlpm.ig=""), "Regional Aggregate", _xlpm.ig))</f>
        <v>Upper middle income</v>
      </c>
      <c r="H2426" s="4">
        <f>Clean_Data[[#This Row],[Exports_TIV]] - Clean_Data[[#This Row],[Imports_TIV]]</f>
        <v>-213000000</v>
      </c>
      <c r="I2426" s="4">
        <f>Clean_Data[[#This Row],[Exports_TIV]] + Clean_Data[[#This Row],[Imports_TIV]]</f>
        <v>213000000</v>
      </c>
    </row>
    <row r="2427" spans="1:9">
      <c r="A2427" s="4" t="s">
        <v>313</v>
      </c>
      <c r="B2427" s="4" t="s">
        <v>314</v>
      </c>
      <c r="C2427" s="5">
        <v>2010</v>
      </c>
      <c r="D2427" s="4">
        <v>0</v>
      </c>
      <c r="E2427" s="4">
        <v>5000000</v>
      </c>
      <c r="F2427" s="4" t="str">
        <f>_xlfn.LET(_xlpm.r, _xlfn.XLOOKUP(Clean_Data[[#This Row],[Country_Code]], Metadata_Country!$A:$A, Metadata_Country!$B:$B, "Unknown"), IF(OR(_xlpm.r=0, _xlpm.r=""), "Regional Aggregate", _xlpm.r))</f>
        <v>South Asia</v>
      </c>
      <c r="G2427" s="4" t="str">
        <f>_xlfn.LET(_xlpm.ig, _xlfn.XLOOKUP(Clean_Data[[#This Row],[Country_Code]], Metadata_Country!$A:$A, Metadata_Country!$C:$C, "Unknown"), IF(OR(_xlpm.ig=0, _xlpm.ig=""), "Regional Aggregate", _xlpm.ig))</f>
        <v>Upper middle income</v>
      </c>
      <c r="H2427" s="4">
        <f>Clean_Data[[#This Row],[Exports_TIV]] - Clean_Data[[#This Row],[Imports_TIV]]</f>
        <v>-5000000</v>
      </c>
      <c r="I2427" s="4">
        <f>Clean_Data[[#This Row],[Exports_TIV]] + Clean_Data[[#This Row],[Imports_TIV]]</f>
        <v>5000000</v>
      </c>
    </row>
    <row r="2428" spans="1:9">
      <c r="A2428" s="4" t="s">
        <v>341</v>
      </c>
      <c r="B2428" s="4" t="s">
        <v>342</v>
      </c>
      <c r="C2428" s="5">
        <v>2010</v>
      </c>
      <c r="D2428" s="4">
        <v>0</v>
      </c>
      <c r="E2428" s="4">
        <v>17000000</v>
      </c>
      <c r="F2428" s="4" t="str">
        <f>_xlfn.LET(_xlpm.r, _xlfn.XLOOKUP(Clean_Data[[#This Row],[Country_Code]], Metadata_Country!$A:$A, Metadata_Country!$B:$B, "Unknown"), IF(OR(_xlpm.r=0, _xlpm.r=""), "Regional Aggregate", _xlpm.r))</f>
        <v>Sub-Saharan Africa</v>
      </c>
      <c r="G2428" s="4" t="str">
        <f>_xlfn.LET(_xlpm.ig, _xlfn.XLOOKUP(Clean_Data[[#This Row],[Country_Code]], Metadata_Country!$A:$A, Metadata_Country!$C:$C, "Unknown"), IF(OR(_xlpm.ig=0, _xlpm.ig=""), "Regional Aggregate", _xlpm.ig))</f>
        <v>Lower middle income</v>
      </c>
      <c r="H2428" s="4">
        <f>Clean_Data[[#This Row],[Exports_TIV]] - Clean_Data[[#This Row],[Imports_TIV]]</f>
        <v>-17000000</v>
      </c>
      <c r="I2428" s="4">
        <f>Clean_Data[[#This Row],[Exports_TIV]] + Clean_Data[[#This Row],[Imports_TIV]]</f>
        <v>17000000</v>
      </c>
    </row>
    <row r="2429" spans="1:9">
      <c r="A2429" s="4" t="s">
        <v>317</v>
      </c>
      <c r="B2429" s="4" t="s">
        <v>318</v>
      </c>
      <c r="C2429" s="5">
        <v>2010</v>
      </c>
      <c r="D2429" s="4">
        <v>0</v>
      </c>
      <c r="E2429" s="4">
        <v>109000000</v>
      </c>
      <c r="F2429" s="4" t="str">
        <f>_xlfn.LET(_xlpm.r, _xlfn.XLOOKUP(Clean_Data[[#This Row],[Country_Code]], Metadata_Country!$A:$A, Metadata_Country!$B:$B, "Unknown"), IF(OR(_xlpm.r=0, _xlpm.r=""), "Regional Aggregate", _xlpm.r))</f>
        <v>Latin America &amp; Caribbean</v>
      </c>
      <c r="G2429" s="4" t="str">
        <f>_xlfn.LET(_xlpm.ig, _xlfn.XLOOKUP(Clean_Data[[#This Row],[Country_Code]], Metadata_Country!$A:$A, Metadata_Country!$C:$C, "Unknown"), IF(OR(_xlpm.ig=0, _xlpm.ig=""), "Regional Aggregate", _xlpm.ig))</f>
        <v>Upper middle income</v>
      </c>
      <c r="H2429" s="4">
        <f>Clean_Data[[#This Row],[Exports_TIV]] - Clean_Data[[#This Row],[Imports_TIV]]</f>
        <v>-109000000</v>
      </c>
      <c r="I2429" s="4">
        <f>Clean_Data[[#This Row],[Exports_TIV]] + Clean_Data[[#This Row],[Imports_TIV]]</f>
        <v>109000000</v>
      </c>
    </row>
    <row r="2430" spans="1:9">
      <c r="A2430" s="4" t="s">
        <v>315</v>
      </c>
      <c r="B2430" s="4" t="s">
        <v>316</v>
      </c>
      <c r="C2430" s="5">
        <v>2010</v>
      </c>
      <c r="D2430" s="4">
        <v>0</v>
      </c>
      <c r="E2430" s="4">
        <v>7993000000</v>
      </c>
      <c r="F2430" s="4" t="str">
        <f>_xlfn.LET(_xlpm.r, _xlfn.XLOOKUP(Clean_Data[[#This Row],[Country_Code]], Metadata_Country!$A:$A, Metadata_Country!$B:$B, "Unknown"), IF(OR(_xlpm.r=0, _xlpm.r=""), "Regional Aggregate", _xlpm.r))</f>
        <v>Regional Aggregate</v>
      </c>
      <c r="G2430" s="4" t="str">
        <f>_xlfn.LET(_xlpm.ig, _xlfn.XLOOKUP(Clean_Data[[#This Row],[Country_Code]], Metadata_Country!$A:$A, Metadata_Country!$C:$C, "Unknown"), IF(OR(_xlpm.ig=0, _xlpm.ig=""), "Regional Aggregate", _xlpm.ig))</f>
        <v>Regional Aggregate</v>
      </c>
      <c r="H2430" s="4">
        <f>Clean_Data[[#This Row],[Exports_TIV]] - Clean_Data[[#This Row],[Imports_TIV]]</f>
        <v>-7993000000</v>
      </c>
      <c r="I2430" s="4">
        <f>Clean_Data[[#This Row],[Exports_TIV]] + Clean_Data[[#This Row],[Imports_TIV]]</f>
        <v>7993000000</v>
      </c>
    </row>
    <row r="2431" spans="1:9">
      <c r="A2431" s="4" t="s">
        <v>331</v>
      </c>
      <c r="B2431" s="4" t="s">
        <v>332</v>
      </c>
      <c r="C2431" s="5">
        <v>2010</v>
      </c>
      <c r="D2431" s="4">
        <v>0</v>
      </c>
      <c r="E2431" s="4">
        <v>5912000000</v>
      </c>
      <c r="F2431" s="4" t="str">
        <f>_xlfn.LET(_xlpm.r, _xlfn.XLOOKUP(Clean_Data[[#This Row],[Country_Code]], Metadata_Country!$A:$A, Metadata_Country!$B:$B, "Unknown"), IF(OR(_xlpm.r=0, _xlpm.r=""), "Regional Aggregate", _xlpm.r))</f>
        <v>Regional Aggregate</v>
      </c>
      <c r="G2431" s="4" t="str">
        <f>_xlfn.LET(_xlpm.ig, _xlfn.XLOOKUP(Clean_Data[[#This Row],[Country_Code]], Metadata_Country!$A:$A, Metadata_Country!$C:$C, "Unknown"), IF(OR(_xlpm.ig=0, _xlpm.ig=""), "Regional Aggregate", _xlpm.ig))</f>
        <v>Regional Aggregate</v>
      </c>
      <c r="H2431" s="4">
        <f>Clean_Data[[#This Row],[Exports_TIV]] - Clean_Data[[#This Row],[Imports_TIV]]</f>
        <v>-5912000000</v>
      </c>
      <c r="I2431" s="4">
        <f>Clean_Data[[#This Row],[Exports_TIV]] + Clean_Data[[#This Row],[Imports_TIV]]</f>
        <v>5912000000</v>
      </c>
    </row>
    <row r="2432" spans="1:9">
      <c r="A2432" s="4" t="s">
        <v>485</v>
      </c>
      <c r="B2432" s="4" t="s">
        <v>486</v>
      </c>
      <c r="C2432" s="5">
        <v>2010</v>
      </c>
      <c r="D2432" s="4">
        <v>0</v>
      </c>
      <c r="E2432" s="4">
        <v>5907000000</v>
      </c>
      <c r="F2432" s="4" t="str">
        <f>_xlfn.LET(_xlpm.r, _xlfn.XLOOKUP(Clean_Data[[#This Row],[Country_Code]], Metadata_Country!$A:$A, Metadata_Country!$B:$B, "Unknown"), IF(OR(_xlpm.r=0, _xlpm.r=""), "Regional Aggregate", _xlpm.r))</f>
        <v>Regional Aggregate</v>
      </c>
      <c r="G2432" s="4" t="str">
        <f>_xlfn.LET(_xlpm.ig, _xlfn.XLOOKUP(Clean_Data[[#This Row],[Country_Code]], Metadata_Country!$A:$A, Metadata_Country!$C:$C, "Unknown"), IF(OR(_xlpm.ig=0, _xlpm.ig=""), "Regional Aggregate", _xlpm.ig))</f>
        <v>Regional Aggregate</v>
      </c>
      <c r="H2432" s="4">
        <f>Clean_Data[[#This Row],[Exports_TIV]] - Clean_Data[[#This Row],[Imports_TIV]]</f>
        <v>-5907000000</v>
      </c>
      <c r="I2432" s="4">
        <f>Clean_Data[[#This Row],[Exports_TIV]] + Clean_Data[[#This Row],[Imports_TIV]]</f>
        <v>5907000000</v>
      </c>
    </row>
    <row r="2433" spans="1:9">
      <c r="A2433" s="4" t="s">
        <v>321</v>
      </c>
      <c r="B2433" s="4" t="s">
        <v>322</v>
      </c>
      <c r="C2433" s="5">
        <v>2010</v>
      </c>
      <c r="D2433" s="4">
        <v>0</v>
      </c>
      <c r="E2433" s="4">
        <v>12057000000</v>
      </c>
      <c r="F2433" s="4" t="str">
        <f>_xlfn.LET(_xlpm.r, _xlfn.XLOOKUP(Clean_Data[[#This Row],[Country_Code]], Metadata_Country!$A:$A, Metadata_Country!$B:$B, "Unknown"), IF(OR(_xlpm.r=0, _xlpm.r=""), "Regional Aggregate", _xlpm.r))</f>
        <v>Regional Aggregate</v>
      </c>
      <c r="G2433" s="4" t="str">
        <f>_xlfn.LET(_xlpm.ig, _xlfn.XLOOKUP(Clean_Data[[#This Row],[Country_Code]], Metadata_Country!$A:$A, Metadata_Country!$C:$C, "Unknown"), IF(OR(_xlpm.ig=0, _xlpm.ig=""), "Regional Aggregate", _xlpm.ig))</f>
        <v>Regional Aggregate</v>
      </c>
      <c r="H2433" s="4">
        <f>Clean_Data[[#This Row],[Exports_TIV]] - Clean_Data[[#This Row],[Imports_TIV]]</f>
        <v>-12057000000</v>
      </c>
      <c r="I2433" s="4">
        <f>Clean_Data[[#This Row],[Exports_TIV]] + Clean_Data[[#This Row],[Imports_TIV]]</f>
        <v>12057000000</v>
      </c>
    </row>
    <row r="2434" spans="1:9">
      <c r="A2434" s="4" t="s">
        <v>335</v>
      </c>
      <c r="B2434" s="4" t="s">
        <v>336</v>
      </c>
      <c r="C2434" s="5">
        <v>2010</v>
      </c>
      <c r="D2434" s="4">
        <v>0</v>
      </c>
      <c r="E2434" s="4">
        <v>64000000</v>
      </c>
      <c r="F2434" s="4" t="str">
        <f>_xlfn.LET(_xlpm.r, _xlfn.XLOOKUP(Clean_Data[[#This Row],[Country_Code]], Metadata_Country!$A:$A, Metadata_Country!$B:$B, "Unknown"), IF(OR(_xlpm.r=0, _xlpm.r=""), "Regional Aggregate", _xlpm.r))</f>
        <v>East Asia &amp; Pacific</v>
      </c>
      <c r="G2434" s="4" t="str">
        <f>_xlfn.LET(_xlpm.ig, _xlfn.XLOOKUP(Clean_Data[[#This Row],[Country_Code]], Metadata_Country!$A:$A, Metadata_Country!$C:$C, "Unknown"), IF(OR(_xlpm.ig=0, _xlpm.ig=""), "Regional Aggregate", _xlpm.ig))</f>
        <v>Upper middle income</v>
      </c>
      <c r="H2434" s="4">
        <f>Clean_Data[[#This Row],[Exports_TIV]] - Clean_Data[[#This Row],[Imports_TIV]]</f>
        <v>-64000000</v>
      </c>
      <c r="I2434" s="4">
        <f>Clean_Data[[#This Row],[Exports_TIV]] + Clean_Data[[#This Row],[Imports_TIV]]</f>
        <v>64000000</v>
      </c>
    </row>
    <row r="2435" spans="1:9">
      <c r="A2435" s="4" t="s">
        <v>333</v>
      </c>
      <c r="B2435" s="4" t="s">
        <v>334</v>
      </c>
      <c r="C2435" s="5">
        <v>2010</v>
      </c>
      <c r="D2435" s="4">
        <v>18000000</v>
      </c>
      <c r="E2435" s="4">
        <v>0</v>
      </c>
      <c r="F2435" s="4" t="str">
        <f>_xlfn.LET(_xlpm.r, _xlfn.XLOOKUP(Clean_Data[[#This Row],[Country_Code]], Metadata_Country!$A:$A, Metadata_Country!$B:$B, "Unknown"), IF(OR(_xlpm.r=0, _xlpm.r=""), "Regional Aggregate", _xlpm.r))</f>
        <v>Europe &amp; Central Asia</v>
      </c>
      <c r="G2435" s="4" t="str">
        <f>_xlfn.LET(_xlpm.ig, _xlfn.XLOOKUP(Clean_Data[[#This Row],[Country_Code]], Metadata_Country!$A:$A, Metadata_Country!$C:$C, "Unknown"), IF(OR(_xlpm.ig=0, _xlpm.ig=""), "Regional Aggregate", _xlpm.ig))</f>
        <v>Upper middle income</v>
      </c>
      <c r="H2435" s="4">
        <f>Clean_Data[[#This Row],[Exports_TIV]] - Clean_Data[[#This Row],[Imports_TIV]]</f>
        <v>18000000</v>
      </c>
      <c r="I2435" s="4">
        <f>Clean_Data[[#This Row],[Exports_TIV]] + Clean_Data[[#This Row],[Imports_TIV]]</f>
        <v>18000000</v>
      </c>
    </row>
    <row r="2436" spans="1:9">
      <c r="A2436" s="4" t="s">
        <v>305</v>
      </c>
      <c r="B2436" s="4" t="s">
        <v>306</v>
      </c>
      <c r="C2436" s="5">
        <v>2010</v>
      </c>
      <c r="D2436" s="4">
        <v>0</v>
      </c>
      <c r="E2436" s="4">
        <v>347000000</v>
      </c>
      <c r="F2436" s="4" t="str">
        <f>_xlfn.LET(_xlpm.r, _xlfn.XLOOKUP(Clean_Data[[#This Row],[Country_Code]], Metadata_Country!$A:$A, Metadata_Country!$B:$B, "Unknown"), IF(OR(_xlpm.r=0, _xlpm.r=""), "Regional Aggregate", _xlpm.r))</f>
        <v>Middle East &amp; North Africa</v>
      </c>
      <c r="G2436" s="4" t="str">
        <f>_xlfn.LET(_xlpm.ig, _xlfn.XLOOKUP(Clean_Data[[#This Row],[Country_Code]], Metadata_Country!$A:$A, Metadata_Country!$C:$C, "Unknown"), IF(OR(_xlpm.ig=0, _xlpm.ig=""), "Regional Aggregate", _xlpm.ig))</f>
        <v>Lower middle income</v>
      </c>
      <c r="H2436" s="4">
        <f>Clean_Data[[#This Row],[Exports_TIV]] - Clean_Data[[#This Row],[Imports_TIV]]</f>
        <v>-347000000</v>
      </c>
      <c r="I2436" s="4">
        <f>Clean_Data[[#This Row],[Exports_TIV]] + Clean_Data[[#This Row],[Imports_TIV]]</f>
        <v>347000000</v>
      </c>
    </row>
    <row r="2437" spans="1:9">
      <c r="A2437" s="4" t="s">
        <v>329</v>
      </c>
      <c r="B2437" s="4" t="s">
        <v>330</v>
      </c>
      <c r="C2437" s="5">
        <v>2010</v>
      </c>
      <c r="D2437" s="4">
        <v>0</v>
      </c>
      <c r="E2437" s="4">
        <v>62000000</v>
      </c>
      <c r="F2437" s="4" t="str">
        <f>_xlfn.LET(_xlpm.r, _xlfn.XLOOKUP(Clean_Data[[#This Row],[Country_Code]], Metadata_Country!$A:$A, Metadata_Country!$B:$B, "Unknown"), IF(OR(_xlpm.r=0, _xlpm.r=""), "Regional Aggregate", _xlpm.r))</f>
        <v>East Asia &amp; Pacific</v>
      </c>
      <c r="G2437" s="4" t="str">
        <f>_xlfn.LET(_xlpm.ig, _xlfn.XLOOKUP(Clean_Data[[#This Row],[Country_Code]], Metadata_Country!$A:$A, Metadata_Country!$C:$C, "Unknown"), IF(OR(_xlpm.ig=0, _xlpm.ig=""), "Regional Aggregate", _xlpm.ig))</f>
        <v>Lower middle income</v>
      </c>
      <c r="H2437" s="4">
        <f>Clean_Data[[#This Row],[Exports_TIV]] - Clean_Data[[#This Row],[Imports_TIV]]</f>
        <v>-62000000</v>
      </c>
      <c r="I2437" s="4">
        <f>Clean_Data[[#This Row],[Exports_TIV]] + Clean_Data[[#This Row],[Imports_TIV]]</f>
        <v>62000000</v>
      </c>
    </row>
    <row r="2438" spans="1:9">
      <c r="A2438" s="4" t="s">
        <v>351</v>
      </c>
      <c r="B2438" s="4" t="s">
        <v>352</v>
      </c>
      <c r="C2438" s="5">
        <v>2010</v>
      </c>
      <c r="D2438" s="4">
        <v>0</v>
      </c>
      <c r="E2438" s="4">
        <v>3000000</v>
      </c>
      <c r="F2438" s="4" t="str">
        <f>_xlfn.LET(_xlpm.r, _xlfn.XLOOKUP(Clean_Data[[#This Row],[Country_Code]], Metadata_Country!$A:$A, Metadata_Country!$B:$B, "Unknown"), IF(OR(_xlpm.r=0, _xlpm.r=""), "Regional Aggregate", _xlpm.r))</f>
        <v>Sub-Saharan Africa</v>
      </c>
      <c r="G2438" s="4" t="str">
        <f>_xlfn.LET(_xlpm.ig, _xlfn.XLOOKUP(Clean_Data[[#This Row],[Country_Code]], Metadata_Country!$A:$A, Metadata_Country!$C:$C, "Unknown"), IF(OR(_xlpm.ig=0, _xlpm.ig=""), "Regional Aggregate", _xlpm.ig))</f>
        <v>Lower middle income</v>
      </c>
      <c r="H2438" s="4">
        <f>Clean_Data[[#This Row],[Exports_TIV]] - Clean_Data[[#This Row],[Imports_TIV]]</f>
        <v>-3000000</v>
      </c>
      <c r="I2438" s="4">
        <f>Clean_Data[[#This Row],[Exports_TIV]] + Clean_Data[[#This Row],[Imports_TIV]]</f>
        <v>3000000</v>
      </c>
    </row>
    <row r="2439" spans="1:9">
      <c r="A2439" s="4" t="s">
        <v>361</v>
      </c>
      <c r="B2439" s="4" t="s">
        <v>362</v>
      </c>
      <c r="C2439" s="5">
        <v>2010</v>
      </c>
      <c r="D2439" s="4">
        <v>366000000</v>
      </c>
      <c r="E2439" s="4">
        <v>171000000</v>
      </c>
      <c r="F2439" s="4" t="str">
        <f>_xlfn.LET(_xlpm.r, _xlfn.XLOOKUP(Clean_Data[[#This Row],[Country_Code]], Metadata_Country!$A:$A, Metadata_Country!$B:$B, "Unknown"), IF(OR(_xlpm.r=0, _xlpm.r=""), "Regional Aggregate", _xlpm.r))</f>
        <v>Europe &amp; Central Asia</v>
      </c>
      <c r="G2439" s="4" t="str">
        <f>_xlfn.LET(_xlpm.ig, _xlfn.XLOOKUP(Clean_Data[[#This Row],[Country_Code]], Metadata_Country!$A:$A, Metadata_Country!$C:$C, "Unknown"), IF(OR(_xlpm.ig=0, _xlpm.ig=""), "Regional Aggregate", _xlpm.ig))</f>
        <v>High income</v>
      </c>
      <c r="H2439" s="4">
        <f>Clean_Data[[#This Row],[Exports_TIV]] - Clean_Data[[#This Row],[Imports_TIV]]</f>
        <v>195000000</v>
      </c>
      <c r="I2439" s="4">
        <f>Clean_Data[[#This Row],[Exports_TIV]] + Clean_Data[[#This Row],[Imports_TIV]]</f>
        <v>537000000</v>
      </c>
    </row>
    <row r="2440" spans="1:9">
      <c r="A2440" s="4" t="s">
        <v>369</v>
      </c>
      <c r="B2440" s="4" t="s">
        <v>370</v>
      </c>
      <c r="C2440" s="5">
        <v>2010</v>
      </c>
      <c r="D2440" s="4">
        <v>0</v>
      </c>
      <c r="E2440" s="4">
        <v>78000000</v>
      </c>
      <c r="F2440" s="4" t="str">
        <f>_xlfn.LET(_xlpm.r, _xlfn.XLOOKUP(Clean_Data[[#This Row],[Country_Code]], Metadata_Country!$A:$A, Metadata_Country!$B:$B, "Unknown"), IF(OR(_xlpm.r=0, _xlpm.r=""), "Regional Aggregate", _xlpm.r))</f>
        <v>East Asia &amp; Pacific</v>
      </c>
      <c r="G2440" s="4" t="str">
        <f>_xlfn.LET(_xlpm.ig, _xlfn.XLOOKUP(Clean_Data[[#This Row],[Country_Code]], Metadata_Country!$A:$A, Metadata_Country!$C:$C, "Unknown"), IF(OR(_xlpm.ig=0, _xlpm.ig=""), "Regional Aggregate", _xlpm.ig))</f>
        <v>High income</v>
      </c>
      <c r="H2440" s="4">
        <f>Clean_Data[[#This Row],[Exports_TIV]] - Clean_Data[[#This Row],[Imports_TIV]]</f>
        <v>-78000000</v>
      </c>
      <c r="I2440" s="4">
        <f>Clean_Data[[#This Row],[Exports_TIV]] + Clean_Data[[#This Row],[Imports_TIV]]</f>
        <v>78000000</v>
      </c>
    </row>
    <row r="2441" spans="1:9">
      <c r="A2441" s="4" t="s">
        <v>357</v>
      </c>
      <c r="B2441" s="4" t="s">
        <v>358</v>
      </c>
      <c r="C2441" s="5">
        <v>2010</v>
      </c>
      <c r="D2441" s="4">
        <v>0</v>
      </c>
      <c r="E2441" s="4">
        <v>223000000</v>
      </c>
      <c r="F2441" s="4" t="str">
        <f>_xlfn.LET(_xlpm.r, _xlfn.XLOOKUP(Clean_Data[[#This Row],[Country_Code]], Metadata_Country!$A:$A, Metadata_Country!$B:$B, "Unknown"), IF(OR(_xlpm.r=0, _xlpm.r=""), "Regional Aggregate", _xlpm.r))</f>
        <v>Sub-Saharan Africa</v>
      </c>
      <c r="G2441" s="4" t="str">
        <f>_xlfn.LET(_xlpm.ig, _xlfn.XLOOKUP(Clean_Data[[#This Row],[Country_Code]], Metadata_Country!$A:$A, Metadata_Country!$C:$C, "Unknown"), IF(OR(_xlpm.ig=0, _xlpm.ig=""), "Regional Aggregate", _xlpm.ig))</f>
        <v>Lower middle income</v>
      </c>
      <c r="H2441" s="4">
        <f>Clean_Data[[#This Row],[Exports_TIV]] - Clean_Data[[#This Row],[Imports_TIV]]</f>
        <v>-223000000</v>
      </c>
      <c r="I2441" s="4">
        <f>Clean_Data[[#This Row],[Exports_TIV]] + Clean_Data[[#This Row],[Imports_TIV]]</f>
        <v>223000000</v>
      </c>
    </row>
    <row r="2442" spans="1:9">
      <c r="A2442" s="4" t="s">
        <v>349</v>
      </c>
      <c r="B2442" s="4" t="s">
        <v>350</v>
      </c>
      <c r="C2442" s="5">
        <v>2010</v>
      </c>
      <c r="D2442" s="4">
        <v>8550000000</v>
      </c>
      <c r="E2442" s="4">
        <v>1211000000</v>
      </c>
      <c r="F2442" s="4" t="str">
        <f>_xlfn.LET(_xlpm.r, _xlfn.XLOOKUP(Clean_Data[[#This Row],[Country_Code]], Metadata_Country!$A:$A, Metadata_Country!$B:$B, "Unknown"), IF(OR(_xlpm.r=0, _xlpm.r=""), "Regional Aggregate", _xlpm.r))</f>
        <v>Regional Aggregate</v>
      </c>
      <c r="G2442" s="4" t="str">
        <f>_xlfn.LET(_xlpm.ig, _xlfn.XLOOKUP(Clean_Data[[#This Row],[Country_Code]], Metadata_Country!$A:$A, Metadata_Country!$C:$C, "Unknown"), IF(OR(_xlpm.ig=0, _xlpm.ig=""), "Regional Aggregate", _xlpm.ig))</f>
        <v>Regional Aggregate</v>
      </c>
      <c r="H2442" s="4">
        <f>Clean_Data[[#This Row],[Exports_TIV]] - Clean_Data[[#This Row],[Imports_TIV]]</f>
        <v>7339000000</v>
      </c>
      <c r="I2442" s="4">
        <f>Clean_Data[[#This Row],[Exports_TIV]] + Clean_Data[[#This Row],[Imports_TIV]]</f>
        <v>9761000000</v>
      </c>
    </row>
    <row r="2443" spans="1:9">
      <c r="A2443" s="4" t="s">
        <v>363</v>
      </c>
      <c r="B2443" s="4" t="s">
        <v>364</v>
      </c>
      <c r="C2443" s="5">
        <v>2010</v>
      </c>
      <c r="D2443" s="4">
        <v>0</v>
      </c>
      <c r="E2443" s="4">
        <v>150000000</v>
      </c>
      <c r="F2443" s="4" t="str">
        <f>_xlfn.LET(_xlpm.r, _xlfn.XLOOKUP(Clean_Data[[#This Row],[Country_Code]], Metadata_Country!$A:$A, Metadata_Country!$B:$B, "Unknown"), IF(OR(_xlpm.r=0, _xlpm.r=""), "Regional Aggregate", _xlpm.r))</f>
        <v>Europe &amp; Central Asia</v>
      </c>
      <c r="G2443" s="4" t="str">
        <f>_xlfn.LET(_xlpm.ig, _xlfn.XLOOKUP(Clean_Data[[#This Row],[Country_Code]], Metadata_Country!$A:$A, Metadata_Country!$C:$C, "Unknown"), IF(OR(_xlpm.ig=0, _xlpm.ig=""), "Regional Aggregate", _xlpm.ig))</f>
        <v>High income</v>
      </c>
      <c r="H2443" s="4">
        <f>Clean_Data[[#This Row],[Exports_TIV]] - Clean_Data[[#This Row],[Imports_TIV]]</f>
        <v>-150000000</v>
      </c>
      <c r="I2443" s="4">
        <f>Clean_Data[[#This Row],[Exports_TIV]] + Clean_Data[[#This Row],[Imports_TIV]]</f>
        <v>150000000</v>
      </c>
    </row>
    <row r="2444" spans="1:9">
      <c r="A2444" s="4" t="s">
        <v>371</v>
      </c>
      <c r="B2444" s="4" t="s">
        <v>372</v>
      </c>
      <c r="C2444" s="5">
        <v>2010</v>
      </c>
      <c r="D2444" s="4">
        <v>16391000000</v>
      </c>
      <c r="E2444" s="4">
        <v>9754000000</v>
      </c>
      <c r="F2444" s="4" t="str">
        <f>_xlfn.LET(_xlpm.r, _xlfn.XLOOKUP(Clean_Data[[#This Row],[Country_Code]], Metadata_Country!$A:$A, Metadata_Country!$B:$B, "Unknown"), IF(OR(_xlpm.r=0, _xlpm.r=""), "Regional Aggregate", _xlpm.r))</f>
        <v>Regional Aggregate</v>
      </c>
      <c r="G2444" s="4" t="str">
        <f>_xlfn.LET(_xlpm.ig, _xlfn.XLOOKUP(Clean_Data[[#This Row],[Country_Code]], Metadata_Country!$A:$A, Metadata_Country!$C:$C, "Unknown"), IF(OR(_xlpm.ig=0, _xlpm.ig=""), "Regional Aggregate", _xlpm.ig))</f>
        <v>Regional Aggregate</v>
      </c>
      <c r="H2444" s="4">
        <f>Clean_Data[[#This Row],[Exports_TIV]] - Clean_Data[[#This Row],[Imports_TIV]]</f>
        <v>6637000000</v>
      </c>
      <c r="I2444" s="4">
        <f>Clean_Data[[#This Row],[Exports_TIV]] + Clean_Data[[#This Row],[Imports_TIV]]</f>
        <v>26145000000</v>
      </c>
    </row>
    <row r="2445" spans="1:9">
      <c r="A2445" s="4" t="s">
        <v>373</v>
      </c>
      <c r="B2445" s="4" t="s">
        <v>374</v>
      </c>
      <c r="C2445" s="5">
        <v>2010</v>
      </c>
      <c r="D2445" s="4">
        <v>0</v>
      </c>
      <c r="E2445" s="4">
        <v>31000000</v>
      </c>
      <c r="F2445" s="4" t="str">
        <f>_xlfn.LET(_xlpm.r, _xlfn.XLOOKUP(Clean_Data[[#This Row],[Country_Code]], Metadata_Country!$A:$A, Metadata_Country!$B:$B, "Unknown"), IF(OR(_xlpm.r=0, _xlpm.r=""), "Regional Aggregate", _xlpm.r))</f>
        <v>Middle East &amp; North Africa</v>
      </c>
      <c r="G2445" s="4" t="str">
        <f>_xlfn.LET(_xlpm.ig, _xlfn.XLOOKUP(Clean_Data[[#This Row],[Country_Code]], Metadata_Country!$A:$A, Metadata_Country!$C:$C, "Unknown"), IF(OR(_xlpm.ig=0, _xlpm.ig=""), "Regional Aggregate", _xlpm.ig))</f>
        <v>High income</v>
      </c>
      <c r="H2445" s="4">
        <f>Clean_Data[[#This Row],[Exports_TIV]] - Clean_Data[[#This Row],[Imports_TIV]]</f>
        <v>-31000000</v>
      </c>
      <c r="I2445" s="4">
        <f>Clean_Data[[#This Row],[Exports_TIV]] + Clean_Data[[#This Row],[Imports_TIV]]</f>
        <v>31000000</v>
      </c>
    </row>
    <row r="2446" spans="1:9">
      <c r="A2446" s="4" t="s">
        <v>377</v>
      </c>
      <c r="B2446" s="4" t="s">
        <v>378</v>
      </c>
      <c r="C2446" s="5">
        <v>2010</v>
      </c>
      <c r="D2446" s="4">
        <v>0</v>
      </c>
      <c r="E2446" s="4">
        <v>2232000000</v>
      </c>
      <c r="F2446" s="4" t="str">
        <f>_xlfn.LET(_xlpm.r, _xlfn.XLOOKUP(Clean_Data[[#This Row],[Country_Code]], Metadata_Country!$A:$A, Metadata_Country!$B:$B, "Unknown"), IF(OR(_xlpm.r=0, _xlpm.r=""), "Regional Aggregate", _xlpm.r))</f>
        <v>Middle East &amp; North Africa</v>
      </c>
      <c r="G2446" s="4" t="str">
        <f>_xlfn.LET(_xlpm.ig, _xlfn.XLOOKUP(Clean_Data[[#This Row],[Country_Code]], Metadata_Country!$A:$A, Metadata_Country!$C:$C, "Unknown"), IF(OR(_xlpm.ig=0, _xlpm.ig=""), "Regional Aggregate", _xlpm.ig))</f>
        <v>Lower middle income</v>
      </c>
      <c r="H2446" s="4">
        <f>Clean_Data[[#This Row],[Exports_TIV]] - Clean_Data[[#This Row],[Imports_TIV]]</f>
        <v>-2232000000</v>
      </c>
      <c r="I2446" s="4">
        <f>Clean_Data[[#This Row],[Exports_TIV]] + Clean_Data[[#This Row],[Imports_TIV]]</f>
        <v>2232000000</v>
      </c>
    </row>
    <row r="2447" spans="1:9">
      <c r="A2447" s="4" t="s">
        <v>399</v>
      </c>
      <c r="B2447" s="4" t="s">
        <v>400</v>
      </c>
      <c r="C2447" s="5">
        <v>2010</v>
      </c>
      <c r="D2447" s="4">
        <v>0</v>
      </c>
      <c r="E2447" s="4">
        <v>3000000</v>
      </c>
      <c r="F2447" s="4" t="str">
        <f>_xlfn.LET(_xlpm.r, _xlfn.XLOOKUP(Clean_Data[[#This Row],[Country_Code]], Metadata_Country!$A:$A, Metadata_Country!$B:$B, "Unknown"), IF(OR(_xlpm.r=0, _xlpm.r=""), "Regional Aggregate", _xlpm.r))</f>
        <v>Latin America &amp; Caribbean</v>
      </c>
      <c r="G2447" s="4" t="str">
        <f>_xlfn.LET(_xlpm.ig, _xlfn.XLOOKUP(Clean_Data[[#This Row],[Country_Code]], Metadata_Country!$A:$A, Metadata_Country!$C:$C, "Unknown"), IF(OR(_xlpm.ig=0, _xlpm.ig=""), "Regional Aggregate", _xlpm.ig))</f>
        <v>Upper middle income</v>
      </c>
      <c r="H2447" s="4">
        <f>Clean_Data[[#This Row],[Exports_TIV]] - Clean_Data[[#This Row],[Imports_TIV]]</f>
        <v>-3000000</v>
      </c>
      <c r="I2447" s="4">
        <f>Clean_Data[[#This Row],[Exports_TIV]] + Clean_Data[[#This Row],[Imports_TIV]]</f>
        <v>3000000</v>
      </c>
    </row>
    <row r="2448" spans="1:9">
      <c r="A2448" s="4" t="s">
        <v>381</v>
      </c>
      <c r="B2448" s="4" t="s">
        <v>382</v>
      </c>
      <c r="C2448" s="5">
        <v>2010</v>
      </c>
      <c r="D2448" s="4">
        <v>0</v>
      </c>
      <c r="E2448" s="4">
        <v>46000000</v>
      </c>
      <c r="F2448" s="4" t="str">
        <f>_xlfn.LET(_xlpm.r, _xlfn.XLOOKUP(Clean_Data[[#This Row],[Country_Code]], Metadata_Country!$A:$A, Metadata_Country!$B:$B, "Unknown"), IF(OR(_xlpm.r=0, _xlpm.r=""), "Regional Aggregate", _xlpm.r))</f>
        <v>Latin America &amp; Caribbean</v>
      </c>
      <c r="G2448" s="4" t="str">
        <f>_xlfn.LET(_xlpm.ig, _xlfn.XLOOKUP(Clean_Data[[#This Row],[Country_Code]], Metadata_Country!$A:$A, Metadata_Country!$C:$C, "Unknown"), IF(OR(_xlpm.ig=0, _xlpm.ig=""), "Regional Aggregate", _xlpm.ig))</f>
        <v>Upper middle income</v>
      </c>
      <c r="H2448" s="4">
        <f>Clean_Data[[#This Row],[Exports_TIV]] - Clean_Data[[#This Row],[Imports_TIV]]</f>
        <v>-46000000</v>
      </c>
      <c r="I2448" s="4">
        <f>Clean_Data[[#This Row],[Exports_TIV]] + Clean_Data[[#This Row],[Imports_TIV]]</f>
        <v>46000000</v>
      </c>
    </row>
    <row r="2449" spans="1:9">
      <c r="A2449" s="4" t="s">
        <v>383</v>
      </c>
      <c r="B2449" s="4" t="s">
        <v>384</v>
      </c>
      <c r="C2449" s="5">
        <v>2010</v>
      </c>
      <c r="D2449" s="4">
        <v>0</v>
      </c>
      <c r="E2449" s="4">
        <v>3000000</v>
      </c>
      <c r="F2449" s="4" t="str">
        <f>_xlfn.LET(_xlpm.r, _xlfn.XLOOKUP(Clean_Data[[#This Row],[Country_Code]], Metadata_Country!$A:$A, Metadata_Country!$B:$B, "Unknown"), IF(OR(_xlpm.r=0, _xlpm.r=""), "Regional Aggregate", _xlpm.r))</f>
        <v>East Asia &amp; Pacific</v>
      </c>
      <c r="G2449" s="4" t="str">
        <f>_xlfn.LET(_xlpm.ig, _xlfn.XLOOKUP(Clean_Data[[#This Row],[Country_Code]], Metadata_Country!$A:$A, Metadata_Country!$C:$C, "Unknown"), IF(OR(_xlpm.ig=0, _xlpm.ig=""), "Regional Aggregate", _xlpm.ig))</f>
        <v>Upper middle income</v>
      </c>
      <c r="H2449" s="4">
        <f>Clean_Data[[#This Row],[Exports_TIV]] - Clean_Data[[#This Row],[Imports_TIV]]</f>
        <v>-3000000</v>
      </c>
      <c r="I2449" s="4">
        <f>Clean_Data[[#This Row],[Exports_TIV]] + Clean_Data[[#This Row],[Imports_TIV]]</f>
        <v>3000000</v>
      </c>
    </row>
    <row r="2450" spans="1:9">
      <c r="A2450" s="4" t="s">
        <v>389</v>
      </c>
      <c r="B2450" s="4" t="s">
        <v>390</v>
      </c>
      <c r="C2450" s="5">
        <v>2010</v>
      </c>
      <c r="D2450" s="4">
        <v>28000000</v>
      </c>
      <c r="E2450" s="4">
        <v>174000000</v>
      </c>
      <c r="F2450" s="4" t="str">
        <f>_xlfn.LET(_xlpm.r, _xlfn.XLOOKUP(Clean_Data[[#This Row],[Country_Code]], Metadata_Country!$A:$A, Metadata_Country!$B:$B, "Unknown"), IF(OR(_xlpm.r=0, _xlpm.r=""), "Regional Aggregate", _xlpm.r))</f>
        <v>Europe &amp; Central Asia</v>
      </c>
      <c r="G2450" s="4" t="str">
        <f>_xlfn.LET(_xlpm.ig, _xlfn.XLOOKUP(Clean_Data[[#This Row],[Country_Code]], Metadata_Country!$A:$A, Metadata_Country!$C:$C, "Unknown"), IF(OR(_xlpm.ig=0, _xlpm.ig=""), "Regional Aggregate", _xlpm.ig))</f>
        <v>High income</v>
      </c>
      <c r="H2450" s="4">
        <f>Clean_Data[[#This Row],[Exports_TIV]] - Clean_Data[[#This Row],[Imports_TIV]]</f>
        <v>-146000000</v>
      </c>
      <c r="I2450" s="4">
        <f>Clean_Data[[#This Row],[Exports_TIV]] + Clean_Data[[#This Row],[Imports_TIV]]</f>
        <v>202000000</v>
      </c>
    </row>
    <row r="2451" spans="1:9">
      <c r="A2451" s="4" t="s">
        <v>397</v>
      </c>
      <c r="B2451" s="4" t="s">
        <v>398</v>
      </c>
      <c r="C2451" s="5">
        <v>2010</v>
      </c>
      <c r="D2451" s="4">
        <v>0</v>
      </c>
      <c r="E2451" s="4">
        <v>891000000</v>
      </c>
      <c r="F2451" s="4" t="str">
        <f>_xlfn.LET(_xlpm.r, _xlfn.XLOOKUP(Clean_Data[[#This Row],[Country_Code]], Metadata_Country!$A:$A, Metadata_Country!$B:$B, "Unknown"), IF(OR(_xlpm.r=0, _xlpm.r=""), "Regional Aggregate", _xlpm.r))</f>
        <v>Europe &amp; Central Asia</v>
      </c>
      <c r="G2451" s="4" t="str">
        <f>_xlfn.LET(_xlpm.ig, _xlfn.XLOOKUP(Clean_Data[[#This Row],[Country_Code]], Metadata_Country!$A:$A, Metadata_Country!$C:$C, "Unknown"), IF(OR(_xlpm.ig=0, _xlpm.ig=""), "Regional Aggregate", _xlpm.ig))</f>
        <v>High income</v>
      </c>
      <c r="H2451" s="4">
        <f>Clean_Data[[#This Row],[Exports_TIV]] - Clean_Data[[#This Row],[Imports_TIV]]</f>
        <v>-891000000</v>
      </c>
      <c r="I2451" s="4">
        <f>Clean_Data[[#This Row],[Exports_TIV]] + Clean_Data[[#This Row],[Imports_TIV]]</f>
        <v>891000000</v>
      </c>
    </row>
    <row r="2452" spans="1:9">
      <c r="A2452" s="4" t="s">
        <v>405</v>
      </c>
      <c r="B2452" s="4" t="s">
        <v>406</v>
      </c>
      <c r="C2452" s="5">
        <v>2010</v>
      </c>
      <c r="D2452" s="4">
        <v>16263000000</v>
      </c>
      <c r="E2452" s="4">
        <v>9106000000</v>
      </c>
      <c r="F2452" s="4" t="str">
        <f>_xlfn.LET(_xlpm.r, _xlfn.XLOOKUP(Clean_Data[[#This Row],[Country_Code]], Metadata_Country!$A:$A, Metadata_Country!$B:$B, "Unknown"), IF(OR(_xlpm.r=0, _xlpm.r=""), "Regional Aggregate", _xlpm.r))</f>
        <v>Regional Aggregate</v>
      </c>
      <c r="G2452" s="4" t="str">
        <f>_xlfn.LET(_xlpm.ig, _xlfn.XLOOKUP(Clean_Data[[#This Row],[Country_Code]], Metadata_Country!$A:$A, Metadata_Country!$C:$C, "Unknown"), IF(OR(_xlpm.ig=0, _xlpm.ig=""), "Regional Aggregate", _xlpm.ig))</f>
        <v>Regional Aggregate</v>
      </c>
      <c r="H2452" s="4">
        <f>Clean_Data[[#This Row],[Exports_TIV]] - Clean_Data[[#This Row],[Imports_TIV]]</f>
        <v>7157000000</v>
      </c>
      <c r="I2452" s="4">
        <f>Clean_Data[[#This Row],[Exports_TIV]] + Clean_Data[[#This Row],[Imports_TIV]]</f>
        <v>25369000000</v>
      </c>
    </row>
    <row r="2453" spans="1:9">
      <c r="A2453" s="4" t="s">
        <v>391</v>
      </c>
      <c r="B2453" s="4" t="s">
        <v>392</v>
      </c>
      <c r="C2453" s="5">
        <v>2010</v>
      </c>
      <c r="D2453" s="4">
        <v>0</v>
      </c>
      <c r="E2453" s="4">
        <v>1690000000</v>
      </c>
      <c r="F2453" s="4" t="str">
        <f>_xlfn.LET(_xlpm.r, _xlfn.XLOOKUP(Clean_Data[[#This Row],[Country_Code]], Metadata_Country!$A:$A, Metadata_Country!$B:$B, "Unknown"), IF(OR(_xlpm.r=0, _xlpm.r=""), "Regional Aggregate", _xlpm.r))</f>
        <v>Regional Aggregate</v>
      </c>
      <c r="G2453" s="4" t="str">
        <f>_xlfn.LET(_xlpm.ig, _xlfn.XLOOKUP(Clean_Data[[#This Row],[Country_Code]], Metadata_Country!$A:$A, Metadata_Country!$C:$C, "Unknown"), IF(OR(_xlpm.ig=0, _xlpm.ig=""), "Regional Aggregate", _xlpm.ig))</f>
        <v>Regional Aggregate</v>
      </c>
      <c r="H2453" s="4">
        <f>Clean_Data[[#This Row],[Exports_TIV]] - Clean_Data[[#This Row],[Imports_TIV]]</f>
        <v>-1690000000</v>
      </c>
      <c r="I2453" s="4">
        <f>Clean_Data[[#This Row],[Exports_TIV]] + Clean_Data[[#This Row],[Imports_TIV]]</f>
        <v>1690000000</v>
      </c>
    </row>
    <row r="2454" spans="1:9">
      <c r="A2454" s="4" t="s">
        <v>409</v>
      </c>
      <c r="B2454" s="4" t="s">
        <v>410</v>
      </c>
      <c r="C2454" s="5">
        <v>2010</v>
      </c>
      <c r="D2454" s="4">
        <v>0</v>
      </c>
      <c r="E2454" s="4">
        <v>30000000</v>
      </c>
      <c r="F2454" s="4" t="str">
        <f>_xlfn.LET(_xlpm.r, _xlfn.XLOOKUP(Clean_Data[[#This Row],[Country_Code]], Metadata_Country!$A:$A, Metadata_Country!$B:$B, "Unknown"), IF(OR(_xlpm.r=0, _xlpm.r=""), "Regional Aggregate", _xlpm.r))</f>
        <v>Middle East &amp; North Africa</v>
      </c>
      <c r="G2454" s="4" t="str">
        <f>_xlfn.LET(_xlpm.ig, _xlfn.XLOOKUP(Clean_Data[[#This Row],[Country_Code]], Metadata_Country!$A:$A, Metadata_Country!$C:$C, "Unknown"), IF(OR(_xlpm.ig=0, _xlpm.ig=""), "Regional Aggregate", _xlpm.ig))</f>
        <v>High income</v>
      </c>
      <c r="H2454" s="4">
        <f>Clean_Data[[#This Row],[Exports_TIV]] - Clean_Data[[#This Row],[Imports_TIV]]</f>
        <v>-30000000</v>
      </c>
      <c r="I2454" s="4">
        <f>Clean_Data[[#This Row],[Exports_TIV]] + Clean_Data[[#This Row],[Imports_TIV]]</f>
        <v>30000000</v>
      </c>
    </row>
    <row r="2455" spans="1:9">
      <c r="A2455" s="4" t="s">
        <v>411</v>
      </c>
      <c r="B2455" s="4" t="s">
        <v>412</v>
      </c>
      <c r="C2455" s="5">
        <v>2010</v>
      </c>
      <c r="D2455" s="4">
        <v>1000000</v>
      </c>
      <c r="E2455" s="4">
        <v>107000000</v>
      </c>
      <c r="F2455" s="4" t="str">
        <f>_xlfn.LET(_xlpm.r, _xlfn.XLOOKUP(Clean_Data[[#This Row],[Country_Code]], Metadata_Country!$A:$A, Metadata_Country!$B:$B, "Unknown"), IF(OR(_xlpm.r=0, _xlpm.r=""), "Regional Aggregate", _xlpm.r))</f>
        <v>Europe &amp; Central Asia</v>
      </c>
      <c r="G2455" s="4" t="str">
        <f>_xlfn.LET(_xlpm.ig, _xlfn.XLOOKUP(Clean_Data[[#This Row],[Country_Code]], Metadata_Country!$A:$A, Metadata_Country!$C:$C, "Unknown"), IF(OR(_xlpm.ig=0, _xlpm.ig=""), "Regional Aggregate", _xlpm.ig))</f>
        <v>High income</v>
      </c>
      <c r="H2455" s="4">
        <f>Clean_Data[[#This Row],[Exports_TIV]] - Clean_Data[[#This Row],[Imports_TIV]]</f>
        <v>-106000000</v>
      </c>
      <c r="I2455" s="4">
        <f>Clean_Data[[#This Row],[Exports_TIV]] + Clean_Data[[#This Row],[Imports_TIV]]</f>
        <v>108000000</v>
      </c>
    </row>
    <row r="2456" spans="1:9">
      <c r="A2456" s="4" t="s">
        <v>413</v>
      </c>
      <c r="B2456" s="4" t="s">
        <v>414</v>
      </c>
      <c r="C2456" s="5">
        <v>2010</v>
      </c>
      <c r="D2456" s="4">
        <v>6227000000</v>
      </c>
      <c r="E2456" s="4">
        <v>25000000</v>
      </c>
      <c r="F2456" s="4" t="str">
        <f>_xlfn.LET(_xlpm.r, _xlfn.XLOOKUP(Clean_Data[[#This Row],[Country_Code]], Metadata_Country!$A:$A, Metadata_Country!$B:$B, "Unknown"), IF(OR(_xlpm.r=0, _xlpm.r=""), "Regional Aggregate", _xlpm.r))</f>
        <v>Europe &amp; Central Asia</v>
      </c>
      <c r="G2456" s="4" t="str">
        <f>_xlfn.LET(_xlpm.ig, _xlfn.XLOOKUP(Clean_Data[[#This Row],[Country_Code]], Metadata_Country!$A:$A, Metadata_Country!$C:$C, "Unknown"), IF(OR(_xlpm.ig=0, _xlpm.ig=""), "Regional Aggregate", _xlpm.ig))</f>
        <v>High income</v>
      </c>
      <c r="H2456" s="4">
        <f>Clean_Data[[#This Row],[Exports_TIV]] - Clean_Data[[#This Row],[Imports_TIV]]</f>
        <v>6202000000</v>
      </c>
      <c r="I2456" s="4">
        <f>Clean_Data[[#This Row],[Exports_TIV]] + Clean_Data[[#This Row],[Imports_TIV]]</f>
        <v>6252000000</v>
      </c>
    </row>
    <row r="2457" spans="1:9">
      <c r="A2457" s="4" t="s">
        <v>419</v>
      </c>
      <c r="B2457" s="4" t="s">
        <v>420</v>
      </c>
      <c r="C2457" s="5">
        <v>2010</v>
      </c>
      <c r="D2457" s="4">
        <v>1000000</v>
      </c>
      <c r="E2457" s="4">
        <v>1109000000</v>
      </c>
      <c r="F2457" s="4" t="str">
        <f>_xlfn.LET(_xlpm.r, _xlfn.XLOOKUP(Clean_Data[[#This Row],[Country_Code]], Metadata_Country!$A:$A, Metadata_Country!$B:$B, "Unknown"), IF(OR(_xlpm.r=0, _xlpm.r=""), "Regional Aggregate", _xlpm.r))</f>
        <v>Middle East &amp; North Africa</v>
      </c>
      <c r="G2457" s="4" t="str">
        <f>_xlfn.LET(_xlpm.ig, _xlfn.XLOOKUP(Clean_Data[[#This Row],[Country_Code]], Metadata_Country!$A:$A, Metadata_Country!$C:$C, "Unknown"), IF(OR(_xlpm.ig=0, _xlpm.ig=""), "Regional Aggregate", _xlpm.ig))</f>
        <v>High income</v>
      </c>
      <c r="H2457" s="4">
        <f>Clean_Data[[#This Row],[Exports_TIV]] - Clean_Data[[#This Row],[Imports_TIV]]</f>
        <v>-1108000000</v>
      </c>
      <c r="I2457" s="4">
        <f>Clean_Data[[#This Row],[Exports_TIV]] + Clean_Data[[#This Row],[Imports_TIV]]</f>
        <v>1110000000</v>
      </c>
    </row>
    <row r="2458" spans="1:9">
      <c r="A2458" s="4" t="s">
        <v>423</v>
      </c>
      <c r="B2458" s="4" t="s">
        <v>424</v>
      </c>
      <c r="C2458" s="5">
        <v>2010</v>
      </c>
      <c r="D2458" s="4">
        <v>0</v>
      </c>
      <c r="E2458" s="4">
        <v>4000000</v>
      </c>
      <c r="F2458" s="4" t="str">
        <f>_xlfn.LET(_xlpm.r, _xlfn.XLOOKUP(Clean_Data[[#This Row],[Country_Code]], Metadata_Country!$A:$A, Metadata_Country!$B:$B, "Unknown"), IF(OR(_xlpm.r=0, _xlpm.r=""), "Regional Aggregate", _xlpm.r))</f>
        <v>Sub-Saharan Africa</v>
      </c>
      <c r="G2458" s="4" t="str">
        <f>_xlfn.LET(_xlpm.ig, _xlfn.XLOOKUP(Clean_Data[[#This Row],[Country_Code]], Metadata_Country!$A:$A, Metadata_Country!$C:$C, "Unknown"), IF(OR(_xlpm.ig=0, _xlpm.ig=""), "Regional Aggregate", _xlpm.ig))</f>
        <v>Lower middle income</v>
      </c>
      <c r="H2458" s="4">
        <f>Clean_Data[[#This Row],[Exports_TIV]] - Clean_Data[[#This Row],[Imports_TIV]]</f>
        <v>-4000000</v>
      </c>
      <c r="I2458" s="4">
        <f>Clean_Data[[#This Row],[Exports_TIV]] + Clean_Data[[#This Row],[Imports_TIV]]</f>
        <v>4000000</v>
      </c>
    </row>
    <row r="2459" spans="1:9">
      <c r="A2459" s="4" t="s">
        <v>437</v>
      </c>
      <c r="B2459" s="4" t="s">
        <v>438</v>
      </c>
      <c r="C2459" s="5">
        <v>2010</v>
      </c>
      <c r="D2459" s="4">
        <v>31000000</v>
      </c>
      <c r="E2459" s="4">
        <v>16000000</v>
      </c>
      <c r="F2459" s="4" t="str">
        <f>_xlfn.LET(_xlpm.r, _xlfn.XLOOKUP(Clean_Data[[#This Row],[Country_Code]], Metadata_Country!$A:$A, Metadata_Country!$B:$B, "Unknown"), IF(OR(_xlpm.r=0, _xlpm.r=""), "Regional Aggregate", _xlpm.r))</f>
        <v>Europe &amp; Central Asia</v>
      </c>
      <c r="G2459" s="4" t="str">
        <f>_xlfn.LET(_xlpm.ig, _xlfn.XLOOKUP(Clean_Data[[#This Row],[Country_Code]], Metadata_Country!$A:$A, Metadata_Country!$C:$C, "Unknown"), IF(OR(_xlpm.ig=0, _xlpm.ig=""), "Regional Aggregate", _xlpm.ig))</f>
        <v>Upper middle income</v>
      </c>
      <c r="H2459" s="4">
        <f>Clean_Data[[#This Row],[Exports_TIV]] - Clean_Data[[#This Row],[Imports_TIV]]</f>
        <v>15000000</v>
      </c>
      <c r="I2459" s="4">
        <f>Clean_Data[[#This Row],[Exports_TIV]] + Clean_Data[[#This Row],[Imports_TIV]]</f>
        <v>47000000</v>
      </c>
    </row>
    <row r="2460" spans="1:9">
      <c r="A2460" s="4" t="s">
        <v>425</v>
      </c>
      <c r="B2460" s="4" t="s">
        <v>426</v>
      </c>
      <c r="C2460" s="5">
        <v>2010</v>
      </c>
      <c r="D2460" s="4">
        <v>32000000</v>
      </c>
      <c r="E2460" s="4">
        <v>937000000</v>
      </c>
      <c r="F2460" s="4" t="str">
        <f>_xlfn.LET(_xlpm.r, _xlfn.XLOOKUP(Clean_Data[[#This Row],[Country_Code]], Metadata_Country!$A:$A, Metadata_Country!$B:$B, "Unknown"), IF(OR(_xlpm.r=0, _xlpm.r=""), "Regional Aggregate", _xlpm.r))</f>
        <v>East Asia &amp; Pacific</v>
      </c>
      <c r="G2460" s="4" t="str">
        <f>_xlfn.LET(_xlpm.ig, _xlfn.XLOOKUP(Clean_Data[[#This Row],[Country_Code]], Metadata_Country!$A:$A, Metadata_Country!$C:$C, "Unknown"), IF(OR(_xlpm.ig=0, _xlpm.ig=""), "Regional Aggregate", _xlpm.ig))</f>
        <v>High income</v>
      </c>
      <c r="H2460" s="4">
        <f>Clean_Data[[#This Row],[Exports_TIV]] - Clean_Data[[#This Row],[Imports_TIV]]</f>
        <v>-905000000</v>
      </c>
      <c r="I2460" s="4">
        <f>Clean_Data[[#This Row],[Exports_TIV]] + Clean_Data[[#This Row],[Imports_TIV]]</f>
        <v>969000000</v>
      </c>
    </row>
    <row r="2461" spans="1:9">
      <c r="A2461" s="4" t="s">
        <v>451</v>
      </c>
      <c r="B2461" s="4" t="s">
        <v>452</v>
      </c>
      <c r="C2461" s="5">
        <v>2010</v>
      </c>
      <c r="D2461" s="4">
        <v>0</v>
      </c>
      <c r="E2461" s="4">
        <v>9000000</v>
      </c>
      <c r="F2461" s="4" t="str">
        <f>_xlfn.LET(_xlpm.r, _xlfn.XLOOKUP(Clean_Data[[#This Row],[Country_Code]], Metadata_Country!$A:$A, Metadata_Country!$B:$B, "Unknown"), IF(OR(_xlpm.r=0, _xlpm.r=""), "Regional Aggregate", _xlpm.r))</f>
        <v>Europe &amp; Central Asia</v>
      </c>
      <c r="G2461" s="4" t="str">
        <f>_xlfn.LET(_xlpm.ig, _xlfn.XLOOKUP(Clean_Data[[#This Row],[Country_Code]], Metadata_Country!$A:$A, Metadata_Country!$C:$C, "Unknown"), IF(OR(_xlpm.ig=0, _xlpm.ig=""), "Regional Aggregate", _xlpm.ig))</f>
        <v>High income</v>
      </c>
      <c r="H2461" s="4">
        <f>Clean_Data[[#This Row],[Exports_TIV]] - Clean_Data[[#This Row],[Imports_TIV]]</f>
        <v>-9000000</v>
      </c>
      <c r="I2461" s="4">
        <f>Clean_Data[[#This Row],[Exports_TIV]] + Clean_Data[[#This Row],[Imports_TIV]]</f>
        <v>9000000</v>
      </c>
    </row>
    <row r="2462" spans="1:9">
      <c r="A2462" s="4" t="s">
        <v>453</v>
      </c>
      <c r="B2462" s="4" t="s">
        <v>454</v>
      </c>
      <c r="C2462" s="5">
        <v>2010</v>
      </c>
      <c r="D2462" s="4">
        <v>0</v>
      </c>
      <c r="E2462" s="4">
        <v>40000000</v>
      </c>
      <c r="F2462" s="4" t="str">
        <f>_xlfn.LET(_xlpm.r, _xlfn.XLOOKUP(Clean_Data[[#This Row],[Country_Code]], Metadata_Country!$A:$A, Metadata_Country!$B:$B, "Unknown"), IF(OR(_xlpm.r=0, _xlpm.r=""), "Regional Aggregate", _xlpm.r))</f>
        <v>Europe &amp; Central Asia</v>
      </c>
      <c r="G2462" s="4" t="str">
        <f>_xlfn.LET(_xlpm.ig, _xlfn.XLOOKUP(Clean_Data[[#This Row],[Country_Code]], Metadata_Country!$A:$A, Metadata_Country!$C:$C, "Unknown"), IF(OR(_xlpm.ig=0, _xlpm.ig=""), "Regional Aggregate", _xlpm.ig))</f>
        <v>High income</v>
      </c>
      <c r="H2462" s="4">
        <f>Clean_Data[[#This Row],[Exports_TIV]] - Clean_Data[[#This Row],[Imports_TIV]]</f>
        <v>-40000000</v>
      </c>
      <c r="I2462" s="4">
        <f>Clean_Data[[#This Row],[Exports_TIV]] + Clean_Data[[#This Row],[Imports_TIV]]</f>
        <v>40000000</v>
      </c>
    </row>
    <row r="2463" spans="1:9">
      <c r="A2463" s="4" t="s">
        <v>535</v>
      </c>
      <c r="B2463" s="4" t="s">
        <v>536</v>
      </c>
      <c r="C2463" s="5">
        <v>2010</v>
      </c>
      <c r="D2463" s="4">
        <v>250000000</v>
      </c>
      <c r="E2463" s="4">
        <v>178000000</v>
      </c>
      <c r="F2463" s="4" t="str">
        <f>_xlfn.LET(_xlpm.r, _xlfn.XLOOKUP(Clean_Data[[#This Row],[Country_Code]], Metadata_Country!$A:$A, Metadata_Country!$B:$B, "Unknown"), IF(OR(_xlpm.r=0, _xlpm.r=""), "Regional Aggregate", _xlpm.r))</f>
        <v>Sub-Saharan Africa</v>
      </c>
      <c r="G2463" s="4" t="str">
        <f>_xlfn.LET(_xlpm.ig, _xlfn.XLOOKUP(Clean_Data[[#This Row],[Country_Code]], Metadata_Country!$A:$A, Metadata_Country!$C:$C, "Unknown"), IF(OR(_xlpm.ig=0, _xlpm.ig=""), "Regional Aggregate", _xlpm.ig))</f>
        <v>Upper middle income</v>
      </c>
      <c r="H2463" s="4">
        <f>Clean_Data[[#This Row],[Exports_TIV]] - Clean_Data[[#This Row],[Imports_TIV]]</f>
        <v>72000000</v>
      </c>
      <c r="I2463" s="4">
        <f>Clean_Data[[#This Row],[Exports_TIV]] + Clean_Data[[#This Row],[Imports_TIV]]</f>
        <v>428000000</v>
      </c>
    </row>
    <row r="2464" spans="1:9">
      <c r="A2464" s="4" t="s">
        <v>417</v>
      </c>
      <c r="B2464" s="4" t="s">
        <v>418</v>
      </c>
      <c r="C2464" s="5">
        <v>2010</v>
      </c>
      <c r="D2464" s="4">
        <v>5000000</v>
      </c>
      <c r="E2464" s="4">
        <v>2943000000</v>
      </c>
      <c r="F2464" s="4" t="str">
        <f>_xlfn.LET(_xlpm.r, _xlfn.XLOOKUP(Clean_Data[[#This Row],[Country_Code]], Metadata_Country!$A:$A, Metadata_Country!$B:$B, "Unknown"), IF(OR(_xlpm.r=0, _xlpm.r=""), "Regional Aggregate", _xlpm.r))</f>
        <v>Regional Aggregate</v>
      </c>
      <c r="G2464" s="4" t="str">
        <f>_xlfn.LET(_xlpm.ig, _xlfn.XLOOKUP(Clean_Data[[#This Row],[Country_Code]], Metadata_Country!$A:$A, Metadata_Country!$C:$C, "Unknown"), IF(OR(_xlpm.ig=0, _xlpm.ig=""), "Regional Aggregate", _xlpm.ig))</f>
        <v>Regional Aggregate</v>
      </c>
      <c r="H2464" s="4">
        <f>Clean_Data[[#This Row],[Exports_TIV]] - Clean_Data[[#This Row],[Imports_TIV]]</f>
        <v>-2938000000</v>
      </c>
      <c r="I2464" s="4">
        <f>Clean_Data[[#This Row],[Exports_TIV]] + Clean_Data[[#This Row],[Imports_TIV]]</f>
        <v>2948000000</v>
      </c>
    </row>
    <row r="2465" spans="1:9">
      <c r="A2465" s="4" t="s">
        <v>489</v>
      </c>
      <c r="B2465" s="4" t="s">
        <v>490</v>
      </c>
      <c r="C2465" s="5">
        <v>2010</v>
      </c>
      <c r="D2465" s="4">
        <v>5000000</v>
      </c>
      <c r="E2465" s="4">
        <v>2943000000</v>
      </c>
      <c r="F2465" s="4" t="str">
        <f>_xlfn.LET(_xlpm.r, _xlfn.XLOOKUP(Clean_Data[[#This Row],[Country_Code]], Metadata_Country!$A:$A, Metadata_Country!$B:$B, "Unknown"), IF(OR(_xlpm.r=0, _xlpm.r=""), "Regional Aggregate", _xlpm.r))</f>
        <v>Regional Aggregate</v>
      </c>
      <c r="G2465" s="4" t="str">
        <f>_xlfn.LET(_xlpm.ig, _xlfn.XLOOKUP(Clean_Data[[#This Row],[Country_Code]], Metadata_Country!$A:$A, Metadata_Country!$C:$C, "Unknown"), IF(OR(_xlpm.ig=0, _xlpm.ig=""), "Regional Aggregate", _xlpm.ig))</f>
        <v>Regional Aggregate</v>
      </c>
      <c r="H2465" s="4">
        <f>Clean_Data[[#This Row],[Exports_TIV]] - Clean_Data[[#This Row],[Imports_TIV]]</f>
        <v>-2938000000</v>
      </c>
      <c r="I2465" s="4">
        <f>Clean_Data[[#This Row],[Exports_TIV]] + Clean_Data[[#This Row],[Imports_TIV]]</f>
        <v>2948000000</v>
      </c>
    </row>
    <row r="2466" spans="1:9">
      <c r="A2466" s="4" t="s">
        <v>441</v>
      </c>
      <c r="B2466" s="4" t="s">
        <v>442</v>
      </c>
      <c r="C2466" s="5">
        <v>2010</v>
      </c>
      <c r="D2466" s="4">
        <v>0</v>
      </c>
      <c r="E2466" s="4">
        <v>2000000</v>
      </c>
      <c r="F2466" s="4" t="str">
        <f>_xlfn.LET(_xlpm.r, _xlfn.XLOOKUP(Clean_Data[[#This Row],[Country_Code]], Metadata_Country!$A:$A, Metadata_Country!$B:$B, "Unknown"), IF(OR(_xlpm.r=0, _xlpm.r=""), "Regional Aggregate", _xlpm.r))</f>
        <v>Sub-Saharan Africa</v>
      </c>
      <c r="G2466" s="4" t="str">
        <f>_xlfn.LET(_xlpm.ig, _xlfn.XLOOKUP(Clean_Data[[#This Row],[Country_Code]], Metadata_Country!$A:$A, Metadata_Country!$C:$C, "Unknown"), IF(OR(_xlpm.ig=0, _xlpm.ig=""), "Regional Aggregate", _xlpm.ig))</f>
        <v>Low income</v>
      </c>
      <c r="H2466" s="4">
        <f>Clean_Data[[#This Row],[Exports_TIV]] - Clean_Data[[#This Row],[Imports_TIV]]</f>
        <v>-2000000</v>
      </c>
      <c r="I2466" s="4">
        <f>Clean_Data[[#This Row],[Exports_TIV]] + Clean_Data[[#This Row],[Imports_TIV]]</f>
        <v>2000000</v>
      </c>
    </row>
    <row r="2467" spans="1:9">
      <c r="A2467" s="4" t="s">
        <v>149</v>
      </c>
      <c r="B2467" s="4" t="s">
        <v>150</v>
      </c>
      <c r="C2467" s="5">
        <v>2010</v>
      </c>
      <c r="D2467" s="4">
        <v>273000000</v>
      </c>
      <c r="E2467" s="4">
        <v>272000000</v>
      </c>
      <c r="F2467" s="4" t="str">
        <f>_xlfn.LET(_xlpm.r, _xlfn.XLOOKUP(Clean_Data[[#This Row],[Country_Code]], Metadata_Country!$A:$A, Metadata_Country!$B:$B, "Unknown"), IF(OR(_xlpm.r=0, _xlpm.r=""), "Regional Aggregate", _xlpm.r))</f>
        <v>Europe &amp; Central Asia</v>
      </c>
      <c r="G2467" s="4" t="str">
        <f>_xlfn.LET(_xlpm.ig, _xlfn.XLOOKUP(Clean_Data[[#This Row],[Country_Code]], Metadata_Country!$A:$A, Metadata_Country!$C:$C, "Unknown"), IF(OR(_xlpm.ig=0, _xlpm.ig=""), "Regional Aggregate", _xlpm.ig))</f>
        <v>High income</v>
      </c>
      <c r="H2467" s="4">
        <f>Clean_Data[[#This Row],[Exports_TIV]] - Clean_Data[[#This Row],[Imports_TIV]]</f>
        <v>1000000</v>
      </c>
      <c r="I2467" s="4">
        <f>Clean_Data[[#This Row],[Exports_TIV]] + Clean_Data[[#This Row],[Imports_TIV]]</f>
        <v>545000000</v>
      </c>
    </row>
    <row r="2468" spans="1:9">
      <c r="A2468" s="4" t="s">
        <v>285</v>
      </c>
      <c r="B2468" s="4" t="s">
        <v>286</v>
      </c>
      <c r="C2468" s="5">
        <v>2010</v>
      </c>
      <c r="D2468" s="4">
        <v>0</v>
      </c>
      <c r="E2468" s="4">
        <v>5000000</v>
      </c>
      <c r="F2468" s="4" t="str">
        <f>_xlfn.LET(_xlpm.r, _xlfn.XLOOKUP(Clean_Data[[#This Row],[Country_Code]], Metadata_Country!$A:$A, Metadata_Country!$B:$B, "Unknown"), IF(OR(_xlpm.r=0, _xlpm.r=""), "Regional Aggregate", _xlpm.r))</f>
        <v>South Asia</v>
      </c>
      <c r="G2468" s="4" t="str">
        <f>_xlfn.LET(_xlpm.ig, _xlfn.XLOOKUP(Clean_Data[[#This Row],[Country_Code]], Metadata_Country!$A:$A, Metadata_Country!$C:$C, "Unknown"), IF(OR(_xlpm.ig=0, _xlpm.ig=""), "Regional Aggregate", _xlpm.ig))</f>
        <v>Upper middle income</v>
      </c>
      <c r="H2468" s="4">
        <f>Clean_Data[[#This Row],[Exports_TIV]] - Clean_Data[[#This Row],[Imports_TIV]]</f>
        <v>-5000000</v>
      </c>
      <c r="I2468" s="4">
        <f>Clean_Data[[#This Row],[Exports_TIV]] + Clean_Data[[#This Row],[Imports_TIV]]</f>
        <v>5000000</v>
      </c>
    </row>
    <row r="2469" spans="1:9">
      <c r="A2469" s="4" t="s">
        <v>443</v>
      </c>
      <c r="B2469" s="4" t="s">
        <v>444</v>
      </c>
      <c r="C2469" s="5">
        <v>2010</v>
      </c>
      <c r="D2469" s="4">
        <v>0</v>
      </c>
      <c r="E2469" s="4">
        <v>1105000000</v>
      </c>
      <c r="F2469" s="4" t="str">
        <f>_xlfn.LET(_xlpm.r, _xlfn.XLOOKUP(Clean_Data[[#This Row],[Country_Code]], Metadata_Country!$A:$A, Metadata_Country!$B:$B, "Unknown"), IF(OR(_xlpm.r=0, _xlpm.r=""), "Regional Aggregate", _xlpm.r))</f>
        <v>Regional Aggregate</v>
      </c>
      <c r="G2469" s="4" t="str">
        <f>_xlfn.LET(_xlpm.ig, _xlfn.XLOOKUP(Clean_Data[[#This Row],[Country_Code]], Metadata_Country!$A:$A, Metadata_Country!$C:$C, "Unknown"), IF(OR(_xlpm.ig=0, _xlpm.ig=""), "Regional Aggregate", _xlpm.ig))</f>
        <v>Regional Aggregate</v>
      </c>
      <c r="H2469" s="4">
        <f>Clean_Data[[#This Row],[Exports_TIV]] - Clean_Data[[#This Row],[Imports_TIV]]</f>
        <v>-1105000000</v>
      </c>
      <c r="I2469" s="4">
        <f>Clean_Data[[#This Row],[Exports_TIV]] + Clean_Data[[#This Row],[Imports_TIV]]</f>
        <v>1105000000</v>
      </c>
    </row>
    <row r="2470" spans="1:9">
      <c r="A2470" s="4" t="s">
        <v>439</v>
      </c>
      <c r="B2470" s="4" t="s">
        <v>440</v>
      </c>
      <c r="C2470" s="5">
        <v>2010</v>
      </c>
      <c r="D2470" s="4">
        <v>0</v>
      </c>
      <c r="E2470" s="4">
        <v>1105000000</v>
      </c>
      <c r="F2470" s="4" t="str">
        <f>_xlfn.LET(_xlpm.r, _xlfn.XLOOKUP(Clean_Data[[#This Row],[Country_Code]], Metadata_Country!$A:$A, Metadata_Country!$B:$B, "Unknown"), IF(OR(_xlpm.r=0, _xlpm.r=""), "Regional Aggregate", _xlpm.r))</f>
        <v>Regional Aggregate</v>
      </c>
      <c r="G2470" s="4" t="str">
        <f>_xlfn.LET(_xlpm.ig, _xlfn.XLOOKUP(Clean_Data[[#This Row],[Country_Code]], Metadata_Country!$A:$A, Metadata_Country!$C:$C, "Unknown"), IF(OR(_xlpm.ig=0, _xlpm.ig=""), "Regional Aggregate", _xlpm.ig))</f>
        <v>Regional Aggregate</v>
      </c>
      <c r="H2470" s="4">
        <f>Clean_Data[[#This Row],[Exports_TIV]] - Clean_Data[[#This Row],[Imports_TIV]]</f>
        <v>-1105000000</v>
      </c>
      <c r="I2470" s="4">
        <f>Clean_Data[[#This Row],[Exports_TIV]] + Clean_Data[[#This Row],[Imports_TIV]]</f>
        <v>1105000000</v>
      </c>
    </row>
    <row r="2471" spans="1:9">
      <c r="A2471" s="4" t="s">
        <v>491</v>
      </c>
      <c r="B2471" s="4" t="s">
        <v>492</v>
      </c>
      <c r="C2471" s="5">
        <v>2010</v>
      </c>
      <c r="D2471" s="4">
        <v>0</v>
      </c>
      <c r="E2471" s="4">
        <v>1105000000</v>
      </c>
      <c r="F2471" s="4" t="str">
        <f>_xlfn.LET(_xlpm.r, _xlfn.XLOOKUP(Clean_Data[[#This Row],[Country_Code]], Metadata_Country!$A:$A, Metadata_Country!$B:$B, "Unknown"), IF(OR(_xlpm.r=0, _xlpm.r=""), "Regional Aggregate", _xlpm.r))</f>
        <v>Regional Aggregate</v>
      </c>
      <c r="G2471" s="4" t="str">
        <f>_xlfn.LET(_xlpm.ig, _xlfn.XLOOKUP(Clean_Data[[#This Row],[Country_Code]], Metadata_Country!$A:$A, Metadata_Country!$C:$C, "Unknown"), IF(OR(_xlpm.ig=0, _xlpm.ig=""), "Regional Aggregate", _xlpm.ig))</f>
        <v>Regional Aggregate</v>
      </c>
      <c r="H2471" s="4">
        <f>Clean_Data[[#This Row],[Exports_TIV]] - Clean_Data[[#This Row],[Imports_TIV]]</f>
        <v>-1105000000</v>
      </c>
      <c r="I2471" s="4">
        <f>Clean_Data[[#This Row],[Exports_TIV]] + Clean_Data[[#This Row],[Imports_TIV]]</f>
        <v>1105000000</v>
      </c>
    </row>
    <row r="2472" spans="1:9">
      <c r="A2472" s="4" t="s">
        <v>421</v>
      </c>
      <c r="B2472" s="4" t="s">
        <v>422</v>
      </c>
      <c r="C2472" s="5">
        <v>2010</v>
      </c>
      <c r="D2472" s="4">
        <v>0</v>
      </c>
      <c r="E2472" s="4">
        <v>196000000</v>
      </c>
      <c r="F2472" s="4" t="str">
        <f>_xlfn.LET(_xlpm.r, _xlfn.XLOOKUP(Clean_Data[[#This Row],[Country_Code]], Metadata_Country!$A:$A, Metadata_Country!$B:$B, "Unknown"), IF(OR(_xlpm.r=0, _xlpm.r=""), "Regional Aggregate", _xlpm.r))</f>
        <v>Sub-Saharan Africa</v>
      </c>
      <c r="G2472" s="4" t="str">
        <f>_xlfn.LET(_xlpm.ig, _xlfn.XLOOKUP(Clean_Data[[#This Row],[Country_Code]], Metadata_Country!$A:$A, Metadata_Country!$C:$C, "Unknown"), IF(OR(_xlpm.ig=0, _xlpm.ig=""), "Regional Aggregate", _xlpm.ig))</f>
        <v>Low income</v>
      </c>
      <c r="H2472" s="4">
        <f>Clean_Data[[#This Row],[Exports_TIV]] - Clean_Data[[#This Row],[Imports_TIV]]</f>
        <v>-196000000</v>
      </c>
      <c r="I2472" s="4">
        <f>Clean_Data[[#This Row],[Exports_TIV]] + Clean_Data[[#This Row],[Imports_TIV]]</f>
        <v>196000000</v>
      </c>
    </row>
    <row r="2473" spans="1:9">
      <c r="A2473" s="4" t="s">
        <v>455</v>
      </c>
      <c r="B2473" s="4" t="s">
        <v>456</v>
      </c>
      <c r="C2473" s="5">
        <v>2010</v>
      </c>
      <c r="D2473" s="4">
        <v>612000000</v>
      </c>
      <c r="E2473" s="4">
        <v>0</v>
      </c>
      <c r="F2473" s="4" t="str">
        <f>_xlfn.LET(_xlpm.r, _xlfn.XLOOKUP(Clean_Data[[#This Row],[Country_Code]], Metadata_Country!$A:$A, Metadata_Country!$B:$B, "Unknown"), IF(OR(_xlpm.r=0, _xlpm.r=""), "Regional Aggregate", _xlpm.r))</f>
        <v>Europe &amp; Central Asia</v>
      </c>
      <c r="G2473" s="4" t="str">
        <f>_xlfn.LET(_xlpm.ig, _xlfn.XLOOKUP(Clean_Data[[#This Row],[Country_Code]], Metadata_Country!$A:$A, Metadata_Country!$C:$C, "Unknown"), IF(OR(_xlpm.ig=0, _xlpm.ig=""), "Regional Aggregate", _xlpm.ig))</f>
        <v>High income</v>
      </c>
      <c r="H2473" s="4">
        <f>Clean_Data[[#This Row],[Exports_TIV]] - Clean_Data[[#This Row],[Imports_TIV]]</f>
        <v>612000000</v>
      </c>
      <c r="I2473" s="4">
        <f>Clean_Data[[#This Row],[Exports_TIV]] + Clean_Data[[#This Row],[Imports_TIV]]</f>
        <v>612000000</v>
      </c>
    </row>
    <row r="2474" spans="1:9">
      <c r="A2474" s="4" t="s">
        <v>83</v>
      </c>
      <c r="B2474" s="4" t="s">
        <v>84</v>
      </c>
      <c r="C2474" s="5">
        <v>2010</v>
      </c>
      <c r="D2474" s="4">
        <v>285000000</v>
      </c>
      <c r="E2474" s="4">
        <v>38000000</v>
      </c>
      <c r="F2474" s="4" t="str">
        <f>_xlfn.LET(_xlpm.r, _xlfn.XLOOKUP(Clean_Data[[#This Row],[Country_Code]], Metadata_Country!$A:$A, Metadata_Country!$B:$B, "Unknown"), IF(OR(_xlpm.r=0, _xlpm.r=""), "Regional Aggregate", _xlpm.r))</f>
        <v>Europe &amp; Central Asia</v>
      </c>
      <c r="G2474" s="4" t="str">
        <f>_xlfn.LET(_xlpm.ig, _xlfn.XLOOKUP(Clean_Data[[#This Row],[Country_Code]], Metadata_Country!$A:$A, Metadata_Country!$C:$C, "Unknown"), IF(OR(_xlpm.ig=0, _xlpm.ig=""), "Regional Aggregate", _xlpm.ig))</f>
        <v>High income</v>
      </c>
      <c r="H2474" s="4">
        <f>Clean_Data[[#This Row],[Exports_TIV]] - Clean_Data[[#This Row],[Imports_TIV]]</f>
        <v>247000000</v>
      </c>
      <c r="I2474" s="4">
        <f>Clean_Data[[#This Row],[Exports_TIV]] + Clean_Data[[#This Row],[Imports_TIV]]</f>
        <v>323000000</v>
      </c>
    </row>
    <row r="2475" spans="1:9">
      <c r="A2475" s="4" t="s">
        <v>463</v>
      </c>
      <c r="B2475" s="4" t="s">
        <v>464</v>
      </c>
      <c r="C2475" s="5">
        <v>2010</v>
      </c>
      <c r="D2475" s="4">
        <v>30000000</v>
      </c>
      <c r="E2475" s="4">
        <v>420000000</v>
      </c>
      <c r="F2475" s="4" t="str">
        <f>_xlfn.LET(_xlpm.r, _xlfn.XLOOKUP(Clean_Data[[#This Row],[Country_Code]], Metadata_Country!$A:$A, Metadata_Country!$B:$B, "Unknown"), IF(OR(_xlpm.r=0, _xlpm.r=""), "Regional Aggregate", _xlpm.r))</f>
        <v>Middle East &amp; North Africa</v>
      </c>
      <c r="G2475" s="4" t="str">
        <f>_xlfn.LET(_xlpm.ig, _xlfn.XLOOKUP(Clean_Data[[#This Row],[Country_Code]], Metadata_Country!$A:$A, Metadata_Country!$C:$C, "Unknown"), IF(OR(_xlpm.ig=0, _xlpm.ig=""), "Regional Aggregate", _xlpm.ig))</f>
        <v>Low income</v>
      </c>
      <c r="H2475" s="4">
        <f>Clean_Data[[#This Row],[Exports_TIV]] - Clean_Data[[#This Row],[Imports_TIV]]</f>
        <v>-390000000</v>
      </c>
      <c r="I2475" s="4">
        <f>Clean_Data[[#This Row],[Exports_TIV]] + Clean_Data[[#This Row],[Imports_TIV]]</f>
        <v>450000000</v>
      </c>
    </row>
    <row r="2476" spans="1:9">
      <c r="A2476" s="4" t="s">
        <v>475</v>
      </c>
      <c r="B2476" s="4" t="s">
        <v>476</v>
      </c>
      <c r="C2476" s="5">
        <v>2010</v>
      </c>
      <c r="D2476" s="4">
        <v>0</v>
      </c>
      <c r="E2476" s="4">
        <v>60000000</v>
      </c>
      <c r="F2476" s="4" t="str">
        <f>_xlfn.LET(_xlpm.r, _xlfn.XLOOKUP(Clean_Data[[#This Row],[Country_Code]], Metadata_Country!$A:$A, Metadata_Country!$B:$B, "Unknown"), IF(OR(_xlpm.r=0, _xlpm.r=""), "Regional Aggregate", _xlpm.r))</f>
        <v>East Asia &amp; Pacific</v>
      </c>
      <c r="G2476" s="4" t="str">
        <f>_xlfn.LET(_xlpm.ig, _xlfn.XLOOKUP(Clean_Data[[#This Row],[Country_Code]], Metadata_Country!$A:$A, Metadata_Country!$C:$C, "Unknown"), IF(OR(_xlpm.ig=0, _xlpm.ig=""), "Regional Aggregate", _xlpm.ig))</f>
        <v>Upper middle income</v>
      </c>
      <c r="H2476" s="4">
        <f>Clean_Data[[#This Row],[Exports_TIV]] - Clean_Data[[#This Row],[Imports_TIV]]</f>
        <v>-60000000</v>
      </c>
      <c r="I2476" s="4">
        <f>Clean_Data[[#This Row],[Exports_TIV]] + Clean_Data[[#This Row],[Imports_TIV]]</f>
        <v>60000000</v>
      </c>
    </row>
    <row r="2477" spans="1:9">
      <c r="A2477" s="4" t="s">
        <v>483</v>
      </c>
      <c r="B2477" s="4" t="s">
        <v>484</v>
      </c>
      <c r="C2477" s="5">
        <v>2010</v>
      </c>
      <c r="D2477" s="4">
        <v>0</v>
      </c>
      <c r="E2477" s="4">
        <v>18000000</v>
      </c>
      <c r="F2477" s="4" t="str">
        <f>_xlfn.LET(_xlpm.r, _xlfn.XLOOKUP(Clean_Data[[#This Row],[Country_Code]], Metadata_Country!$A:$A, Metadata_Country!$B:$B, "Unknown"), IF(OR(_xlpm.r=0, _xlpm.r=""), "Regional Aggregate", _xlpm.r))</f>
        <v>East Asia &amp; Pacific</v>
      </c>
      <c r="G2477" s="4" t="str">
        <f>_xlfn.LET(_xlpm.ig, _xlfn.XLOOKUP(Clean_Data[[#This Row],[Country_Code]], Metadata_Country!$A:$A, Metadata_Country!$C:$C, "Unknown"), IF(OR(_xlpm.ig=0, _xlpm.ig=""), "Regional Aggregate", _xlpm.ig))</f>
        <v>Lower middle income</v>
      </c>
      <c r="H2477" s="4">
        <f>Clean_Data[[#This Row],[Exports_TIV]] - Clean_Data[[#This Row],[Imports_TIV]]</f>
        <v>-18000000</v>
      </c>
      <c r="I2477" s="4">
        <f>Clean_Data[[#This Row],[Exports_TIV]] + Clean_Data[[#This Row],[Imports_TIV]]</f>
        <v>18000000</v>
      </c>
    </row>
    <row r="2478" spans="1:9">
      <c r="A2478" s="4" t="s">
        <v>473</v>
      </c>
      <c r="B2478" s="4" t="s">
        <v>474</v>
      </c>
      <c r="C2478" s="5">
        <v>2010</v>
      </c>
      <c r="D2478" s="4">
        <v>0</v>
      </c>
      <c r="E2478" s="4">
        <v>1000000</v>
      </c>
      <c r="F2478" s="4" t="str">
        <f>_xlfn.LET(_xlpm.r, _xlfn.XLOOKUP(Clean_Data[[#This Row],[Country_Code]], Metadata_Country!$A:$A, Metadata_Country!$B:$B, "Unknown"), IF(OR(_xlpm.r=0, _xlpm.r=""), "Regional Aggregate", _xlpm.r))</f>
        <v>Sub-Saharan Africa</v>
      </c>
      <c r="G2478" s="4" t="str">
        <f>_xlfn.LET(_xlpm.ig, _xlfn.XLOOKUP(Clean_Data[[#This Row],[Country_Code]], Metadata_Country!$A:$A, Metadata_Country!$C:$C, "Unknown"), IF(OR(_xlpm.ig=0, _xlpm.ig=""), "Regional Aggregate", _xlpm.ig))</f>
        <v>Lower middle income</v>
      </c>
      <c r="H2478" s="4">
        <f>Clean_Data[[#This Row],[Exports_TIV]] - Clean_Data[[#This Row],[Imports_TIV]]</f>
        <v>-1000000</v>
      </c>
      <c r="I2478" s="4">
        <f>Clean_Data[[#This Row],[Exports_TIV]] + Clean_Data[[#This Row],[Imports_TIV]]</f>
        <v>1000000</v>
      </c>
    </row>
    <row r="2479" spans="1:9">
      <c r="A2479" s="4" t="s">
        <v>493</v>
      </c>
      <c r="B2479" s="4" t="s">
        <v>494</v>
      </c>
      <c r="C2479" s="5">
        <v>2010</v>
      </c>
      <c r="D2479" s="4">
        <v>0</v>
      </c>
      <c r="E2479" s="4">
        <v>24000000</v>
      </c>
      <c r="F2479" s="4" t="str">
        <f>_xlfn.LET(_xlpm.r, _xlfn.XLOOKUP(Clean_Data[[#This Row],[Country_Code]], Metadata_Country!$A:$A, Metadata_Country!$B:$B, "Unknown"), IF(OR(_xlpm.r=0, _xlpm.r=""), "Regional Aggregate", _xlpm.r))</f>
        <v>Latin America &amp; Caribbean</v>
      </c>
      <c r="G2479" s="4" t="str">
        <f>_xlfn.LET(_xlpm.ig, _xlfn.XLOOKUP(Clean_Data[[#This Row],[Country_Code]], Metadata_Country!$A:$A, Metadata_Country!$C:$C, "Unknown"), IF(OR(_xlpm.ig=0, _xlpm.ig=""), "Regional Aggregate", _xlpm.ig))</f>
        <v>High income</v>
      </c>
      <c r="H2479" s="4">
        <f>Clean_Data[[#This Row],[Exports_TIV]] - Clean_Data[[#This Row],[Imports_TIV]]</f>
        <v>-24000000</v>
      </c>
      <c r="I2479" s="4">
        <f>Clean_Data[[#This Row],[Exports_TIV]] + Clean_Data[[#This Row],[Imports_TIV]]</f>
        <v>24000000</v>
      </c>
    </row>
    <row r="2480" spans="1:9">
      <c r="A2480" s="4" t="s">
        <v>495</v>
      </c>
      <c r="B2480" s="4" t="s">
        <v>496</v>
      </c>
      <c r="C2480" s="5">
        <v>2010</v>
      </c>
      <c r="D2480" s="4">
        <v>0</v>
      </c>
      <c r="E2480" s="4">
        <v>7000000</v>
      </c>
      <c r="F2480" s="4" t="str">
        <f>_xlfn.LET(_xlpm.r, _xlfn.XLOOKUP(Clean_Data[[#This Row],[Country_Code]], Metadata_Country!$A:$A, Metadata_Country!$B:$B, "Unknown"), IF(OR(_xlpm.r=0, _xlpm.r=""), "Regional Aggregate", _xlpm.r))</f>
        <v>Middle East &amp; North Africa</v>
      </c>
      <c r="G2480" s="4" t="str">
        <f>_xlfn.LET(_xlpm.ig, _xlfn.XLOOKUP(Clean_Data[[#This Row],[Country_Code]], Metadata_Country!$A:$A, Metadata_Country!$C:$C, "Unknown"), IF(OR(_xlpm.ig=0, _xlpm.ig=""), "Regional Aggregate", _xlpm.ig))</f>
        <v>Lower middle income</v>
      </c>
      <c r="H2480" s="4">
        <f>Clean_Data[[#This Row],[Exports_TIV]] - Clean_Data[[#This Row],[Imports_TIV]]</f>
        <v>-7000000</v>
      </c>
      <c r="I2480" s="4">
        <f>Clean_Data[[#This Row],[Exports_TIV]] + Clean_Data[[#This Row],[Imports_TIV]]</f>
        <v>7000000</v>
      </c>
    </row>
    <row r="2481" spans="1:9">
      <c r="A2481" s="4" t="s">
        <v>497</v>
      </c>
      <c r="B2481" s="4" t="s">
        <v>498</v>
      </c>
      <c r="C2481" s="5">
        <v>2010</v>
      </c>
      <c r="D2481" s="4">
        <v>79000000</v>
      </c>
      <c r="E2481" s="4">
        <v>469000000</v>
      </c>
      <c r="F2481" s="4" t="str">
        <f>_xlfn.LET(_xlpm.r, _xlfn.XLOOKUP(Clean_Data[[#This Row],[Country_Code]], Metadata_Country!$A:$A, Metadata_Country!$B:$B, "Unknown"), IF(OR(_xlpm.r=0, _xlpm.r=""), "Regional Aggregate", _xlpm.r))</f>
        <v>Europe &amp; Central Asia</v>
      </c>
      <c r="G2481" s="4" t="str">
        <f>_xlfn.LET(_xlpm.ig, _xlfn.XLOOKUP(Clean_Data[[#This Row],[Country_Code]], Metadata_Country!$A:$A, Metadata_Country!$C:$C, "Unknown"), IF(OR(_xlpm.ig=0, _xlpm.ig=""), "Regional Aggregate", _xlpm.ig))</f>
        <v>Upper middle income</v>
      </c>
      <c r="H2481" s="4">
        <f>Clean_Data[[#This Row],[Exports_TIV]] - Clean_Data[[#This Row],[Imports_TIV]]</f>
        <v>-390000000</v>
      </c>
      <c r="I2481" s="4">
        <f>Clean_Data[[#This Row],[Exports_TIV]] + Clean_Data[[#This Row],[Imports_TIV]]</f>
        <v>548000000</v>
      </c>
    </row>
    <row r="2482" spans="1:9">
      <c r="A2482" s="4" t="s">
        <v>479</v>
      </c>
      <c r="B2482" s="4" t="s">
        <v>480</v>
      </c>
      <c r="C2482" s="5">
        <v>2010</v>
      </c>
      <c r="D2482" s="4">
        <v>0</v>
      </c>
      <c r="E2482" s="4">
        <v>32000000</v>
      </c>
      <c r="F2482" s="4" t="str">
        <f>_xlfn.LET(_xlpm.r, _xlfn.XLOOKUP(Clean_Data[[#This Row],[Country_Code]], Metadata_Country!$A:$A, Metadata_Country!$B:$B, "Unknown"), IF(OR(_xlpm.r=0, _xlpm.r=""), "Regional Aggregate", _xlpm.r))</f>
        <v>Europe &amp; Central Asia</v>
      </c>
      <c r="G2482" s="4" t="str">
        <f>_xlfn.LET(_xlpm.ig, _xlfn.XLOOKUP(Clean_Data[[#This Row],[Country_Code]], Metadata_Country!$A:$A, Metadata_Country!$C:$C, "Unknown"), IF(OR(_xlpm.ig=0, _xlpm.ig=""), "Regional Aggregate", _xlpm.ig))</f>
        <v>Upper middle income</v>
      </c>
      <c r="H2482" s="4">
        <f>Clean_Data[[#This Row],[Exports_TIV]] - Clean_Data[[#This Row],[Imports_TIV]]</f>
        <v>-32000000</v>
      </c>
      <c r="I2482" s="4">
        <f>Clean_Data[[#This Row],[Exports_TIV]] + Clean_Data[[#This Row],[Imports_TIV]]</f>
        <v>32000000</v>
      </c>
    </row>
    <row r="2483" spans="1:9">
      <c r="A2483" s="4" t="s">
        <v>503</v>
      </c>
      <c r="B2483" s="4" t="s">
        <v>504</v>
      </c>
      <c r="C2483" s="5">
        <v>2010</v>
      </c>
      <c r="D2483" s="4">
        <v>0</v>
      </c>
      <c r="E2483" s="4">
        <v>37000000</v>
      </c>
      <c r="F2483" s="4" t="str">
        <f>_xlfn.LET(_xlpm.r, _xlfn.XLOOKUP(Clean_Data[[#This Row],[Country_Code]], Metadata_Country!$A:$A, Metadata_Country!$B:$B, "Unknown"), IF(OR(_xlpm.r=0, _xlpm.r=""), "Regional Aggregate", _xlpm.r))</f>
        <v>Sub-Saharan Africa</v>
      </c>
      <c r="G2483" s="4" t="str">
        <f>_xlfn.LET(_xlpm.ig, _xlfn.XLOOKUP(Clean_Data[[#This Row],[Country_Code]], Metadata_Country!$A:$A, Metadata_Country!$C:$C, "Unknown"), IF(OR(_xlpm.ig=0, _xlpm.ig=""), "Regional Aggregate", _xlpm.ig))</f>
        <v>Low income</v>
      </c>
      <c r="H2483" s="4">
        <f>Clean_Data[[#This Row],[Exports_TIV]] - Clean_Data[[#This Row],[Imports_TIV]]</f>
        <v>-37000000</v>
      </c>
      <c r="I2483" s="4">
        <f>Clean_Data[[#This Row],[Exports_TIV]] + Clean_Data[[#This Row],[Imports_TIV]]</f>
        <v>37000000</v>
      </c>
    </row>
    <row r="2484" spans="1:9">
      <c r="A2484" s="4" t="s">
        <v>505</v>
      </c>
      <c r="B2484" s="4" t="s">
        <v>506</v>
      </c>
      <c r="C2484" s="5">
        <v>2010</v>
      </c>
      <c r="D2484" s="4">
        <v>519000000</v>
      </c>
      <c r="E2484" s="4">
        <v>0</v>
      </c>
      <c r="F2484" s="4" t="str">
        <f>_xlfn.LET(_xlpm.r, _xlfn.XLOOKUP(Clean_Data[[#This Row],[Country_Code]], Metadata_Country!$A:$A, Metadata_Country!$B:$B, "Unknown"), IF(OR(_xlpm.r=0, _xlpm.r=""), "Regional Aggregate", _xlpm.r))</f>
        <v>Europe &amp; Central Asia</v>
      </c>
      <c r="G2484" s="4" t="str">
        <f>_xlfn.LET(_xlpm.ig, _xlfn.XLOOKUP(Clean_Data[[#This Row],[Country_Code]], Metadata_Country!$A:$A, Metadata_Country!$C:$C, "Unknown"), IF(OR(_xlpm.ig=0, _xlpm.ig=""), "Regional Aggregate", _xlpm.ig))</f>
        <v>Upper middle income</v>
      </c>
      <c r="H2484" s="4">
        <f>Clean_Data[[#This Row],[Exports_TIV]] - Clean_Data[[#This Row],[Imports_TIV]]</f>
        <v>519000000</v>
      </c>
      <c r="I2484" s="4">
        <f>Clean_Data[[#This Row],[Exports_TIV]] + Clean_Data[[#This Row],[Imports_TIV]]</f>
        <v>519000000</v>
      </c>
    </row>
    <row r="2485" spans="1:9">
      <c r="A2485" s="4" t="s">
        <v>25</v>
      </c>
      <c r="B2485" s="4" t="s">
        <v>26</v>
      </c>
      <c r="C2485" s="5">
        <v>2010</v>
      </c>
      <c r="D2485" s="4">
        <v>39000000</v>
      </c>
      <c r="E2485" s="4">
        <v>650000000</v>
      </c>
      <c r="F2485" s="4" t="str">
        <f>_xlfn.LET(_xlpm.r, _xlfn.XLOOKUP(Clean_Data[[#This Row],[Country_Code]], Metadata_Country!$A:$A, Metadata_Country!$B:$B, "Unknown"), IF(OR(_xlpm.r=0, _xlpm.r=""), "Regional Aggregate", _xlpm.r))</f>
        <v>Middle East &amp; North Africa</v>
      </c>
      <c r="G2485" s="4" t="str">
        <f>_xlfn.LET(_xlpm.ig, _xlfn.XLOOKUP(Clean_Data[[#This Row],[Country_Code]], Metadata_Country!$A:$A, Metadata_Country!$C:$C, "Unknown"), IF(OR(_xlpm.ig=0, _xlpm.ig=""), "Regional Aggregate", _xlpm.ig))</f>
        <v>High income</v>
      </c>
      <c r="H2485" s="4">
        <f>Clean_Data[[#This Row],[Exports_TIV]] - Clean_Data[[#This Row],[Imports_TIV]]</f>
        <v>-611000000</v>
      </c>
      <c r="I2485" s="4">
        <f>Clean_Data[[#This Row],[Exports_TIV]] + Clean_Data[[#This Row],[Imports_TIV]]</f>
        <v>689000000</v>
      </c>
    </row>
    <row r="2486" spans="1:9">
      <c r="A2486" s="4" t="s">
        <v>171</v>
      </c>
      <c r="B2486" s="4" t="s">
        <v>172</v>
      </c>
      <c r="C2486" s="5">
        <v>2010</v>
      </c>
      <c r="D2486" s="4">
        <v>1146000000</v>
      </c>
      <c r="E2486" s="4">
        <v>461000000</v>
      </c>
      <c r="F2486" s="4" t="str">
        <f>_xlfn.LET(_xlpm.r, _xlfn.XLOOKUP(Clean_Data[[#This Row],[Country_Code]], Metadata_Country!$A:$A, Metadata_Country!$B:$B, "Unknown"), IF(OR(_xlpm.r=0, _xlpm.r=""), "Regional Aggregate", _xlpm.r))</f>
        <v>Europe &amp; Central Asia</v>
      </c>
      <c r="G2486" s="4" t="str">
        <f>_xlfn.LET(_xlpm.ig, _xlfn.XLOOKUP(Clean_Data[[#This Row],[Country_Code]], Metadata_Country!$A:$A, Metadata_Country!$C:$C, "Unknown"), IF(OR(_xlpm.ig=0, _xlpm.ig=""), "Regional Aggregate", _xlpm.ig))</f>
        <v>High income</v>
      </c>
      <c r="H2486" s="4">
        <f>Clean_Data[[#This Row],[Exports_TIV]] - Clean_Data[[#This Row],[Imports_TIV]]</f>
        <v>685000000</v>
      </c>
      <c r="I2486" s="4">
        <f>Clean_Data[[#This Row],[Exports_TIV]] + Clean_Data[[#This Row],[Imports_TIV]]</f>
        <v>1607000000</v>
      </c>
    </row>
    <row r="2487" spans="1:9">
      <c r="A2487" s="4" t="s">
        <v>511</v>
      </c>
      <c r="B2487" s="4" t="s">
        <v>512</v>
      </c>
      <c r="C2487" s="5">
        <v>2010</v>
      </c>
      <c r="D2487" s="4">
        <v>8354000000</v>
      </c>
      <c r="E2487" s="4">
        <v>969000000</v>
      </c>
      <c r="F2487" s="4" t="str">
        <f>_xlfn.LET(_xlpm.r, _xlfn.XLOOKUP(Clean_Data[[#This Row],[Country_Code]], Metadata_Country!$A:$A, Metadata_Country!$B:$B, "Unknown"), IF(OR(_xlpm.r=0, _xlpm.r=""), "Regional Aggregate", _xlpm.r))</f>
        <v>North America</v>
      </c>
      <c r="G2487" s="4" t="str">
        <f>_xlfn.LET(_xlpm.ig, _xlfn.XLOOKUP(Clean_Data[[#This Row],[Country_Code]], Metadata_Country!$A:$A, Metadata_Country!$C:$C, "Unknown"), IF(OR(_xlpm.ig=0, _xlpm.ig=""), "Regional Aggregate", _xlpm.ig))</f>
        <v>High income</v>
      </c>
      <c r="H2487" s="4">
        <f>Clean_Data[[#This Row],[Exports_TIV]] - Clean_Data[[#This Row],[Imports_TIV]]</f>
        <v>7385000000</v>
      </c>
      <c r="I2487" s="4">
        <f>Clean_Data[[#This Row],[Exports_TIV]] + Clean_Data[[#This Row],[Imports_TIV]]</f>
        <v>9323000000</v>
      </c>
    </row>
    <row r="2488" spans="1:9">
      <c r="A2488" s="4" t="s">
        <v>507</v>
      </c>
      <c r="B2488" s="4" t="s">
        <v>508</v>
      </c>
      <c r="C2488" s="5">
        <v>2010</v>
      </c>
      <c r="D2488" s="4">
        <v>0</v>
      </c>
      <c r="E2488" s="4">
        <v>5031000000</v>
      </c>
      <c r="F2488" s="4" t="str">
        <f>_xlfn.LET(_xlpm.r, _xlfn.XLOOKUP(Clean_Data[[#This Row],[Country_Code]], Metadata_Country!$A:$A, Metadata_Country!$B:$B, "Unknown"), IF(OR(_xlpm.r=0, _xlpm.r=""), "Regional Aggregate", _xlpm.r))</f>
        <v>Regional Aggregate</v>
      </c>
      <c r="G2488" s="4" t="str">
        <f>_xlfn.LET(_xlpm.ig, _xlfn.XLOOKUP(Clean_Data[[#This Row],[Country_Code]], Metadata_Country!$A:$A, Metadata_Country!$C:$C, "Unknown"), IF(OR(_xlpm.ig=0, _xlpm.ig=""), "Regional Aggregate", _xlpm.ig))</f>
        <v>Regional Aggregate</v>
      </c>
      <c r="H2488" s="4">
        <f>Clean_Data[[#This Row],[Exports_TIV]] - Clean_Data[[#This Row],[Imports_TIV]]</f>
        <v>-5031000000</v>
      </c>
      <c r="I2488" s="4">
        <f>Clean_Data[[#This Row],[Exports_TIV]] + Clean_Data[[#This Row],[Imports_TIV]]</f>
        <v>5031000000</v>
      </c>
    </row>
    <row r="2489" spans="1:9">
      <c r="A2489" s="4" t="s">
        <v>509</v>
      </c>
      <c r="B2489" s="4" t="s">
        <v>510</v>
      </c>
      <c r="C2489" s="5">
        <v>2010</v>
      </c>
      <c r="D2489" s="4">
        <v>0</v>
      </c>
      <c r="E2489" s="4">
        <v>20000000</v>
      </c>
      <c r="F2489" s="4" t="str">
        <f>_xlfn.LET(_xlpm.r, _xlfn.XLOOKUP(Clean_Data[[#This Row],[Country_Code]], Metadata_Country!$A:$A, Metadata_Country!$B:$B, "Unknown"), IF(OR(_xlpm.r=0, _xlpm.r=""), "Regional Aggregate", _xlpm.r))</f>
        <v>Latin America &amp; Caribbean</v>
      </c>
      <c r="G2489" s="4" t="str">
        <f>_xlfn.LET(_xlpm.ig, _xlfn.XLOOKUP(Clean_Data[[#This Row],[Country_Code]], Metadata_Country!$A:$A, Metadata_Country!$C:$C, "Unknown"), IF(OR(_xlpm.ig=0, _xlpm.ig=""), "Regional Aggregate", _xlpm.ig))</f>
        <v>High income</v>
      </c>
      <c r="H2489" s="4">
        <f>Clean_Data[[#This Row],[Exports_TIV]] - Clean_Data[[#This Row],[Imports_TIV]]</f>
        <v>-20000000</v>
      </c>
      <c r="I2489" s="4">
        <f>Clean_Data[[#This Row],[Exports_TIV]] + Clean_Data[[#This Row],[Imports_TIV]]</f>
        <v>20000000</v>
      </c>
    </row>
    <row r="2490" spans="1:9">
      <c r="A2490" s="4" t="s">
        <v>513</v>
      </c>
      <c r="B2490" s="4" t="s">
        <v>514</v>
      </c>
      <c r="C2490" s="5">
        <v>2010</v>
      </c>
      <c r="D2490" s="4">
        <v>209000000</v>
      </c>
      <c r="E2490" s="4">
        <v>30000000</v>
      </c>
      <c r="F2490" s="4" t="str">
        <f>_xlfn.LET(_xlpm.r, _xlfn.XLOOKUP(Clean_Data[[#This Row],[Country_Code]], Metadata_Country!$A:$A, Metadata_Country!$B:$B, "Unknown"), IF(OR(_xlpm.r=0, _xlpm.r=""), "Regional Aggregate", _xlpm.r))</f>
        <v>Europe &amp; Central Asia</v>
      </c>
      <c r="G2490" s="4" t="str">
        <f>_xlfn.LET(_xlpm.ig, _xlfn.XLOOKUP(Clean_Data[[#This Row],[Country_Code]], Metadata_Country!$A:$A, Metadata_Country!$C:$C, "Unknown"), IF(OR(_xlpm.ig=0, _xlpm.ig=""), "Regional Aggregate", _xlpm.ig))</f>
        <v>Lower middle income</v>
      </c>
      <c r="H2490" s="4">
        <f>Clean_Data[[#This Row],[Exports_TIV]] - Clean_Data[[#This Row],[Imports_TIV]]</f>
        <v>179000000</v>
      </c>
      <c r="I2490" s="4">
        <f>Clean_Data[[#This Row],[Exports_TIV]] + Clean_Data[[#This Row],[Imports_TIV]]</f>
        <v>239000000</v>
      </c>
    </row>
    <row r="2491" spans="1:9">
      <c r="A2491" s="4" t="s">
        <v>517</v>
      </c>
      <c r="B2491" s="4" t="s">
        <v>518</v>
      </c>
      <c r="C2491" s="5">
        <v>2010</v>
      </c>
      <c r="D2491" s="4">
        <v>0</v>
      </c>
      <c r="E2491" s="4">
        <v>211000000</v>
      </c>
      <c r="F2491" s="4" t="str">
        <f>_xlfn.LET(_xlpm.r, _xlfn.XLOOKUP(Clean_Data[[#This Row],[Country_Code]], Metadata_Country!$A:$A, Metadata_Country!$B:$B, "Unknown"), IF(OR(_xlpm.r=0, _xlpm.r=""), "Regional Aggregate", _xlpm.r))</f>
        <v>Latin America &amp; Caribbean</v>
      </c>
      <c r="G2491" s="4" t="str">
        <f>_xlfn.LET(_xlpm.ig, _xlfn.XLOOKUP(Clean_Data[[#This Row],[Country_Code]], Metadata_Country!$A:$A, Metadata_Country!$C:$C, "Unknown"), IF(OR(_xlpm.ig=0, _xlpm.ig=""), "Regional Aggregate", _xlpm.ig))</f>
        <v>Lower middle income</v>
      </c>
      <c r="H2491" s="4">
        <f>Clean_Data[[#This Row],[Exports_TIV]] - Clean_Data[[#This Row],[Imports_TIV]]</f>
        <v>-211000000</v>
      </c>
      <c r="I2491" s="4">
        <f>Clean_Data[[#This Row],[Exports_TIV]] + Clean_Data[[#This Row],[Imports_TIV]]</f>
        <v>211000000</v>
      </c>
    </row>
    <row r="2492" spans="1:9">
      <c r="A2492" s="4" t="s">
        <v>523</v>
      </c>
      <c r="B2492" s="4" t="s">
        <v>524</v>
      </c>
      <c r="C2492" s="5">
        <v>2010</v>
      </c>
      <c r="D2492" s="4">
        <v>0</v>
      </c>
      <c r="E2492" s="4">
        <v>161000000</v>
      </c>
      <c r="F2492" s="4" t="str">
        <f>_xlfn.LET(_xlpm.r, _xlfn.XLOOKUP(Clean_Data[[#This Row],[Country_Code]], Metadata_Country!$A:$A, Metadata_Country!$B:$B, "Unknown"), IF(OR(_xlpm.r=0, _xlpm.r=""), "Regional Aggregate", _xlpm.r))</f>
        <v>East Asia &amp; Pacific</v>
      </c>
      <c r="G2492" s="4" t="str">
        <f>_xlfn.LET(_xlpm.ig, _xlfn.XLOOKUP(Clean_Data[[#This Row],[Country_Code]], Metadata_Country!$A:$A, Metadata_Country!$C:$C, "Unknown"), IF(OR(_xlpm.ig=0, _xlpm.ig=""), "Regional Aggregate", _xlpm.ig))</f>
        <v>Upper middle income</v>
      </c>
      <c r="H2492" s="4">
        <f>Clean_Data[[#This Row],[Exports_TIV]] - Clean_Data[[#This Row],[Imports_TIV]]</f>
        <v>-161000000</v>
      </c>
      <c r="I2492" s="4">
        <f>Clean_Data[[#This Row],[Exports_TIV]] + Clean_Data[[#This Row],[Imports_TIV]]</f>
        <v>161000000</v>
      </c>
    </row>
    <row r="2493" spans="1:9">
      <c r="A2493" s="4" t="s">
        <v>401</v>
      </c>
      <c r="B2493" s="4" t="s">
        <v>402</v>
      </c>
      <c r="C2493" s="5">
        <v>2010</v>
      </c>
      <c r="D2493" s="4">
        <v>0</v>
      </c>
      <c r="E2493" s="4">
        <v>5000000</v>
      </c>
      <c r="F2493" s="4" t="str">
        <f>_xlfn.LET(_xlpm.r, _xlfn.XLOOKUP(Clean_Data[[#This Row],[Country_Code]], Metadata_Country!$A:$A, Metadata_Country!$B:$B, "Unknown"), IF(OR(_xlpm.r=0, _xlpm.r=""), "Regional Aggregate", _xlpm.r))</f>
        <v>Middle East &amp; North Africa</v>
      </c>
      <c r="G2493" s="4" t="str">
        <f>_xlfn.LET(_xlpm.ig, _xlfn.XLOOKUP(Clean_Data[[#This Row],[Country_Code]], Metadata_Country!$A:$A, Metadata_Country!$C:$C, "Unknown"), IF(OR(_xlpm.ig=0, _xlpm.ig=""), "Regional Aggregate", _xlpm.ig))</f>
        <v>Lower middle income</v>
      </c>
      <c r="H2493" s="4">
        <f>Clean_Data[[#This Row],[Exports_TIV]] - Clean_Data[[#This Row],[Imports_TIV]]</f>
        <v>-5000000</v>
      </c>
      <c r="I2493" s="4">
        <f>Clean_Data[[#This Row],[Exports_TIV]] + Clean_Data[[#This Row],[Imports_TIV]]</f>
        <v>5000000</v>
      </c>
    </row>
    <row r="2494" spans="1:9">
      <c r="A2494" s="4" t="s">
        <v>527</v>
      </c>
      <c r="B2494" s="4" t="s">
        <v>528</v>
      </c>
      <c r="C2494" s="5">
        <v>2010</v>
      </c>
      <c r="D2494" s="4">
        <v>25832000000</v>
      </c>
      <c r="E2494" s="4">
        <v>25799000000</v>
      </c>
      <c r="F2494" s="4" t="str">
        <f>_xlfn.LET(_xlpm.r, _xlfn.XLOOKUP(Clean_Data[[#This Row],[Country_Code]], Metadata_Country!$A:$A, Metadata_Country!$B:$B, "Unknown"), IF(OR(_xlpm.r=0, _xlpm.r=""), "Regional Aggregate", _xlpm.r))</f>
        <v>Regional Aggregate</v>
      </c>
      <c r="G2494" s="4" t="str">
        <f>_xlfn.LET(_xlpm.ig, _xlfn.XLOOKUP(Clean_Data[[#This Row],[Country_Code]], Metadata_Country!$A:$A, Metadata_Country!$C:$C, "Unknown"), IF(OR(_xlpm.ig=0, _xlpm.ig=""), "Regional Aggregate", _xlpm.ig))</f>
        <v>Regional Aggregate</v>
      </c>
      <c r="H2494" s="4">
        <f>Clean_Data[[#This Row],[Exports_TIV]] - Clean_Data[[#This Row],[Imports_TIV]]</f>
        <v>33000000</v>
      </c>
      <c r="I2494" s="4">
        <f>Clean_Data[[#This Row],[Exports_TIV]] + Clean_Data[[#This Row],[Imports_TIV]]</f>
        <v>51631000000</v>
      </c>
    </row>
    <row r="2495" spans="1:9">
      <c r="A2495" s="4" t="s">
        <v>533</v>
      </c>
      <c r="B2495" s="4" t="s">
        <v>534</v>
      </c>
      <c r="C2495" s="5">
        <v>2010</v>
      </c>
      <c r="D2495" s="4">
        <v>0</v>
      </c>
      <c r="E2495" s="4">
        <v>261000000</v>
      </c>
      <c r="F2495" s="4" t="str">
        <f>_xlfn.LET(_xlpm.r, _xlfn.XLOOKUP(Clean_Data[[#This Row],[Country_Code]], Metadata_Country!$A:$A, Metadata_Country!$B:$B, "Unknown"), IF(OR(_xlpm.r=0, _xlpm.r=""), "Regional Aggregate", _xlpm.r))</f>
        <v>Middle East &amp; North Africa</v>
      </c>
      <c r="G2495" s="4" t="str">
        <f>_xlfn.LET(_xlpm.ig, _xlfn.XLOOKUP(Clean_Data[[#This Row],[Country_Code]], Metadata_Country!$A:$A, Metadata_Country!$C:$C, "Unknown"), IF(OR(_xlpm.ig=0, _xlpm.ig=""), "Regional Aggregate", _xlpm.ig))</f>
        <v>Low income</v>
      </c>
      <c r="H2495" s="4">
        <f>Clean_Data[[#This Row],[Exports_TIV]] - Clean_Data[[#This Row],[Imports_TIV]]</f>
        <v>-261000000</v>
      </c>
      <c r="I2495" s="4">
        <f>Clean_Data[[#This Row],[Exports_TIV]] + Clean_Data[[#This Row],[Imports_TIV]]</f>
        <v>261000000</v>
      </c>
    </row>
    <row r="2496" spans="1:9">
      <c r="A2496" s="4" t="s">
        <v>13</v>
      </c>
      <c r="B2496" s="4" t="s">
        <v>14</v>
      </c>
      <c r="C2496" s="5">
        <v>2009</v>
      </c>
      <c r="D2496" s="4">
        <v>0</v>
      </c>
      <c r="E2496" s="4">
        <v>326000000</v>
      </c>
      <c r="F2496" s="4" t="str">
        <f>_xlfn.LET(_xlpm.r, _xlfn.XLOOKUP(Clean_Data[[#This Row],[Country_Code]], Metadata_Country!$A:$A, Metadata_Country!$B:$B, "Unknown"), IF(OR(_xlpm.r=0, _xlpm.r=""), "Regional Aggregate", _xlpm.r))</f>
        <v>Middle East &amp; North Africa</v>
      </c>
      <c r="G2496" s="4" t="str">
        <f>_xlfn.LET(_xlpm.ig, _xlfn.XLOOKUP(Clean_Data[[#This Row],[Country_Code]], Metadata_Country!$A:$A, Metadata_Country!$C:$C, "Unknown"), IF(OR(_xlpm.ig=0, _xlpm.ig=""), "Regional Aggregate", _xlpm.ig))</f>
        <v>Low income</v>
      </c>
      <c r="H2496" s="4">
        <f>Clean_Data[[#This Row],[Exports_TIV]] - Clean_Data[[#This Row],[Imports_TIV]]</f>
        <v>-326000000</v>
      </c>
      <c r="I2496" s="4">
        <f>Clean_Data[[#This Row],[Exports_TIV]] + Clean_Data[[#This Row],[Imports_TIV]]</f>
        <v>326000000</v>
      </c>
    </row>
    <row r="2497" spans="1:9">
      <c r="A2497" s="4" t="s">
        <v>11</v>
      </c>
      <c r="B2497" s="4" t="s">
        <v>12</v>
      </c>
      <c r="C2497" s="5">
        <v>2009</v>
      </c>
      <c r="D2497" s="4">
        <v>0</v>
      </c>
      <c r="E2497" s="4">
        <v>420000000</v>
      </c>
      <c r="F2497" s="4" t="str">
        <f>_xlfn.LET(_xlpm.r, _xlfn.XLOOKUP(Clean_Data[[#This Row],[Country_Code]], Metadata_Country!$A:$A, Metadata_Country!$B:$B, "Unknown"), IF(OR(_xlpm.r=0, _xlpm.r=""), "Regional Aggregate", _xlpm.r))</f>
        <v>Regional Aggregate</v>
      </c>
      <c r="G2497" s="4" t="str">
        <f>_xlfn.LET(_xlpm.ig, _xlfn.XLOOKUP(Clean_Data[[#This Row],[Country_Code]], Metadata_Country!$A:$A, Metadata_Country!$C:$C, "Unknown"), IF(OR(_xlpm.ig=0, _xlpm.ig=""), "Regional Aggregate", _xlpm.ig))</f>
        <v>Regional Aggregate</v>
      </c>
      <c r="H2497" s="4">
        <f>Clean_Data[[#This Row],[Exports_TIV]] - Clean_Data[[#This Row],[Imports_TIV]]</f>
        <v>-420000000</v>
      </c>
      <c r="I2497" s="4">
        <f>Clean_Data[[#This Row],[Exports_TIV]] + Clean_Data[[#This Row],[Imports_TIV]]</f>
        <v>420000000</v>
      </c>
    </row>
    <row r="2498" spans="1:9">
      <c r="A2498" s="4" t="s">
        <v>15</v>
      </c>
      <c r="B2498" s="4" t="s">
        <v>16</v>
      </c>
      <c r="C2498" s="5">
        <v>2009</v>
      </c>
      <c r="D2498" s="4">
        <v>0</v>
      </c>
      <c r="E2498" s="4">
        <v>219000000</v>
      </c>
      <c r="F2498" s="4" t="str">
        <f>_xlfn.LET(_xlpm.r, _xlfn.XLOOKUP(Clean_Data[[#This Row],[Country_Code]], Metadata_Country!$A:$A, Metadata_Country!$B:$B, "Unknown"), IF(OR(_xlpm.r=0, _xlpm.r=""), "Regional Aggregate", _xlpm.r))</f>
        <v>Regional Aggregate</v>
      </c>
      <c r="G2498" s="4" t="str">
        <f>_xlfn.LET(_xlpm.ig, _xlfn.XLOOKUP(Clean_Data[[#This Row],[Country_Code]], Metadata_Country!$A:$A, Metadata_Country!$C:$C, "Unknown"), IF(OR(_xlpm.ig=0, _xlpm.ig=""), "Regional Aggregate", _xlpm.ig))</f>
        <v>Regional Aggregate</v>
      </c>
      <c r="H2498" s="4">
        <f>Clean_Data[[#This Row],[Exports_TIV]] - Clean_Data[[#This Row],[Imports_TIV]]</f>
        <v>-219000000</v>
      </c>
      <c r="I2498" s="4">
        <f>Clean_Data[[#This Row],[Exports_TIV]] + Clean_Data[[#This Row],[Imports_TIV]]</f>
        <v>219000000</v>
      </c>
    </row>
    <row r="2499" spans="1:9">
      <c r="A2499" s="4" t="s">
        <v>129</v>
      </c>
      <c r="B2499" s="4" t="s">
        <v>130</v>
      </c>
      <c r="C2499" s="5">
        <v>2009</v>
      </c>
      <c r="D2499" s="4">
        <v>0</v>
      </c>
      <c r="E2499" s="4">
        <v>1076000000</v>
      </c>
      <c r="F2499" s="4" t="str">
        <f>_xlfn.LET(_xlpm.r, _xlfn.XLOOKUP(Clean_Data[[#This Row],[Country_Code]], Metadata_Country!$A:$A, Metadata_Country!$B:$B, "Unknown"), IF(OR(_xlpm.r=0, _xlpm.r=""), "Regional Aggregate", _xlpm.r))</f>
        <v>Middle East &amp; North Africa</v>
      </c>
      <c r="G2499" s="4" t="str">
        <f>_xlfn.LET(_xlpm.ig, _xlfn.XLOOKUP(Clean_Data[[#This Row],[Country_Code]], Metadata_Country!$A:$A, Metadata_Country!$C:$C, "Unknown"), IF(OR(_xlpm.ig=0, _xlpm.ig=""), "Regional Aggregate", _xlpm.ig))</f>
        <v>Upper middle income</v>
      </c>
      <c r="H2499" s="4">
        <f>Clean_Data[[#This Row],[Exports_TIV]] - Clean_Data[[#This Row],[Imports_TIV]]</f>
        <v>-1076000000</v>
      </c>
      <c r="I2499" s="4">
        <f>Clean_Data[[#This Row],[Exports_TIV]] + Clean_Data[[#This Row],[Imports_TIV]]</f>
        <v>1076000000</v>
      </c>
    </row>
    <row r="2500" spans="1:9">
      <c r="A2500" s="4" t="s">
        <v>17</v>
      </c>
      <c r="B2500" s="4" t="s">
        <v>18</v>
      </c>
      <c r="C2500" s="5">
        <v>2009</v>
      </c>
      <c r="D2500" s="4">
        <v>0</v>
      </c>
      <c r="E2500" s="4">
        <v>20000000</v>
      </c>
      <c r="F2500" s="4" t="str">
        <f>_xlfn.LET(_xlpm.r, _xlfn.XLOOKUP(Clean_Data[[#This Row],[Country_Code]], Metadata_Country!$A:$A, Metadata_Country!$B:$B, "Unknown"), IF(OR(_xlpm.r=0, _xlpm.r=""), "Regional Aggregate", _xlpm.r))</f>
        <v>Sub-Saharan Africa</v>
      </c>
      <c r="G2500" s="4" t="str">
        <f>_xlfn.LET(_xlpm.ig, _xlfn.XLOOKUP(Clean_Data[[#This Row],[Country_Code]], Metadata_Country!$A:$A, Metadata_Country!$C:$C, "Unknown"), IF(OR(_xlpm.ig=0, _xlpm.ig=""), "Regional Aggregate", _xlpm.ig))</f>
        <v>Lower middle income</v>
      </c>
      <c r="H2500" s="4">
        <f>Clean_Data[[#This Row],[Exports_TIV]] - Clean_Data[[#This Row],[Imports_TIV]]</f>
        <v>-20000000</v>
      </c>
      <c r="I2500" s="4">
        <f>Clean_Data[[#This Row],[Exports_TIV]] + Clean_Data[[#This Row],[Imports_TIV]]</f>
        <v>20000000</v>
      </c>
    </row>
    <row r="2501" spans="1:9">
      <c r="A2501" s="4" t="s">
        <v>23</v>
      </c>
      <c r="B2501" s="4" t="s">
        <v>24</v>
      </c>
      <c r="C2501" s="5">
        <v>2009</v>
      </c>
      <c r="D2501" s="4">
        <v>0</v>
      </c>
      <c r="E2501" s="4">
        <v>4126000000</v>
      </c>
      <c r="F2501" s="4" t="str">
        <f>_xlfn.LET(_xlpm.r, _xlfn.XLOOKUP(Clean_Data[[#This Row],[Country_Code]], Metadata_Country!$A:$A, Metadata_Country!$B:$B, "Unknown"), IF(OR(_xlpm.r=0, _xlpm.r=""), "Regional Aggregate", _xlpm.r))</f>
        <v>Regional Aggregate</v>
      </c>
      <c r="G2501" s="4" t="str">
        <f>_xlfn.LET(_xlpm.ig, _xlfn.XLOOKUP(Clean_Data[[#This Row],[Country_Code]], Metadata_Country!$A:$A, Metadata_Country!$C:$C, "Unknown"), IF(OR(_xlpm.ig=0, _xlpm.ig=""), "Regional Aggregate", _xlpm.ig))</f>
        <v>Regional Aggregate</v>
      </c>
      <c r="H2501" s="4">
        <f>Clean_Data[[#This Row],[Exports_TIV]] - Clean_Data[[#This Row],[Imports_TIV]]</f>
        <v>-4126000000</v>
      </c>
      <c r="I2501" s="4">
        <f>Clean_Data[[#This Row],[Exports_TIV]] + Clean_Data[[#This Row],[Imports_TIV]]</f>
        <v>4126000000</v>
      </c>
    </row>
    <row r="2502" spans="1:9">
      <c r="A2502" s="4" t="s">
        <v>27</v>
      </c>
      <c r="B2502" s="4" t="s">
        <v>28</v>
      </c>
      <c r="C2502" s="5">
        <v>2009</v>
      </c>
      <c r="D2502" s="4">
        <v>0</v>
      </c>
      <c r="E2502" s="4">
        <v>15000000</v>
      </c>
      <c r="F2502" s="4" t="str">
        <f>_xlfn.LET(_xlpm.r, _xlfn.XLOOKUP(Clean_Data[[#This Row],[Country_Code]], Metadata_Country!$A:$A, Metadata_Country!$B:$B, "Unknown"), IF(OR(_xlpm.r=0, _xlpm.r=""), "Regional Aggregate", _xlpm.r))</f>
        <v>Latin America &amp; Caribbean</v>
      </c>
      <c r="G2502" s="4" t="str">
        <f>_xlfn.LET(_xlpm.ig, _xlfn.XLOOKUP(Clean_Data[[#This Row],[Country_Code]], Metadata_Country!$A:$A, Metadata_Country!$C:$C, "Unknown"), IF(OR(_xlpm.ig=0, _xlpm.ig=""), "Regional Aggregate", _xlpm.ig))</f>
        <v>Upper middle income</v>
      </c>
      <c r="H2502" s="4">
        <f>Clean_Data[[#This Row],[Exports_TIV]] - Clean_Data[[#This Row],[Imports_TIV]]</f>
        <v>-15000000</v>
      </c>
      <c r="I2502" s="4">
        <f>Clean_Data[[#This Row],[Exports_TIV]] + Clean_Data[[#This Row],[Imports_TIV]]</f>
        <v>15000000</v>
      </c>
    </row>
    <row r="2503" spans="1:9">
      <c r="A2503" s="4" t="s">
        <v>29</v>
      </c>
      <c r="B2503" s="4" t="s">
        <v>30</v>
      </c>
      <c r="C2503" s="5">
        <v>2009</v>
      </c>
      <c r="D2503" s="4">
        <v>0</v>
      </c>
      <c r="E2503" s="4">
        <v>46000000</v>
      </c>
      <c r="F2503" s="4" t="str">
        <f>_xlfn.LET(_xlpm.r, _xlfn.XLOOKUP(Clean_Data[[#This Row],[Country_Code]], Metadata_Country!$A:$A, Metadata_Country!$B:$B, "Unknown"), IF(OR(_xlpm.r=0, _xlpm.r=""), "Regional Aggregate", _xlpm.r))</f>
        <v>Europe &amp; Central Asia</v>
      </c>
      <c r="G2503" s="4" t="str">
        <f>_xlfn.LET(_xlpm.ig, _xlfn.XLOOKUP(Clean_Data[[#This Row],[Country_Code]], Metadata_Country!$A:$A, Metadata_Country!$C:$C, "Unknown"), IF(OR(_xlpm.ig=0, _xlpm.ig=""), "Regional Aggregate", _xlpm.ig))</f>
        <v>Upper middle income</v>
      </c>
      <c r="H2503" s="4">
        <f>Clean_Data[[#This Row],[Exports_TIV]] - Clean_Data[[#This Row],[Imports_TIV]]</f>
        <v>-46000000</v>
      </c>
      <c r="I2503" s="4">
        <f>Clean_Data[[#This Row],[Exports_TIV]] + Clean_Data[[#This Row],[Imports_TIV]]</f>
        <v>46000000</v>
      </c>
    </row>
    <row r="2504" spans="1:9">
      <c r="A2504" s="4" t="s">
        <v>35</v>
      </c>
      <c r="B2504" s="4" t="s">
        <v>36</v>
      </c>
      <c r="C2504" s="5">
        <v>2009</v>
      </c>
      <c r="D2504" s="4">
        <v>86000000</v>
      </c>
      <c r="E2504" s="4">
        <v>805000000</v>
      </c>
      <c r="F2504" s="4" t="str">
        <f>_xlfn.LET(_xlpm.r, _xlfn.XLOOKUP(Clean_Data[[#This Row],[Country_Code]], Metadata_Country!$A:$A, Metadata_Country!$B:$B, "Unknown"), IF(OR(_xlpm.r=0, _xlpm.r=""), "Regional Aggregate", _xlpm.r))</f>
        <v>East Asia &amp; Pacific</v>
      </c>
      <c r="G2504" s="4" t="str">
        <f>_xlfn.LET(_xlpm.ig, _xlfn.XLOOKUP(Clean_Data[[#This Row],[Country_Code]], Metadata_Country!$A:$A, Metadata_Country!$C:$C, "Unknown"), IF(OR(_xlpm.ig=0, _xlpm.ig=""), "Regional Aggregate", _xlpm.ig))</f>
        <v>High income</v>
      </c>
      <c r="H2504" s="4">
        <f>Clean_Data[[#This Row],[Exports_TIV]] - Clean_Data[[#This Row],[Imports_TIV]]</f>
        <v>-719000000</v>
      </c>
      <c r="I2504" s="4">
        <f>Clean_Data[[#This Row],[Exports_TIV]] + Clean_Data[[#This Row],[Imports_TIV]]</f>
        <v>891000000</v>
      </c>
    </row>
    <row r="2505" spans="1:9">
      <c r="A2505" s="4" t="s">
        <v>37</v>
      </c>
      <c r="B2505" s="4" t="s">
        <v>38</v>
      </c>
      <c r="C2505" s="5">
        <v>2009</v>
      </c>
      <c r="D2505" s="4">
        <v>50000000</v>
      </c>
      <c r="E2505" s="4">
        <v>286000000</v>
      </c>
      <c r="F2505" s="4" t="str">
        <f>_xlfn.LET(_xlpm.r, _xlfn.XLOOKUP(Clean_Data[[#This Row],[Country_Code]], Metadata_Country!$A:$A, Metadata_Country!$B:$B, "Unknown"), IF(OR(_xlpm.r=0, _xlpm.r=""), "Regional Aggregate", _xlpm.r))</f>
        <v>Europe &amp; Central Asia</v>
      </c>
      <c r="G2505" s="4" t="str">
        <f>_xlfn.LET(_xlpm.ig, _xlfn.XLOOKUP(Clean_Data[[#This Row],[Country_Code]], Metadata_Country!$A:$A, Metadata_Country!$C:$C, "Unknown"), IF(OR(_xlpm.ig=0, _xlpm.ig=""), "Regional Aggregate", _xlpm.ig))</f>
        <v>High income</v>
      </c>
      <c r="H2505" s="4">
        <f>Clean_Data[[#This Row],[Exports_TIV]] - Clean_Data[[#This Row],[Imports_TIV]]</f>
        <v>-236000000</v>
      </c>
      <c r="I2505" s="4">
        <f>Clean_Data[[#This Row],[Exports_TIV]] + Clean_Data[[#This Row],[Imports_TIV]]</f>
        <v>336000000</v>
      </c>
    </row>
    <row r="2506" spans="1:9">
      <c r="A2506" s="4" t="s">
        <v>39</v>
      </c>
      <c r="B2506" s="4" t="s">
        <v>40</v>
      </c>
      <c r="C2506" s="5">
        <v>2009</v>
      </c>
      <c r="D2506" s="4">
        <v>0</v>
      </c>
      <c r="E2506" s="4">
        <v>147000000</v>
      </c>
      <c r="F2506" s="4" t="str">
        <f>_xlfn.LET(_xlpm.r, _xlfn.XLOOKUP(Clean_Data[[#This Row],[Country_Code]], Metadata_Country!$A:$A, Metadata_Country!$B:$B, "Unknown"), IF(OR(_xlpm.r=0, _xlpm.r=""), "Regional Aggregate", _xlpm.r))</f>
        <v>Europe &amp; Central Asia</v>
      </c>
      <c r="G2506" s="4" t="str">
        <f>_xlfn.LET(_xlpm.ig, _xlfn.XLOOKUP(Clean_Data[[#This Row],[Country_Code]], Metadata_Country!$A:$A, Metadata_Country!$C:$C, "Unknown"), IF(OR(_xlpm.ig=0, _xlpm.ig=""), "Regional Aggregate", _xlpm.ig))</f>
        <v>Upper middle income</v>
      </c>
      <c r="H2506" s="4">
        <f>Clean_Data[[#This Row],[Exports_TIV]] - Clean_Data[[#This Row],[Imports_TIV]]</f>
        <v>-147000000</v>
      </c>
      <c r="I2506" s="4">
        <f>Clean_Data[[#This Row],[Exports_TIV]] + Clean_Data[[#This Row],[Imports_TIV]]</f>
        <v>147000000</v>
      </c>
    </row>
    <row r="2507" spans="1:9">
      <c r="A2507" s="4" t="s">
        <v>55</v>
      </c>
      <c r="B2507" s="4" t="s">
        <v>56</v>
      </c>
      <c r="C2507" s="5">
        <v>2009</v>
      </c>
      <c r="D2507" s="4">
        <v>0</v>
      </c>
      <c r="E2507" s="4">
        <v>1000000</v>
      </c>
      <c r="F2507" s="4" t="str">
        <f>_xlfn.LET(_xlpm.r, _xlfn.XLOOKUP(Clean_Data[[#This Row],[Country_Code]], Metadata_Country!$A:$A, Metadata_Country!$B:$B, "Unknown"), IF(OR(_xlpm.r=0, _xlpm.r=""), "Regional Aggregate", _xlpm.r))</f>
        <v>Latin America &amp; Caribbean</v>
      </c>
      <c r="G2507" s="4" t="str">
        <f>_xlfn.LET(_xlpm.ig, _xlfn.XLOOKUP(Clean_Data[[#This Row],[Country_Code]], Metadata_Country!$A:$A, Metadata_Country!$C:$C, "Unknown"), IF(OR(_xlpm.ig=0, _xlpm.ig=""), "Regional Aggregate", _xlpm.ig))</f>
        <v>High income</v>
      </c>
      <c r="H2507" s="4">
        <f>Clean_Data[[#This Row],[Exports_TIV]] - Clean_Data[[#This Row],[Imports_TIV]]</f>
        <v>-1000000</v>
      </c>
      <c r="I2507" s="4">
        <f>Clean_Data[[#This Row],[Exports_TIV]] + Clean_Data[[#This Row],[Imports_TIV]]</f>
        <v>1000000</v>
      </c>
    </row>
    <row r="2508" spans="1:9">
      <c r="A2508" s="4" t="s">
        <v>69</v>
      </c>
      <c r="B2508" s="4" t="s">
        <v>70</v>
      </c>
      <c r="C2508" s="5">
        <v>2009</v>
      </c>
      <c r="D2508" s="4">
        <v>0</v>
      </c>
      <c r="E2508" s="4">
        <v>10000000</v>
      </c>
      <c r="F2508" s="4" t="str">
        <f>_xlfn.LET(_xlpm.r, _xlfn.XLOOKUP(Clean_Data[[#This Row],[Country_Code]], Metadata_Country!$A:$A, Metadata_Country!$B:$B, "Unknown"), IF(OR(_xlpm.r=0, _xlpm.r=""), "Regional Aggregate", _xlpm.r))</f>
        <v>Latin America &amp; Caribbean</v>
      </c>
      <c r="G2508" s="4" t="str">
        <f>_xlfn.LET(_xlpm.ig, _xlfn.XLOOKUP(Clean_Data[[#This Row],[Country_Code]], Metadata_Country!$A:$A, Metadata_Country!$C:$C, "Unknown"), IF(OR(_xlpm.ig=0, _xlpm.ig=""), "Regional Aggregate", _xlpm.ig))</f>
        <v>High income</v>
      </c>
      <c r="H2508" s="4">
        <f>Clean_Data[[#This Row],[Exports_TIV]] - Clean_Data[[#This Row],[Imports_TIV]]</f>
        <v>-10000000</v>
      </c>
      <c r="I2508" s="4">
        <f>Clean_Data[[#This Row],[Exports_TIV]] + Clean_Data[[#This Row],[Imports_TIV]]</f>
        <v>10000000</v>
      </c>
    </row>
    <row r="2509" spans="1:9">
      <c r="A2509" s="4" t="s">
        <v>59</v>
      </c>
      <c r="B2509" s="4" t="s">
        <v>60</v>
      </c>
      <c r="C2509" s="5">
        <v>2009</v>
      </c>
      <c r="D2509" s="4">
        <v>41000000</v>
      </c>
      <c r="E2509" s="4">
        <v>3000000</v>
      </c>
      <c r="F2509" s="4" t="str">
        <f>_xlfn.LET(_xlpm.r, _xlfn.XLOOKUP(Clean_Data[[#This Row],[Country_Code]], Metadata_Country!$A:$A, Metadata_Country!$B:$B, "Unknown"), IF(OR(_xlpm.r=0, _xlpm.r=""), "Regional Aggregate", _xlpm.r))</f>
        <v>Europe &amp; Central Asia</v>
      </c>
      <c r="G2509" s="4" t="str">
        <f>_xlfn.LET(_xlpm.ig, _xlfn.XLOOKUP(Clean_Data[[#This Row],[Country_Code]], Metadata_Country!$A:$A, Metadata_Country!$C:$C, "Unknown"), IF(OR(_xlpm.ig=0, _xlpm.ig=""), "Regional Aggregate", _xlpm.ig))</f>
        <v>Upper middle income</v>
      </c>
      <c r="H2509" s="4">
        <f>Clean_Data[[#This Row],[Exports_TIV]] - Clean_Data[[#This Row],[Imports_TIV]]</f>
        <v>38000000</v>
      </c>
      <c r="I2509" s="4">
        <f>Clean_Data[[#This Row],[Exports_TIV]] + Clean_Data[[#This Row],[Imports_TIV]]</f>
        <v>44000000</v>
      </c>
    </row>
    <row r="2510" spans="1:9">
      <c r="A2510" s="4" t="s">
        <v>43</v>
      </c>
      <c r="B2510" s="4" t="s">
        <v>44</v>
      </c>
      <c r="C2510" s="5">
        <v>2009</v>
      </c>
      <c r="D2510" s="4">
        <v>242000000</v>
      </c>
      <c r="E2510" s="4">
        <v>87000000</v>
      </c>
      <c r="F2510" s="4" t="str">
        <f>_xlfn.LET(_xlpm.r, _xlfn.XLOOKUP(Clean_Data[[#This Row],[Country_Code]], Metadata_Country!$A:$A, Metadata_Country!$B:$B, "Unknown"), IF(OR(_xlpm.r=0, _xlpm.r=""), "Regional Aggregate", _xlpm.r))</f>
        <v>Europe &amp; Central Asia</v>
      </c>
      <c r="G2510" s="4" t="str">
        <f>_xlfn.LET(_xlpm.ig, _xlfn.XLOOKUP(Clean_Data[[#This Row],[Country_Code]], Metadata_Country!$A:$A, Metadata_Country!$C:$C, "Unknown"), IF(OR(_xlpm.ig=0, _xlpm.ig=""), "Regional Aggregate", _xlpm.ig))</f>
        <v>High income</v>
      </c>
      <c r="H2510" s="4">
        <f>Clean_Data[[#This Row],[Exports_TIV]] - Clean_Data[[#This Row],[Imports_TIV]]</f>
        <v>155000000</v>
      </c>
      <c r="I2510" s="4">
        <f>Clean_Data[[#This Row],[Exports_TIV]] + Clean_Data[[#This Row],[Imports_TIV]]</f>
        <v>329000000</v>
      </c>
    </row>
    <row r="2511" spans="1:9">
      <c r="A2511" s="4" t="s">
        <v>45</v>
      </c>
      <c r="B2511" s="4" t="s">
        <v>46</v>
      </c>
      <c r="C2511" s="5">
        <v>2009</v>
      </c>
      <c r="D2511" s="4">
        <v>0</v>
      </c>
      <c r="E2511" s="4">
        <v>1000000</v>
      </c>
      <c r="F2511" s="4" t="str">
        <f>_xlfn.LET(_xlpm.r, _xlfn.XLOOKUP(Clean_Data[[#This Row],[Country_Code]], Metadata_Country!$A:$A, Metadata_Country!$B:$B, "Unknown"), IF(OR(_xlpm.r=0, _xlpm.r=""), "Regional Aggregate", _xlpm.r))</f>
        <v>Sub-Saharan Africa</v>
      </c>
      <c r="G2511" s="4" t="str">
        <f>_xlfn.LET(_xlpm.ig, _xlfn.XLOOKUP(Clean_Data[[#This Row],[Country_Code]], Metadata_Country!$A:$A, Metadata_Country!$C:$C, "Unknown"), IF(OR(_xlpm.ig=0, _xlpm.ig=""), "Regional Aggregate", _xlpm.ig))</f>
        <v>Lower middle income</v>
      </c>
      <c r="H2511" s="4">
        <f>Clean_Data[[#This Row],[Exports_TIV]] - Clean_Data[[#This Row],[Imports_TIV]]</f>
        <v>-1000000</v>
      </c>
      <c r="I2511" s="4">
        <f>Clean_Data[[#This Row],[Exports_TIV]] + Clean_Data[[#This Row],[Imports_TIV]]</f>
        <v>1000000</v>
      </c>
    </row>
    <row r="2512" spans="1:9">
      <c r="A2512" s="4" t="s">
        <v>65</v>
      </c>
      <c r="B2512" s="4" t="s">
        <v>66</v>
      </c>
      <c r="C2512" s="5">
        <v>2009</v>
      </c>
      <c r="D2512" s="4">
        <v>0</v>
      </c>
      <c r="E2512" s="4">
        <v>6000000</v>
      </c>
      <c r="F2512" s="4" t="str">
        <f>_xlfn.LET(_xlpm.r, _xlfn.XLOOKUP(Clean_Data[[#This Row],[Country_Code]], Metadata_Country!$A:$A, Metadata_Country!$B:$B, "Unknown"), IF(OR(_xlpm.r=0, _xlpm.r=""), "Regional Aggregate", _xlpm.r))</f>
        <v>Latin America &amp; Caribbean</v>
      </c>
      <c r="G2512" s="4" t="str">
        <f>_xlfn.LET(_xlpm.ig, _xlfn.XLOOKUP(Clean_Data[[#This Row],[Country_Code]], Metadata_Country!$A:$A, Metadata_Country!$C:$C, "Unknown"), IF(OR(_xlpm.ig=0, _xlpm.ig=""), "Regional Aggregate", _xlpm.ig))</f>
        <v>Lower middle income</v>
      </c>
      <c r="H2512" s="4">
        <f>Clean_Data[[#This Row],[Exports_TIV]] - Clean_Data[[#This Row],[Imports_TIV]]</f>
        <v>-6000000</v>
      </c>
      <c r="I2512" s="4">
        <f>Clean_Data[[#This Row],[Exports_TIV]] + Clean_Data[[#This Row],[Imports_TIV]]</f>
        <v>6000000</v>
      </c>
    </row>
    <row r="2513" spans="1:9">
      <c r="A2513" s="4" t="s">
        <v>75</v>
      </c>
      <c r="B2513" s="4" t="s">
        <v>76</v>
      </c>
      <c r="C2513" s="5">
        <v>2009</v>
      </c>
      <c r="D2513" s="4">
        <v>0</v>
      </c>
      <c r="E2513" s="4">
        <v>10000000</v>
      </c>
      <c r="F2513" s="4" t="str">
        <f>_xlfn.LET(_xlpm.r, _xlfn.XLOOKUP(Clean_Data[[#This Row],[Country_Code]], Metadata_Country!$A:$A, Metadata_Country!$B:$B, "Unknown"), IF(OR(_xlpm.r=0, _xlpm.r=""), "Regional Aggregate", _xlpm.r))</f>
        <v>Sub-Saharan Africa</v>
      </c>
      <c r="G2513" s="4" t="str">
        <f>_xlfn.LET(_xlpm.ig, _xlfn.XLOOKUP(Clean_Data[[#This Row],[Country_Code]], Metadata_Country!$A:$A, Metadata_Country!$C:$C, "Unknown"), IF(OR(_xlpm.ig=0, _xlpm.ig=""), "Regional Aggregate", _xlpm.ig))</f>
        <v>Upper middle income</v>
      </c>
      <c r="H2513" s="4">
        <f>Clean_Data[[#This Row],[Exports_TIV]] - Clean_Data[[#This Row],[Imports_TIV]]</f>
        <v>-10000000</v>
      </c>
      <c r="I2513" s="4">
        <f>Clean_Data[[#This Row],[Exports_TIV]] + Clean_Data[[#This Row],[Imports_TIV]]</f>
        <v>10000000</v>
      </c>
    </row>
    <row r="2514" spans="1:9">
      <c r="A2514" s="4" t="s">
        <v>67</v>
      </c>
      <c r="B2514" s="4" t="s">
        <v>68</v>
      </c>
      <c r="C2514" s="5">
        <v>2009</v>
      </c>
      <c r="D2514" s="4">
        <v>44000000</v>
      </c>
      <c r="E2514" s="4">
        <v>135000000</v>
      </c>
      <c r="F2514" s="4" t="str">
        <f>_xlfn.LET(_xlpm.r, _xlfn.XLOOKUP(Clean_Data[[#This Row],[Country_Code]], Metadata_Country!$A:$A, Metadata_Country!$B:$B, "Unknown"), IF(OR(_xlpm.r=0, _xlpm.r=""), "Regional Aggregate", _xlpm.r))</f>
        <v>Latin America &amp; Caribbean</v>
      </c>
      <c r="G2514" s="4" t="str">
        <f>_xlfn.LET(_xlpm.ig, _xlfn.XLOOKUP(Clean_Data[[#This Row],[Country_Code]], Metadata_Country!$A:$A, Metadata_Country!$C:$C, "Unknown"), IF(OR(_xlpm.ig=0, _xlpm.ig=""), "Regional Aggregate", _xlpm.ig))</f>
        <v>Upper middle income</v>
      </c>
      <c r="H2514" s="4">
        <f>Clean_Data[[#This Row],[Exports_TIV]] - Clean_Data[[#This Row],[Imports_TIV]]</f>
        <v>-91000000</v>
      </c>
      <c r="I2514" s="4">
        <f>Clean_Data[[#This Row],[Exports_TIV]] + Clean_Data[[#This Row],[Imports_TIV]]</f>
        <v>179000000</v>
      </c>
    </row>
    <row r="2515" spans="1:9">
      <c r="A2515" s="4" t="s">
        <v>71</v>
      </c>
      <c r="B2515" s="4" t="s">
        <v>72</v>
      </c>
      <c r="C2515" s="5">
        <v>2009</v>
      </c>
      <c r="D2515" s="4">
        <v>0</v>
      </c>
      <c r="E2515" s="4">
        <v>33000000</v>
      </c>
      <c r="F2515" s="4" t="str">
        <f>_xlfn.LET(_xlpm.r, _xlfn.XLOOKUP(Clean_Data[[#This Row],[Country_Code]], Metadata_Country!$A:$A, Metadata_Country!$B:$B, "Unknown"), IF(OR(_xlpm.r=0, _xlpm.r=""), "Regional Aggregate", _xlpm.r))</f>
        <v>East Asia &amp; Pacific</v>
      </c>
      <c r="G2515" s="4" t="str">
        <f>_xlfn.LET(_xlpm.ig, _xlfn.XLOOKUP(Clean_Data[[#This Row],[Country_Code]], Metadata_Country!$A:$A, Metadata_Country!$C:$C, "Unknown"), IF(OR(_xlpm.ig=0, _xlpm.ig=""), "Regional Aggregate", _xlpm.ig))</f>
        <v>High income</v>
      </c>
      <c r="H2515" s="4">
        <f>Clean_Data[[#This Row],[Exports_TIV]] - Clean_Data[[#This Row],[Imports_TIV]]</f>
        <v>-33000000</v>
      </c>
      <c r="I2515" s="4">
        <f>Clean_Data[[#This Row],[Exports_TIV]] + Clean_Data[[#This Row],[Imports_TIV]]</f>
        <v>33000000</v>
      </c>
    </row>
    <row r="2516" spans="1:9">
      <c r="A2516" s="4" t="s">
        <v>51</v>
      </c>
      <c r="B2516" s="4" t="s">
        <v>52</v>
      </c>
      <c r="C2516" s="5">
        <v>2009</v>
      </c>
      <c r="D2516" s="4">
        <v>16000000</v>
      </c>
      <c r="E2516" s="4">
        <v>119000000</v>
      </c>
      <c r="F2516" s="4" t="str">
        <f>_xlfn.LET(_xlpm.r, _xlfn.XLOOKUP(Clean_Data[[#This Row],[Country_Code]], Metadata_Country!$A:$A, Metadata_Country!$B:$B, "Unknown"), IF(OR(_xlpm.r=0, _xlpm.r=""), "Regional Aggregate", _xlpm.r))</f>
        <v>Europe &amp; Central Asia</v>
      </c>
      <c r="G2516" s="4" t="str">
        <f>_xlfn.LET(_xlpm.ig, _xlfn.XLOOKUP(Clean_Data[[#This Row],[Country_Code]], Metadata_Country!$A:$A, Metadata_Country!$C:$C, "Unknown"), IF(OR(_xlpm.ig=0, _xlpm.ig=""), "Regional Aggregate", _xlpm.ig))</f>
        <v>High income</v>
      </c>
      <c r="H2516" s="4">
        <f>Clean_Data[[#This Row],[Exports_TIV]] - Clean_Data[[#This Row],[Imports_TIV]]</f>
        <v>-103000000</v>
      </c>
      <c r="I2516" s="4">
        <f>Clean_Data[[#This Row],[Exports_TIV]] + Clean_Data[[#This Row],[Imports_TIV]]</f>
        <v>135000000</v>
      </c>
    </row>
    <row r="2517" spans="1:9">
      <c r="A2517" s="4" t="s">
        <v>47</v>
      </c>
      <c r="B2517" s="4" t="s">
        <v>48</v>
      </c>
      <c r="C2517" s="5">
        <v>2009</v>
      </c>
      <c r="D2517" s="4">
        <v>0</v>
      </c>
      <c r="E2517" s="4">
        <v>3000000</v>
      </c>
      <c r="F2517" s="4" t="str">
        <f>_xlfn.LET(_xlpm.r, _xlfn.XLOOKUP(Clean_Data[[#This Row],[Country_Code]], Metadata_Country!$A:$A, Metadata_Country!$B:$B, "Unknown"), IF(OR(_xlpm.r=0, _xlpm.r=""), "Regional Aggregate", _xlpm.r))</f>
        <v>Sub-Saharan Africa</v>
      </c>
      <c r="G2517" s="4" t="str">
        <f>_xlfn.LET(_xlpm.ig, _xlfn.XLOOKUP(Clean_Data[[#This Row],[Country_Code]], Metadata_Country!$A:$A, Metadata_Country!$C:$C, "Unknown"), IF(OR(_xlpm.ig=0, _xlpm.ig=""), "Regional Aggregate", _xlpm.ig))</f>
        <v>Low income</v>
      </c>
      <c r="H2517" s="4">
        <f>Clean_Data[[#This Row],[Exports_TIV]] - Clean_Data[[#This Row],[Imports_TIV]]</f>
        <v>-3000000</v>
      </c>
      <c r="I2517" s="4">
        <f>Clean_Data[[#This Row],[Exports_TIV]] + Clean_Data[[#This Row],[Imports_TIV]]</f>
        <v>3000000</v>
      </c>
    </row>
    <row r="2518" spans="1:9">
      <c r="A2518" s="4" t="s">
        <v>41</v>
      </c>
      <c r="B2518" s="4" t="s">
        <v>42</v>
      </c>
      <c r="C2518" s="5">
        <v>2009</v>
      </c>
      <c r="D2518" s="4">
        <v>0</v>
      </c>
      <c r="E2518" s="4">
        <v>1000000</v>
      </c>
      <c r="F2518" s="4" t="str">
        <f>_xlfn.LET(_xlpm.r, _xlfn.XLOOKUP(Clean_Data[[#This Row],[Country_Code]], Metadata_Country!$A:$A, Metadata_Country!$B:$B, "Unknown"), IF(OR(_xlpm.r=0, _xlpm.r=""), "Regional Aggregate", _xlpm.r))</f>
        <v>Sub-Saharan Africa</v>
      </c>
      <c r="G2518" s="4" t="str">
        <f>_xlfn.LET(_xlpm.ig, _xlfn.XLOOKUP(Clean_Data[[#This Row],[Country_Code]], Metadata_Country!$A:$A, Metadata_Country!$C:$C, "Unknown"), IF(OR(_xlpm.ig=0, _xlpm.ig=""), "Regional Aggregate", _xlpm.ig))</f>
        <v>Low income</v>
      </c>
      <c r="H2518" s="4">
        <f>Clean_Data[[#This Row],[Exports_TIV]] - Clean_Data[[#This Row],[Imports_TIV]]</f>
        <v>-1000000</v>
      </c>
      <c r="I2518" s="4">
        <f>Clean_Data[[#This Row],[Exports_TIV]] + Clean_Data[[#This Row],[Imports_TIV]]</f>
        <v>1000000</v>
      </c>
    </row>
    <row r="2519" spans="1:9">
      <c r="A2519" s="4" t="s">
        <v>103</v>
      </c>
      <c r="B2519" s="4" t="s">
        <v>104</v>
      </c>
      <c r="C2519" s="5">
        <v>2009</v>
      </c>
      <c r="D2519" s="4">
        <v>0</v>
      </c>
      <c r="E2519" s="4">
        <v>2000000</v>
      </c>
      <c r="F2519" s="4" t="str">
        <f>_xlfn.LET(_xlpm.r, _xlfn.XLOOKUP(Clean_Data[[#This Row],[Country_Code]], Metadata_Country!$A:$A, Metadata_Country!$B:$B, "Unknown"), IF(OR(_xlpm.r=0, _xlpm.r=""), "Regional Aggregate", _xlpm.r))</f>
        <v>Sub-Saharan Africa</v>
      </c>
      <c r="G2519" s="4" t="str">
        <f>_xlfn.LET(_xlpm.ig, _xlfn.XLOOKUP(Clean_Data[[#This Row],[Country_Code]], Metadata_Country!$A:$A, Metadata_Country!$C:$C, "Unknown"), IF(OR(_xlpm.ig=0, _xlpm.ig=""), "Regional Aggregate", _xlpm.ig))</f>
        <v>Upper middle income</v>
      </c>
      <c r="H2519" s="4">
        <f>Clean_Data[[#This Row],[Exports_TIV]] - Clean_Data[[#This Row],[Imports_TIV]]</f>
        <v>-2000000</v>
      </c>
      <c r="I2519" s="4">
        <f>Clean_Data[[#This Row],[Exports_TIV]] + Clean_Data[[#This Row],[Imports_TIV]]</f>
        <v>2000000</v>
      </c>
    </row>
    <row r="2520" spans="1:9">
      <c r="A2520" s="4" t="s">
        <v>255</v>
      </c>
      <c r="B2520" s="4" t="s">
        <v>256</v>
      </c>
      <c r="C2520" s="5">
        <v>2009</v>
      </c>
      <c r="D2520" s="4">
        <v>0</v>
      </c>
      <c r="E2520" s="4">
        <v>4000000</v>
      </c>
      <c r="F2520" s="4" t="str">
        <f>_xlfn.LET(_xlpm.r, _xlfn.XLOOKUP(Clean_Data[[#This Row],[Country_Code]], Metadata_Country!$A:$A, Metadata_Country!$B:$B, "Unknown"), IF(OR(_xlpm.r=0, _xlpm.r=""), "Regional Aggregate", _xlpm.r))</f>
        <v>East Asia &amp; Pacific</v>
      </c>
      <c r="G2520" s="4" t="str">
        <f>_xlfn.LET(_xlpm.ig, _xlfn.XLOOKUP(Clean_Data[[#This Row],[Country_Code]], Metadata_Country!$A:$A, Metadata_Country!$C:$C, "Unknown"), IF(OR(_xlpm.ig=0, _xlpm.ig=""), "Regional Aggregate", _xlpm.ig))</f>
        <v>Lower middle income</v>
      </c>
      <c r="H2520" s="4">
        <f>Clean_Data[[#This Row],[Exports_TIV]] - Clean_Data[[#This Row],[Imports_TIV]]</f>
        <v>-4000000</v>
      </c>
      <c r="I2520" s="4">
        <f>Clean_Data[[#This Row],[Exports_TIV]] + Clean_Data[[#This Row],[Imports_TIV]]</f>
        <v>4000000</v>
      </c>
    </row>
    <row r="2521" spans="1:9">
      <c r="A2521" s="4" t="s">
        <v>79</v>
      </c>
      <c r="B2521" s="4" t="s">
        <v>80</v>
      </c>
      <c r="C2521" s="5">
        <v>2009</v>
      </c>
      <c r="D2521" s="4">
        <v>198000000</v>
      </c>
      <c r="E2521" s="4">
        <v>104000000</v>
      </c>
      <c r="F2521" s="4" t="str">
        <f>_xlfn.LET(_xlpm.r, _xlfn.XLOOKUP(Clean_Data[[#This Row],[Country_Code]], Metadata_Country!$A:$A, Metadata_Country!$B:$B, "Unknown"), IF(OR(_xlpm.r=0, _xlpm.r=""), "Regional Aggregate", _xlpm.r))</f>
        <v>North America</v>
      </c>
      <c r="G2521" s="4" t="str">
        <f>_xlfn.LET(_xlpm.ig, _xlfn.XLOOKUP(Clean_Data[[#This Row],[Country_Code]], Metadata_Country!$A:$A, Metadata_Country!$C:$C, "Unknown"), IF(OR(_xlpm.ig=0, _xlpm.ig=""), "Regional Aggregate", _xlpm.ig))</f>
        <v>High income</v>
      </c>
      <c r="H2521" s="4">
        <f>Clean_Data[[#This Row],[Exports_TIV]] - Clean_Data[[#This Row],[Imports_TIV]]</f>
        <v>94000000</v>
      </c>
      <c r="I2521" s="4">
        <f>Clean_Data[[#This Row],[Exports_TIV]] + Clean_Data[[#This Row],[Imports_TIV]]</f>
        <v>302000000</v>
      </c>
    </row>
    <row r="2522" spans="1:9">
      <c r="A2522" s="4" t="s">
        <v>81</v>
      </c>
      <c r="B2522" s="4" t="s">
        <v>82</v>
      </c>
      <c r="C2522" s="5">
        <v>2009</v>
      </c>
      <c r="D2522" s="4">
        <v>0</v>
      </c>
      <c r="E2522" s="4">
        <v>505000000</v>
      </c>
      <c r="F2522" s="4" t="str">
        <f>_xlfn.LET(_xlpm.r, _xlfn.XLOOKUP(Clean_Data[[#This Row],[Country_Code]], Metadata_Country!$A:$A, Metadata_Country!$B:$B, "Unknown"), IF(OR(_xlpm.r=0, _xlpm.r=""), "Regional Aggregate", _xlpm.r))</f>
        <v>Regional Aggregate</v>
      </c>
      <c r="G2522" s="4" t="str">
        <f>_xlfn.LET(_xlpm.ig, _xlfn.XLOOKUP(Clean_Data[[#This Row],[Country_Code]], Metadata_Country!$A:$A, Metadata_Country!$C:$C, "Unknown"), IF(OR(_xlpm.ig=0, _xlpm.ig=""), "Regional Aggregate", _xlpm.ig))</f>
        <v>Regional Aggregate</v>
      </c>
      <c r="H2522" s="4">
        <f>Clean_Data[[#This Row],[Exports_TIV]] - Clean_Data[[#This Row],[Imports_TIV]]</f>
        <v>-505000000</v>
      </c>
      <c r="I2522" s="4">
        <f>Clean_Data[[#This Row],[Exports_TIV]] + Clean_Data[[#This Row],[Imports_TIV]]</f>
        <v>505000000</v>
      </c>
    </row>
    <row r="2523" spans="1:9">
      <c r="A2523" s="4" t="s">
        <v>467</v>
      </c>
      <c r="B2523" s="4" t="s">
        <v>468</v>
      </c>
      <c r="C2523" s="5">
        <v>2009</v>
      </c>
      <c r="D2523" s="4">
        <v>0</v>
      </c>
      <c r="E2523" s="4">
        <v>37000000</v>
      </c>
      <c r="F2523" s="4" t="str">
        <f>_xlfn.LET(_xlpm.r, _xlfn.XLOOKUP(Clean_Data[[#This Row],[Country_Code]], Metadata_Country!$A:$A, Metadata_Country!$B:$B, "Unknown"), IF(OR(_xlpm.r=0, _xlpm.r=""), "Regional Aggregate", _xlpm.r))</f>
        <v>Sub-Saharan Africa</v>
      </c>
      <c r="G2523" s="4" t="str">
        <f>_xlfn.LET(_xlpm.ig, _xlfn.XLOOKUP(Clean_Data[[#This Row],[Country_Code]], Metadata_Country!$A:$A, Metadata_Country!$C:$C, "Unknown"), IF(OR(_xlpm.ig=0, _xlpm.ig=""), "Regional Aggregate", _xlpm.ig))</f>
        <v>Low income</v>
      </c>
      <c r="H2523" s="4">
        <f>Clean_Data[[#This Row],[Exports_TIV]] - Clean_Data[[#This Row],[Imports_TIV]]</f>
        <v>-37000000</v>
      </c>
      <c r="I2523" s="4">
        <f>Clean_Data[[#This Row],[Exports_TIV]] + Clean_Data[[#This Row],[Imports_TIV]]</f>
        <v>37000000</v>
      </c>
    </row>
    <row r="2524" spans="1:9">
      <c r="A2524" s="4" t="s">
        <v>87</v>
      </c>
      <c r="B2524" s="4" t="s">
        <v>88</v>
      </c>
      <c r="C2524" s="5">
        <v>2009</v>
      </c>
      <c r="D2524" s="4">
        <v>0</v>
      </c>
      <c r="E2524" s="4">
        <v>329000000</v>
      </c>
      <c r="F2524" s="4" t="str">
        <f>_xlfn.LET(_xlpm.r, _xlfn.XLOOKUP(Clean_Data[[#This Row],[Country_Code]], Metadata_Country!$A:$A, Metadata_Country!$B:$B, "Unknown"), IF(OR(_xlpm.r=0, _xlpm.r=""), "Regional Aggregate", _xlpm.r))</f>
        <v>Latin America &amp; Caribbean</v>
      </c>
      <c r="G2524" s="4" t="str">
        <f>_xlfn.LET(_xlpm.ig, _xlfn.XLOOKUP(Clean_Data[[#This Row],[Country_Code]], Metadata_Country!$A:$A, Metadata_Country!$C:$C, "Unknown"), IF(OR(_xlpm.ig=0, _xlpm.ig=""), "Regional Aggregate", _xlpm.ig))</f>
        <v>High income</v>
      </c>
      <c r="H2524" s="4">
        <f>Clean_Data[[#This Row],[Exports_TIV]] - Clean_Data[[#This Row],[Imports_TIV]]</f>
        <v>-329000000</v>
      </c>
      <c r="I2524" s="4">
        <f>Clean_Data[[#This Row],[Exports_TIV]] + Clean_Data[[#This Row],[Imports_TIV]]</f>
        <v>329000000</v>
      </c>
    </row>
    <row r="2525" spans="1:9">
      <c r="A2525" s="4" t="s">
        <v>89</v>
      </c>
      <c r="B2525" s="4" t="s">
        <v>90</v>
      </c>
      <c r="C2525" s="5">
        <v>2009</v>
      </c>
      <c r="D2525" s="4">
        <v>1138000000</v>
      </c>
      <c r="E2525" s="4">
        <v>1382000000</v>
      </c>
      <c r="F2525" s="4" t="str">
        <f>_xlfn.LET(_xlpm.r, _xlfn.XLOOKUP(Clean_Data[[#This Row],[Country_Code]], Metadata_Country!$A:$A, Metadata_Country!$B:$B, "Unknown"), IF(OR(_xlpm.r=0, _xlpm.r=""), "Regional Aggregate", _xlpm.r))</f>
        <v>East Asia &amp; Pacific</v>
      </c>
      <c r="G2525" s="4" t="str">
        <f>_xlfn.LET(_xlpm.ig, _xlfn.XLOOKUP(Clean_Data[[#This Row],[Country_Code]], Metadata_Country!$A:$A, Metadata_Country!$C:$C, "Unknown"), IF(OR(_xlpm.ig=0, _xlpm.ig=""), "Regional Aggregate", _xlpm.ig))</f>
        <v>Upper middle income</v>
      </c>
      <c r="H2525" s="4">
        <f>Clean_Data[[#This Row],[Exports_TIV]] - Clean_Data[[#This Row],[Imports_TIV]]</f>
        <v>-244000000</v>
      </c>
      <c r="I2525" s="4">
        <f>Clean_Data[[#This Row],[Exports_TIV]] + Clean_Data[[#This Row],[Imports_TIV]]</f>
        <v>2520000000</v>
      </c>
    </row>
    <row r="2526" spans="1:9">
      <c r="A2526" s="4" t="s">
        <v>99</v>
      </c>
      <c r="B2526" s="4" t="s">
        <v>100</v>
      </c>
      <c r="C2526" s="5">
        <v>2009</v>
      </c>
      <c r="D2526" s="4">
        <v>0</v>
      </c>
      <c r="E2526" s="4">
        <v>263000000</v>
      </c>
      <c r="F2526" s="4" t="str">
        <f>_xlfn.LET(_xlpm.r, _xlfn.XLOOKUP(Clean_Data[[#This Row],[Country_Code]], Metadata_Country!$A:$A, Metadata_Country!$B:$B, "Unknown"), IF(OR(_xlpm.r=0, _xlpm.r=""), "Regional Aggregate", _xlpm.r))</f>
        <v>Latin America &amp; Caribbean</v>
      </c>
      <c r="G2526" s="4" t="str">
        <f>_xlfn.LET(_xlpm.ig, _xlfn.XLOOKUP(Clean_Data[[#This Row],[Country_Code]], Metadata_Country!$A:$A, Metadata_Country!$C:$C, "Unknown"), IF(OR(_xlpm.ig=0, _xlpm.ig=""), "Regional Aggregate", _xlpm.ig))</f>
        <v>Upper middle income</v>
      </c>
      <c r="H2526" s="4">
        <f>Clean_Data[[#This Row],[Exports_TIV]] - Clean_Data[[#This Row],[Imports_TIV]]</f>
        <v>-263000000</v>
      </c>
      <c r="I2526" s="4">
        <f>Clean_Data[[#This Row],[Exports_TIV]] + Clean_Data[[#This Row],[Imports_TIV]]</f>
        <v>263000000</v>
      </c>
    </row>
    <row r="2527" spans="1:9">
      <c r="A2527" s="4" t="s">
        <v>95</v>
      </c>
      <c r="B2527" s="4" t="s">
        <v>96</v>
      </c>
      <c r="C2527" s="5">
        <v>2009</v>
      </c>
      <c r="D2527" s="4">
        <v>0</v>
      </c>
      <c r="E2527" s="4">
        <v>37000000</v>
      </c>
      <c r="F2527" s="4" t="str">
        <f>_xlfn.LET(_xlpm.r, _xlfn.XLOOKUP(Clean_Data[[#This Row],[Country_Code]], Metadata_Country!$A:$A, Metadata_Country!$B:$B, "Unknown"), IF(OR(_xlpm.r=0, _xlpm.r=""), "Regional Aggregate", _xlpm.r))</f>
        <v>Sub-Saharan Africa</v>
      </c>
      <c r="G2527" s="4" t="str">
        <f>_xlfn.LET(_xlpm.ig, _xlfn.XLOOKUP(Clean_Data[[#This Row],[Country_Code]], Metadata_Country!$A:$A, Metadata_Country!$C:$C, "Unknown"), IF(OR(_xlpm.ig=0, _xlpm.ig=""), "Regional Aggregate", _xlpm.ig))</f>
        <v>Low income</v>
      </c>
      <c r="H2527" s="4">
        <f>Clean_Data[[#This Row],[Exports_TIV]] - Clean_Data[[#This Row],[Imports_TIV]]</f>
        <v>-37000000</v>
      </c>
      <c r="I2527" s="4">
        <f>Clean_Data[[#This Row],[Exports_TIV]] + Clean_Data[[#This Row],[Imports_TIV]]</f>
        <v>37000000</v>
      </c>
    </row>
    <row r="2528" spans="1:9">
      <c r="A2528" s="4" t="s">
        <v>97</v>
      </c>
      <c r="B2528" s="4" t="s">
        <v>98</v>
      </c>
      <c r="C2528" s="5">
        <v>2009</v>
      </c>
      <c r="D2528" s="4">
        <v>0</v>
      </c>
      <c r="E2528" s="4">
        <v>4000000</v>
      </c>
      <c r="F2528" s="4" t="str">
        <f>_xlfn.LET(_xlpm.r, _xlfn.XLOOKUP(Clean_Data[[#This Row],[Country_Code]], Metadata_Country!$A:$A, Metadata_Country!$B:$B, "Unknown"), IF(OR(_xlpm.r=0, _xlpm.r=""), "Regional Aggregate", _xlpm.r))</f>
        <v>Sub-Saharan Africa</v>
      </c>
      <c r="G2528" s="4" t="str">
        <f>_xlfn.LET(_xlpm.ig, _xlfn.XLOOKUP(Clean_Data[[#This Row],[Country_Code]], Metadata_Country!$A:$A, Metadata_Country!$C:$C, "Unknown"), IF(OR(_xlpm.ig=0, _xlpm.ig=""), "Regional Aggregate", _xlpm.ig))</f>
        <v>Lower middle income</v>
      </c>
      <c r="H2528" s="4">
        <f>Clean_Data[[#This Row],[Exports_TIV]] - Clean_Data[[#This Row],[Imports_TIV]]</f>
        <v>-4000000</v>
      </c>
      <c r="I2528" s="4">
        <f>Clean_Data[[#This Row],[Exports_TIV]] + Clean_Data[[#This Row],[Imports_TIV]]</f>
        <v>4000000</v>
      </c>
    </row>
    <row r="2529" spans="1:9">
      <c r="A2529" s="4" t="s">
        <v>105</v>
      </c>
      <c r="B2529" s="4" t="s">
        <v>106</v>
      </c>
      <c r="C2529" s="5">
        <v>2009</v>
      </c>
      <c r="D2529" s="4">
        <v>3000000</v>
      </c>
      <c r="E2529" s="4">
        <v>0</v>
      </c>
      <c r="F2529" s="4" t="str">
        <f>_xlfn.LET(_xlpm.r, _xlfn.XLOOKUP(Clean_Data[[#This Row],[Country_Code]], Metadata_Country!$A:$A, Metadata_Country!$B:$B, "Unknown"), IF(OR(_xlpm.r=0, _xlpm.r=""), "Regional Aggregate", _xlpm.r))</f>
        <v>Latin America &amp; Caribbean</v>
      </c>
      <c r="G2529" s="4" t="str">
        <f>_xlfn.LET(_xlpm.ig, _xlfn.XLOOKUP(Clean_Data[[#This Row],[Country_Code]], Metadata_Country!$A:$A, Metadata_Country!$C:$C, "Unknown"), IF(OR(_xlpm.ig=0, _xlpm.ig=""), "Regional Aggregate", _xlpm.ig))</f>
        <v>High income</v>
      </c>
      <c r="H2529" s="4">
        <f>Clean_Data[[#This Row],[Exports_TIV]] - Clean_Data[[#This Row],[Imports_TIV]]</f>
        <v>3000000</v>
      </c>
      <c r="I2529" s="4">
        <f>Clean_Data[[#This Row],[Exports_TIV]] + Clean_Data[[#This Row],[Imports_TIV]]</f>
        <v>3000000</v>
      </c>
    </row>
    <row r="2530" spans="1:9">
      <c r="A2530" s="4" t="s">
        <v>207</v>
      </c>
      <c r="B2530" s="4" t="s">
        <v>208</v>
      </c>
      <c r="C2530" s="5">
        <v>2009</v>
      </c>
      <c r="D2530" s="4">
        <v>0</v>
      </c>
      <c r="E2530" s="4">
        <v>4000000</v>
      </c>
      <c r="F2530" s="4" t="str">
        <f>_xlfn.LET(_xlpm.r, _xlfn.XLOOKUP(Clean_Data[[#This Row],[Country_Code]], Metadata_Country!$A:$A, Metadata_Country!$B:$B, "Unknown"), IF(OR(_xlpm.r=0, _xlpm.r=""), "Regional Aggregate", _xlpm.r))</f>
        <v>Europe &amp; Central Asia</v>
      </c>
      <c r="G2530" s="4" t="str">
        <f>_xlfn.LET(_xlpm.ig, _xlfn.XLOOKUP(Clean_Data[[#This Row],[Country_Code]], Metadata_Country!$A:$A, Metadata_Country!$C:$C, "Unknown"), IF(OR(_xlpm.ig=0, _xlpm.ig=""), "Regional Aggregate", _xlpm.ig))</f>
        <v>High income</v>
      </c>
      <c r="H2530" s="4">
        <f>Clean_Data[[#This Row],[Exports_TIV]] - Clean_Data[[#This Row],[Imports_TIV]]</f>
        <v>-4000000</v>
      </c>
      <c r="I2530" s="4">
        <f>Clean_Data[[#This Row],[Exports_TIV]] + Clean_Data[[#This Row],[Imports_TIV]]</f>
        <v>4000000</v>
      </c>
    </row>
    <row r="2531" spans="1:9">
      <c r="A2531" s="4" t="s">
        <v>117</v>
      </c>
      <c r="B2531" s="4" t="s">
        <v>118</v>
      </c>
      <c r="C2531" s="5">
        <v>2009</v>
      </c>
      <c r="D2531" s="4">
        <v>24000000</v>
      </c>
      <c r="E2531" s="4">
        <v>26000000</v>
      </c>
      <c r="F2531" s="4" t="str">
        <f>_xlfn.LET(_xlpm.r, _xlfn.XLOOKUP(Clean_Data[[#This Row],[Country_Code]], Metadata_Country!$A:$A, Metadata_Country!$B:$B, "Unknown"), IF(OR(_xlpm.r=0, _xlpm.r=""), "Regional Aggregate", _xlpm.r))</f>
        <v>Europe &amp; Central Asia</v>
      </c>
      <c r="G2531" s="4" t="str">
        <f>_xlfn.LET(_xlpm.ig, _xlfn.XLOOKUP(Clean_Data[[#This Row],[Country_Code]], Metadata_Country!$A:$A, Metadata_Country!$C:$C, "Unknown"), IF(OR(_xlpm.ig=0, _xlpm.ig=""), "Regional Aggregate", _xlpm.ig))</f>
        <v>High income</v>
      </c>
      <c r="H2531" s="4">
        <f>Clean_Data[[#This Row],[Exports_TIV]] - Clean_Data[[#This Row],[Imports_TIV]]</f>
        <v>-2000000</v>
      </c>
      <c r="I2531" s="4">
        <f>Clean_Data[[#This Row],[Exports_TIV]] + Clean_Data[[#This Row],[Imports_TIV]]</f>
        <v>50000000</v>
      </c>
    </row>
    <row r="2532" spans="1:9">
      <c r="A2532" s="4" t="s">
        <v>125</v>
      </c>
      <c r="B2532" s="4" t="s">
        <v>126</v>
      </c>
      <c r="C2532" s="5">
        <v>2009</v>
      </c>
      <c r="D2532" s="4">
        <v>10000000</v>
      </c>
      <c r="E2532" s="4">
        <v>134000000</v>
      </c>
      <c r="F2532" s="4" t="str">
        <f>_xlfn.LET(_xlpm.r, _xlfn.XLOOKUP(Clean_Data[[#This Row],[Country_Code]], Metadata_Country!$A:$A, Metadata_Country!$B:$B, "Unknown"), IF(OR(_xlpm.r=0, _xlpm.r=""), "Regional Aggregate", _xlpm.r))</f>
        <v>Europe &amp; Central Asia</v>
      </c>
      <c r="G2532" s="4" t="str">
        <f>_xlfn.LET(_xlpm.ig, _xlfn.XLOOKUP(Clean_Data[[#This Row],[Country_Code]], Metadata_Country!$A:$A, Metadata_Country!$C:$C, "Unknown"), IF(OR(_xlpm.ig=0, _xlpm.ig=""), "Regional Aggregate", _xlpm.ig))</f>
        <v>High income</v>
      </c>
      <c r="H2532" s="4">
        <f>Clean_Data[[#This Row],[Exports_TIV]] - Clean_Data[[#This Row],[Imports_TIV]]</f>
        <v>-124000000</v>
      </c>
      <c r="I2532" s="4">
        <f>Clean_Data[[#This Row],[Exports_TIV]] + Clean_Data[[#This Row],[Imports_TIV]]</f>
        <v>144000000</v>
      </c>
    </row>
    <row r="2533" spans="1:9">
      <c r="A2533" s="4" t="s">
        <v>127</v>
      </c>
      <c r="B2533" s="4" t="s">
        <v>128</v>
      </c>
      <c r="C2533" s="5">
        <v>2009</v>
      </c>
      <c r="D2533" s="4">
        <v>0</v>
      </c>
      <c r="E2533" s="4">
        <v>10000000</v>
      </c>
      <c r="F2533" s="4" t="str">
        <f>_xlfn.LET(_xlpm.r, _xlfn.XLOOKUP(Clean_Data[[#This Row],[Country_Code]], Metadata_Country!$A:$A, Metadata_Country!$B:$B, "Unknown"), IF(OR(_xlpm.r=0, _xlpm.r=""), "Regional Aggregate", _xlpm.r))</f>
        <v>Latin America &amp; Caribbean</v>
      </c>
      <c r="G2533" s="4" t="str">
        <f>_xlfn.LET(_xlpm.ig, _xlfn.XLOOKUP(Clean_Data[[#This Row],[Country_Code]], Metadata_Country!$A:$A, Metadata_Country!$C:$C, "Unknown"), IF(OR(_xlpm.ig=0, _xlpm.ig=""), "Regional Aggregate", _xlpm.ig))</f>
        <v>Upper middle income</v>
      </c>
      <c r="H2533" s="4">
        <f>Clean_Data[[#This Row],[Exports_TIV]] - Clean_Data[[#This Row],[Imports_TIV]]</f>
        <v>-10000000</v>
      </c>
      <c r="I2533" s="4">
        <f>Clean_Data[[#This Row],[Exports_TIV]] + Clean_Data[[#This Row],[Imports_TIV]]</f>
        <v>10000000</v>
      </c>
    </row>
    <row r="2534" spans="1:9">
      <c r="A2534" s="4" t="s">
        <v>133</v>
      </c>
      <c r="B2534" s="4" t="s">
        <v>134</v>
      </c>
      <c r="C2534" s="5">
        <v>2009</v>
      </c>
      <c r="D2534" s="4">
        <v>0</v>
      </c>
      <c r="E2534" s="4">
        <v>8027000000</v>
      </c>
      <c r="F2534" s="4" t="str">
        <f>_xlfn.LET(_xlpm.r, _xlfn.XLOOKUP(Clean_Data[[#This Row],[Country_Code]], Metadata_Country!$A:$A, Metadata_Country!$B:$B, "Unknown"), IF(OR(_xlpm.r=0, _xlpm.r=""), "Regional Aggregate", _xlpm.r))</f>
        <v>Regional Aggregate</v>
      </c>
      <c r="G2534" s="4" t="str">
        <f>_xlfn.LET(_xlpm.ig, _xlfn.XLOOKUP(Clean_Data[[#This Row],[Country_Code]], Metadata_Country!$A:$A, Metadata_Country!$C:$C, "Unknown"), IF(OR(_xlpm.ig=0, _xlpm.ig=""), "Regional Aggregate", _xlpm.ig))</f>
        <v>Regional Aggregate</v>
      </c>
      <c r="H2534" s="4">
        <f>Clean_Data[[#This Row],[Exports_TIV]] - Clean_Data[[#This Row],[Imports_TIV]]</f>
        <v>-8027000000</v>
      </c>
      <c r="I2534" s="4">
        <f>Clean_Data[[#This Row],[Exports_TIV]] + Clean_Data[[#This Row],[Imports_TIV]]</f>
        <v>8027000000</v>
      </c>
    </row>
    <row r="2535" spans="1:9">
      <c r="A2535" s="4" t="s">
        <v>135</v>
      </c>
      <c r="B2535" s="4" t="s">
        <v>136</v>
      </c>
      <c r="C2535" s="5">
        <v>2009</v>
      </c>
      <c r="D2535" s="4">
        <v>0</v>
      </c>
      <c r="E2535" s="4">
        <v>7454000000</v>
      </c>
      <c r="F2535" s="4" t="str">
        <f>_xlfn.LET(_xlpm.r, _xlfn.XLOOKUP(Clean_Data[[#This Row],[Country_Code]], Metadata_Country!$A:$A, Metadata_Country!$B:$B, "Unknown"), IF(OR(_xlpm.r=0, _xlpm.r=""), "Regional Aggregate", _xlpm.r))</f>
        <v>Regional Aggregate</v>
      </c>
      <c r="G2535" s="4" t="str">
        <f>_xlfn.LET(_xlpm.ig, _xlfn.XLOOKUP(Clean_Data[[#This Row],[Country_Code]], Metadata_Country!$A:$A, Metadata_Country!$C:$C, "Unknown"), IF(OR(_xlpm.ig=0, _xlpm.ig=""), "Regional Aggregate", _xlpm.ig))</f>
        <v>Regional Aggregate</v>
      </c>
      <c r="H2535" s="4">
        <f>Clean_Data[[#This Row],[Exports_TIV]] - Clean_Data[[#This Row],[Imports_TIV]]</f>
        <v>-7454000000</v>
      </c>
      <c r="I2535" s="4">
        <f>Clean_Data[[#This Row],[Exports_TIV]] + Clean_Data[[#This Row],[Imports_TIV]]</f>
        <v>7454000000</v>
      </c>
    </row>
    <row r="2536" spans="1:9">
      <c r="A2536" s="4" t="s">
        <v>131</v>
      </c>
      <c r="B2536" s="4" t="s">
        <v>132</v>
      </c>
      <c r="C2536" s="5">
        <v>2009</v>
      </c>
      <c r="D2536" s="4">
        <v>1161000000</v>
      </c>
      <c r="E2536" s="4">
        <v>3333000000</v>
      </c>
      <c r="F2536" s="4" t="str">
        <f>_xlfn.LET(_xlpm.r, _xlfn.XLOOKUP(Clean_Data[[#This Row],[Country_Code]], Metadata_Country!$A:$A, Metadata_Country!$B:$B, "Unknown"), IF(OR(_xlpm.r=0, _xlpm.r=""), "Regional Aggregate", _xlpm.r))</f>
        <v>Regional Aggregate</v>
      </c>
      <c r="G2536" s="4" t="str">
        <f>_xlfn.LET(_xlpm.ig, _xlfn.XLOOKUP(Clean_Data[[#This Row],[Country_Code]], Metadata_Country!$A:$A, Metadata_Country!$C:$C, "Unknown"), IF(OR(_xlpm.ig=0, _xlpm.ig=""), "Regional Aggregate", _xlpm.ig))</f>
        <v>Regional Aggregate</v>
      </c>
      <c r="H2536" s="4">
        <f>Clean_Data[[#This Row],[Exports_TIV]] - Clean_Data[[#This Row],[Imports_TIV]]</f>
        <v>-2172000000</v>
      </c>
      <c r="I2536" s="4">
        <f>Clean_Data[[#This Row],[Exports_TIV]] + Clean_Data[[#This Row],[Imports_TIV]]</f>
        <v>4494000000</v>
      </c>
    </row>
    <row r="2537" spans="1:9">
      <c r="A2537" s="4" t="s">
        <v>469</v>
      </c>
      <c r="B2537" s="4" t="s">
        <v>470</v>
      </c>
      <c r="C2537" s="5">
        <v>2009</v>
      </c>
      <c r="D2537" s="4">
        <v>1138000000</v>
      </c>
      <c r="E2537" s="4">
        <v>3329000000</v>
      </c>
      <c r="F2537" s="4" t="str">
        <f>_xlfn.LET(_xlpm.r, _xlfn.XLOOKUP(Clean_Data[[#This Row],[Country_Code]], Metadata_Country!$A:$A, Metadata_Country!$B:$B, "Unknown"), IF(OR(_xlpm.r=0, _xlpm.r=""), "Regional Aggregate", _xlpm.r))</f>
        <v>Regional Aggregate</v>
      </c>
      <c r="G2537" s="4" t="str">
        <f>_xlfn.LET(_xlpm.ig, _xlfn.XLOOKUP(Clean_Data[[#This Row],[Country_Code]], Metadata_Country!$A:$A, Metadata_Country!$C:$C, "Unknown"), IF(OR(_xlpm.ig=0, _xlpm.ig=""), "Regional Aggregate", _xlpm.ig))</f>
        <v>Regional Aggregate</v>
      </c>
      <c r="H2537" s="4">
        <f>Clean_Data[[#This Row],[Exports_TIV]] - Clean_Data[[#This Row],[Imports_TIV]]</f>
        <v>-2191000000</v>
      </c>
      <c r="I2537" s="4">
        <f>Clean_Data[[#This Row],[Exports_TIV]] + Clean_Data[[#This Row],[Imports_TIV]]</f>
        <v>4467000000</v>
      </c>
    </row>
    <row r="2538" spans="1:9">
      <c r="A2538" s="4" t="s">
        <v>141</v>
      </c>
      <c r="B2538" s="4" t="s">
        <v>142</v>
      </c>
      <c r="C2538" s="5">
        <v>2009</v>
      </c>
      <c r="D2538" s="4">
        <v>0</v>
      </c>
      <c r="E2538" s="4">
        <v>77000000</v>
      </c>
      <c r="F2538" s="4" t="str">
        <f>_xlfn.LET(_xlpm.r, _xlfn.XLOOKUP(Clean_Data[[#This Row],[Country_Code]], Metadata_Country!$A:$A, Metadata_Country!$B:$B, "Unknown"), IF(OR(_xlpm.r=0, _xlpm.r=""), "Regional Aggregate", _xlpm.r))</f>
        <v>Latin America &amp; Caribbean</v>
      </c>
      <c r="G2538" s="4" t="str">
        <f>_xlfn.LET(_xlpm.ig, _xlfn.XLOOKUP(Clean_Data[[#This Row],[Country_Code]], Metadata_Country!$A:$A, Metadata_Country!$C:$C, "Unknown"), IF(OR(_xlpm.ig=0, _xlpm.ig=""), "Regional Aggregate", _xlpm.ig))</f>
        <v>Upper middle income</v>
      </c>
      <c r="H2538" s="4">
        <f>Clean_Data[[#This Row],[Exports_TIV]] - Clean_Data[[#This Row],[Imports_TIV]]</f>
        <v>-77000000</v>
      </c>
      <c r="I2538" s="4">
        <f>Clean_Data[[#This Row],[Exports_TIV]] + Clean_Data[[#This Row],[Imports_TIV]]</f>
        <v>77000000</v>
      </c>
    </row>
    <row r="2539" spans="1:9">
      <c r="A2539" s="4" t="s">
        <v>143</v>
      </c>
      <c r="B2539" s="4" t="s">
        <v>144</v>
      </c>
      <c r="C2539" s="5">
        <v>2009</v>
      </c>
      <c r="D2539" s="4">
        <v>0</v>
      </c>
      <c r="E2539" s="4">
        <v>95000000</v>
      </c>
      <c r="F2539" s="4" t="str">
        <f>_xlfn.LET(_xlpm.r, _xlfn.XLOOKUP(Clean_Data[[#This Row],[Country_Code]], Metadata_Country!$A:$A, Metadata_Country!$B:$B, "Unknown"), IF(OR(_xlpm.r=0, _xlpm.r=""), "Regional Aggregate", _xlpm.r))</f>
        <v>Middle East &amp; North Africa</v>
      </c>
      <c r="G2539" s="4" t="str">
        <f>_xlfn.LET(_xlpm.ig, _xlfn.XLOOKUP(Clean_Data[[#This Row],[Country_Code]], Metadata_Country!$A:$A, Metadata_Country!$C:$C, "Unknown"), IF(OR(_xlpm.ig=0, _xlpm.ig=""), "Regional Aggregate", _xlpm.ig))</f>
        <v>Lower middle income</v>
      </c>
      <c r="H2539" s="4">
        <f>Clean_Data[[#This Row],[Exports_TIV]] - Clean_Data[[#This Row],[Imports_TIV]]</f>
        <v>-95000000</v>
      </c>
      <c r="I2539" s="4">
        <f>Clean_Data[[#This Row],[Exports_TIV]] + Clean_Data[[#This Row],[Imports_TIV]]</f>
        <v>95000000</v>
      </c>
    </row>
    <row r="2540" spans="1:9">
      <c r="A2540" s="4" t="s">
        <v>431</v>
      </c>
      <c r="B2540" s="4" t="s">
        <v>432</v>
      </c>
      <c r="C2540" s="5">
        <v>2009</v>
      </c>
      <c r="D2540" s="4">
        <v>0</v>
      </c>
      <c r="E2540" s="4">
        <v>2000000</v>
      </c>
      <c r="F2540" s="4" t="str">
        <f>_xlfn.LET(_xlpm.r, _xlfn.XLOOKUP(Clean_Data[[#This Row],[Country_Code]], Metadata_Country!$A:$A, Metadata_Country!$B:$B, "Unknown"), IF(OR(_xlpm.r=0, _xlpm.r=""), "Regional Aggregate", _xlpm.r))</f>
        <v>Latin America &amp; Caribbean</v>
      </c>
      <c r="G2540" s="4" t="str">
        <f>_xlfn.LET(_xlpm.ig, _xlfn.XLOOKUP(Clean_Data[[#This Row],[Country_Code]], Metadata_Country!$A:$A, Metadata_Country!$C:$C, "Unknown"), IF(OR(_xlpm.ig=0, _xlpm.ig=""), "Regional Aggregate", _xlpm.ig))</f>
        <v>Upper middle income</v>
      </c>
      <c r="H2540" s="4">
        <f>Clean_Data[[#This Row],[Exports_TIV]] - Clean_Data[[#This Row],[Imports_TIV]]</f>
        <v>-2000000</v>
      </c>
      <c r="I2540" s="4">
        <f>Clean_Data[[#This Row],[Exports_TIV]] + Clean_Data[[#This Row],[Imports_TIV]]</f>
        <v>2000000</v>
      </c>
    </row>
    <row r="2541" spans="1:9">
      <c r="A2541" s="4" t="s">
        <v>185</v>
      </c>
      <c r="B2541" s="4" t="s">
        <v>186</v>
      </c>
      <c r="C2541" s="5">
        <v>2009</v>
      </c>
      <c r="D2541" s="4">
        <v>0</v>
      </c>
      <c r="E2541" s="4">
        <v>68000000</v>
      </c>
      <c r="F2541" s="4" t="str">
        <f>_xlfn.LET(_xlpm.r, _xlfn.XLOOKUP(Clean_Data[[#This Row],[Country_Code]], Metadata_Country!$A:$A, Metadata_Country!$B:$B, "Unknown"), IF(OR(_xlpm.r=0, _xlpm.r=""), "Regional Aggregate", _xlpm.r))</f>
        <v>Sub-Saharan Africa</v>
      </c>
      <c r="G2541" s="4" t="str">
        <f>_xlfn.LET(_xlpm.ig, _xlfn.XLOOKUP(Clean_Data[[#This Row],[Country_Code]], Metadata_Country!$A:$A, Metadata_Country!$C:$C, "Unknown"), IF(OR(_xlpm.ig=0, _xlpm.ig=""), "Regional Aggregate", _xlpm.ig))</f>
        <v>Upper middle income</v>
      </c>
      <c r="H2541" s="4">
        <f>Clean_Data[[#This Row],[Exports_TIV]] - Clean_Data[[#This Row],[Imports_TIV]]</f>
        <v>-68000000</v>
      </c>
      <c r="I2541" s="4">
        <f>Clean_Data[[#This Row],[Exports_TIV]] + Clean_Data[[#This Row],[Imports_TIV]]</f>
        <v>68000000</v>
      </c>
    </row>
    <row r="2542" spans="1:9">
      <c r="A2542" s="4" t="s">
        <v>151</v>
      </c>
      <c r="B2542" s="4" t="s">
        <v>152</v>
      </c>
      <c r="C2542" s="5">
        <v>2009</v>
      </c>
      <c r="D2542" s="4">
        <v>0</v>
      </c>
      <c r="E2542" s="4">
        <v>42000000</v>
      </c>
      <c r="F2542" s="4" t="str">
        <f>_xlfn.LET(_xlpm.r, _xlfn.XLOOKUP(Clean_Data[[#This Row],[Country_Code]], Metadata_Country!$A:$A, Metadata_Country!$B:$B, "Unknown"), IF(OR(_xlpm.r=0, _xlpm.r=""), "Regional Aggregate", _xlpm.r))</f>
        <v>Europe &amp; Central Asia</v>
      </c>
      <c r="G2542" s="4" t="str">
        <f>_xlfn.LET(_xlpm.ig, _xlfn.XLOOKUP(Clean_Data[[#This Row],[Country_Code]], Metadata_Country!$A:$A, Metadata_Country!$C:$C, "Unknown"), IF(OR(_xlpm.ig=0, _xlpm.ig=""), "Regional Aggregate", _xlpm.ig))</f>
        <v>High income</v>
      </c>
      <c r="H2542" s="4">
        <f>Clean_Data[[#This Row],[Exports_TIV]] - Clean_Data[[#This Row],[Imports_TIV]]</f>
        <v>-42000000</v>
      </c>
      <c r="I2542" s="4">
        <f>Clean_Data[[#This Row],[Exports_TIV]] + Clean_Data[[#This Row],[Imports_TIV]]</f>
        <v>42000000</v>
      </c>
    </row>
    <row r="2543" spans="1:9">
      <c r="A2543" s="4" t="s">
        <v>145</v>
      </c>
      <c r="B2543" s="4" t="s">
        <v>146</v>
      </c>
      <c r="C2543" s="5">
        <v>2009</v>
      </c>
      <c r="D2543" s="4">
        <v>6519000000</v>
      </c>
      <c r="E2543" s="4">
        <v>3213000000</v>
      </c>
      <c r="F2543" s="4" t="str">
        <f>_xlfn.LET(_xlpm.r, _xlfn.XLOOKUP(Clean_Data[[#This Row],[Country_Code]], Metadata_Country!$A:$A, Metadata_Country!$B:$B, "Unknown"), IF(OR(_xlpm.r=0, _xlpm.r=""), "Regional Aggregate", _xlpm.r))</f>
        <v>Regional Aggregate</v>
      </c>
      <c r="G2543" s="4" t="str">
        <f>_xlfn.LET(_xlpm.ig, _xlfn.XLOOKUP(Clean_Data[[#This Row],[Country_Code]], Metadata_Country!$A:$A, Metadata_Country!$C:$C, "Unknown"), IF(OR(_xlpm.ig=0, _xlpm.ig=""), "Regional Aggregate", _xlpm.ig))</f>
        <v>Regional Aggregate</v>
      </c>
      <c r="H2543" s="4">
        <f>Clean_Data[[#This Row],[Exports_TIV]] - Clean_Data[[#This Row],[Imports_TIV]]</f>
        <v>3306000000</v>
      </c>
      <c r="I2543" s="4">
        <f>Clean_Data[[#This Row],[Exports_TIV]] + Clean_Data[[#This Row],[Imports_TIV]]</f>
        <v>9732000000</v>
      </c>
    </row>
    <row r="2544" spans="1:9">
      <c r="A2544" s="4" t="s">
        <v>139</v>
      </c>
      <c r="B2544" s="4" t="s">
        <v>140</v>
      </c>
      <c r="C2544" s="5">
        <v>2009</v>
      </c>
      <c r="D2544" s="4">
        <v>14299000000</v>
      </c>
      <c r="E2544" s="4">
        <v>5717000000</v>
      </c>
      <c r="F2544" s="4" t="str">
        <f>_xlfn.LET(_xlpm.r, _xlfn.XLOOKUP(Clean_Data[[#This Row],[Country_Code]], Metadata_Country!$A:$A, Metadata_Country!$B:$B, "Unknown"), IF(OR(_xlpm.r=0, _xlpm.r=""), "Regional Aggregate", _xlpm.r))</f>
        <v>Regional Aggregate</v>
      </c>
      <c r="G2544" s="4" t="str">
        <f>_xlfn.LET(_xlpm.ig, _xlfn.XLOOKUP(Clean_Data[[#This Row],[Country_Code]], Metadata_Country!$A:$A, Metadata_Country!$C:$C, "Unknown"), IF(OR(_xlpm.ig=0, _xlpm.ig=""), "Regional Aggregate", _xlpm.ig))</f>
        <v>Regional Aggregate</v>
      </c>
      <c r="H2544" s="4">
        <f>Clean_Data[[#This Row],[Exports_TIV]] - Clean_Data[[#This Row],[Imports_TIV]]</f>
        <v>8582000000</v>
      </c>
      <c r="I2544" s="4">
        <f>Clean_Data[[#This Row],[Exports_TIV]] + Clean_Data[[#This Row],[Imports_TIV]]</f>
        <v>20016000000</v>
      </c>
    </row>
    <row r="2545" spans="1:9">
      <c r="A2545" s="4" t="s">
        <v>137</v>
      </c>
      <c r="B2545" s="4" t="s">
        <v>138</v>
      </c>
      <c r="C2545" s="5">
        <v>2009</v>
      </c>
      <c r="D2545" s="4">
        <v>792000000</v>
      </c>
      <c r="E2545" s="4">
        <v>1079000000</v>
      </c>
      <c r="F2545" s="4" t="str">
        <f>_xlfn.LET(_xlpm.r, _xlfn.XLOOKUP(Clean_Data[[#This Row],[Country_Code]], Metadata_Country!$A:$A, Metadata_Country!$B:$B, "Unknown"), IF(OR(_xlpm.r=0, _xlpm.r=""), "Regional Aggregate", _xlpm.r))</f>
        <v>Regional Aggregate</v>
      </c>
      <c r="G2545" s="4" t="str">
        <f>_xlfn.LET(_xlpm.ig, _xlfn.XLOOKUP(Clean_Data[[#This Row],[Country_Code]], Metadata_Country!$A:$A, Metadata_Country!$C:$C, "Unknown"), IF(OR(_xlpm.ig=0, _xlpm.ig=""), "Regional Aggregate", _xlpm.ig))</f>
        <v>Regional Aggregate</v>
      </c>
      <c r="H2545" s="4">
        <f>Clean_Data[[#This Row],[Exports_TIV]] - Clean_Data[[#This Row],[Imports_TIV]]</f>
        <v>-287000000</v>
      </c>
      <c r="I2545" s="4">
        <f>Clean_Data[[#This Row],[Exports_TIV]] + Clean_Data[[#This Row],[Imports_TIV]]</f>
        <v>1871000000</v>
      </c>
    </row>
    <row r="2546" spans="1:9">
      <c r="A2546" s="4" t="s">
        <v>471</v>
      </c>
      <c r="B2546" s="4" t="s">
        <v>472</v>
      </c>
      <c r="C2546" s="5">
        <v>2009</v>
      </c>
      <c r="D2546" s="4">
        <v>6011000000</v>
      </c>
      <c r="E2546" s="4">
        <v>1462000000</v>
      </c>
      <c r="F2546" s="4" t="str">
        <f>_xlfn.LET(_xlpm.r, _xlfn.XLOOKUP(Clean_Data[[#This Row],[Country_Code]], Metadata_Country!$A:$A, Metadata_Country!$B:$B, "Unknown"), IF(OR(_xlpm.r=0, _xlpm.r=""), "Regional Aggregate", _xlpm.r))</f>
        <v>Regional Aggregate</v>
      </c>
      <c r="G2546" s="4" t="str">
        <f>_xlfn.LET(_xlpm.ig, _xlfn.XLOOKUP(Clean_Data[[#This Row],[Country_Code]], Metadata_Country!$A:$A, Metadata_Country!$C:$C, "Unknown"), IF(OR(_xlpm.ig=0, _xlpm.ig=""), "Regional Aggregate", _xlpm.ig))</f>
        <v>Regional Aggregate</v>
      </c>
      <c r="H2546" s="4">
        <f>Clean_Data[[#This Row],[Exports_TIV]] - Clean_Data[[#This Row],[Imports_TIV]]</f>
        <v>4549000000</v>
      </c>
      <c r="I2546" s="4">
        <f>Clean_Data[[#This Row],[Exports_TIV]] + Clean_Data[[#This Row],[Imports_TIV]]</f>
        <v>7473000000</v>
      </c>
    </row>
    <row r="2547" spans="1:9">
      <c r="A2547" s="4" t="s">
        <v>155</v>
      </c>
      <c r="B2547" s="4" t="s">
        <v>156</v>
      </c>
      <c r="C2547" s="5">
        <v>2009</v>
      </c>
      <c r="D2547" s="4">
        <v>7019000000</v>
      </c>
      <c r="E2547" s="4">
        <v>3644000000</v>
      </c>
      <c r="F2547" s="4" t="str">
        <f>_xlfn.LET(_xlpm.r, _xlfn.XLOOKUP(Clean_Data[[#This Row],[Country_Code]], Metadata_Country!$A:$A, Metadata_Country!$B:$B, "Unknown"), IF(OR(_xlpm.r=0, _xlpm.r=""), "Regional Aggregate", _xlpm.r))</f>
        <v>Regional Aggregate</v>
      </c>
      <c r="G2547" s="4" t="str">
        <f>_xlfn.LET(_xlpm.ig, _xlfn.XLOOKUP(Clean_Data[[#This Row],[Country_Code]], Metadata_Country!$A:$A, Metadata_Country!$C:$C, "Unknown"), IF(OR(_xlpm.ig=0, _xlpm.ig=""), "Regional Aggregate", _xlpm.ig))</f>
        <v>Regional Aggregate</v>
      </c>
      <c r="H2547" s="4">
        <f>Clean_Data[[#This Row],[Exports_TIV]] - Clean_Data[[#This Row],[Imports_TIV]]</f>
        <v>3375000000</v>
      </c>
      <c r="I2547" s="4">
        <f>Clean_Data[[#This Row],[Exports_TIV]] + Clean_Data[[#This Row],[Imports_TIV]]</f>
        <v>10663000000</v>
      </c>
    </row>
    <row r="2548" spans="1:9">
      <c r="A2548" s="4" t="s">
        <v>159</v>
      </c>
      <c r="B2548" s="4" t="s">
        <v>160</v>
      </c>
      <c r="C2548" s="5">
        <v>2009</v>
      </c>
      <c r="D2548" s="4">
        <v>68000000</v>
      </c>
      <c r="E2548" s="4">
        <v>37000000</v>
      </c>
      <c r="F2548" s="4" t="str">
        <f>_xlfn.LET(_xlpm.r, _xlfn.XLOOKUP(Clean_Data[[#This Row],[Country_Code]], Metadata_Country!$A:$A, Metadata_Country!$B:$B, "Unknown"), IF(OR(_xlpm.r=0, _xlpm.r=""), "Regional Aggregate", _xlpm.r))</f>
        <v>Europe &amp; Central Asia</v>
      </c>
      <c r="G2548" s="4" t="str">
        <f>_xlfn.LET(_xlpm.ig, _xlfn.XLOOKUP(Clean_Data[[#This Row],[Country_Code]], Metadata_Country!$A:$A, Metadata_Country!$C:$C, "Unknown"), IF(OR(_xlpm.ig=0, _xlpm.ig=""), "Regional Aggregate", _xlpm.ig))</f>
        <v>High income</v>
      </c>
      <c r="H2548" s="4">
        <f>Clean_Data[[#This Row],[Exports_TIV]] - Clean_Data[[#This Row],[Imports_TIV]]</f>
        <v>31000000</v>
      </c>
      <c r="I2548" s="4">
        <f>Clean_Data[[#This Row],[Exports_TIV]] + Clean_Data[[#This Row],[Imports_TIV]]</f>
        <v>105000000</v>
      </c>
    </row>
    <row r="2549" spans="1:9">
      <c r="A2549" s="4" t="s">
        <v>157</v>
      </c>
      <c r="B2549" s="4" t="s">
        <v>158</v>
      </c>
      <c r="C2549" s="5">
        <v>2009</v>
      </c>
      <c r="D2549" s="4">
        <v>0</v>
      </c>
      <c r="E2549" s="4">
        <v>1465000000</v>
      </c>
      <c r="F2549" s="4" t="str">
        <f>_xlfn.LET(_xlpm.r, _xlfn.XLOOKUP(Clean_Data[[#This Row],[Country_Code]], Metadata_Country!$A:$A, Metadata_Country!$B:$B, "Unknown"), IF(OR(_xlpm.r=0, _xlpm.r=""), "Regional Aggregate", _xlpm.r))</f>
        <v>Regional Aggregate</v>
      </c>
      <c r="G2549" s="4" t="str">
        <f>_xlfn.LET(_xlpm.ig, _xlfn.XLOOKUP(Clean_Data[[#This Row],[Country_Code]], Metadata_Country!$A:$A, Metadata_Country!$C:$C, "Unknown"), IF(OR(_xlpm.ig=0, _xlpm.ig=""), "Regional Aggregate", _xlpm.ig))</f>
        <v>Regional Aggregate</v>
      </c>
      <c r="H2549" s="4">
        <f>Clean_Data[[#This Row],[Exports_TIV]] - Clean_Data[[#This Row],[Imports_TIV]]</f>
        <v>-1465000000</v>
      </c>
      <c r="I2549" s="4">
        <f>Clean_Data[[#This Row],[Exports_TIV]] + Clean_Data[[#This Row],[Imports_TIV]]</f>
        <v>1465000000</v>
      </c>
    </row>
    <row r="2550" spans="1:9">
      <c r="A2550" s="4" t="s">
        <v>163</v>
      </c>
      <c r="B2550" s="4" t="s">
        <v>164</v>
      </c>
      <c r="C2550" s="5">
        <v>2009</v>
      </c>
      <c r="D2550" s="4">
        <v>1845000000</v>
      </c>
      <c r="E2550" s="4">
        <v>72000000</v>
      </c>
      <c r="F2550" s="4" t="str">
        <f>_xlfn.LET(_xlpm.r, _xlfn.XLOOKUP(Clean_Data[[#This Row],[Country_Code]], Metadata_Country!$A:$A, Metadata_Country!$B:$B, "Unknown"), IF(OR(_xlpm.r=0, _xlpm.r=""), "Regional Aggregate", _xlpm.r))</f>
        <v>Europe &amp; Central Asia</v>
      </c>
      <c r="G2550" s="4" t="str">
        <f>_xlfn.LET(_xlpm.ig, _xlfn.XLOOKUP(Clean_Data[[#This Row],[Country_Code]], Metadata_Country!$A:$A, Metadata_Country!$C:$C, "Unknown"), IF(OR(_xlpm.ig=0, _xlpm.ig=""), "Regional Aggregate", _xlpm.ig))</f>
        <v>High income</v>
      </c>
      <c r="H2550" s="4">
        <f>Clean_Data[[#This Row],[Exports_TIV]] - Clean_Data[[#This Row],[Imports_TIV]]</f>
        <v>1773000000</v>
      </c>
      <c r="I2550" s="4">
        <f>Clean_Data[[#This Row],[Exports_TIV]] + Clean_Data[[#This Row],[Imports_TIV]]</f>
        <v>1917000000</v>
      </c>
    </row>
    <row r="2551" spans="1:9">
      <c r="A2551" s="4" t="s">
        <v>181</v>
      </c>
      <c r="B2551" s="4" t="s">
        <v>182</v>
      </c>
      <c r="C2551" s="5">
        <v>2009</v>
      </c>
      <c r="D2551" s="4">
        <v>0</v>
      </c>
      <c r="E2551" s="4">
        <v>16000000</v>
      </c>
      <c r="F2551" s="4" t="str">
        <f>_xlfn.LET(_xlpm.r, _xlfn.XLOOKUP(Clean_Data[[#This Row],[Country_Code]], Metadata_Country!$A:$A, Metadata_Country!$B:$B, "Unknown"), IF(OR(_xlpm.r=0, _xlpm.r=""), "Regional Aggregate", _xlpm.r))</f>
        <v>Sub-Saharan Africa</v>
      </c>
      <c r="G2551" s="4" t="str">
        <f>_xlfn.LET(_xlpm.ig, _xlfn.XLOOKUP(Clean_Data[[#This Row],[Country_Code]], Metadata_Country!$A:$A, Metadata_Country!$C:$C, "Unknown"), IF(OR(_xlpm.ig=0, _xlpm.ig=""), "Regional Aggregate", _xlpm.ig))</f>
        <v>Low income</v>
      </c>
      <c r="H2551" s="4">
        <f>Clean_Data[[#This Row],[Exports_TIV]] - Clean_Data[[#This Row],[Imports_TIV]]</f>
        <v>-16000000</v>
      </c>
      <c r="I2551" s="4">
        <f>Clean_Data[[#This Row],[Exports_TIV]] + Clean_Data[[#This Row],[Imports_TIV]]</f>
        <v>16000000</v>
      </c>
    </row>
    <row r="2552" spans="1:9">
      <c r="A2552" s="4" t="s">
        <v>173</v>
      </c>
      <c r="B2552" s="4" t="s">
        <v>174</v>
      </c>
      <c r="C2552" s="5">
        <v>2009</v>
      </c>
      <c r="D2552" s="4">
        <v>0</v>
      </c>
      <c r="E2552" s="4">
        <v>38000000</v>
      </c>
      <c r="F2552" s="4" t="str">
        <f>_xlfn.LET(_xlpm.r, _xlfn.XLOOKUP(Clean_Data[[#This Row],[Country_Code]], Metadata_Country!$A:$A, Metadata_Country!$B:$B, "Unknown"), IF(OR(_xlpm.r=0, _xlpm.r=""), "Regional Aggregate", _xlpm.r))</f>
        <v>Europe &amp; Central Asia</v>
      </c>
      <c r="G2552" s="4" t="str">
        <f>_xlfn.LET(_xlpm.ig, _xlfn.XLOOKUP(Clean_Data[[#This Row],[Country_Code]], Metadata_Country!$A:$A, Metadata_Country!$C:$C, "Unknown"), IF(OR(_xlpm.ig=0, _xlpm.ig=""), "Regional Aggregate", _xlpm.ig))</f>
        <v>Upper middle income</v>
      </c>
      <c r="H2552" s="4">
        <f>Clean_Data[[#This Row],[Exports_TIV]] - Clean_Data[[#This Row],[Imports_TIV]]</f>
        <v>-38000000</v>
      </c>
      <c r="I2552" s="4">
        <f>Clean_Data[[#This Row],[Exports_TIV]] + Clean_Data[[#This Row],[Imports_TIV]]</f>
        <v>38000000</v>
      </c>
    </row>
    <row r="2553" spans="1:9">
      <c r="A2553" s="4" t="s">
        <v>119</v>
      </c>
      <c r="B2553" s="4" t="s">
        <v>120</v>
      </c>
      <c r="C2553" s="5">
        <v>2009</v>
      </c>
      <c r="D2553" s="4">
        <v>2207000000</v>
      </c>
      <c r="E2553" s="4">
        <v>329000000</v>
      </c>
      <c r="F2553" s="4" t="str">
        <f>_xlfn.LET(_xlpm.r, _xlfn.XLOOKUP(Clean_Data[[#This Row],[Country_Code]], Metadata_Country!$A:$A, Metadata_Country!$B:$B, "Unknown"), IF(OR(_xlpm.r=0, _xlpm.r=""), "Regional Aggregate", _xlpm.r))</f>
        <v>Europe &amp; Central Asia</v>
      </c>
      <c r="G2553" s="4" t="str">
        <f>_xlfn.LET(_xlpm.ig, _xlfn.XLOOKUP(Clean_Data[[#This Row],[Country_Code]], Metadata_Country!$A:$A, Metadata_Country!$C:$C, "Unknown"), IF(OR(_xlpm.ig=0, _xlpm.ig=""), "Regional Aggregate", _xlpm.ig))</f>
        <v>High income</v>
      </c>
      <c r="H2553" s="4">
        <f>Clean_Data[[#This Row],[Exports_TIV]] - Clean_Data[[#This Row],[Imports_TIV]]</f>
        <v>1878000000</v>
      </c>
      <c r="I2553" s="4">
        <f>Clean_Data[[#This Row],[Exports_TIV]] + Clean_Data[[#This Row],[Imports_TIV]]</f>
        <v>2536000000</v>
      </c>
    </row>
    <row r="2554" spans="1:9">
      <c r="A2554" s="4" t="s">
        <v>175</v>
      </c>
      <c r="B2554" s="4" t="s">
        <v>176</v>
      </c>
      <c r="C2554" s="5">
        <v>2009</v>
      </c>
      <c r="D2554" s="4">
        <v>0</v>
      </c>
      <c r="E2554" s="4">
        <v>6000000</v>
      </c>
      <c r="F2554" s="4" t="str">
        <f>_xlfn.LET(_xlpm.r, _xlfn.XLOOKUP(Clean_Data[[#This Row],[Country_Code]], Metadata_Country!$A:$A, Metadata_Country!$B:$B, "Unknown"), IF(OR(_xlpm.r=0, _xlpm.r=""), "Regional Aggregate", _xlpm.r))</f>
        <v>Sub-Saharan Africa</v>
      </c>
      <c r="G2554" s="4" t="str">
        <f>_xlfn.LET(_xlpm.ig, _xlfn.XLOOKUP(Clean_Data[[#This Row],[Country_Code]], Metadata_Country!$A:$A, Metadata_Country!$C:$C, "Unknown"), IF(OR(_xlpm.ig=0, _xlpm.ig=""), "Regional Aggregate", _xlpm.ig))</f>
        <v>Lower middle income</v>
      </c>
      <c r="H2554" s="4">
        <f>Clean_Data[[#This Row],[Exports_TIV]] - Clean_Data[[#This Row],[Imports_TIV]]</f>
        <v>-6000000</v>
      </c>
      <c r="I2554" s="4">
        <f>Clean_Data[[#This Row],[Exports_TIV]] + Clean_Data[[#This Row],[Imports_TIV]]</f>
        <v>6000000</v>
      </c>
    </row>
    <row r="2555" spans="1:9">
      <c r="A2555" s="4" t="s">
        <v>187</v>
      </c>
      <c r="B2555" s="4" t="s">
        <v>188</v>
      </c>
      <c r="C2555" s="5">
        <v>2009</v>
      </c>
      <c r="D2555" s="4">
        <v>0</v>
      </c>
      <c r="E2555" s="4">
        <v>1216000000</v>
      </c>
      <c r="F2555" s="4" t="str">
        <f>_xlfn.LET(_xlpm.r, _xlfn.XLOOKUP(Clean_Data[[#This Row],[Country_Code]], Metadata_Country!$A:$A, Metadata_Country!$B:$B, "Unknown"), IF(OR(_xlpm.r=0, _xlpm.r=""), "Regional Aggregate", _xlpm.r))</f>
        <v>Europe &amp; Central Asia</v>
      </c>
      <c r="G2555" s="4" t="str">
        <f>_xlfn.LET(_xlpm.ig, _xlfn.XLOOKUP(Clean_Data[[#This Row],[Country_Code]], Metadata_Country!$A:$A, Metadata_Country!$C:$C, "Unknown"), IF(OR(_xlpm.ig=0, _xlpm.ig=""), "Regional Aggregate", _xlpm.ig))</f>
        <v>High income</v>
      </c>
      <c r="H2555" s="4">
        <f>Clean_Data[[#This Row],[Exports_TIV]] - Clean_Data[[#This Row],[Imports_TIV]]</f>
        <v>-1216000000</v>
      </c>
      <c r="I2555" s="4">
        <f>Clean_Data[[#This Row],[Exports_TIV]] + Clean_Data[[#This Row],[Imports_TIV]]</f>
        <v>1216000000</v>
      </c>
    </row>
    <row r="2556" spans="1:9">
      <c r="A2556" s="4" t="s">
        <v>199</v>
      </c>
      <c r="B2556" s="4" t="s">
        <v>200</v>
      </c>
      <c r="C2556" s="5">
        <v>2009</v>
      </c>
      <c r="D2556" s="4">
        <v>22073000000</v>
      </c>
      <c r="E2556" s="4">
        <v>12154000000</v>
      </c>
      <c r="F2556" s="4" t="str">
        <f>_xlfn.LET(_xlpm.r, _xlfn.XLOOKUP(Clean_Data[[#This Row],[Country_Code]], Metadata_Country!$A:$A, Metadata_Country!$B:$B, "Unknown"), IF(OR(_xlpm.r=0, _xlpm.r=""), "Regional Aggregate", _xlpm.r))</f>
        <v>Regional Aggregate</v>
      </c>
      <c r="G2556" s="4" t="str">
        <f>_xlfn.LET(_xlpm.ig, _xlfn.XLOOKUP(Clean_Data[[#This Row],[Country_Code]], Metadata_Country!$A:$A, Metadata_Country!$C:$C, "Unknown"), IF(OR(_xlpm.ig=0, _xlpm.ig=""), "Regional Aggregate", _xlpm.ig))</f>
        <v>Regional Aggregate</v>
      </c>
      <c r="H2556" s="4">
        <f>Clean_Data[[#This Row],[Exports_TIV]] - Clean_Data[[#This Row],[Imports_TIV]]</f>
        <v>9919000000</v>
      </c>
      <c r="I2556" s="4">
        <f>Clean_Data[[#This Row],[Exports_TIV]] + Clean_Data[[#This Row],[Imports_TIV]]</f>
        <v>34227000000</v>
      </c>
    </row>
    <row r="2557" spans="1:9">
      <c r="A2557" s="4" t="s">
        <v>211</v>
      </c>
      <c r="B2557" s="4" t="s">
        <v>212</v>
      </c>
      <c r="C2557" s="5">
        <v>2009</v>
      </c>
      <c r="D2557" s="4">
        <v>0</v>
      </c>
      <c r="E2557" s="4">
        <v>4000000</v>
      </c>
      <c r="F2557" s="4" t="str">
        <f>_xlfn.LET(_xlpm.r, _xlfn.XLOOKUP(Clean_Data[[#This Row],[Country_Code]], Metadata_Country!$A:$A, Metadata_Country!$B:$B, "Unknown"), IF(OR(_xlpm.r=0, _xlpm.r=""), "Regional Aggregate", _xlpm.r))</f>
        <v>Europe &amp; Central Asia</v>
      </c>
      <c r="G2557" s="4" t="str">
        <f>_xlfn.LET(_xlpm.ig, _xlfn.XLOOKUP(Clean_Data[[#This Row],[Country_Code]], Metadata_Country!$A:$A, Metadata_Country!$C:$C, "Unknown"), IF(OR(_xlpm.ig=0, _xlpm.ig=""), "Regional Aggregate", _xlpm.ig))</f>
        <v>High income</v>
      </c>
      <c r="H2557" s="4">
        <f>Clean_Data[[#This Row],[Exports_TIV]] - Clean_Data[[#This Row],[Imports_TIV]]</f>
        <v>-4000000</v>
      </c>
      <c r="I2557" s="4">
        <f>Clean_Data[[#This Row],[Exports_TIV]] + Clean_Data[[#This Row],[Imports_TIV]]</f>
        <v>4000000</v>
      </c>
    </row>
    <row r="2558" spans="1:9">
      <c r="A2558" s="4" t="s">
        <v>213</v>
      </c>
      <c r="B2558" s="4" t="s">
        <v>214</v>
      </c>
      <c r="C2558" s="5">
        <v>2009</v>
      </c>
      <c r="D2558" s="4">
        <v>0</v>
      </c>
      <c r="E2558" s="4">
        <v>10235000000</v>
      </c>
      <c r="F2558" s="4" t="str">
        <f>_xlfn.LET(_xlpm.r, _xlfn.XLOOKUP(Clean_Data[[#This Row],[Country_Code]], Metadata_Country!$A:$A, Metadata_Country!$B:$B, "Unknown"), IF(OR(_xlpm.r=0, _xlpm.r=""), "Regional Aggregate", _xlpm.r))</f>
        <v>Regional Aggregate</v>
      </c>
      <c r="G2558" s="4" t="str">
        <f>_xlfn.LET(_xlpm.ig, _xlfn.XLOOKUP(Clean_Data[[#This Row],[Country_Code]], Metadata_Country!$A:$A, Metadata_Country!$C:$C, "Unknown"), IF(OR(_xlpm.ig=0, _xlpm.ig=""), "Regional Aggregate", _xlpm.ig))</f>
        <v>Regional Aggregate</v>
      </c>
      <c r="H2558" s="4">
        <f>Clean_Data[[#This Row],[Exports_TIV]] - Clean_Data[[#This Row],[Imports_TIV]]</f>
        <v>-10235000000</v>
      </c>
      <c r="I2558" s="4">
        <f>Clean_Data[[#This Row],[Exports_TIV]] + Clean_Data[[#This Row],[Imports_TIV]]</f>
        <v>10235000000</v>
      </c>
    </row>
    <row r="2559" spans="1:9">
      <c r="A2559" s="4" t="s">
        <v>215</v>
      </c>
      <c r="B2559" s="4" t="s">
        <v>216</v>
      </c>
      <c r="C2559" s="5">
        <v>2009</v>
      </c>
      <c r="D2559" s="4">
        <v>0</v>
      </c>
      <c r="E2559" s="4">
        <v>12571000000</v>
      </c>
      <c r="F2559" s="4" t="str">
        <f>_xlfn.LET(_xlpm.r, _xlfn.XLOOKUP(Clean_Data[[#This Row],[Country_Code]], Metadata_Country!$A:$A, Metadata_Country!$B:$B, "Unknown"), IF(OR(_xlpm.r=0, _xlpm.r=""), "Regional Aggregate", _xlpm.r))</f>
        <v>Regional Aggregate</v>
      </c>
      <c r="G2559" s="4" t="str">
        <f>_xlfn.LET(_xlpm.ig, _xlfn.XLOOKUP(Clean_Data[[#This Row],[Country_Code]], Metadata_Country!$A:$A, Metadata_Country!$C:$C, "Unknown"), IF(OR(_xlpm.ig=0, _xlpm.ig=""), "Regional Aggregate", _xlpm.ig))</f>
        <v>Regional Aggregate</v>
      </c>
      <c r="H2559" s="4">
        <f>Clean_Data[[#This Row],[Exports_TIV]] - Clean_Data[[#This Row],[Imports_TIV]]</f>
        <v>-12571000000</v>
      </c>
      <c r="I2559" s="4">
        <f>Clean_Data[[#This Row],[Exports_TIV]] + Clean_Data[[#This Row],[Imports_TIV]]</f>
        <v>12571000000</v>
      </c>
    </row>
    <row r="2560" spans="1:9">
      <c r="A2560" s="4" t="s">
        <v>219</v>
      </c>
      <c r="B2560" s="4" t="s">
        <v>220</v>
      </c>
      <c r="C2560" s="5">
        <v>2009</v>
      </c>
      <c r="D2560" s="4">
        <v>0</v>
      </c>
      <c r="E2560" s="4">
        <v>1300000000</v>
      </c>
      <c r="F2560" s="4" t="str">
        <f>_xlfn.LET(_xlpm.r, _xlfn.XLOOKUP(Clean_Data[[#This Row],[Country_Code]], Metadata_Country!$A:$A, Metadata_Country!$B:$B, "Unknown"), IF(OR(_xlpm.r=0, _xlpm.r=""), "Regional Aggregate", _xlpm.r))</f>
        <v>Regional Aggregate</v>
      </c>
      <c r="G2560" s="4" t="str">
        <f>_xlfn.LET(_xlpm.ig, _xlfn.XLOOKUP(Clean_Data[[#This Row],[Country_Code]], Metadata_Country!$A:$A, Metadata_Country!$C:$C, "Unknown"), IF(OR(_xlpm.ig=0, _xlpm.ig=""), "Regional Aggregate", _xlpm.ig))</f>
        <v>Regional Aggregate</v>
      </c>
      <c r="H2560" s="4">
        <f>Clean_Data[[#This Row],[Exports_TIV]] - Clean_Data[[#This Row],[Imports_TIV]]</f>
        <v>-1300000000</v>
      </c>
      <c r="I2560" s="4">
        <f>Clean_Data[[#This Row],[Exports_TIV]] + Clean_Data[[#This Row],[Imports_TIV]]</f>
        <v>1300000000</v>
      </c>
    </row>
    <row r="2561" spans="1:9">
      <c r="A2561" s="4" t="s">
        <v>227</v>
      </c>
      <c r="B2561" s="4" t="s">
        <v>228</v>
      </c>
      <c r="C2561" s="5">
        <v>2009</v>
      </c>
      <c r="D2561" s="4">
        <v>27000000</v>
      </c>
      <c r="E2561" s="4">
        <v>1958000000</v>
      </c>
      <c r="F2561" s="4" t="str">
        <f>_xlfn.LET(_xlpm.r, _xlfn.XLOOKUP(Clean_Data[[#This Row],[Country_Code]], Metadata_Country!$A:$A, Metadata_Country!$B:$B, "Unknown"), IF(OR(_xlpm.r=0, _xlpm.r=""), "Regional Aggregate", _xlpm.r))</f>
        <v>South Asia</v>
      </c>
      <c r="G2561" s="4" t="str">
        <f>_xlfn.LET(_xlpm.ig, _xlfn.XLOOKUP(Clean_Data[[#This Row],[Country_Code]], Metadata_Country!$A:$A, Metadata_Country!$C:$C, "Unknown"), IF(OR(_xlpm.ig=0, _xlpm.ig=""), "Regional Aggregate", _xlpm.ig))</f>
        <v>Lower middle income</v>
      </c>
      <c r="H2561" s="4">
        <f>Clean_Data[[#This Row],[Exports_TIV]] - Clean_Data[[#This Row],[Imports_TIV]]</f>
        <v>-1931000000</v>
      </c>
      <c r="I2561" s="4">
        <f>Clean_Data[[#This Row],[Exports_TIV]] + Clean_Data[[#This Row],[Imports_TIV]]</f>
        <v>1985000000</v>
      </c>
    </row>
    <row r="2562" spans="1:9">
      <c r="A2562" s="4" t="s">
        <v>221</v>
      </c>
      <c r="B2562" s="4" t="s">
        <v>222</v>
      </c>
      <c r="C2562" s="5">
        <v>2009</v>
      </c>
      <c r="D2562" s="4">
        <v>0</v>
      </c>
      <c r="E2562" s="4">
        <v>443000000</v>
      </c>
      <c r="F2562" s="4" t="str">
        <f>_xlfn.LET(_xlpm.r, _xlfn.XLOOKUP(Clean_Data[[#This Row],[Country_Code]], Metadata_Country!$A:$A, Metadata_Country!$B:$B, "Unknown"), IF(OR(_xlpm.r=0, _xlpm.r=""), "Regional Aggregate", _xlpm.r))</f>
        <v>East Asia &amp; Pacific</v>
      </c>
      <c r="G2562" s="4" t="str">
        <f>_xlfn.LET(_xlpm.ig, _xlfn.XLOOKUP(Clean_Data[[#This Row],[Country_Code]], Metadata_Country!$A:$A, Metadata_Country!$C:$C, "Unknown"), IF(OR(_xlpm.ig=0, _xlpm.ig=""), "Regional Aggregate", _xlpm.ig))</f>
        <v>Upper middle income</v>
      </c>
      <c r="H2562" s="4">
        <f>Clean_Data[[#This Row],[Exports_TIV]] - Clean_Data[[#This Row],[Imports_TIV]]</f>
        <v>-443000000</v>
      </c>
      <c r="I2562" s="4">
        <f>Clean_Data[[#This Row],[Exports_TIV]] + Clean_Data[[#This Row],[Imports_TIV]]</f>
        <v>443000000</v>
      </c>
    </row>
    <row r="2563" spans="1:9">
      <c r="A2563" s="4" t="s">
        <v>233</v>
      </c>
      <c r="B2563" s="4" t="s">
        <v>234</v>
      </c>
      <c r="C2563" s="5">
        <v>2009</v>
      </c>
      <c r="D2563" s="4">
        <v>99000000</v>
      </c>
      <c r="E2563" s="4">
        <v>92000000</v>
      </c>
      <c r="F2563" s="4" t="str">
        <f>_xlfn.LET(_xlpm.r, _xlfn.XLOOKUP(Clean_Data[[#This Row],[Country_Code]], Metadata_Country!$A:$A, Metadata_Country!$B:$B, "Unknown"), IF(OR(_xlpm.r=0, _xlpm.r=""), "Regional Aggregate", _xlpm.r))</f>
        <v>Middle East &amp; North Africa</v>
      </c>
      <c r="G2563" s="4" t="str">
        <f>_xlfn.LET(_xlpm.ig, _xlfn.XLOOKUP(Clean_Data[[#This Row],[Country_Code]], Metadata_Country!$A:$A, Metadata_Country!$C:$C, "Unknown"), IF(OR(_xlpm.ig=0, _xlpm.ig=""), "Regional Aggregate", _xlpm.ig))</f>
        <v>Upper middle income</v>
      </c>
      <c r="H2563" s="4">
        <f>Clean_Data[[#This Row],[Exports_TIV]] - Clean_Data[[#This Row],[Imports_TIV]]</f>
        <v>7000000</v>
      </c>
      <c r="I2563" s="4">
        <f>Clean_Data[[#This Row],[Exports_TIV]] + Clean_Data[[#This Row],[Imports_TIV]]</f>
        <v>191000000</v>
      </c>
    </row>
    <row r="2564" spans="1:9">
      <c r="A2564" s="4" t="s">
        <v>235</v>
      </c>
      <c r="B2564" s="4" t="s">
        <v>236</v>
      </c>
      <c r="C2564" s="5">
        <v>2009</v>
      </c>
      <c r="D2564" s="4">
        <v>0</v>
      </c>
      <c r="E2564" s="4">
        <v>418000000</v>
      </c>
      <c r="F2564" s="4" t="str">
        <f>_xlfn.LET(_xlpm.r, _xlfn.XLOOKUP(Clean_Data[[#This Row],[Country_Code]], Metadata_Country!$A:$A, Metadata_Country!$B:$B, "Unknown"), IF(OR(_xlpm.r=0, _xlpm.r=""), "Regional Aggregate", _xlpm.r))</f>
        <v>Middle East &amp; North Africa</v>
      </c>
      <c r="G2564" s="4" t="str">
        <f>_xlfn.LET(_xlpm.ig, _xlfn.XLOOKUP(Clean_Data[[#This Row],[Country_Code]], Metadata_Country!$A:$A, Metadata_Country!$C:$C, "Unknown"), IF(OR(_xlpm.ig=0, _xlpm.ig=""), "Regional Aggregate", _xlpm.ig))</f>
        <v>Upper middle income</v>
      </c>
      <c r="H2564" s="4">
        <f>Clean_Data[[#This Row],[Exports_TIV]] - Clean_Data[[#This Row],[Imports_TIV]]</f>
        <v>-418000000</v>
      </c>
      <c r="I2564" s="4">
        <f>Clean_Data[[#This Row],[Exports_TIV]] + Clean_Data[[#This Row],[Imports_TIV]]</f>
        <v>418000000</v>
      </c>
    </row>
    <row r="2565" spans="1:9">
      <c r="A2565" s="4" t="s">
        <v>231</v>
      </c>
      <c r="B2565" s="4" t="s">
        <v>232</v>
      </c>
      <c r="C2565" s="5">
        <v>2009</v>
      </c>
      <c r="D2565" s="4">
        <v>45000000</v>
      </c>
      <c r="E2565" s="4">
        <v>0</v>
      </c>
      <c r="F2565" s="4" t="str">
        <f>_xlfn.LET(_xlpm.r, _xlfn.XLOOKUP(Clean_Data[[#This Row],[Country_Code]], Metadata_Country!$A:$A, Metadata_Country!$B:$B, "Unknown"), IF(OR(_xlpm.r=0, _xlpm.r=""), "Regional Aggregate", _xlpm.r))</f>
        <v>Europe &amp; Central Asia</v>
      </c>
      <c r="G2565" s="4" t="str">
        <f>_xlfn.LET(_xlpm.ig, _xlfn.XLOOKUP(Clean_Data[[#This Row],[Country_Code]], Metadata_Country!$A:$A, Metadata_Country!$C:$C, "Unknown"), IF(OR(_xlpm.ig=0, _xlpm.ig=""), "Regional Aggregate", _xlpm.ig))</f>
        <v>High income</v>
      </c>
      <c r="H2565" s="4">
        <f>Clean_Data[[#This Row],[Exports_TIV]] - Clean_Data[[#This Row],[Imports_TIV]]</f>
        <v>45000000</v>
      </c>
      <c r="I2565" s="4">
        <f>Clean_Data[[#This Row],[Exports_TIV]] + Clean_Data[[#This Row],[Imports_TIV]]</f>
        <v>45000000</v>
      </c>
    </row>
    <row r="2566" spans="1:9">
      <c r="A2566" s="4" t="s">
        <v>239</v>
      </c>
      <c r="B2566" s="4" t="s">
        <v>240</v>
      </c>
      <c r="C2566" s="5">
        <v>2009</v>
      </c>
      <c r="D2566" s="4">
        <v>819000000</v>
      </c>
      <c r="E2566" s="4">
        <v>162000000</v>
      </c>
      <c r="F2566" s="4" t="str">
        <f>_xlfn.LET(_xlpm.r, _xlfn.XLOOKUP(Clean_Data[[#This Row],[Country_Code]], Metadata_Country!$A:$A, Metadata_Country!$B:$B, "Unknown"), IF(OR(_xlpm.r=0, _xlpm.r=""), "Regional Aggregate", _xlpm.r))</f>
        <v>Middle East &amp; North Africa</v>
      </c>
      <c r="G2566" s="4" t="str">
        <f>_xlfn.LET(_xlpm.ig, _xlfn.XLOOKUP(Clean_Data[[#This Row],[Country_Code]], Metadata_Country!$A:$A, Metadata_Country!$C:$C, "Unknown"), IF(OR(_xlpm.ig=0, _xlpm.ig=""), "Regional Aggregate", _xlpm.ig))</f>
        <v>High income</v>
      </c>
      <c r="H2566" s="4">
        <f>Clean_Data[[#This Row],[Exports_TIV]] - Clean_Data[[#This Row],[Imports_TIV]]</f>
        <v>657000000</v>
      </c>
      <c r="I2566" s="4">
        <f>Clean_Data[[#This Row],[Exports_TIV]] + Clean_Data[[#This Row],[Imports_TIV]]</f>
        <v>981000000</v>
      </c>
    </row>
    <row r="2567" spans="1:9">
      <c r="A2567" s="4" t="s">
        <v>241</v>
      </c>
      <c r="B2567" s="4" t="s">
        <v>242</v>
      </c>
      <c r="C2567" s="5">
        <v>2009</v>
      </c>
      <c r="D2567" s="4">
        <v>512000000</v>
      </c>
      <c r="E2567" s="4">
        <v>94000000</v>
      </c>
      <c r="F2567" s="4" t="str">
        <f>_xlfn.LET(_xlpm.r, _xlfn.XLOOKUP(Clean_Data[[#This Row],[Country_Code]], Metadata_Country!$A:$A, Metadata_Country!$B:$B, "Unknown"), IF(OR(_xlpm.r=0, _xlpm.r=""), "Regional Aggregate", _xlpm.r))</f>
        <v>Europe &amp; Central Asia</v>
      </c>
      <c r="G2567" s="4" t="str">
        <f>_xlfn.LET(_xlpm.ig, _xlfn.XLOOKUP(Clean_Data[[#This Row],[Country_Code]], Metadata_Country!$A:$A, Metadata_Country!$C:$C, "Unknown"), IF(OR(_xlpm.ig=0, _xlpm.ig=""), "Regional Aggregate", _xlpm.ig))</f>
        <v>High income</v>
      </c>
      <c r="H2567" s="4">
        <f>Clean_Data[[#This Row],[Exports_TIV]] - Clean_Data[[#This Row],[Imports_TIV]]</f>
        <v>418000000</v>
      </c>
      <c r="I2567" s="4">
        <f>Clean_Data[[#This Row],[Exports_TIV]] + Clean_Data[[#This Row],[Imports_TIV]]</f>
        <v>606000000</v>
      </c>
    </row>
    <row r="2568" spans="1:9">
      <c r="A2568" s="4" t="s">
        <v>247</v>
      </c>
      <c r="B2568" s="4" t="s">
        <v>248</v>
      </c>
      <c r="C2568" s="5">
        <v>2009</v>
      </c>
      <c r="D2568" s="4">
        <v>0</v>
      </c>
      <c r="E2568" s="4">
        <v>990000000</v>
      </c>
      <c r="F2568" s="4" t="str">
        <f>_xlfn.LET(_xlpm.r, _xlfn.XLOOKUP(Clean_Data[[#This Row],[Country_Code]], Metadata_Country!$A:$A, Metadata_Country!$B:$B, "Unknown"), IF(OR(_xlpm.r=0, _xlpm.r=""), "Regional Aggregate", _xlpm.r))</f>
        <v>East Asia &amp; Pacific</v>
      </c>
      <c r="G2568" s="4" t="str">
        <f>_xlfn.LET(_xlpm.ig, _xlfn.XLOOKUP(Clean_Data[[#This Row],[Country_Code]], Metadata_Country!$A:$A, Metadata_Country!$C:$C, "Unknown"), IF(OR(_xlpm.ig=0, _xlpm.ig=""), "Regional Aggregate", _xlpm.ig))</f>
        <v>High income</v>
      </c>
      <c r="H2568" s="4">
        <f>Clean_Data[[#This Row],[Exports_TIV]] - Clean_Data[[#This Row],[Imports_TIV]]</f>
        <v>-990000000</v>
      </c>
      <c r="I2568" s="4">
        <f>Clean_Data[[#This Row],[Exports_TIV]] + Clean_Data[[#This Row],[Imports_TIV]]</f>
        <v>990000000</v>
      </c>
    </row>
    <row r="2569" spans="1:9">
      <c r="A2569" s="4" t="s">
        <v>245</v>
      </c>
      <c r="B2569" s="4" t="s">
        <v>246</v>
      </c>
      <c r="C2569" s="5">
        <v>2009</v>
      </c>
      <c r="D2569" s="4">
        <v>28000000</v>
      </c>
      <c r="E2569" s="4">
        <v>230000000</v>
      </c>
      <c r="F2569" s="4" t="str">
        <f>_xlfn.LET(_xlpm.r, _xlfn.XLOOKUP(Clean_Data[[#This Row],[Country_Code]], Metadata_Country!$A:$A, Metadata_Country!$B:$B, "Unknown"), IF(OR(_xlpm.r=0, _xlpm.r=""), "Regional Aggregate", _xlpm.r))</f>
        <v>Middle East &amp; North Africa</v>
      </c>
      <c r="G2569" s="4" t="str">
        <f>_xlfn.LET(_xlpm.ig, _xlfn.XLOOKUP(Clean_Data[[#This Row],[Country_Code]], Metadata_Country!$A:$A, Metadata_Country!$C:$C, "Unknown"), IF(OR(_xlpm.ig=0, _xlpm.ig=""), "Regional Aggregate", _xlpm.ig))</f>
        <v>Upper middle income</v>
      </c>
      <c r="H2569" s="4">
        <f>Clean_Data[[#This Row],[Exports_TIV]] - Clean_Data[[#This Row],[Imports_TIV]]</f>
        <v>-202000000</v>
      </c>
      <c r="I2569" s="4">
        <f>Clean_Data[[#This Row],[Exports_TIV]] + Clean_Data[[#This Row],[Imports_TIV]]</f>
        <v>258000000</v>
      </c>
    </row>
    <row r="2570" spans="1:9">
      <c r="A2570" s="4" t="s">
        <v>249</v>
      </c>
      <c r="B2570" s="4" t="s">
        <v>250</v>
      </c>
      <c r="C2570" s="5">
        <v>2009</v>
      </c>
      <c r="D2570" s="4">
        <v>0</v>
      </c>
      <c r="E2570" s="4">
        <v>53000000</v>
      </c>
      <c r="F2570" s="4" t="str">
        <f>_xlfn.LET(_xlpm.r, _xlfn.XLOOKUP(Clean_Data[[#This Row],[Country_Code]], Metadata_Country!$A:$A, Metadata_Country!$B:$B, "Unknown"), IF(OR(_xlpm.r=0, _xlpm.r=""), "Regional Aggregate", _xlpm.r))</f>
        <v>Europe &amp; Central Asia</v>
      </c>
      <c r="G2570" s="4" t="str">
        <f>_xlfn.LET(_xlpm.ig, _xlfn.XLOOKUP(Clean_Data[[#This Row],[Country_Code]], Metadata_Country!$A:$A, Metadata_Country!$C:$C, "Unknown"), IF(OR(_xlpm.ig=0, _xlpm.ig=""), "Regional Aggregate", _xlpm.ig))</f>
        <v>Upper middle income</v>
      </c>
      <c r="H2570" s="4">
        <f>Clean_Data[[#This Row],[Exports_TIV]] - Clean_Data[[#This Row],[Imports_TIV]]</f>
        <v>-53000000</v>
      </c>
      <c r="I2570" s="4">
        <f>Clean_Data[[#This Row],[Exports_TIV]] + Clean_Data[[#This Row],[Imports_TIV]]</f>
        <v>53000000</v>
      </c>
    </row>
    <row r="2571" spans="1:9">
      <c r="A2571" s="4" t="s">
        <v>251</v>
      </c>
      <c r="B2571" s="4" t="s">
        <v>252</v>
      </c>
      <c r="C2571" s="5">
        <v>2009</v>
      </c>
      <c r="D2571" s="4">
        <v>0</v>
      </c>
      <c r="E2571" s="4">
        <v>34000000</v>
      </c>
      <c r="F2571" s="4" t="str">
        <f>_xlfn.LET(_xlpm.r, _xlfn.XLOOKUP(Clean_Data[[#This Row],[Country_Code]], Metadata_Country!$A:$A, Metadata_Country!$B:$B, "Unknown"), IF(OR(_xlpm.r=0, _xlpm.r=""), "Regional Aggregate", _xlpm.r))</f>
        <v>Sub-Saharan Africa</v>
      </c>
      <c r="G2571" s="4" t="str">
        <f>_xlfn.LET(_xlpm.ig, _xlfn.XLOOKUP(Clean_Data[[#This Row],[Country_Code]], Metadata_Country!$A:$A, Metadata_Country!$C:$C, "Unknown"), IF(OR(_xlpm.ig=0, _xlpm.ig=""), "Regional Aggregate", _xlpm.ig))</f>
        <v>Lower middle income</v>
      </c>
      <c r="H2571" s="4">
        <f>Clean_Data[[#This Row],[Exports_TIV]] - Clean_Data[[#This Row],[Imports_TIV]]</f>
        <v>-34000000</v>
      </c>
      <c r="I2571" s="4">
        <f>Clean_Data[[#This Row],[Exports_TIV]] + Clean_Data[[#This Row],[Imports_TIV]]</f>
        <v>34000000</v>
      </c>
    </row>
    <row r="2572" spans="1:9">
      <c r="A2572" s="4" t="s">
        <v>395</v>
      </c>
      <c r="B2572" s="4" t="s">
        <v>396</v>
      </c>
      <c r="C2572" s="5">
        <v>2009</v>
      </c>
      <c r="D2572" s="4">
        <v>23000000</v>
      </c>
      <c r="E2572" s="4">
        <v>4000000</v>
      </c>
      <c r="F2572" s="4" t="str">
        <f>_xlfn.LET(_xlpm.r, _xlfn.XLOOKUP(Clean_Data[[#This Row],[Country_Code]], Metadata_Country!$A:$A, Metadata_Country!$B:$B, "Unknown"), IF(OR(_xlpm.r=0, _xlpm.r=""), "Regional Aggregate", _xlpm.r))</f>
        <v>East Asia &amp; Pacific</v>
      </c>
      <c r="G2572" s="4" t="str">
        <f>_xlfn.LET(_xlpm.ig, _xlfn.XLOOKUP(Clean_Data[[#This Row],[Country_Code]], Metadata_Country!$A:$A, Metadata_Country!$C:$C, "Unknown"), IF(OR(_xlpm.ig=0, _xlpm.ig=""), "Regional Aggregate", _xlpm.ig))</f>
        <v>Low income</v>
      </c>
      <c r="H2572" s="4">
        <f>Clean_Data[[#This Row],[Exports_TIV]] - Clean_Data[[#This Row],[Imports_TIV]]</f>
        <v>19000000</v>
      </c>
      <c r="I2572" s="4">
        <f>Clean_Data[[#This Row],[Exports_TIV]] + Clean_Data[[#This Row],[Imports_TIV]]</f>
        <v>27000000</v>
      </c>
    </row>
    <row r="2573" spans="1:9">
      <c r="A2573" s="4" t="s">
        <v>261</v>
      </c>
      <c r="B2573" s="4" t="s">
        <v>262</v>
      </c>
      <c r="C2573" s="5">
        <v>2009</v>
      </c>
      <c r="D2573" s="4">
        <v>224000000</v>
      </c>
      <c r="E2573" s="4">
        <v>798000000</v>
      </c>
      <c r="F2573" s="4" t="str">
        <f>_xlfn.LET(_xlpm.r, _xlfn.XLOOKUP(Clean_Data[[#This Row],[Country_Code]], Metadata_Country!$A:$A, Metadata_Country!$B:$B, "Unknown"), IF(OR(_xlpm.r=0, _xlpm.r=""), "Regional Aggregate", _xlpm.r))</f>
        <v>East Asia &amp; Pacific</v>
      </c>
      <c r="G2573" s="4" t="str">
        <f>_xlfn.LET(_xlpm.ig, _xlfn.XLOOKUP(Clean_Data[[#This Row],[Country_Code]], Metadata_Country!$A:$A, Metadata_Country!$C:$C, "Unknown"), IF(OR(_xlpm.ig=0, _xlpm.ig=""), "Regional Aggregate", _xlpm.ig))</f>
        <v>High income</v>
      </c>
      <c r="H2573" s="4">
        <f>Clean_Data[[#This Row],[Exports_TIV]] - Clean_Data[[#This Row],[Imports_TIV]]</f>
        <v>-574000000</v>
      </c>
      <c r="I2573" s="4">
        <f>Clean_Data[[#This Row],[Exports_TIV]] + Clean_Data[[#This Row],[Imports_TIV]]</f>
        <v>1022000000</v>
      </c>
    </row>
    <row r="2574" spans="1:9">
      <c r="A2574" s="4" t="s">
        <v>263</v>
      </c>
      <c r="B2574" s="4" t="s">
        <v>264</v>
      </c>
      <c r="C2574" s="5">
        <v>2009</v>
      </c>
      <c r="D2574" s="4">
        <v>0</v>
      </c>
      <c r="E2574" s="4">
        <v>8000000</v>
      </c>
      <c r="F2574" s="4" t="str">
        <f>_xlfn.LET(_xlpm.r, _xlfn.XLOOKUP(Clean_Data[[#This Row],[Country_Code]], Metadata_Country!$A:$A, Metadata_Country!$B:$B, "Unknown"), IF(OR(_xlpm.r=0, _xlpm.r=""), "Regional Aggregate", _xlpm.r))</f>
        <v>Middle East &amp; North Africa</v>
      </c>
      <c r="G2574" s="4" t="str">
        <f>_xlfn.LET(_xlpm.ig, _xlfn.XLOOKUP(Clean_Data[[#This Row],[Country_Code]], Metadata_Country!$A:$A, Metadata_Country!$C:$C, "Unknown"), IF(OR(_xlpm.ig=0, _xlpm.ig=""), "Regional Aggregate", _xlpm.ig))</f>
        <v>High income</v>
      </c>
      <c r="H2574" s="4">
        <f>Clean_Data[[#This Row],[Exports_TIV]] - Clean_Data[[#This Row],[Imports_TIV]]</f>
        <v>-8000000</v>
      </c>
      <c r="I2574" s="4">
        <f>Clean_Data[[#This Row],[Exports_TIV]] + Clean_Data[[#This Row],[Imports_TIV]]</f>
        <v>8000000</v>
      </c>
    </row>
    <row r="2575" spans="1:9">
      <c r="A2575" s="4" t="s">
        <v>267</v>
      </c>
      <c r="B2575" s="4" t="s">
        <v>268</v>
      </c>
      <c r="C2575" s="5">
        <v>2009</v>
      </c>
      <c r="D2575" s="4">
        <v>0</v>
      </c>
      <c r="E2575" s="4">
        <v>26000000</v>
      </c>
      <c r="F2575" s="4" t="str">
        <f>_xlfn.LET(_xlpm.r, _xlfn.XLOOKUP(Clean_Data[[#This Row],[Country_Code]], Metadata_Country!$A:$A, Metadata_Country!$B:$B, "Unknown"), IF(OR(_xlpm.r=0, _xlpm.r=""), "Regional Aggregate", _xlpm.r))</f>
        <v>East Asia &amp; Pacific</v>
      </c>
      <c r="G2575" s="4" t="str">
        <f>_xlfn.LET(_xlpm.ig, _xlfn.XLOOKUP(Clean_Data[[#This Row],[Country_Code]], Metadata_Country!$A:$A, Metadata_Country!$C:$C, "Unknown"), IF(OR(_xlpm.ig=0, _xlpm.ig=""), "Regional Aggregate", _xlpm.ig))</f>
        <v>Lower middle income</v>
      </c>
      <c r="H2575" s="4">
        <f>Clean_Data[[#This Row],[Exports_TIV]] - Clean_Data[[#This Row],[Imports_TIV]]</f>
        <v>-26000000</v>
      </c>
      <c r="I2575" s="4">
        <f>Clean_Data[[#This Row],[Exports_TIV]] + Clean_Data[[#This Row],[Imports_TIV]]</f>
        <v>26000000</v>
      </c>
    </row>
    <row r="2576" spans="1:9">
      <c r="A2576" s="4" t="s">
        <v>293</v>
      </c>
      <c r="B2576" s="4" t="s">
        <v>294</v>
      </c>
      <c r="C2576" s="5">
        <v>2009</v>
      </c>
      <c r="D2576" s="4">
        <v>6510000000</v>
      </c>
      <c r="E2576" s="4">
        <v>5302000000</v>
      </c>
      <c r="F2576" s="4" t="str">
        <f>_xlfn.LET(_xlpm.r, _xlfn.XLOOKUP(Clean_Data[[#This Row],[Country_Code]], Metadata_Country!$A:$A, Metadata_Country!$B:$B, "Unknown"), IF(OR(_xlpm.r=0, _xlpm.r=""), "Regional Aggregate", _xlpm.r))</f>
        <v>Regional Aggregate</v>
      </c>
      <c r="G2576" s="4" t="str">
        <f>_xlfn.LET(_xlpm.ig, _xlfn.XLOOKUP(Clean_Data[[#This Row],[Country_Code]], Metadata_Country!$A:$A, Metadata_Country!$C:$C, "Unknown"), IF(OR(_xlpm.ig=0, _xlpm.ig=""), "Regional Aggregate", _xlpm.ig))</f>
        <v>Regional Aggregate</v>
      </c>
      <c r="H2576" s="4">
        <f>Clean_Data[[#This Row],[Exports_TIV]] - Clean_Data[[#This Row],[Imports_TIV]]</f>
        <v>1208000000</v>
      </c>
      <c r="I2576" s="4">
        <f>Clean_Data[[#This Row],[Exports_TIV]] + Clean_Data[[#This Row],[Imports_TIV]]</f>
        <v>11812000000</v>
      </c>
    </row>
    <row r="2577" spans="1:9">
      <c r="A2577" s="4" t="s">
        <v>277</v>
      </c>
      <c r="B2577" s="4" t="s">
        <v>278</v>
      </c>
      <c r="C2577" s="5">
        <v>2009</v>
      </c>
      <c r="D2577" s="4">
        <v>0</v>
      </c>
      <c r="E2577" s="4">
        <v>1360000000</v>
      </c>
      <c r="F2577" s="4" t="str">
        <f>_xlfn.LET(_xlpm.r, _xlfn.XLOOKUP(Clean_Data[[#This Row],[Country_Code]], Metadata_Country!$A:$A, Metadata_Country!$B:$B, "Unknown"), IF(OR(_xlpm.r=0, _xlpm.r=""), "Regional Aggregate", _xlpm.r))</f>
        <v>Regional Aggregate</v>
      </c>
      <c r="G2577" s="4" t="str">
        <f>_xlfn.LET(_xlpm.ig, _xlfn.XLOOKUP(Clean_Data[[#This Row],[Country_Code]], Metadata_Country!$A:$A, Metadata_Country!$C:$C, "Unknown"), IF(OR(_xlpm.ig=0, _xlpm.ig=""), "Regional Aggregate", _xlpm.ig))</f>
        <v>Regional Aggregate</v>
      </c>
      <c r="H2577" s="4">
        <f>Clean_Data[[#This Row],[Exports_TIV]] - Clean_Data[[#This Row],[Imports_TIV]]</f>
        <v>-1360000000</v>
      </c>
      <c r="I2577" s="4">
        <f>Clean_Data[[#This Row],[Exports_TIV]] + Clean_Data[[#This Row],[Imports_TIV]]</f>
        <v>1360000000</v>
      </c>
    </row>
    <row r="2578" spans="1:9">
      <c r="A2578" s="4" t="s">
        <v>265</v>
      </c>
      <c r="B2578" s="4" t="s">
        <v>266</v>
      </c>
      <c r="C2578" s="5">
        <v>2009</v>
      </c>
      <c r="D2578" s="4">
        <v>0</v>
      </c>
      <c r="E2578" s="4">
        <v>991000000</v>
      </c>
      <c r="F2578" s="4" t="str">
        <f>_xlfn.LET(_xlpm.r, _xlfn.XLOOKUP(Clean_Data[[#This Row],[Country_Code]], Metadata_Country!$A:$A, Metadata_Country!$B:$B, "Unknown"), IF(OR(_xlpm.r=0, _xlpm.r=""), "Regional Aggregate", _xlpm.r))</f>
        <v>Regional Aggregate</v>
      </c>
      <c r="G2578" s="4" t="str">
        <f>_xlfn.LET(_xlpm.ig, _xlfn.XLOOKUP(Clean_Data[[#This Row],[Country_Code]], Metadata_Country!$A:$A, Metadata_Country!$C:$C, "Unknown"), IF(OR(_xlpm.ig=0, _xlpm.ig=""), "Regional Aggregate", _xlpm.ig))</f>
        <v>Regional Aggregate</v>
      </c>
      <c r="H2578" s="4">
        <f>Clean_Data[[#This Row],[Exports_TIV]] - Clean_Data[[#This Row],[Imports_TIV]]</f>
        <v>-991000000</v>
      </c>
      <c r="I2578" s="4">
        <f>Clean_Data[[#This Row],[Exports_TIV]] + Clean_Data[[#This Row],[Imports_TIV]]</f>
        <v>991000000</v>
      </c>
    </row>
    <row r="2579" spans="1:9">
      <c r="A2579" s="4" t="s">
        <v>481</v>
      </c>
      <c r="B2579" s="4" t="s">
        <v>482</v>
      </c>
      <c r="C2579" s="5">
        <v>2009</v>
      </c>
      <c r="D2579" s="4">
        <v>0</v>
      </c>
      <c r="E2579" s="4">
        <v>1359000000</v>
      </c>
      <c r="F2579" s="4" t="str">
        <f>_xlfn.LET(_xlpm.r, _xlfn.XLOOKUP(Clean_Data[[#This Row],[Country_Code]], Metadata_Country!$A:$A, Metadata_Country!$B:$B, "Unknown"), IF(OR(_xlpm.r=0, _xlpm.r=""), "Regional Aggregate", _xlpm.r))</f>
        <v>Regional Aggregate</v>
      </c>
      <c r="G2579" s="4" t="str">
        <f>_xlfn.LET(_xlpm.ig, _xlfn.XLOOKUP(Clean_Data[[#This Row],[Country_Code]], Metadata_Country!$A:$A, Metadata_Country!$C:$C, "Unknown"), IF(OR(_xlpm.ig=0, _xlpm.ig=""), "Regional Aggregate", _xlpm.ig))</f>
        <v>Regional Aggregate</v>
      </c>
      <c r="H2579" s="4">
        <f>Clean_Data[[#This Row],[Exports_TIV]] - Clean_Data[[#This Row],[Imports_TIV]]</f>
        <v>-1359000000</v>
      </c>
      <c r="I2579" s="4">
        <f>Clean_Data[[#This Row],[Exports_TIV]] + Clean_Data[[#This Row],[Imports_TIV]]</f>
        <v>1359000000</v>
      </c>
    </row>
    <row r="2580" spans="1:9">
      <c r="A2580" s="4" t="s">
        <v>299</v>
      </c>
      <c r="B2580" s="4" t="s">
        <v>300</v>
      </c>
      <c r="C2580" s="5">
        <v>2009</v>
      </c>
      <c r="D2580" s="4">
        <v>0</v>
      </c>
      <c r="E2580" s="4">
        <v>11000000</v>
      </c>
      <c r="F2580" s="4" t="str">
        <f>_xlfn.LET(_xlpm.r, _xlfn.XLOOKUP(Clean_Data[[#This Row],[Country_Code]], Metadata_Country!$A:$A, Metadata_Country!$B:$B, "Unknown"), IF(OR(_xlpm.r=0, _xlpm.r=""), "Regional Aggregate", _xlpm.r))</f>
        <v>Europe &amp; Central Asia</v>
      </c>
      <c r="G2580" s="4" t="str">
        <f>_xlfn.LET(_xlpm.ig, _xlfn.XLOOKUP(Clean_Data[[#This Row],[Country_Code]], Metadata_Country!$A:$A, Metadata_Country!$C:$C, "Unknown"), IF(OR(_xlpm.ig=0, _xlpm.ig=""), "Regional Aggregate", _xlpm.ig))</f>
        <v>High income</v>
      </c>
      <c r="H2580" s="4">
        <f>Clean_Data[[#This Row],[Exports_TIV]] - Clean_Data[[#This Row],[Imports_TIV]]</f>
        <v>-11000000</v>
      </c>
      <c r="I2580" s="4">
        <f>Clean_Data[[#This Row],[Exports_TIV]] + Clean_Data[[#This Row],[Imports_TIV]]</f>
        <v>11000000</v>
      </c>
    </row>
    <row r="2581" spans="1:9">
      <c r="A2581" s="4" t="s">
        <v>269</v>
      </c>
      <c r="B2581" s="4" t="s">
        <v>270</v>
      </c>
      <c r="C2581" s="5">
        <v>2009</v>
      </c>
      <c r="D2581" s="4">
        <v>0</v>
      </c>
      <c r="E2581" s="4">
        <v>52000000</v>
      </c>
      <c r="F2581" s="4" t="str">
        <f>_xlfn.LET(_xlpm.r, _xlfn.XLOOKUP(Clean_Data[[#This Row],[Country_Code]], Metadata_Country!$A:$A, Metadata_Country!$B:$B, "Unknown"), IF(OR(_xlpm.r=0, _xlpm.r=""), "Regional Aggregate", _xlpm.r))</f>
        <v>Middle East &amp; North Africa</v>
      </c>
      <c r="G2581" s="4" t="str">
        <f>_xlfn.LET(_xlpm.ig, _xlfn.XLOOKUP(Clean_Data[[#This Row],[Country_Code]], Metadata_Country!$A:$A, Metadata_Country!$C:$C, "Unknown"), IF(OR(_xlpm.ig=0, _xlpm.ig=""), "Regional Aggregate", _xlpm.ig))</f>
        <v>Lower middle income</v>
      </c>
      <c r="H2581" s="4">
        <f>Clean_Data[[#This Row],[Exports_TIV]] - Clean_Data[[#This Row],[Imports_TIV]]</f>
        <v>-52000000</v>
      </c>
      <c r="I2581" s="4">
        <f>Clean_Data[[#This Row],[Exports_TIV]] + Clean_Data[[#This Row],[Imports_TIV]]</f>
        <v>52000000</v>
      </c>
    </row>
    <row r="2582" spans="1:9">
      <c r="A2582" s="4" t="s">
        <v>273</v>
      </c>
      <c r="B2582" s="4" t="s">
        <v>274</v>
      </c>
      <c r="C2582" s="5">
        <v>2009</v>
      </c>
      <c r="D2582" s="4">
        <v>32000000</v>
      </c>
      <c r="E2582" s="4">
        <v>22000000</v>
      </c>
      <c r="F2582" s="4" t="str">
        <f>_xlfn.LET(_xlpm.r, _xlfn.XLOOKUP(Clean_Data[[#This Row],[Country_Code]], Metadata_Country!$A:$A, Metadata_Country!$B:$B, "Unknown"), IF(OR(_xlpm.r=0, _xlpm.r=""), "Regional Aggregate", _xlpm.r))</f>
        <v>Middle East &amp; North Africa</v>
      </c>
      <c r="G2582" s="4" t="str">
        <f>_xlfn.LET(_xlpm.ig, _xlfn.XLOOKUP(Clean_Data[[#This Row],[Country_Code]], Metadata_Country!$A:$A, Metadata_Country!$C:$C, "Unknown"), IF(OR(_xlpm.ig=0, _xlpm.ig=""), "Regional Aggregate", _xlpm.ig))</f>
        <v>Upper middle income</v>
      </c>
      <c r="H2582" s="4">
        <f>Clean_Data[[#This Row],[Exports_TIV]] - Clean_Data[[#This Row],[Imports_TIV]]</f>
        <v>10000000</v>
      </c>
      <c r="I2582" s="4">
        <f>Clean_Data[[#This Row],[Exports_TIV]] + Clean_Data[[#This Row],[Imports_TIV]]</f>
        <v>54000000</v>
      </c>
    </row>
    <row r="2583" spans="1:9">
      <c r="A2583" s="4" t="s">
        <v>295</v>
      </c>
      <c r="B2583" s="4" t="s">
        <v>296</v>
      </c>
      <c r="C2583" s="5">
        <v>2009</v>
      </c>
      <c r="D2583" s="4">
        <v>0</v>
      </c>
      <c r="E2583" s="4">
        <v>27000000</v>
      </c>
      <c r="F2583" s="4" t="str">
        <f>_xlfn.LET(_xlpm.r, _xlfn.XLOOKUP(Clean_Data[[#This Row],[Country_Code]], Metadata_Country!$A:$A, Metadata_Country!$B:$B, "Unknown"), IF(OR(_xlpm.r=0, _xlpm.r=""), "Regional Aggregate", _xlpm.r))</f>
        <v>Europe &amp; Central Asia</v>
      </c>
      <c r="G2583" s="4" t="str">
        <f>_xlfn.LET(_xlpm.ig, _xlfn.XLOOKUP(Clean_Data[[#This Row],[Country_Code]], Metadata_Country!$A:$A, Metadata_Country!$C:$C, "Unknown"), IF(OR(_xlpm.ig=0, _xlpm.ig=""), "Regional Aggregate", _xlpm.ig))</f>
        <v>High income</v>
      </c>
      <c r="H2583" s="4">
        <f>Clean_Data[[#This Row],[Exports_TIV]] - Clean_Data[[#This Row],[Imports_TIV]]</f>
        <v>-27000000</v>
      </c>
      <c r="I2583" s="4">
        <f>Clean_Data[[#This Row],[Exports_TIV]] + Clean_Data[[#This Row],[Imports_TIV]]</f>
        <v>27000000</v>
      </c>
    </row>
    <row r="2584" spans="1:9">
      <c r="A2584" s="4" t="s">
        <v>289</v>
      </c>
      <c r="B2584" s="4" t="s">
        <v>290</v>
      </c>
      <c r="C2584" s="5">
        <v>2009</v>
      </c>
      <c r="D2584" s="4">
        <v>0</v>
      </c>
      <c r="E2584" s="4">
        <v>11839000000</v>
      </c>
      <c r="F2584" s="4" t="str">
        <f>_xlfn.LET(_xlpm.r, _xlfn.XLOOKUP(Clean_Data[[#This Row],[Country_Code]], Metadata_Country!$A:$A, Metadata_Country!$B:$B, "Unknown"), IF(OR(_xlpm.r=0, _xlpm.r=""), "Regional Aggregate", _xlpm.r))</f>
        <v>Regional Aggregate</v>
      </c>
      <c r="G2584" s="4" t="str">
        <f>_xlfn.LET(_xlpm.ig, _xlfn.XLOOKUP(Clean_Data[[#This Row],[Country_Code]], Metadata_Country!$A:$A, Metadata_Country!$C:$C, "Unknown"), IF(OR(_xlpm.ig=0, _xlpm.ig=""), "Regional Aggregate", _xlpm.ig))</f>
        <v>Regional Aggregate</v>
      </c>
      <c r="H2584" s="4">
        <f>Clean_Data[[#This Row],[Exports_TIV]] - Clean_Data[[#This Row],[Imports_TIV]]</f>
        <v>-11839000000</v>
      </c>
      <c r="I2584" s="4">
        <f>Clean_Data[[#This Row],[Exports_TIV]] + Clean_Data[[#This Row],[Imports_TIV]]</f>
        <v>11839000000</v>
      </c>
    </row>
    <row r="2585" spans="1:9">
      <c r="A2585" s="4" t="s">
        <v>281</v>
      </c>
      <c r="B2585" s="4" t="s">
        <v>282</v>
      </c>
      <c r="C2585" s="5">
        <v>2009</v>
      </c>
      <c r="D2585" s="4">
        <v>0</v>
      </c>
      <c r="E2585" s="4">
        <v>833000000</v>
      </c>
      <c r="F2585" s="4" t="str">
        <f>_xlfn.LET(_xlpm.r, _xlfn.XLOOKUP(Clean_Data[[#This Row],[Country_Code]], Metadata_Country!$A:$A, Metadata_Country!$B:$B, "Unknown"), IF(OR(_xlpm.r=0, _xlpm.r=""), "Regional Aggregate", _xlpm.r))</f>
        <v>Regional Aggregate</v>
      </c>
      <c r="G2585" s="4" t="str">
        <f>_xlfn.LET(_xlpm.ig, _xlfn.XLOOKUP(Clean_Data[[#This Row],[Country_Code]], Metadata_Country!$A:$A, Metadata_Country!$C:$C, "Unknown"), IF(OR(_xlpm.ig=0, _xlpm.ig=""), "Regional Aggregate", _xlpm.ig))</f>
        <v>Regional Aggregate</v>
      </c>
      <c r="H2585" s="4">
        <f>Clean_Data[[#This Row],[Exports_TIV]] - Clean_Data[[#This Row],[Imports_TIV]]</f>
        <v>-833000000</v>
      </c>
      <c r="I2585" s="4">
        <f>Clean_Data[[#This Row],[Exports_TIV]] + Clean_Data[[#This Row],[Imports_TIV]]</f>
        <v>833000000</v>
      </c>
    </row>
    <row r="2586" spans="1:9">
      <c r="A2586" s="4" t="s">
        <v>287</v>
      </c>
      <c r="B2586" s="4" t="s">
        <v>288</v>
      </c>
      <c r="C2586" s="5">
        <v>2009</v>
      </c>
      <c r="D2586" s="4">
        <v>0</v>
      </c>
      <c r="E2586" s="4">
        <v>4050000000</v>
      </c>
      <c r="F2586" s="4" t="str">
        <f>_xlfn.LET(_xlpm.r, _xlfn.XLOOKUP(Clean_Data[[#This Row],[Country_Code]], Metadata_Country!$A:$A, Metadata_Country!$B:$B, "Unknown"), IF(OR(_xlpm.r=0, _xlpm.r=""), "Regional Aggregate", _xlpm.r))</f>
        <v>Regional Aggregate</v>
      </c>
      <c r="G2586" s="4" t="str">
        <f>_xlfn.LET(_xlpm.ig, _xlfn.XLOOKUP(Clean_Data[[#This Row],[Country_Code]], Metadata_Country!$A:$A, Metadata_Country!$C:$C, "Unknown"), IF(OR(_xlpm.ig=0, _xlpm.ig=""), "Regional Aggregate", _xlpm.ig))</f>
        <v>Regional Aggregate</v>
      </c>
      <c r="H2586" s="4">
        <f>Clean_Data[[#This Row],[Exports_TIV]] - Clean_Data[[#This Row],[Imports_TIV]]</f>
        <v>-4050000000</v>
      </c>
      <c r="I2586" s="4">
        <f>Clean_Data[[#This Row],[Exports_TIV]] + Clean_Data[[#This Row],[Imports_TIV]]</f>
        <v>4050000000</v>
      </c>
    </row>
    <row r="2587" spans="1:9">
      <c r="A2587" s="4" t="s">
        <v>297</v>
      </c>
      <c r="B2587" s="4" t="s">
        <v>298</v>
      </c>
      <c r="C2587" s="5">
        <v>2009</v>
      </c>
      <c r="D2587" s="4">
        <v>0</v>
      </c>
      <c r="E2587" s="4">
        <v>8000000</v>
      </c>
      <c r="F2587" s="4" t="str">
        <f>_xlfn.LET(_xlpm.r, _xlfn.XLOOKUP(Clean_Data[[#This Row],[Country_Code]], Metadata_Country!$A:$A, Metadata_Country!$B:$B, "Unknown"), IF(OR(_xlpm.r=0, _xlpm.r=""), "Regional Aggregate", _xlpm.r))</f>
        <v>Europe &amp; Central Asia</v>
      </c>
      <c r="G2587" s="4" t="str">
        <f>_xlfn.LET(_xlpm.ig, _xlfn.XLOOKUP(Clean_Data[[#This Row],[Country_Code]], Metadata_Country!$A:$A, Metadata_Country!$C:$C, "Unknown"), IF(OR(_xlpm.ig=0, _xlpm.ig=""), "Regional Aggregate", _xlpm.ig))</f>
        <v>High income</v>
      </c>
      <c r="H2587" s="4">
        <f>Clean_Data[[#This Row],[Exports_TIV]] - Clean_Data[[#This Row],[Imports_TIV]]</f>
        <v>-8000000</v>
      </c>
      <c r="I2587" s="4">
        <f>Clean_Data[[#This Row],[Exports_TIV]] + Clean_Data[[#This Row],[Imports_TIV]]</f>
        <v>8000000</v>
      </c>
    </row>
    <row r="2588" spans="1:9">
      <c r="A2588" s="4" t="s">
        <v>347</v>
      </c>
      <c r="B2588" s="4" t="s">
        <v>348</v>
      </c>
      <c r="C2588" s="5">
        <v>2009</v>
      </c>
      <c r="D2588" s="4">
        <v>0</v>
      </c>
      <c r="E2588" s="4">
        <v>1284000000</v>
      </c>
      <c r="F2588" s="4" t="str">
        <f>_xlfn.LET(_xlpm.r, _xlfn.XLOOKUP(Clean_Data[[#This Row],[Country_Code]], Metadata_Country!$A:$A, Metadata_Country!$B:$B, "Unknown"), IF(OR(_xlpm.r=0, _xlpm.r=""), "Regional Aggregate", _xlpm.r))</f>
        <v>East Asia &amp; Pacific</v>
      </c>
      <c r="G2588" s="4" t="str">
        <f>_xlfn.LET(_xlpm.ig, _xlfn.XLOOKUP(Clean_Data[[#This Row],[Country_Code]], Metadata_Country!$A:$A, Metadata_Country!$C:$C, "Unknown"), IF(OR(_xlpm.ig=0, _xlpm.ig=""), "Regional Aggregate", _xlpm.ig))</f>
        <v>Upper middle income</v>
      </c>
      <c r="H2588" s="4">
        <f>Clean_Data[[#This Row],[Exports_TIV]] - Clean_Data[[#This Row],[Imports_TIV]]</f>
        <v>-1284000000</v>
      </c>
      <c r="I2588" s="4">
        <f>Clean_Data[[#This Row],[Exports_TIV]] + Clean_Data[[#This Row],[Imports_TIV]]</f>
        <v>1284000000</v>
      </c>
    </row>
    <row r="2589" spans="1:9">
      <c r="A2589" s="4" t="s">
        <v>325</v>
      </c>
      <c r="B2589" s="4" t="s">
        <v>326</v>
      </c>
      <c r="C2589" s="5">
        <v>2009</v>
      </c>
      <c r="D2589" s="4">
        <v>0</v>
      </c>
      <c r="E2589" s="4">
        <v>10000000</v>
      </c>
      <c r="F2589" s="4" t="str">
        <f>_xlfn.LET(_xlpm.r, _xlfn.XLOOKUP(Clean_Data[[#This Row],[Country_Code]], Metadata_Country!$A:$A, Metadata_Country!$B:$B, "Unknown"), IF(OR(_xlpm.r=0, _xlpm.r=""), "Regional Aggregate", _xlpm.r))</f>
        <v>Sub-Saharan Africa</v>
      </c>
      <c r="G2589" s="4" t="str">
        <f>_xlfn.LET(_xlpm.ig, _xlfn.XLOOKUP(Clean_Data[[#This Row],[Country_Code]], Metadata_Country!$A:$A, Metadata_Country!$C:$C, "Unknown"), IF(OR(_xlpm.ig=0, _xlpm.ig=""), "Regional Aggregate", _xlpm.ig))</f>
        <v>Low income</v>
      </c>
      <c r="H2589" s="4">
        <f>Clean_Data[[#This Row],[Exports_TIV]] - Clean_Data[[#This Row],[Imports_TIV]]</f>
        <v>-10000000</v>
      </c>
      <c r="I2589" s="4">
        <f>Clean_Data[[#This Row],[Exports_TIV]] + Clean_Data[[#This Row],[Imports_TIV]]</f>
        <v>10000000</v>
      </c>
    </row>
    <row r="2590" spans="1:9">
      <c r="A2590" s="4" t="s">
        <v>317</v>
      </c>
      <c r="B2590" s="4" t="s">
        <v>318</v>
      </c>
      <c r="C2590" s="5">
        <v>2009</v>
      </c>
      <c r="D2590" s="4">
        <v>0</v>
      </c>
      <c r="E2590" s="4">
        <v>59000000</v>
      </c>
      <c r="F2590" s="4" t="str">
        <f>_xlfn.LET(_xlpm.r, _xlfn.XLOOKUP(Clean_Data[[#This Row],[Country_Code]], Metadata_Country!$A:$A, Metadata_Country!$B:$B, "Unknown"), IF(OR(_xlpm.r=0, _xlpm.r=""), "Regional Aggregate", _xlpm.r))</f>
        <v>Latin America &amp; Caribbean</v>
      </c>
      <c r="G2590" s="4" t="str">
        <f>_xlfn.LET(_xlpm.ig, _xlfn.XLOOKUP(Clean_Data[[#This Row],[Country_Code]], Metadata_Country!$A:$A, Metadata_Country!$C:$C, "Unknown"), IF(OR(_xlpm.ig=0, _xlpm.ig=""), "Regional Aggregate", _xlpm.ig))</f>
        <v>Upper middle income</v>
      </c>
      <c r="H2590" s="4">
        <f>Clean_Data[[#This Row],[Exports_TIV]] - Clean_Data[[#This Row],[Imports_TIV]]</f>
        <v>-59000000</v>
      </c>
      <c r="I2590" s="4">
        <f>Clean_Data[[#This Row],[Exports_TIV]] + Clean_Data[[#This Row],[Imports_TIV]]</f>
        <v>59000000</v>
      </c>
    </row>
    <row r="2591" spans="1:9">
      <c r="A2591" s="4" t="s">
        <v>315</v>
      </c>
      <c r="B2591" s="4" t="s">
        <v>316</v>
      </c>
      <c r="C2591" s="5">
        <v>2009</v>
      </c>
      <c r="D2591" s="4">
        <v>0</v>
      </c>
      <c r="E2591" s="4">
        <v>5801000000</v>
      </c>
      <c r="F2591" s="4" t="str">
        <f>_xlfn.LET(_xlpm.r, _xlfn.XLOOKUP(Clean_Data[[#This Row],[Country_Code]], Metadata_Country!$A:$A, Metadata_Country!$B:$B, "Unknown"), IF(OR(_xlpm.r=0, _xlpm.r=""), "Regional Aggregate", _xlpm.r))</f>
        <v>Regional Aggregate</v>
      </c>
      <c r="G2591" s="4" t="str">
        <f>_xlfn.LET(_xlpm.ig, _xlfn.XLOOKUP(Clean_Data[[#This Row],[Country_Code]], Metadata_Country!$A:$A, Metadata_Country!$C:$C, "Unknown"), IF(OR(_xlpm.ig=0, _xlpm.ig=""), "Regional Aggregate", _xlpm.ig))</f>
        <v>Regional Aggregate</v>
      </c>
      <c r="H2591" s="4">
        <f>Clean_Data[[#This Row],[Exports_TIV]] - Clean_Data[[#This Row],[Imports_TIV]]</f>
        <v>-5801000000</v>
      </c>
      <c r="I2591" s="4">
        <f>Clean_Data[[#This Row],[Exports_TIV]] + Clean_Data[[#This Row],[Imports_TIV]]</f>
        <v>5801000000</v>
      </c>
    </row>
    <row r="2592" spans="1:9">
      <c r="A2592" s="4" t="s">
        <v>331</v>
      </c>
      <c r="B2592" s="4" t="s">
        <v>332</v>
      </c>
      <c r="C2592" s="5">
        <v>2009</v>
      </c>
      <c r="D2592" s="4">
        <v>0</v>
      </c>
      <c r="E2592" s="4">
        <v>3818000000</v>
      </c>
      <c r="F2592" s="4" t="str">
        <f>_xlfn.LET(_xlpm.r, _xlfn.XLOOKUP(Clean_Data[[#This Row],[Country_Code]], Metadata_Country!$A:$A, Metadata_Country!$B:$B, "Unknown"), IF(OR(_xlpm.r=0, _xlpm.r=""), "Regional Aggregate", _xlpm.r))</f>
        <v>Regional Aggregate</v>
      </c>
      <c r="G2592" s="4" t="str">
        <f>_xlfn.LET(_xlpm.ig, _xlfn.XLOOKUP(Clean_Data[[#This Row],[Country_Code]], Metadata_Country!$A:$A, Metadata_Country!$C:$C, "Unknown"), IF(OR(_xlpm.ig=0, _xlpm.ig=""), "Regional Aggregate", _xlpm.ig))</f>
        <v>Regional Aggregate</v>
      </c>
      <c r="H2592" s="4">
        <f>Clean_Data[[#This Row],[Exports_TIV]] - Clean_Data[[#This Row],[Imports_TIV]]</f>
        <v>-3818000000</v>
      </c>
      <c r="I2592" s="4">
        <f>Clean_Data[[#This Row],[Exports_TIV]] + Clean_Data[[#This Row],[Imports_TIV]]</f>
        <v>3818000000</v>
      </c>
    </row>
    <row r="2593" spans="1:9">
      <c r="A2593" s="4" t="s">
        <v>485</v>
      </c>
      <c r="B2593" s="4" t="s">
        <v>486</v>
      </c>
      <c r="C2593" s="5">
        <v>2009</v>
      </c>
      <c r="D2593" s="4">
        <v>0</v>
      </c>
      <c r="E2593" s="4">
        <v>3803000000</v>
      </c>
      <c r="F2593" s="4" t="str">
        <f>_xlfn.LET(_xlpm.r, _xlfn.XLOOKUP(Clean_Data[[#This Row],[Country_Code]], Metadata_Country!$A:$A, Metadata_Country!$B:$B, "Unknown"), IF(OR(_xlpm.r=0, _xlpm.r=""), "Regional Aggregate", _xlpm.r))</f>
        <v>Regional Aggregate</v>
      </c>
      <c r="G2593" s="4" t="str">
        <f>_xlfn.LET(_xlpm.ig, _xlfn.XLOOKUP(Clean_Data[[#This Row],[Country_Code]], Metadata_Country!$A:$A, Metadata_Country!$C:$C, "Unknown"), IF(OR(_xlpm.ig=0, _xlpm.ig=""), "Regional Aggregate", _xlpm.ig))</f>
        <v>Regional Aggregate</v>
      </c>
      <c r="H2593" s="4">
        <f>Clean_Data[[#This Row],[Exports_TIV]] - Clean_Data[[#This Row],[Imports_TIV]]</f>
        <v>-3803000000</v>
      </c>
      <c r="I2593" s="4">
        <f>Clean_Data[[#This Row],[Exports_TIV]] + Clean_Data[[#This Row],[Imports_TIV]]</f>
        <v>3803000000</v>
      </c>
    </row>
    <row r="2594" spans="1:9">
      <c r="A2594" s="4" t="s">
        <v>321</v>
      </c>
      <c r="B2594" s="4" t="s">
        <v>322</v>
      </c>
      <c r="C2594" s="5">
        <v>2009</v>
      </c>
      <c r="D2594" s="4">
        <v>0</v>
      </c>
      <c r="E2594" s="4">
        <v>11006000000</v>
      </c>
      <c r="F2594" s="4" t="str">
        <f>_xlfn.LET(_xlpm.r, _xlfn.XLOOKUP(Clean_Data[[#This Row],[Country_Code]], Metadata_Country!$A:$A, Metadata_Country!$B:$B, "Unknown"), IF(OR(_xlpm.r=0, _xlpm.r=""), "Regional Aggregate", _xlpm.r))</f>
        <v>Regional Aggregate</v>
      </c>
      <c r="G2594" s="4" t="str">
        <f>_xlfn.LET(_xlpm.ig, _xlfn.XLOOKUP(Clean_Data[[#This Row],[Country_Code]], Metadata_Country!$A:$A, Metadata_Country!$C:$C, "Unknown"), IF(OR(_xlpm.ig=0, _xlpm.ig=""), "Regional Aggregate", _xlpm.ig))</f>
        <v>Regional Aggregate</v>
      </c>
      <c r="H2594" s="4">
        <f>Clean_Data[[#This Row],[Exports_TIV]] - Clean_Data[[#This Row],[Imports_TIV]]</f>
        <v>-11006000000</v>
      </c>
      <c r="I2594" s="4">
        <f>Clean_Data[[#This Row],[Exports_TIV]] + Clean_Data[[#This Row],[Imports_TIV]]</f>
        <v>11006000000</v>
      </c>
    </row>
    <row r="2595" spans="1:9">
      <c r="A2595" s="4" t="s">
        <v>309</v>
      </c>
      <c r="B2595" s="4" t="s">
        <v>310</v>
      </c>
      <c r="C2595" s="5">
        <v>2009</v>
      </c>
      <c r="D2595" s="4">
        <v>20000000</v>
      </c>
      <c r="E2595" s="4">
        <v>0</v>
      </c>
      <c r="F2595" s="4" t="str">
        <f>_xlfn.LET(_xlpm.r, _xlfn.XLOOKUP(Clean_Data[[#This Row],[Country_Code]], Metadata_Country!$A:$A, Metadata_Country!$B:$B, "Unknown"), IF(OR(_xlpm.r=0, _xlpm.r=""), "Regional Aggregate", _xlpm.r))</f>
        <v>Europe &amp; Central Asia</v>
      </c>
      <c r="G2595" s="4" t="str">
        <f>_xlfn.LET(_xlpm.ig, _xlfn.XLOOKUP(Clean_Data[[#This Row],[Country_Code]], Metadata_Country!$A:$A, Metadata_Country!$C:$C, "Unknown"), IF(OR(_xlpm.ig=0, _xlpm.ig=""), "Regional Aggregate", _xlpm.ig))</f>
        <v>Upper middle income</v>
      </c>
      <c r="H2595" s="4">
        <f>Clean_Data[[#This Row],[Exports_TIV]] - Clean_Data[[#This Row],[Imports_TIV]]</f>
        <v>20000000</v>
      </c>
      <c r="I2595" s="4">
        <f>Clean_Data[[#This Row],[Exports_TIV]] + Clean_Data[[#This Row],[Imports_TIV]]</f>
        <v>20000000</v>
      </c>
    </row>
    <row r="2596" spans="1:9">
      <c r="A2596" s="4" t="s">
        <v>305</v>
      </c>
      <c r="B2596" s="4" t="s">
        <v>306</v>
      </c>
      <c r="C2596" s="5">
        <v>2009</v>
      </c>
      <c r="D2596" s="4">
        <v>0</v>
      </c>
      <c r="E2596" s="4">
        <v>39000000</v>
      </c>
      <c r="F2596" s="4" t="str">
        <f>_xlfn.LET(_xlpm.r, _xlfn.XLOOKUP(Clean_Data[[#This Row],[Country_Code]], Metadata_Country!$A:$A, Metadata_Country!$B:$B, "Unknown"), IF(OR(_xlpm.r=0, _xlpm.r=""), "Regional Aggregate", _xlpm.r))</f>
        <v>Middle East &amp; North Africa</v>
      </c>
      <c r="G2596" s="4" t="str">
        <f>_xlfn.LET(_xlpm.ig, _xlfn.XLOOKUP(Clean_Data[[#This Row],[Country_Code]], Metadata_Country!$A:$A, Metadata_Country!$C:$C, "Unknown"), IF(OR(_xlpm.ig=0, _xlpm.ig=""), "Regional Aggregate", _xlpm.ig))</f>
        <v>Lower middle income</v>
      </c>
      <c r="H2596" s="4">
        <f>Clean_Data[[#This Row],[Exports_TIV]] - Clean_Data[[#This Row],[Imports_TIV]]</f>
        <v>-39000000</v>
      </c>
      <c r="I2596" s="4">
        <f>Clean_Data[[#This Row],[Exports_TIV]] + Clean_Data[[#This Row],[Imports_TIV]]</f>
        <v>39000000</v>
      </c>
    </row>
    <row r="2597" spans="1:9">
      <c r="A2597" s="4" t="s">
        <v>329</v>
      </c>
      <c r="B2597" s="4" t="s">
        <v>330</v>
      </c>
      <c r="C2597" s="5">
        <v>2009</v>
      </c>
      <c r="D2597" s="4">
        <v>0</v>
      </c>
      <c r="E2597" s="4">
        <v>65000000</v>
      </c>
      <c r="F2597" s="4" t="str">
        <f>_xlfn.LET(_xlpm.r, _xlfn.XLOOKUP(Clean_Data[[#This Row],[Country_Code]], Metadata_Country!$A:$A, Metadata_Country!$B:$B, "Unknown"), IF(OR(_xlpm.r=0, _xlpm.r=""), "Regional Aggregate", _xlpm.r))</f>
        <v>East Asia &amp; Pacific</v>
      </c>
      <c r="G2597" s="4" t="str">
        <f>_xlfn.LET(_xlpm.ig, _xlfn.XLOOKUP(Clean_Data[[#This Row],[Country_Code]], Metadata_Country!$A:$A, Metadata_Country!$C:$C, "Unknown"), IF(OR(_xlpm.ig=0, _xlpm.ig=""), "Regional Aggregate", _xlpm.ig))</f>
        <v>Lower middle income</v>
      </c>
      <c r="H2597" s="4">
        <f>Clean_Data[[#This Row],[Exports_TIV]] - Clean_Data[[#This Row],[Imports_TIV]]</f>
        <v>-65000000</v>
      </c>
      <c r="I2597" s="4">
        <f>Clean_Data[[#This Row],[Exports_TIV]] + Clean_Data[[#This Row],[Imports_TIV]]</f>
        <v>65000000</v>
      </c>
    </row>
    <row r="2598" spans="1:9">
      <c r="A2598" s="4" t="s">
        <v>351</v>
      </c>
      <c r="B2598" s="4" t="s">
        <v>352</v>
      </c>
      <c r="C2598" s="5">
        <v>2009</v>
      </c>
      <c r="D2598" s="4">
        <v>0</v>
      </c>
      <c r="E2598" s="4">
        <v>15000000</v>
      </c>
      <c r="F2598" s="4" t="str">
        <f>_xlfn.LET(_xlpm.r, _xlfn.XLOOKUP(Clean_Data[[#This Row],[Country_Code]], Metadata_Country!$A:$A, Metadata_Country!$B:$B, "Unknown"), IF(OR(_xlpm.r=0, _xlpm.r=""), "Regional Aggregate", _xlpm.r))</f>
        <v>Sub-Saharan Africa</v>
      </c>
      <c r="G2598" s="4" t="str">
        <f>_xlfn.LET(_xlpm.ig, _xlfn.XLOOKUP(Clean_Data[[#This Row],[Country_Code]], Metadata_Country!$A:$A, Metadata_Country!$C:$C, "Unknown"), IF(OR(_xlpm.ig=0, _xlpm.ig=""), "Regional Aggregate", _xlpm.ig))</f>
        <v>Lower middle income</v>
      </c>
      <c r="H2598" s="4">
        <f>Clean_Data[[#This Row],[Exports_TIV]] - Clean_Data[[#This Row],[Imports_TIV]]</f>
        <v>-15000000</v>
      </c>
      <c r="I2598" s="4">
        <f>Clean_Data[[#This Row],[Exports_TIV]] + Clean_Data[[#This Row],[Imports_TIV]]</f>
        <v>15000000</v>
      </c>
    </row>
    <row r="2599" spans="1:9">
      <c r="A2599" s="4" t="s">
        <v>361</v>
      </c>
      <c r="B2599" s="4" t="s">
        <v>362</v>
      </c>
      <c r="C2599" s="5">
        <v>2009</v>
      </c>
      <c r="D2599" s="4">
        <v>504000000</v>
      </c>
      <c r="E2599" s="4">
        <v>262000000</v>
      </c>
      <c r="F2599" s="4" t="str">
        <f>_xlfn.LET(_xlpm.r, _xlfn.XLOOKUP(Clean_Data[[#This Row],[Country_Code]], Metadata_Country!$A:$A, Metadata_Country!$B:$B, "Unknown"), IF(OR(_xlpm.r=0, _xlpm.r=""), "Regional Aggregate", _xlpm.r))</f>
        <v>Europe &amp; Central Asia</v>
      </c>
      <c r="G2599" s="4" t="str">
        <f>_xlfn.LET(_xlpm.ig, _xlfn.XLOOKUP(Clean_Data[[#This Row],[Country_Code]], Metadata_Country!$A:$A, Metadata_Country!$C:$C, "Unknown"), IF(OR(_xlpm.ig=0, _xlpm.ig=""), "Regional Aggregate", _xlpm.ig))</f>
        <v>High income</v>
      </c>
      <c r="H2599" s="4">
        <f>Clean_Data[[#This Row],[Exports_TIV]] - Clean_Data[[#This Row],[Imports_TIV]]</f>
        <v>242000000</v>
      </c>
      <c r="I2599" s="4">
        <f>Clean_Data[[#This Row],[Exports_TIV]] + Clean_Data[[#This Row],[Imports_TIV]]</f>
        <v>766000000</v>
      </c>
    </row>
    <row r="2600" spans="1:9">
      <c r="A2600" s="4" t="s">
        <v>369</v>
      </c>
      <c r="B2600" s="4" t="s">
        <v>370</v>
      </c>
      <c r="C2600" s="5">
        <v>2009</v>
      </c>
      <c r="D2600" s="4">
        <v>0</v>
      </c>
      <c r="E2600" s="4">
        <v>56000000</v>
      </c>
      <c r="F2600" s="4" t="str">
        <f>_xlfn.LET(_xlpm.r, _xlfn.XLOOKUP(Clean_Data[[#This Row],[Country_Code]], Metadata_Country!$A:$A, Metadata_Country!$B:$B, "Unknown"), IF(OR(_xlpm.r=0, _xlpm.r=""), "Regional Aggregate", _xlpm.r))</f>
        <v>East Asia &amp; Pacific</v>
      </c>
      <c r="G2600" s="4" t="str">
        <f>_xlfn.LET(_xlpm.ig, _xlfn.XLOOKUP(Clean_Data[[#This Row],[Country_Code]], Metadata_Country!$A:$A, Metadata_Country!$C:$C, "Unknown"), IF(OR(_xlpm.ig=0, _xlpm.ig=""), "Regional Aggregate", _xlpm.ig))</f>
        <v>High income</v>
      </c>
      <c r="H2600" s="4">
        <f>Clean_Data[[#This Row],[Exports_TIV]] - Clean_Data[[#This Row],[Imports_TIV]]</f>
        <v>-56000000</v>
      </c>
      <c r="I2600" s="4">
        <f>Clean_Data[[#This Row],[Exports_TIV]] + Clean_Data[[#This Row],[Imports_TIV]]</f>
        <v>56000000</v>
      </c>
    </row>
    <row r="2601" spans="1:9">
      <c r="A2601" s="4" t="s">
        <v>359</v>
      </c>
      <c r="B2601" s="4" t="s">
        <v>360</v>
      </c>
      <c r="C2601" s="5">
        <v>2009</v>
      </c>
      <c r="D2601" s="4">
        <v>0</v>
      </c>
      <c r="E2601" s="4">
        <v>15000000</v>
      </c>
      <c r="F2601" s="4" t="str">
        <f>_xlfn.LET(_xlpm.r, _xlfn.XLOOKUP(Clean_Data[[#This Row],[Country_Code]], Metadata_Country!$A:$A, Metadata_Country!$B:$B, "Unknown"), IF(OR(_xlpm.r=0, _xlpm.r=""), "Regional Aggregate", _xlpm.r))</f>
        <v>Latin America &amp; Caribbean</v>
      </c>
      <c r="G2601" s="4" t="str">
        <f>_xlfn.LET(_xlpm.ig, _xlfn.XLOOKUP(Clean_Data[[#This Row],[Country_Code]], Metadata_Country!$A:$A, Metadata_Country!$C:$C, "Unknown"), IF(OR(_xlpm.ig=0, _xlpm.ig=""), "Regional Aggregate", _xlpm.ig))</f>
        <v>Lower middle income</v>
      </c>
      <c r="H2601" s="4">
        <f>Clean_Data[[#This Row],[Exports_TIV]] - Clean_Data[[#This Row],[Imports_TIV]]</f>
        <v>-15000000</v>
      </c>
      <c r="I2601" s="4">
        <f>Clean_Data[[#This Row],[Exports_TIV]] + Clean_Data[[#This Row],[Imports_TIV]]</f>
        <v>15000000</v>
      </c>
    </row>
    <row r="2602" spans="1:9">
      <c r="A2602" s="4" t="s">
        <v>355</v>
      </c>
      <c r="B2602" s="4" t="s">
        <v>356</v>
      </c>
      <c r="C2602" s="5">
        <v>2009</v>
      </c>
      <c r="D2602" s="4">
        <v>0</v>
      </c>
      <c r="E2602" s="4">
        <v>1000000</v>
      </c>
      <c r="F2602" s="4" t="str">
        <f>_xlfn.LET(_xlpm.r, _xlfn.XLOOKUP(Clean_Data[[#This Row],[Country_Code]], Metadata_Country!$A:$A, Metadata_Country!$B:$B, "Unknown"), IF(OR(_xlpm.r=0, _xlpm.r=""), "Regional Aggregate", _xlpm.r))</f>
        <v>Sub-Saharan Africa</v>
      </c>
      <c r="G2602" s="4" t="str">
        <f>_xlfn.LET(_xlpm.ig, _xlfn.XLOOKUP(Clean_Data[[#This Row],[Country_Code]], Metadata_Country!$A:$A, Metadata_Country!$C:$C, "Unknown"), IF(OR(_xlpm.ig=0, _xlpm.ig=""), "Regional Aggregate", _xlpm.ig))</f>
        <v>Low income</v>
      </c>
      <c r="H2602" s="4">
        <f>Clean_Data[[#This Row],[Exports_TIV]] - Clean_Data[[#This Row],[Imports_TIV]]</f>
        <v>-1000000</v>
      </c>
      <c r="I2602" s="4">
        <f>Clean_Data[[#This Row],[Exports_TIV]] + Clean_Data[[#This Row],[Imports_TIV]]</f>
        <v>1000000</v>
      </c>
    </row>
    <row r="2603" spans="1:9">
      <c r="A2603" s="4" t="s">
        <v>357</v>
      </c>
      <c r="B2603" s="4" t="s">
        <v>358</v>
      </c>
      <c r="C2603" s="5">
        <v>2009</v>
      </c>
      <c r="D2603" s="4">
        <v>0</v>
      </c>
      <c r="E2603" s="4">
        <v>65000000</v>
      </c>
      <c r="F2603" s="4" t="str">
        <f>_xlfn.LET(_xlpm.r, _xlfn.XLOOKUP(Clean_Data[[#This Row],[Country_Code]], Metadata_Country!$A:$A, Metadata_Country!$B:$B, "Unknown"), IF(OR(_xlpm.r=0, _xlpm.r=""), "Regional Aggregate", _xlpm.r))</f>
        <v>Sub-Saharan Africa</v>
      </c>
      <c r="G2603" s="4" t="str">
        <f>_xlfn.LET(_xlpm.ig, _xlfn.XLOOKUP(Clean_Data[[#This Row],[Country_Code]], Metadata_Country!$A:$A, Metadata_Country!$C:$C, "Unknown"), IF(OR(_xlpm.ig=0, _xlpm.ig=""), "Regional Aggregate", _xlpm.ig))</f>
        <v>Lower middle income</v>
      </c>
      <c r="H2603" s="4">
        <f>Clean_Data[[#This Row],[Exports_TIV]] - Clean_Data[[#This Row],[Imports_TIV]]</f>
        <v>-65000000</v>
      </c>
      <c r="I2603" s="4">
        <f>Clean_Data[[#This Row],[Exports_TIV]] + Clean_Data[[#This Row],[Imports_TIV]]</f>
        <v>65000000</v>
      </c>
    </row>
    <row r="2604" spans="1:9">
      <c r="A2604" s="4" t="s">
        <v>349</v>
      </c>
      <c r="B2604" s="4" t="s">
        <v>350</v>
      </c>
      <c r="C2604" s="5">
        <v>2009</v>
      </c>
      <c r="D2604" s="4">
        <v>7349000000</v>
      </c>
      <c r="E2604" s="4">
        <v>1043000000</v>
      </c>
      <c r="F2604" s="4" t="str">
        <f>_xlfn.LET(_xlpm.r, _xlfn.XLOOKUP(Clean_Data[[#This Row],[Country_Code]], Metadata_Country!$A:$A, Metadata_Country!$B:$B, "Unknown"), IF(OR(_xlpm.r=0, _xlpm.r=""), "Regional Aggregate", _xlpm.r))</f>
        <v>Regional Aggregate</v>
      </c>
      <c r="G2604" s="4" t="str">
        <f>_xlfn.LET(_xlpm.ig, _xlfn.XLOOKUP(Clean_Data[[#This Row],[Country_Code]], Metadata_Country!$A:$A, Metadata_Country!$C:$C, "Unknown"), IF(OR(_xlpm.ig=0, _xlpm.ig=""), "Regional Aggregate", _xlpm.ig))</f>
        <v>Regional Aggregate</v>
      </c>
      <c r="H2604" s="4">
        <f>Clean_Data[[#This Row],[Exports_TIV]] - Clean_Data[[#This Row],[Imports_TIV]]</f>
        <v>6306000000</v>
      </c>
      <c r="I2604" s="4">
        <f>Clean_Data[[#This Row],[Exports_TIV]] + Clean_Data[[#This Row],[Imports_TIV]]</f>
        <v>8392000000</v>
      </c>
    </row>
    <row r="2605" spans="1:9">
      <c r="A2605" s="4" t="s">
        <v>323</v>
      </c>
      <c r="B2605" s="4" t="s">
        <v>324</v>
      </c>
      <c r="C2605" s="5">
        <v>2009</v>
      </c>
      <c r="D2605" s="4">
        <v>0</v>
      </c>
      <c r="E2605" s="4">
        <v>6000000</v>
      </c>
      <c r="F2605" s="4" t="str">
        <f>_xlfn.LET(_xlpm.r, _xlfn.XLOOKUP(Clean_Data[[#This Row],[Country_Code]], Metadata_Country!$A:$A, Metadata_Country!$B:$B, "Unknown"), IF(OR(_xlpm.r=0, _xlpm.r=""), "Regional Aggregate", _xlpm.r))</f>
        <v>Europe &amp; Central Asia</v>
      </c>
      <c r="G2605" s="4" t="str">
        <f>_xlfn.LET(_xlpm.ig, _xlfn.XLOOKUP(Clean_Data[[#This Row],[Country_Code]], Metadata_Country!$A:$A, Metadata_Country!$C:$C, "Unknown"), IF(OR(_xlpm.ig=0, _xlpm.ig=""), "Regional Aggregate", _xlpm.ig))</f>
        <v>Upper middle income</v>
      </c>
      <c r="H2605" s="4">
        <f>Clean_Data[[#This Row],[Exports_TIV]] - Clean_Data[[#This Row],[Imports_TIV]]</f>
        <v>-6000000</v>
      </c>
      <c r="I2605" s="4">
        <f>Clean_Data[[#This Row],[Exports_TIV]] + Clean_Data[[#This Row],[Imports_TIV]]</f>
        <v>6000000</v>
      </c>
    </row>
    <row r="2606" spans="1:9">
      <c r="A2606" s="4" t="s">
        <v>363</v>
      </c>
      <c r="B2606" s="4" t="s">
        <v>364</v>
      </c>
      <c r="C2606" s="5">
        <v>2009</v>
      </c>
      <c r="D2606" s="4">
        <v>31000000</v>
      </c>
      <c r="E2606" s="4">
        <v>569000000</v>
      </c>
      <c r="F2606" s="4" t="str">
        <f>_xlfn.LET(_xlpm.r, _xlfn.XLOOKUP(Clean_Data[[#This Row],[Country_Code]], Metadata_Country!$A:$A, Metadata_Country!$B:$B, "Unknown"), IF(OR(_xlpm.r=0, _xlpm.r=""), "Regional Aggregate", _xlpm.r))</f>
        <v>Europe &amp; Central Asia</v>
      </c>
      <c r="G2606" s="4" t="str">
        <f>_xlfn.LET(_xlpm.ig, _xlfn.XLOOKUP(Clean_Data[[#This Row],[Country_Code]], Metadata_Country!$A:$A, Metadata_Country!$C:$C, "Unknown"), IF(OR(_xlpm.ig=0, _xlpm.ig=""), "Regional Aggregate", _xlpm.ig))</f>
        <v>High income</v>
      </c>
      <c r="H2606" s="4">
        <f>Clean_Data[[#This Row],[Exports_TIV]] - Clean_Data[[#This Row],[Imports_TIV]]</f>
        <v>-538000000</v>
      </c>
      <c r="I2606" s="4">
        <f>Clean_Data[[#This Row],[Exports_TIV]] + Clean_Data[[#This Row],[Imports_TIV]]</f>
        <v>600000000</v>
      </c>
    </row>
    <row r="2607" spans="1:9">
      <c r="A2607" s="4" t="s">
        <v>371</v>
      </c>
      <c r="B2607" s="4" t="s">
        <v>372</v>
      </c>
      <c r="C2607" s="5">
        <v>2009</v>
      </c>
      <c r="D2607" s="4">
        <v>16922000000</v>
      </c>
      <c r="E2607" s="4">
        <v>9667000000</v>
      </c>
      <c r="F2607" s="4" t="str">
        <f>_xlfn.LET(_xlpm.r, _xlfn.XLOOKUP(Clean_Data[[#This Row],[Country_Code]], Metadata_Country!$A:$A, Metadata_Country!$B:$B, "Unknown"), IF(OR(_xlpm.r=0, _xlpm.r=""), "Regional Aggregate", _xlpm.r))</f>
        <v>Regional Aggregate</v>
      </c>
      <c r="G2607" s="4" t="str">
        <f>_xlfn.LET(_xlpm.ig, _xlfn.XLOOKUP(Clean_Data[[#This Row],[Country_Code]], Metadata_Country!$A:$A, Metadata_Country!$C:$C, "Unknown"), IF(OR(_xlpm.ig=0, _xlpm.ig=""), "Regional Aggregate", _xlpm.ig))</f>
        <v>Regional Aggregate</v>
      </c>
      <c r="H2607" s="4">
        <f>Clean_Data[[#This Row],[Exports_TIV]] - Clean_Data[[#This Row],[Imports_TIV]]</f>
        <v>7255000000</v>
      </c>
      <c r="I2607" s="4">
        <f>Clean_Data[[#This Row],[Exports_TIV]] + Clean_Data[[#This Row],[Imports_TIV]]</f>
        <v>26589000000</v>
      </c>
    </row>
    <row r="2608" spans="1:9">
      <c r="A2608" s="4" t="s">
        <v>373</v>
      </c>
      <c r="B2608" s="4" t="s">
        <v>374</v>
      </c>
      <c r="C2608" s="5">
        <v>2009</v>
      </c>
      <c r="D2608" s="4">
        <v>0</v>
      </c>
      <c r="E2608" s="4">
        <v>95000000</v>
      </c>
      <c r="F2608" s="4" t="str">
        <f>_xlfn.LET(_xlpm.r, _xlfn.XLOOKUP(Clean_Data[[#This Row],[Country_Code]], Metadata_Country!$A:$A, Metadata_Country!$B:$B, "Unknown"), IF(OR(_xlpm.r=0, _xlpm.r=""), "Regional Aggregate", _xlpm.r))</f>
        <v>Middle East &amp; North Africa</v>
      </c>
      <c r="G2608" s="4" t="str">
        <f>_xlfn.LET(_xlpm.ig, _xlfn.XLOOKUP(Clean_Data[[#This Row],[Country_Code]], Metadata_Country!$A:$A, Metadata_Country!$C:$C, "Unknown"), IF(OR(_xlpm.ig=0, _xlpm.ig=""), "Regional Aggregate", _xlpm.ig))</f>
        <v>High income</v>
      </c>
      <c r="H2608" s="4">
        <f>Clean_Data[[#This Row],[Exports_TIV]] - Clean_Data[[#This Row],[Imports_TIV]]</f>
        <v>-95000000</v>
      </c>
      <c r="I2608" s="4">
        <f>Clean_Data[[#This Row],[Exports_TIV]] + Clean_Data[[#This Row],[Imports_TIV]]</f>
        <v>95000000</v>
      </c>
    </row>
    <row r="2609" spans="1:9">
      <c r="A2609" s="4" t="s">
        <v>377</v>
      </c>
      <c r="B2609" s="4" t="s">
        <v>378</v>
      </c>
      <c r="C2609" s="5">
        <v>2009</v>
      </c>
      <c r="D2609" s="4">
        <v>0</v>
      </c>
      <c r="E2609" s="4">
        <v>1195000000</v>
      </c>
      <c r="F2609" s="4" t="str">
        <f>_xlfn.LET(_xlpm.r, _xlfn.XLOOKUP(Clean_Data[[#This Row],[Country_Code]], Metadata_Country!$A:$A, Metadata_Country!$B:$B, "Unknown"), IF(OR(_xlpm.r=0, _xlpm.r=""), "Regional Aggregate", _xlpm.r))</f>
        <v>Middle East &amp; North Africa</v>
      </c>
      <c r="G2609" s="4" t="str">
        <f>_xlfn.LET(_xlpm.ig, _xlfn.XLOOKUP(Clean_Data[[#This Row],[Country_Code]], Metadata_Country!$A:$A, Metadata_Country!$C:$C, "Unknown"), IF(OR(_xlpm.ig=0, _xlpm.ig=""), "Regional Aggregate", _xlpm.ig))</f>
        <v>Lower middle income</v>
      </c>
      <c r="H2609" s="4">
        <f>Clean_Data[[#This Row],[Exports_TIV]] - Clean_Data[[#This Row],[Imports_TIV]]</f>
        <v>-1195000000</v>
      </c>
      <c r="I2609" s="4">
        <f>Clean_Data[[#This Row],[Exports_TIV]] + Clean_Data[[#This Row],[Imports_TIV]]</f>
        <v>1195000000</v>
      </c>
    </row>
    <row r="2610" spans="1:9">
      <c r="A2610" s="4" t="s">
        <v>381</v>
      </c>
      <c r="B2610" s="4" t="s">
        <v>382</v>
      </c>
      <c r="C2610" s="5">
        <v>2009</v>
      </c>
      <c r="D2610" s="4">
        <v>0</v>
      </c>
      <c r="E2610" s="4">
        <v>43000000</v>
      </c>
      <c r="F2610" s="4" t="str">
        <f>_xlfn.LET(_xlpm.r, _xlfn.XLOOKUP(Clean_Data[[#This Row],[Country_Code]], Metadata_Country!$A:$A, Metadata_Country!$B:$B, "Unknown"), IF(OR(_xlpm.r=0, _xlpm.r=""), "Regional Aggregate", _xlpm.r))</f>
        <v>Latin America &amp; Caribbean</v>
      </c>
      <c r="G2610" s="4" t="str">
        <f>_xlfn.LET(_xlpm.ig, _xlfn.XLOOKUP(Clean_Data[[#This Row],[Country_Code]], Metadata_Country!$A:$A, Metadata_Country!$C:$C, "Unknown"), IF(OR(_xlpm.ig=0, _xlpm.ig=""), "Regional Aggregate", _xlpm.ig))</f>
        <v>Upper middle income</v>
      </c>
      <c r="H2610" s="4">
        <f>Clean_Data[[#This Row],[Exports_TIV]] - Clean_Data[[#This Row],[Imports_TIV]]</f>
        <v>-43000000</v>
      </c>
      <c r="I2610" s="4">
        <f>Clean_Data[[#This Row],[Exports_TIV]] + Clean_Data[[#This Row],[Imports_TIV]]</f>
        <v>43000000</v>
      </c>
    </row>
    <row r="2611" spans="1:9">
      <c r="A2611" s="4" t="s">
        <v>383</v>
      </c>
      <c r="B2611" s="4" t="s">
        <v>384</v>
      </c>
      <c r="C2611" s="5">
        <v>2009</v>
      </c>
      <c r="D2611" s="4">
        <v>0</v>
      </c>
      <c r="E2611" s="4">
        <v>1000000</v>
      </c>
      <c r="F2611" s="4" t="str">
        <f>_xlfn.LET(_xlpm.r, _xlfn.XLOOKUP(Clean_Data[[#This Row],[Country_Code]], Metadata_Country!$A:$A, Metadata_Country!$B:$B, "Unknown"), IF(OR(_xlpm.r=0, _xlpm.r=""), "Regional Aggregate", _xlpm.r))</f>
        <v>East Asia &amp; Pacific</v>
      </c>
      <c r="G2611" s="4" t="str">
        <f>_xlfn.LET(_xlpm.ig, _xlfn.XLOOKUP(Clean_Data[[#This Row],[Country_Code]], Metadata_Country!$A:$A, Metadata_Country!$C:$C, "Unknown"), IF(OR(_xlpm.ig=0, _xlpm.ig=""), "Regional Aggregate", _xlpm.ig))</f>
        <v>Upper middle income</v>
      </c>
      <c r="H2611" s="4">
        <f>Clean_Data[[#This Row],[Exports_TIV]] - Clean_Data[[#This Row],[Imports_TIV]]</f>
        <v>-1000000</v>
      </c>
      <c r="I2611" s="4">
        <f>Clean_Data[[#This Row],[Exports_TIV]] + Clean_Data[[#This Row],[Imports_TIV]]</f>
        <v>1000000</v>
      </c>
    </row>
    <row r="2612" spans="1:9">
      <c r="A2612" s="4" t="s">
        <v>389</v>
      </c>
      <c r="B2612" s="4" t="s">
        <v>390</v>
      </c>
      <c r="C2612" s="5">
        <v>2009</v>
      </c>
      <c r="D2612" s="4">
        <v>75000000</v>
      </c>
      <c r="E2612" s="4">
        <v>193000000</v>
      </c>
      <c r="F2612" s="4" t="str">
        <f>_xlfn.LET(_xlpm.r, _xlfn.XLOOKUP(Clean_Data[[#This Row],[Country_Code]], Metadata_Country!$A:$A, Metadata_Country!$B:$B, "Unknown"), IF(OR(_xlpm.r=0, _xlpm.r=""), "Regional Aggregate", _xlpm.r))</f>
        <v>Europe &amp; Central Asia</v>
      </c>
      <c r="G2612" s="4" t="str">
        <f>_xlfn.LET(_xlpm.ig, _xlfn.XLOOKUP(Clean_Data[[#This Row],[Country_Code]], Metadata_Country!$A:$A, Metadata_Country!$C:$C, "Unknown"), IF(OR(_xlpm.ig=0, _xlpm.ig=""), "Regional Aggregate", _xlpm.ig))</f>
        <v>High income</v>
      </c>
      <c r="H2612" s="4">
        <f>Clean_Data[[#This Row],[Exports_TIV]] - Clean_Data[[#This Row],[Imports_TIV]]</f>
        <v>-118000000</v>
      </c>
      <c r="I2612" s="4">
        <f>Clean_Data[[#This Row],[Exports_TIV]] + Clean_Data[[#This Row],[Imports_TIV]]</f>
        <v>268000000</v>
      </c>
    </row>
    <row r="2613" spans="1:9">
      <c r="A2613" s="4" t="s">
        <v>397</v>
      </c>
      <c r="B2613" s="4" t="s">
        <v>398</v>
      </c>
      <c r="C2613" s="5">
        <v>2009</v>
      </c>
      <c r="D2613" s="4">
        <v>46000000</v>
      </c>
      <c r="E2613" s="4">
        <v>371000000</v>
      </c>
      <c r="F2613" s="4" t="str">
        <f>_xlfn.LET(_xlpm.r, _xlfn.XLOOKUP(Clean_Data[[#This Row],[Country_Code]], Metadata_Country!$A:$A, Metadata_Country!$B:$B, "Unknown"), IF(OR(_xlpm.r=0, _xlpm.r=""), "Regional Aggregate", _xlpm.r))</f>
        <v>Europe &amp; Central Asia</v>
      </c>
      <c r="G2613" s="4" t="str">
        <f>_xlfn.LET(_xlpm.ig, _xlfn.XLOOKUP(Clean_Data[[#This Row],[Country_Code]], Metadata_Country!$A:$A, Metadata_Country!$C:$C, "Unknown"), IF(OR(_xlpm.ig=0, _xlpm.ig=""), "Regional Aggregate", _xlpm.ig))</f>
        <v>High income</v>
      </c>
      <c r="H2613" s="4">
        <f>Clean_Data[[#This Row],[Exports_TIV]] - Clean_Data[[#This Row],[Imports_TIV]]</f>
        <v>-325000000</v>
      </c>
      <c r="I2613" s="4">
        <f>Clean_Data[[#This Row],[Exports_TIV]] + Clean_Data[[#This Row],[Imports_TIV]]</f>
        <v>417000000</v>
      </c>
    </row>
    <row r="2614" spans="1:9">
      <c r="A2614" s="4" t="s">
        <v>405</v>
      </c>
      <c r="B2614" s="4" t="s">
        <v>406</v>
      </c>
      <c r="C2614" s="5">
        <v>2009</v>
      </c>
      <c r="D2614" s="4">
        <v>16438000000</v>
      </c>
      <c r="E2614" s="4">
        <v>9423000000</v>
      </c>
      <c r="F2614" s="4" t="str">
        <f>_xlfn.LET(_xlpm.r, _xlfn.XLOOKUP(Clean_Data[[#This Row],[Country_Code]], Metadata_Country!$A:$A, Metadata_Country!$B:$B, "Unknown"), IF(OR(_xlpm.r=0, _xlpm.r=""), "Regional Aggregate", _xlpm.r))</f>
        <v>Regional Aggregate</v>
      </c>
      <c r="G2614" s="4" t="str">
        <f>_xlfn.LET(_xlpm.ig, _xlfn.XLOOKUP(Clean_Data[[#This Row],[Country_Code]], Metadata_Country!$A:$A, Metadata_Country!$C:$C, "Unknown"), IF(OR(_xlpm.ig=0, _xlpm.ig=""), "Regional Aggregate", _xlpm.ig))</f>
        <v>Regional Aggregate</v>
      </c>
      <c r="H2614" s="4">
        <f>Clean_Data[[#This Row],[Exports_TIV]] - Clean_Data[[#This Row],[Imports_TIV]]</f>
        <v>7015000000</v>
      </c>
      <c r="I2614" s="4">
        <f>Clean_Data[[#This Row],[Exports_TIV]] + Clean_Data[[#This Row],[Imports_TIV]]</f>
        <v>25861000000</v>
      </c>
    </row>
    <row r="2615" spans="1:9">
      <c r="A2615" s="4" t="s">
        <v>391</v>
      </c>
      <c r="B2615" s="4" t="s">
        <v>392</v>
      </c>
      <c r="C2615" s="5">
        <v>2009</v>
      </c>
      <c r="D2615" s="4">
        <v>0</v>
      </c>
      <c r="E2615" s="4">
        <v>1205000000</v>
      </c>
      <c r="F2615" s="4" t="str">
        <f>_xlfn.LET(_xlpm.r, _xlfn.XLOOKUP(Clean_Data[[#This Row],[Country_Code]], Metadata_Country!$A:$A, Metadata_Country!$B:$B, "Unknown"), IF(OR(_xlpm.r=0, _xlpm.r=""), "Regional Aggregate", _xlpm.r))</f>
        <v>Regional Aggregate</v>
      </c>
      <c r="G2615" s="4" t="str">
        <f>_xlfn.LET(_xlpm.ig, _xlfn.XLOOKUP(Clean_Data[[#This Row],[Country_Code]], Metadata_Country!$A:$A, Metadata_Country!$C:$C, "Unknown"), IF(OR(_xlpm.ig=0, _xlpm.ig=""), "Regional Aggregate", _xlpm.ig))</f>
        <v>Regional Aggregate</v>
      </c>
      <c r="H2615" s="4">
        <f>Clean_Data[[#This Row],[Exports_TIV]] - Clean_Data[[#This Row],[Imports_TIV]]</f>
        <v>-1205000000</v>
      </c>
      <c r="I2615" s="4">
        <f>Clean_Data[[#This Row],[Exports_TIV]] + Clean_Data[[#This Row],[Imports_TIV]]</f>
        <v>1205000000</v>
      </c>
    </row>
    <row r="2616" spans="1:9">
      <c r="A2616" s="4" t="s">
        <v>409</v>
      </c>
      <c r="B2616" s="4" t="s">
        <v>410</v>
      </c>
      <c r="C2616" s="5">
        <v>2009</v>
      </c>
      <c r="D2616" s="4">
        <v>0</v>
      </c>
      <c r="E2616" s="4">
        <v>286000000</v>
      </c>
      <c r="F2616" s="4" t="str">
        <f>_xlfn.LET(_xlpm.r, _xlfn.XLOOKUP(Clean_Data[[#This Row],[Country_Code]], Metadata_Country!$A:$A, Metadata_Country!$B:$B, "Unknown"), IF(OR(_xlpm.r=0, _xlpm.r=""), "Regional Aggregate", _xlpm.r))</f>
        <v>Middle East &amp; North Africa</v>
      </c>
      <c r="G2616" s="4" t="str">
        <f>_xlfn.LET(_xlpm.ig, _xlfn.XLOOKUP(Clean_Data[[#This Row],[Country_Code]], Metadata_Country!$A:$A, Metadata_Country!$C:$C, "Unknown"), IF(OR(_xlpm.ig=0, _xlpm.ig=""), "Regional Aggregate", _xlpm.ig))</f>
        <v>High income</v>
      </c>
      <c r="H2616" s="4">
        <f>Clean_Data[[#This Row],[Exports_TIV]] - Clean_Data[[#This Row],[Imports_TIV]]</f>
        <v>-286000000</v>
      </c>
      <c r="I2616" s="4">
        <f>Clean_Data[[#This Row],[Exports_TIV]] + Clean_Data[[#This Row],[Imports_TIV]]</f>
        <v>286000000</v>
      </c>
    </row>
    <row r="2617" spans="1:9">
      <c r="A2617" s="4" t="s">
        <v>411</v>
      </c>
      <c r="B2617" s="4" t="s">
        <v>412</v>
      </c>
      <c r="C2617" s="5">
        <v>2009</v>
      </c>
      <c r="D2617" s="4">
        <v>2000000</v>
      </c>
      <c r="E2617" s="4">
        <v>59000000</v>
      </c>
      <c r="F2617" s="4" t="str">
        <f>_xlfn.LET(_xlpm.r, _xlfn.XLOOKUP(Clean_Data[[#This Row],[Country_Code]], Metadata_Country!$A:$A, Metadata_Country!$B:$B, "Unknown"), IF(OR(_xlpm.r=0, _xlpm.r=""), "Regional Aggregate", _xlpm.r))</f>
        <v>Europe &amp; Central Asia</v>
      </c>
      <c r="G2617" s="4" t="str">
        <f>_xlfn.LET(_xlpm.ig, _xlfn.XLOOKUP(Clean_Data[[#This Row],[Country_Code]], Metadata_Country!$A:$A, Metadata_Country!$C:$C, "Unknown"), IF(OR(_xlpm.ig=0, _xlpm.ig=""), "Regional Aggregate", _xlpm.ig))</f>
        <v>High income</v>
      </c>
      <c r="H2617" s="4">
        <f>Clean_Data[[#This Row],[Exports_TIV]] - Clean_Data[[#This Row],[Imports_TIV]]</f>
        <v>-57000000</v>
      </c>
      <c r="I2617" s="4">
        <f>Clean_Data[[#This Row],[Exports_TIV]] + Clean_Data[[#This Row],[Imports_TIV]]</f>
        <v>61000000</v>
      </c>
    </row>
    <row r="2618" spans="1:9">
      <c r="A2618" s="4" t="s">
        <v>413</v>
      </c>
      <c r="B2618" s="4" t="s">
        <v>414</v>
      </c>
      <c r="C2618" s="5">
        <v>2009</v>
      </c>
      <c r="D2618" s="4">
        <v>5126000000</v>
      </c>
      <c r="E2618" s="4">
        <v>8000000</v>
      </c>
      <c r="F2618" s="4" t="str">
        <f>_xlfn.LET(_xlpm.r, _xlfn.XLOOKUP(Clean_Data[[#This Row],[Country_Code]], Metadata_Country!$A:$A, Metadata_Country!$B:$B, "Unknown"), IF(OR(_xlpm.r=0, _xlpm.r=""), "Regional Aggregate", _xlpm.r))</f>
        <v>Europe &amp; Central Asia</v>
      </c>
      <c r="G2618" s="4" t="str">
        <f>_xlfn.LET(_xlpm.ig, _xlfn.XLOOKUP(Clean_Data[[#This Row],[Country_Code]], Metadata_Country!$A:$A, Metadata_Country!$C:$C, "Unknown"), IF(OR(_xlpm.ig=0, _xlpm.ig=""), "Regional Aggregate", _xlpm.ig))</f>
        <v>High income</v>
      </c>
      <c r="H2618" s="4">
        <f>Clean_Data[[#This Row],[Exports_TIV]] - Clean_Data[[#This Row],[Imports_TIV]]</f>
        <v>5118000000</v>
      </c>
      <c r="I2618" s="4">
        <f>Clean_Data[[#This Row],[Exports_TIV]] + Clean_Data[[#This Row],[Imports_TIV]]</f>
        <v>5134000000</v>
      </c>
    </row>
    <row r="2619" spans="1:9">
      <c r="A2619" s="4" t="s">
        <v>415</v>
      </c>
      <c r="B2619" s="4" t="s">
        <v>416</v>
      </c>
      <c r="C2619" s="5">
        <v>2009</v>
      </c>
      <c r="D2619" s="4">
        <v>0</v>
      </c>
      <c r="E2619" s="4">
        <v>11000000</v>
      </c>
      <c r="F2619" s="4" t="str">
        <f>_xlfn.LET(_xlpm.r, _xlfn.XLOOKUP(Clean_Data[[#This Row],[Country_Code]], Metadata_Country!$A:$A, Metadata_Country!$B:$B, "Unknown"), IF(OR(_xlpm.r=0, _xlpm.r=""), "Regional Aggregate", _xlpm.r))</f>
        <v>Sub-Saharan Africa</v>
      </c>
      <c r="G2619" s="4" t="str">
        <f>_xlfn.LET(_xlpm.ig, _xlfn.XLOOKUP(Clean_Data[[#This Row],[Country_Code]], Metadata_Country!$A:$A, Metadata_Country!$C:$C, "Unknown"), IF(OR(_xlpm.ig=0, _xlpm.ig=""), "Regional Aggregate", _xlpm.ig))</f>
        <v>Low income</v>
      </c>
      <c r="H2619" s="4">
        <f>Clean_Data[[#This Row],[Exports_TIV]] - Clean_Data[[#This Row],[Imports_TIV]]</f>
        <v>-11000000</v>
      </c>
      <c r="I2619" s="4">
        <f>Clean_Data[[#This Row],[Exports_TIV]] + Clean_Data[[#This Row],[Imports_TIV]]</f>
        <v>11000000</v>
      </c>
    </row>
    <row r="2620" spans="1:9">
      <c r="A2620" s="4" t="s">
        <v>419</v>
      </c>
      <c r="B2620" s="4" t="s">
        <v>420</v>
      </c>
      <c r="C2620" s="5">
        <v>2009</v>
      </c>
      <c r="D2620" s="4">
        <v>0</v>
      </c>
      <c r="E2620" s="4">
        <v>828000000</v>
      </c>
      <c r="F2620" s="4" t="str">
        <f>_xlfn.LET(_xlpm.r, _xlfn.XLOOKUP(Clean_Data[[#This Row],[Country_Code]], Metadata_Country!$A:$A, Metadata_Country!$B:$B, "Unknown"), IF(OR(_xlpm.r=0, _xlpm.r=""), "Regional Aggregate", _xlpm.r))</f>
        <v>Middle East &amp; North Africa</v>
      </c>
      <c r="G2620" s="4" t="str">
        <f>_xlfn.LET(_xlpm.ig, _xlfn.XLOOKUP(Clean_Data[[#This Row],[Country_Code]], Metadata_Country!$A:$A, Metadata_Country!$C:$C, "Unknown"), IF(OR(_xlpm.ig=0, _xlpm.ig=""), "Regional Aggregate", _xlpm.ig))</f>
        <v>High income</v>
      </c>
      <c r="H2620" s="4">
        <f>Clean_Data[[#This Row],[Exports_TIV]] - Clean_Data[[#This Row],[Imports_TIV]]</f>
        <v>-828000000</v>
      </c>
      <c r="I2620" s="4">
        <f>Clean_Data[[#This Row],[Exports_TIV]] + Clean_Data[[#This Row],[Imports_TIV]]</f>
        <v>828000000</v>
      </c>
    </row>
    <row r="2621" spans="1:9">
      <c r="A2621" s="4" t="s">
        <v>423</v>
      </c>
      <c r="B2621" s="4" t="s">
        <v>424</v>
      </c>
      <c r="C2621" s="5">
        <v>2009</v>
      </c>
      <c r="D2621" s="4">
        <v>0</v>
      </c>
      <c r="E2621" s="4">
        <v>6000000</v>
      </c>
      <c r="F2621" s="4" t="str">
        <f>_xlfn.LET(_xlpm.r, _xlfn.XLOOKUP(Clean_Data[[#This Row],[Country_Code]], Metadata_Country!$A:$A, Metadata_Country!$B:$B, "Unknown"), IF(OR(_xlpm.r=0, _xlpm.r=""), "Regional Aggregate", _xlpm.r))</f>
        <v>Sub-Saharan Africa</v>
      </c>
      <c r="G2621" s="4" t="str">
        <f>_xlfn.LET(_xlpm.ig, _xlfn.XLOOKUP(Clean_Data[[#This Row],[Country_Code]], Metadata_Country!$A:$A, Metadata_Country!$C:$C, "Unknown"), IF(OR(_xlpm.ig=0, _xlpm.ig=""), "Regional Aggregate", _xlpm.ig))</f>
        <v>Lower middle income</v>
      </c>
      <c r="H2621" s="4">
        <f>Clean_Data[[#This Row],[Exports_TIV]] - Clean_Data[[#This Row],[Imports_TIV]]</f>
        <v>-6000000</v>
      </c>
      <c r="I2621" s="4">
        <f>Clean_Data[[#This Row],[Exports_TIV]] + Clean_Data[[#This Row],[Imports_TIV]]</f>
        <v>6000000</v>
      </c>
    </row>
    <row r="2622" spans="1:9">
      <c r="A2622" s="4" t="s">
        <v>437</v>
      </c>
      <c r="B2622" s="4" t="s">
        <v>438</v>
      </c>
      <c r="C2622" s="5">
        <v>2009</v>
      </c>
      <c r="D2622" s="4">
        <v>0</v>
      </c>
      <c r="E2622" s="4">
        <v>0</v>
      </c>
      <c r="F2622" s="4" t="str">
        <f>_xlfn.LET(_xlpm.r, _xlfn.XLOOKUP(Clean_Data[[#This Row],[Country_Code]], Metadata_Country!$A:$A, Metadata_Country!$B:$B, "Unknown"), IF(OR(_xlpm.r=0, _xlpm.r=""), "Regional Aggregate", _xlpm.r))</f>
        <v>Europe &amp; Central Asia</v>
      </c>
      <c r="G2622" s="4" t="str">
        <f>_xlfn.LET(_xlpm.ig, _xlfn.XLOOKUP(Clean_Data[[#This Row],[Country_Code]], Metadata_Country!$A:$A, Metadata_Country!$C:$C, "Unknown"), IF(OR(_xlpm.ig=0, _xlpm.ig=""), "Regional Aggregate", _xlpm.ig))</f>
        <v>Upper middle income</v>
      </c>
      <c r="H2622" s="4">
        <f>Clean_Data[[#This Row],[Exports_TIV]] - Clean_Data[[#This Row],[Imports_TIV]]</f>
        <v>0</v>
      </c>
      <c r="I2622" s="4">
        <f>Clean_Data[[#This Row],[Exports_TIV]] + Clean_Data[[#This Row],[Imports_TIV]]</f>
        <v>0</v>
      </c>
    </row>
    <row r="2623" spans="1:9">
      <c r="A2623" s="4" t="s">
        <v>425</v>
      </c>
      <c r="B2623" s="4" t="s">
        <v>426</v>
      </c>
      <c r="C2623" s="5">
        <v>2009</v>
      </c>
      <c r="D2623" s="4">
        <v>35000000</v>
      </c>
      <c r="E2623" s="4">
        <v>1403000000</v>
      </c>
      <c r="F2623" s="4" t="str">
        <f>_xlfn.LET(_xlpm.r, _xlfn.XLOOKUP(Clean_Data[[#This Row],[Country_Code]], Metadata_Country!$A:$A, Metadata_Country!$B:$B, "Unknown"), IF(OR(_xlpm.r=0, _xlpm.r=""), "Regional Aggregate", _xlpm.r))</f>
        <v>East Asia &amp; Pacific</v>
      </c>
      <c r="G2623" s="4" t="str">
        <f>_xlfn.LET(_xlpm.ig, _xlfn.XLOOKUP(Clean_Data[[#This Row],[Country_Code]], Metadata_Country!$A:$A, Metadata_Country!$C:$C, "Unknown"), IF(OR(_xlpm.ig=0, _xlpm.ig=""), "Regional Aggregate", _xlpm.ig))</f>
        <v>High income</v>
      </c>
      <c r="H2623" s="4">
        <f>Clean_Data[[#This Row],[Exports_TIV]] - Clean_Data[[#This Row],[Imports_TIV]]</f>
        <v>-1368000000</v>
      </c>
      <c r="I2623" s="4">
        <f>Clean_Data[[#This Row],[Exports_TIV]] + Clean_Data[[#This Row],[Imports_TIV]]</f>
        <v>1438000000</v>
      </c>
    </row>
    <row r="2624" spans="1:9">
      <c r="A2624" s="4" t="s">
        <v>451</v>
      </c>
      <c r="B2624" s="4" t="s">
        <v>452</v>
      </c>
      <c r="C2624" s="5">
        <v>2009</v>
      </c>
      <c r="D2624" s="4">
        <v>0</v>
      </c>
      <c r="E2624" s="4">
        <v>10000000</v>
      </c>
      <c r="F2624" s="4" t="str">
        <f>_xlfn.LET(_xlpm.r, _xlfn.XLOOKUP(Clean_Data[[#This Row],[Country_Code]], Metadata_Country!$A:$A, Metadata_Country!$B:$B, "Unknown"), IF(OR(_xlpm.r=0, _xlpm.r=""), "Regional Aggregate", _xlpm.r))</f>
        <v>Europe &amp; Central Asia</v>
      </c>
      <c r="G2624" s="4" t="str">
        <f>_xlfn.LET(_xlpm.ig, _xlfn.XLOOKUP(Clean_Data[[#This Row],[Country_Code]], Metadata_Country!$A:$A, Metadata_Country!$C:$C, "Unknown"), IF(OR(_xlpm.ig=0, _xlpm.ig=""), "Regional Aggregate", _xlpm.ig))</f>
        <v>High income</v>
      </c>
      <c r="H2624" s="4">
        <f>Clean_Data[[#This Row],[Exports_TIV]] - Clean_Data[[#This Row],[Imports_TIV]]</f>
        <v>-10000000</v>
      </c>
      <c r="I2624" s="4">
        <f>Clean_Data[[#This Row],[Exports_TIV]] + Clean_Data[[#This Row],[Imports_TIV]]</f>
        <v>10000000</v>
      </c>
    </row>
    <row r="2625" spans="1:9">
      <c r="A2625" s="4" t="s">
        <v>453</v>
      </c>
      <c r="B2625" s="4" t="s">
        <v>454</v>
      </c>
      <c r="C2625" s="5">
        <v>2009</v>
      </c>
      <c r="D2625" s="4">
        <v>0</v>
      </c>
      <c r="E2625" s="4">
        <v>10000000</v>
      </c>
      <c r="F2625" s="4" t="str">
        <f>_xlfn.LET(_xlpm.r, _xlfn.XLOOKUP(Clean_Data[[#This Row],[Country_Code]], Metadata_Country!$A:$A, Metadata_Country!$B:$B, "Unknown"), IF(OR(_xlpm.r=0, _xlpm.r=""), "Regional Aggregate", _xlpm.r))</f>
        <v>Europe &amp; Central Asia</v>
      </c>
      <c r="G2625" s="4" t="str">
        <f>_xlfn.LET(_xlpm.ig, _xlfn.XLOOKUP(Clean_Data[[#This Row],[Country_Code]], Metadata_Country!$A:$A, Metadata_Country!$C:$C, "Unknown"), IF(OR(_xlpm.ig=0, _xlpm.ig=""), "Regional Aggregate", _xlpm.ig))</f>
        <v>High income</v>
      </c>
      <c r="H2625" s="4">
        <f>Clean_Data[[#This Row],[Exports_TIV]] - Clean_Data[[#This Row],[Imports_TIV]]</f>
        <v>-10000000</v>
      </c>
      <c r="I2625" s="4">
        <f>Clean_Data[[#This Row],[Exports_TIV]] + Clean_Data[[#This Row],[Imports_TIV]]</f>
        <v>10000000</v>
      </c>
    </row>
    <row r="2626" spans="1:9">
      <c r="A2626" s="4" t="s">
        <v>535</v>
      </c>
      <c r="B2626" s="4" t="s">
        <v>536</v>
      </c>
      <c r="C2626" s="5">
        <v>2009</v>
      </c>
      <c r="D2626" s="4">
        <v>108000000</v>
      </c>
      <c r="E2626" s="4">
        <v>134000000</v>
      </c>
      <c r="F2626" s="4" t="str">
        <f>_xlfn.LET(_xlpm.r, _xlfn.XLOOKUP(Clean_Data[[#This Row],[Country_Code]], Metadata_Country!$A:$A, Metadata_Country!$B:$B, "Unknown"), IF(OR(_xlpm.r=0, _xlpm.r=""), "Regional Aggregate", _xlpm.r))</f>
        <v>Sub-Saharan Africa</v>
      </c>
      <c r="G2626" s="4" t="str">
        <f>_xlfn.LET(_xlpm.ig, _xlfn.XLOOKUP(Clean_Data[[#This Row],[Country_Code]], Metadata_Country!$A:$A, Metadata_Country!$C:$C, "Unknown"), IF(OR(_xlpm.ig=0, _xlpm.ig=""), "Regional Aggregate", _xlpm.ig))</f>
        <v>Upper middle income</v>
      </c>
      <c r="H2626" s="4">
        <f>Clean_Data[[#This Row],[Exports_TIV]] - Clean_Data[[#This Row],[Imports_TIV]]</f>
        <v>-26000000</v>
      </c>
      <c r="I2626" s="4">
        <f>Clean_Data[[#This Row],[Exports_TIV]] + Clean_Data[[#This Row],[Imports_TIV]]</f>
        <v>242000000</v>
      </c>
    </row>
    <row r="2627" spans="1:9">
      <c r="A2627" s="4" t="s">
        <v>417</v>
      </c>
      <c r="B2627" s="4" t="s">
        <v>418</v>
      </c>
      <c r="C2627" s="5">
        <v>2009</v>
      </c>
      <c r="D2627" s="4">
        <v>27000000</v>
      </c>
      <c r="E2627" s="4">
        <v>1979000000</v>
      </c>
      <c r="F2627" s="4" t="str">
        <f>_xlfn.LET(_xlpm.r, _xlfn.XLOOKUP(Clean_Data[[#This Row],[Country_Code]], Metadata_Country!$A:$A, Metadata_Country!$B:$B, "Unknown"), IF(OR(_xlpm.r=0, _xlpm.r=""), "Regional Aggregate", _xlpm.r))</f>
        <v>Regional Aggregate</v>
      </c>
      <c r="G2627" s="4" t="str">
        <f>_xlfn.LET(_xlpm.ig, _xlfn.XLOOKUP(Clean_Data[[#This Row],[Country_Code]], Metadata_Country!$A:$A, Metadata_Country!$C:$C, "Unknown"), IF(OR(_xlpm.ig=0, _xlpm.ig=""), "Regional Aggregate", _xlpm.ig))</f>
        <v>Regional Aggregate</v>
      </c>
      <c r="H2627" s="4">
        <f>Clean_Data[[#This Row],[Exports_TIV]] - Clean_Data[[#This Row],[Imports_TIV]]</f>
        <v>-1952000000</v>
      </c>
      <c r="I2627" s="4">
        <f>Clean_Data[[#This Row],[Exports_TIV]] + Clean_Data[[#This Row],[Imports_TIV]]</f>
        <v>2006000000</v>
      </c>
    </row>
    <row r="2628" spans="1:9">
      <c r="A2628" s="4" t="s">
        <v>489</v>
      </c>
      <c r="B2628" s="4" t="s">
        <v>490</v>
      </c>
      <c r="C2628" s="5">
        <v>2009</v>
      </c>
      <c r="D2628" s="4">
        <v>27000000</v>
      </c>
      <c r="E2628" s="4">
        <v>1979000000</v>
      </c>
      <c r="F2628" s="4" t="str">
        <f>_xlfn.LET(_xlpm.r, _xlfn.XLOOKUP(Clean_Data[[#This Row],[Country_Code]], Metadata_Country!$A:$A, Metadata_Country!$B:$B, "Unknown"), IF(OR(_xlpm.r=0, _xlpm.r=""), "Regional Aggregate", _xlpm.r))</f>
        <v>Regional Aggregate</v>
      </c>
      <c r="G2628" s="4" t="str">
        <f>_xlfn.LET(_xlpm.ig, _xlfn.XLOOKUP(Clean_Data[[#This Row],[Country_Code]], Metadata_Country!$A:$A, Metadata_Country!$C:$C, "Unknown"), IF(OR(_xlpm.ig=0, _xlpm.ig=""), "Regional Aggregate", _xlpm.ig))</f>
        <v>Regional Aggregate</v>
      </c>
      <c r="H2628" s="4">
        <f>Clean_Data[[#This Row],[Exports_TIV]] - Clean_Data[[#This Row],[Imports_TIV]]</f>
        <v>-1952000000</v>
      </c>
      <c r="I2628" s="4">
        <f>Clean_Data[[#This Row],[Exports_TIV]] + Clean_Data[[#This Row],[Imports_TIV]]</f>
        <v>2006000000</v>
      </c>
    </row>
    <row r="2629" spans="1:9">
      <c r="A2629" s="4" t="s">
        <v>441</v>
      </c>
      <c r="B2629" s="4" t="s">
        <v>442</v>
      </c>
      <c r="C2629" s="5">
        <v>2009</v>
      </c>
      <c r="D2629" s="4">
        <v>0</v>
      </c>
      <c r="E2629" s="4">
        <v>1000000</v>
      </c>
      <c r="F2629" s="4" t="str">
        <f>_xlfn.LET(_xlpm.r, _xlfn.XLOOKUP(Clean_Data[[#This Row],[Country_Code]], Metadata_Country!$A:$A, Metadata_Country!$B:$B, "Unknown"), IF(OR(_xlpm.r=0, _xlpm.r=""), "Regional Aggregate", _xlpm.r))</f>
        <v>Sub-Saharan Africa</v>
      </c>
      <c r="G2629" s="4" t="str">
        <f>_xlfn.LET(_xlpm.ig, _xlfn.XLOOKUP(Clean_Data[[#This Row],[Country_Code]], Metadata_Country!$A:$A, Metadata_Country!$C:$C, "Unknown"), IF(OR(_xlpm.ig=0, _xlpm.ig=""), "Regional Aggregate", _xlpm.ig))</f>
        <v>Low income</v>
      </c>
      <c r="H2629" s="4">
        <f>Clean_Data[[#This Row],[Exports_TIV]] - Clean_Data[[#This Row],[Imports_TIV]]</f>
        <v>-1000000</v>
      </c>
      <c r="I2629" s="4">
        <f>Clean_Data[[#This Row],[Exports_TIV]] + Clean_Data[[#This Row],[Imports_TIV]]</f>
        <v>1000000</v>
      </c>
    </row>
    <row r="2630" spans="1:9">
      <c r="A2630" s="4" t="s">
        <v>149</v>
      </c>
      <c r="B2630" s="4" t="s">
        <v>150</v>
      </c>
      <c r="C2630" s="5">
        <v>2009</v>
      </c>
      <c r="D2630" s="4">
        <v>984000000</v>
      </c>
      <c r="E2630" s="4">
        <v>228000000</v>
      </c>
      <c r="F2630" s="4" t="str">
        <f>_xlfn.LET(_xlpm.r, _xlfn.XLOOKUP(Clean_Data[[#This Row],[Country_Code]], Metadata_Country!$A:$A, Metadata_Country!$B:$B, "Unknown"), IF(OR(_xlpm.r=0, _xlpm.r=""), "Regional Aggregate", _xlpm.r))</f>
        <v>Europe &amp; Central Asia</v>
      </c>
      <c r="G2630" s="4" t="str">
        <f>_xlfn.LET(_xlpm.ig, _xlfn.XLOOKUP(Clean_Data[[#This Row],[Country_Code]], Metadata_Country!$A:$A, Metadata_Country!$C:$C, "Unknown"), IF(OR(_xlpm.ig=0, _xlpm.ig=""), "Regional Aggregate", _xlpm.ig))</f>
        <v>High income</v>
      </c>
      <c r="H2630" s="4">
        <f>Clean_Data[[#This Row],[Exports_TIV]] - Clean_Data[[#This Row],[Imports_TIV]]</f>
        <v>756000000</v>
      </c>
      <c r="I2630" s="4">
        <f>Clean_Data[[#This Row],[Exports_TIV]] + Clean_Data[[#This Row],[Imports_TIV]]</f>
        <v>1212000000</v>
      </c>
    </row>
    <row r="2631" spans="1:9">
      <c r="A2631" s="4" t="s">
        <v>285</v>
      </c>
      <c r="B2631" s="4" t="s">
        <v>286</v>
      </c>
      <c r="C2631" s="5">
        <v>2009</v>
      </c>
      <c r="D2631" s="4">
        <v>0</v>
      </c>
      <c r="E2631" s="4">
        <v>21000000</v>
      </c>
      <c r="F2631" s="4" t="str">
        <f>_xlfn.LET(_xlpm.r, _xlfn.XLOOKUP(Clean_Data[[#This Row],[Country_Code]], Metadata_Country!$A:$A, Metadata_Country!$B:$B, "Unknown"), IF(OR(_xlpm.r=0, _xlpm.r=""), "Regional Aggregate", _xlpm.r))</f>
        <v>South Asia</v>
      </c>
      <c r="G2631" s="4" t="str">
        <f>_xlfn.LET(_xlpm.ig, _xlfn.XLOOKUP(Clean_Data[[#This Row],[Country_Code]], Metadata_Country!$A:$A, Metadata_Country!$C:$C, "Unknown"), IF(OR(_xlpm.ig=0, _xlpm.ig=""), "Regional Aggregate", _xlpm.ig))</f>
        <v>Upper middle income</v>
      </c>
      <c r="H2631" s="4">
        <f>Clean_Data[[#This Row],[Exports_TIV]] - Clean_Data[[#This Row],[Imports_TIV]]</f>
        <v>-21000000</v>
      </c>
      <c r="I2631" s="4">
        <f>Clean_Data[[#This Row],[Exports_TIV]] + Clean_Data[[#This Row],[Imports_TIV]]</f>
        <v>21000000</v>
      </c>
    </row>
    <row r="2632" spans="1:9">
      <c r="A2632" s="4" t="s">
        <v>443</v>
      </c>
      <c r="B2632" s="4" t="s">
        <v>444</v>
      </c>
      <c r="C2632" s="5">
        <v>2009</v>
      </c>
      <c r="D2632" s="4">
        <v>0</v>
      </c>
      <c r="E2632" s="4">
        <v>639000000</v>
      </c>
      <c r="F2632" s="4" t="str">
        <f>_xlfn.LET(_xlpm.r, _xlfn.XLOOKUP(Clean_Data[[#This Row],[Country_Code]], Metadata_Country!$A:$A, Metadata_Country!$B:$B, "Unknown"), IF(OR(_xlpm.r=0, _xlpm.r=""), "Regional Aggregate", _xlpm.r))</f>
        <v>Regional Aggregate</v>
      </c>
      <c r="G2632" s="4" t="str">
        <f>_xlfn.LET(_xlpm.ig, _xlfn.XLOOKUP(Clean_Data[[#This Row],[Country_Code]], Metadata_Country!$A:$A, Metadata_Country!$C:$C, "Unknown"), IF(OR(_xlpm.ig=0, _xlpm.ig=""), "Regional Aggregate", _xlpm.ig))</f>
        <v>Regional Aggregate</v>
      </c>
      <c r="H2632" s="4">
        <f>Clean_Data[[#This Row],[Exports_TIV]] - Clean_Data[[#This Row],[Imports_TIV]]</f>
        <v>-639000000</v>
      </c>
      <c r="I2632" s="4">
        <f>Clean_Data[[#This Row],[Exports_TIV]] + Clean_Data[[#This Row],[Imports_TIV]]</f>
        <v>639000000</v>
      </c>
    </row>
    <row r="2633" spans="1:9">
      <c r="A2633" s="4" t="s">
        <v>439</v>
      </c>
      <c r="B2633" s="4" t="s">
        <v>440</v>
      </c>
      <c r="C2633" s="5">
        <v>2009</v>
      </c>
      <c r="D2633" s="4">
        <v>0</v>
      </c>
      <c r="E2633" s="4">
        <v>639000000</v>
      </c>
      <c r="F2633" s="4" t="str">
        <f>_xlfn.LET(_xlpm.r, _xlfn.XLOOKUP(Clean_Data[[#This Row],[Country_Code]], Metadata_Country!$A:$A, Metadata_Country!$B:$B, "Unknown"), IF(OR(_xlpm.r=0, _xlpm.r=""), "Regional Aggregate", _xlpm.r))</f>
        <v>Regional Aggregate</v>
      </c>
      <c r="G2633" s="4" t="str">
        <f>_xlfn.LET(_xlpm.ig, _xlfn.XLOOKUP(Clean_Data[[#This Row],[Country_Code]], Metadata_Country!$A:$A, Metadata_Country!$C:$C, "Unknown"), IF(OR(_xlpm.ig=0, _xlpm.ig=""), "Regional Aggregate", _xlpm.ig))</f>
        <v>Regional Aggregate</v>
      </c>
      <c r="H2633" s="4">
        <f>Clean_Data[[#This Row],[Exports_TIV]] - Clean_Data[[#This Row],[Imports_TIV]]</f>
        <v>-639000000</v>
      </c>
      <c r="I2633" s="4">
        <f>Clean_Data[[#This Row],[Exports_TIV]] + Clean_Data[[#This Row],[Imports_TIV]]</f>
        <v>639000000</v>
      </c>
    </row>
    <row r="2634" spans="1:9">
      <c r="A2634" s="4" t="s">
        <v>491</v>
      </c>
      <c r="B2634" s="4" t="s">
        <v>492</v>
      </c>
      <c r="C2634" s="5">
        <v>2009</v>
      </c>
      <c r="D2634" s="4">
        <v>0</v>
      </c>
      <c r="E2634" s="4">
        <v>639000000</v>
      </c>
      <c r="F2634" s="4" t="str">
        <f>_xlfn.LET(_xlpm.r, _xlfn.XLOOKUP(Clean_Data[[#This Row],[Country_Code]], Metadata_Country!$A:$A, Metadata_Country!$B:$B, "Unknown"), IF(OR(_xlpm.r=0, _xlpm.r=""), "Regional Aggregate", _xlpm.r))</f>
        <v>Regional Aggregate</v>
      </c>
      <c r="G2634" s="4" t="str">
        <f>_xlfn.LET(_xlpm.ig, _xlfn.XLOOKUP(Clean_Data[[#This Row],[Country_Code]], Metadata_Country!$A:$A, Metadata_Country!$C:$C, "Unknown"), IF(OR(_xlpm.ig=0, _xlpm.ig=""), "Regional Aggregate", _xlpm.ig))</f>
        <v>Regional Aggregate</v>
      </c>
      <c r="H2634" s="4">
        <f>Clean_Data[[#This Row],[Exports_TIV]] - Clean_Data[[#This Row],[Imports_TIV]]</f>
        <v>-639000000</v>
      </c>
      <c r="I2634" s="4">
        <f>Clean_Data[[#This Row],[Exports_TIV]] + Clean_Data[[#This Row],[Imports_TIV]]</f>
        <v>639000000</v>
      </c>
    </row>
    <row r="2635" spans="1:9">
      <c r="A2635" s="4" t="s">
        <v>421</v>
      </c>
      <c r="B2635" s="4" t="s">
        <v>422</v>
      </c>
      <c r="C2635" s="5">
        <v>2009</v>
      </c>
      <c r="D2635" s="4">
        <v>0</v>
      </c>
      <c r="E2635" s="4">
        <v>100000000</v>
      </c>
      <c r="F2635" s="4" t="str">
        <f>_xlfn.LET(_xlpm.r, _xlfn.XLOOKUP(Clean_Data[[#This Row],[Country_Code]], Metadata_Country!$A:$A, Metadata_Country!$B:$B, "Unknown"), IF(OR(_xlpm.r=0, _xlpm.r=""), "Regional Aggregate", _xlpm.r))</f>
        <v>Sub-Saharan Africa</v>
      </c>
      <c r="G2635" s="4" t="str">
        <f>_xlfn.LET(_xlpm.ig, _xlfn.XLOOKUP(Clean_Data[[#This Row],[Country_Code]], Metadata_Country!$A:$A, Metadata_Country!$C:$C, "Unknown"), IF(OR(_xlpm.ig=0, _xlpm.ig=""), "Regional Aggregate", _xlpm.ig))</f>
        <v>Low income</v>
      </c>
      <c r="H2635" s="4">
        <f>Clean_Data[[#This Row],[Exports_TIV]] - Clean_Data[[#This Row],[Imports_TIV]]</f>
        <v>-100000000</v>
      </c>
      <c r="I2635" s="4">
        <f>Clean_Data[[#This Row],[Exports_TIV]] + Clean_Data[[#This Row],[Imports_TIV]]</f>
        <v>100000000</v>
      </c>
    </row>
    <row r="2636" spans="1:9">
      <c r="A2636" s="4" t="s">
        <v>455</v>
      </c>
      <c r="B2636" s="4" t="s">
        <v>456</v>
      </c>
      <c r="C2636" s="5">
        <v>2009</v>
      </c>
      <c r="D2636" s="4">
        <v>389000000</v>
      </c>
      <c r="E2636" s="4">
        <v>15000000</v>
      </c>
      <c r="F2636" s="4" t="str">
        <f>_xlfn.LET(_xlpm.r, _xlfn.XLOOKUP(Clean_Data[[#This Row],[Country_Code]], Metadata_Country!$A:$A, Metadata_Country!$B:$B, "Unknown"), IF(OR(_xlpm.r=0, _xlpm.r=""), "Regional Aggregate", _xlpm.r))</f>
        <v>Europe &amp; Central Asia</v>
      </c>
      <c r="G2636" s="4" t="str">
        <f>_xlfn.LET(_xlpm.ig, _xlfn.XLOOKUP(Clean_Data[[#This Row],[Country_Code]], Metadata_Country!$A:$A, Metadata_Country!$C:$C, "Unknown"), IF(OR(_xlpm.ig=0, _xlpm.ig=""), "Regional Aggregate", _xlpm.ig))</f>
        <v>High income</v>
      </c>
      <c r="H2636" s="4">
        <f>Clean_Data[[#This Row],[Exports_TIV]] - Clean_Data[[#This Row],[Imports_TIV]]</f>
        <v>374000000</v>
      </c>
      <c r="I2636" s="4">
        <f>Clean_Data[[#This Row],[Exports_TIV]] + Clean_Data[[#This Row],[Imports_TIV]]</f>
        <v>404000000</v>
      </c>
    </row>
    <row r="2637" spans="1:9">
      <c r="A2637" s="4" t="s">
        <v>83</v>
      </c>
      <c r="B2637" s="4" t="s">
        <v>84</v>
      </c>
      <c r="C2637" s="5">
        <v>2009</v>
      </c>
      <c r="D2637" s="4">
        <v>260000000</v>
      </c>
      <c r="E2637" s="4">
        <v>36000000</v>
      </c>
      <c r="F2637" s="4" t="str">
        <f>_xlfn.LET(_xlpm.r, _xlfn.XLOOKUP(Clean_Data[[#This Row],[Country_Code]], Metadata_Country!$A:$A, Metadata_Country!$B:$B, "Unknown"), IF(OR(_xlpm.r=0, _xlpm.r=""), "Regional Aggregate", _xlpm.r))</f>
        <v>Europe &amp; Central Asia</v>
      </c>
      <c r="G2637" s="4" t="str">
        <f>_xlfn.LET(_xlpm.ig, _xlfn.XLOOKUP(Clean_Data[[#This Row],[Country_Code]], Metadata_Country!$A:$A, Metadata_Country!$C:$C, "Unknown"), IF(OR(_xlpm.ig=0, _xlpm.ig=""), "Regional Aggregate", _xlpm.ig))</f>
        <v>High income</v>
      </c>
      <c r="H2637" s="4">
        <f>Clean_Data[[#This Row],[Exports_TIV]] - Clean_Data[[#This Row],[Imports_TIV]]</f>
        <v>224000000</v>
      </c>
      <c r="I2637" s="4">
        <f>Clean_Data[[#This Row],[Exports_TIV]] + Clean_Data[[#This Row],[Imports_TIV]]</f>
        <v>296000000</v>
      </c>
    </row>
    <row r="2638" spans="1:9">
      <c r="A2638" s="4" t="s">
        <v>463</v>
      </c>
      <c r="B2638" s="4" t="s">
        <v>464</v>
      </c>
      <c r="C2638" s="5">
        <v>2009</v>
      </c>
      <c r="D2638" s="4">
        <v>33000000</v>
      </c>
      <c r="E2638" s="4">
        <v>253000000</v>
      </c>
      <c r="F2638" s="4" t="str">
        <f>_xlfn.LET(_xlpm.r, _xlfn.XLOOKUP(Clean_Data[[#This Row],[Country_Code]], Metadata_Country!$A:$A, Metadata_Country!$B:$B, "Unknown"), IF(OR(_xlpm.r=0, _xlpm.r=""), "Regional Aggregate", _xlpm.r))</f>
        <v>Middle East &amp; North Africa</v>
      </c>
      <c r="G2638" s="4" t="str">
        <f>_xlfn.LET(_xlpm.ig, _xlfn.XLOOKUP(Clean_Data[[#This Row],[Country_Code]], Metadata_Country!$A:$A, Metadata_Country!$C:$C, "Unknown"), IF(OR(_xlpm.ig=0, _xlpm.ig=""), "Regional Aggregate", _xlpm.ig))</f>
        <v>Low income</v>
      </c>
      <c r="H2638" s="4">
        <f>Clean_Data[[#This Row],[Exports_TIV]] - Clean_Data[[#This Row],[Imports_TIV]]</f>
        <v>-220000000</v>
      </c>
      <c r="I2638" s="4">
        <f>Clean_Data[[#This Row],[Exports_TIV]] + Clean_Data[[#This Row],[Imports_TIV]]</f>
        <v>286000000</v>
      </c>
    </row>
    <row r="2639" spans="1:9">
      <c r="A2639" s="4" t="s">
        <v>477</v>
      </c>
      <c r="B2639" s="4" t="s">
        <v>478</v>
      </c>
      <c r="C2639" s="5">
        <v>2009</v>
      </c>
      <c r="D2639" s="4">
        <v>0</v>
      </c>
      <c r="E2639" s="4">
        <v>34000000</v>
      </c>
      <c r="F2639" s="4" t="str">
        <f>_xlfn.LET(_xlpm.r, _xlfn.XLOOKUP(Clean_Data[[#This Row],[Country_Code]], Metadata_Country!$A:$A, Metadata_Country!$B:$B, "Unknown"), IF(OR(_xlpm.r=0, _xlpm.r=""), "Regional Aggregate", _xlpm.r))</f>
        <v>Europe &amp; Central Asia</v>
      </c>
      <c r="G2639" s="4" t="str">
        <f>_xlfn.LET(_xlpm.ig, _xlfn.XLOOKUP(Clean_Data[[#This Row],[Country_Code]], Metadata_Country!$A:$A, Metadata_Country!$C:$C, "Unknown"), IF(OR(_xlpm.ig=0, _xlpm.ig=""), "Regional Aggregate", _xlpm.ig))</f>
        <v>Lower middle income</v>
      </c>
      <c r="H2639" s="4">
        <f>Clean_Data[[#This Row],[Exports_TIV]] - Clean_Data[[#This Row],[Imports_TIV]]</f>
        <v>-34000000</v>
      </c>
      <c r="I2639" s="4">
        <f>Clean_Data[[#This Row],[Exports_TIV]] + Clean_Data[[#This Row],[Imports_TIV]]</f>
        <v>34000000</v>
      </c>
    </row>
    <row r="2640" spans="1:9">
      <c r="A2640" s="4" t="s">
        <v>501</v>
      </c>
      <c r="B2640" s="4" t="s">
        <v>502</v>
      </c>
      <c r="C2640" s="5">
        <v>2009</v>
      </c>
      <c r="D2640" s="4">
        <v>0</v>
      </c>
      <c r="E2640" s="4">
        <v>29000000</v>
      </c>
      <c r="F2640" s="4" t="str">
        <f>_xlfn.LET(_xlpm.r, _xlfn.XLOOKUP(Clean_Data[[#This Row],[Country_Code]], Metadata_Country!$A:$A, Metadata_Country!$B:$B, "Unknown"), IF(OR(_xlpm.r=0, _xlpm.r=""), "Regional Aggregate", _xlpm.r))</f>
        <v>Sub-Saharan Africa</v>
      </c>
      <c r="G2640" s="4" t="str">
        <f>_xlfn.LET(_xlpm.ig, _xlfn.XLOOKUP(Clean_Data[[#This Row],[Country_Code]], Metadata_Country!$A:$A, Metadata_Country!$C:$C, "Unknown"), IF(OR(_xlpm.ig=0, _xlpm.ig=""), "Regional Aggregate", _xlpm.ig))</f>
        <v>Lower middle income</v>
      </c>
      <c r="H2640" s="4">
        <f>Clean_Data[[#This Row],[Exports_TIV]] - Clean_Data[[#This Row],[Imports_TIV]]</f>
        <v>-29000000</v>
      </c>
      <c r="I2640" s="4">
        <f>Clean_Data[[#This Row],[Exports_TIV]] + Clean_Data[[#This Row],[Imports_TIV]]</f>
        <v>29000000</v>
      </c>
    </row>
    <row r="2641" spans="1:9">
      <c r="A2641" s="4" t="s">
        <v>475</v>
      </c>
      <c r="B2641" s="4" t="s">
        <v>476</v>
      </c>
      <c r="C2641" s="5">
        <v>2009</v>
      </c>
      <c r="D2641" s="4">
        <v>0</v>
      </c>
      <c r="E2641" s="4">
        <v>63000000</v>
      </c>
      <c r="F2641" s="4" t="str">
        <f>_xlfn.LET(_xlpm.r, _xlfn.XLOOKUP(Clean_Data[[#This Row],[Country_Code]], Metadata_Country!$A:$A, Metadata_Country!$B:$B, "Unknown"), IF(OR(_xlpm.r=0, _xlpm.r=""), "Regional Aggregate", _xlpm.r))</f>
        <v>East Asia &amp; Pacific</v>
      </c>
      <c r="G2641" s="4" t="str">
        <f>_xlfn.LET(_xlpm.ig, _xlfn.XLOOKUP(Clean_Data[[#This Row],[Country_Code]], Metadata_Country!$A:$A, Metadata_Country!$C:$C, "Unknown"), IF(OR(_xlpm.ig=0, _xlpm.ig=""), "Regional Aggregate", _xlpm.ig))</f>
        <v>Upper middle income</v>
      </c>
      <c r="H2641" s="4">
        <f>Clean_Data[[#This Row],[Exports_TIV]] - Clean_Data[[#This Row],[Imports_TIV]]</f>
        <v>-63000000</v>
      </c>
      <c r="I2641" s="4">
        <f>Clean_Data[[#This Row],[Exports_TIV]] + Clean_Data[[#This Row],[Imports_TIV]]</f>
        <v>63000000</v>
      </c>
    </row>
    <row r="2642" spans="1:9">
      <c r="A2642" s="4" t="s">
        <v>497</v>
      </c>
      <c r="B2642" s="4" t="s">
        <v>498</v>
      </c>
      <c r="C2642" s="5">
        <v>2009</v>
      </c>
      <c r="D2642" s="4">
        <v>78000000</v>
      </c>
      <c r="E2642" s="4">
        <v>714000000</v>
      </c>
      <c r="F2642" s="4" t="str">
        <f>_xlfn.LET(_xlpm.r, _xlfn.XLOOKUP(Clean_Data[[#This Row],[Country_Code]], Metadata_Country!$A:$A, Metadata_Country!$B:$B, "Unknown"), IF(OR(_xlpm.r=0, _xlpm.r=""), "Regional Aggregate", _xlpm.r))</f>
        <v>Europe &amp; Central Asia</v>
      </c>
      <c r="G2642" s="4" t="str">
        <f>_xlfn.LET(_xlpm.ig, _xlfn.XLOOKUP(Clean_Data[[#This Row],[Country_Code]], Metadata_Country!$A:$A, Metadata_Country!$C:$C, "Unknown"), IF(OR(_xlpm.ig=0, _xlpm.ig=""), "Regional Aggregate", _xlpm.ig))</f>
        <v>Upper middle income</v>
      </c>
      <c r="H2642" s="4">
        <f>Clean_Data[[#This Row],[Exports_TIV]] - Clean_Data[[#This Row],[Imports_TIV]]</f>
        <v>-636000000</v>
      </c>
      <c r="I2642" s="4">
        <f>Clean_Data[[#This Row],[Exports_TIV]] + Clean_Data[[#This Row],[Imports_TIV]]</f>
        <v>792000000</v>
      </c>
    </row>
    <row r="2643" spans="1:9">
      <c r="A2643" s="4" t="s">
        <v>479</v>
      </c>
      <c r="B2643" s="4" t="s">
        <v>480</v>
      </c>
      <c r="C2643" s="5">
        <v>2009</v>
      </c>
      <c r="D2643" s="4">
        <v>0</v>
      </c>
      <c r="E2643" s="4">
        <v>38000000</v>
      </c>
      <c r="F2643" s="4" t="str">
        <f>_xlfn.LET(_xlpm.r, _xlfn.XLOOKUP(Clean_Data[[#This Row],[Country_Code]], Metadata_Country!$A:$A, Metadata_Country!$B:$B, "Unknown"), IF(OR(_xlpm.r=0, _xlpm.r=""), "Regional Aggregate", _xlpm.r))</f>
        <v>Europe &amp; Central Asia</v>
      </c>
      <c r="G2643" s="4" t="str">
        <f>_xlfn.LET(_xlpm.ig, _xlfn.XLOOKUP(Clean_Data[[#This Row],[Country_Code]], Metadata_Country!$A:$A, Metadata_Country!$C:$C, "Unknown"), IF(OR(_xlpm.ig=0, _xlpm.ig=""), "Regional Aggregate", _xlpm.ig))</f>
        <v>Upper middle income</v>
      </c>
      <c r="H2643" s="4">
        <f>Clean_Data[[#This Row],[Exports_TIV]] - Clean_Data[[#This Row],[Imports_TIV]]</f>
        <v>-38000000</v>
      </c>
      <c r="I2643" s="4">
        <f>Clean_Data[[#This Row],[Exports_TIV]] + Clean_Data[[#This Row],[Imports_TIV]]</f>
        <v>38000000</v>
      </c>
    </row>
    <row r="2644" spans="1:9">
      <c r="A2644" s="4" t="s">
        <v>503</v>
      </c>
      <c r="B2644" s="4" t="s">
        <v>504</v>
      </c>
      <c r="C2644" s="5">
        <v>2009</v>
      </c>
      <c r="D2644" s="4">
        <v>0</v>
      </c>
      <c r="E2644" s="4">
        <v>28000000</v>
      </c>
      <c r="F2644" s="4" t="str">
        <f>_xlfn.LET(_xlpm.r, _xlfn.XLOOKUP(Clean_Data[[#This Row],[Country_Code]], Metadata_Country!$A:$A, Metadata_Country!$B:$B, "Unknown"), IF(OR(_xlpm.r=0, _xlpm.r=""), "Regional Aggregate", _xlpm.r))</f>
        <v>Sub-Saharan Africa</v>
      </c>
      <c r="G2644" s="4" t="str">
        <f>_xlfn.LET(_xlpm.ig, _xlfn.XLOOKUP(Clean_Data[[#This Row],[Country_Code]], Metadata_Country!$A:$A, Metadata_Country!$C:$C, "Unknown"), IF(OR(_xlpm.ig=0, _xlpm.ig=""), "Regional Aggregate", _xlpm.ig))</f>
        <v>Low income</v>
      </c>
      <c r="H2644" s="4">
        <f>Clean_Data[[#This Row],[Exports_TIV]] - Clean_Data[[#This Row],[Imports_TIV]]</f>
        <v>-28000000</v>
      </c>
      <c r="I2644" s="4">
        <f>Clean_Data[[#This Row],[Exports_TIV]] + Clean_Data[[#This Row],[Imports_TIV]]</f>
        <v>28000000</v>
      </c>
    </row>
    <row r="2645" spans="1:9">
      <c r="A2645" s="4" t="s">
        <v>505</v>
      </c>
      <c r="B2645" s="4" t="s">
        <v>506</v>
      </c>
      <c r="C2645" s="5">
        <v>2009</v>
      </c>
      <c r="D2645" s="4">
        <v>444000000</v>
      </c>
      <c r="E2645" s="4">
        <v>0</v>
      </c>
      <c r="F2645" s="4" t="str">
        <f>_xlfn.LET(_xlpm.r, _xlfn.XLOOKUP(Clean_Data[[#This Row],[Country_Code]], Metadata_Country!$A:$A, Metadata_Country!$B:$B, "Unknown"), IF(OR(_xlpm.r=0, _xlpm.r=""), "Regional Aggregate", _xlpm.r))</f>
        <v>Europe &amp; Central Asia</v>
      </c>
      <c r="G2645" s="4" t="str">
        <f>_xlfn.LET(_xlpm.ig, _xlfn.XLOOKUP(Clean_Data[[#This Row],[Country_Code]], Metadata_Country!$A:$A, Metadata_Country!$C:$C, "Unknown"), IF(OR(_xlpm.ig=0, _xlpm.ig=""), "Regional Aggregate", _xlpm.ig))</f>
        <v>Upper middle income</v>
      </c>
      <c r="H2645" s="4">
        <f>Clean_Data[[#This Row],[Exports_TIV]] - Clean_Data[[#This Row],[Imports_TIV]]</f>
        <v>444000000</v>
      </c>
      <c r="I2645" s="4">
        <f>Clean_Data[[#This Row],[Exports_TIV]] + Clean_Data[[#This Row],[Imports_TIV]]</f>
        <v>444000000</v>
      </c>
    </row>
    <row r="2646" spans="1:9">
      <c r="A2646" s="4" t="s">
        <v>25</v>
      </c>
      <c r="B2646" s="4" t="s">
        <v>26</v>
      </c>
      <c r="C2646" s="5">
        <v>2009</v>
      </c>
      <c r="D2646" s="4">
        <v>34000000</v>
      </c>
      <c r="E2646" s="4">
        <v>604000000</v>
      </c>
      <c r="F2646" s="4" t="str">
        <f>_xlfn.LET(_xlpm.r, _xlfn.XLOOKUP(Clean_Data[[#This Row],[Country_Code]], Metadata_Country!$A:$A, Metadata_Country!$B:$B, "Unknown"), IF(OR(_xlpm.r=0, _xlpm.r=""), "Regional Aggregate", _xlpm.r))</f>
        <v>Middle East &amp; North Africa</v>
      </c>
      <c r="G2646" s="4" t="str">
        <f>_xlfn.LET(_xlpm.ig, _xlfn.XLOOKUP(Clean_Data[[#This Row],[Country_Code]], Metadata_Country!$A:$A, Metadata_Country!$C:$C, "Unknown"), IF(OR(_xlpm.ig=0, _xlpm.ig=""), "Regional Aggregate", _xlpm.ig))</f>
        <v>High income</v>
      </c>
      <c r="H2646" s="4">
        <f>Clean_Data[[#This Row],[Exports_TIV]] - Clean_Data[[#This Row],[Imports_TIV]]</f>
        <v>-570000000</v>
      </c>
      <c r="I2646" s="4">
        <f>Clean_Data[[#This Row],[Exports_TIV]] + Clean_Data[[#This Row],[Imports_TIV]]</f>
        <v>638000000</v>
      </c>
    </row>
    <row r="2647" spans="1:9">
      <c r="A2647" s="4" t="s">
        <v>171</v>
      </c>
      <c r="B2647" s="4" t="s">
        <v>172</v>
      </c>
      <c r="C2647" s="5">
        <v>2009</v>
      </c>
      <c r="D2647" s="4">
        <v>1071000000</v>
      </c>
      <c r="E2647" s="4">
        <v>381000000</v>
      </c>
      <c r="F2647" s="4" t="str">
        <f>_xlfn.LET(_xlpm.r, _xlfn.XLOOKUP(Clean_Data[[#This Row],[Country_Code]], Metadata_Country!$A:$A, Metadata_Country!$B:$B, "Unknown"), IF(OR(_xlpm.r=0, _xlpm.r=""), "Regional Aggregate", _xlpm.r))</f>
        <v>Europe &amp; Central Asia</v>
      </c>
      <c r="G2647" s="4" t="str">
        <f>_xlfn.LET(_xlpm.ig, _xlfn.XLOOKUP(Clean_Data[[#This Row],[Country_Code]], Metadata_Country!$A:$A, Metadata_Country!$C:$C, "Unknown"), IF(OR(_xlpm.ig=0, _xlpm.ig=""), "Regional Aggregate", _xlpm.ig))</f>
        <v>High income</v>
      </c>
      <c r="H2647" s="4">
        <f>Clean_Data[[#This Row],[Exports_TIV]] - Clean_Data[[#This Row],[Imports_TIV]]</f>
        <v>690000000</v>
      </c>
      <c r="I2647" s="4">
        <f>Clean_Data[[#This Row],[Exports_TIV]] + Clean_Data[[#This Row],[Imports_TIV]]</f>
        <v>1452000000</v>
      </c>
    </row>
    <row r="2648" spans="1:9">
      <c r="A2648" s="4" t="s">
        <v>511</v>
      </c>
      <c r="B2648" s="4" t="s">
        <v>512</v>
      </c>
      <c r="C2648" s="5">
        <v>2009</v>
      </c>
      <c r="D2648" s="4">
        <v>7151000000</v>
      </c>
      <c r="E2648" s="4">
        <v>939000000</v>
      </c>
      <c r="F2648" s="4" t="str">
        <f>_xlfn.LET(_xlpm.r, _xlfn.XLOOKUP(Clean_Data[[#This Row],[Country_Code]], Metadata_Country!$A:$A, Metadata_Country!$B:$B, "Unknown"), IF(OR(_xlpm.r=0, _xlpm.r=""), "Regional Aggregate", _xlpm.r))</f>
        <v>North America</v>
      </c>
      <c r="G2648" s="4" t="str">
        <f>_xlfn.LET(_xlpm.ig, _xlfn.XLOOKUP(Clean_Data[[#This Row],[Country_Code]], Metadata_Country!$A:$A, Metadata_Country!$C:$C, "Unknown"), IF(OR(_xlpm.ig=0, _xlpm.ig=""), "Regional Aggregate", _xlpm.ig))</f>
        <v>High income</v>
      </c>
      <c r="H2648" s="4">
        <f>Clean_Data[[#This Row],[Exports_TIV]] - Clean_Data[[#This Row],[Imports_TIV]]</f>
        <v>6212000000</v>
      </c>
      <c r="I2648" s="4">
        <f>Clean_Data[[#This Row],[Exports_TIV]] + Clean_Data[[#This Row],[Imports_TIV]]</f>
        <v>8090000000</v>
      </c>
    </row>
    <row r="2649" spans="1:9">
      <c r="A2649" s="4" t="s">
        <v>507</v>
      </c>
      <c r="B2649" s="4" t="s">
        <v>508</v>
      </c>
      <c r="C2649" s="5">
        <v>2009</v>
      </c>
      <c r="D2649" s="4">
        <v>0</v>
      </c>
      <c r="E2649" s="4">
        <v>6956000000</v>
      </c>
      <c r="F2649" s="4" t="str">
        <f>_xlfn.LET(_xlpm.r, _xlfn.XLOOKUP(Clean_Data[[#This Row],[Country_Code]], Metadata_Country!$A:$A, Metadata_Country!$B:$B, "Unknown"), IF(OR(_xlpm.r=0, _xlpm.r=""), "Regional Aggregate", _xlpm.r))</f>
        <v>Regional Aggregate</v>
      </c>
      <c r="G2649" s="4" t="str">
        <f>_xlfn.LET(_xlpm.ig, _xlfn.XLOOKUP(Clean_Data[[#This Row],[Country_Code]], Metadata_Country!$A:$A, Metadata_Country!$C:$C, "Unknown"), IF(OR(_xlpm.ig=0, _xlpm.ig=""), "Regional Aggregate", _xlpm.ig))</f>
        <v>Regional Aggregate</v>
      </c>
      <c r="H2649" s="4">
        <f>Clean_Data[[#This Row],[Exports_TIV]] - Clean_Data[[#This Row],[Imports_TIV]]</f>
        <v>-6956000000</v>
      </c>
      <c r="I2649" s="4">
        <f>Clean_Data[[#This Row],[Exports_TIV]] + Clean_Data[[#This Row],[Imports_TIV]]</f>
        <v>6956000000</v>
      </c>
    </row>
    <row r="2650" spans="1:9">
      <c r="A2650" s="4" t="s">
        <v>509</v>
      </c>
      <c r="B2650" s="4" t="s">
        <v>510</v>
      </c>
      <c r="C2650" s="5">
        <v>2009</v>
      </c>
      <c r="D2650" s="4">
        <v>0</v>
      </c>
      <c r="E2650" s="4">
        <v>29000000</v>
      </c>
      <c r="F2650" s="4" t="str">
        <f>_xlfn.LET(_xlpm.r, _xlfn.XLOOKUP(Clean_Data[[#This Row],[Country_Code]], Metadata_Country!$A:$A, Metadata_Country!$B:$B, "Unknown"), IF(OR(_xlpm.r=0, _xlpm.r=""), "Regional Aggregate", _xlpm.r))</f>
        <v>Latin America &amp; Caribbean</v>
      </c>
      <c r="G2650" s="4" t="str">
        <f>_xlfn.LET(_xlpm.ig, _xlfn.XLOOKUP(Clean_Data[[#This Row],[Country_Code]], Metadata_Country!$A:$A, Metadata_Country!$C:$C, "Unknown"), IF(OR(_xlpm.ig=0, _xlpm.ig=""), "Regional Aggregate", _xlpm.ig))</f>
        <v>High income</v>
      </c>
      <c r="H2650" s="4">
        <f>Clean_Data[[#This Row],[Exports_TIV]] - Clean_Data[[#This Row],[Imports_TIV]]</f>
        <v>-29000000</v>
      </c>
      <c r="I2650" s="4">
        <f>Clean_Data[[#This Row],[Exports_TIV]] + Clean_Data[[#This Row],[Imports_TIV]]</f>
        <v>29000000</v>
      </c>
    </row>
    <row r="2651" spans="1:9">
      <c r="A2651" s="4" t="s">
        <v>513</v>
      </c>
      <c r="B2651" s="4" t="s">
        <v>514</v>
      </c>
      <c r="C2651" s="5">
        <v>2009</v>
      </c>
      <c r="D2651" s="4">
        <v>209000000</v>
      </c>
      <c r="E2651" s="4">
        <v>0</v>
      </c>
      <c r="F2651" s="4" t="str">
        <f>_xlfn.LET(_xlpm.r, _xlfn.XLOOKUP(Clean_Data[[#This Row],[Country_Code]], Metadata_Country!$A:$A, Metadata_Country!$B:$B, "Unknown"), IF(OR(_xlpm.r=0, _xlpm.r=""), "Regional Aggregate", _xlpm.r))</f>
        <v>Europe &amp; Central Asia</v>
      </c>
      <c r="G2651" s="4" t="str">
        <f>_xlfn.LET(_xlpm.ig, _xlfn.XLOOKUP(Clean_Data[[#This Row],[Country_Code]], Metadata_Country!$A:$A, Metadata_Country!$C:$C, "Unknown"), IF(OR(_xlpm.ig=0, _xlpm.ig=""), "Regional Aggregate", _xlpm.ig))</f>
        <v>Lower middle income</v>
      </c>
      <c r="H2651" s="4">
        <f>Clean_Data[[#This Row],[Exports_TIV]] - Clean_Data[[#This Row],[Imports_TIV]]</f>
        <v>209000000</v>
      </c>
      <c r="I2651" s="4">
        <f>Clean_Data[[#This Row],[Exports_TIV]] + Clean_Data[[#This Row],[Imports_TIV]]</f>
        <v>209000000</v>
      </c>
    </row>
    <row r="2652" spans="1:9">
      <c r="A2652" s="4" t="s">
        <v>517</v>
      </c>
      <c r="B2652" s="4" t="s">
        <v>518</v>
      </c>
      <c r="C2652" s="5">
        <v>2009</v>
      </c>
      <c r="D2652" s="4">
        <v>40000000</v>
      </c>
      <c r="E2652" s="4">
        <v>366000000</v>
      </c>
      <c r="F2652" s="4" t="str">
        <f>_xlfn.LET(_xlpm.r, _xlfn.XLOOKUP(Clean_Data[[#This Row],[Country_Code]], Metadata_Country!$A:$A, Metadata_Country!$B:$B, "Unknown"), IF(OR(_xlpm.r=0, _xlpm.r=""), "Regional Aggregate", _xlpm.r))</f>
        <v>Latin America &amp; Caribbean</v>
      </c>
      <c r="G2652" s="4" t="str">
        <f>_xlfn.LET(_xlpm.ig, _xlfn.XLOOKUP(Clean_Data[[#This Row],[Country_Code]], Metadata_Country!$A:$A, Metadata_Country!$C:$C, "Unknown"), IF(OR(_xlpm.ig=0, _xlpm.ig=""), "Regional Aggregate", _xlpm.ig))</f>
        <v>Lower middle income</v>
      </c>
      <c r="H2652" s="4">
        <f>Clean_Data[[#This Row],[Exports_TIV]] - Clean_Data[[#This Row],[Imports_TIV]]</f>
        <v>-326000000</v>
      </c>
      <c r="I2652" s="4">
        <f>Clean_Data[[#This Row],[Exports_TIV]] + Clean_Data[[#This Row],[Imports_TIV]]</f>
        <v>406000000</v>
      </c>
    </row>
    <row r="2653" spans="1:9">
      <c r="A2653" s="4" t="s">
        <v>523</v>
      </c>
      <c r="B2653" s="4" t="s">
        <v>524</v>
      </c>
      <c r="C2653" s="5">
        <v>2009</v>
      </c>
      <c r="D2653" s="4">
        <v>0</v>
      </c>
      <c r="E2653" s="4">
        <v>61000000</v>
      </c>
      <c r="F2653" s="4" t="str">
        <f>_xlfn.LET(_xlpm.r, _xlfn.XLOOKUP(Clean_Data[[#This Row],[Country_Code]], Metadata_Country!$A:$A, Metadata_Country!$B:$B, "Unknown"), IF(OR(_xlpm.r=0, _xlpm.r=""), "Regional Aggregate", _xlpm.r))</f>
        <v>East Asia &amp; Pacific</v>
      </c>
      <c r="G2653" s="4" t="str">
        <f>_xlfn.LET(_xlpm.ig, _xlfn.XLOOKUP(Clean_Data[[#This Row],[Country_Code]], Metadata_Country!$A:$A, Metadata_Country!$C:$C, "Unknown"), IF(OR(_xlpm.ig=0, _xlpm.ig=""), "Regional Aggregate", _xlpm.ig))</f>
        <v>Upper middle income</v>
      </c>
      <c r="H2653" s="4">
        <f>Clean_Data[[#This Row],[Exports_TIV]] - Clean_Data[[#This Row],[Imports_TIV]]</f>
        <v>-61000000</v>
      </c>
      <c r="I2653" s="4">
        <f>Clean_Data[[#This Row],[Exports_TIV]] + Clean_Data[[#This Row],[Imports_TIV]]</f>
        <v>61000000</v>
      </c>
    </row>
    <row r="2654" spans="1:9">
      <c r="A2654" s="4" t="s">
        <v>401</v>
      </c>
      <c r="B2654" s="4" t="s">
        <v>402</v>
      </c>
      <c r="C2654" s="5">
        <v>2009</v>
      </c>
      <c r="D2654" s="4">
        <v>0</v>
      </c>
      <c r="E2654" s="4">
        <v>15000000</v>
      </c>
      <c r="F2654" s="4" t="str">
        <f>_xlfn.LET(_xlpm.r, _xlfn.XLOOKUP(Clean_Data[[#This Row],[Country_Code]], Metadata_Country!$A:$A, Metadata_Country!$B:$B, "Unknown"), IF(OR(_xlpm.r=0, _xlpm.r=""), "Regional Aggregate", _xlpm.r))</f>
        <v>Middle East &amp; North Africa</v>
      </c>
      <c r="G2654" s="4" t="str">
        <f>_xlfn.LET(_xlpm.ig, _xlfn.XLOOKUP(Clean_Data[[#This Row],[Country_Code]], Metadata_Country!$A:$A, Metadata_Country!$C:$C, "Unknown"), IF(OR(_xlpm.ig=0, _xlpm.ig=""), "Regional Aggregate", _xlpm.ig))</f>
        <v>Lower middle income</v>
      </c>
      <c r="H2654" s="4">
        <f>Clean_Data[[#This Row],[Exports_TIV]] - Clean_Data[[#This Row],[Imports_TIV]]</f>
        <v>-15000000</v>
      </c>
      <c r="I2654" s="4">
        <f>Clean_Data[[#This Row],[Exports_TIV]] + Clean_Data[[#This Row],[Imports_TIV]]</f>
        <v>15000000</v>
      </c>
    </row>
    <row r="2655" spans="1:9">
      <c r="A2655" s="4" t="s">
        <v>527</v>
      </c>
      <c r="B2655" s="4" t="s">
        <v>528</v>
      </c>
      <c r="C2655" s="5">
        <v>2009</v>
      </c>
      <c r="D2655" s="4">
        <v>24444000000</v>
      </c>
      <c r="E2655" s="4">
        <v>23993000000</v>
      </c>
      <c r="F2655" s="4" t="str">
        <f>_xlfn.LET(_xlpm.r, _xlfn.XLOOKUP(Clean_Data[[#This Row],[Country_Code]], Metadata_Country!$A:$A, Metadata_Country!$B:$B, "Unknown"), IF(OR(_xlpm.r=0, _xlpm.r=""), "Regional Aggregate", _xlpm.r))</f>
        <v>Regional Aggregate</v>
      </c>
      <c r="G2655" s="4" t="str">
        <f>_xlfn.LET(_xlpm.ig, _xlfn.XLOOKUP(Clean_Data[[#This Row],[Country_Code]], Metadata_Country!$A:$A, Metadata_Country!$C:$C, "Unknown"), IF(OR(_xlpm.ig=0, _xlpm.ig=""), "Regional Aggregate", _xlpm.ig))</f>
        <v>Regional Aggregate</v>
      </c>
      <c r="H2655" s="4">
        <f>Clean_Data[[#This Row],[Exports_TIV]] - Clean_Data[[#This Row],[Imports_TIV]]</f>
        <v>451000000</v>
      </c>
      <c r="I2655" s="4">
        <f>Clean_Data[[#This Row],[Exports_TIV]] + Clean_Data[[#This Row],[Imports_TIV]]</f>
        <v>48437000000</v>
      </c>
    </row>
    <row r="2656" spans="1:9">
      <c r="A2656" s="4" t="s">
        <v>533</v>
      </c>
      <c r="B2656" s="4" t="s">
        <v>534</v>
      </c>
      <c r="C2656" s="5">
        <v>2009</v>
      </c>
      <c r="D2656" s="4">
        <v>0</v>
      </c>
      <c r="E2656" s="4">
        <v>5000000</v>
      </c>
      <c r="F2656" s="4" t="str">
        <f>_xlfn.LET(_xlpm.r, _xlfn.XLOOKUP(Clean_Data[[#This Row],[Country_Code]], Metadata_Country!$A:$A, Metadata_Country!$B:$B, "Unknown"), IF(OR(_xlpm.r=0, _xlpm.r=""), "Regional Aggregate", _xlpm.r))</f>
        <v>Middle East &amp; North Africa</v>
      </c>
      <c r="G2656" s="4" t="str">
        <f>_xlfn.LET(_xlpm.ig, _xlfn.XLOOKUP(Clean_Data[[#This Row],[Country_Code]], Metadata_Country!$A:$A, Metadata_Country!$C:$C, "Unknown"), IF(OR(_xlpm.ig=0, _xlpm.ig=""), "Regional Aggregate", _xlpm.ig))</f>
        <v>Low income</v>
      </c>
      <c r="H2656" s="4">
        <f>Clean_Data[[#This Row],[Exports_TIV]] - Clean_Data[[#This Row],[Imports_TIV]]</f>
        <v>-5000000</v>
      </c>
      <c r="I2656" s="4">
        <f>Clean_Data[[#This Row],[Exports_TIV]] + Clean_Data[[#This Row],[Imports_TIV]]</f>
        <v>5000000</v>
      </c>
    </row>
    <row r="2657" spans="1:9">
      <c r="A2657" s="4" t="s">
        <v>13</v>
      </c>
      <c r="B2657" s="4" t="s">
        <v>14</v>
      </c>
      <c r="C2657" s="5">
        <v>2008</v>
      </c>
      <c r="D2657" s="4">
        <v>0</v>
      </c>
      <c r="E2657" s="4">
        <v>148000000</v>
      </c>
      <c r="F2657" s="4" t="str">
        <f>_xlfn.LET(_xlpm.r, _xlfn.XLOOKUP(Clean_Data[[#This Row],[Country_Code]], Metadata_Country!$A:$A, Metadata_Country!$B:$B, "Unknown"), IF(OR(_xlpm.r=0, _xlpm.r=""), "Regional Aggregate", _xlpm.r))</f>
        <v>Middle East &amp; North Africa</v>
      </c>
      <c r="G2657" s="4" t="str">
        <f>_xlfn.LET(_xlpm.ig, _xlfn.XLOOKUP(Clean_Data[[#This Row],[Country_Code]], Metadata_Country!$A:$A, Metadata_Country!$C:$C, "Unknown"), IF(OR(_xlpm.ig=0, _xlpm.ig=""), "Regional Aggregate", _xlpm.ig))</f>
        <v>Low income</v>
      </c>
      <c r="H2657" s="4">
        <f>Clean_Data[[#This Row],[Exports_TIV]] - Clean_Data[[#This Row],[Imports_TIV]]</f>
        <v>-148000000</v>
      </c>
      <c r="I2657" s="4">
        <f>Clean_Data[[#This Row],[Exports_TIV]] + Clean_Data[[#This Row],[Imports_TIV]]</f>
        <v>148000000</v>
      </c>
    </row>
    <row r="2658" spans="1:9">
      <c r="A2658" s="4" t="s">
        <v>11</v>
      </c>
      <c r="B2658" s="4" t="s">
        <v>12</v>
      </c>
      <c r="C2658" s="5">
        <v>2008</v>
      </c>
      <c r="D2658" s="4">
        <v>0</v>
      </c>
      <c r="E2658" s="4">
        <v>768000000</v>
      </c>
      <c r="F2658" s="4" t="str">
        <f>_xlfn.LET(_xlpm.r, _xlfn.XLOOKUP(Clean_Data[[#This Row],[Country_Code]], Metadata_Country!$A:$A, Metadata_Country!$B:$B, "Unknown"), IF(OR(_xlpm.r=0, _xlpm.r=""), "Regional Aggregate", _xlpm.r))</f>
        <v>Regional Aggregate</v>
      </c>
      <c r="G2658" s="4" t="str">
        <f>_xlfn.LET(_xlpm.ig, _xlfn.XLOOKUP(Clean_Data[[#This Row],[Country_Code]], Metadata_Country!$A:$A, Metadata_Country!$C:$C, "Unknown"), IF(OR(_xlpm.ig=0, _xlpm.ig=""), "Regional Aggregate", _xlpm.ig))</f>
        <v>Regional Aggregate</v>
      </c>
      <c r="H2658" s="4">
        <f>Clean_Data[[#This Row],[Exports_TIV]] - Clean_Data[[#This Row],[Imports_TIV]]</f>
        <v>-768000000</v>
      </c>
      <c r="I2658" s="4">
        <f>Clean_Data[[#This Row],[Exports_TIV]] + Clean_Data[[#This Row],[Imports_TIV]]</f>
        <v>768000000</v>
      </c>
    </row>
    <row r="2659" spans="1:9">
      <c r="A2659" s="4" t="s">
        <v>15</v>
      </c>
      <c r="B2659" s="4" t="s">
        <v>16</v>
      </c>
      <c r="C2659" s="5">
        <v>2008</v>
      </c>
      <c r="D2659" s="4">
        <v>0</v>
      </c>
      <c r="E2659" s="4">
        <v>164000000</v>
      </c>
      <c r="F2659" s="4" t="str">
        <f>_xlfn.LET(_xlpm.r, _xlfn.XLOOKUP(Clean_Data[[#This Row],[Country_Code]], Metadata_Country!$A:$A, Metadata_Country!$B:$B, "Unknown"), IF(OR(_xlpm.r=0, _xlpm.r=""), "Regional Aggregate", _xlpm.r))</f>
        <v>Regional Aggregate</v>
      </c>
      <c r="G2659" s="4" t="str">
        <f>_xlfn.LET(_xlpm.ig, _xlfn.XLOOKUP(Clean_Data[[#This Row],[Country_Code]], Metadata_Country!$A:$A, Metadata_Country!$C:$C, "Unknown"), IF(OR(_xlpm.ig=0, _xlpm.ig=""), "Regional Aggregate", _xlpm.ig))</f>
        <v>Regional Aggregate</v>
      </c>
      <c r="H2659" s="4">
        <f>Clean_Data[[#This Row],[Exports_TIV]] - Clean_Data[[#This Row],[Imports_TIV]]</f>
        <v>-164000000</v>
      </c>
      <c r="I2659" s="4">
        <f>Clean_Data[[#This Row],[Exports_TIV]] + Clean_Data[[#This Row],[Imports_TIV]]</f>
        <v>164000000</v>
      </c>
    </row>
    <row r="2660" spans="1:9">
      <c r="A2660" s="4" t="s">
        <v>129</v>
      </c>
      <c r="B2660" s="4" t="s">
        <v>130</v>
      </c>
      <c r="C2660" s="5">
        <v>2008</v>
      </c>
      <c r="D2660" s="4">
        <v>0</v>
      </c>
      <c r="E2660" s="4">
        <v>1522000000</v>
      </c>
      <c r="F2660" s="4" t="str">
        <f>_xlfn.LET(_xlpm.r, _xlfn.XLOOKUP(Clean_Data[[#This Row],[Country_Code]], Metadata_Country!$A:$A, Metadata_Country!$B:$B, "Unknown"), IF(OR(_xlpm.r=0, _xlpm.r=""), "Regional Aggregate", _xlpm.r))</f>
        <v>Middle East &amp; North Africa</v>
      </c>
      <c r="G2660" s="4" t="str">
        <f>_xlfn.LET(_xlpm.ig, _xlfn.XLOOKUP(Clean_Data[[#This Row],[Country_Code]], Metadata_Country!$A:$A, Metadata_Country!$C:$C, "Unknown"), IF(OR(_xlpm.ig=0, _xlpm.ig=""), "Regional Aggregate", _xlpm.ig))</f>
        <v>Upper middle income</v>
      </c>
      <c r="H2660" s="4">
        <f>Clean_Data[[#This Row],[Exports_TIV]] - Clean_Data[[#This Row],[Imports_TIV]]</f>
        <v>-1522000000</v>
      </c>
      <c r="I2660" s="4">
        <f>Clean_Data[[#This Row],[Exports_TIV]] + Clean_Data[[#This Row],[Imports_TIV]]</f>
        <v>1522000000</v>
      </c>
    </row>
    <row r="2661" spans="1:9">
      <c r="A2661" s="4" t="s">
        <v>17</v>
      </c>
      <c r="B2661" s="4" t="s">
        <v>18</v>
      </c>
      <c r="C2661" s="5">
        <v>2008</v>
      </c>
      <c r="D2661" s="4">
        <v>0</v>
      </c>
      <c r="E2661" s="4">
        <v>29000000</v>
      </c>
      <c r="F2661" s="4" t="str">
        <f>_xlfn.LET(_xlpm.r, _xlfn.XLOOKUP(Clean_Data[[#This Row],[Country_Code]], Metadata_Country!$A:$A, Metadata_Country!$B:$B, "Unknown"), IF(OR(_xlpm.r=0, _xlpm.r=""), "Regional Aggregate", _xlpm.r))</f>
        <v>Sub-Saharan Africa</v>
      </c>
      <c r="G2661" s="4" t="str">
        <f>_xlfn.LET(_xlpm.ig, _xlfn.XLOOKUP(Clean_Data[[#This Row],[Country_Code]], Metadata_Country!$A:$A, Metadata_Country!$C:$C, "Unknown"), IF(OR(_xlpm.ig=0, _xlpm.ig=""), "Regional Aggregate", _xlpm.ig))</f>
        <v>Lower middle income</v>
      </c>
      <c r="H2661" s="4">
        <f>Clean_Data[[#This Row],[Exports_TIV]] - Clean_Data[[#This Row],[Imports_TIV]]</f>
        <v>-29000000</v>
      </c>
      <c r="I2661" s="4">
        <f>Clean_Data[[#This Row],[Exports_TIV]] + Clean_Data[[#This Row],[Imports_TIV]]</f>
        <v>29000000</v>
      </c>
    </row>
    <row r="2662" spans="1:9">
      <c r="A2662" s="4" t="s">
        <v>23</v>
      </c>
      <c r="B2662" s="4" t="s">
        <v>24</v>
      </c>
      <c r="C2662" s="5">
        <v>2008</v>
      </c>
      <c r="D2662" s="4">
        <v>0</v>
      </c>
      <c r="E2662" s="4">
        <v>4160000000</v>
      </c>
      <c r="F2662" s="4" t="str">
        <f>_xlfn.LET(_xlpm.r, _xlfn.XLOOKUP(Clean_Data[[#This Row],[Country_Code]], Metadata_Country!$A:$A, Metadata_Country!$B:$B, "Unknown"), IF(OR(_xlpm.r=0, _xlpm.r=""), "Regional Aggregate", _xlpm.r))</f>
        <v>Regional Aggregate</v>
      </c>
      <c r="G2662" s="4" t="str">
        <f>_xlfn.LET(_xlpm.ig, _xlfn.XLOOKUP(Clean_Data[[#This Row],[Country_Code]], Metadata_Country!$A:$A, Metadata_Country!$C:$C, "Unknown"), IF(OR(_xlpm.ig=0, _xlpm.ig=""), "Regional Aggregate", _xlpm.ig))</f>
        <v>Regional Aggregate</v>
      </c>
      <c r="H2662" s="4">
        <f>Clean_Data[[#This Row],[Exports_TIV]] - Clean_Data[[#This Row],[Imports_TIV]]</f>
        <v>-4160000000</v>
      </c>
      <c r="I2662" s="4">
        <f>Clean_Data[[#This Row],[Exports_TIV]] + Clean_Data[[#This Row],[Imports_TIV]]</f>
        <v>4160000000</v>
      </c>
    </row>
    <row r="2663" spans="1:9">
      <c r="A2663" s="4" t="s">
        <v>27</v>
      </c>
      <c r="B2663" s="4" t="s">
        <v>28</v>
      </c>
      <c r="C2663" s="5">
        <v>2008</v>
      </c>
      <c r="D2663" s="4">
        <v>0</v>
      </c>
      <c r="E2663" s="4">
        <v>21000000</v>
      </c>
      <c r="F2663" s="4" t="str">
        <f>_xlfn.LET(_xlpm.r, _xlfn.XLOOKUP(Clean_Data[[#This Row],[Country_Code]], Metadata_Country!$A:$A, Metadata_Country!$B:$B, "Unknown"), IF(OR(_xlpm.r=0, _xlpm.r=""), "Regional Aggregate", _xlpm.r))</f>
        <v>Latin America &amp; Caribbean</v>
      </c>
      <c r="G2663" s="4" t="str">
        <f>_xlfn.LET(_xlpm.ig, _xlfn.XLOOKUP(Clean_Data[[#This Row],[Country_Code]], Metadata_Country!$A:$A, Metadata_Country!$C:$C, "Unknown"), IF(OR(_xlpm.ig=0, _xlpm.ig=""), "Regional Aggregate", _xlpm.ig))</f>
        <v>Upper middle income</v>
      </c>
      <c r="H2663" s="4">
        <f>Clean_Data[[#This Row],[Exports_TIV]] - Clean_Data[[#This Row],[Imports_TIV]]</f>
        <v>-21000000</v>
      </c>
      <c r="I2663" s="4">
        <f>Clean_Data[[#This Row],[Exports_TIV]] + Clean_Data[[#This Row],[Imports_TIV]]</f>
        <v>21000000</v>
      </c>
    </row>
    <row r="2664" spans="1:9">
      <c r="A2664" s="4" t="s">
        <v>35</v>
      </c>
      <c r="B2664" s="4" t="s">
        <v>36</v>
      </c>
      <c r="C2664" s="5">
        <v>2008</v>
      </c>
      <c r="D2664" s="4">
        <v>57000000</v>
      </c>
      <c r="E2664" s="4">
        <v>430000000</v>
      </c>
      <c r="F2664" s="4" t="str">
        <f>_xlfn.LET(_xlpm.r, _xlfn.XLOOKUP(Clean_Data[[#This Row],[Country_Code]], Metadata_Country!$A:$A, Metadata_Country!$B:$B, "Unknown"), IF(OR(_xlpm.r=0, _xlpm.r=""), "Regional Aggregate", _xlpm.r))</f>
        <v>East Asia &amp; Pacific</v>
      </c>
      <c r="G2664" s="4" t="str">
        <f>_xlfn.LET(_xlpm.ig, _xlfn.XLOOKUP(Clean_Data[[#This Row],[Country_Code]], Metadata_Country!$A:$A, Metadata_Country!$C:$C, "Unknown"), IF(OR(_xlpm.ig=0, _xlpm.ig=""), "Regional Aggregate", _xlpm.ig))</f>
        <v>High income</v>
      </c>
      <c r="H2664" s="4">
        <f>Clean_Data[[#This Row],[Exports_TIV]] - Clean_Data[[#This Row],[Imports_TIV]]</f>
        <v>-373000000</v>
      </c>
      <c r="I2664" s="4">
        <f>Clean_Data[[#This Row],[Exports_TIV]] + Clean_Data[[#This Row],[Imports_TIV]]</f>
        <v>487000000</v>
      </c>
    </row>
    <row r="2665" spans="1:9">
      <c r="A2665" s="4" t="s">
        <v>37</v>
      </c>
      <c r="B2665" s="4" t="s">
        <v>38</v>
      </c>
      <c r="C2665" s="5">
        <v>2008</v>
      </c>
      <c r="D2665" s="4">
        <v>14000000</v>
      </c>
      <c r="E2665" s="4">
        <v>190000000</v>
      </c>
      <c r="F2665" s="4" t="str">
        <f>_xlfn.LET(_xlpm.r, _xlfn.XLOOKUP(Clean_Data[[#This Row],[Country_Code]], Metadata_Country!$A:$A, Metadata_Country!$B:$B, "Unknown"), IF(OR(_xlpm.r=0, _xlpm.r=""), "Regional Aggregate", _xlpm.r))</f>
        <v>Europe &amp; Central Asia</v>
      </c>
      <c r="G2665" s="4" t="str">
        <f>_xlfn.LET(_xlpm.ig, _xlfn.XLOOKUP(Clean_Data[[#This Row],[Country_Code]], Metadata_Country!$A:$A, Metadata_Country!$C:$C, "Unknown"), IF(OR(_xlpm.ig=0, _xlpm.ig=""), "Regional Aggregate", _xlpm.ig))</f>
        <v>High income</v>
      </c>
      <c r="H2665" s="4">
        <f>Clean_Data[[#This Row],[Exports_TIV]] - Clean_Data[[#This Row],[Imports_TIV]]</f>
        <v>-176000000</v>
      </c>
      <c r="I2665" s="4">
        <f>Clean_Data[[#This Row],[Exports_TIV]] + Clean_Data[[#This Row],[Imports_TIV]]</f>
        <v>204000000</v>
      </c>
    </row>
    <row r="2666" spans="1:9">
      <c r="A2666" s="4" t="s">
        <v>39</v>
      </c>
      <c r="B2666" s="4" t="s">
        <v>40</v>
      </c>
      <c r="C2666" s="5">
        <v>2008</v>
      </c>
      <c r="D2666" s="4">
        <v>0</v>
      </c>
      <c r="E2666" s="4">
        <v>34000000</v>
      </c>
      <c r="F2666" s="4" t="str">
        <f>_xlfn.LET(_xlpm.r, _xlfn.XLOOKUP(Clean_Data[[#This Row],[Country_Code]], Metadata_Country!$A:$A, Metadata_Country!$B:$B, "Unknown"), IF(OR(_xlpm.r=0, _xlpm.r=""), "Regional Aggregate", _xlpm.r))</f>
        <v>Europe &amp; Central Asia</v>
      </c>
      <c r="G2666" s="4" t="str">
        <f>_xlfn.LET(_xlpm.ig, _xlfn.XLOOKUP(Clean_Data[[#This Row],[Country_Code]], Metadata_Country!$A:$A, Metadata_Country!$C:$C, "Unknown"), IF(OR(_xlpm.ig=0, _xlpm.ig=""), "Regional Aggregate", _xlpm.ig))</f>
        <v>Upper middle income</v>
      </c>
      <c r="H2666" s="4">
        <f>Clean_Data[[#This Row],[Exports_TIV]] - Clean_Data[[#This Row],[Imports_TIV]]</f>
        <v>-34000000</v>
      </c>
      <c r="I2666" s="4">
        <f>Clean_Data[[#This Row],[Exports_TIV]] + Clean_Data[[#This Row],[Imports_TIV]]</f>
        <v>34000000</v>
      </c>
    </row>
    <row r="2667" spans="1:9">
      <c r="A2667" s="4" t="s">
        <v>53</v>
      </c>
      <c r="B2667" s="4" t="s">
        <v>54</v>
      </c>
      <c r="C2667" s="5">
        <v>2008</v>
      </c>
      <c r="D2667" s="4">
        <v>0</v>
      </c>
      <c r="E2667" s="4">
        <v>21000000</v>
      </c>
      <c r="F2667" s="4" t="str">
        <f>_xlfn.LET(_xlpm.r, _xlfn.XLOOKUP(Clean_Data[[#This Row],[Country_Code]], Metadata_Country!$A:$A, Metadata_Country!$B:$B, "Unknown"), IF(OR(_xlpm.r=0, _xlpm.r=""), "Regional Aggregate", _xlpm.r))</f>
        <v>Middle East &amp; North Africa</v>
      </c>
      <c r="G2667" s="4" t="str">
        <f>_xlfn.LET(_xlpm.ig, _xlfn.XLOOKUP(Clean_Data[[#This Row],[Country_Code]], Metadata_Country!$A:$A, Metadata_Country!$C:$C, "Unknown"), IF(OR(_xlpm.ig=0, _xlpm.ig=""), "Regional Aggregate", _xlpm.ig))</f>
        <v>High income</v>
      </c>
      <c r="H2667" s="4">
        <f>Clean_Data[[#This Row],[Exports_TIV]] - Clean_Data[[#This Row],[Imports_TIV]]</f>
        <v>-21000000</v>
      </c>
      <c r="I2667" s="4">
        <f>Clean_Data[[#This Row],[Exports_TIV]] + Clean_Data[[#This Row],[Imports_TIV]]</f>
        <v>21000000</v>
      </c>
    </row>
    <row r="2668" spans="1:9">
      <c r="A2668" s="4" t="s">
        <v>49</v>
      </c>
      <c r="B2668" s="4" t="s">
        <v>50</v>
      </c>
      <c r="C2668" s="5">
        <v>2008</v>
      </c>
      <c r="D2668" s="4">
        <v>0</v>
      </c>
      <c r="E2668" s="4">
        <v>12000000</v>
      </c>
      <c r="F2668" s="4" t="str">
        <f>_xlfn.LET(_xlpm.r, _xlfn.XLOOKUP(Clean_Data[[#This Row],[Country_Code]], Metadata_Country!$A:$A, Metadata_Country!$B:$B, "Unknown"), IF(OR(_xlpm.r=0, _xlpm.r=""), "Regional Aggregate", _xlpm.r))</f>
        <v>South Asia</v>
      </c>
      <c r="G2668" s="4" t="str">
        <f>_xlfn.LET(_xlpm.ig, _xlfn.XLOOKUP(Clean_Data[[#This Row],[Country_Code]], Metadata_Country!$A:$A, Metadata_Country!$C:$C, "Unknown"), IF(OR(_xlpm.ig=0, _xlpm.ig=""), "Regional Aggregate", _xlpm.ig))</f>
        <v>Lower middle income</v>
      </c>
      <c r="H2668" s="4">
        <f>Clean_Data[[#This Row],[Exports_TIV]] - Clean_Data[[#This Row],[Imports_TIV]]</f>
        <v>-12000000</v>
      </c>
      <c r="I2668" s="4">
        <f>Clean_Data[[#This Row],[Exports_TIV]] + Clean_Data[[#This Row],[Imports_TIV]]</f>
        <v>12000000</v>
      </c>
    </row>
    <row r="2669" spans="1:9">
      <c r="A2669" s="4" t="s">
        <v>69</v>
      </c>
      <c r="B2669" s="4" t="s">
        <v>70</v>
      </c>
      <c r="C2669" s="5">
        <v>2008</v>
      </c>
      <c r="D2669" s="4">
        <v>0</v>
      </c>
      <c r="E2669" s="4">
        <v>10000000</v>
      </c>
      <c r="F2669" s="4" t="str">
        <f>_xlfn.LET(_xlpm.r, _xlfn.XLOOKUP(Clean_Data[[#This Row],[Country_Code]], Metadata_Country!$A:$A, Metadata_Country!$B:$B, "Unknown"), IF(OR(_xlpm.r=0, _xlpm.r=""), "Regional Aggregate", _xlpm.r))</f>
        <v>Latin America &amp; Caribbean</v>
      </c>
      <c r="G2669" s="4" t="str">
        <f>_xlfn.LET(_xlpm.ig, _xlfn.XLOOKUP(Clean_Data[[#This Row],[Country_Code]], Metadata_Country!$A:$A, Metadata_Country!$C:$C, "Unknown"), IF(OR(_xlpm.ig=0, _xlpm.ig=""), "Regional Aggregate", _xlpm.ig))</f>
        <v>High income</v>
      </c>
      <c r="H2669" s="4">
        <f>Clean_Data[[#This Row],[Exports_TIV]] - Clean_Data[[#This Row],[Imports_TIV]]</f>
        <v>-10000000</v>
      </c>
      <c r="I2669" s="4">
        <f>Clean_Data[[#This Row],[Exports_TIV]] + Clean_Data[[#This Row],[Imports_TIV]]</f>
        <v>10000000</v>
      </c>
    </row>
    <row r="2670" spans="1:9">
      <c r="A2670" s="4" t="s">
        <v>59</v>
      </c>
      <c r="B2670" s="4" t="s">
        <v>60</v>
      </c>
      <c r="C2670" s="5">
        <v>2008</v>
      </c>
      <c r="D2670" s="4">
        <v>224000000</v>
      </c>
      <c r="E2670" s="4">
        <v>0</v>
      </c>
      <c r="F2670" s="4" t="str">
        <f>_xlfn.LET(_xlpm.r, _xlfn.XLOOKUP(Clean_Data[[#This Row],[Country_Code]], Metadata_Country!$A:$A, Metadata_Country!$B:$B, "Unknown"), IF(OR(_xlpm.r=0, _xlpm.r=""), "Regional Aggregate", _xlpm.r))</f>
        <v>Europe &amp; Central Asia</v>
      </c>
      <c r="G2670" s="4" t="str">
        <f>_xlfn.LET(_xlpm.ig, _xlfn.XLOOKUP(Clean_Data[[#This Row],[Country_Code]], Metadata_Country!$A:$A, Metadata_Country!$C:$C, "Unknown"), IF(OR(_xlpm.ig=0, _xlpm.ig=""), "Regional Aggregate", _xlpm.ig))</f>
        <v>Upper middle income</v>
      </c>
      <c r="H2670" s="4">
        <f>Clean_Data[[#This Row],[Exports_TIV]] - Clean_Data[[#This Row],[Imports_TIV]]</f>
        <v>224000000</v>
      </c>
      <c r="I2670" s="4">
        <f>Clean_Data[[#This Row],[Exports_TIV]] + Clean_Data[[#This Row],[Imports_TIV]]</f>
        <v>224000000</v>
      </c>
    </row>
    <row r="2671" spans="1:9">
      <c r="A2671" s="4" t="s">
        <v>43</v>
      </c>
      <c r="B2671" s="4" t="s">
        <v>44</v>
      </c>
      <c r="C2671" s="5">
        <v>2008</v>
      </c>
      <c r="D2671" s="4">
        <v>223000000</v>
      </c>
      <c r="E2671" s="4">
        <v>191000000</v>
      </c>
      <c r="F2671" s="4" t="str">
        <f>_xlfn.LET(_xlpm.r, _xlfn.XLOOKUP(Clean_Data[[#This Row],[Country_Code]], Metadata_Country!$A:$A, Metadata_Country!$B:$B, "Unknown"), IF(OR(_xlpm.r=0, _xlpm.r=""), "Regional Aggregate", _xlpm.r))</f>
        <v>Europe &amp; Central Asia</v>
      </c>
      <c r="G2671" s="4" t="str">
        <f>_xlfn.LET(_xlpm.ig, _xlfn.XLOOKUP(Clean_Data[[#This Row],[Country_Code]], Metadata_Country!$A:$A, Metadata_Country!$C:$C, "Unknown"), IF(OR(_xlpm.ig=0, _xlpm.ig=""), "Regional Aggregate", _xlpm.ig))</f>
        <v>High income</v>
      </c>
      <c r="H2671" s="4">
        <f>Clean_Data[[#This Row],[Exports_TIV]] - Clean_Data[[#This Row],[Imports_TIV]]</f>
        <v>32000000</v>
      </c>
      <c r="I2671" s="4">
        <f>Clean_Data[[#This Row],[Exports_TIV]] + Clean_Data[[#This Row],[Imports_TIV]]</f>
        <v>414000000</v>
      </c>
    </row>
    <row r="2672" spans="1:9">
      <c r="A2672" s="4" t="s">
        <v>65</v>
      </c>
      <c r="B2672" s="4" t="s">
        <v>66</v>
      </c>
      <c r="C2672" s="5">
        <v>2008</v>
      </c>
      <c r="D2672" s="4">
        <v>0</v>
      </c>
      <c r="E2672" s="4">
        <v>3000000</v>
      </c>
      <c r="F2672" s="4" t="str">
        <f>_xlfn.LET(_xlpm.r, _xlfn.XLOOKUP(Clean_Data[[#This Row],[Country_Code]], Metadata_Country!$A:$A, Metadata_Country!$B:$B, "Unknown"), IF(OR(_xlpm.r=0, _xlpm.r=""), "Regional Aggregate", _xlpm.r))</f>
        <v>Latin America &amp; Caribbean</v>
      </c>
      <c r="G2672" s="4" t="str">
        <f>_xlfn.LET(_xlpm.ig, _xlfn.XLOOKUP(Clean_Data[[#This Row],[Country_Code]], Metadata_Country!$A:$A, Metadata_Country!$C:$C, "Unknown"), IF(OR(_xlpm.ig=0, _xlpm.ig=""), "Regional Aggregate", _xlpm.ig))</f>
        <v>Lower middle income</v>
      </c>
      <c r="H2672" s="4">
        <f>Clean_Data[[#This Row],[Exports_TIV]] - Clean_Data[[#This Row],[Imports_TIV]]</f>
        <v>-3000000</v>
      </c>
      <c r="I2672" s="4">
        <f>Clean_Data[[#This Row],[Exports_TIV]] + Clean_Data[[#This Row],[Imports_TIV]]</f>
        <v>3000000</v>
      </c>
    </row>
    <row r="2673" spans="1:9">
      <c r="A2673" s="4" t="s">
        <v>67</v>
      </c>
      <c r="B2673" s="4" t="s">
        <v>68</v>
      </c>
      <c r="C2673" s="5">
        <v>2008</v>
      </c>
      <c r="D2673" s="4">
        <v>93000000</v>
      </c>
      <c r="E2673" s="4">
        <v>178000000</v>
      </c>
      <c r="F2673" s="4" t="str">
        <f>_xlfn.LET(_xlpm.r, _xlfn.XLOOKUP(Clean_Data[[#This Row],[Country_Code]], Metadata_Country!$A:$A, Metadata_Country!$B:$B, "Unknown"), IF(OR(_xlpm.r=0, _xlpm.r=""), "Regional Aggregate", _xlpm.r))</f>
        <v>Latin America &amp; Caribbean</v>
      </c>
      <c r="G2673" s="4" t="str">
        <f>_xlfn.LET(_xlpm.ig, _xlfn.XLOOKUP(Clean_Data[[#This Row],[Country_Code]], Metadata_Country!$A:$A, Metadata_Country!$C:$C, "Unknown"), IF(OR(_xlpm.ig=0, _xlpm.ig=""), "Regional Aggregate", _xlpm.ig))</f>
        <v>Upper middle income</v>
      </c>
      <c r="H2673" s="4">
        <f>Clean_Data[[#This Row],[Exports_TIV]] - Clean_Data[[#This Row],[Imports_TIV]]</f>
        <v>-85000000</v>
      </c>
      <c r="I2673" s="4">
        <f>Clean_Data[[#This Row],[Exports_TIV]] + Clean_Data[[#This Row],[Imports_TIV]]</f>
        <v>271000000</v>
      </c>
    </row>
    <row r="2674" spans="1:9">
      <c r="A2674" s="4" t="s">
        <v>51</v>
      </c>
      <c r="B2674" s="4" t="s">
        <v>52</v>
      </c>
      <c r="C2674" s="5">
        <v>2008</v>
      </c>
      <c r="D2674" s="4">
        <v>4000000</v>
      </c>
      <c r="E2674" s="4">
        <v>117000000</v>
      </c>
      <c r="F2674" s="4" t="str">
        <f>_xlfn.LET(_xlpm.r, _xlfn.XLOOKUP(Clean_Data[[#This Row],[Country_Code]], Metadata_Country!$A:$A, Metadata_Country!$B:$B, "Unknown"), IF(OR(_xlpm.r=0, _xlpm.r=""), "Regional Aggregate", _xlpm.r))</f>
        <v>Europe &amp; Central Asia</v>
      </c>
      <c r="G2674" s="4" t="str">
        <f>_xlfn.LET(_xlpm.ig, _xlfn.XLOOKUP(Clean_Data[[#This Row],[Country_Code]], Metadata_Country!$A:$A, Metadata_Country!$C:$C, "Unknown"), IF(OR(_xlpm.ig=0, _xlpm.ig=""), "Regional Aggregate", _xlpm.ig))</f>
        <v>High income</v>
      </c>
      <c r="H2674" s="4">
        <f>Clean_Data[[#This Row],[Exports_TIV]] - Clean_Data[[#This Row],[Imports_TIV]]</f>
        <v>-113000000</v>
      </c>
      <c r="I2674" s="4">
        <f>Clean_Data[[#This Row],[Exports_TIV]] + Clean_Data[[#This Row],[Imports_TIV]]</f>
        <v>121000000</v>
      </c>
    </row>
    <row r="2675" spans="1:9">
      <c r="A2675" s="4" t="s">
        <v>93</v>
      </c>
      <c r="B2675" s="4" t="s">
        <v>94</v>
      </c>
      <c r="C2675" s="5">
        <v>2008</v>
      </c>
      <c r="D2675" s="4">
        <v>0</v>
      </c>
      <c r="E2675" s="4">
        <v>1000000</v>
      </c>
      <c r="F2675" s="4" t="str">
        <f>_xlfn.LET(_xlpm.r, _xlfn.XLOOKUP(Clean_Data[[#This Row],[Country_Code]], Metadata_Country!$A:$A, Metadata_Country!$B:$B, "Unknown"), IF(OR(_xlpm.r=0, _xlpm.r=""), "Regional Aggregate", _xlpm.r))</f>
        <v>Sub-Saharan Africa</v>
      </c>
      <c r="G2675" s="4" t="str">
        <f>_xlfn.LET(_xlpm.ig, _xlfn.XLOOKUP(Clean_Data[[#This Row],[Country_Code]], Metadata_Country!$A:$A, Metadata_Country!$C:$C, "Unknown"), IF(OR(_xlpm.ig=0, _xlpm.ig=""), "Regional Aggregate", _xlpm.ig))</f>
        <v>Lower middle income</v>
      </c>
      <c r="H2675" s="4">
        <f>Clean_Data[[#This Row],[Exports_TIV]] - Clean_Data[[#This Row],[Imports_TIV]]</f>
        <v>-1000000</v>
      </c>
      <c r="I2675" s="4">
        <f>Clean_Data[[#This Row],[Exports_TIV]] + Clean_Data[[#This Row],[Imports_TIV]]</f>
        <v>1000000</v>
      </c>
    </row>
    <row r="2676" spans="1:9">
      <c r="A2676" s="4" t="s">
        <v>79</v>
      </c>
      <c r="B2676" s="4" t="s">
        <v>80</v>
      </c>
      <c r="C2676" s="5">
        <v>2008</v>
      </c>
      <c r="D2676" s="4">
        <v>252000000</v>
      </c>
      <c r="E2676" s="4">
        <v>423000000</v>
      </c>
      <c r="F2676" s="4" t="str">
        <f>_xlfn.LET(_xlpm.r, _xlfn.XLOOKUP(Clean_Data[[#This Row],[Country_Code]], Metadata_Country!$A:$A, Metadata_Country!$B:$B, "Unknown"), IF(OR(_xlpm.r=0, _xlpm.r=""), "Regional Aggregate", _xlpm.r))</f>
        <v>North America</v>
      </c>
      <c r="G2676" s="4" t="str">
        <f>_xlfn.LET(_xlpm.ig, _xlfn.XLOOKUP(Clean_Data[[#This Row],[Country_Code]], Metadata_Country!$A:$A, Metadata_Country!$C:$C, "Unknown"), IF(OR(_xlpm.ig=0, _xlpm.ig=""), "Regional Aggregate", _xlpm.ig))</f>
        <v>High income</v>
      </c>
      <c r="H2676" s="4">
        <f>Clean_Data[[#This Row],[Exports_TIV]] - Clean_Data[[#This Row],[Imports_TIV]]</f>
        <v>-171000000</v>
      </c>
      <c r="I2676" s="4">
        <f>Clean_Data[[#This Row],[Exports_TIV]] + Clean_Data[[#This Row],[Imports_TIV]]</f>
        <v>675000000</v>
      </c>
    </row>
    <row r="2677" spans="1:9">
      <c r="A2677" s="4" t="s">
        <v>77</v>
      </c>
      <c r="B2677" s="4" t="s">
        <v>78</v>
      </c>
      <c r="C2677" s="5">
        <v>2008</v>
      </c>
      <c r="D2677" s="4">
        <v>0</v>
      </c>
      <c r="E2677" s="4">
        <v>0</v>
      </c>
      <c r="F2677" s="4" t="str">
        <f>_xlfn.LET(_xlpm.r, _xlfn.XLOOKUP(Clean_Data[[#This Row],[Country_Code]], Metadata_Country!$A:$A, Metadata_Country!$B:$B, "Unknown"), IF(OR(_xlpm.r=0, _xlpm.r=""), "Regional Aggregate", _xlpm.r))</f>
        <v>Sub-Saharan Africa</v>
      </c>
      <c r="G2677" s="4" t="str">
        <f>_xlfn.LET(_xlpm.ig, _xlfn.XLOOKUP(Clean_Data[[#This Row],[Country_Code]], Metadata_Country!$A:$A, Metadata_Country!$C:$C, "Unknown"), IF(OR(_xlpm.ig=0, _xlpm.ig=""), "Regional Aggregate", _xlpm.ig))</f>
        <v>Low income</v>
      </c>
      <c r="H2677" s="4">
        <f>Clean_Data[[#This Row],[Exports_TIV]] - Clean_Data[[#This Row],[Imports_TIV]]</f>
        <v>0</v>
      </c>
      <c r="I2677" s="4">
        <f>Clean_Data[[#This Row],[Exports_TIV]] + Clean_Data[[#This Row],[Imports_TIV]]</f>
        <v>0</v>
      </c>
    </row>
    <row r="2678" spans="1:9">
      <c r="A2678" s="4" t="s">
        <v>81</v>
      </c>
      <c r="B2678" s="4" t="s">
        <v>82</v>
      </c>
      <c r="C2678" s="5">
        <v>2008</v>
      </c>
      <c r="D2678" s="4">
        <v>0</v>
      </c>
      <c r="E2678" s="4">
        <v>1064000000</v>
      </c>
      <c r="F2678" s="4" t="str">
        <f>_xlfn.LET(_xlpm.r, _xlfn.XLOOKUP(Clean_Data[[#This Row],[Country_Code]], Metadata_Country!$A:$A, Metadata_Country!$B:$B, "Unknown"), IF(OR(_xlpm.r=0, _xlpm.r=""), "Regional Aggregate", _xlpm.r))</f>
        <v>Regional Aggregate</v>
      </c>
      <c r="G2678" s="4" t="str">
        <f>_xlfn.LET(_xlpm.ig, _xlfn.XLOOKUP(Clean_Data[[#This Row],[Country_Code]], Metadata_Country!$A:$A, Metadata_Country!$C:$C, "Unknown"), IF(OR(_xlpm.ig=0, _xlpm.ig=""), "Regional Aggregate", _xlpm.ig))</f>
        <v>Regional Aggregate</v>
      </c>
      <c r="H2678" s="4">
        <f>Clean_Data[[#This Row],[Exports_TIV]] - Clean_Data[[#This Row],[Imports_TIV]]</f>
        <v>-1064000000</v>
      </c>
      <c r="I2678" s="4">
        <f>Clean_Data[[#This Row],[Exports_TIV]] + Clean_Data[[#This Row],[Imports_TIV]]</f>
        <v>1064000000</v>
      </c>
    </row>
    <row r="2679" spans="1:9">
      <c r="A2679" s="4" t="s">
        <v>467</v>
      </c>
      <c r="B2679" s="4" t="s">
        <v>468</v>
      </c>
      <c r="C2679" s="5">
        <v>2008</v>
      </c>
      <c r="D2679" s="4">
        <v>0</v>
      </c>
      <c r="E2679" s="4">
        <v>83000000</v>
      </c>
      <c r="F2679" s="4" t="str">
        <f>_xlfn.LET(_xlpm.r, _xlfn.XLOOKUP(Clean_Data[[#This Row],[Country_Code]], Metadata_Country!$A:$A, Metadata_Country!$B:$B, "Unknown"), IF(OR(_xlpm.r=0, _xlpm.r=""), "Regional Aggregate", _xlpm.r))</f>
        <v>Sub-Saharan Africa</v>
      </c>
      <c r="G2679" s="4" t="str">
        <f>_xlfn.LET(_xlpm.ig, _xlfn.XLOOKUP(Clean_Data[[#This Row],[Country_Code]], Metadata_Country!$A:$A, Metadata_Country!$C:$C, "Unknown"), IF(OR(_xlpm.ig=0, _xlpm.ig=""), "Regional Aggregate", _xlpm.ig))</f>
        <v>Low income</v>
      </c>
      <c r="H2679" s="4">
        <f>Clean_Data[[#This Row],[Exports_TIV]] - Clean_Data[[#This Row],[Imports_TIV]]</f>
        <v>-83000000</v>
      </c>
      <c r="I2679" s="4">
        <f>Clean_Data[[#This Row],[Exports_TIV]] + Clean_Data[[#This Row],[Imports_TIV]]</f>
        <v>83000000</v>
      </c>
    </row>
    <row r="2680" spans="1:9">
      <c r="A2680" s="4" t="s">
        <v>87</v>
      </c>
      <c r="B2680" s="4" t="s">
        <v>88</v>
      </c>
      <c r="C2680" s="5">
        <v>2008</v>
      </c>
      <c r="D2680" s="4">
        <v>100000000</v>
      </c>
      <c r="E2680" s="4">
        <v>395000000</v>
      </c>
      <c r="F2680" s="4" t="str">
        <f>_xlfn.LET(_xlpm.r, _xlfn.XLOOKUP(Clean_Data[[#This Row],[Country_Code]], Metadata_Country!$A:$A, Metadata_Country!$B:$B, "Unknown"), IF(OR(_xlpm.r=0, _xlpm.r=""), "Regional Aggregate", _xlpm.r))</f>
        <v>Latin America &amp; Caribbean</v>
      </c>
      <c r="G2680" s="4" t="str">
        <f>_xlfn.LET(_xlpm.ig, _xlfn.XLOOKUP(Clean_Data[[#This Row],[Country_Code]], Metadata_Country!$A:$A, Metadata_Country!$C:$C, "Unknown"), IF(OR(_xlpm.ig=0, _xlpm.ig=""), "Regional Aggregate", _xlpm.ig))</f>
        <v>High income</v>
      </c>
      <c r="H2680" s="4">
        <f>Clean_Data[[#This Row],[Exports_TIV]] - Clean_Data[[#This Row],[Imports_TIV]]</f>
        <v>-295000000</v>
      </c>
      <c r="I2680" s="4">
        <f>Clean_Data[[#This Row],[Exports_TIV]] + Clean_Data[[#This Row],[Imports_TIV]]</f>
        <v>495000000</v>
      </c>
    </row>
    <row r="2681" spans="1:9">
      <c r="A2681" s="4" t="s">
        <v>89</v>
      </c>
      <c r="B2681" s="4" t="s">
        <v>90</v>
      </c>
      <c r="C2681" s="5">
        <v>2008</v>
      </c>
      <c r="D2681" s="4">
        <v>598000000</v>
      </c>
      <c r="E2681" s="4">
        <v>1784000000</v>
      </c>
      <c r="F2681" s="4" t="str">
        <f>_xlfn.LET(_xlpm.r, _xlfn.XLOOKUP(Clean_Data[[#This Row],[Country_Code]], Metadata_Country!$A:$A, Metadata_Country!$B:$B, "Unknown"), IF(OR(_xlpm.r=0, _xlpm.r=""), "Regional Aggregate", _xlpm.r))</f>
        <v>East Asia &amp; Pacific</v>
      </c>
      <c r="G2681" s="4" t="str">
        <f>_xlfn.LET(_xlpm.ig, _xlfn.XLOOKUP(Clean_Data[[#This Row],[Country_Code]], Metadata_Country!$A:$A, Metadata_Country!$C:$C, "Unknown"), IF(OR(_xlpm.ig=0, _xlpm.ig=""), "Regional Aggregate", _xlpm.ig))</f>
        <v>Upper middle income</v>
      </c>
      <c r="H2681" s="4">
        <f>Clean_Data[[#This Row],[Exports_TIV]] - Clean_Data[[#This Row],[Imports_TIV]]</f>
        <v>-1186000000</v>
      </c>
      <c r="I2681" s="4">
        <f>Clean_Data[[#This Row],[Exports_TIV]] + Clean_Data[[#This Row],[Imports_TIV]]</f>
        <v>2382000000</v>
      </c>
    </row>
    <row r="2682" spans="1:9">
      <c r="A2682" s="4" t="s">
        <v>99</v>
      </c>
      <c r="B2682" s="4" t="s">
        <v>100</v>
      </c>
      <c r="C2682" s="5">
        <v>2008</v>
      </c>
      <c r="D2682" s="4">
        <v>0</v>
      </c>
      <c r="E2682" s="4">
        <v>110000000</v>
      </c>
      <c r="F2682" s="4" t="str">
        <f>_xlfn.LET(_xlpm.r, _xlfn.XLOOKUP(Clean_Data[[#This Row],[Country_Code]], Metadata_Country!$A:$A, Metadata_Country!$B:$B, "Unknown"), IF(OR(_xlpm.r=0, _xlpm.r=""), "Regional Aggregate", _xlpm.r))</f>
        <v>Latin America &amp; Caribbean</v>
      </c>
      <c r="G2682" s="4" t="str">
        <f>_xlfn.LET(_xlpm.ig, _xlfn.XLOOKUP(Clean_Data[[#This Row],[Country_Code]], Metadata_Country!$A:$A, Metadata_Country!$C:$C, "Unknown"), IF(OR(_xlpm.ig=0, _xlpm.ig=""), "Regional Aggregate", _xlpm.ig))</f>
        <v>Upper middle income</v>
      </c>
      <c r="H2682" s="4">
        <f>Clean_Data[[#This Row],[Exports_TIV]] - Clean_Data[[#This Row],[Imports_TIV]]</f>
        <v>-110000000</v>
      </c>
      <c r="I2682" s="4">
        <f>Clean_Data[[#This Row],[Exports_TIV]] + Clean_Data[[#This Row],[Imports_TIV]]</f>
        <v>110000000</v>
      </c>
    </row>
    <row r="2683" spans="1:9">
      <c r="A2683" s="4" t="s">
        <v>101</v>
      </c>
      <c r="B2683" s="4" t="s">
        <v>102</v>
      </c>
      <c r="C2683" s="5">
        <v>2008</v>
      </c>
      <c r="D2683" s="4">
        <v>0</v>
      </c>
      <c r="E2683" s="4">
        <v>6000000</v>
      </c>
      <c r="F2683" s="4" t="str">
        <f>_xlfn.LET(_xlpm.r, _xlfn.XLOOKUP(Clean_Data[[#This Row],[Country_Code]], Metadata_Country!$A:$A, Metadata_Country!$B:$B, "Unknown"), IF(OR(_xlpm.r=0, _xlpm.r=""), "Regional Aggregate", _xlpm.r))</f>
        <v>Sub-Saharan Africa</v>
      </c>
      <c r="G2683" s="4" t="str">
        <f>_xlfn.LET(_xlpm.ig, _xlfn.XLOOKUP(Clean_Data[[#This Row],[Country_Code]], Metadata_Country!$A:$A, Metadata_Country!$C:$C, "Unknown"), IF(OR(_xlpm.ig=0, _xlpm.ig=""), "Regional Aggregate", _xlpm.ig))</f>
        <v>Lower middle income</v>
      </c>
      <c r="H2683" s="4">
        <f>Clean_Data[[#This Row],[Exports_TIV]] - Clean_Data[[#This Row],[Imports_TIV]]</f>
        <v>-6000000</v>
      </c>
      <c r="I2683" s="4">
        <f>Clean_Data[[#This Row],[Exports_TIV]] + Clean_Data[[#This Row],[Imports_TIV]]</f>
        <v>6000000</v>
      </c>
    </row>
    <row r="2684" spans="1:9">
      <c r="A2684" s="4" t="s">
        <v>95</v>
      </c>
      <c r="B2684" s="4" t="s">
        <v>96</v>
      </c>
      <c r="C2684" s="5">
        <v>2008</v>
      </c>
      <c r="D2684" s="4">
        <v>0</v>
      </c>
      <c r="E2684" s="4">
        <v>18000000</v>
      </c>
      <c r="F2684" s="4" t="str">
        <f>_xlfn.LET(_xlpm.r, _xlfn.XLOOKUP(Clean_Data[[#This Row],[Country_Code]], Metadata_Country!$A:$A, Metadata_Country!$B:$B, "Unknown"), IF(OR(_xlpm.r=0, _xlpm.r=""), "Regional Aggregate", _xlpm.r))</f>
        <v>Sub-Saharan Africa</v>
      </c>
      <c r="G2684" s="4" t="str">
        <f>_xlfn.LET(_xlpm.ig, _xlfn.XLOOKUP(Clean_Data[[#This Row],[Country_Code]], Metadata_Country!$A:$A, Metadata_Country!$C:$C, "Unknown"), IF(OR(_xlpm.ig=0, _xlpm.ig=""), "Regional Aggregate", _xlpm.ig))</f>
        <v>Low income</v>
      </c>
      <c r="H2684" s="4">
        <f>Clean_Data[[#This Row],[Exports_TIV]] - Clean_Data[[#This Row],[Imports_TIV]]</f>
        <v>-18000000</v>
      </c>
      <c r="I2684" s="4">
        <f>Clean_Data[[#This Row],[Exports_TIV]] + Clean_Data[[#This Row],[Imports_TIV]]</f>
        <v>18000000</v>
      </c>
    </row>
    <row r="2685" spans="1:9">
      <c r="A2685" s="4" t="s">
        <v>105</v>
      </c>
      <c r="B2685" s="4" t="s">
        <v>106</v>
      </c>
      <c r="C2685" s="5">
        <v>2008</v>
      </c>
      <c r="D2685" s="4">
        <v>0</v>
      </c>
      <c r="E2685" s="4">
        <v>0</v>
      </c>
      <c r="F2685" s="4" t="str">
        <f>_xlfn.LET(_xlpm.r, _xlfn.XLOOKUP(Clean_Data[[#This Row],[Country_Code]], Metadata_Country!$A:$A, Metadata_Country!$B:$B, "Unknown"), IF(OR(_xlpm.r=0, _xlpm.r=""), "Regional Aggregate", _xlpm.r))</f>
        <v>Latin America &amp; Caribbean</v>
      </c>
      <c r="G2685" s="4" t="str">
        <f>_xlfn.LET(_xlpm.ig, _xlfn.XLOOKUP(Clean_Data[[#This Row],[Country_Code]], Metadata_Country!$A:$A, Metadata_Country!$C:$C, "Unknown"), IF(OR(_xlpm.ig=0, _xlpm.ig=""), "Regional Aggregate", _xlpm.ig))</f>
        <v>High income</v>
      </c>
      <c r="H2685" s="4">
        <f>Clean_Data[[#This Row],[Exports_TIV]] - Clean_Data[[#This Row],[Imports_TIV]]</f>
        <v>0</v>
      </c>
      <c r="I2685" s="4">
        <f>Clean_Data[[#This Row],[Exports_TIV]] + Clean_Data[[#This Row],[Imports_TIV]]</f>
        <v>0</v>
      </c>
    </row>
    <row r="2686" spans="1:9">
      <c r="A2686" s="4" t="s">
        <v>207</v>
      </c>
      <c r="B2686" s="4" t="s">
        <v>208</v>
      </c>
      <c r="C2686" s="5">
        <v>2008</v>
      </c>
      <c r="D2686" s="4">
        <v>0</v>
      </c>
      <c r="E2686" s="4">
        <v>103000000</v>
      </c>
      <c r="F2686" s="4" t="str">
        <f>_xlfn.LET(_xlpm.r, _xlfn.XLOOKUP(Clean_Data[[#This Row],[Country_Code]], Metadata_Country!$A:$A, Metadata_Country!$B:$B, "Unknown"), IF(OR(_xlpm.r=0, _xlpm.r=""), "Regional Aggregate", _xlpm.r))</f>
        <v>Europe &amp; Central Asia</v>
      </c>
      <c r="G2686" s="4" t="str">
        <f>_xlfn.LET(_xlpm.ig, _xlfn.XLOOKUP(Clean_Data[[#This Row],[Country_Code]], Metadata_Country!$A:$A, Metadata_Country!$C:$C, "Unknown"), IF(OR(_xlpm.ig=0, _xlpm.ig=""), "Regional Aggregate", _xlpm.ig))</f>
        <v>High income</v>
      </c>
      <c r="H2686" s="4">
        <f>Clean_Data[[#This Row],[Exports_TIV]] - Clean_Data[[#This Row],[Imports_TIV]]</f>
        <v>-103000000</v>
      </c>
      <c r="I2686" s="4">
        <f>Clean_Data[[#This Row],[Exports_TIV]] + Clean_Data[[#This Row],[Imports_TIV]]</f>
        <v>103000000</v>
      </c>
    </row>
    <row r="2687" spans="1:9">
      <c r="A2687" s="4" t="s">
        <v>117</v>
      </c>
      <c r="B2687" s="4" t="s">
        <v>118</v>
      </c>
      <c r="C2687" s="5">
        <v>2008</v>
      </c>
      <c r="D2687" s="4">
        <v>34000000</v>
      </c>
      <c r="E2687" s="4">
        <v>25000000</v>
      </c>
      <c r="F2687" s="4" t="str">
        <f>_xlfn.LET(_xlpm.r, _xlfn.XLOOKUP(Clean_Data[[#This Row],[Country_Code]], Metadata_Country!$A:$A, Metadata_Country!$B:$B, "Unknown"), IF(OR(_xlpm.r=0, _xlpm.r=""), "Regional Aggregate", _xlpm.r))</f>
        <v>Europe &amp; Central Asia</v>
      </c>
      <c r="G2687" s="4" t="str">
        <f>_xlfn.LET(_xlpm.ig, _xlfn.XLOOKUP(Clean_Data[[#This Row],[Country_Code]], Metadata_Country!$A:$A, Metadata_Country!$C:$C, "Unknown"), IF(OR(_xlpm.ig=0, _xlpm.ig=""), "Regional Aggregate", _xlpm.ig))</f>
        <v>High income</v>
      </c>
      <c r="H2687" s="4">
        <f>Clean_Data[[#This Row],[Exports_TIV]] - Clean_Data[[#This Row],[Imports_TIV]]</f>
        <v>9000000</v>
      </c>
      <c r="I2687" s="4">
        <f>Clean_Data[[#This Row],[Exports_TIV]] + Clean_Data[[#This Row],[Imports_TIV]]</f>
        <v>59000000</v>
      </c>
    </row>
    <row r="2688" spans="1:9">
      <c r="A2688" s="4" t="s">
        <v>125</v>
      </c>
      <c r="B2688" s="4" t="s">
        <v>126</v>
      </c>
      <c r="C2688" s="5">
        <v>2008</v>
      </c>
      <c r="D2688" s="4">
        <v>8000000</v>
      </c>
      <c r="E2688" s="4">
        <v>98000000</v>
      </c>
      <c r="F2688" s="4" t="str">
        <f>_xlfn.LET(_xlpm.r, _xlfn.XLOOKUP(Clean_Data[[#This Row],[Country_Code]], Metadata_Country!$A:$A, Metadata_Country!$B:$B, "Unknown"), IF(OR(_xlpm.r=0, _xlpm.r=""), "Regional Aggregate", _xlpm.r))</f>
        <v>Europe &amp; Central Asia</v>
      </c>
      <c r="G2688" s="4" t="str">
        <f>_xlfn.LET(_xlpm.ig, _xlfn.XLOOKUP(Clean_Data[[#This Row],[Country_Code]], Metadata_Country!$A:$A, Metadata_Country!$C:$C, "Unknown"), IF(OR(_xlpm.ig=0, _xlpm.ig=""), "Regional Aggregate", _xlpm.ig))</f>
        <v>High income</v>
      </c>
      <c r="H2688" s="4">
        <f>Clean_Data[[#This Row],[Exports_TIV]] - Clean_Data[[#This Row],[Imports_TIV]]</f>
        <v>-90000000</v>
      </c>
      <c r="I2688" s="4">
        <f>Clean_Data[[#This Row],[Exports_TIV]] + Clean_Data[[#This Row],[Imports_TIV]]</f>
        <v>106000000</v>
      </c>
    </row>
    <row r="2689" spans="1:9">
      <c r="A2689" s="4" t="s">
        <v>133</v>
      </c>
      <c r="B2689" s="4" t="s">
        <v>134</v>
      </c>
      <c r="C2689" s="5">
        <v>2008</v>
      </c>
      <c r="D2689" s="4">
        <v>0</v>
      </c>
      <c r="E2689" s="4">
        <v>8654000000</v>
      </c>
      <c r="F2689" s="4" t="str">
        <f>_xlfn.LET(_xlpm.r, _xlfn.XLOOKUP(Clean_Data[[#This Row],[Country_Code]], Metadata_Country!$A:$A, Metadata_Country!$B:$B, "Unknown"), IF(OR(_xlpm.r=0, _xlpm.r=""), "Regional Aggregate", _xlpm.r))</f>
        <v>Regional Aggregate</v>
      </c>
      <c r="G2689" s="4" t="str">
        <f>_xlfn.LET(_xlpm.ig, _xlfn.XLOOKUP(Clean_Data[[#This Row],[Country_Code]], Metadata_Country!$A:$A, Metadata_Country!$C:$C, "Unknown"), IF(OR(_xlpm.ig=0, _xlpm.ig=""), "Regional Aggregate", _xlpm.ig))</f>
        <v>Regional Aggregate</v>
      </c>
      <c r="H2689" s="4">
        <f>Clean_Data[[#This Row],[Exports_TIV]] - Clean_Data[[#This Row],[Imports_TIV]]</f>
        <v>-8654000000</v>
      </c>
      <c r="I2689" s="4">
        <f>Clean_Data[[#This Row],[Exports_TIV]] + Clean_Data[[#This Row],[Imports_TIV]]</f>
        <v>8654000000</v>
      </c>
    </row>
    <row r="2690" spans="1:9">
      <c r="A2690" s="4" t="s">
        <v>135</v>
      </c>
      <c r="B2690" s="4" t="s">
        <v>136</v>
      </c>
      <c r="C2690" s="5">
        <v>2008</v>
      </c>
      <c r="D2690" s="4">
        <v>0</v>
      </c>
      <c r="E2690" s="4">
        <v>7066000000</v>
      </c>
      <c r="F2690" s="4" t="str">
        <f>_xlfn.LET(_xlpm.r, _xlfn.XLOOKUP(Clean_Data[[#This Row],[Country_Code]], Metadata_Country!$A:$A, Metadata_Country!$B:$B, "Unknown"), IF(OR(_xlpm.r=0, _xlpm.r=""), "Regional Aggregate", _xlpm.r))</f>
        <v>Regional Aggregate</v>
      </c>
      <c r="G2690" s="4" t="str">
        <f>_xlfn.LET(_xlpm.ig, _xlfn.XLOOKUP(Clean_Data[[#This Row],[Country_Code]], Metadata_Country!$A:$A, Metadata_Country!$C:$C, "Unknown"), IF(OR(_xlpm.ig=0, _xlpm.ig=""), "Regional Aggregate", _xlpm.ig))</f>
        <v>Regional Aggregate</v>
      </c>
      <c r="H2690" s="4">
        <f>Clean_Data[[#This Row],[Exports_TIV]] - Clean_Data[[#This Row],[Imports_TIV]]</f>
        <v>-7066000000</v>
      </c>
      <c r="I2690" s="4">
        <f>Clean_Data[[#This Row],[Exports_TIV]] + Clean_Data[[#This Row],[Imports_TIV]]</f>
        <v>7066000000</v>
      </c>
    </row>
    <row r="2691" spans="1:9">
      <c r="A2691" s="4" t="s">
        <v>131</v>
      </c>
      <c r="B2691" s="4" t="s">
        <v>132</v>
      </c>
      <c r="C2691" s="5">
        <v>2008</v>
      </c>
      <c r="D2691" s="4">
        <v>614000000</v>
      </c>
      <c r="E2691" s="4">
        <v>2835000000</v>
      </c>
      <c r="F2691" s="4" t="str">
        <f>_xlfn.LET(_xlpm.r, _xlfn.XLOOKUP(Clean_Data[[#This Row],[Country_Code]], Metadata_Country!$A:$A, Metadata_Country!$B:$B, "Unknown"), IF(OR(_xlpm.r=0, _xlpm.r=""), "Regional Aggregate", _xlpm.r))</f>
        <v>Regional Aggregate</v>
      </c>
      <c r="G2691" s="4" t="str">
        <f>_xlfn.LET(_xlpm.ig, _xlfn.XLOOKUP(Clean_Data[[#This Row],[Country_Code]], Metadata_Country!$A:$A, Metadata_Country!$C:$C, "Unknown"), IF(OR(_xlpm.ig=0, _xlpm.ig=""), "Regional Aggregate", _xlpm.ig))</f>
        <v>Regional Aggregate</v>
      </c>
      <c r="H2691" s="4">
        <f>Clean_Data[[#This Row],[Exports_TIV]] - Clean_Data[[#This Row],[Imports_TIV]]</f>
        <v>-2221000000</v>
      </c>
      <c r="I2691" s="4">
        <f>Clean_Data[[#This Row],[Exports_TIV]] + Clean_Data[[#This Row],[Imports_TIV]]</f>
        <v>3449000000</v>
      </c>
    </row>
    <row r="2692" spans="1:9">
      <c r="A2692" s="4" t="s">
        <v>469</v>
      </c>
      <c r="B2692" s="4" t="s">
        <v>470</v>
      </c>
      <c r="C2692" s="5">
        <v>2008</v>
      </c>
      <c r="D2692" s="4">
        <v>599000000</v>
      </c>
      <c r="E2692" s="4">
        <v>2830000000</v>
      </c>
      <c r="F2692" s="4" t="str">
        <f>_xlfn.LET(_xlpm.r, _xlfn.XLOOKUP(Clean_Data[[#This Row],[Country_Code]], Metadata_Country!$A:$A, Metadata_Country!$B:$B, "Unknown"), IF(OR(_xlpm.r=0, _xlpm.r=""), "Regional Aggregate", _xlpm.r))</f>
        <v>Regional Aggregate</v>
      </c>
      <c r="G2692" s="4" t="str">
        <f>_xlfn.LET(_xlpm.ig, _xlfn.XLOOKUP(Clean_Data[[#This Row],[Country_Code]], Metadata_Country!$A:$A, Metadata_Country!$C:$C, "Unknown"), IF(OR(_xlpm.ig=0, _xlpm.ig=""), "Regional Aggregate", _xlpm.ig))</f>
        <v>Regional Aggregate</v>
      </c>
      <c r="H2692" s="4">
        <f>Clean_Data[[#This Row],[Exports_TIV]] - Clean_Data[[#This Row],[Imports_TIV]]</f>
        <v>-2231000000</v>
      </c>
      <c r="I2692" s="4">
        <f>Clean_Data[[#This Row],[Exports_TIV]] + Clean_Data[[#This Row],[Imports_TIV]]</f>
        <v>3429000000</v>
      </c>
    </row>
    <row r="2693" spans="1:9">
      <c r="A2693" s="4" t="s">
        <v>141</v>
      </c>
      <c r="B2693" s="4" t="s">
        <v>142</v>
      </c>
      <c r="C2693" s="5">
        <v>2008</v>
      </c>
      <c r="D2693" s="4">
        <v>0</v>
      </c>
      <c r="E2693" s="4">
        <v>102000000</v>
      </c>
      <c r="F2693" s="4" t="str">
        <f>_xlfn.LET(_xlpm.r, _xlfn.XLOOKUP(Clean_Data[[#This Row],[Country_Code]], Metadata_Country!$A:$A, Metadata_Country!$B:$B, "Unknown"), IF(OR(_xlpm.r=0, _xlpm.r=""), "Regional Aggregate", _xlpm.r))</f>
        <v>Latin America &amp; Caribbean</v>
      </c>
      <c r="G2693" s="4" t="str">
        <f>_xlfn.LET(_xlpm.ig, _xlfn.XLOOKUP(Clean_Data[[#This Row],[Country_Code]], Metadata_Country!$A:$A, Metadata_Country!$C:$C, "Unknown"), IF(OR(_xlpm.ig=0, _xlpm.ig=""), "Regional Aggregate", _xlpm.ig))</f>
        <v>Upper middle income</v>
      </c>
      <c r="H2693" s="4">
        <f>Clean_Data[[#This Row],[Exports_TIV]] - Clean_Data[[#This Row],[Imports_TIV]]</f>
        <v>-102000000</v>
      </c>
      <c r="I2693" s="4">
        <f>Clean_Data[[#This Row],[Exports_TIV]] + Clean_Data[[#This Row],[Imports_TIV]]</f>
        <v>102000000</v>
      </c>
    </row>
    <row r="2694" spans="1:9">
      <c r="A2694" s="4" t="s">
        <v>143</v>
      </c>
      <c r="B2694" s="4" t="s">
        <v>144</v>
      </c>
      <c r="C2694" s="5">
        <v>2008</v>
      </c>
      <c r="D2694" s="4">
        <v>0</v>
      </c>
      <c r="E2694" s="4">
        <v>326000000</v>
      </c>
      <c r="F2694" s="4" t="str">
        <f>_xlfn.LET(_xlpm.r, _xlfn.XLOOKUP(Clean_Data[[#This Row],[Country_Code]], Metadata_Country!$A:$A, Metadata_Country!$B:$B, "Unknown"), IF(OR(_xlpm.r=0, _xlpm.r=""), "Regional Aggregate", _xlpm.r))</f>
        <v>Middle East &amp; North Africa</v>
      </c>
      <c r="G2694" s="4" t="str">
        <f>_xlfn.LET(_xlpm.ig, _xlfn.XLOOKUP(Clean_Data[[#This Row],[Country_Code]], Metadata_Country!$A:$A, Metadata_Country!$C:$C, "Unknown"), IF(OR(_xlpm.ig=0, _xlpm.ig=""), "Regional Aggregate", _xlpm.ig))</f>
        <v>Lower middle income</v>
      </c>
      <c r="H2694" s="4">
        <f>Clean_Data[[#This Row],[Exports_TIV]] - Clean_Data[[#This Row],[Imports_TIV]]</f>
        <v>-326000000</v>
      </c>
      <c r="I2694" s="4">
        <f>Clean_Data[[#This Row],[Exports_TIV]] + Clean_Data[[#This Row],[Imports_TIV]]</f>
        <v>326000000</v>
      </c>
    </row>
    <row r="2695" spans="1:9">
      <c r="A2695" s="4" t="s">
        <v>431</v>
      </c>
      <c r="B2695" s="4" t="s">
        <v>432</v>
      </c>
      <c r="C2695" s="5">
        <v>2008</v>
      </c>
      <c r="D2695" s="4">
        <v>0</v>
      </c>
      <c r="E2695" s="4">
        <v>3000000</v>
      </c>
      <c r="F2695" s="4" t="str">
        <f>_xlfn.LET(_xlpm.r, _xlfn.XLOOKUP(Clean_Data[[#This Row],[Country_Code]], Metadata_Country!$A:$A, Metadata_Country!$B:$B, "Unknown"), IF(OR(_xlpm.r=0, _xlpm.r=""), "Regional Aggregate", _xlpm.r))</f>
        <v>Latin America &amp; Caribbean</v>
      </c>
      <c r="G2695" s="4" t="str">
        <f>_xlfn.LET(_xlpm.ig, _xlfn.XLOOKUP(Clean_Data[[#This Row],[Country_Code]], Metadata_Country!$A:$A, Metadata_Country!$C:$C, "Unknown"), IF(OR(_xlpm.ig=0, _xlpm.ig=""), "Regional Aggregate", _xlpm.ig))</f>
        <v>Upper middle income</v>
      </c>
      <c r="H2695" s="4">
        <f>Clean_Data[[#This Row],[Exports_TIV]] - Clean_Data[[#This Row],[Imports_TIV]]</f>
        <v>-3000000</v>
      </c>
      <c r="I2695" s="4">
        <f>Clean_Data[[#This Row],[Exports_TIV]] + Clean_Data[[#This Row],[Imports_TIV]]</f>
        <v>3000000</v>
      </c>
    </row>
    <row r="2696" spans="1:9">
      <c r="A2696" s="4" t="s">
        <v>185</v>
      </c>
      <c r="B2696" s="4" t="s">
        <v>186</v>
      </c>
      <c r="C2696" s="5">
        <v>2008</v>
      </c>
      <c r="D2696" s="4">
        <v>0</v>
      </c>
      <c r="E2696" s="4">
        <v>30000000</v>
      </c>
      <c r="F2696" s="4" t="str">
        <f>_xlfn.LET(_xlpm.r, _xlfn.XLOOKUP(Clean_Data[[#This Row],[Country_Code]], Metadata_Country!$A:$A, Metadata_Country!$B:$B, "Unknown"), IF(OR(_xlpm.r=0, _xlpm.r=""), "Regional Aggregate", _xlpm.r))</f>
        <v>Sub-Saharan Africa</v>
      </c>
      <c r="G2696" s="4" t="str">
        <f>_xlfn.LET(_xlpm.ig, _xlfn.XLOOKUP(Clean_Data[[#This Row],[Country_Code]], Metadata_Country!$A:$A, Metadata_Country!$C:$C, "Unknown"), IF(OR(_xlpm.ig=0, _xlpm.ig=""), "Regional Aggregate", _xlpm.ig))</f>
        <v>Upper middle income</v>
      </c>
      <c r="H2696" s="4">
        <f>Clean_Data[[#This Row],[Exports_TIV]] - Clean_Data[[#This Row],[Imports_TIV]]</f>
        <v>-30000000</v>
      </c>
      <c r="I2696" s="4">
        <f>Clean_Data[[#This Row],[Exports_TIV]] + Clean_Data[[#This Row],[Imports_TIV]]</f>
        <v>30000000</v>
      </c>
    </row>
    <row r="2697" spans="1:9">
      <c r="A2697" s="4" t="s">
        <v>151</v>
      </c>
      <c r="B2697" s="4" t="s">
        <v>152</v>
      </c>
      <c r="C2697" s="5">
        <v>2008</v>
      </c>
      <c r="D2697" s="4">
        <v>0</v>
      </c>
      <c r="E2697" s="4">
        <v>28000000</v>
      </c>
      <c r="F2697" s="4" t="str">
        <f>_xlfn.LET(_xlpm.r, _xlfn.XLOOKUP(Clean_Data[[#This Row],[Country_Code]], Metadata_Country!$A:$A, Metadata_Country!$B:$B, "Unknown"), IF(OR(_xlpm.r=0, _xlpm.r=""), "Regional Aggregate", _xlpm.r))</f>
        <v>Europe &amp; Central Asia</v>
      </c>
      <c r="G2697" s="4" t="str">
        <f>_xlfn.LET(_xlpm.ig, _xlfn.XLOOKUP(Clean_Data[[#This Row],[Country_Code]], Metadata_Country!$A:$A, Metadata_Country!$C:$C, "Unknown"), IF(OR(_xlpm.ig=0, _xlpm.ig=""), "Regional Aggregate", _xlpm.ig))</f>
        <v>High income</v>
      </c>
      <c r="H2697" s="4">
        <f>Clean_Data[[#This Row],[Exports_TIV]] - Clean_Data[[#This Row],[Imports_TIV]]</f>
        <v>-28000000</v>
      </c>
      <c r="I2697" s="4">
        <f>Clean_Data[[#This Row],[Exports_TIV]] + Clean_Data[[#This Row],[Imports_TIV]]</f>
        <v>28000000</v>
      </c>
    </row>
    <row r="2698" spans="1:9">
      <c r="A2698" s="4" t="s">
        <v>145</v>
      </c>
      <c r="B2698" s="4" t="s">
        <v>146</v>
      </c>
      <c r="C2698" s="5">
        <v>2008</v>
      </c>
      <c r="D2698" s="4">
        <v>6255000000</v>
      </c>
      <c r="E2698" s="4">
        <v>2433000000</v>
      </c>
      <c r="F2698" s="4" t="str">
        <f>_xlfn.LET(_xlpm.r, _xlfn.XLOOKUP(Clean_Data[[#This Row],[Country_Code]], Metadata_Country!$A:$A, Metadata_Country!$B:$B, "Unknown"), IF(OR(_xlpm.r=0, _xlpm.r=""), "Regional Aggregate", _xlpm.r))</f>
        <v>Regional Aggregate</v>
      </c>
      <c r="G2698" s="4" t="str">
        <f>_xlfn.LET(_xlpm.ig, _xlfn.XLOOKUP(Clean_Data[[#This Row],[Country_Code]], Metadata_Country!$A:$A, Metadata_Country!$C:$C, "Unknown"), IF(OR(_xlpm.ig=0, _xlpm.ig=""), "Regional Aggregate", _xlpm.ig))</f>
        <v>Regional Aggregate</v>
      </c>
      <c r="H2698" s="4">
        <f>Clean_Data[[#This Row],[Exports_TIV]] - Clean_Data[[#This Row],[Imports_TIV]]</f>
        <v>3822000000</v>
      </c>
      <c r="I2698" s="4">
        <f>Clean_Data[[#This Row],[Exports_TIV]] + Clean_Data[[#This Row],[Imports_TIV]]</f>
        <v>8688000000</v>
      </c>
    </row>
    <row r="2699" spans="1:9">
      <c r="A2699" s="4" t="s">
        <v>139</v>
      </c>
      <c r="B2699" s="4" t="s">
        <v>140</v>
      </c>
      <c r="C2699" s="5">
        <v>2008</v>
      </c>
      <c r="D2699" s="4">
        <v>15106000000</v>
      </c>
      <c r="E2699" s="4">
        <v>5352000000</v>
      </c>
      <c r="F2699" s="4" t="str">
        <f>_xlfn.LET(_xlpm.r, _xlfn.XLOOKUP(Clean_Data[[#This Row],[Country_Code]], Metadata_Country!$A:$A, Metadata_Country!$B:$B, "Unknown"), IF(OR(_xlpm.r=0, _xlpm.r=""), "Regional Aggregate", _xlpm.r))</f>
        <v>Regional Aggregate</v>
      </c>
      <c r="G2699" s="4" t="str">
        <f>_xlfn.LET(_xlpm.ig, _xlfn.XLOOKUP(Clean_Data[[#This Row],[Country_Code]], Metadata_Country!$A:$A, Metadata_Country!$C:$C, "Unknown"), IF(OR(_xlpm.ig=0, _xlpm.ig=""), "Regional Aggregate", _xlpm.ig))</f>
        <v>Regional Aggregate</v>
      </c>
      <c r="H2699" s="4">
        <f>Clean_Data[[#This Row],[Exports_TIV]] - Clean_Data[[#This Row],[Imports_TIV]]</f>
        <v>9754000000</v>
      </c>
      <c r="I2699" s="4">
        <f>Clean_Data[[#This Row],[Exports_TIV]] + Clean_Data[[#This Row],[Imports_TIV]]</f>
        <v>20458000000</v>
      </c>
    </row>
    <row r="2700" spans="1:9">
      <c r="A2700" s="4" t="s">
        <v>137</v>
      </c>
      <c r="B2700" s="4" t="s">
        <v>138</v>
      </c>
      <c r="C2700" s="5">
        <v>2008</v>
      </c>
      <c r="D2700" s="4">
        <v>832000000</v>
      </c>
      <c r="E2700" s="4">
        <v>0</v>
      </c>
      <c r="F2700" s="4" t="str">
        <f>_xlfn.LET(_xlpm.r, _xlfn.XLOOKUP(Clean_Data[[#This Row],[Country_Code]], Metadata_Country!$A:$A, Metadata_Country!$B:$B, "Unknown"), IF(OR(_xlpm.r=0, _xlpm.r=""), "Regional Aggregate", _xlpm.r))</f>
        <v>Regional Aggregate</v>
      </c>
      <c r="G2700" s="4" t="str">
        <f>_xlfn.LET(_xlpm.ig, _xlfn.XLOOKUP(Clean_Data[[#This Row],[Country_Code]], Metadata_Country!$A:$A, Metadata_Country!$C:$C, "Unknown"), IF(OR(_xlpm.ig=0, _xlpm.ig=""), "Regional Aggregate", _xlpm.ig))</f>
        <v>Regional Aggregate</v>
      </c>
      <c r="H2700" s="4">
        <f>Clean_Data[[#This Row],[Exports_TIV]] - Clean_Data[[#This Row],[Imports_TIV]]</f>
        <v>832000000</v>
      </c>
      <c r="I2700" s="4">
        <f>Clean_Data[[#This Row],[Exports_TIV]] + Clean_Data[[#This Row],[Imports_TIV]]</f>
        <v>832000000</v>
      </c>
    </row>
    <row r="2701" spans="1:9">
      <c r="A2701" s="4" t="s">
        <v>471</v>
      </c>
      <c r="B2701" s="4" t="s">
        <v>472</v>
      </c>
      <c r="C2701" s="5">
        <v>2008</v>
      </c>
      <c r="D2701" s="4">
        <v>6907000000</v>
      </c>
      <c r="E2701" s="4">
        <v>0</v>
      </c>
      <c r="F2701" s="4" t="str">
        <f>_xlfn.LET(_xlpm.r, _xlfn.XLOOKUP(Clean_Data[[#This Row],[Country_Code]], Metadata_Country!$A:$A, Metadata_Country!$B:$B, "Unknown"), IF(OR(_xlpm.r=0, _xlpm.r=""), "Regional Aggregate", _xlpm.r))</f>
        <v>Regional Aggregate</v>
      </c>
      <c r="G2701" s="4" t="str">
        <f>_xlfn.LET(_xlpm.ig, _xlfn.XLOOKUP(Clean_Data[[#This Row],[Country_Code]], Metadata_Country!$A:$A, Metadata_Country!$C:$C, "Unknown"), IF(OR(_xlpm.ig=0, _xlpm.ig=""), "Regional Aggregate", _xlpm.ig))</f>
        <v>Regional Aggregate</v>
      </c>
      <c r="H2701" s="4">
        <f>Clean_Data[[#This Row],[Exports_TIV]] - Clean_Data[[#This Row],[Imports_TIV]]</f>
        <v>6907000000</v>
      </c>
      <c r="I2701" s="4">
        <f>Clean_Data[[#This Row],[Exports_TIV]] + Clean_Data[[#This Row],[Imports_TIV]]</f>
        <v>6907000000</v>
      </c>
    </row>
    <row r="2702" spans="1:9">
      <c r="A2702" s="4" t="s">
        <v>155</v>
      </c>
      <c r="B2702" s="4" t="s">
        <v>156</v>
      </c>
      <c r="C2702" s="5">
        <v>2008</v>
      </c>
      <c r="D2702" s="4">
        <v>6831000000</v>
      </c>
      <c r="E2702" s="4">
        <v>3326000000</v>
      </c>
      <c r="F2702" s="4" t="str">
        <f>_xlfn.LET(_xlpm.r, _xlfn.XLOOKUP(Clean_Data[[#This Row],[Country_Code]], Metadata_Country!$A:$A, Metadata_Country!$B:$B, "Unknown"), IF(OR(_xlpm.r=0, _xlpm.r=""), "Regional Aggregate", _xlpm.r))</f>
        <v>Regional Aggregate</v>
      </c>
      <c r="G2702" s="4" t="str">
        <f>_xlfn.LET(_xlpm.ig, _xlfn.XLOOKUP(Clean_Data[[#This Row],[Country_Code]], Metadata_Country!$A:$A, Metadata_Country!$C:$C, "Unknown"), IF(OR(_xlpm.ig=0, _xlpm.ig=""), "Regional Aggregate", _xlpm.ig))</f>
        <v>Regional Aggregate</v>
      </c>
      <c r="H2702" s="4">
        <f>Clean_Data[[#This Row],[Exports_TIV]] - Clean_Data[[#This Row],[Imports_TIV]]</f>
        <v>3505000000</v>
      </c>
      <c r="I2702" s="4">
        <f>Clean_Data[[#This Row],[Exports_TIV]] + Clean_Data[[#This Row],[Imports_TIV]]</f>
        <v>10157000000</v>
      </c>
    </row>
    <row r="2703" spans="1:9">
      <c r="A2703" s="4" t="s">
        <v>159</v>
      </c>
      <c r="B2703" s="4" t="s">
        <v>160</v>
      </c>
      <c r="C2703" s="5">
        <v>2008</v>
      </c>
      <c r="D2703" s="4">
        <v>100000000</v>
      </c>
      <c r="E2703" s="4">
        <v>134000000</v>
      </c>
      <c r="F2703" s="4" t="str">
        <f>_xlfn.LET(_xlpm.r, _xlfn.XLOOKUP(Clean_Data[[#This Row],[Country_Code]], Metadata_Country!$A:$A, Metadata_Country!$B:$B, "Unknown"), IF(OR(_xlpm.r=0, _xlpm.r=""), "Regional Aggregate", _xlpm.r))</f>
        <v>Europe &amp; Central Asia</v>
      </c>
      <c r="G2703" s="4" t="str">
        <f>_xlfn.LET(_xlpm.ig, _xlfn.XLOOKUP(Clean_Data[[#This Row],[Country_Code]], Metadata_Country!$A:$A, Metadata_Country!$C:$C, "Unknown"), IF(OR(_xlpm.ig=0, _xlpm.ig=""), "Regional Aggregate", _xlpm.ig))</f>
        <v>High income</v>
      </c>
      <c r="H2703" s="4">
        <f>Clean_Data[[#This Row],[Exports_TIV]] - Clean_Data[[#This Row],[Imports_TIV]]</f>
        <v>-34000000</v>
      </c>
      <c r="I2703" s="4">
        <f>Clean_Data[[#This Row],[Exports_TIV]] + Clean_Data[[#This Row],[Imports_TIV]]</f>
        <v>234000000</v>
      </c>
    </row>
    <row r="2704" spans="1:9">
      <c r="A2704" s="4" t="s">
        <v>163</v>
      </c>
      <c r="B2704" s="4" t="s">
        <v>164</v>
      </c>
      <c r="C2704" s="5">
        <v>2008</v>
      </c>
      <c r="D2704" s="4">
        <v>1872000000</v>
      </c>
      <c r="E2704" s="4">
        <v>2000000</v>
      </c>
      <c r="F2704" s="4" t="str">
        <f>_xlfn.LET(_xlpm.r, _xlfn.XLOOKUP(Clean_Data[[#This Row],[Country_Code]], Metadata_Country!$A:$A, Metadata_Country!$B:$B, "Unknown"), IF(OR(_xlpm.r=0, _xlpm.r=""), "Regional Aggregate", _xlpm.r))</f>
        <v>Europe &amp; Central Asia</v>
      </c>
      <c r="G2704" s="4" t="str">
        <f>_xlfn.LET(_xlpm.ig, _xlfn.XLOOKUP(Clean_Data[[#This Row],[Country_Code]], Metadata_Country!$A:$A, Metadata_Country!$C:$C, "Unknown"), IF(OR(_xlpm.ig=0, _xlpm.ig=""), "Regional Aggregate", _xlpm.ig))</f>
        <v>High income</v>
      </c>
      <c r="H2704" s="4">
        <f>Clean_Data[[#This Row],[Exports_TIV]] - Clean_Data[[#This Row],[Imports_TIV]]</f>
        <v>1870000000</v>
      </c>
      <c r="I2704" s="4">
        <f>Clean_Data[[#This Row],[Exports_TIV]] + Clean_Data[[#This Row],[Imports_TIV]]</f>
        <v>1874000000</v>
      </c>
    </row>
    <row r="2705" spans="1:9">
      <c r="A2705" s="4" t="s">
        <v>173</v>
      </c>
      <c r="B2705" s="4" t="s">
        <v>174</v>
      </c>
      <c r="C2705" s="5">
        <v>2008</v>
      </c>
      <c r="D2705" s="4">
        <v>0</v>
      </c>
      <c r="E2705" s="4">
        <v>132000000</v>
      </c>
      <c r="F2705" s="4" t="str">
        <f>_xlfn.LET(_xlpm.r, _xlfn.XLOOKUP(Clean_Data[[#This Row],[Country_Code]], Metadata_Country!$A:$A, Metadata_Country!$B:$B, "Unknown"), IF(OR(_xlpm.r=0, _xlpm.r=""), "Regional Aggregate", _xlpm.r))</f>
        <v>Europe &amp; Central Asia</v>
      </c>
      <c r="G2705" s="4" t="str">
        <f>_xlfn.LET(_xlpm.ig, _xlfn.XLOOKUP(Clean_Data[[#This Row],[Country_Code]], Metadata_Country!$A:$A, Metadata_Country!$C:$C, "Unknown"), IF(OR(_xlpm.ig=0, _xlpm.ig=""), "Regional Aggregate", _xlpm.ig))</f>
        <v>Upper middle income</v>
      </c>
      <c r="H2705" s="4">
        <f>Clean_Data[[#This Row],[Exports_TIV]] - Clean_Data[[#This Row],[Imports_TIV]]</f>
        <v>-132000000</v>
      </c>
      <c r="I2705" s="4">
        <f>Clean_Data[[#This Row],[Exports_TIV]] + Clean_Data[[#This Row],[Imports_TIV]]</f>
        <v>132000000</v>
      </c>
    </row>
    <row r="2706" spans="1:9">
      <c r="A2706" s="4" t="s">
        <v>119</v>
      </c>
      <c r="B2706" s="4" t="s">
        <v>120</v>
      </c>
      <c r="C2706" s="5">
        <v>2008</v>
      </c>
      <c r="D2706" s="4">
        <v>2378000000</v>
      </c>
      <c r="E2706" s="4">
        <v>277000000</v>
      </c>
      <c r="F2706" s="4" t="str">
        <f>_xlfn.LET(_xlpm.r, _xlfn.XLOOKUP(Clean_Data[[#This Row],[Country_Code]], Metadata_Country!$A:$A, Metadata_Country!$B:$B, "Unknown"), IF(OR(_xlpm.r=0, _xlpm.r=""), "Regional Aggregate", _xlpm.r))</f>
        <v>Europe &amp; Central Asia</v>
      </c>
      <c r="G2706" s="4" t="str">
        <f>_xlfn.LET(_xlpm.ig, _xlfn.XLOOKUP(Clean_Data[[#This Row],[Country_Code]], Metadata_Country!$A:$A, Metadata_Country!$C:$C, "Unknown"), IF(OR(_xlpm.ig=0, _xlpm.ig=""), "Regional Aggregate", _xlpm.ig))</f>
        <v>High income</v>
      </c>
      <c r="H2706" s="4">
        <f>Clean_Data[[#This Row],[Exports_TIV]] - Clean_Data[[#This Row],[Imports_TIV]]</f>
        <v>2101000000</v>
      </c>
      <c r="I2706" s="4">
        <f>Clean_Data[[#This Row],[Exports_TIV]] + Clean_Data[[#This Row],[Imports_TIV]]</f>
        <v>2655000000</v>
      </c>
    </row>
    <row r="2707" spans="1:9">
      <c r="A2707" s="4" t="s">
        <v>187</v>
      </c>
      <c r="B2707" s="4" t="s">
        <v>188</v>
      </c>
      <c r="C2707" s="5">
        <v>2008</v>
      </c>
      <c r="D2707" s="4">
        <v>0</v>
      </c>
      <c r="E2707" s="4">
        <v>482000000</v>
      </c>
      <c r="F2707" s="4" t="str">
        <f>_xlfn.LET(_xlpm.r, _xlfn.XLOOKUP(Clean_Data[[#This Row],[Country_Code]], Metadata_Country!$A:$A, Metadata_Country!$B:$B, "Unknown"), IF(OR(_xlpm.r=0, _xlpm.r=""), "Regional Aggregate", _xlpm.r))</f>
        <v>Europe &amp; Central Asia</v>
      </c>
      <c r="G2707" s="4" t="str">
        <f>_xlfn.LET(_xlpm.ig, _xlfn.XLOOKUP(Clean_Data[[#This Row],[Country_Code]], Metadata_Country!$A:$A, Metadata_Country!$C:$C, "Unknown"), IF(OR(_xlpm.ig=0, _xlpm.ig=""), "Regional Aggregate", _xlpm.ig))</f>
        <v>High income</v>
      </c>
      <c r="H2707" s="4">
        <f>Clean_Data[[#This Row],[Exports_TIV]] - Clean_Data[[#This Row],[Imports_TIV]]</f>
        <v>-482000000</v>
      </c>
      <c r="I2707" s="4">
        <f>Clean_Data[[#This Row],[Exports_TIV]] + Clean_Data[[#This Row],[Imports_TIV]]</f>
        <v>482000000</v>
      </c>
    </row>
    <row r="2708" spans="1:9">
      <c r="A2708" s="4" t="s">
        <v>193</v>
      </c>
      <c r="B2708" s="4" t="s">
        <v>194</v>
      </c>
      <c r="C2708" s="5">
        <v>2008</v>
      </c>
      <c r="D2708" s="4">
        <v>0</v>
      </c>
      <c r="E2708" s="4">
        <v>0</v>
      </c>
      <c r="F2708" s="4" t="str">
        <f>_xlfn.LET(_xlpm.r, _xlfn.XLOOKUP(Clean_Data[[#This Row],[Country_Code]], Metadata_Country!$A:$A, Metadata_Country!$B:$B, "Unknown"), IF(OR(_xlpm.r=0, _xlpm.r=""), "Regional Aggregate", _xlpm.r))</f>
        <v>Latin America &amp; Caribbean</v>
      </c>
      <c r="G2708" s="4" t="str">
        <f>_xlfn.LET(_xlpm.ig, _xlfn.XLOOKUP(Clean_Data[[#This Row],[Country_Code]], Metadata_Country!$A:$A, Metadata_Country!$C:$C, "Unknown"), IF(OR(_xlpm.ig=0, _xlpm.ig=""), "Regional Aggregate", _xlpm.ig))</f>
        <v>Upper middle income</v>
      </c>
      <c r="H2708" s="4">
        <f>Clean_Data[[#This Row],[Exports_TIV]] - Clean_Data[[#This Row],[Imports_TIV]]</f>
        <v>0</v>
      </c>
      <c r="I2708" s="4">
        <f>Clean_Data[[#This Row],[Exports_TIV]] + Clean_Data[[#This Row],[Imports_TIV]]</f>
        <v>0</v>
      </c>
    </row>
    <row r="2709" spans="1:9">
      <c r="A2709" s="4" t="s">
        <v>197</v>
      </c>
      <c r="B2709" s="4" t="s">
        <v>198</v>
      </c>
      <c r="C2709" s="5">
        <v>2008</v>
      </c>
      <c r="D2709" s="4">
        <v>0</v>
      </c>
      <c r="E2709" s="4">
        <v>0</v>
      </c>
      <c r="F2709" s="4" t="str">
        <f>_xlfn.LET(_xlpm.r, _xlfn.XLOOKUP(Clean_Data[[#This Row],[Country_Code]], Metadata_Country!$A:$A, Metadata_Country!$B:$B, "Unknown"), IF(OR(_xlpm.r=0, _xlpm.r=""), "Regional Aggregate", _xlpm.r))</f>
        <v>Latin America &amp; Caribbean</v>
      </c>
      <c r="G2709" s="4" t="str">
        <f>_xlfn.LET(_xlpm.ig, _xlfn.XLOOKUP(Clean_Data[[#This Row],[Country_Code]], Metadata_Country!$A:$A, Metadata_Country!$C:$C, "Unknown"), IF(OR(_xlpm.ig=0, _xlpm.ig=""), "Regional Aggregate", _xlpm.ig))</f>
        <v>High income</v>
      </c>
      <c r="H2709" s="4">
        <f>Clean_Data[[#This Row],[Exports_TIV]] - Clean_Data[[#This Row],[Imports_TIV]]</f>
        <v>0</v>
      </c>
      <c r="I2709" s="4">
        <f>Clean_Data[[#This Row],[Exports_TIV]] + Clean_Data[[#This Row],[Imports_TIV]]</f>
        <v>0</v>
      </c>
    </row>
    <row r="2710" spans="1:9">
      <c r="A2710" s="4" t="s">
        <v>199</v>
      </c>
      <c r="B2710" s="4" t="s">
        <v>200</v>
      </c>
      <c r="C2710" s="5">
        <v>2008</v>
      </c>
      <c r="D2710" s="4">
        <v>22271000000</v>
      </c>
      <c r="E2710" s="4">
        <v>12488000000</v>
      </c>
      <c r="F2710" s="4" t="str">
        <f>_xlfn.LET(_xlpm.r, _xlfn.XLOOKUP(Clean_Data[[#This Row],[Country_Code]], Metadata_Country!$A:$A, Metadata_Country!$B:$B, "Unknown"), IF(OR(_xlpm.r=0, _xlpm.r=""), "Regional Aggregate", _xlpm.r))</f>
        <v>Regional Aggregate</v>
      </c>
      <c r="G2710" s="4" t="str">
        <f>_xlfn.LET(_xlpm.ig, _xlfn.XLOOKUP(Clean_Data[[#This Row],[Country_Code]], Metadata_Country!$A:$A, Metadata_Country!$C:$C, "Unknown"), IF(OR(_xlpm.ig=0, _xlpm.ig=""), "Regional Aggregate", _xlpm.ig))</f>
        <v>Regional Aggregate</v>
      </c>
      <c r="H2710" s="4">
        <f>Clean_Data[[#This Row],[Exports_TIV]] - Clean_Data[[#This Row],[Imports_TIV]]</f>
        <v>9783000000</v>
      </c>
      <c r="I2710" s="4">
        <f>Clean_Data[[#This Row],[Exports_TIV]] + Clean_Data[[#This Row],[Imports_TIV]]</f>
        <v>34759000000</v>
      </c>
    </row>
    <row r="2711" spans="1:9">
      <c r="A2711" s="4" t="s">
        <v>203</v>
      </c>
      <c r="B2711" s="4" t="s">
        <v>204</v>
      </c>
      <c r="C2711" s="5">
        <v>2008</v>
      </c>
      <c r="D2711" s="4">
        <v>0</v>
      </c>
      <c r="E2711" s="4">
        <v>0</v>
      </c>
      <c r="F2711" s="4" t="str">
        <f>_xlfn.LET(_xlpm.r, _xlfn.XLOOKUP(Clean_Data[[#This Row],[Country_Code]], Metadata_Country!$A:$A, Metadata_Country!$B:$B, "Unknown"), IF(OR(_xlpm.r=0, _xlpm.r=""), "Regional Aggregate", _xlpm.r))</f>
        <v>Latin America &amp; Caribbean</v>
      </c>
      <c r="G2711" s="4" t="str">
        <f>_xlfn.LET(_xlpm.ig, _xlfn.XLOOKUP(Clean_Data[[#This Row],[Country_Code]], Metadata_Country!$A:$A, Metadata_Country!$C:$C, "Unknown"), IF(OR(_xlpm.ig=0, _xlpm.ig=""), "Regional Aggregate", _xlpm.ig))</f>
        <v>Lower middle income</v>
      </c>
      <c r="H2711" s="4">
        <f>Clean_Data[[#This Row],[Exports_TIV]] - Clean_Data[[#This Row],[Imports_TIV]]</f>
        <v>0</v>
      </c>
      <c r="I2711" s="4">
        <f>Clean_Data[[#This Row],[Exports_TIV]] + Clean_Data[[#This Row],[Imports_TIV]]</f>
        <v>0</v>
      </c>
    </row>
    <row r="2712" spans="1:9">
      <c r="A2712" s="4" t="s">
        <v>211</v>
      </c>
      <c r="B2712" s="4" t="s">
        <v>212</v>
      </c>
      <c r="C2712" s="5">
        <v>2008</v>
      </c>
      <c r="D2712" s="4">
        <v>0</v>
      </c>
      <c r="E2712" s="4">
        <v>5000000</v>
      </c>
      <c r="F2712" s="4" t="str">
        <f>_xlfn.LET(_xlpm.r, _xlfn.XLOOKUP(Clean_Data[[#This Row],[Country_Code]], Metadata_Country!$A:$A, Metadata_Country!$B:$B, "Unknown"), IF(OR(_xlpm.r=0, _xlpm.r=""), "Regional Aggregate", _xlpm.r))</f>
        <v>Europe &amp; Central Asia</v>
      </c>
      <c r="G2712" s="4" t="str">
        <f>_xlfn.LET(_xlpm.ig, _xlfn.XLOOKUP(Clean_Data[[#This Row],[Country_Code]], Metadata_Country!$A:$A, Metadata_Country!$C:$C, "Unknown"), IF(OR(_xlpm.ig=0, _xlpm.ig=""), "Regional Aggregate", _xlpm.ig))</f>
        <v>High income</v>
      </c>
      <c r="H2712" s="4">
        <f>Clean_Data[[#This Row],[Exports_TIV]] - Clean_Data[[#This Row],[Imports_TIV]]</f>
        <v>-5000000</v>
      </c>
      <c r="I2712" s="4">
        <f>Clean_Data[[#This Row],[Exports_TIV]] + Clean_Data[[#This Row],[Imports_TIV]]</f>
        <v>5000000</v>
      </c>
    </row>
    <row r="2713" spans="1:9">
      <c r="A2713" s="4" t="s">
        <v>213</v>
      </c>
      <c r="B2713" s="4" t="s">
        <v>214</v>
      </c>
      <c r="C2713" s="5">
        <v>2008</v>
      </c>
      <c r="D2713" s="4">
        <v>7957000000</v>
      </c>
      <c r="E2713" s="4">
        <v>10903000000</v>
      </c>
      <c r="F2713" s="4" t="str">
        <f>_xlfn.LET(_xlpm.r, _xlfn.XLOOKUP(Clean_Data[[#This Row],[Country_Code]], Metadata_Country!$A:$A, Metadata_Country!$B:$B, "Unknown"), IF(OR(_xlpm.r=0, _xlpm.r=""), "Regional Aggregate", _xlpm.r))</f>
        <v>Regional Aggregate</v>
      </c>
      <c r="G2713" s="4" t="str">
        <f>_xlfn.LET(_xlpm.ig, _xlfn.XLOOKUP(Clean_Data[[#This Row],[Country_Code]], Metadata_Country!$A:$A, Metadata_Country!$C:$C, "Unknown"), IF(OR(_xlpm.ig=0, _xlpm.ig=""), "Regional Aggregate", _xlpm.ig))</f>
        <v>Regional Aggregate</v>
      </c>
      <c r="H2713" s="4">
        <f>Clean_Data[[#This Row],[Exports_TIV]] - Clean_Data[[#This Row],[Imports_TIV]]</f>
        <v>-2946000000</v>
      </c>
      <c r="I2713" s="4">
        <f>Clean_Data[[#This Row],[Exports_TIV]] + Clean_Data[[#This Row],[Imports_TIV]]</f>
        <v>18860000000</v>
      </c>
    </row>
    <row r="2714" spans="1:9">
      <c r="A2714" s="4" t="s">
        <v>215</v>
      </c>
      <c r="B2714" s="4" t="s">
        <v>216</v>
      </c>
      <c r="C2714" s="5">
        <v>2008</v>
      </c>
      <c r="D2714" s="4">
        <v>0</v>
      </c>
      <c r="E2714" s="4">
        <v>13024000000</v>
      </c>
      <c r="F2714" s="4" t="str">
        <f>_xlfn.LET(_xlpm.r, _xlfn.XLOOKUP(Clean_Data[[#This Row],[Country_Code]], Metadata_Country!$A:$A, Metadata_Country!$B:$B, "Unknown"), IF(OR(_xlpm.r=0, _xlpm.r=""), "Regional Aggregate", _xlpm.r))</f>
        <v>Regional Aggregate</v>
      </c>
      <c r="G2714" s="4" t="str">
        <f>_xlfn.LET(_xlpm.ig, _xlfn.XLOOKUP(Clean_Data[[#This Row],[Country_Code]], Metadata_Country!$A:$A, Metadata_Country!$C:$C, "Unknown"), IF(OR(_xlpm.ig=0, _xlpm.ig=""), "Regional Aggregate", _xlpm.ig))</f>
        <v>Regional Aggregate</v>
      </c>
      <c r="H2714" s="4">
        <f>Clean_Data[[#This Row],[Exports_TIV]] - Clean_Data[[#This Row],[Imports_TIV]]</f>
        <v>-13024000000</v>
      </c>
      <c r="I2714" s="4">
        <f>Clean_Data[[#This Row],[Exports_TIV]] + Clean_Data[[#This Row],[Imports_TIV]]</f>
        <v>13024000000</v>
      </c>
    </row>
    <row r="2715" spans="1:9">
      <c r="A2715" s="4" t="s">
        <v>219</v>
      </c>
      <c r="B2715" s="4" t="s">
        <v>220</v>
      </c>
      <c r="C2715" s="5">
        <v>2008</v>
      </c>
      <c r="D2715" s="4">
        <v>0</v>
      </c>
      <c r="E2715" s="4">
        <v>1106000000</v>
      </c>
      <c r="F2715" s="4" t="str">
        <f>_xlfn.LET(_xlpm.r, _xlfn.XLOOKUP(Clean_Data[[#This Row],[Country_Code]], Metadata_Country!$A:$A, Metadata_Country!$B:$B, "Unknown"), IF(OR(_xlpm.r=0, _xlpm.r=""), "Regional Aggregate", _xlpm.r))</f>
        <v>Regional Aggregate</v>
      </c>
      <c r="G2715" s="4" t="str">
        <f>_xlfn.LET(_xlpm.ig, _xlfn.XLOOKUP(Clean_Data[[#This Row],[Country_Code]], Metadata_Country!$A:$A, Metadata_Country!$C:$C, "Unknown"), IF(OR(_xlpm.ig=0, _xlpm.ig=""), "Regional Aggregate", _xlpm.ig))</f>
        <v>Regional Aggregate</v>
      </c>
      <c r="H2715" s="4">
        <f>Clean_Data[[#This Row],[Exports_TIV]] - Clean_Data[[#This Row],[Imports_TIV]]</f>
        <v>-1106000000</v>
      </c>
      <c r="I2715" s="4">
        <f>Clean_Data[[#This Row],[Exports_TIV]] + Clean_Data[[#This Row],[Imports_TIV]]</f>
        <v>1106000000</v>
      </c>
    </row>
    <row r="2716" spans="1:9">
      <c r="A2716" s="4" t="s">
        <v>217</v>
      </c>
      <c r="B2716" s="4" t="s">
        <v>218</v>
      </c>
      <c r="C2716" s="5">
        <v>2008</v>
      </c>
      <c r="D2716" s="4">
        <v>0</v>
      </c>
      <c r="E2716" s="4">
        <v>2121000000</v>
      </c>
      <c r="F2716" s="4" t="str">
        <f>_xlfn.LET(_xlpm.r, _xlfn.XLOOKUP(Clean_Data[[#This Row],[Country_Code]], Metadata_Country!$A:$A, Metadata_Country!$B:$B, "Unknown"), IF(OR(_xlpm.r=0, _xlpm.r=""), "Regional Aggregate", _xlpm.r))</f>
        <v>Regional Aggregate</v>
      </c>
      <c r="G2716" s="4" t="str">
        <f>_xlfn.LET(_xlpm.ig, _xlfn.XLOOKUP(Clean_Data[[#This Row],[Country_Code]], Metadata_Country!$A:$A, Metadata_Country!$C:$C, "Unknown"), IF(OR(_xlpm.ig=0, _xlpm.ig=""), "Regional Aggregate", _xlpm.ig))</f>
        <v>Regional Aggregate</v>
      </c>
      <c r="H2716" s="4">
        <f>Clean_Data[[#This Row],[Exports_TIV]] - Clean_Data[[#This Row],[Imports_TIV]]</f>
        <v>-2121000000</v>
      </c>
      <c r="I2716" s="4">
        <f>Clean_Data[[#This Row],[Exports_TIV]] + Clean_Data[[#This Row],[Imports_TIV]]</f>
        <v>2121000000</v>
      </c>
    </row>
    <row r="2717" spans="1:9">
      <c r="A2717" s="4" t="s">
        <v>227</v>
      </c>
      <c r="B2717" s="4" t="s">
        <v>228</v>
      </c>
      <c r="C2717" s="5">
        <v>2008</v>
      </c>
      <c r="D2717" s="4">
        <v>15000000</v>
      </c>
      <c r="E2717" s="4">
        <v>1643000000</v>
      </c>
      <c r="F2717" s="4" t="str">
        <f>_xlfn.LET(_xlpm.r, _xlfn.XLOOKUP(Clean_Data[[#This Row],[Country_Code]], Metadata_Country!$A:$A, Metadata_Country!$B:$B, "Unknown"), IF(OR(_xlpm.r=0, _xlpm.r=""), "Regional Aggregate", _xlpm.r))</f>
        <v>South Asia</v>
      </c>
      <c r="G2717" s="4" t="str">
        <f>_xlfn.LET(_xlpm.ig, _xlfn.XLOOKUP(Clean_Data[[#This Row],[Country_Code]], Metadata_Country!$A:$A, Metadata_Country!$C:$C, "Unknown"), IF(OR(_xlpm.ig=0, _xlpm.ig=""), "Regional Aggregate", _xlpm.ig))</f>
        <v>Lower middle income</v>
      </c>
      <c r="H2717" s="4">
        <f>Clean_Data[[#This Row],[Exports_TIV]] - Clean_Data[[#This Row],[Imports_TIV]]</f>
        <v>-1628000000</v>
      </c>
      <c r="I2717" s="4">
        <f>Clean_Data[[#This Row],[Exports_TIV]] + Clean_Data[[#This Row],[Imports_TIV]]</f>
        <v>1658000000</v>
      </c>
    </row>
    <row r="2718" spans="1:9">
      <c r="A2718" s="4" t="s">
        <v>221</v>
      </c>
      <c r="B2718" s="4" t="s">
        <v>222</v>
      </c>
      <c r="C2718" s="5">
        <v>2008</v>
      </c>
      <c r="D2718" s="4">
        <v>1000000</v>
      </c>
      <c r="E2718" s="4">
        <v>239000000</v>
      </c>
      <c r="F2718" s="4" t="str">
        <f>_xlfn.LET(_xlpm.r, _xlfn.XLOOKUP(Clean_Data[[#This Row],[Country_Code]], Metadata_Country!$A:$A, Metadata_Country!$B:$B, "Unknown"), IF(OR(_xlpm.r=0, _xlpm.r=""), "Regional Aggregate", _xlpm.r))</f>
        <v>East Asia &amp; Pacific</v>
      </c>
      <c r="G2718" s="4" t="str">
        <f>_xlfn.LET(_xlpm.ig, _xlfn.XLOOKUP(Clean_Data[[#This Row],[Country_Code]], Metadata_Country!$A:$A, Metadata_Country!$C:$C, "Unknown"), IF(OR(_xlpm.ig=0, _xlpm.ig=""), "Regional Aggregate", _xlpm.ig))</f>
        <v>Upper middle income</v>
      </c>
      <c r="H2718" s="4">
        <f>Clean_Data[[#This Row],[Exports_TIV]] - Clean_Data[[#This Row],[Imports_TIV]]</f>
        <v>-238000000</v>
      </c>
      <c r="I2718" s="4">
        <f>Clean_Data[[#This Row],[Exports_TIV]] + Clean_Data[[#This Row],[Imports_TIV]]</f>
        <v>240000000</v>
      </c>
    </row>
    <row r="2719" spans="1:9">
      <c r="A2719" s="4" t="s">
        <v>233</v>
      </c>
      <c r="B2719" s="4" t="s">
        <v>234</v>
      </c>
      <c r="C2719" s="5">
        <v>2008</v>
      </c>
      <c r="D2719" s="4">
        <v>82000000</v>
      </c>
      <c r="E2719" s="4">
        <v>57000000</v>
      </c>
      <c r="F2719" s="4" t="str">
        <f>_xlfn.LET(_xlpm.r, _xlfn.XLOOKUP(Clean_Data[[#This Row],[Country_Code]], Metadata_Country!$A:$A, Metadata_Country!$B:$B, "Unknown"), IF(OR(_xlpm.r=0, _xlpm.r=""), "Regional Aggregate", _xlpm.r))</f>
        <v>Middle East &amp; North Africa</v>
      </c>
      <c r="G2719" s="4" t="str">
        <f>_xlfn.LET(_xlpm.ig, _xlfn.XLOOKUP(Clean_Data[[#This Row],[Country_Code]], Metadata_Country!$A:$A, Metadata_Country!$C:$C, "Unknown"), IF(OR(_xlpm.ig=0, _xlpm.ig=""), "Regional Aggregate", _xlpm.ig))</f>
        <v>Upper middle income</v>
      </c>
      <c r="H2719" s="4">
        <f>Clean_Data[[#This Row],[Exports_TIV]] - Clean_Data[[#This Row],[Imports_TIV]]</f>
        <v>25000000</v>
      </c>
      <c r="I2719" s="4">
        <f>Clean_Data[[#This Row],[Exports_TIV]] + Clean_Data[[#This Row],[Imports_TIV]]</f>
        <v>139000000</v>
      </c>
    </row>
    <row r="2720" spans="1:9">
      <c r="A2720" s="4" t="s">
        <v>235</v>
      </c>
      <c r="B2720" s="4" t="s">
        <v>236</v>
      </c>
      <c r="C2720" s="5">
        <v>2008</v>
      </c>
      <c r="D2720" s="4">
        <v>0</v>
      </c>
      <c r="E2720" s="4">
        <v>379000000</v>
      </c>
      <c r="F2720" s="4" t="str">
        <f>_xlfn.LET(_xlpm.r, _xlfn.XLOOKUP(Clean_Data[[#This Row],[Country_Code]], Metadata_Country!$A:$A, Metadata_Country!$B:$B, "Unknown"), IF(OR(_xlpm.r=0, _xlpm.r=""), "Regional Aggregate", _xlpm.r))</f>
        <v>Middle East &amp; North Africa</v>
      </c>
      <c r="G2720" s="4" t="str">
        <f>_xlfn.LET(_xlpm.ig, _xlfn.XLOOKUP(Clean_Data[[#This Row],[Country_Code]], Metadata_Country!$A:$A, Metadata_Country!$C:$C, "Unknown"), IF(OR(_xlpm.ig=0, _xlpm.ig=""), "Regional Aggregate", _xlpm.ig))</f>
        <v>Upper middle income</v>
      </c>
      <c r="H2720" s="4">
        <f>Clean_Data[[#This Row],[Exports_TIV]] - Clean_Data[[#This Row],[Imports_TIV]]</f>
        <v>-379000000</v>
      </c>
      <c r="I2720" s="4">
        <f>Clean_Data[[#This Row],[Exports_TIV]] + Clean_Data[[#This Row],[Imports_TIV]]</f>
        <v>379000000</v>
      </c>
    </row>
    <row r="2721" spans="1:9">
      <c r="A2721" s="4" t="s">
        <v>231</v>
      </c>
      <c r="B2721" s="4" t="s">
        <v>232</v>
      </c>
      <c r="C2721" s="5">
        <v>2008</v>
      </c>
      <c r="D2721" s="4">
        <v>45000000</v>
      </c>
      <c r="E2721" s="4">
        <v>38000000</v>
      </c>
      <c r="F2721" s="4" t="str">
        <f>_xlfn.LET(_xlpm.r, _xlfn.XLOOKUP(Clean_Data[[#This Row],[Country_Code]], Metadata_Country!$A:$A, Metadata_Country!$B:$B, "Unknown"), IF(OR(_xlpm.r=0, _xlpm.r=""), "Regional Aggregate", _xlpm.r))</f>
        <v>Europe &amp; Central Asia</v>
      </c>
      <c r="G2721" s="4" t="str">
        <f>_xlfn.LET(_xlpm.ig, _xlfn.XLOOKUP(Clean_Data[[#This Row],[Country_Code]], Metadata_Country!$A:$A, Metadata_Country!$C:$C, "Unknown"), IF(OR(_xlpm.ig=0, _xlpm.ig=""), "Regional Aggregate", _xlpm.ig))</f>
        <v>High income</v>
      </c>
      <c r="H2721" s="4">
        <f>Clean_Data[[#This Row],[Exports_TIV]] - Clean_Data[[#This Row],[Imports_TIV]]</f>
        <v>7000000</v>
      </c>
      <c r="I2721" s="4">
        <f>Clean_Data[[#This Row],[Exports_TIV]] + Clean_Data[[#This Row],[Imports_TIV]]</f>
        <v>83000000</v>
      </c>
    </row>
    <row r="2722" spans="1:9">
      <c r="A2722" s="4" t="s">
        <v>239</v>
      </c>
      <c r="B2722" s="4" t="s">
        <v>240</v>
      </c>
      <c r="C2722" s="5">
        <v>2008</v>
      </c>
      <c r="D2722" s="4">
        <v>389000000</v>
      </c>
      <c r="E2722" s="4">
        <v>680000000</v>
      </c>
      <c r="F2722" s="4" t="str">
        <f>_xlfn.LET(_xlpm.r, _xlfn.XLOOKUP(Clean_Data[[#This Row],[Country_Code]], Metadata_Country!$A:$A, Metadata_Country!$B:$B, "Unknown"), IF(OR(_xlpm.r=0, _xlpm.r=""), "Regional Aggregate", _xlpm.r))</f>
        <v>Middle East &amp; North Africa</v>
      </c>
      <c r="G2722" s="4" t="str">
        <f>_xlfn.LET(_xlpm.ig, _xlfn.XLOOKUP(Clean_Data[[#This Row],[Country_Code]], Metadata_Country!$A:$A, Metadata_Country!$C:$C, "Unknown"), IF(OR(_xlpm.ig=0, _xlpm.ig=""), "Regional Aggregate", _xlpm.ig))</f>
        <v>High income</v>
      </c>
      <c r="H2722" s="4">
        <f>Clean_Data[[#This Row],[Exports_TIV]] - Clean_Data[[#This Row],[Imports_TIV]]</f>
        <v>-291000000</v>
      </c>
      <c r="I2722" s="4">
        <f>Clean_Data[[#This Row],[Exports_TIV]] + Clean_Data[[#This Row],[Imports_TIV]]</f>
        <v>1069000000</v>
      </c>
    </row>
    <row r="2723" spans="1:9">
      <c r="A2723" s="4" t="s">
        <v>241</v>
      </c>
      <c r="B2723" s="4" t="s">
        <v>242</v>
      </c>
      <c r="C2723" s="5">
        <v>2008</v>
      </c>
      <c r="D2723" s="4">
        <v>433000000</v>
      </c>
      <c r="E2723" s="4">
        <v>159000000</v>
      </c>
      <c r="F2723" s="4" t="str">
        <f>_xlfn.LET(_xlpm.r, _xlfn.XLOOKUP(Clean_Data[[#This Row],[Country_Code]], Metadata_Country!$A:$A, Metadata_Country!$B:$B, "Unknown"), IF(OR(_xlpm.r=0, _xlpm.r=""), "Regional Aggregate", _xlpm.r))</f>
        <v>Europe &amp; Central Asia</v>
      </c>
      <c r="G2723" s="4" t="str">
        <f>_xlfn.LET(_xlpm.ig, _xlfn.XLOOKUP(Clean_Data[[#This Row],[Country_Code]], Metadata_Country!$A:$A, Metadata_Country!$C:$C, "Unknown"), IF(OR(_xlpm.ig=0, _xlpm.ig=""), "Regional Aggregate", _xlpm.ig))</f>
        <v>High income</v>
      </c>
      <c r="H2723" s="4">
        <f>Clean_Data[[#This Row],[Exports_TIV]] - Clean_Data[[#This Row],[Imports_TIV]]</f>
        <v>274000000</v>
      </c>
      <c r="I2723" s="4">
        <f>Clean_Data[[#This Row],[Exports_TIV]] + Clean_Data[[#This Row],[Imports_TIV]]</f>
        <v>592000000</v>
      </c>
    </row>
    <row r="2724" spans="1:9">
      <c r="A2724" s="4" t="s">
        <v>243</v>
      </c>
      <c r="B2724" s="4" t="s">
        <v>244</v>
      </c>
      <c r="C2724" s="5">
        <v>2008</v>
      </c>
      <c r="D2724" s="4">
        <v>0</v>
      </c>
      <c r="E2724" s="4">
        <v>2000000</v>
      </c>
      <c r="F2724" s="4" t="str">
        <f>_xlfn.LET(_xlpm.r, _xlfn.XLOOKUP(Clean_Data[[#This Row],[Country_Code]], Metadata_Country!$A:$A, Metadata_Country!$B:$B, "Unknown"), IF(OR(_xlpm.r=0, _xlpm.r=""), "Regional Aggregate", _xlpm.r))</f>
        <v>Latin America &amp; Caribbean</v>
      </c>
      <c r="G2724" s="4" t="str">
        <f>_xlfn.LET(_xlpm.ig, _xlfn.XLOOKUP(Clean_Data[[#This Row],[Country_Code]], Metadata_Country!$A:$A, Metadata_Country!$C:$C, "Unknown"), IF(OR(_xlpm.ig=0, _xlpm.ig=""), "Regional Aggregate", _xlpm.ig))</f>
        <v>Upper middle income</v>
      </c>
      <c r="H2724" s="4">
        <f>Clean_Data[[#This Row],[Exports_TIV]] - Clean_Data[[#This Row],[Imports_TIV]]</f>
        <v>-2000000</v>
      </c>
      <c r="I2724" s="4">
        <f>Clean_Data[[#This Row],[Exports_TIV]] + Clean_Data[[#This Row],[Imports_TIV]]</f>
        <v>2000000</v>
      </c>
    </row>
    <row r="2725" spans="1:9">
      <c r="A2725" s="4" t="s">
        <v>247</v>
      </c>
      <c r="B2725" s="4" t="s">
        <v>248</v>
      </c>
      <c r="C2725" s="5">
        <v>2008</v>
      </c>
      <c r="D2725" s="4">
        <v>0</v>
      </c>
      <c r="E2725" s="4">
        <v>990000000</v>
      </c>
      <c r="F2725" s="4" t="str">
        <f>_xlfn.LET(_xlpm.r, _xlfn.XLOOKUP(Clean_Data[[#This Row],[Country_Code]], Metadata_Country!$A:$A, Metadata_Country!$B:$B, "Unknown"), IF(OR(_xlpm.r=0, _xlpm.r=""), "Regional Aggregate", _xlpm.r))</f>
        <v>East Asia &amp; Pacific</v>
      </c>
      <c r="G2725" s="4" t="str">
        <f>_xlfn.LET(_xlpm.ig, _xlfn.XLOOKUP(Clean_Data[[#This Row],[Country_Code]], Metadata_Country!$A:$A, Metadata_Country!$C:$C, "Unknown"), IF(OR(_xlpm.ig=0, _xlpm.ig=""), "Regional Aggregate", _xlpm.ig))</f>
        <v>High income</v>
      </c>
      <c r="H2725" s="4">
        <f>Clean_Data[[#This Row],[Exports_TIV]] - Clean_Data[[#This Row],[Imports_TIV]]</f>
        <v>-990000000</v>
      </c>
      <c r="I2725" s="4">
        <f>Clean_Data[[#This Row],[Exports_TIV]] + Clean_Data[[#This Row],[Imports_TIV]]</f>
        <v>990000000</v>
      </c>
    </row>
    <row r="2726" spans="1:9">
      <c r="A2726" s="4" t="s">
        <v>245</v>
      </c>
      <c r="B2726" s="4" t="s">
        <v>246</v>
      </c>
      <c r="C2726" s="5">
        <v>2008</v>
      </c>
      <c r="D2726" s="4">
        <v>13000000</v>
      </c>
      <c r="E2726" s="4">
        <v>157000000</v>
      </c>
      <c r="F2726" s="4" t="str">
        <f>_xlfn.LET(_xlpm.r, _xlfn.XLOOKUP(Clean_Data[[#This Row],[Country_Code]], Metadata_Country!$A:$A, Metadata_Country!$B:$B, "Unknown"), IF(OR(_xlpm.r=0, _xlpm.r=""), "Regional Aggregate", _xlpm.r))</f>
        <v>Middle East &amp; North Africa</v>
      </c>
      <c r="G2726" s="4" t="str">
        <f>_xlfn.LET(_xlpm.ig, _xlfn.XLOOKUP(Clean_Data[[#This Row],[Country_Code]], Metadata_Country!$A:$A, Metadata_Country!$C:$C, "Unknown"), IF(OR(_xlpm.ig=0, _xlpm.ig=""), "Regional Aggregate", _xlpm.ig))</f>
        <v>Upper middle income</v>
      </c>
      <c r="H2726" s="4">
        <f>Clean_Data[[#This Row],[Exports_TIV]] - Clean_Data[[#This Row],[Imports_TIV]]</f>
        <v>-144000000</v>
      </c>
      <c r="I2726" s="4">
        <f>Clean_Data[[#This Row],[Exports_TIV]] + Clean_Data[[#This Row],[Imports_TIV]]</f>
        <v>170000000</v>
      </c>
    </row>
    <row r="2727" spans="1:9">
      <c r="A2727" s="4" t="s">
        <v>249</v>
      </c>
      <c r="B2727" s="4" t="s">
        <v>250</v>
      </c>
      <c r="C2727" s="5">
        <v>2008</v>
      </c>
      <c r="D2727" s="4">
        <v>0</v>
      </c>
      <c r="E2727" s="4">
        <v>38000000</v>
      </c>
      <c r="F2727" s="4" t="str">
        <f>_xlfn.LET(_xlpm.r, _xlfn.XLOOKUP(Clean_Data[[#This Row],[Country_Code]], Metadata_Country!$A:$A, Metadata_Country!$B:$B, "Unknown"), IF(OR(_xlpm.r=0, _xlpm.r=""), "Regional Aggregate", _xlpm.r))</f>
        <v>Europe &amp; Central Asia</v>
      </c>
      <c r="G2727" s="4" t="str">
        <f>_xlfn.LET(_xlpm.ig, _xlfn.XLOOKUP(Clean_Data[[#This Row],[Country_Code]], Metadata_Country!$A:$A, Metadata_Country!$C:$C, "Unknown"), IF(OR(_xlpm.ig=0, _xlpm.ig=""), "Regional Aggregate", _xlpm.ig))</f>
        <v>Upper middle income</v>
      </c>
      <c r="H2727" s="4">
        <f>Clean_Data[[#This Row],[Exports_TIV]] - Clean_Data[[#This Row],[Imports_TIV]]</f>
        <v>-38000000</v>
      </c>
      <c r="I2727" s="4">
        <f>Clean_Data[[#This Row],[Exports_TIV]] + Clean_Data[[#This Row],[Imports_TIV]]</f>
        <v>38000000</v>
      </c>
    </row>
    <row r="2728" spans="1:9">
      <c r="A2728" s="4" t="s">
        <v>395</v>
      </c>
      <c r="B2728" s="4" t="s">
        <v>396</v>
      </c>
      <c r="C2728" s="5">
        <v>2008</v>
      </c>
      <c r="D2728" s="4">
        <v>15000000</v>
      </c>
      <c r="E2728" s="4">
        <v>5000000</v>
      </c>
      <c r="F2728" s="4" t="str">
        <f>_xlfn.LET(_xlpm.r, _xlfn.XLOOKUP(Clean_Data[[#This Row],[Country_Code]], Metadata_Country!$A:$A, Metadata_Country!$B:$B, "Unknown"), IF(OR(_xlpm.r=0, _xlpm.r=""), "Regional Aggregate", _xlpm.r))</f>
        <v>East Asia &amp; Pacific</v>
      </c>
      <c r="G2728" s="4" t="str">
        <f>_xlfn.LET(_xlpm.ig, _xlfn.XLOOKUP(Clean_Data[[#This Row],[Country_Code]], Metadata_Country!$A:$A, Metadata_Country!$C:$C, "Unknown"), IF(OR(_xlpm.ig=0, _xlpm.ig=""), "Regional Aggregate", _xlpm.ig))</f>
        <v>Low income</v>
      </c>
      <c r="H2728" s="4">
        <f>Clean_Data[[#This Row],[Exports_TIV]] - Clean_Data[[#This Row],[Imports_TIV]]</f>
        <v>10000000</v>
      </c>
      <c r="I2728" s="4">
        <f>Clean_Data[[#This Row],[Exports_TIV]] + Clean_Data[[#This Row],[Imports_TIV]]</f>
        <v>20000000</v>
      </c>
    </row>
    <row r="2729" spans="1:9">
      <c r="A2729" s="4" t="s">
        <v>261</v>
      </c>
      <c r="B2729" s="4" t="s">
        <v>262</v>
      </c>
      <c r="C2729" s="5">
        <v>2008</v>
      </c>
      <c r="D2729" s="4">
        <v>110000000</v>
      </c>
      <c r="E2729" s="4">
        <v>1691000000</v>
      </c>
      <c r="F2729" s="4" t="str">
        <f>_xlfn.LET(_xlpm.r, _xlfn.XLOOKUP(Clean_Data[[#This Row],[Country_Code]], Metadata_Country!$A:$A, Metadata_Country!$B:$B, "Unknown"), IF(OR(_xlpm.r=0, _xlpm.r=""), "Regional Aggregate", _xlpm.r))</f>
        <v>East Asia &amp; Pacific</v>
      </c>
      <c r="G2729" s="4" t="str">
        <f>_xlfn.LET(_xlpm.ig, _xlfn.XLOOKUP(Clean_Data[[#This Row],[Country_Code]], Metadata_Country!$A:$A, Metadata_Country!$C:$C, "Unknown"), IF(OR(_xlpm.ig=0, _xlpm.ig=""), "Regional Aggregate", _xlpm.ig))</f>
        <v>High income</v>
      </c>
      <c r="H2729" s="4">
        <f>Clean_Data[[#This Row],[Exports_TIV]] - Clean_Data[[#This Row],[Imports_TIV]]</f>
        <v>-1581000000</v>
      </c>
      <c r="I2729" s="4">
        <f>Clean_Data[[#This Row],[Exports_TIV]] + Clean_Data[[#This Row],[Imports_TIV]]</f>
        <v>1801000000</v>
      </c>
    </row>
    <row r="2730" spans="1:9">
      <c r="A2730" s="4" t="s">
        <v>263</v>
      </c>
      <c r="B2730" s="4" t="s">
        <v>264</v>
      </c>
      <c r="C2730" s="5">
        <v>2008</v>
      </c>
      <c r="D2730" s="4">
        <v>0</v>
      </c>
      <c r="E2730" s="4">
        <v>5000000</v>
      </c>
      <c r="F2730" s="4" t="str">
        <f>_xlfn.LET(_xlpm.r, _xlfn.XLOOKUP(Clean_Data[[#This Row],[Country_Code]], Metadata_Country!$A:$A, Metadata_Country!$B:$B, "Unknown"), IF(OR(_xlpm.r=0, _xlpm.r=""), "Regional Aggregate", _xlpm.r))</f>
        <v>Middle East &amp; North Africa</v>
      </c>
      <c r="G2730" s="4" t="str">
        <f>_xlfn.LET(_xlpm.ig, _xlfn.XLOOKUP(Clean_Data[[#This Row],[Country_Code]], Metadata_Country!$A:$A, Metadata_Country!$C:$C, "Unknown"), IF(OR(_xlpm.ig=0, _xlpm.ig=""), "Regional Aggregate", _xlpm.ig))</f>
        <v>High income</v>
      </c>
      <c r="H2730" s="4">
        <f>Clean_Data[[#This Row],[Exports_TIV]] - Clean_Data[[#This Row],[Imports_TIV]]</f>
        <v>-5000000</v>
      </c>
      <c r="I2730" s="4">
        <f>Clean_Data[[#This Row],[Exports_TIV]] + Clean_Data[[#This Row],[Imports_TIV]]</f>
        <v>5000000</v>
      </c>
    </row>
    <row r="2731" spans="1:9">
      <c r="A2731" s="4" t="s">
        <v>253</v>
      </c>
      <c r="B2731" s="4" t="s">
        <v>254</v>
      </c>
      <c r="C2731" s="5">
        <v>2008</v>
      </c>
      <c r="D2731" s="4">
        <v>14000000</v>
      </c>
      <c r="E2731" s="4">
        <v>0</v>
      </c>
      <c r="F2731" s="4" t="str">
        <f>_xlfn.LET(_xlpm.r, _xlfn.XLOOKUP(Clean_Data[[#This Row],[Country_Code]], Metadata_Country!$A:$A, Metadata_Country!$B:$B, "Unknown"), IF(OR(_xlpm.r=0, _xlpm.r=""), "Regional Aggregate", _xlpm.r))</f>
        <v>Europe &amp; Central Asia</v>
      </c>
      <c r="G2731" s="4" t="str">
        <f>_xlfn.LET(_xlpm.ig, _xlfn.XLOOKUP(Clean_Data[[#This Row],[Country_Code]], Metadata_Country!$A:$A, Metadata_Country!$C:$C, "Unknown"), IF(OR(_xlpm.ig=0, _xlpm.ig=""), "Regional Aggregate", _xlpm.ig))</f>
        <v>Lower middle income</v>
      </c>
      <c r="H2731" s="4">
        <f>Clean_Data[[#This Row],[Exports_TIV]] - Clean_Data[[#This Row],[Imports_TIV]]</f>
        <v>14000000</v>
      </c>
      <c r="I2731" s="4">
        <f>Clean_Data[[#This Row],[Exports_TIV]] + Clean_Data[[#This Row],[Imports_TIV]]</f>
        <v>14000000</v>
      </c>
    </row>
    <row r="2732" spans="1:9">
      <c r="A2732" s="4" t="s">
        <v>267</v>
      </c>
      <c r="B2732" s="4" t="s">
        <v>268</v>
      </c>
      <c r="C2732" s="5">
        <v>2008</v>
      </c>
      <c r="D2732" s="4">
        <v>0</v>
      </c>
      <c r="E2732" s="4">
        <v>7000000</v>
      </c>
      <c r="F2732" s="4" t="str">
        <f>_xlfn.LET(_xlpm.r, _xlfn.XLOOKUP(Clean_Data[[#This Row],[Country_Code]], Metadata_Country!$A:$A, Metadata_Country!$B:$B, "Unknown"), IF(OR(_xlpm.r=0, _xlpm.r=""), "Regional Aggregate", _xlpm.r))</f>
        <v>East Asia &amp; Pacific</v>
      </c>
      <c r="G2732" s="4" t="str">
        <f>_xlfn.LET(_xlpm.ig, _xlfn.XLOOKUP(Clean_Data[[#This Row],[Country_Code]], Metadata_Country!$A:$A, Metadata_Country!$C:$C, "Unknown"), IF(OR(_xlpm.ig=0, _xlpm.ig=""), "Regional Aggregate", _xlpm.ig))</f>
        <v>Lower middle income</v>
      </c>
      <c r="H2732" s="4">
        <f>Clean_Data[[#This Row],[Exports_TIV]] - Clean_Data[[#This Row],[Imports_TIV]]</f>
        <v>-7000000</v>
      </c>
      <c r="I2732" s="4">
        <f>Clean_Data[[#This Row],[Exports_TIV]] + Clean_Data[[#This Row],[Imports_TIV]]</f>
        <v>7000000</v>
      </c>
    </row>
    <row r="2733" spans="1:9">
      <c r="A2733" s="4" t="s">
        <v>293</v>
      </c>
      <c r="B2733" s="4" t="s">
        <v>294</v>
      </c>
      <c r="C2733" s="5">
        <v>2008</v>
      </c>
      <c r="D2733" s="4">
        <v>7019000000</v>
      </c>
      <c r="E2733" s="4">
        <v>5227000000</v>
      </c>
      <c r="F2733" s="4" t="str">
        <f>_xlfn.LET(_xlpm.r, _xlfn.XLOOKUP(Clean_Data[[#This Row],[Country_Code]], Metadata_Country!$A:$A, Metadata_Country!$B:$B, "Unknown"), IF(OR(_xlpm.r=0, _xlpm.r=""), "Regional Aggregate", _xlpm.r))</f>
        <v>Regional Aggregate</v>
      </c>
      <c r="G2733" s="4" t="str">
        <f>_xlfn.LET(_xlpm.ig, _xlfn.XLOOKUP(Clean_Data[[#This Row],[Country_Code]], Metadata_Country!$A:$A, Metadata_Country!$C:$C, "Unknown"), IF(OR(_xlpm.ig=0, _xlpm.ig=""), "Regional Aggregate", _xlpm.ig))</f>
        <v>Regional Aggregate</v>
      </c>
      <c r="H2733" s="4">
        <f>Clean_Data[[#This Row],[Exports_TIV]] - Clean_Data[[#This Row],[Imports_TIV]]</f>
        <v>1792000000</v>
      </c>
      <c r="I2733" s="4">
        <f>Clean_Data[[#This Row],[Exports_TIV]] + Clean_Data[[#This Row],[Imports_TIV]]</f>
        <v>12246000000</v>
      </c>
    </row>
    <row r="2734" spans="1:9">
      <c r="A2734" s="4" t="s">
        <v>277</v>
      </c>
      <c r="B2734" s="4" t="s">
        <v>278</v>
      </c>
      <c r="C2734" s="5">
        <v>2008</v>
      </c>
      <c r="D2734" s="4">
        <v>0</v>
      </c>
      <c r="E2734" s="4">
        <v>1666000000</v>
      </c>
      <c r="F2734" s="4" t="str">
        <f>_xlfn.LET(_xlpm.r, _xlfn.XLOOKUP(Clean_Data[[#This Row],[Country_Code]], Metadata_Country!$A:$A, Metadata_Country!$B:$B, "Unknown"), IF(OR(_xlpm.r=0, _xlpm.r=""), "Regional Aggregate", _xlpm.r))</f>
        <v>Regional Aggregate</v>
      </c>
      <c r="G2734" s="4" t="str">
        <f>_xlfn.LET(_xlpm.ig, _xlfn.XLOOKUP(Clean_Data[[#This Row],[Country_Code]], Metadata_Country!$A:$A, Metadata_Country!$C:$C, "Unknown"), IF(OR(_xlpm.ig=0, _xlpm.ig=""), "Regional Aggregate", _xlpm.ig))</f>
        <v>Regional Aggregate</v>
      </c>
      <c r="H2734" s="4">
        <f>Clean_Data[[#This Row],[Exports_TIV]] - Clean_Data[[#This Row],[Imports_TIV]]</f>
        <v>-1666000000</v>
      </c>
      <c r="I2734" s="4">
        <f>Clean_Data[[#This Row],[Exports_TIV]] + Clean_Data[[#This Row],[Imports_TIV]]</f>
        <v>1666000000</v>
      </c>
    </row>
    <row r="2735" spans="1:9">
      <c r="A2735" s="4" t="s">
        <v>265</v>
      </c>
      <c r="B2735" s="4" t="s">
        <v>266</v>
      </c>
      <c r="C2735" s="5">
        <v>2008</v>
      </c>
      <c r="D2735" s="4">
        <v>0</v>
      </c>
      <c r="E2735" s="4">
        <v>1183000000</v>
      </c>
      <c r="F2735" s="4" t="str">
        <f>_xlfn.LET(_xlpm.r, _xlfn.XLOOKUP(Clean_Data[[#This Row],[Country_Code]], Metadata_Country!$A:$A, Metadata_Country!$B:$B, "Unknown"), IF(OR(_xlpm.r=0, _xlpm.r=""), "Regional Aggregate", _xlpm.r))</f>
        <v>Regional Aggregate</v>
      </c>
      <c r="G2735" s="4" t="str">
        <f>_xlfn.LET(_xlpm.ig, _xlfn.XLOOKUP(Clean_Data[[#This Row],[Country_Code]], Metadata_Country!$A:$A, Metadata_Country!$C:$C, "Unknown"), IF(OR(_xlpm.ig=0, _xlpm.ig=""), "Regional Aggregate", _xlpm.ig))</f>
        <v>Regional Aggregate</v>
      </c>
      <c r="H2735" s="4">
        <f>Clean_Data[[#This Row],[Exports_TIV]] - Clean_Data[[#This Row],[Imports_TIV]]</f>
        <v>-1183000000</v>
      </c>
      <c r="I2735" s="4">
        <f>Clean_Data[[#This Row],[Exports_TIV]] + Clean_Data[[#This Row],[Imports_TIV]]</f>
        <v>1183000000</v>
      </c>
    </row>
    <row r="2736" spans="1:9">
      <c r="A2736" s="4" t="s">
        <v>481</v>
      </c>
      <c r="B2736" s="4" t="s">
        <v>482</v>
      </c>
      <c r="C2736" s="5">
        <v>2008</v>
      </c>
      <c r="D2736" s="4">
        <v>0</v>
      </c>
      <c r="E2736" s="4">
        <v>1666000000</v>
      </c>
      <c r="F2736" s="4" t="str">
        <f>_xlfn.LET(_xlpm.r, _xlfn.XLOOKUP(Clean_Data[[#This Row],[Country_Code]], Metadata_Country!$A:$A, Metadata_Country!$B:$B, "Unknown"), IF(OR(_xlpm.r=0, _xlpm.r=""), "Regional Aggregate", _xlpm.r))</f>
        <v>Regional Aggregate</v>
      </c>
      <c r="G2736" s="4" t="str">
        <f>_xlfn.LET(_xlpm.ig, _xlfn.XLOOKUP(Clean_Data[[#This Row],[Country_Code]], Metadata_Country!$A:$A, Metadata_Country!$C:$C, "Unknown"), IF(OR(_xlpm.ig=0, _xlpm.ig=""), "Regional Aggregate", _xlpm.ig))</f>
        <v>Regional Aggregate</v>
      </c>
      <c r="H2736" s="4">
        <f>Clean_Data[[#This Row],[Exports_TIV]] - Clean_Data[[#This Row],[Imports_TIV]]</f>
        <v>-1666000000</v>
      </c>
      <c r="I2736" s="4">
        <f>Clean_Data[[#This Row],[Exports_TIV]] + Clean_Data[[#This Row],[Imports_TIV]]</f>
        <v>1666000000</v>
      </c>
    </row>
    <row r="2737" spans="1:9">
      <c r="A2737" s="4" t="s">
        <v>299</v>
      </c>
      <c r="B2737" s="4" t="s">
        <v>300</v>
      </c>
      <c r="C2737" s="5">
        <v>2008</v>
      </c>
      <c r="D2737" s="4">
        <v>0</v>
      </c>
      <c r="E2737" s="4">
        <v>46000000</v>
      </c>
      <c r="F2737" s="4" t="str">
        <f>_xlfn.LET(_xlpm.r, _xlfn.XLOOKUP(Clean_Data[[#This Row],[Country_Code]], Metadata_Country!$A:$A, Metadata_Country!$B:$B, "Unknown"), IF(OR(_xlpm.r=0, _xlpm.r=""), "Regional Aggregate", _xlpm.r))</f>
        <v>Europe &amp; Central Asia</v>
      </c>
      <c r="G2737" s="4" t="str">
        <f>_xlfn.LET(_xlpm.ig, _xlfn.XLOOKUP(Clean_Data[[#This Row],[Country_Code]], Metadata_Country!$A:$A, Metadata_Country!$C:$C, "Unknown"), IF(OR(_xlpm.ig=0, _xlpm.ig=""), "Regional Aggregate", _xlpm.ig))</f>
        <v>High income</v>
      </c>
      <c r="H2737" s="4">
        <f>Clean_Data[[#This Row],[Exports_TIV]] - Clean_Data[[#This Row],[Imports_TIV]]</f>
        <v>-46000000</v>
      </c>
      <c r="I2737" s="4">
        <f>Clean_Data[[#This Row],[Exports_TIV]] + Clean_Data[[#This Row],[Imports_TIV]]</f>
        <v>46000000</v>
      </c>
    </row>
    <row r="2738" spans="1:9">
      <c r="A2738" s="4" t="s">
        <v>279</v>
      </c>
      <c r="B2738" s="4" t="s">
        <v>280</v>
      </c>
      <c r="C2738" s="5">
        <v>2008</v>
      </c>
      <c r="D2738" s="4">
        <v>0</v>
      </c>
      <c r="E2738" s="4">
        <v>639000000</v>
      </c>
      <c r="F2738" s="4" t="str">
        <f>_xlfn.LET(_xlpm.r, _xlfn.XLOOKUP(Clean_Data[[#This Row],[Country_Code]], Metadata_Country!$A:$A, Metadata_Country!$B:$B, "Unknown"), IF(OR(_xlpm.r=0, _xlpm.r=""), "Regional Aggregate", _xlpm.r))</f>
        <v>Regional Aggregate</v>
      </c>
      <c r="G2738" s="4" t="str">
        <f>_xlfn.LET(_xlpm.ig, _xlfn.XLOOKUP(Clean_Data[[#This Row],[Country_Code]], Metadata_Country!$A:$A, Metadata_Country!$C:$C, "Unknown"), IF(OR(_xlpm.ig=0, _xlpm.ig=""), "Regional Aggregate", _xlpm.ig))</f>
        <v>Regional Aggregate</v>
      </c>
      <c r="H2738" s="4">
        <f>Clean_Data[[#This Row],[Exports_TIV]] - Clean_Data[[#This Row],[Imports_TIV]]</f>
        <v>-639000000</v>
      </c>
      <c r="I2738" s="4">
        <f>Clean_Data[[#This Row],[Exports_TIV]] + Clean_Data[[#This Row],[Imports_TIV]]</f>
        <v>639000000</v>
      </c>
    </row>
    <row r="2739" spans="1:9">
      <c r="A2739" s="4" t="s">
        <v>269</v>
      </c>
      <c r="B2739" s="4" t="s">
        <v>270</v>
      </c>
      <c r="C2739" s="5">
        <v>2008</v>
      </c>
      <c r="D2739" s="4">
        <v>0</v>
      </c>
      <c r="E2739" s="4">
        <v>1000000</v>
      </c>
      <c r="F2739" s="4" t="str">
        <f>_xlfn.LET(_xlpm.r, _xlfn.XLOOKUP(Clean_Data[[#This Row],[Country_Code]], Metadata_Country!$A:$A, Metadata_Country!$B:$B, "Unknown"), IF(OR(_xlpm.r=0, _xlpm.r=""), "Regional Aggregate", _xlpm.r))</f>
        <v>Middle East &amp; North Africa</v>
      </c>
      <c r="G2739" s="4" t="str">
        <f>_xlfn.LET(_xlpm.ig, _xlfn.XLOOKUP(Clean_Data[[#This Row],[Country_Code]], Metadata_Country!$A:$A, Metadata_Country!$C:$C, "Unknown"), IF(OR(_xlpm.ig=0, _xlpm.ig=""), "Regional Aggregate", _xlpm.ig))</f>
        <v>Lower middle income</v>
      </c>
      <c r="H2739" s="4">
        <f>Clean_Data[[#This Row],[Exports_TIV]] - Clean_Data[[#This Row],[Imports_TIV]]</f>
        <v>-1000000</v>
      </c>
      <c r="I2739" s="4">
        <f>Clean_Data[[#This Row],[Exports_TIV]] + Clean_Data[[#This Row],[Imports_TIV]]</f>
        <v>1000000</v>
      </c>
    </row>
    <row r="2740" spans="1:9">
      <c r="A2740" s="4" t="s">
        <v>273</v>
      </c>
      <c r="B2740" s="4" t="s">
        <v>274</v>
      </c>
      <c r="C2740" s="5">
        <v>2008</v>
      </c>
      <c r="D2740" s="4">
        <v>17000000</v>
      </c>
      <c r="E2740" s="4">
        <v>16000000</v>
      </c>
      <c r="F2740" s="4" t="str">
        <f>_xlfn.LET(_xlpm.r, _xlfn.XLOOKUP(Clean_Data[[#This Row],[Country_Code]], Metadata_Country!$A:$A, Metadata_Country!$B:$B, "Unknown"), IF(OR(_xlpm.r=0, _xlpm.r=""), "Regional Aggregate", _xlpm.r))</f>
        <v>Middle East &amp; North Africa</v>
      </c>
      <c r="G2740" s="4" t="str">
        <f>_xlfn.LET(_xlpm.ig, _xlfn.XLOOKUP(Clean_Data[[#This Row],[Country_Code]], Metadata_Country!$A:$A, Metadata_Country!$C:$C, "Unknown"), IF(OR(_xlpm.ig=0, _xlpm.ig=""), "Regional Aggregate", _xlpm.ig))</f>
        <v>Upper middle income</v>
      </c>
      <c r="H2740" s="4">
        <f>Clean_Data[[#This Row],[Exports_TIV]] - Clean_Data[[#This Row],[Imports_TIV]]</f>
        <v>1000000</v>
      </c>
      <c r="I2740" s="4">
        <f>Clean_Data[[#This Row],[Exports_TIV]] + Clean_Data[[#This Row],[Imports_TIV]]</f>
        <v>33000000</v>
      </c>
    </row>
    <row r="2741" spans="1:9">
      <c r="A2741" s="4" t="s">
        <v>295</v>
      </c>
      <c r="B2741" s="4" t="s">
        <v>296</v>
      </c>
      <c r="C2741" s="5">
        <v>2008</v>
      </c>
      <c r="D2741" s="4">
        <v>0</v>
      </c>
      <c r="E2741" s="4">
        <v>27000000</v>
      </c>
      <c r="F2741" s="4" t="str">
        <f>_xlfn.LET(_xlpm.r, _xlfn.XLOOKUP(Clean_Data[[#This Row],[Country_Code]], Metadata_Country!$A:$A, Metadata_Country!$B:$B, "Unknown"), IF(OR(_xlpm.r=0, _xlpm.r=""), "Regional Aggregate", _xlpm.r))</f>
        <v>Europe &amp; Central Asia</v>
      </c>
      <c r="G2741" s="4" t="str">
        <f>_xlfn.LET(_xlpm.ig, _xlfn.XLOOKUP(Clean_Data[[#This Row],[Country_Code]], Metadata_Country!$A:$A, Metadata_Country!$C:$C, "Unknown"), IF(OR(_xlpm.ig=0, _xlpm.ig=""), "Regional Aggregate", _xlpm.ig))</f>
        <v>High income</v>
      </c>
      <c r="H2741" s="4">
        <f>Clean_Data[[#This Row],[Exports_TIV]] - Clean_Data[[#This Row],[Imports_TIV]]</f>
        <v>-27000000</v>
      </c>
      <c r="I2741" s="4">
        <f>Clean_Data[[#This Row],[Exports_TIV]] + Clean_Data[[#This Row],[Imports_TIV]]</f>
        <v>27000000</v>
      </c>
    </row>
    <row r="2742" spans="1:9">
      <c r="A2742" s="4" t="s">
        <v>289</v>
      </c>
      <c r="B2742" s="4" t="s">
        <v>290</v>
      </c>
      <c r="C2742" s="5">
        <v>2008</v>
      </c>
      <c r="D2742" s="4">
        <v>0</v>
      </c>
      <c r="E2742" s="4">
        <v>11613000000</v>
      </c>
      <c r="F2742" s="4" t="str">
        <f>_xlfn.LET(_xlpm.r, _xlfn.XLOOKUP(Clean_Data[[#This Row],[Country_Code]], Metadata_Country!$A:$A, Metadata_Country!$B:$B, "Unknown"), IF(OR(_xlpm.r=0, _xlpm.r=""), "Regional Aggregate", _xlpm.r))</f>
        <v>Regional Aggregate</v>
      </c>
      <c r="G2742" s="4" t="str">
        <f>_xlfn.LET(_xlpm.ig, _xlfn.XLOOKUP(Clean_Data[[#This Row],[Country_Code]], Metadata_Country!$A:$A, Metadata_Country!$C:$C, "Unknown"), IF(OR(_xlpm.ig=0, _xlpm.ig=""), "Regional Aggregate", _xlpm.ig))</f>
        <v>Regional Aggregate</v>
      </c>
      <c r="H2742" s="4">
        <f>Clean_Data[[#This Row],[Exports_TIV]] - Clean_Data[[#This Row],[Imports_TIV]]</f>
        <v>-11613000000</v>
      </c>
      <c r="I2742" s="4">
        <f>Clean_Data[[#This Row],[Exports_TIV]] + Clean_Data[[#This Row],[Imports_TIV]]</f>
        <v>11613000000</v>
      </c>
    </row>
    <row r="2743" spans="1:9">
      <c r="A2743" s="4" t="s">
        <v>281</v>
      </c>
      <c r="B2743" s="4" t="s">
        <v>282</v>
      </c>
      <c r="C2743" s="5">
        <v>2008</v>
      </c>
      <c r="D2743" s="4">
        <v>0</v>
      </c>
      <c r="E2743" s="4">
        <v>827000000</v>
      </c>
      <c r="F2743" s="4" t="str">
        <f>_xlfn.LET(_xlpm.r, _xlfn.XLOOKUP(Clean_Data[[#This Row],[Country_Code]], Metadata_Country!$A:$A, Metadata_Country!$B:$B, "Unknown"), IF(OR(_xlpm.r=0, _xlpm.r=""), "Regional Aggregate", _xlpm.r))</f>
        <v>Regional Aggregate</v>
      </c>
      <c r="G2743" s="4" t="str">
        <f>_xlfn.LET(_xlpm.ig, _xlfn.XLOOKUP(Clean_Data[[#This Row],[Country_Code]], Metadata_Country!$A:$A, Metadata_Country!$C:$C, "Unknown"), IF(OR(_xlpm.ig=0, _xlpm.ig=""), "Regional Aggregate", _xlpm.ig))</f>
        <v>Regional Aggregate</v>
      </c>
      <c r="H2743" s="4">
        <f>Clean_Data[[#This Row],[Exports_TIV]] - Clean_Data[[#This Row],[Imports_TIV]]</f>
        <v>-827000000</v>
      </c>
      <c r="I2743" s="4">
        <f>Clean_Data[[#This Row],[Exports_TIV]] + Clean_Data[[#This Row],[Imports_TIV]]</f>
        <v>827000000</v>
      </c>
    </row>
    <row r="2744" spans="1:9">
      <c r="A2744" s="4" t="s">
        <v>287</v>
      </c>
      <c r="B2744" s="4" t="s">
        <v>288</v>
      </c>
      <c r="C2744" s="5">
        <v>2008</v>
      </c>
      <c r="D2744" s="4">
        <v>0</v>
      </c>
      <c r="E2744" s="4">
        <v>4037000000</v>
      </c>
      <c r="F2744" s="4" t="str">
        <f>_xlfn.LET(_xlpm.r, _xlfn.XLOOKUP(Clean_Data[[#This Row],[Country_Code]], Metadata_Country!$A:$A, Metadata_Country!$B:$B, "Unknown"), IF(OR(_xlpm.r=0, _xlpm.r=""), "Regional Aggregate", _xlpm.r))</f>
        <v>Regional Aggregate</v>
      </c>
      <c r="G2744" s="4" t="str">
        <f>_xlfn.LET(_xlpm.ig, _xlfn.XLOOKUP(Clean_Data[[#This Row],[Country_Code]], Metadata_Country!$A:$A, Metadata_Country!$C:$C, "Unknown"), IF(OR(_xlpm.ig=0, _xlpm.ig=""), "Regional Aggregate", _xlpm.ig))</f>
        <v>Regional Aggregate</v>
      </c>
      <c r="H2744" s="4">
        <f>Clean_Data[[#This Row],[Exports_TIV]] - Clean_Data[[#This Row],[Imports_TIV]]</f>
        <v>-4037000000</v>
      </c>
      <c r="I2744" s="4">
        <f>Clean_Data[[#This Row],[Exports_TIV]] + Clean_Data[[#This Row],[Imports_TIV]]</f>
        <v>4037000000</v>
      </c>
    </row>
    <row r="2745" spans="1:9">
      <c r="A2745" s="4" t="s">
        <v>345</v>
      </c>
      <c r="B2745" s="4" t="s">
        <v>346</v>
      </c>
      <c r="C2745" s="5">
        <v>2008</v>
      </c>
      <c r="D2745" s="4">
        <v>0</v>
      </c>
      <c r="E2745" s="4">
        <v>3000000</v>
      </c>
      <c r="F2745" s="4" t="str">
        <f>_xlfn.LET(_xlpm.r, _xlfn.XLOOKUP(Clean_Data[[#This Row],[Country_Code]], Metadata_Country!$A:$A, Metadata_Country!$B:$B, "Unknown"), IF(OR(_xlpm.r=0, _xlpm.r=""), "Regional Aggregate", _xlpm.r))</f>
        <v>Sub-Saharan Africa</v>
      </c>
      <c r="G2745" s="4" t="str">
        <f>_xlfn.LET(_xlpm.ig, _xlfn.XLOOKUP(Clean_Data[[#This Row],[Country_Code]], Metadata_Country!$A:$A, Metadata_Country!$C:$C, "Unknown"), IF(OR(_xlpm.ig=0, _xlpm.ig=""), "Regional Aggregate", _xlpm.ig))</f>
        <v>Low income</v>
      </c>
      <c r="H2745" s="4">
        <f>Clean_Data[[#This Row],[Exports_TIV]] - Clean_Data[[#This Row],[Imports_TIV]]</f>
        <v>-3000000</v>
      </c>
      <c r="I2745" s="4">
        <f>Clean_Data[[#This Row],[Exports_TIV]] + Clean_Data[[#This Row],[Imports_TIV]]</f>
        <v>3000000</v>
      </c>
    </row>
    <row r="2746" spans="1:9">
      <c r="A2746" s="4" t="s">
        <v>347</v>
      </c>
      <c r="B2746" s="4" t="s">
        <v>348</v>
      </c>
      <c r="C2746" s="5">
        <v>2008</v>
      </c>
      <c r="D2746" s="4">
        <v>0</v>
      </c>
      <c r="E2746" s="4">
        <v>493000000</v>
      </c>
      <c r="F2746" s="4" t="str">
        <f>_xlfn.LET(_xlpm.r, _xlfn.XLOOKUP(Clean_Data[[#This Row],[Country_Code]], Metadata_Country!$A:$A, Metadata_Country!$B:$B, "Unknown"), IF(OR(_xlpm.r=0, _xlpm.r=""), "Regional Aggregate", _xlpm.r))</f>
        <v>East Asia &amp; Pacific</v>
      </c>
      <c r="G2746" s="4" t="str">
        <f>_xlfn.LET(_xlpm.ig, _xlfn.XLOOKUP(Clean_Data[[#This Row],[Country_Code]], Metadata_Country!$A:$A, Metadata_Country!$C:$C, "Unknown"), IF(OR(_xlpm.ig=0, _xlpm.ig=""), "Regional Aggregate", _xlpm.ig))</f>
        <v>Upper middle income</v>
      </c>
      <c r="H2746" s="4">
        <f>Clean_Data[[#This Row],[Exports_TIV]] - Clean_Data[[#This Row],[Imports_TIV]]</f>
        <v>-493000000</v>
      </c>
      <c r="I2746" s="4">
        <f>Clean_Data[[#This Row],[Exports_TIV]] + Clean_Data[[#This Row],[Imports_TIV]]</f>
        <v>493000000</v>
      </c>
    </row>
    <row r="2747" spans="1:9">
      <c r="A2747" s="4" t="s">
        <v>325</v>
      </c>
      <c r="B2747" s="4" t="s">
        <v>326</v>
      </c>
      <c r="C2747" s="5">
        <v>2008</v>
      </c>
      <c r="D2747" s="4">
        <v>0</v>
      </c>
      <c r="E2747" s="4">
        <v>3000000</v>
      </c>
      <c r="F2747" s="4" t="str">
        <f>_xlfn.LET(_xlpm.r, _xlfn.XLOOKUP(Clean_Data[[#This Row],[Country_Code]], Metadata_Country!$A:$A, Metadata_Country!$B:$B, "Unknown"), IF(OR(_xlpm.r=0, _xlpm.r=""), "Regional Aggregate", _xlpm.r))</f>
        <v>Sub-Saharan Africa</v>
      </c>
      <c r="G2747" s="4" t="str">
        <f>_xlfn.LET(_xlpm.ig, _xlfn.XLOOKUP(Clean_Data[[#This Row],[Country_Code]], Metadata_Country!$A:$A, Metadata_Country!$C:$C, "Unknown"), IF(OR(_xlpm.ig=0, _xlpm.ig=""), "Regional Aggregate", _xlpm.ig))</f>
        <v>Low income</v>
      </c>
      <c r="H2747" s="4">
        <f>Clean_Data[[#This Row],[Exports_TIV]] - Clean_Data[[#This Row],[Imports_TIV]]</f>
        <v>-3000000</v>
      </c>
      <c r="I2747" s="4">
        <f>Clean_Data[[#This Row],[Exports_TIV]] + Clean_Data[[#This Row],[Imports_TIV]]</f>
        <v>3000000</v>
      </c>
    </row>
    <row r="2748" spans="1:9">
      <c r="A2748" s="4" t="s">
        <v>317</v>
      </c>
      <c r="B2748" s="4" t="s">
        <v>318</v>
      </c>
      <c r="C2748" s="5">
        <v>2008</v>
      </c>
      <c r="D2748" s="4">
        <v>0</v>
      </c>
      <c r="E2748" s="4">
        <v>23000000</v>
      </c>
      <c r="F2748" s="4" t="str">
        <f>_xlfn.LET(_xlpm.r, _xlfn.XLOOKUP(Clean_Data[[#This Row],[Country_Code]], Metadata_Country!$A:$A, Metadata_Country!$B:$B, "Unknown"), IF(OR(_xlpm.r=0, _xlpm.r=""), "Regional Aggregate", _xlpm.r))</f>
        <v>Latin America &amp; Caribbean</v>
      </c>
      <c r="G2748" s="4" t="str">
        <f>_xlfn.LET(_xlpm.ig, _xlfn.XLOOKUP(Clean_Data[[#This Row],[Country_Code]], Metadata_Country!$A:$A, Metadata_Country!$C:$C, "Unknown"), IF(OR(_xlpm.ig=0, _xlpm.ig=""), "Regional Aggregate", _xlpm.ig))</f>
        <v>Upper middle income</v>
      </c>
      <c r="H2748" s="4">
        <f>Clean_Data[[#This Row],[Exports_TIV]] - Clean_Data[[#This Row],[Imports_TIV]]</f>
        <v>-23000000</v>
      </c>
      <c r="I2748" s="4">
        <f>Clean_Data[[#This Row],[Exports_TIV]] + Clean_Data[[#This Row],[Imports_TIV]]</f>
        <v>23000000</v>
      </c>
    </row>
    <row r="2749" spans="1:9">
      <c r="A2749" s="4" t="s">
        <v>315</v>
      </c>
      <c r="B2749" s="4" t="s">
        <v>316</v>
      </c>
      <c r="C2749" s="5">
        <v>2008</v>
      </c>
      <c r="D2749" s="4">
        <v>0</v>
      </c>
      <c r="E2749" s="4">
        <v>5991000000</v>
      </c>
      <c r="F2749" s="4" t="str">
        <f>_xlfn.LET(_xlpm.r, _xlfn.XLOOKUP(Clean_Data[[#This Row],[Country_Code]], Metadata_Country!$A:$A, Metadata_Country!$B:$B, "Unknown"), IF(OR(_xlpm.r=0, _xlpm.r=""), "Regional Aggregate", _xlpm.r))</f>
        <v>Regional Aggregate</v>
      </c>
      <c r="G2749" s="4" t="str">
        <f>_xlfn.LET(_xlpm.ig, _xlfn.XLOOKUP(Clean_Data[[#This Row],[Country_Code]], Metadata_Country!$A:$A, Metadata_Country!$C:$C, "Unknown"), IF(OR(_xlpm.ig=0, _xlpm.ig=""), "Regional Aggregate", _xlpm.ig))</f>
        <v>Regional Aggregate</v>
      </c>
      <c r="H2749" s="4">
        <f>Clean_Data[[#This Row],[Exports_TIV]] - Clean_Data[[#This Row],[Imports_TIV]]</f>
        <v>-5991000000</v>
      </c>
      <c r="I2749" s="4">
        <f>Clean_Data[[#This Row],[Exports_TIV]] + Clean_Data[[#This Row],[Imports_TIV]]</f>
        <v>5991000000</v>
      </c>
    </row>
    <row r="2750" spans="1:9">
      <c r="A2750" s="4" t="s">
        <v>331</v>
      </c>
      <c r="B2750" s="4" t="s">
        <v>332</v>
      </c>
      <c r="C2750" s="5">
        <v>2008</v>
      </c>
      <c r="D2750" s="4">
        <v>0</v>
      </c>
      <c r="E2750" s="4">
        <v>4094000000</v>
      </c>
      <c r="F2750" s="4" t="str">
        <f>_xlfn.LET(_xlpm.r, _xlfn.XLOOKUP(Clean_Data[[#This Row],[Country_Code]], Metadata_Country!$A:$A, Metadata_Country!$B:$B, "Unknown"), IF(OR(_xlpm.r=0, _xlpm.r=""), "Regional Aggregate", _xlpm.r))</f>
        <v>Regional Aggregate</v>
      </c>
      <c r="G2750" s="4" t="str">
        <f>_xlfn.LET(_xlpm.ig, _xlfn.XLOOKUP(Clean_Data[[#This Row],[Country_Code]], Metadata_Country!$A:$A, Metadata_Country!$C:$C, "Unknown"), IF(OR(_xlpm.ig=0, _xlpm.ig=""), "Regional Aggregate", _xlpm.ig))</f>
        <v>Regional Aggregate</v>
      </c>
      <c r="H2750" s="4">
        <f>Clean_Data[[#This Row],[Exports_TIV]] - Clean_Data[[#This Row],[Imports_TIV]]</f>
        <v>-4094000000</v>
      </c>
      <c r="I2750" s="4">
        <f>Clean_Data[[#This Row],[Exports_TIV]] + Clean_Data[[#This Row],[Imports_TIV]]</f>
        <v>4094000000</v>
      </c>
    </row>
    <row r="2751" spans="1:9">
      <c r="A2751" s="4" t="s">
        <v>485</v>
      </c>
      <c r="B2751" s="4" t="s">
        <v>486</v>
      </c>
      <c r="C2751" s="5">
        <v>2008</v>
      </c>
      <c r="D2751" s="4">
        <v>0</v>
      </c>
      <c r="E2751" s="4">
        <v>4094000000</v>
      </c>
      <c r="F2751" s="4" t="str">
        <f>_xlfn.LET(_xlpm.r, _xlfn.XLOOKUP(Clean_Data[[#This Row],[Country_Code]], Metadata_Country!$A:$A, Metadata_Country!$B:$B, "Unknown"), IF(OR(_xlpm.r=0, _xlpm.r=""), "Regional Aggregate", _xlpm.r))</f>
        <v>Regional Aggregate</v>
      </c>
      <c r="G2751" s="4" t="str">
        <f>_xlfn.LET(_xlpm.ig, _xlfn.XLOOKUP(Clean_Data[[#This Row],[Country_Code]], Metadata_Country!$A:$A, Metadata_Country!$C:$C, "Unknown"), IF(OR(_xlpm.ig=0, _xlpm.ig=""), "Regional Aggregate", _xlpm.ig))</f>
        <v>Regional Aggregate</v>
      </c>
      <c r="H2751" s="4">
        <f>Clean_Data[[#This Row],[Exports_TIV]] - Clean_Data[[#This Row],[Imports_TIV]]</f>
        <v>-4094000000</v>
      </c>
      <c r="I2751" s="4">
        <f>Clean_Data[[#This Row],[Exports_TIV]] + Clean_Data[[#This Row],[Imports_TIV]]</f>
        <v>4094000000</v>
      </c>
    </row>
    <row r="2752" spans="1:9">
      <c r="A2752" s="4" t="s">
        <v>321</v>
      </c>
      <c r="B2752" s="4" t="s">
        <v>322</v>
      </c>
      <c r="C2752" s="5">
        <v>2008</v>
      </c>
      <c r="D2752" s="4">
        <v>0</v>
      </c>
      <c r="E2752" s="4">
        <v>10786000000</v>
      </c>
      <c r="F2752" s="4" t="str">
        <f>_xlfn.LET(_xlpm.r, _xlfn.XLOOKUP(Clean_Data[[#This Row],[Country_Code]], Metadata_Country!$A:$A, Metadata_Country!$B:$B, "Unknown"), IF(OR(_xlpm.r=0, _xlpm.r=""), "Regional Aggregate", _xlpm.r))</f>
        <v>Regional Aggregate</v>
      </c>
      <c r="G2752" s="4" t="str">
        <f>_xlfn.LET(_xlpm.ig, _xlfn.XLOOKUP(Clean_Data[[#This Row],[Country_Code]], Metadata_Country!$A:$A, Metadata_Country!$C:$C, "Unknown"), IF(OR(_xlpm.ig=0, _xlpm.ig=""), "Regional Aggregate", _xlpm.ig))</f>
        <v>Regional Aggregate</v>
      </c>
      <c r="H2752" s="4">
        <f>Clean_Data[[#This Row],[Exports_TIV]] - Clean_Data[[#This Row],[Imports_TIV]]</f>
        <v>-10786000000</v>
      </c>
      <c r="I2752" s="4">
        <f>Clean_Data[[#This Row],[Exports_TIV]] + Clean_Data[[#This Row],[Imports_TIV]]</f>
        <v>10786000000</v>
      </c>
    </row>
    <row r="2753" spans="1:9">
      <c r="A2753" s="4" t="s">
        <v>309</v>
      </c>
      <c r="B2753" s="4" t="s">
        <v>310</v>
      </c>
      <c r="C2753" s="5">
        <v>2008</v>
      </c>
      <c r="D2753" s="4">
        <v>29000000</v>
      </c>
      <c r="E2753" s="4">
        <v>0</v>
      </c>
      <c r="F2753" s="4" t="str">
        <f>_xlfn.LET(_xlpm.r, _xlfn.XLOOKUP(Clean_Data[[#This Row],[Country_Code]], Metadata_Country!$A:$A, Metadata_Country!$B:$B, "Unknown"), IF(OR(_xlpm.r=0, _xlpm.r=""), "Regional Aggregate", _xlpm.r))</f>
        <v>Europe &amp; Central Asia</v>
      </c>
      <c r="G2753" s="4" t="str">
        <f>_xlfn.LET(_xlpm.ig, _xlfn.XLOOKUP(Clean_Data[[#This Row],[Country_Code]], Metadata_Country!$A:$A, Metadata_Country!$C:$C, "Unknown"), IF(OR(_xlpm.ig=0, _xlpm.ig=""), "Regional Aggregate", _xlpm.ig))</f>
        <v>Upper middle income</v>
      </c>
      <c r="H2753" s="4">
        <f>Clean_Data[[#This Row],[Exports_TIV]] - Clean_Data[[#This Row],[Imports_TIV]]</f>
        <v>29000000</v>
      </c>
      <c r="I2753" s="4">
        <f>Clean_Data[[#This Row],[Exports_TIV]] + Clean_Data[[#This Row],[Imports_TIV]]</f>
        <v>29000000</v>
      </c>
    </row>
    <row r="2754" spans="1:9">
      <c r="A2754" s="4" t="s">
        <v>335</v>
      </c>
      <c r="B2754" s="4" t="s">
        <v>336</v>
      </c>
      <c r="C2754" s="5">
        <v>2008</v>
      </c>
      <c r="D2754" s="4">
        <v>0</v>
      </c>
      <c r="E2754" s="4">
        <v>15000000</v>
      </c>
      <c r="F2754" s="4" t="str">
        <f>_xlfn.LET(_xlpm.r, _xlfn.XLOOKUP(Clean_Data[[#This Row],[Country_Code]], Metadata_Country!$A:$A, Metadata_Country!$B:$B, "Unknown"), IF(OR(_xlpm.r=0, _xlpm.r=""), "Regional Aggregate", _xlpm.r))</f>
        <v>East Asia &amp; Pacific</v>
      </c>
      <c r="G2754" s="4" t="str">
        <f>_xlfn.LET(_xlpm.ig, _xlfn.XLOOKUP(Clean_Data[[#This Row],[Country_Code]], Metadata_Country!$A:$A, Metadata_Country!$C:$C, "Unknown"), IF(OR(_xlpm.ig=0, _xlpm.ig=""), "Regional Aggregate", _xlpm.ig))</f>
        <v>Upper middle income</v>
      </c>
      <c r="H2754" s="4">
        <f>Clean_Data[[#This Row],[Exports_TIV]] - Clean_Data[[#This Row],[Imports_TIV]]</f>
        <v>-15000000</v>
      </c>
      <c r="I2754" s="4">
        <f>Clean_Data[[#This Row],[Exports_TIV]] + Clean_Data[[#This Row],[Imports_TIV]]</f>
        <v>15000000</v>
      </c>
    </row>
    <row r="2755" spans="1:9">
      <c r="A2755" s="4" t="s">
        <v>305</v>
      </c>
      <c r="B2755" s="4" t="s">
        <v>306</v>
      </c>
      <c r="C2755" s="5">
        <v>2008</v>
      </c>
      <c r="D2755" s="4">
        <v>0</v>
      </c>
      <c r="E2755" s="4">
        <v>46000000</v>
      </c>
      <c r="F2755" s="4" t="str">
        <f>_xlfn.LET(_xlpm.r, _xlfn.XLOOKUP(Clean_Data[[#This Row],[Country_Code]], Metadata_Country!$A:$A, Metadata_Country!$B:$B, "Unknown"), IF(OR(_xlpm.r=0, _xlpm.r=""), "Regional Aggregate", _xlpm.r))</f>
        <v>Middle East &amp; North Africa</v>
      </c>
      <c r="G2755" s="4" t="str">
        <f>_xlfn.LET(_xlpm.ig, _xlfn.XLOOKUP(Clean_Data[[#This Row],[Country_Code]], Metadata_Country!$A:$A, Metadata_Country!$C:$C, "Unknown"), IF(OR(_xlpm.ig=0, _xlpm.ig=""), "Regional Aggregate", _xlpm.ig))</f>
        <v>Lower middle income</v>
      </c>
      <c r="H2755" s="4">
        <f>Clean_Data[[#This Row],[Exports_TIV]] - Clean_Data[[#This Row],[Imports_TIV]]</f>
        <v>-46000000</v>
      </c>
      <c r="I2755" s="4">
        <f>Clean_Data[[#This Row],[Exports_TIV]] + Clean_Data[[#This Row],[Imports_TIV]]</f>
        <v>46000000</v>
      </c>
    </row>
    <row r="2756" spans="1:9">
      <c r="A2756" s="4" t="s">
        <v>329</v>
      </c>
      <c r="B2756" s="4" t="s">
        <v>330</v>
      </c>
      <c r="C2756" s="5">
        <v>2008</v>
      </c>
      <c r="D2756" s="4">
        <v>0</v>
      </c>
      <c r="E2756" s="4">
        <v>80000000</v>
      </c>
      <c r="F2756" s="4" t="str">
        <f>_xlfn.LET(_xlpm.r, _xlfn.XLOOKUP(Clean_Data[[#This Row],[Country_Code]], Metadata_Country!$A:$A, Metadata_Country!$B:$B, "Unknown"), IF(OR(_xlpm.r=0, _xlpm.r=""), "Regional Aggregate", _xlpm.r))</f>
        <v>East Asia &amp; Pacific</v>
      </c>
      <c r="G2756" s="4" t="str">
        <f>_xlfn.LET(_xlpm.ig, _xlfn.XLOOKUP(Clean_Data[[#This Row],[Country_Code]], Metadata_Country!$A:$A, Metadata_Country!$C:$C, "Unknown"), IF(OR(_xlpm.ig=0, _xlpm.ig=""), "Regional Aggregate", _xlpm.ig))</f>
        <v>Lower middle income</v>
      </c>
      <c r="H2756" s="4">
        <f>Clean_Data[[#This Row],[Exports_TIV]] - Clean_Data[[#This Row],[Imports_TIV]]</f>
        <v>-80000000</v>
      </c>
      <c r="I2756" s="4">
        <f>Clean_Data[[#This Row],[Exports_TIV]] + Clean_Data[[#This Row],[Imports_TIV]]</f>
        <v>80000000</v>
      </c>
    </row>
    <row r="2757" spans="1:9">
      <c r="A2757" s="4" t="s">
        <v>351</v>
      </c>
      <c r="B2757" s="4" t="s">
        <v>352</v>
      </c>
      <c r="C2757" s="5">
        <v>2008</v>
      </c>
      <c r="D2757" s="4">
        <v>0</v>
      </c>
      <c r="E2757" s="4">
        <v>25000000</v>
      </c>
      <c r="F2757" s="4" t="str">
        <f>_xlfn.LET(_xlpm.r, _xlfn.XLOOKUP(Clean_Data[[#This Row],[Country_Code]], Metadata_Country!$A:$A, Metadata_Country!$B:$B, "Unknown"), IF(OR(_xlpm.r=0, _xlpm.r=""), "Regional Aggregate", _xlpm.r))</f>
        <v>Sub-Saharan Africa</v>
      </c>
      <c r="G2757" s="4" t="str">
        <f>_xlfn.LET(_xlpm.ig, _xlfn.XLOOKUP(Clean_Data[[#This Row],[Country_Code]], Metadata_Country!$A:$A, Metadata_Country!$C:$C, "Unknown"), IF(OR(_xlpm.ig=0, _xlpm.ig=""), "Regional Aggregate", _xlpm.ig))</f>
        <v>Lower middle income</v>
      </c>
      <c r="H2757" s="4">
        <f>Clean_Data[[#This Row],[Exports_TIV]] - Clean_Data[[#This Row],[Imports_TIV]]</f>
        <v>-25000000</v>
      </c>
      <c r="I2757" s="4">
        <f>Clean_Data[[#This Row],[Exports_TIV]] + Clean_Data[[#This Row],[Imports_TIV]]</f>
        <v>25000000</v>
      </c>
    </row>
    <row r="2758" spans="1:9">
      <c r="A2758" s="4" t="s">
        <v>365</v>
      </c>
      <c r="B2758" s="4" t="s">
        <v>366</v>
      </c>
      <c r="C2758" s="5">
        <v>2008</v>
      </c>
      <c r="D2758" s="4">
        <v>0</v>
      </c>
      <c r="E2758" s="4">
        <v>1000000</v>
      </c>
      <c r="F2758" s="4" t="str">
        <f>_xlfn.LET(_xlpm.r, _xlfn.XLOOKUP(Clean_Data[[#This Row],[Country_Code]], Metadata_Country!$A:$A, Metadata_Country!$B:$B, "Unknown"), IF(OR(_xlpm.r=0, _xlpm.r=""), "Regional Aggregate", _xlpm.r))</f>
        <v>South Asia</v>
      </c>
      <c r="G2758" s="4" t="str">
        <f>_xlfn.LET(_xlpm.ig, _xlfn.XLOOKUP(Clean_Data[[#This Row],[Country_Code]], Metadata_Country!$A:$A, Metadata_Country!$C:$C, "Unknown"), IF(OR(_xlpm.ig=0, _xlpm.ig=""), "Regional Aggregate", _xlpm.ig))</f>
        <v>Lower middle income</v>
      </c>
      <c r="H2758" s="4">
        <f>Clean_Data[[#This Row],[Exports_TIV]] - Clean_Data[[#This Row],[Imports_TIV]]</f>
        <v>-1000000</v>
      </c>
      <c r="I2758" s="4">
        <f>Clean_Data[[#This Row],[Exports_TIV]] + Clean_Data[[#This Row],[Imports_TIV]]</f>
        <v>1000000</v>
      </c>
    </row>
    <row r="2759" spans="1:9">
      <c r="A2759" s="4" t="s">
        <v>361</v>
      </c>
      <c r="B2759" s="4" t="s">
        <v>362</v>
      </c>
      <c r="C2759" s="5">
        <v>2008</v>
      </c>
      <c r="D2759" s="4">
        <v>452000000</v>
      </c>
      <c r="E2759" s="4">
        <v>147000000</v>
      </c>
      <c r="F2759" s="4" t="str">
        <f>_xlfn.LET(_xlpm.r, _xlfn.XLOOKUP(Clean_Data[[#This Row],[Country_Code]], Metadata_Country!$A:$A, Metadata_Country!$B:$B, "Unknown"), IF(OR(_xlpm.r=0, _xlpm.r=""), "Regional Aggregate", _xlpm.r))</f>
        <v>Europe &amp; Central Asia</v>
      </c>
      <c r="G2759" s="4" t="str">
        <f>_xlfn.LET(_xlpm.ig, _xlfn.XLOOKUP(Clean_Data[[#This Row],[Country_Code]], Metadata_Country!$A:$A, Metadata_Country!$C:$C, "Unknown"), IF(OR(_xlpm.ig=0, _xlpm.ig=""), "Regional Aggregate", _xlpm.ig))</f>
        <v>High income</v>
      </c>
      <c r="H2759" s="4">
        <f>Clean_Data[[#This Row],[Exports_TIV]] - Clean_Data[[#This Row],[Imports_TIV]]</f>
        <v>305000000</v>
      </c>
      <c r="I2759" s="4">
        <f>Clean_Data[[#This Row],[Exports_TIV]] + Clean_Data[[#This Row],[Imports_TIV]]</f>
        <v>599000000</v>
      </c>
    </row>
    <row r="2760" spans="1:9">
      <c r="A2760" s="4" t="s">
        <v>369</v>
      </c>
      <c r="B2760" s="4" t="s">
        <v>370</v>
      </c>
      <c r="C2760" s="5">
        <v>2008</v>
      </c>
      <c r="D2760" s="4">
        <v>0</v>
      </c>
      <c r="E2760" s="4">
        <v>3000000</v>
      </c>
      <c r="F2760" s="4" t="str">
        <f>_xlfn.LET(_xlpm.r, _xlfn.XLOOKUP(Clean_Data[[#This Row],[Country_Code]], Metadata_Country!$A:$A, Metadata_Country!$B:$B, "Unknown"), IF(OR(_xlpm.r=0, _xlpm.r=""), "Regional Aggregate", _xlpm.r))</f>
        <v>East Asia &amp; Pacific</v>
      </c>
      <c r="G2760" s="4" t="str">
        <f>_xlfn.LET(_xlpm.ig, _xlfn.XLOOKUP(Clean_Data[[#This Row],[Country_Code]], Metadata_Country!$A:$A, Metadata_Country!$C:$C, "Unknown"), IF(OR(_xlpm.ig=0, _xlpm.ig=""), "Regional Aggregate", _xlpm.ig))</f>
        <v>High income</v>
      </c>
      <c r="H2760" s="4">
        <f>Clean_Data[[#This Row],[Exports_TIV]] - Clean_Data[[#This Row],[Imports_TIV]]</f>
        <v>-3000000</v>
      </c>
      <c r="I2760" s="4">
        <f>Clean_Data[[#This Row],[Exports_TIV]] + Clean_Data[[#This Row],[Imports_TIV]]</f>
        <v>3000000</v>
      </c>
    </row>
    <row r="2761" spans="1:9">
      <c r="A2761" s="4" t="s">
        <v>355</v>
      </c>
      <c r="B2761" s="4" t="s">
        <v>356</v>
      </c>
      <c r="C2761" s="5">
        <v>2008</v>
      </c>
      <c r="D2761" s="4">
        <v>0</v>
      </c>
      <c r="E2761" s="4">
        <v>8000000</v>
      </c>
      <c r="F2761" s="4" t="str">
        <f>_xlfn.LET(_xlpm.r, _xlfn.XLOOKUP(Clean_Data[[#This Row],[Country_Code]], Metadata_Country!$A:$A, Metadata_Country!$B:$B, "Unknown"), IF(OR(_xlpm.r=0, _xlpm.r=""), "Regional Aggregate", _xlpm.r))</f>
        <v>Sub-Saharan Africa</v>
      </c>
      <c r="G2761" s="4" t="str">
        <f>_xlfn.LET(_xlpm.ig, _xlfn.XLOOKUP(Clean_Data[[#This Row],[Country_Code]], Metadata_Country!$A:$A, Metadata_Country!$C:$C, "Unknown"), IF(OR(_xlpm.ig=0, _xlpm.ig=""), "Regional Aggregate", _xlpm.ig))</f>
        <v>Low income</v>
      </c>
      <c r="H2761" s="4">
        <f>Clean_Data[[#This Row],[Exports_TIV]] - Clean_Data[[#This Row],[Imports_TIV]]</f>
        <v>-8000000</v>
      </c>
      <c r="I2761" s="4">
        <f>Clean_Data[[#This Row],[Exports_TIV]] + Clean_Data[[#This Row],[Imports_TIV]]</f>
        <v>8000000</v>
      </c>
    </row>
    <row r="2762" spans="1:9">
      <c r="A2762" s="4" t="s">
        <v>357</v>
      </c>
      <c r="B2762" s="4" t="s">
        <v>358</v>
      </c>
      <c r="C2762" s="5">
        <v>2008</v>
      </c>
      <c r="D2762" s="4">
        <v>0</v>
      </c>
      <c r="E2762" s="4">
        <v>33000000</v>
      </c>
      <c r="F2762" s="4" t="str">
        <f>_xlfn.LET(_xlpm.r, _xlfn.XLOOKUP(Clean_Data[[#This Row],[Country_Code]], Metadata_Country!$A:$A, Metadata_Country!$B:$B, "Unknown"), IF(OR(_xlpm.r=0, _xlpm.r=""), "Regional Aggregate", _xlpm.r))</f>
        <v>Sub-Saharan Africa</v>
      </c>
      <c r="G2762" s="4" t="str">
        <f>_xlfn.LET(_xlpm.ig, _xlfn.XLOOKUP(Clean_Data[[#This Row],[Country_Code]], Metadata_Country!$A:$A, Metadata_Country!$C:$C, "Unknown"), IF(OR(_xlpm.ig=0, _xlpm.ig=""), "Regional Aggregate", _xlpm.ig))</f>
        <v>Lower middle income</v>
      </c>
      <c r="H2762" s="4">
        <f>Clean_Data[[#This Row],[Exports_TIV]] - Clean_Data[[#This Row],[Imports_TIV]]</f>
        <v>-33000000</v>
      </c>
      <c r="I2762" s="4">
        <f>Clean_Data[[#This Row],[Exports_TIV]] + Clean_Data[[#This Row],[Imports_TIV]]</f>
        <v>33000000</v>
      </c>
    </row>
    <row r="2763" spans="1:9">
      <c r="A2763" s="4" t="s">
        <v>349</v>
      </c>
      <c r="B2763" s="4" t="s">
        <v>350</v>
      </c>
      <c r="C2763" s="5">
        <v>2008</v>
      </c>
      <c r="D2763" s="4">
        <v>7341000000</v>
      </c>
      <c r="E2763" s="4">
        <v>1359000000</v>
      </c>
      <c r="F2763" s="4" t="str">
        <f>_xlfn.LET(_xlpm.r, _xlfn.XLOOKUP(Clean_Data[[#This Row],[Country_Code]], Metadata_Country!$A:$A, Metadata_Country!$B:$B, "Unknown"), IF(OR(_xlpm.r=0, _xlpm.r=""), "Regional Aggregate", _xlpm.r))</f>
        <v>Regional Aggregate</v>
      </c>
      <c r="G2763" s="4" t="str">
        <f>_xlfn.LET(_xlpm.ig, _xlfn.XLOOKUP(Clean_Data[[#This Row],[Country_Code]], Metadata_Country!$A:$A, Metadata_Country!$C:$C, "Unknown"), IF(OR(_xlpm.ig=0, _xlpm.ig=""), "Regional Aggregate", _xlpm.ig))</f>
        <v>Regional Aggregate</v>
      </c>
      <c r="H2763" s="4">
        <f>Clean_Data[[#This Row],[Exports_TIV]] - Clean_Data[[#This Row],[Imports_TIV]]</f>
        <v>5982000000</v>
      </c>
      <c r="I2763" s="4">
        <f>Clean_Data[[#This Row],[Exports_TIV]] + Clean_Data[[#This Row],[Imports_TIV]]</f>
        <v>8700000000</v>
      </c>
    </row>
    <row r="2764" spans="1:9">
      <c r="A2764" s="4" t="s">
        <v>363</v>
      </c>
      <c r="B2764" s="4" t="s">
        <v>364</v>
      </c>
      <c r="C2764" s="5">
        <v>2008</v>
      </c>
      <c r="D2764" s="4">
        <v>8000000</v>
      </c>
      <c r="E2764" s="4">
        <v>602000000</v>
      </c>
      <c r="F2764" s="4" t="str">
        <f>_xlfn.LET(_xlpm.r, _xlfn.XLOOKUP(Clean_Data[[#This Row],[Country_Code]], Metadata_Country!$A:$A, Metadata_Country!$B:$B, "Unknown"), IF(OR(_xlpm.r=0, _xlpm.r=""), "Regional Aggregate", _xlpm.r))</f>
        <v>Europe &amp; Central Asia</v>
      </c>
      <c r="G2764" s="4" t="str">
        <f>_xlfn.LET(_xlpm.ig, _xlfn.XLOOKUP(Clean_Data[[#This Row],[Country_Code]], Metadata_Country!$A:$A, Metadata_Country!$C:$C, "Unknown"), IF(OR(_xlpm.ig=0, _xlpm.ig=""), "Regional Aggregate", _xlpm.ig))</f>
        <v>High income</v>
      </c>
      <c r="H2764" s="4">
        <f>Clean_Data[[#This Row],[Exports_TIV]] - Clean_Data[[#This Row],[Imports_TIV]]</f>
        <v>-594000000</v>
      </c>
      <c r="I2764" s="4">
        <f>Clean_Data[[#This Row],[Exports_TIV]] + Clean_Data[[#This Row],[Imports_TIV]]</f>
        <v>610000000</v>
      </c>
    </row>
    <row r="2765" spans="1:9">
      <c r="A2765" s="4" t="s">
        <v>371</v>
      </c>
      <c r="B2765" s="4" t="s">
        <v>372</v>
      </c>
      <c r="C2765" s="5">
        <v>2008</v>
      </c>
      <c r="D2765" s="4">
        <v>16392000000</v>
      </c>
      <c r="E2765" s="4">
        <v>10522000000</v>
      </c>
      <c r="F2765" s="4" t="str">
        <f>_xlfn.LET(_xlpm.r, _xlfn.XLOOKUP(Clean_Data[[#This Row],[Country_Code]], Metadata_Country!$A:$A, Metadata_Country!$B:$B, "Unknown"), IF(OR(_xlpm.r=0, _xlpm.r=""), "Regional Aggregate", _xlpm.r))</f>
        <v>Regional Aggregate</v>
      </c>
      <c r="G2765" s="4" t="str">
        <f>_xlfn.LET(_xlpm.ig, _xlfn.XLOOKUP(Clean_Data[[#This Row],[Country_Code]], Metadata_Country!$A:$A, Metadata_Country!$C:$C, "Unknown"), IF(OR(_xlpm.ig=0, _xlpm.ig=""), "Regional Aggregate", _xlpm.ig))</f>
        <v>Regional Aggregate</v>
      </c>
      <c r="H2765" s="4">
        <f>Clean_Data[[#This Row],[Exports_TIV]] - Clean_Data[[#This Row],[Imports_TIV]]</f>
        <v>5870000000</v>
      </c>
      <c r="I2765" s="4">
        <f>Clean_Data[[#This Row],[Exports_TIV]] + Clean_Data[[#This Row],[Imports_TIV]]</f>
        <v>26914000000</v>
      </c>
    </row>
    <row r="2766" spans="1:9">
      <c r="A2766" s="4" t="s">
        <v>373</v>
      </c>
      <c r="B2766" s="4" t="s">
        <v>374</v>
      </c>
      <c r="C2766" s="5">
        <v>2008</v>
      </c>
      <c r="D2766" s="4">
        <v>0</v>
      </c>
      <c r="E2766" s="4">
        <v>72000000</v>
      </c>
      <c r="F2766" s="4" t="str">
        <f>_xlfn.LET(_xlpm.r, _xlfn.XLOOKUP(Clean_Data[[#This Row],[Country_Code]], Metadata_Country!$A:$A, Metadata_Country!$B:$B, "Unknown"), IF(OR(_xlpm.r=0, _xlpm.r=""), "Regional Aggregate", _xlpm.r))</f>
        <v>Middle East &amp; North Africa</v>
      </c>
      <c r="G2766" s="4" t="str">
        <f>_xlfn.LET(_xlpm.ig, _xlfn.XLOOKUP(Clean_Data[[#This Row],[Country_Code]], Metadata_Country!$A:$A, Metadata_Country!$C:$C, "Unknown"), IF(OR(_xlpm.ig=0, _xlpm.ig=""), "Regional Aggregate", _xlpm.ig))</f>
        <v>High income</v>
      </c>
      <c r="H2766" s="4">
        <f>Clean_Data[[#This Row],[Exports_TIV]] - Clean_Data[[#This Row],[Imports_TIV]]</f>
        <v>-72000000</v>
      </c>
      <c r="I2766" s="4">
        <f>Clean_Data[[#This Row],[Exports_TIV]] + Clean_Data[[#This Row],[Imports_TIV]]</f>
        <v>72000000</v>
      </c>
    </row>
    <row r="2767" spans="1:9">
      <c r="A2767" s="4" t="s">
        <v>377</v>
      </c>
      <c r="B2767" s="4" t="s">
        <v>378</v>
      </c>
      <c r="C2767" s="5">
        <v>2008</v>
      </c>
      <c r="D2767" s="4">
        <v>1000000</v>
      </c>
      <c r="E2767" s="4">
        <v>1072000000</v>
      </c>
      <c r="F2767" s="4" t="str">
        <f>_xlfn.LET(_xlpm.r, _xlfn.XLOOKUP(Clean_Data[[#This Row],[Country_Code]], Metadata_Country!$A:$A, Metadata_Country!$B:$B, "Unknown"), IF(OR(_xlpm.r=0, _xlpm.r=""), "Regional Aggregate", _xlpm.r))</f>
        <v>Middle East &amp; North Africa</v>
      </c>
      <c r="G2767" s="4" t="str">
        <f>_xlfn.LET(_xlpm.ig, _xlfn.XLOOKUP(Clean_Data[[#This Row],[Country_Code]], Metadata_Country!$A:$A, Metadata_Country!$C:$C, "Unknown"), IF(OR(_xlpm.ig=0, _xlpm.ig=""), "Regional Aggregate", _xlpm.ig))</f>
        <v>Lower middle income</v>
      </c>
      <c r="H2767" s="4">
        <f>Clean_Data[[#This Row],[Exports_TIV]] - Clean_Data[[#This Row],[Imports_TIV]]</f>
        <v>-1071000000</v>
      </c>
      <c r="I2767" s="4">
        <f>Clean_Data[[#This Row],[Exports_TIV]] + Clean_Data[[#This Row],[Imports_TIV]]</f>
        <v>1073000000</v>
      </c>
    </row>
    <row r="2768" spans="1:9">
      <c r="A2768" s="4" t="s">
        <v>383</v>
      </c>
      <c r="B2768" s="4" t="s">
        <v>384</v>
      </c>
      <c r="C2768" s="5">
        <v>2008</v>
      </c>
      <c r="D2768" s="4">
        <v>0</v>
      </c>
      <c r="E2768" s="4">
        <v>10000000</v>
      </c>
      <c r="F2768" s="4" t="str">
        <f>_xlfn.LET(_xlpm.r, _xlfn.XLOOKUP(Clean_Data[[#This Row],[Country_Code]], Metadata_Country!$A:$A, Metadata_Country!$B:$B, "Unknown"), IF(OR(_xlpm.r=0, _xlpm.r=""), "Regional Aggregate", _xlpm.r))</f>
        <v>East Asia &amp; Pacific</v>
      </c>
      <c r="G2768" s="4" t="str">
        <f>_xlfn.LET(_xlpm.ig, _xlfn.XLOOKUP(Clean_Data[[#This Row],[Country_Code]], Metadata_Country!$A:$A, Metadata_Country!$C:$C, "Unknown"), IF(OR(_xlpm.ig=0, _xlpm.ig=""), "Regional Aggregate", _xlpm.ig))</f>
        <v>Upper middle income</v>
      </c>
      <c r="H2768" s="4">
        <f>Clean_Data[[#This Row],[Exports_TIV]] - Clean_Data[[#This Row],[Imports_TIV]]</f>
        <v>-10000000</v>
      </c>
      <c r="I2768" s="4">
        <f>Clean_Data[[#This Row],[Exports_TIV]] + Clean_Data[[#This Row],[Imports_TIV]]</f>
        <v>10000000</v>
      </c>
    </row>
    <row r="2769" spans="1:9">
      <c r="A2769" s="4" t="s">
        <v>389</v>
      </c>
      <c r="B2769" s="4" t="s">
        <v>390</v>
      </c>
      <c r="C2769" s="5">
        <v>2008</v>
      </c>
      <c r="D2769" s="4">
        <v>73000000</v>
      </c>
      <c r="E2769" s="4">
        <v>633000000</v>
      </c>
      <c r="F2769" s="4" t="str">
        <f>_xlfn.LET(_xlpm.r, _xlfn.XLOOKUP(Clean_Data[[#This Row],[Country_Code]], Metadata_Country!$A:$A, Metadata_Country!$B:$B, "Unknown"), IF(OR(_xlpm.r=0, _xlpm.r=""), "Regional Aggregate", _xlpm.r))</f>
        <v>Europe &amp; Central Asia</v>
      </c>
      <c r="G2769" s="4" t="str">
        <f>_xlfn.LET(_xlpm.ig, _xlfn.XLOOKUP(Clean_Data[[#This Row],[Country_Code]], Metadata_Country!$A:$A, Metadata_Country!$C:$C, "Unknown"), IF(OR(_xlpm.ig=0, _xlpm.ig=""), "Regional Aggregate", _xlpm.ig))</f>
        <v>High income</v>
      </c>
      <c r="H2769" s="4">
        <f>Clean_Data[[#This Row],[Exports_TIV]] - Clean_Data[[#This Row],[Imports_TIV]]</f>
        <v>-560000000</v>
      </c>
      <c r="I2769" s="4">
        <f>Clean_Data[[#This Row],[Exports_TIV]] + Clean_Data[[#This Row],[Imports_TIV]]</f>
        <v>706000000</v>
      </c>
    </row>
    <row r="2770" spans="1:9">
      <c r="A2770" s="4" t="s">
        <v>397</v>
      </c>
      <c r="B2770" s="4" t="s">
        <v>398</v>
      </c>
      <c r="C2770" s="5">
        <v>2008</v>
      </c>
      <c r="D2770" s="4">
        <v>99000000</v>
      </c>
      <c r="E2770" s="4">
        <v>145000000</v>
      </c>
      <c r="F2770" s="4" t="str">
        <f>_xlfn.LET(_xlpm.r, _xlfn.XLOOKUP(Clean_Data[[#This Row],[Country_Code]], Metadata_Country!$A:$A, Metadata_Country!$B:$B, "Unknown"), IF(OR(_xlpm.r=0, _xlpm.r=""), "Regional Aggregate", _xlpm.r))</f>
        <v>Europe &amp; Central Asia</v>
      </c>
      <c r="G2770" s="4" t="str">
        <f>_xlfn.LET(_xlpm.ig, _xlfn.XLOOKUP(Clean_Data[[#This Row],[Country_Code]], Metadata_Country!$A:$A, Metadata_Country!$C:$C, "Unknown"), IF(OR(_xlpm.ig=0, _xlpm.ig=""), "Regional Aggregate", _xlpm.ig))</f>
        <v>High income</v>
      </c>
      <c r="H2770" s="4">
        <f>Clean_Data[[#This Row],[Exports_TIV]] - Clean_Data[[#This Row],[Imports_TIV]]</f>
        <v>-46000000</v>
      </c>
      <c r="I2770" s="4">
        <f>Clean_Data[[#This Row],[Exports_TIV]] + Clean_Data[[#This Row],[Imports_TIV]]</f>
        <v>244000000</v>
      </c>
    </row>
    <row r="2771" spans="1:9">
      <c r="A2771" s="4" t="s">
        <v>405</v>
      </c>
      <c r="B2771" s="4" t="s">
        <v>406</v>
      </c>
      <c r="C2771" s="5">
        <v>2008</v>
      </c>
      <c r="D2771" s="4">
        <v>16278000000</v>
      </c>
      <c r="E2771" s="4">
        <v>9282000000</v>
      </c>
      <c r="F2771" s="4" t="str">
        <f>_xlfn.LET(_xlpm.r, _xlfn.XLOOKUP(Clean_Data[[#This Row],[Country_Code]], Metadata_Country!$A:$A, Metadata_Country!$B:$B, "Unknown"), IF(OR(_xlpm.r=0, _xlpm.r=""), "Regional Aggregate", _xlpm.r))</f>
        <v>Regional Aggregate</v>
      </c>
      <c r="G2771" s="4" t="str">
        <f>_xlfn.LET(_xlpm.ig, _xlfn.XLOOKUP(Clean_Data[[#This Row],[Country_Code]], Metadata_Country!$A:$A, Metadata_Country!$C:$C, "Unknown"), IF(OR(_xlpm.ig=0, _xlpm.ig=""), "Regional Aggregate", _xlpm.ig))</f>
        <v>Regional Aggregate</v>
      </c>
      <c r="H2771" s="4">
        <f>Clean_Data[[#This Row],[Exports_TIV]] - Clean_Data[[#This Row],[Imports_TIV]]</f>
        <v>6996000000</v>
      </c>
      <c r="I2771" s="4">
        <f>Clean_Data[[#This Row],[Exports_TIV]] + Clean_Data[[#This Row],[Imports_TIV]]</f>
        <v>25560000000</v>
      </c>
    </row>
    <row r="2772" spans="1:9">
      <c r="A2772" s="4" t="s">
        <v>391</v>
      </c>
      <c r="B2772" s="4" t="s">
        <v>392</v>
      </c>
      <c r="C2772" s="5">
        <v>2008</v>
      </c>
      <c r="D2772" s="4">
        <v>0</v>
      </c>
      <c r="E2772" s="4">
        <v>927000000</v>
      </c>
      <c r="F2772" s="4" t="str">
        <f>_xlfn.LET(_xlpm.r, _xlfn.XLOOKUP(Clean_Data[[#This Row],[Country_Code]], Metadata_Country!$A:$A, Metadata_Country!$B:$B, "Unknown"), IF(OR(_xlpm.r=0, _xlpm.r=""), "Regional Aggregate", _xlpm.r))</f>
        <v>Regional Aggregate</v>
      </c>
      <c r="G2772" s="4" t="str">
        <f>_xlfn.LET(_xlpm.ig, _xlfn.XLOOKUP(Clean_Data[[#This Row],[Country_Code]], Metadata_Country!$A:$A, Metadata_Country!$C:$C, "Unknown"), IF(OR(_xlpm.ig=0, _xlpm.ig=""), "Regional Aggregate", _xlpm.ig))</f>
        <v>Regional Aggregate</v>
      </c>
      <c r="H2772" s="4">
        <f>Clean_Data[[#This Row],[Exports_TIV]] - Clean_Data[[#This Row],[Imports_TIV]]</f>
        <v>-927000000</v>
      </c>
      <c r="I2772" s="4">
        <f>Clean_Data[[#This Row],[Exports_TIV]] + Clean_Data[[#This Row],[Imports_TIV]]</f>
        <v>927000000</v>
      </c>
    </row>
    <row r="2773" spans="1:9">
      <c r="A2773" s="4" t="s">
        <v>411</v>
      </c>
      <c r="B2773" s="4" t="s">
        <v>412</v>
      </c>
      <c r="C2773" s="5">
        <v>2008</v>
      </c>
      <c r="D2773" s="4">
        <v>0</v>
      </c>
      <c r="E2773" s="4">
        <v>80000000</v>
      </c>
      <c r="F2773" s="4" t="str">
        <f>_xlfn.LET(_xlpm.r, _xlfn.XLOOKUP(Clean_Data[[#This Row],[Country_Code]], Metadata_Country!$A:$A, Metadata_Country!$B:$B, "Unknown"), IF(OR(_xlpm.r=0, _xlpm.r=""), "Regional Aggregate", _xlpm.r))</f>
        <v>Europe &amp; Central Asia</v>
      </c>
      <c r="G2773" s="4" t="str">
        <f>_xlfn.LET(_xlpm.ig, _xlfn.XLOOKUP(Clean_Data[[#This Row],[Country_Code]], Metadata_Country!$A:$A, Metadata_Country!$C:$C, "Unknown"), IF(OR(_xlpm.ig=0, _xlpm.ig=""), "Regional Aggregate", _xlpm.ig))</f>
        <v>High income</v>
      </c>
      <c r="H2773" s="4">
        <f>Clean_Data[[#This Row],[Exports_TIV]] - Clean_Data[[#This Row],[Imports_TIV]]</f>
        <v>-80000000</v>
      </c>
      <c r="I2773" s="4">
        <f>Clean_Data[[#This Row],[Exports_TIV]] + Clean_Data[[#This Row],[Imports_TIV]]</f>
        <v>80000000</v>
      </c>
    </row>
    <row r="2774" spans="1:9">
      <c r="A2774" s="4" t="s">
        <v>413</v>
      </c>
      <c r="B2774" s="4" t="s">
        <v>414</v>
      </c>
      <c r="C2774" s="5">
        <v>2008</v>
      </c>
      <c r="D2774" s="4">
        <v>5998000000</v>
      </c>
      <c r="E2774" s="4">
        <v>0</v>
      </c>
      <c r="F2774" s="4" t="str">
        <f>_xlfn.LET(_xlpm.r, _xlfn.XLOOKUP(Clean_Data[[#This Row],[Country_Code]], Metadata_Country!$A:$A, Metadata_Country!$B:$B, "Unknown"), IF(OR(_xlpm.r=0, _xlpm.r=""), "Regional Aggregate", _xlpm.r))</f>
        <v>Europe &amp; Central Asia</v>
      </c>
      <c r="G2774" s="4" t="str">
        <f>_xlfn.LET(_xlpm.ig, _xlfn.XLOOKUP(Clean_Data[[#This Row],[Country_Code]], Metadata_Country!$A:$A, Metadata_Country!$C:$C, "Unknown"), IF(OR(_xlpm.ig=0, _xlpm.ig=""), "Regional Aggregate", _xlpm.ig))</f>
        <v>High income</v>
      </c>
      <c r="H2774" s="4">
        <f>Clean_Data[[#This Row],[Exports_TIV]] - Clean_Data[[#This Row],[Imports_TIV]]</f>
        <v>5998000000</v>
      </c>
      <c r="I2774" s="4">
        <f>Clean_Data[[#This Row],[Exports_TIV]] + Clean_Data[[#This Row],[Imports_TIV]]</f>
        <v>5998000000</v>
      </c>
    </row>
    <row r="2775" spans="1:9">
      <c r="A2775" s="4" t="s">
        <v>415</v>
      </c>
      <c r="B2775" s="4" t="s">
        <v>416</v>
      </c>
      <c r="C2775" s="5">
        <v>2008</v>
      </c>
      <c r="D2775" s="4">
        <v>0</v>
      </c>
      <c r="E2775" s="4">
        <v>14000000</v>
      </c>
      <c r="F2775" s="4" t="str">
        <f>_xlfn.LET(_xlpm.r, _xlfn.XLOOKUP(Clean_Data[[#This Row],[Country_Code]], Metadata_Country!$A:$A, Metadata_Country!$B:$B, "Unknown"), IF(OR(_xlpm.r=0, _xlpm.r=""), "Regional Aggregate", _xlpm.r))</f>
        <v>Sub-Saharan Africa</v>
      </c>
      <c r="G2775" s="4" t="str">
        <f>_xlfn.LET(_xlpm.ig, _xlfn.XLOOKUP(Clean_Data[[#This Row],[Country_Code]], Metadata_Country!$A:$A, Metadata_Country!$C:$C, "Unknown"), IF(OR(_xlpm.ig=0, _xlpm.ig=""), "Regional Aggregate", _xlpm.ig))</f>
        <v>Low income</v>
      </c>
      <c r="H2775" s="4">
        <f>Clean_Data[[#This Row],[Exports_TIV]] - Clean_Data[[#This Row],[Imports_TIV]]</f>
        <v>-14000000</v>
      </c>
      <c r="I2775" s="4">
        <f>Clean_Data[[#This Row],[Exports_TIV]] + Clean_Data[[#This Row],[Imports_TIV]]</f>
        <v>14000000</v>
      </c>
    </row>
    <row r="2776" spans="1:9">
      <c r="A2776" s="4" t="s">
        <v>419</v>
      </c>
      <c r="B2776" s="4" t="s">
        <v>420</v>
      </c>
      <c r="C2776" s="5">
        <v>2008</v>
      </c>
      <c r="D2776" s="4">
        <v>0</v>
      </c>
      <c r="E2776" s="4">
        <v>389000000</v>
      </c>
      <c r="F2776" s="4" t="str">
        <f>_xlfn.LET(_xlpm.r, _xlfn.XLOOKUP(Clean_Data[[#This Row],[Country_Code]], Metadata_Country!$A:$A, Metadata_Country!$B:$B, "Unknown"), IF(OR(_xlpm.r=0, _xlpm.r=""), "Regional Aggregate", _xlpm.r))</f>
        <v>Middle East &amp; North Africa</v>
      </c>
      <c r="G2776" s="4" t="str">
        <f>_xlfn.LET(_xlpm.ig, _xlfn.XLOOKUP(Clean_Data[[#This Row],[Country_Code]], Metadata_Country!$A:$A, Metadata_Country!$C:$C, "Unknown"), IF(OR(_xlpm.ig=0, _xlpm.ig=""), "Regional Aggregate", _xlpm.ig))</f>
        <v>High income</v>
      </c>
      <c r="H2776" s="4">
        <f>Clean_Data[[#This Row],[Exports_TIV]] - Clean_Data[[#This Row],[Imports_TIV]]</f>
        <v>-389000000</v>
      </c>
      <c r="I2776" s="4">
        <f>Clean_Data[[#This Row],[Exports_TIV]] + Clean_Data[[#This Row],[Imports_TIV]]</f>
        <v>389000000</v>
      </c>
    </row>
    <row r="2777" spans="1:9">
      <c r="A2777" s="4" t="s">
        <v>423</v>
      </c>
      <c r="B2777" s="4" t="s">
        <v>424</v>
      </c>
      <c r="C2777" s="5">
        <v>2008</v>
      </c>
      <c r="D2777" s="4">
        <v>0</v>
      </c>
      <c r="E2777" s="4">
        <v>6000000</v>
      </c>
      <c r="F2777" s="4" t="str">
        <f>_xlfn.LET(_xlpm.r, _xlfn.XLOOKUP(Clean_Data[[#This Row],[Country_Code]], Metadata_Country!$A:$A, Metadata_Country!$B:$B, "Unknown"), IF(OR(_xlpm.r=0, _xlpm.r=""), "Regional Aggregate", _xlpm.r))</f>
        <v>Sub-Saharan Africa</v>
      </c>
      <c r="G2777" s="4" t="str">
        <f>_xlfn.LET(_xlpm.ig, _xlfn.XLOOKUP(Clean_Data[[#This Row],[Country_Code]], Metadata_Country!$A:$A, Metadata_Country!$C:$C, "Unknown"), IF(OR(_xlpm.ig=0, _xlpm.ig=""), "Regional Aggregate", _xlpm.ig))</f>
        <v>Lower middle income</v>
      </c>
      <c r="H2777" s="4">
        <f>Clean_Data[[#This Row],[Exports_TIV]] - Clean_Data[[#This Row],[Imports_TIV]]</f>
        <v>-6000000</v>
      </c>
      <c r="I2777" s="4">
        <f>Clean_Data[[#This Row],[Exports_TIV]] + Clean_Data[[#This Row],[Imports_TIV]]</f>
        <v>6000000</v>
      </c>
    </row>
    <row r="2778" spans="1:9">
      <c r="A2778" s="4" t="s">
        <v>437</v>
      </c>
      <c r="B2778" s="4" t="s">
        <v>438</v>
      </c>
      <c r="C2778" s="5">
        <v>2008</v>
      </c>
      <c r="D2778" s="4">
        <v>45000000</v>
      </c>
      <c r="E2778" s="4">
        <v>0</v>
      </c>
      <c r="F2778" s="4" t="str">
        <f>_xlfn.LET(_xlpm.r, _xlfn.XLOOKUP(Clean_Data[[#This Row],[Country_Code]], Metadata_Country!$A:$A, Metadata_Country!$B:$B, "Unknown"), IF(OR(_xlpm.r=0, _xlpm.r=""), "Regional Aggregate", _xlpm.r))</f>
        <v>Europe &amp; Central Asia</v>
      </c>
      <c r="G2778" s="4" t="str">
        <f>_xlfn.LET(_xlpm.ig, _xlfn.XLOOKUP(Clean_Data[[#This Row],[Country_Code]], Metadata_Country!$A:$A, Metadata_Country!$C:$C, "Unknown"), IF(OR(_xlpm.ig=0, _xlpm.ig=""), "Regional Aggregate", _xlpm.ig))</f>
        <v>Upper middle income</v>
      </c>
      <c r="H2778" s="4">
        <f>Clean_Data[[#This Row],[Exports_TIV]] - Clean_Data[[#This Row],[Imports_TIV]]</f>
        <v>45000000</v>
      </c>
      <c r="I2778" s="4">
        <f>Clean_Data[[#This Row],[Exports_TIV]] + Clean_Data[[#This Row],[Imports_TIV]]</f>
        <v>45000000</v>
      </c>
    </row>
    <row r="2779" spans="1:9">
      <c r="A2779" s="4" t="s">
        <v>425</v>
      </c>
      <c r="B2779" s="4" t="s">
        <v>426</v>
      </c>
      <c r="C2779" s="5">
        <v>2008</v>
      </c>
      <c r="D2779" s="4">
        <v>0</v>
      </c>
      <c r="E2779" s="4">
        <v>1106000000</v>
      </c>
      <c r="F2779" s="4" t="str">
        <f>_xlfn.LET(_xlpm.r, _xlfn.XLOOKUP(Clean_Data[[#This Row],[Country_Code]], Metadata_Country!$A:$A, Metadata_Country!$B:$B, "Unknown"), IF(OR(_xlpm.r=0, _xlpm.r=""), "Regional Aggregate", _xlpm.r))</f>
        <v>East Asia &amp; Pacific</v>
      </c>
      <c r="G2779" s="4" t="str">
        <f>_xlfn.LET(_xlpm.ig, _xlfn.XLOOKUP(Clean_Data[[#This Row],[Country_Code]], Metadata_Country!$A:$A, Metadata_Country!$C:$C, "Unknown"), IF(OR(_xlpm.ig=0, _xlpm.ig=""), "Regional Aggregate", _xlpm.ig))</f>
        <v>High income</v>
      </c>
      <c r="H2779" s="4">
        <f>Clean_Data[[#This Row],[Exports_TIV]] - Clean_Data[[#This Row],[Imports_TIV]]</f>
        <v>-1106000000</v>
      </c>
      <c r="I2779" s="4">
        <f>Clean_Data[[#This Row],[Exports_TIV]] + Clean_Data[[#This Row],[Imports_TIV]]</f>
        <v>1106000000</v>
      </c>
    </row>
    <row r="2780" spans="1:9">
      <c r="A2780" s="4" t="s">
        <v>451</v>
      </c>
      <c r="B2780" s="4" t="s">
        <v>452</v>
      </c>
      <c r="C2780" s="5">
        <v>2008</v>
      </c>
      <c r="D2780" s="4">
        <v>9000000</v>
      </c>
      <c r="E2780" s="4">
        <v>0</v>
      </c>
      <c r="F2780" s="4" t="str">
        <f>_xlfn.LET(_xlpm.r, _xlfn.XLOOKUP(Clean_Data[[#This Row],[Country_Code]], Metadata_Country!$A:$A, Metadata_Country!$B:$B, "Unknown"), IF(OR(_xlpm.r=0, _xlpm.r=""), "Regional Aggregate", _xlpm.r))</f>
        <v>Europe &amp; Central Asia</v>
      </c>
      <c r="G2780" s="4" t="str">
        <f>_xlfn.LET(_xlpm.ig, _xlfn.XLOOKUP(Clean_Data[[#This Row],[Country_Code]], Metadata_Country!$A:$A, Metadata_Country!$C:$C, "Unknown"), IF(OR(_xlpm.ig=0, _xlpm.ig=""), "Regional Aggregate", _xlpm.ig))</f>
        <v>High income</v>
      </c>
      <c r="H2780" s="4">
        <f>Clean_Data[[#This Row],[Exports_TIV]] - Clean_Data[[#This Row],[Imports_TIV]]</f>
        <v>9000000</v>
      </c>
      <c r="I2780" s="4">
        <f>Clean_Data[[#This Row],[Exports_TIV]] + Clean_Data[[#This Row],[Imports_TIV]]</f>
        <v>9000000</v>
      </c>
    </row>
    <row r="2781" spans="1:9">
      <c r="A2781" s="4" t="s">
        <v>535</v>
      </c>
      <c r="B2781" s="4" t="s">
        <v>536</v>
      </c>
      <c r="C2781" s="5">
        <v>2008</v>
      </c>
      <c r="D2781" s="4">
        <v>142000000</v>
      </c>
      <c r="E2781" s="4">
        <v>493000000</v>
      </c>
      <c r="F2781" s="4" t="str">
        <f>_xlfn.LET(_xlpm.r, _xlfn.XLOOKUP(Clean_Data[[#This Row],[Country_Code]], Metadata_Country!$A:$A, Metadata_Country!$B:$B, "Unknown"), IF(OR(_xlpm.r=0, _xlpm.r=""), "Regional Aggregate", _xlpm.r))</f>
        <v>Sub-Saharan Africa</v>
      </c>
      <c r="G2781" s="4" t="str">
        <f>_xlfn.LET(_xlpm.ig, _xlfn.XLOOKUP(Clean_Data[[#This Row],[Country_Code]], Metadata_Country!$A:$A, Metadata_Country!$C:$C, "Unknown"), IF(OR(_xlpm.ig=0, _xlpm.ig=""), "Regional Aggregate", _xlpm.ig))</f>
        <v>Upper middle income</v>
      </c>
      <c r="H2781" s="4">
        <f>Clean_Data[[#This Row],[Exports_TIV]] - Clean_Data[[#This Row],[Imports_TIV]]</f>
        <v>-351000000</v>
      </c>
      <c r="I2781" s="4">
        <f>Clean_Data[[#This Row],[Exports_TIV]] + Clean_Data[[#This Row],[Imports_TIV]]</f>
        <v>635000000</v>
      </c>
    </row>
    <row r="2782" spans="1:9">
      <c r="A2782" s="4" t="s">
        <v>417</v>
      </c>
      <c r="B2782" s="4" t="s">
        <v>418</v>
      </c>
      <c r="C2782" s="5">
        <v>2008</v>
      </c>
      <c r="D2782" s="4">
        <v>15000000</v>
      </c>
      <c r="E2782" s="4">
        <v>1735000000</v>
      </c>
      <c r="F2782" s="4" t="str">
        <f>_xlfn.LET(_xlpm.r, _xlfn.XLOOKUP(Clean_Data[[#This Row],[Country_Code]], Metadata_Country!$A:$A, Metadata_Country!$B:$B, "Unknown"), IF(OR(_xlpm.r=0, _xlpm.r=""), "Regional Aggregate", _xlpm.r))</f>
        <v>Regional Aggregate</v>
      </c>
      <c r="G2782" s="4" t="str">
        <f>_xlfn.LET(_xlpm.ig, _xlfn.XLOOKUP(Clean_Data[[#This Row],[Country_Code]], Metadata_Country!$A:$A, Metadata_Country!$C:$C, "Unknown"), IF(OR(_xlpm.ig=0, _xlpm.ig=""), "Regional Aggregate", _xlpm.ig))</f>
        <v>Regional Aggregate</v>
      </c>
      <c r="H2782" s="4">
        <f>Clean_Data[[#This Row],[Exports_TIV]] - Clean_Data[[#This Row],[Imports_TIV]]</f>
        <v>-1720000000</v>
      </c>
      <c r="I2782" s="4">
        <f>Clean_Data[[#This Row],[Exports_TIV]] + Clean_Data[[#This Row],[Imports_TIV]]</f>
        <v>1750000000</v>
      </c>
    </row>
    <row r="2783" spans="1:9">
      <c r="A2783" s="4" t="s">
        <v>489</v>
      </c>
      <c r="B2783" s="4" t="s">
        <v>490</v>
      </c>
      <c r="C2783" s="5">
        <v>2008</v>
      </c>
      <c r="D2783" s="4">
        <v>15000000</v>
      </c>
      <c r="E2783" s="4">
        <v>1735000000</v>
      </c>
      <c r="F2783" s="4" t="str">
        <f>_xlfn.LET(_xlpm.r, _xlfn.XLOOKUP(Clean_Data[[#This Row],[Country_Code]], Metadata_Country!$A:$A, Metadata_Country!$B:$B, "Unknown"), IF(OR(_xlpm.r=0, _xlpm.r=""), "Regional Aggregate", _xlpm.r))</f>
        <v>Regional Aggregate</v>
      </c>
      <c r="G2783" s="4" t="str">
        <f>_xlfn.LET(_xlpm.ig, _xlfn.XLOOKUP(Clean_Data[[#This Row],[Country_Code]], Metadata_Country!$A:$A, Metadata_Country!$C:$C, "Unknown"), IF(OR(_xlpm.ig=0, _xlpm.ig=""), "Regional Aggregate", _xlpm.ig))</f>
        <v>Regional Aggregate</v>
      </c>
      <c r="H2783" s="4">
        <f>Clean_Data[[#This Row],[Exports_TIV]] - Clean_Data[[#This Row],[Imports_TIV]]</f>
        <v>-1720000000</v>
      </c>
      <c r="I2783" s="4">
        <f>Clean_Data[[#This Row],[Exports_TIV]] + Clean_Data[[#This Row],[Imports_TIV]]</f>
        <v>1750000000</v>
      </c>
    </row>
    <row r="2784" spans="1:9">
      <c r="A2784" s="4" t="s">
        <v>441</v>
      </c>
      <c r="B2784" s="4" t="s">
        <v>442</v>
      </c>
      <c r="C2784" s="5">
        <v>2008</v>
      </c>
      <c r="D2784" s="4">
        <v>0</v>
      </c>
      <c r="E2784" s="4">
        <v>44000000</v>
      </c>
      <c r="F2784" s="4" t="str">
        <f>_xlfn.LET(_xlpm.r, _xlfn.XLOOKUP(Clean_Data[[#This Row],[Country_Code]], Metadata_Country!$A:$A, Metadata_Country!$B:$B, "Unknown"), IF(OR(_xlpm.r=0, _xlpm.r=""), "Regional Aggregate", _xlpm.r))</f>
        <v>Sub-Saharan Africa</v>
      </c>
      <c r="G2784" s="4" t="str">
        <f>_xlfn.LET(_xlpm.ig, _xlfn.XLOOKUP(Clean_Data[[#This Row],[Country_Code]], Metadata_Country!$A:$A, Metadata_Country!$C:$C, "Unknown"), IF(OR(_xlpm.ig=0, _xlpm.ig=""), "Regional Aggregate", _xlpm.ig))</f>
        <v>Low income</v>
      </c>
      <c r="H2784" s="4">
        <f>Clean_Data[[#This Row],[Exports_TIV]] - Clean_Data[[#This Row],[Imports_TIV]]</f>
        <v>-44000000</v>
      </c>
      <c r="I2784" s="4">
        <f>Clean_Data[[#This Row],[Exports_TIV]] + Clean_Data[[#This Row],[Imports_TIV]]</f>
        <v>44000000</v>
      </c>
    </row>
    <row r="2785" spans="1:9">
      <c r="A2785" s="4" t="s">
        <v>149</v>
      </c>
      <c r="B2785" s="4" t="s">
        <v>150</v>
      </c>
      <c r="C2785" s="5">
        <v>2008</v>
      </c>
      <c r="D2785" s="4">
        <v>626000000</v>
      </c>
      <c r="E2785" s="4">
        <v>347000000</v>
      </c>
      <c r="F2785" s="4" t="str">
        <f>_xlfn.LET(_xlpm.r, _xlfn.XLOOKUP(Clean_Data[[#This Row],[Country_Code]], Metadata_Country!$A:$A, Metadata_Country!$B:$B, "Unknown"), IF(OR(_xlpm.r=0, _xlpm.r=""), "Regional Aggregate", _xlpm.r))</f>
        <v>Europe &amp; Central Asia</v>
      </c>
      <c r="G2785" s="4" t="str">
        <f>_xlfn.LET(_xlpm.ig, _xlfn.XLOOKUP(Clean_Data[[#This Row],[Country_Code]], Metadata_Country!$A:$A, Metadata_Country!$C:$C, "Unknown"), IF(OR(_xlpm.ig=0, _xlpm.ig=""), "Regional Aggregate", _xlpm.ig))</f>
        <v>High income</v>
      </c>
      <c r="H2785" s="4">
        <f>Clean_Data[[#This Row],[Exports_TIV]] - Clean_Data[[#This Row],[Imports_TIV]]</f>
        <v>279000000</v>
      </c>
      <c r="I2785" s="4">
        <f>Clean_Data[[#This Row],[Exports_TIV]] + Clean_Data[[#This Row],[Imports_TIV]]</f>
        <v>973000000</v>
      </c>
    </row>
    <row r="2786" spans="1:9">
      <c r="A2786" s="4" t="s">
        <v>285</v>
      </c>
      <c r="B2786" s="4" t="s">
        <v>286</v>
      </c>
      <c r="C2786" s="5">
        <v>2008</v>
      </c>
      <c r="D2786" s="4">
        <v>0</v>
      </c>
      <c r="E2786" s="4">
        <v>79000000</v>
      </c>
      <c r="F2786" s="4" t="str">
        <f>_xlfn.LET(_xlpm.r, _xlfn.XLOOKUP(Clean_Data[[#This Row],[Country_Code]], Metadata_Country!$A:$A, Metadata_Country!$B:$B, "Unknown"), IF(OR(_xlpm.r=0, _xlpm.r=""), "Regional Aggregate", _xlpm.r))</f>
        <v>South Asia</v>
      </c>
      <c r="G2786" s="4" t="str">
        <f>_xlfn.LET(_xlpm.ig, _xlfn.XLOOKUP(Clean_Data[[#This Row],[Country_Code]], Metadata_Country!$A:$A, Metadata_Country!$C:$C, "Unknown"), IF(OR(_xlpm.ig=0, _xlpm.ig=""), "Regional Aggregate", _xlpm.ig))</f>
        <v>Upper middle income</v>
      </c>
      <c r="H2786" s="4">
        <f>Clean_Data[[#This Row],[Exports_TIV]] - Clean_Data[[#This Row],[Imports_TIV]]</f>
        <v>-79000000</v>
      </c>
      <c r="I2786" s="4">
        <f>Clean_Data[[#This Row],[Exports_TIV]] + Clean_Data[[#This Row],[Imports_TIV]]</f>
        <v>79000000</v>
      </c>
    </row>
    <row r="2787" spans="1:9">
      <c r="A2787" s="4" t="s">
        <v>443</v>
      </c>
      <c r="B2787" s="4" t="s">
        <v>444</v>
      </c>
      <c r="C2787" s="5">
        <v>2008</v>
      </c>
      <c r="D2787" s="4">
        <v>0</v>
      </c>
      <c r="E2787" s="4">
        <v>932000000</v>
      </c>
      <c r="F2787" s="4" t="str">
        <f>_xlfn.LET(_xlpm.r, _xlfn.XLOOKUP(Clean_Data[[#This Row],[Country_Code]], Metadata_Country!$A:$A, Metadata_Country!$B:$B, "Unknown"), IF(OR(_xlpm.r=0, _xlpm.r=""), "Regional Aggregate", _xlpm.r))</f>
        <v>Regional Aggregate</v>
      </c>
      <c r="G2787" s="4" t="str">
        <f>_xlfn.LET(_xlpm.ig, _xlfn.XLOOKUP(Clean_Data[[#This Row],[Country_Code]], Metadata_Country!$A:$A, Metadata_Country!$C:$C, "Unknown"), IF(OR(_xlpm.ig=0, _xlpm.ig=""), "Regional Aggregate", _xlpm.ig))</f>
        <v>Regional Aggregate</v>
      </c>
      <c r="H2787" s="4">
        <f>Clean_Data[[#This Row],[Exports_TIV]] - Clean_Data[[#This Row],[Imports_TIV]]</f>
        <v>-932000000</v>
      </c>
      <c r="I2787" s="4">
        <f>Clean_Data[[#This Row],[Exports_TIV]] + Clean_Data[[#This Row],[Imports_TIV]]</f>
        <v>932000000</v>
      </c>
    </row>
    <row r="2788" spans="1:9">
      <c r="A2788" s="4" t="s">
        <v>439</v>
      </c>
      <c r="B2788" s="4" t="s">
        <v>440</v>
      </c>
      <c r="C2788" s="5">
        <v>2008</v>
      </c>
      <c r="D2788" s="4">
        <v>0</v>
      </c>
      <c r="E2788" s="4">
        <v>932000000</v>
      </c>
      <c r="F2788" s="4" t="str">
        <f>_xlfn.LET(_xlpm.r, _xlfn.XLOOKUP(Clean_Data[[#This Row],[Country_Code]], Metadata_Country!$A:$A, Metadata_Country!$B:$B, "Unknown"), IF(OR(_xlpm.r=0, _xlpm.r=""), "Regional Aggregate", _xlpm.r))</f>
        <v>Regional Aggregate</v>
      </c>
      <c r="G2788" s="4" t="str">
        <f>_xlfn.LET(_xlpm.ig, _xlfn.XLOOKUP(Clean_Data[[#This Row],[Country_Code]], Metadata_Country!$A:$A, Metadata_Country!$C:$C, "Unknown"), IF(OR(_xlpm.ig=0, _xlpm.ig=""), "Regional Aggregate", _xlpm.ig))</f>
        <v>Regional Aggregate</v>
      </c>
      <c r="H2788" s="4">
        <f>Clean_Data[[#This Row],[Exports_TIV]] - Clean_Data[[#This Row],[Imports_TIV]]</f>
        <v>-932000000</v>
      </c>
      <c r="I2788" s="4">
        <f>Clean_Data[[#This Row],[Exports_TIV]] + Clean_Data[[#This Row],[Imports_TIV]]</f>
        <v>932000000</v>
      </c>
    </row>
    <row r="2789" spans="1:9">
      <c r="A2789" s="4" t="s">
        <v>491</v>
      </c>
      <c r="B2789" s="4" t="s">
        <v>492</v>
      </c>
      <c r="C2789" s="5">
        <v>2008</v>
      </c>
      <c r="D2789" s="4">
        <v>0</v>
      </c>
      <c r="E2789" s="4">
        <v>932000000</v>
      </c>
      <c r="F2789" s="4" t="str">
        <f>_xlfn.LET(_xlpm.r, _xlfn.XLOOKUP(Clean_Data[[#This Row],[Country_Code]], Metadata_Country!$A:$A, Metadata_Country!$B:$B, "Unknown"), IF(OR(_xlpm.r=0, _xlpm.r=""), "Regional Aggregate", _xlpm.r))</f>
        <v>Regional Aggregate</v>
      </c>
      <c r="G2789" s="4" t="str">
        <f>_xlfn.LET(_xlpm.ig, _xlfn.XLOOKUP(Clean_Data[[#This Row],[Country_Code]], Metadata_Country!$A:$A, Metadata_Country!$C:$C, "Unknown"), IF(OR(_xlpm.ig=0, _xlpm.ig=""), "Regional Aggregate", _xlpm.ig))</f>
        <v>Regional Aggregate</v>
      </c>
      <c r="H2789" s="4">
        <f>Clean_Data[[#This Row],[Exports_TIV]] - Clean_Data[[#This Row],[Imports_TIV]]</f>
        <v>-932000000</v>
      </c>
      <c r="I2789" s="4">
        <f>Clean_Data[[#This Row],[Exports_TIV]] + Clean_Data[[#This Row],[Imports_TIV]]</f>
        <v>932000000</v>
      </c>
    </row>
    <row r="2790" spans="1:9">
      <c r="A2790" s="4" t="s">
        <v>421</v>
      </c>
      <c r="B2790" s="4" t="s">
        <v>422</v>
      </c>
      <c r="C2790" s="5">
        <v>2008</v>
      </c>
      <c r="D2790" s="4">
        <v>0</v>
      </c>
      <c r="E2790" s="4">
        <v>120000000</v>
      </c>
      <c r="F2790" s="4" t="str">
        <f>_xlfn.LET(_xlpm.r, _xlfn.XLOOKUP(Clean_Data[[#This Row],[Country_Code]], Metadata_Country!$A:$A, Metadata_Country!$B:$B, "Unknown"), IF(OR(_xlpm.r=0, _xlpm.r=""), "Regional Aggregate", _xlpm.r))</f>
        <v>Sub-Saharan Africa</v>
      </c>
      <c r="G2790" s="4" t="str">
        <f>_xlfn.LET(_xlpm.ig, _xlfn.XLOOKUP(Clean_Data[[#This Row],[Country_Code]], Metadata_Country!$A:$A, Metadata_Country!$C:$C, "Unknown"), IF(OR(_xlpm.ig=0, _xlpm.ig=""), "Regional Aggregate", _xlpm.ig))</f>
        <v>Low income</v>
      </c>
      <c r="H2790" s="4">
        <f>Clean_Data[[#This Row],[Exports_TIV]] - Clean_Data[[#This Row],[Imports_TIV]]</f>
        <v>-120000000</v>
      </c>
      <c r="I2790" s="4">
        <f>Clean_Data[[#This Row],[Exports_TIV]] + Clean_Data[[#This Row],[Imports_TIV]]</f>
        <v>120000000</v>
      </c>
    </row>
    <row r="2791" spans="1:9">
      <c r="A2791" s="4" t="s">
        <v>455</v>
      </c>
      <c r="B2791" s="4" t="s">
        <v>456</v>
      </c>
      <c r="C2791" s="5">
        <v>2008</v>
      </c>
      <c r="D2791" s="4">
        <v>461000000</v>
      </c>
      <c r="E2791" s="4">
        <v>52000000</v>
      </c>
      <c r="F2791" s="4" t="str">
        <f>_xlfn.LET(_xlpm.r, _xlfn.XLOOKUP(Clean_Data[[#This Row],[Country_Code]], Metadata_Country!$A:$A, Metadata_Country!$B:$B, "Unknown"), IF(OR(_xlpm.r=0, _xlpm.r=""), "Regional Aggregate", _xlpm.r))</f>
        <v>Europe &amp; Central Asia</v>
      </c>
      <c r="G2791" s="4" t="str">
        <f>_xlfn.LET(_xlpm.ig, _xlfn.XLOOKUP(Clean_Data[[#This Row],[Country_Code]], Metadata_Country!$A:$A, Metadata_Country!$C:$C, "Unknown"), IF(OR(_xlpm.ig=0, _xlpm.ig=""), "Regional Aggregate", _xlpm.ig))</f>
        <v>High income</v>
      </c>
      <c r="H2791" s="4">
        <f>Clean_Data[[#This Row],[Exports_TIV]] - Clean_Data[[#This Row],[Imports_TIV]]</f>
        <v>409000000</v>
      </c>
      <c r="I2791" s="4">
        <f>Clean_Data[[#This Row],[Exports_TIV]] + Clean_Data[[#This Row],[Imports_TIV]]</f>
        <v>513000000</v>
      </c>
    </row>
    <row r="2792" spans="1:9">
      <c r="A2792" s="4" t="s">
        <v>83</v>
      </c>
      <c r="B2792" s="4" t="s">
        <v>84</v>
      </c>
      <c r="C2792" s="5">
        <v>2008</v>
      </c>
      <c r="D2792" s="4">
        <v>506000000</v>
      </c>
      <c r="E2792" s="4">
        <v>15000000</v>
      </c>
      <c r="F2792" s="4" t="str">
        <f>_xlfn.LET(_xlpm.r, _xlfn.XLOOKUP(Clean_Data[[#This Row],[Country_Code]], Metadata_Country!$A:$A, Metadata_Country!$B:$B, "Unknown"), IF(OR(_xlpm.r=0, _xlpm.r=""), "Regional Aggregate", _xlpm.r))</f>
        <v>Europe &amp; Central Asia</v>
      </c>
      <c r="G2792" s="4" t="str">
        <f>_xlfn.LET(_xlpm.ig, _xlfn.XLOOKUP(Clean_Data[[#This Row],[Country_Code]], Metadata_Country!$A:$A, Metadata_Country!$C:$C, "Unknown"), IF(OR(_xlpm.ig=0, _xlpm.ig=""), "Regional Aggregate", _xlpm.ig))</f>
        <v>High income</v>
      </c>
      <c r="H2792" s="4">
        <f>Clean_Data[[#This Row],[Exports_TIV]] - Clean_Data[[#This Row],[Imports_TIV]]</f>
        <v>491000000</v>
      </c>
      <c r="I2792" s="4">
        <f>Clean_Data[[#This Row],[Exports_TIV]] + Clean_Data[[#This Row],[Imports_TIV]]</f>
        <v>521000000</v>
      </c>
    </row>
    <row r="2793" spans="1:9">
      <c r="A2793" s="4" t="s">
        <v>463</v>
      </c>
      <c r="B2793" s="4" t="s">
        <v>464</v>
      </c>
      <c r="C2793" s="5">
        <v>2008</v>
      </c>
      <c r="D2793" s="4">
        <v>0</v>
      </c>
      <c r="E2793" s="4">
        <v>326000000</v>
      </c>
      <c r="F2793" s="4" t="str">
        <f>_xlfn.LET(_xlpm.r, _xlfn.XLOOKUP(Clean_Data[[#This Row],[Country_Code]], Metadata_Country!$A:$A, Metadata_Country!$B:$B, "Unknown"), IF(OR(_xlpm.r=0, _xlpm.r=""), "Regional Aggregate", _xlpm.r))</f>
        <v>Middle East &amp; North Africa</v>
      </c>
      <c r="G2793" s="4" t="str">
        <f>_xlfn.LET(_xlpm.ig, _xlfn.XLOOKUP(Clean_Data[[#This Row],[Country_Code]], Metadata_Country!$A:$A, Metadata_Country!$C:$C, "Unknown"), IF(OR(_xlpm.ig=0, _xlpm.ig=""), "Regional Aggregate", _xlpm.ig))</f>
        <v>Low income</v>
      </c>
      <c r="H2793" s="4">
        <f>Clean_Data[[#This Row],[Exports_TIV]] - Clean_Data[[#This Row],[Imports_TIV]]</f>
        <v>-326000000</v>
      </c>
      <c r="I2793" s="4">
        <f>Clean_Data[[#This Row],[Exports_TIV]] + Clean_Data[[#This Row],[Imports_TIV]]</f>
        <v>326000000</v>
      </c>
    </row>
    <row r="2794" spans="1:9">
      <c r="A2794" s="4" t="s">
        <v>475</v>
      </c>
      <c r="B2794" s="4" t="s">
        <v>476</v>
      </c>
      <c r="C2794" s="5">
        <v>2008</v>
      </c>
      <c r="D2794" s="4">
        <v>0</v>
      </c>
      <c r="E2794" s="4">
        <v>16000000</v>
      </c>
      <c r="F2794" s="4" t="str">
        <f>_xlfn.LET(_xlpm.r, _xlfn.XLOOKUP(Clean_Data[[#This Row],[Country_Code]], Metadata_Country!$A:$A, Metadata_Country!$B:$B, "Unknown"), IF(OR(_xlpm.r=0, _xlpm.r=""), "Regional Aggregate", _xlpm.r))</f>
        <v>East Asia &amp; Pacific</v>
      </c>
      <c r="G2794" s="4" t="str">
        <f>_xlfn.LET(_xlpm.ig, _xlfn.XLOOKUP(Clean_Data[[#This Row],[Country_Code]], Metadata_Country!$A:$A, Metadata_Country!$C:$C, "Unknown"), IF(OR(_xlpm.ig=0, _xlpm.ig=""), "Regional Aggregate", _xlpm.ig))</f>
        <v>Upper middle income</v>
      </c>
      <c r="H2794" s="4">
        <f>Clean_Data[[#This Row],[Exports_TIV]] - Clean_Data[[#This Row],[Imports_TIV]]</f>
        <v>-16000000</v>
      </c>
      <c r="I2794" s="4">
        <f>Clean_Data[[#This Row],[Exports_TIV]] + Clean_Data[[#This Row],[Imports_TIV]]</f>
        <v>16000000</v>
      </c>
    </row>
    <row r="2795" spans="1:9">
      <c r="A2795" s="4" t="s">
        <v>495</v>
      </c>
      <c r="B2795" s="4" t="s">
        <v>496</v>
      </c>
      <c r="C2795" s="5">
        <v>2008</v>
      </c>
      <c r="D2795" s="4">
        <v>0</v>
      </c>
      <c r="E2795" s="4">
        <v>3000000</v>
      </c>
      <c r="F2795" s="4" t="str">
        <f>_xlfn.LET(_xlpm.r, _xlfn.XLOOKUP(Clean_Data[[#This Row],[Country_Code]], Metadata_Country!$A:$A, Metadata_Country!$B:$B, "Unknown"), IF(OR(_xlpm.r=0, _xlpm.r=""), "Regional Aggregate", _xlpm.r))</f>
        <v>Middle East &amp; North Africa</v>
      </c>
      <c r="G2795" s="4" t="str">
        <f>_xlfn.LET(_xlpm.ig, _xlfn.XLOOKUP(Clean_Data[[#This Row],[Country_Code]], Metadata_Country!$A:$A, Metadata_Country!$C:$C, "Unknown"), IF(OR(_xlpm.ig=0, _xlpm.ig=""), "Regional Aggregate", _xlpm.ig))</f>
        <v>Lower middle income</v>
      </c>
      <c r="H2795" s="4">
        <f>Clean_Data[[#This Row],[Exports_TIV]] - Clean_Data[[#This Row],[Imports_TIV]]</f>
        <v>-3000000</v>
      </c>
      <c r="I2795" s="4">
        <f>Clean_Data[[#This Row],[Exports_TIV]] + Clean_Data[[#This Row],[Imports_TIV]]</f>
        <v>3000000</v>
      </c>
    </row>
    <row r="2796" spans="1:9">
      <c r="A2796" s="4" t="s">
        <v>497</v>
      </c>
      <c r="B2796" s="4" t="s">
        <v>498</v>
      </c>
      <c r="C2796" s="5">
        <v>2008</v>
      </c>
      <c r="D2796" s="4">
        <v>123000000</v>
      </c>
      <c r="E2796" s="4">
        <v>623000000</v>
      </c>
      <c r="F2796" s="4" t="str">
        <f>_xlfn.LET(_xlpm.r, _xlfn.XLOOKUP(Clean_Data[[#This Row],[Country_Code]], Metadata_Country!$A:$A, Metadata_Country!$B:$B, "Unknown"), IF(OR(_xlpm.r=0, _xlpm.r=""), "Regional Aggregate", _xlpm.r))</f>
        <v>Europe &amp; Central Asia</v>
      </c>
      <c r="G2796" s="4" t="str">
        <f>_xlfn.LET(_xlpm.ig, _xlfn.XLOOKUP(Clean_Data[[#This Row],[Country_Code]], Metadata_Country!$A:$A, Metadata_Country!$C:$C, "Unknown"), IF(OR(_xlpm.ig=0, _xlpm.ig=""), "Regional Aggregate", _xlpm.ig))</f>
        <v>Upper middle income</v>
      </c>
      <c r="H2796" s="4">
        <f>Clean_Data[[#This Row],[Exports_TIV]] - Clean_Data[[#This Row],[Imports_TIV]]</f>
        <v>-500000000</v>
      </c>
      <c r="I2796" s="4">
        <f>Clean_Data[[#This Row],[Exports_TIV]] + Clean_Data[[#This Row],[Imports_TIV]]</f>
        <v>746000000</v>
      </c>
    </row>
    <row r="2797" spans="1:9">
      <c r="A2797" s="4" t="s">
        <v>479</v>
      </c>
      <c r="B2797" s="4" t="s">
        <v>480</v>
      </c>
      <c r="C2797" s="5">
        <v>2008</v>
      </c>
      <c r="D2797" s="4">
        <v>0</v>
      </c>
      <c r="E2797" s="4">
        <v>7000000</v>
      </c>
      <c r="F2797" s="4" t="str">
        <f>_xlfn.LET(_xlpm.r, _xlfn.XLOOKUP(Clean_Data[[#This Row],[Country_Code]], Metadata_Country!$A:$A, Metadata_Country!$B:$B, "Unknown"), IF(OR(_xlpm.r=0, _xlpm.r=""), "Regional Aggregate", _xlpm.r))</f>
        <v>Europe &amp; Central Asia</v>
      </c>
      <c r="G2797" s="4" t="str">
        <f>_xlfn.LET(_xlpm.ig, _xlfn.XLOOKUP(Clean_Data[[#This Row],[Country_Code]], Metadata_Country!$A:$A, Metadata_Country!$C:$C, "Unknown"), IF(OR(_xlpm.ig=0, _xlpm.ig=""), "Regional Aggregate", _xlpm.ig))</f>
        <v>Upper middle income</v>
      </c>
      <c r="H2797" s="4">
        <f>Clean_Data[[#This Row],[Exports_TIV]] - Clean_Data[[#This Row],[Imports_TIV]]</f>
        <v>-7000000</v>
      </c>
      <c r="I2797" s="4">
        <f>Clean_Data[[#This Row],[Exports_TIV]] + Clean_Data[[#This Row],[Imports_TIV]]</f>
        <v>7000000</v>
      </c>
    </row>
    <row r="2798" spans="1:9">
      <c r="A2798" s="4" t="s">
        <v>503</v>
      </c>
      <c r="B2798" s="4" t="s">
        <v>504</v>
      </c>
      <c r="C2798" s="5">
        <v>2008</v>
      </c>
      <c r="D2798" s="4">
        <v>0</v>
      </c>
      <c r="E2798" s="4">
        <v>14000000</v>
      </c>
      <c r="F2798" s="4" t="str">
        <f>_xlfn.LET(_xlpm.r, _xlfn.XLOOKUP(Clean_Data[[#This Row],[Country_Code]], Metadata_Country!$A:$A, Metadata_Country!$B:$B, "Unknown"), IF(OR(_xlpm.r=0, _xlpm.r=""), "Regional Aggregate", _xlpm.r))</f>
        <v>Sub-Saharan Africa</v>
      </c>
      <c r="G2798" s="4" t="str">
        <f>_xlfn.LET(_xlpm.ig, _xlfn.XLOOKUP(Clean_Data[[#This Row],[Country_Code]], Metadata_Country!$A:$A, Metadata_Country!$C:$C, "Unknown"), IF(OR(_xlpm.ig=0, _xlpm.ig=""), "Regional Aggregate", _xlpm.ig))</f>
        <v>Low income</v>
      </c>
      <c r="H2798" s="4">
        <f>Clean_Data[[#This Row],[Exports_TIV]] - Clean_Data[[#This Row],[Imports_TIV]]</f>
        <v>-14000000</v>
      </c>
      <c r="I2798" s="4">
        <f>Clean_Data[[#This Row],[Exports_TIV]] + Clean_Data[[#This Row],[Imports_TIV]]</f>
        <v>14000000</v>
      </c>
    </row>
    <row r="2799" spans="1:9">
      <c r="A2799" s="4" t="s">
        <v>505</v>
      </c>
      <c r="B2799" s="4" t="s">
        <v>506</v>
      </c>
      <c r="C2799" s="5">
        <v>2008</v>
      </c>
      <c r="D2799" s="4">
        <v>397000000</v>
      </c>
      <c r="E2799" s="4">
        <v>0</v>
      </c>
      <c r="F2799" s="4" t="str">
        <f>_xlfn.LET(_xlpm.r, _xlfn.XLOOKUP(Clean_Data[[#This Row],[Country_Code]], Metadata_Country!$A:$A, Metadata_Country!$B:$B, "Unknown"), IF(OR(_xlpm.r=0, _xlpm.r=""), "Regional Aggregate", _xlpm.r))</f>
        <v>Europe &amp; Central Asia</v>
      </c>
      <c r="G2799" s="4" t="str">
        <f>_xlfn.LET(_xlpm.ig, _xlfn.XLOOKUP(Clean_Data[[#This Row],[Country_Code]], Metadata_Country!$A:$A, Metadata_Country!$C:$C, "Unknown"), IF(OR(_xlpm.ig=0, _xlpm.ig=""), "Regional Aggregate", _xlpm.ig))</f>
        <v>Upper middle income</v>
      </c>
      <c r="H2799" s="4">
        <f>Clean_Data[[#This Row],[Exports_TIV]] - Clean_Data[[#This Row],[Imports_TIV]]</f>
        <v>397000000</v>
      </c>
      <c r="I2799" s="4">
        <f>Clean_Data[[#This Row],[Exports_TIV]] + Clean_Data[[#This Row],[Imports_TIV]]</f>
        <v>397000000</v>
      </c>
    </row>
    <row r="2800" spans="1:9">
      <c r="A2800" s="4" t="s">
        <v>25</v>
      </c>
      <c r="B2800" s="4" t="s">
        <v>26</v>
      </c>
      <c r="C2800" s="5">
        <v>2008</v>
      </c>
      <c r="D2800" s="4">
        <v>0</v>
      </c>
      <c r="E2800" s="4">
        <v>730000000</v>
      </c>
      <c r="F2800" s="4" t="str">
        <f>_xlfn.LET(_xlpm.r, _xlfn.XLOOKUP(Clean_Data[[#This Row],[Country_Code]], Metadata_Country!$A:$A, Metadata_Country!$B:$B, "Unknown"), IF(OR(_xlpm.r=0, _xlpm.r=""), "Regional Aggregate", _xlpm.r))</f>
        <v>Middle East &amp; North Africa</v>
      </c>
      <c r="G2800" s="4" t="str">
        <f>_xlfn.LET(_xlpm.ig, _xlfn.XLOOKUP(Clean_Data[[#This Row],[Country_Code]], Metadata_Country!$A:$A, Metadata_Country!$C:$C, "Unknown"), IF(OR(_xlpm.ig=0, _xlpm.ig=""), "Regional Aggregate", _xlpm.ig))</f>
        <v>High income</v>
      </c>
      <c r="H2800" s="4">
        <f>Clean_Data[[#This Row],[Exports_TIV]] - Clean_Data[[#This Row],[Imports_TIV]]</f>
        <v>-730000000</v>
      </c>
      <c r="I2800" s="4">
        <f>Clean_Data[[#This Row],[Exports_TIV]] + Clean_Data[[#This Row],[Imports_TIV]]</f>
        <v>730000000</v>
      </c>
    </row>
    <row r="2801" spans="1:9">
      <c r="A2801" s="4" t="s">
        <v>171</v>
      </c>
      <c r="B2801" s="4" t="s">
        <v>172</v>
      </c>
      <c r="C2801" s="5">
        <v>2008</v>
      </c>
      <c r="D2801" s="4">
        <v>931000000</v>
      </c>
      <c r="E2801" s="4">
        <v>575000000</v>
      </c>
      <c r="F2801" s="4" t="str">
        <f>_xlfn.LET(_xlpm.r, _xlfn.XLOOKUP(Clean_Data[[#This Row],[Country_Code]], Metadata_Country!$A:$A, Metadata_Country!$B:$B, "Unknown"), IF(OR(_xlpm.r=0, _xlpm.r=""), "Regional Aggregate", _xlpm.r))</f>
        <v>Europe &amp; Central Asia</v>
      </c>
      <c r="G2801" s="4" t="str">
        <f>_xlfn.LET(_xlpm.ig, _xlfn.XLOOKUP(Clean_Data[[#This Row],[Country_Code]], Metadata_Country!$A:$A, Metadata_Country!$C:$C, "Unknown"), IF(OR(_xlpm.ig=0, _xlpm.ig=""), "Regional Aggregate", _xlpm.ig))</f>
        <v>High income</v>
      </c>
      <c r="H2801" s="4">
        <f>Clean_Data[[#This Row],[Exports_TIV]] - Clean_Data[[#This Row],[Imports_TIV]]</f>
        <v>356000000</v>
      </c>
      <c r="I2801" s="4">
        <f>Clean_Data[[#This Row],[Exports_TIV]] + Clean_Data[[#This Row],[Imports_TIV]]</f>
        <v>1506000000</v>
      </c>
    </row>
    <row r="2802" spans="1:9">
      <c r="A2802" s="4" t="s">
        <v>511</v>
      </c>
      <c r="B2802" s="4" t="s">
        <v>512</v>
      </c>
      <c r="C2802" s="5">
        <v>2008</v>
      </c>
      <c r="D2802" s="4">
        <v>7089000000</v>
      </c>
      <c r="E2802" s="4">
        <v>936000000</v>
      </c>
      <c r="F2802" s="4" t="str">
        <f>_xlfn.LET(_xlpm.r, _xlfn.XLOOKUP(Clean_Data[[#This Row],[Country_Code]], Metadata_Country!$A:$A, Metadata_Country!$B:$B, "Unknown"), IF(OR(_xlpm.r=0, _xlpm.r=""), "Regional Aggregate", _xlpm.r))</f>
        <v>North America</v>
      </c>
      <c r="G2802" s="4" t="str">
        <f>_xlfn.LET(_xlpm.ig, _xlfn.XLOOKUP(Clean_Data[[#This Row],[Country_Code]], Metadata_Country!$A:$A, Metadata_Country!$C:$C, "Unknown"), IF(OR(_xlpm.ig=0, _xlpm.ig=""), "Regional Aggregate", _xlpm.ig))</f>
        <v>High income</v>
      </c>
      <c r="H2802" s="4">
        <f>Clean_Data[[#This Row],[Exports_TIV]] - Clean_Data[[#This Row],[Imports_TIV]]</f>
        <v>6153000000</v>
      </c>
      <c r="I2802" s="4">
        <f>Clean_Data[[#This Row],[Exports_TIV]] + Clean_Data[[#This Row],[Imports_TIV]]</f>
        <v>8025000000</v>
      </c>
    </row>
    <row r="2803" spans="1:9">
      <c r="A2803" s="4" t="s">
        <v>507</v>
      </c>
      <c r="B2803" s="4" t="s">
        <v>508</v>
      </c>
      <c r="C2803" s="5">
        <v>2008</v>
      </c>
      <c r="D2803" s="4">
        <v>0</v>
      </c>
      <c r="E2803" s="4">
        <v>6749000000</v>
      </c>
      <c r="F2803" s="4" t="str">
        <f>_xlfn.LET(_xlpm.r, _xlfn.XLOOKUP(Clean_Data[[#This Row],[Country_Code]], Metadata_Country!$A:$A, Metadata_Country!$B:$B, "Unknown"), IF(OR(_xlpm.r=0, _xlpm.r=""), "Regional Aggregate", _xlpm.r))</f>
        <v>Regional Aggregate</v>
      </c>
      <c r="G2803" s="4" t="str">
        <f>_xlfn.LET(_xlpm.ig, _xlfn.XLOOKUP(Clean_Data[[#This Row],[Country_Code]], Metadata_Country!$A:$A, Metadata_Country!$C:$C, "Unknown"), IF(OR(_xlpm.ig=0, _xlpm.ig=""), "Regional Aggregate", _xlpm.ig))</f>
        <v>Regional Aggregate</v>
      </c>
      <c r="H2803" s="4">
        <f>Clean_Data[[#This Row],[Exports_TIV]] - Clean_Data[[#This Row],[Imports_TIV]]</f>
        <v>-6749000000</v>
      </c>
      <c r="I2803" s="4">
        <f>Clean_Data[[#This Row],[Exports_TIV]] + Clean_Data[[#This Row],[Imports_TIV]]</f>
        <v>6749000000</v>
      </c>
    </row>
    <row r="2804" spans="1:9">
      <c r="A2804" s="4" t="s">
        <v>509</v>
      </c>
      <c r="B2804" s="4" t="s">
        <v>510</v>
      </c>
      <c r="C2804" s="5">
        <v>2008</v>
      </c>
      <c r="D2804" s="4">
        <v>0</v>
      </c>
      <c r="E2804" s="4">
        <v>78000000</v>
      </c>
      <c r="F2804" s="4" t="str">
        <f>_xlfn.LET(_xlpm.r, _xlfn.XLOOKUP(Clean_Data[[#This Row],[Country_Code]], Metadata_Country!$A:$A, Metadata_Country!$B:$B, "Unknown"), IF(OR(_xlpm.r=0, _xlpm.r=""), "Regional Aggregate", _xlpm.r))</f>
        <v>Latin America &amp; Caribbean</v>
      </c>
      <c r="G2804" s="4" t="str">
        <f>_xlfn.LET(_xlpm.ig, _xlfn.XLOOKUP(Clean_Data[[#This Row],[Country_Code]], Metadata_Country!$A:$A, Metadata_Country!$C:$C, "Unknown"), IF(OR(_xlpm.ig=0, _xlpm.ig=""), "Regional Aggregate", _xlpm.ig))</f>
        <v>High income</v>
      </c>
      <c r="H2804" s="4">
        <f>Clean_Data[[#This Row],[Exports_TIV]] - Clean_Data[[#This Row],[Imports_TIV]]</f>
        <v>-78000000</v>
      </c>
      <c r="I2804" s="4">
        <f>Clean_Data[[#This Row],[Exports_TIV]] + Clean_Data[[#This Row],[Imports_TIV]]</f>
        <v>78000000</v>
      </c>
    </row>
    <row r="2805" spans="1:9">
      <c r="A2805" s="4" t="s">
        <v>517</v>
      </c>
      <c r="B2805" s="4" t="s">
        <v>518</v>
      </c>
      <c r="C2805" s="5">
        <v>2008</v>
      </c>
      <c r="D2805" s="4">
        <v>3000000</v>
      </c>
      <c r="E2805" s="4">
        <v>741000000</v>
      </c>
      <c r="F2805" s="4" t="str">
        <f>_xlfn.LET(_xlpm.r, _xlfn.XLOOKUP(Clean_Data[[#This Row],[Country_Code]], Metadata_Country!$A:$A, Metadata_Country!$B:$B, "Unknown"), IF(OR(_xlpm.r=0, _xlpm.r=""), "Regional Aggregate", _xlpm.r))</f>
        <v>Latin America &amp; Caribbean</v>
      </c>
      <c r="G2805" s="4" t="str">
        <f>_xlfn.LET(_xlpm.ig, _xlfn.XLOOKUP(Clean_Data[[#This Row],[Country_Code]], Metadata_Country!$A:$A, Metadata_Country!$C:$C, "Unknown"), IF(OR(_xlpm.ig=0, _xlpm.ig=""), "Regional Aggregate", _xlpm.ig))</f>
        <v>Lower middle income</v>
      </c>
      <c r="H2805" s="4">
        <f>Clean_Data[[#This Row],[Exports_TIV]] - Clean_Data[[#This Row],[Imports_TIV]]</f>
        <v>-738000000</v>
      </c>
      <c r="I2805" s="4">
        <f>Clean_Data[[#This Row],[Exports_TIV]] + Clean_Data[[#This Row],[Imports_TIV]]</f>
        <v>744000000</v>
      </c>
    </row>
    <row r="2806" spans="1:9">
      <c r="A2806" s="4" t="s">
        <v>523</v>
      </c>
      <c r="B2806" s="4" t="s">
        <v>524</v>
      </c>
      <c r="C2806" s="5">
        <v>2008</v>
      </c>
      <c r="D2806" s="4">
        <v>0</v>
      </c>
      <c r="E2806" s="4">
        <v>186000000</v>
      </c>
      <c r="F2806" s="4" t="str">
        <f>_xlfn.LET(_xlpm.r, _xlfn.XLOOKUP(Clean_Data[[#This Row],[Country_Code]], Metadata_Country!$A:$A, Metadata_Country!$B:$B, "Unknown"), IF(OR(_xlpm.r=0, _xlpm.r=""), "Regional Aggregate", _xlpm.r))</f>
        <v>East Asia &amp; Pacific</v>
      </c>
      <c r="G2806" s="4" t="str">
        <f>_xlfn.LET(_xlpm.ig, _xlfn.XLOOKUP(Clean_Data[[#This Row],[Country_Code]], Metadata_Country!$A:$A, Metadata_Country!$C:$C, "Unknown"), IF(OR(_xlpm.ig=0, _xlpm.ig=""), "Regional Aggregate", _xlpm.ig))</f>
        <v>Upper middle income</v>
      </c>
      <c r="H2806" s="4">
        <f>Clean_Data[[#This Row],[Exports_TIV]] - Clean_Data[[#This Row],[Imports_TIV]]</f>
        <v>-186000000</v>
      </c>
      <c r="I2806" s="4">
        <f>Clean_Data[[#This Row],[Exports_TIV]] + Clean_Data[[#This Row],[Imports_TIV]]</f>
        <v>186000000</v>
      </c>
    </row>
    <row r="2807" spans="1:9">
      <c r="A2807" s="4" t="s">
        <v>527</v>
      </c>
      <c r="B2807" s="4" t="s">
        <v>528</v>
      </c>
      <c r="C2807" s="5">
        <v>2008</v>
      </c>
      <c r="D2807" s="4">
        <v>24120000000</v>
      </c>
      <c r="E2807" s="4">
        <v>24101000000</v>
      </c>
      <c r="F2807" s="4" t="str">
        <f>_xlfn.LET(_xlpm.r, _xlfn.XLOOKUP(Clean_Data[[#This Row],[Country_Code]], Metadata_Country!$A:$A, Metadata_Country!$B:$B, "Unknown"), IF(OR(_xlpm.r=0, _xlpm.r=""), "Regional Aggregate", _xlpm.r))</f>
        <v>Regional Aggregate</v>
      </c>
      <c r="G2807" s="4" t="str">
        <f>_xlfn.LET(_xlpm.ig, _xlfn.XLOOKUP(Clean_Data[[#This Row],[Country_Code]], Metadata_Country!$A:$A, Metadata_Country!$C:$C, "Unknown"), IF(OR(_xlpm.ig=0, _xlpm.ig=""), "Regional Aggregate", _xlpm.ig))</f>
        <v>Regional Aggregate</v>
      </c>
      <c r="H2807" s="4">
        <f>Clean_Data[[#This Row],[Exports_TIV]] - Clean_Data[[#This Row],[Imports_TIV]]</f>
        <v>19000000</v>
      </c>
      <c r="I2807" s="4">
        <f>Clean_Data[[#This Row],[Exports_TIV]] + Clean_Data[[#This Row],[Imports_TIV]]</f>
        <v>48221000000</v>
      </c>
    </row>
    <row r="2808" spans="1:9">
      <c r="A2808" s="4" t="s">
        <v>533</v>
      </c>
      <c r="B2808" s="4" t="s">
        <v>534</v>
      </c>
      <c r="C2808" s="5">
        <v>2008</v>
      </c>
      <c r="D2808" s="4">
        <v>0</v>
      </c>
      <c r="E2808" s="4">
        <v>41000000</v>
      </c>
      <c r="F2808" s="4" t="str">
        <f>_xlfn.LET(_xlpm.r, _xlfn.XLOOKUP(Clean_Data[[#This Row],[Country_Code]], Metadata_Country!$A:$A, Metadata_Country!$B:$B, "Unknown"), IF(OR(_xlpm.r=0, _xlpm.r=""), "Regional Aggregate", _xlpm.r))</f>
        <v>Middle East &amp; North Africa</v>
      </c>
      <c r="G2808" s="4" t="str">
        <f>_xlfn.LET(_xlpm.ig, _xlfn.XLOOKUP(Clean_Data[[#This Row],[Country_Code]], Metadata_Country!$A:$A, Metadata_Country!$C:$C, "Unknown"), IF(OR(_xlpm.ig=0, _xlpm.ig=""), "Regional Aggregate", _xlpm.ig))</f>
        <v>Low income</v>
      </c>
      <c r="H2808" s="4">
        <f>Clean_Data[[#This Row],[Exports_TIV]] - Clean_Data[[#This Row],[Imports_TIV]]</f>
        <v>-41000000</v>
      </c>
      <c r="I2808" s="4">
        <f>Clean_Data[[#This Row],[Exports_TIV]] + Clean_Data[[#This Row],[Imports_TIV]]</f>
        <v>41000000</v>
      </c>
    </row>
    <row r="2809" spans="1:9">
      <c r="A2809" s="4" t="s">
        <v>537</v>
      </c>
      <c r="B2809" s="4" t="s">
        <v>538</v>
      </c>
      <c r="C2809" s="5">
        <v>2008</v>
      </c>
      <c r="D2809" s="4">
        <v>0</v>
      </c>
      <c r="E2809" s="4">
        <v>2000000</v>
      </c>
      <c r="F2809" s="4" t="str">
        <f>_xlfn.LET(_xlpm.r, _xlfn.XLOOKUP(Clean_Data[[#This Row],[Country_Code]], Metadata_Country!$A:$A, Metadata_Country!$B:$B, "Unknown"), IF(OR(_xlpm.r=0, _xlpm.r=""), "Regional Aggregate", _xlpm.r))</f>
        <v>Sub-Saharan Africa</v>
      </c>
      <c r="G2809" s="4" t="str">
        <f>_xlfn.LET(_xlpm.ig, _xlfn.XLOOKUP(Clean_Data[[#This Row],[Country_Code]], Metadata_Country!$A:$A, Metadata_Country!$C:$C, "Unknown"), IF(OR(_xlpm.ig=0, _xlpm.ig=""), "Regional Aggregate", _xlpm.ig))</f>
        <v>Lower middle income</v>
      </c>
      <c r="H2809" s="4">
        <f>Clean_Data[[#This Row],[Exports_TIV]] - Clean_Data[[#This Row],[Imports_TIV]]</f>
        <v>-2000000</v>
      </c>
      <c r="I2809" s="4">
        <f>Clean_Data[[#This Row],[Exports_TIV]] + Clean_Data[[#This Row],[Imports_TIV]]</f>
        <v>2000000</v>
      </c>
    </row>
    <row r="2810" spans="1:9">
      <c r="A2810" s="4" t="s">
        <v>13</v>
      </c>
      <c r="B2810" s="4" t="s">
        <v>14</v>
      </c>
      <c r="C2810" s="5">
        <v>2007</v>
      </c>
      <c r="D2810" s="4">
        <v>0</v>
      </c>
      <c r="E2810" s="4">
        <v>40000000</v>
      </c>
      <c r="F2810" s="4" t="str">
        <f>_xlfn.LET(_xlpm.r, _xlfn.XLOOKUP(Clean_Data[[#This Row],[Country_Code]], Metadata_Country!$A:$A, Metadata_Country!$B:$B, "Unknown"), IF(OR(_xlpm.r=0, _xlpm.r=""), "Regional Aggregate", _xlpm.r))</f>
        <v>Middle East &amp; North Africa</v>
      </c>
      <c r="G2810" s="4" t="str">
        <f>_xlfn.LET(_xlpm.ig, _xlfn.XLOOKUP(Clean_Data[[#This Row],[Country_Code]], Metadata_Country!$A:$A, Metadata_Country!$C:$C, "Unknown"), IF(OR(_xlpm.ig=0, _xlpm.ig=""), "Regional Aggregate", _xlpm.ig))</f>
        <v>Low income</v>
      </c>
      <c r="H2810" s="4">
        <f>Clean_Data[[#This Row],[Exports_TIV]] - Clean_Data[[#This Row],[Imports_TIV]]</f>
        <v>-40000000</v>
      </c>
      <c r="I2810" s="4">
        <f>Clean_Data[[#This Row],[Exports_TIV]] + Clean_Data[[#This Row],[Imports_TIV]]</f>
        <v>40000000</v>
      </c>
    </row>
    <row r="2811" spans="1:9">
      <c r="A2811" s="4" t="s">
        <v>11</v>
      </c>
      <c r="B2811" s="4" t="s">
        <v>12</v>
      </c>
      <c r="C2811" s="5">
        <v>2007</v>
      </c>
      <c r="D2811" s="4">
        <v>0</v>
      </c>
      <c r="E2811" s="4">
        <v>1081000000</v>
      </c>
      <c r="F2811" s="4" t="str">
        <f>_xlfn.LET(_xlpm.r, _xlfn.XLOOKUP(Clean_Data[[#This Row],[Country_Code]], Metadata_Country!$A:$A, Metadata_Country!$B:$B, "Unknown"), IF(OR(_xlpm.r=0, _xlpm.r=""), "Regional Aggregate", _xlpm.r))</f>
        <v>Regional Aggregate</v>
      </c>
      <c r="G2811" s="4" t="str">
        <f>_xlfn.LET(_xlpm.ig, _xlfn.XLOOKUP(Clean_Data[[#This Row],[Country_Code]], Metadata_Country!$A:$A, Metadata_Country!$C:$C, "Unknown"), IF(OR(_xlpm.ig=0, _xlpm.ig=""), "Regional Aggregate", _xlpm.ig))</f>
        <v>Regional Aggregate</v>
      </c>
      <c r="H2811" s="4">
        <f>Clean_Data[[#This Row],[Exports_TIV]] - Clean_Data[[#This Row],[Imports_TIV]]</f>
        <v>-1081000000</v>
      </c>
      <c r="I2811" s="4">
        <f>Clean_Data[[#This Row],[Exports_TIV]] + Clean_Data[[#This Row],[Imports_TIV]]</f>
        <v>1081000000</v>
      </c>
    </row>
    <row r="2812" spans="1:9">
      <c r="A2812" s="4" t="s">
        <v>15</v>
      </c>
      <c r="B2812" s="4" t="s">
        <v>16</v>
      </c>
      <c r="C2812" s="5">
        <v>2007</v>
      </c>
      <c r="D2812" s="4">
        <v>0</v>
      </c>
      <c r="E2812" s="4">
        <v>181000000</v>
      </c>
      <c r="F2812" s="4" t="str">
        <f>_xlfn.LET(_xlpm.r, _xlfn.XLOOKUP(Clean_Data[[#This Row],[Country_Code]], Metadata_Country!$A:$A, Metadata_Country!$B:$B, "Unknown"), IF(OR(_xlpm.r=0, _xlpm.r=""), "Regional Aggregate", _xlpm.r))</f>
        <v>Regional Aggregate</v>
      </c>
      <c r="G2812" s="4" t="str">
        <f>_xlfn.LET(_xlpm.ig, _xlfn.XLOOKUP(Clean_Data[[#This Row],[Country_Code]], Metadata_Country!$A:$A, Metadata_Country!$C:$C, "Unknown"), IF(OR(_xlpm.ig=0, _xlpm.ig=""), "Regional Aggregate", _xlpm.ig))</f>
        <v>Regional Aggregate</v>
      </c>
      <c r="H2812" s="4">
        <f>Clean_Data[[#This Row],[Exports_TIV]] - Clean_Data[[#This Row],[Imports_TIV]]</f>
        <v>-181000000</v>
      </c>
      <c r="I2812" s="4">
        <f>Clean_Data[[#This Row],[Exports_TIV]] + Clean_Data[[#This Row],[Imports_TIV]]</f>
        <v>181000000</v>
      </c>
    </row>
    <row r="2813" spans="1:9">
      <c r="A2813" s="4" t="s">
        <v>19</v>
      </c>
      <c r="B2813" s="4" t="s">
        <v>20</v>
      </c>
      <c r="C2813" s="5">
        <v>2007</v>
      </c>
      <c r="D2813" s="4">
        <v>0</v>
      </c>
      <c r="E2813" s="4">
        <v>5000000</v>
      </c>
      <c r="F2813" s="4" t="str">
        <f>_xlfn.LET(_xlpm.r, _xlfn.XLOOKUP(Clean_Data[[#This Row],[Country_Code]], Metadata_Country!$A:$A, Metadata_Country!$B:$B, "Unknown"), IF(OR(_xlpm.r=0, _xlpm.r=""), "Regional Aggregate", _xlpm.r))</f>
        <v>Europe &amp; Central Asia</v>
      </c>
      <c r="G2813" s="4" t="str">
        <f>_xlfn.LET(_xlpm.ig, _xlfn.XLOOKUP(Clean_Data[[#This Row],[Country_Code]], Metadata_Country!$A:$A, Metadata_Country!$C:$C, "Unknown"), IF(OR(_xlpm.ig=0, _xlpm.ig=""), "Regional Aggregate", _xlpm.ig))</f>
        <v>Upper middle income</v>
      </c>
      <c r="H2813" s="4">
        <f>Clean_Data[[#This Row],[Exports_TIV]] - Clean_Data[[#This Row],[Imports_TIV]]</f>
        <v>-5000000</v>
      </c>
      <c r="I2813" s="4">
        <f>Clean_Data[[#This Row],[Exports_TIV]] + Clean_Data[[#This Row],[Imports_TIV]]</f>
        <v>5000000</v>
      </c>
    </row>
    <row r="2814" spans="1:9">
      <c r="A2814" s="4" t="s">
        <v>129</v>
      </c>
      <c r="B2814" s="4" t="s">
        <v>130</v>
      </c>
      <c r="C2814" s="5">
        <v>2007</v>
      </c>
      <c r="D2814" s="4">
        <v>0</v>
      </c>
      <c r="E2814" s="4">
        <v>507000000</v>
      </c>
      <c r="F2814" s="4" t="str">
        <f>_xlfn.LET(_xlpm.r, _xlfn.XLOOKUP(Clean_Data[[#This Row],[Country_Code]], Metadata_Country!$A:$A, Metadata_Country!$B:$B, "Unknown"), IF(OR(_xlpm.r=0, _xlpm.r=""), "Regional Aggregate", _xlpm.r))</f>
        <v>Middle East &amp; North Africa</v>
      </c>
      <c r="G2814" s="4" t="str">
        <f>_xlfn.LET(_xlpm.ig, _xlfn.XLOOKUP(Clean_Data[[#This Row],[Country_Code]], Metadata_Country!$A:$A, Metadata_Country!$C:$C, "Unknown"), IF(OR(_xlpm.ig=0, _xlpm.ig=""), "Regional Aggregate", _xlpm.ig))</f>
        <v>Upper middle income</v>
      </c>
      <c r="H2814" s="4">
        <f>Clean_Data[[#This Row],[Exports_TIV]] - Clean_Data[[#This Row],[Imports_TIV]]</f>
        <v>-507000000</v>
      </c>
      <c r="I2814" s="4">
        <f>Clean_Data[[#This Row],[Exports_TIV]] + Clean_Data[[#This Row],[Imports_TIV]]</f>
        <v>507000000</v>
      </c>
    </row>
    <row r="2815" spans="1:9">
      <c r="A2815" s="4" t="s">
        <v>17</v>
      </c>
      <c r="B2815" s="4" t="s">
        <v>18</v>
      </c>
      <c r="C2815" s="5">
        <v>2007</v>
      </c>
      <c r="D2815" s="4">
        <v>0</v>
      </c>
      <c r="E2815" s="4">
        <v>35000000</v>
      </c>
      <c r="F2815" s="4" t="str">
        <f>_xlfn.LET(_xlpm.r, _xlfn.XLOOKUP(Clean_Data[[#This Row],[Country_Code]], Metadata_Country!$A:$A, Metadata_Country!$B:$B, "Unknown"), IF(OR(_xlpm.r=0, _xlpm.r=""), "Regional Aggregate", _xlpm.r))</f>
        <v>Sub-Saharan Africa</v>
      </c>
      <c r="G2815" s="4" t="str">
        <f>_xlfn.LET(_xlpm.ig, _xlfn.XLOOKUP(Clean_Data[[#This Row],[Country_Code]], Metadata_Country!$A:$A, Metadata_Country!$C:$C, "Unknown"), IF(OR(_xlpm.ig=0, _xlpm.ig=""), "Regional Aggregate", _xlpm.ig))</f>
        <v>Lower middle income</v>
      </c>
      <c r="H2815" s="4">
        <f>Clean_Data[[#This Row],[Exports_TIV]] - Clean_Data[[#This Row],[Imports_TIV]]</f>
        <v>-35000000</v>
      </c>
      <c r="I2815" s="4">
        <f>Clean_Data[[#This Row],[Exports_TIV]] + Clean_Data[[#This Row],[Imports_TIV]]</f>
        <v>35000000</v>
      </c>
    </row>
    <row r="2816" spans="1:9">
      <c r="A2816" s="4" t="s">
        <v>23</v>
      </c>
      <c r="B2816" s="4" t="s">
        <v>24</v>
      </c>
      <c r="C2816" s="5">
        <v>2007</v>
      </c>
      <c r="D2816" s="4">
        <v>0</v>
      </c>
      <c r="E2816" s="4">
        <v>3237000000</v>
      </c>
      <c r="F2816" s="4" t="str">
        <f>_xlfn.LET(_xlpm.r, _xlfn.XLOOKUP(Clean_Data[[#This Row],[Country_Code]], Metadata_Country!$A:$A, Metadata_Country!$B:$B, "Unknown"), IF(OR(_xlpm.r=0, _xlpm.r=""), "Regional Aggregate", _xlpm.r))</f>
        <v>Regional Aggregate</v>
      </c>
      <c r="G2816" s="4" t="str">
        <f>_xlfn.LET(_xlpm.ig, _xlfn.XLOOKUP(Clean_Data[[#This Row],[Country_Code]], Metadata_Country!$A:$A, Metadata_Country!$C:$C, "Unknown"), IF(OR(_xlpm.ig=0, _xlpm.ig=""), "Regional Aggregate", _xlpm.ig))</f>
        <v>Regional Aggregate</v>
      </c>
      <c r="H2816" s="4">
        <f>Clean_Data[[#This Row],[Exports_TIV]] - Clean_Data[[#This Row],[Imports_TIV]]</f>
        <v>-3237000000</v>
      </c>
      <c r="I2816" s="4">
        <f>Clean_Data[[#This Row],[Exports_TIV]] + Clean_Data[[#This Row],[Imports_TIV]]</f>
        <v>3237000000</v>
      </c>
    </row>
    <row r="2817" spans="1:9">
      <c r="A2817" s="4" t="s">
        <v>27</v>
      </c>
      <c r="B2817" s="4" t="s">
        <v>28</v>
      </c>
      <c r="C2817" s="5">
        <v>2007</v>
      </c>
      <c r="D2817" s="4">
        <v>0</v>
      </c>
      <c r="E2817" s="4">
        <v>24000000</v>
      </c>
      <c r="F2817" s="4" t="str">
        <f>_xlfn.LET(_xlpm.r, _xlfn.XLOOKUP(Clean_Data[[#This Row],[Country_Code]], Metadata_Country!$A:$A, Metadata_Country!$B:$B, "Unknown"), IF(OR(_xlpm.r=0, _xlpm.r=""), "Regional Aggregate", _xlpm.r))</f>
        <v>Latin America &amp; Caribbean</v>
      </c>
      <c r="G2817" s="4" t="str">
        <f>_xlfn.LET(_xlpm.ig, _xlfn.XLOOKUP(Clean_Data[[#This Row],[Country_Code]], Metadata_Country!$A:$A, Metadata_Country!$C:$C, "Unknown"), IF(OR(_xlpm.ig=0, _xlpm.ig=""), "Regional Aggregate", _xlpm.ig))</f>
        <v>Upper middle income</v>
      </c>
      <c r="H2817" s="4">
        <f>Clean_Data[[#This Row],[Exports_TIV]] - Clean_Data[[#This Row],[Imports_TIV]]</f>
        <v>-24000000</v>
      </c>
      <c r="I2817" s="4">
        <f>Clean_Data[[#This Row],[Exports_TIV]] + Clean_Data[[#This Row],[Imports_TIV]]</f>
        <v>24000000</v>
      </c>
    </row>
    <row r="2818" spans="1:9">
      <c r="A2818" s="4" t="s">
        <v>29</v>
      </c>
      <c r="B2818" s="4" t="s">
        <v>30</v>
      </c>
      <c r="C2818" s="5">
        <v>2007</v>
      </c>
      <c r="D2818" s="4">
        <v>0</v>
      </c>
      <c r="E2818" s="4">
        <v>1000000</v>
      </c>
      <c r="F2818" s="4" t="str">
        <f>_xlfn.LET(_xlpm.r, _xlfn.XLOOKUP(Clean_Data[[#This Row],[Country_Code]], Metadata_Country!$A:$A, Metadata_Country!$B:$B, "Unknown"), IF(OR(_xlpm.r=0, _xlpm.r=""), "Regional Aggregate", _xlpm.r))</f>
        <v>Europe &amp; Central Asia</v>
      </c>
      <c r="G2818" s="4" t="str">
        <f>_xlfn.LET(_xlpm.ig, _xlfn.XLOOKUP(Clean_Data[[#This Row],[Country_Code]], Metadata_Country!$A:$A, Metadata_Country!$C:$C, "Unknown"), IF(OR(_xlpm.ig=0, _xlpm.ig=""), "Regional Aggregate", _xlpm.ig))</f>
        <v>Upper middle income</v>
      </c>
      <c r="H2818" s="4">
        <f>Clean_Data[[#This Row],[Exports_TIV]] - Clean_Data[[#This Row],[Imports_TIV]]</f>
        <v>-1000000</v>
      </c>
      <c r="I2818" s="4">
        <f>Clean_Data[[#This Row],[Exports_TIV]] + Clean_Data[[#This Row],[Imports_TIV]]</f>
        <v>1000000</v>
      </c>
    </row>
    <row r="2819" spans="1:9">
      <c r="A2819" s="4" t="s">
        <v>35</v>
      </c>
      <c r="B2819" s="4" t="s">
        <v>36</v>
      </c>
      <c r="C2819" s="5">
        <v>2007</v>
      </c>
      <c r="D2819" s="4">
        <v>53000000</v>
      </c>
      <c r="E2819" s="4">
        <v>618000000</v>
      </c>
      <c r="F2819" s="4" t="str">
        <f>_xlfn.LET(_xlpm.r, _xlfn.XLOOKUP(Clean_Data[[#This Row],[Country_Code]], Metadata_Country!$A:$A, Metadata_Country!$B:$B, "Unknown"), IF(OR(_xlpm.r=0, _xlpm.r=""), "Regional Aggregate", _xlpm.r))</f>
        <v>East Asia &amp; Pacific</v>
      </c>
      <c r="G2819" s="4" t="str">
        <f>_xlfn.LET(_xlpm.ig, _xlfn.XLOOKUP(Clean_Data[[#This Row],[Country_Code]], Metadata_Country!$A:$A, Metadata_Country!$C:$C, "Unknown"), IF(OR(_xlpm.ig=0, _xlpm.ig=""), "Regional Aggregate", _xlpm.ig))</f>
        <v>High income</v>
      </c>
      <c r="H2819" s="4">
        <f>Clean_Data[[#This Row],[Exports_TIV]] - Clean_Data[[#This Row],[Imports_TIV]]</f>
        <v>-565000000</v>
      </c>
      <c r="I2819" s="4">
        <f>Clean_Data[[#This Row],[Exports_TIV]] + Clean_Data[[#This Row],[Imports_TIV]]</f>
        <v>671000000</v>
      </c>
    </row>
    <row r="2820" spans="1:9">
      <c r="A2820" s="4" t="s">
        <v>37</v>
      </c>
      <c r="B2820" s="4" t="s">
        <v>38</v>
      </c>
      <c r="C2820" s="5">
        <v>2007</v>
      </c>
      <c r="D2820" s="4">
        <v>67000000</v>
      </c>
      <c r="E2820" s="4">
        <v>269000000</v>
      </c>
      <c r="F2820" s="4" t="str">
        <f>_xlfn.LET(_xlpm.r, _xlfn.XLOOKUP(Clean_Data[[#This Row],[Country_Code]], Metadata_Country!$A:$A, Metadata_Country!$B:$B, "Unknown"), IF(OR(_xlpm.r=0, _xlpm.r=""), "Regional Aggregate", _xlpm.r))</f>
        <v>Europe &amp; Central Asia</v>
      </c>
      <c r="G2820" s="4" t="str">
        <f>_xlfn.LET(_xlpm.ig, _xlfn.XLOOKUP(Clean_Data[[#This Row],[Country_Code]], Metadata_Country!$A:$A, Metadata_Country!$C:$C, "Unknown"), IF(OR(_xlpm.ig=0, _xlpm.ig=""), "Regional Aggregate", _xlpm.ig))</f>
        <v>High income</v>
      </c>
      <c r="H2820" s="4">
        <f>Clean_Data[[#This Row],[Exports_TIV]] - Clean_Data[[#This Row],[Imports_TIV]]</f>
        <v>-202000000</v>
      </c>
      <c r="I2820" s="4">
        <f>Clean_Data[[#This Row],[Exports_TIV]] + Clean_Data[[#This Row],[Imports_TIV]]</f>
        <v>336000000</v>
      </c>
    </row>
    <row r="2821" spans="1:9">
      <c r="A2821" s="4" t="s">
        <v>39</v>
      </c>
      <c r="B2821" s="4" t="s">
        <v>40</v>
      </c>
      <c r="C2821" s="5">
        <v>2007</v>
      </c>
      <c r="D2821" s="4">
        <v>0</v>
      </c>
      <c r="E2821" s="4">
        <v>213000000</v>
      </c>
      <c r="F2821" s="4" t="str">
        <f>_xlfn.LET(_xlpm.r, _xlfn.XLOOKUP(Clean_Data[[#This Row],[Country_Code]], Metadata_Country!$A:$A, Metadata_Country!$B:$B, "Unknown"), IF(OR(_xlpm.r=0, _xlpm.r=""), "Regional Aggregate", _xlpm.r))</f>
        <v>Europe &amp; Central Asia</v>
      </c>
      <c r="G2821" s="4" t="str">
        <f>_xlfn.LET(_xlpm.ig, _xlfn.XLOOKUP(Clean_Data[[#This Row],[Country_Code]], Metadata_Country!$A:$A, Metadata_Country!$C:$C, "Unknown"), IF(OR(_xlpm.ig=0, _xlpm.ig=""), "Regional Aggregate", _xlpm.ig))</f>
        <v>Upper middle income</v>
      </c>
      <c r="H2821" s="4">
        <f>Clean_Data[[#This Row],[Exports_TIV]] - Clean_Data[[#This Row],[Imports_TIV]]</f>
        <v>-213000000</v>
      </c>
      <c r="I2821" s="4">
        <f>Clean_Data[[#This Row],[Exports_TIV]] + Clean_Data[[#This Row],[Imports_TIV]]</f>
        <v>213000000</v>
      </c>
    </row>
    <row r="2822" spans="1:9">
      <c r="A2822" s="4" t="s">
        <v>53</v>
      </c>
      <c r="B2822" s="4" t="s">
        <v>54</v>
      </c>
      <c r="C2822" s="5">
        <v>2007</v>
      </c>
      <c r="D2822" s="4">
        <v>0</v>
      </c>
      <c r="E2822" s="4">
        <v>27000000</v>
      </c>
      <c r="F2822" s="4" t="str">
        <f>_xlfn.LET(_xlpm.r, _xlfn.XLOOKUP(Clean_Data[[#This Row],[Country_Code]], Metadata_Country!$A:$A, Metadata_Country!$B:$B, "Unknown"), IF(OR(_xlpm.r=0, _xlpm.r=""), "Regional Aggregate", _xlpm.r))</f>
        <v>Middle East &amp; North Africa</v>
      </c>
      <c r="G2822" s="4" t="str">
        <f>_xlfn.LET(_xlpm.ig, _xlfn.XLOOKUP(Clean_Data[[#This Row],[Country_Code]], Metadata_Country!$A:$A, Metadata_Country!$C:$C, "Unknown"), IF(OR(_xlpm.ig=0, _xlpm.ig=""), "Regional Aggregate", _xlpm.ig))</f>
        <v>High income</v>
      </c>
      <c r="H2822" s="4">
        <f>Clean_Data[[#This Row],[Exports_TIV]] - Clean_Data[[#This Row],[Imports_TIV]]</f>
        <v>-27000000</v>
      </c>
      <c r="I2822" s="4">
        <f>Clean_Data[[#This Row],[Exports_TIV]] + Clean_Data[[#This Row],[Imports_TIV]]</f>
        <v>27000000</v>
      </c>
    </row>
    <row r="2823" spans="1:9">
      <c r="A2823" s="4" t="s">
        <v>49</v>
      </c>
      <c r="B2823" s="4" t="s">
        <v>50</v>
      </c>
      <c r="C2823" s="5">
        <v>2007</v>
      </c>
      <c r="D2823" s="4">
        <v>0</v>
      </c>
      <c r="E2823" s="4">
        <v>82000000</v>
      </c>
      <c r="F2823" s="4" t="str">
        <f>_xlfn.LET(_xlpm.r, _xlfn.XLOOKUP(Clean_Data[[#This Row],[Country_Code]], Metadata_Country!$A:$A, Metadata_Country!$B:$B, "Unknown"), IF(OR(_xlpm.r=0, _xlpm.r=""), "Regional Aggregate", _xlpm.r))</f>
        <v>South Asia</v>
      </c>
      <c r="G2823" s="4" t="str">
        <f>_xlfn.LET(_xlpm.ig, _xlfn.XLOOKUP(Clean_Data[[#This Row],[Country_Code]], Metadata_Country!$A:$A, Metadata_Country!$C:$C, "Unknown"), IF(OR(_xlpm.ig=0, _xlpm.ig=""), "Regional Aggregate", _xlpm.ig))</f>
        <v>Lower middle income</v>
      </c>
      <c r="H2823" s="4">
        <f>Clean_Data[[#This Row],[Exports_TIV]] - Clean_Data[[#This Row],[Imports_TIV]]</f>
        <v>-82000000</v>
      </c>
      <c r="I2823" s="4">
        <f>Clean_Data[[#This Row],[Exports_TIV]] + Clean_Data[[#This Row],[Imports_TIV]]</f>
        <v>82000000</v>
      </c>
    </row>
    <row r="2824" spans="1:9">
      <c r="A2824" s="4" t="s">
        <v>69</v>
      </c>
      <c r="B2824" s="4" t="s">
        <v>70</v>
      </c>
      <c r="C2824" s="5">
        <v>2007</v>
      </c>
      <c r="D2824" s="4">
        <v>0</v>
      </c>
      <c r="E2824" s="4">
        <v>10000000</v>
      </c>
      <c r="F2824" s="4" t="str">
        <f>_xlfn.LET(_xlpm.r, _xlfn.XLOOKUP(Clean_Data[[#This Row],[Country_Code]], Metadata_Country!$A:$A, Metadata_Country!$B:$B, "Unknown"), IF(OR(_xlpm.r=0, _xlpm.r=""), "Regional Aggregate", _xlpm.r))</f>
        <v>Latin America &amp; Caribbean</v>
      </c>
      <c r="G2824" s="4" t="str">
        <f>_xlfn.LET(_xlpm.ig, _xlfn.XLOOKUP(Clean_Data[[#This Row],[Country_Code]], Metadata_Country!$A:$A, Metadata_Country!$C:$C, "Unknown"), IF(OR(_xlpm.ig=0, _xlpm.ig=""), "Regional Aggregate", _xlpm.ig))</f>
        <v>High income</v>
      </c>
      <c r="H2824" s="4">
        <f>Clean_Data[[#This Row],[Exports_TIV]] - Clean_Data[[#This Row],[Imports_TIV]]</f>
        <v>-10000000</v>
      </c>
      <c r="I2824" s="4">
        <f>Clean_Data[[#This Row],[Exports_TIV]] + Clean_Data[[#This Row],[Imports_TIV]]</f>
        <v>10000000</v>
      </c>
    </row>
    <row r="2825" spans="1:9">
      <c r="A2825" s="4" t="s">
        <v>59</v>
      </c>
      <c r="B2825" s="4" t="s">
        <v>60</v>
      </c>
      <c r="C2825" s="5">
        <v>2007</v>
      </c>
      <c r="D2825" s="4">
        <v>5000000</v>
      </c>
      <c r="E2825" s="4">
        <v>0</v>
      </c>
      <c r="F2825" s="4" t="str">
        <f>_xlfn.LET(_xlpm.r, _xlfn.XLOOKUP(Clean_Data[[#This Row],[Country_Code]], Metadata_Country!$A:$A, Metadata_Country!$B:$B, "Unknown"), IF(OR(_xlpm.r=0, _xlpm.r=""), "Regional Aggregate", _xlpm.r))</f>
        <v>Europe &amp; Central Asia</v>
      </c>
      <c r="G2825" s="4" t="str">
        <f>_xlfn.LET(_xlpm.ig, _xlfn.XLOOKUP(Clean_Data[[#This Row],[Country_Code]], Metadata_Country!$A:$A, Metadata_Country!$C:$C, "Unknown"), IF(OR(_xlpm.ig=0, _xlpm.ig=""), "Regional Aggregate", _xlpm.ig))</f>
        <v>Upper middle income</v>
      </c>
      <c r="H2825" s="4">
        <f>Clean_Data[[#This Row],[Exports_TIV]] - Clean_Data[[#This Row],[Imports_TIV]]</f>
        <v>5000000</v>
      </c>
      <c r="I2825" s="4">
        <f>Clean_Data[[#This Row],[Exports_TIV]] + Clean_Data[[#This Row],[Imports_TIV]]</f>
        <v>5000000</v>
      </c>
    </row>
    <row r="2826" spans="1:9">
      <c r="A2826" s="4" t="s">
        <v>43</v>
      </c>
      <c r="B2826" s="4" t="s">
        <v>44</v>
      </c>
      <c r="C2826" s="5">
        <v>2007</v>
      </c>
      <c r="D2826" s="4">
        <v>32000000</v>
      </c>
      <c r="E2826" s="4">
        <v>171000000</v>
      </c>
      <c r="F2826" s="4" t="str">
        <f>_xlfn.LET(_xlpm.r, _xlfn.XLOOKUP(Clean_Data[[#This Row],[Country_Code]], Metadata_Country!$A:$A, Metadata_Country!$B:$B, "Unknown"), IF(OR(_xlpm.r=0, _xlpm.r=""), "Regional Aggregate", _xlpm.r))</f>
        <v>Europe &amp; Central Asia</v>
      </c>
      <c r="G2826" s="4" t="str">
        <f>_xlfn.LET(_xlpm.ig, _xlfn.XLOOKUP(Clean_Data[[#This Row],[Country_Code]], Metadata_Country!$A:$A, Metadata_Country!$C:$C, "Unknown"), IF(OR(_xlpm.ig=0, _xlpm.ig=""), "Regional Aggregate", _xlpm.ig))</f>
        <v>High income</v>
      </c>
      <c r="H2826" s="4">
        <f>Clean_Data[[#This Row],[Exports_TIV]] - Clean_Data[[#This Row],[Imports_TIV]]</f>
        <v>-139000000</v>
      </c>
      <c r="I2826" s="4">
        <f>Clean_Data[[#This Row],[Exports_TIV]] + Clean_Data[[#This Row],[Imports_TIV]]</f>
        <v>203000000</v>
      </c>
    </row>
    <row r="2827" spans="1:9">
      <c r="A2827" s="4" t="s">
        <v>45</v>
      </c>
      <c r="B2827" s="4" t="s">
        <v>46</v>
      </c>
      <c r="C2827" s="5">
        <v>2007</v>
      </c>
      <c r="D2827" s="4">
        <v>0</v>
      </c>
      <c r="E2827" s="4">
        <v>3000000</v>
      </c>
      <c r="F2827" s="4" t="str">
        <f>_xlfn.LET(_xlpm.r, _xlfn.XLOOKUP(Clean_Data[[#This Row],[Country_Code]], Metadata_Country!$A:$A, Metadata_Country!$B:$B, "Unknown"), IF(OR(_xlpm.r=0, _xlpm.r=""), "Regional Aggregate", _xlpm.r))</f>
        <v>Sub-Saharan Africa</v>
      </c>
      <c r="G2827" s="4" t="str">
        <f>_xlfn.LET(_xlpm.ig, _xlfn.XLOOKUP(Clean_Data[[#This Row],[Country_Code]], Metadata_Country!$A:$A, Metadata_Country!$C:$C, "Unknown"), IF(OR(_xlpm.ig=0, _xlpm.ig=""), "Regional Aggregate", _xlpm.ig))</f>
        <v>Lower middle income</v>
      </c>
      <c r="H2827" s="4">
        <f>Clean_Data[[#This Row],[Exports_TIV]] - Clean_Data[[#This Row],[Imports_TIV]]</f>
        <v>-3000000</v>
      </c>
      <c r="I2827" s="4">
        <f>Clean_Data[[#This Row],[Exports_TIV]] + Clean_Data[[#This Row],[Imports_TIV]]</f>
        <v>3000000</v>
      </c>
    </row>
    <row r="2828" spans="1:9">
      <c r="A2828" s="4" t="s">
        <v>65</v>
      </c>
      <c r="B2828" s="4" t="s">
        <v>66</v>
      </c>
      <c r="C2828" s="5">
        <v>2007</v>
      </c>
      <c r="D2828" s="4">
        <v>0</v>
      </c>
      <c r="E2828" s="4">
        <v>2000000</v>
      </c>
      <c r="F2828" s="4" t="str">
        <f>_xlfn.LET(_xlpm.r, _xlfn.XLOOKUP(Clean_Data[[#This Row],[Country_Code]], Metadata_Country!$A:$A, Metadata_Country!$B:$B, "Unknown"), IF(OR(_xlpm.r=0, _xlpm.r=""), "Regional Aggregate", _xlpm.r))</f>
        <v>Latin America &amp; Caribbean</v>
      </c>
      <c r="G2828" s="4" t="str">
        <f>_xlfn.LET(_xlpm.ig, _xlfn.XLOOKUP(Clean_Data[[#This Row],[Country_Code]], Metadata_Country!$A:$A, Metadata_Country!$C:$C, "Unknown"), IF(OR(_xlpm.ig=0, _xlpm.ig=""), "Regional Aggregate", _xlpm.ig))</f>
        <v>Lower middle income</v>
      </c>
      <c r="H2828" s="4">
        <f>Clean_Data[[#This Row],[Exports_TIV]] - Clean_Data[[#This Row],[Imports_TIV]]</f>
        <v>-2000000</v>
      </c>
      <c r="I2828" s="4">
        <f>Clean_Data[[#This Row],[Exports_TIV]] + Clean_Data[[#This Row],[Imports_TIV]]</f>
        <v>2000000</v>
      </c>
    </row>
    <row r="2829" spans="1:9">
      <c r="A2829" s="4" t="s">
        <v>67</v>
      </c>
      <c r="B2829" s="4" t="s">
        <v>68</v>
      </c>
      <c r="C2829" s="5">
        <v>2007</v>
      </c>
      <c r="D2829" s="4">
        <v>54000000</v>
      </c>
      <c r="E2829" s="4">
        <v>188000000</v>
      </c>
      <c r="F2829" s="4" t="str">
        <f>_xlfn.LET(_xlpm.r, _xlfn.XLOOKUP(Clean_Data[[#This Row],[Country_Code]], Metadata_Country!$A:$A, Metadata_Country!$B:$B, "Unknown"), IF(OR(_xlpm.r=0, _xlpm.r=""), "Regional Aggregate", _xlpm.r))</f>
        <v>Latin America &amp; Caribbean</v>
      </c>
      <c r="G2829" s="4" t="str">
        <f>_xlfn.LET(_xlpm.ig, _xlfn.XLOOKUP(Clean_Data[[#This Row],[Country_Code]], Metadata_Country!$A:$A, Metadata_Country!$C:$C, "Unknown"), IF(OR(_xlpm.ig=0, _xlpm.ig=""), "Regional Aggregate", _xlpm.ig))</f>
        <v>Upper middle income</v>
      </c>
      <c r="H2829" s="4">
        <f>Clean_Data[[#This Row],[Exports_TIV]] - Clean_Data[[#This Row],[Imports_TIV]]</f>
        <v>-134000000</v>
      </c>
      <c r="I2829" s="4">
        <f>Clean_Data[[#This Row],[Exports_TIV]] + Clean_Data[[#This Row],[Imports_TIV]]</f>
        <v>242000000</v>
      </c>
    </row>
    <row r="2830" spans="1:9">
      <c r="A2830" s="4" t="s">
        <v>51</v>
      </c>
      <c r="B2830" s="4" t="s">
        <v>52</v>
      </c>
      <c r="C2830" s="5">
        <v>2007</v>
      </c>
      <c r="D2830" s="4">
        <v>9000000</v>
      </c>
      <c r="E2830" s="4">
        <v>48000000</v>
      </c>
      <c r="F2830" s="4" t="str">
        <f>_xlfn.LET(_xlpm.r, _xlfn.XLOOKUP(Clean_Data[[#This Row],[Country_Code]], Metadata_Country!$A:$A, Metadata_Country!$B:$B, "Unknown"), IF(OR(_xlpm.r=0, _xlpm.r=""), "Regional Aggregate", _xlpm.r))</f>
        <v>Europe &amp; Central Asia</v>
      </c>
      <c r="G2830" s="4" t="str">
        <f>_xlfn.LET(_xlpm.ig, _xlfn.XLOOKUP(Clean_Data[[#This Row],[Country_Code]], Metadata_Country!$A:$A, Metadata_Country!$C:$C, "Unknown"), IF(OR(_xlpm.ig=0, _xlpm.ig=""), "Regional Aggregate", _xlpm.ig))</f>
        <v>High income</v>
      </c>
      <c r="H2830" s="4">
        <f>Clean_Data[[#This Row],[Exports_TIV]] - Clean_Data[[#This Row],[Imports_TIV]]</f>
        <v>-39000000</v>
      </c>
      <c r="I2830" s="4">
        <f>Clean_Data[[#This Row],[Exports_TIV]] + Clean_Data[[#This Row],[Imports_TIV]]</f>
        <v>57000000</v>
      </c>
    </row>
    <row r="2831" spans="1:9">
      <c r="A2831" s="4" t="s">
        <v>47</v>
      </c>
      <c r="B2831" s="4" t="s">
        <v>48</v>
      </c>
      <c r="C2831" s="5">
        <v>2007</v>
      </c>
      <c r="D2831" s="4">
        <v>0</v>
      </c>
      <c r="E2831" s="4">
        <v>4000000</v>
      </c>
      <c r="F2831" s="4" t="str">
        <f>_xlfn.LET(_xlpm.r, _xlfn.XLOOKUP(Clean_Data[[#This Row],[Country_Code]], Metadata_Country!$A:$A, Metadata_Country!$B:$B, "Unknown"), IF(OR(_xlpm.r=0, _xlpm.r=""), "Regional Aggregate", _xlpm.r))</f>
        <v>Sub-Saharan Africa</v>
      </c>
      <c r="G2831" s="4" t="str">
        <f>_xlfn.LET(_xlpm.ig, _xlfn.XLOOKUP(Clean_Data[[#This Row],[Country_Code]], Metadata_Country!$A:$A, Metadata_Country!$C:$C, "Unknown"), IF(OR(_xlpm.ig=0, _xlpm.ig=""), "Regional Aggregate", _xlpm.ig))</f>
        <v>Low income</v>
      </c>
      <c r="H2831" s="4">
        <f>Clean_Data[[#This Row],[Exports_TIV]] - Clean_Data[[#This Row],[Imports_TIV]]</f>
        <v>-4000000</v>
      </c>
      <c r="I2831" s="4">
        <f>Clean_Data[[#This Row],[Exports_TIV]] + Clean_Data[[#This Row],[Imports_TIV]]</f>
        <v>4000000</v>
      </c>
    </row>
    <row r="2832" spans="1:9">
      <c r="A2832" s="4" t="s">
        <v>255</v>
      </c>
      <c r="B2832" s="4" t="s">
        <v>256</v>
      </c>
      <c r="C2832" s="5">
        <v>2007</v>
      </c>
      <c r="D2832" s="4">
        <v>0</v>
      </c>
      <c r="E2832" s="4">
        <v>56000000</v>
      </c>
      <c r="F2832" s="4" t="str">
        <f>_xlfn.LET(_xlpm.r, _xlfn.XLOOKUP(Clean_Data[[#This Row],[Country_Code]], Metadata_Country!$A:$A, Metadata_Country!$B:$B, "Unknown"), IF(OR(_xlpm.r=0, _xlpm.r=""), "Regional Aggregate", _xlpm.r))</f>
        <v>East Asia &amp; Pacific</v>
      </c>
      <c r="G2832" s="4" t="str">
        <f>_xlfn.LET(_xlpm.ig, _xlfn.XLOOKUP(Clean_Data[[#This Row],[Country_Code]], Metadata_Country!$A:$A, Metadata_Country!$C:$C, "Unknown"), IF(OR(_xlpm.ig=0, _xlpm.ig=""), "Regional Aggregate", _xlpm.ig))</f>
        <v>Lower middle income</v>
      </c>
      <c r="H2832" s="4">
        <f>Clean_Data[[#This Row],[Exports_TIV]] - Clean_Data[[#This Row],[Imports_TIV]]</f>
        <v>-56000000</v>
      </c>
      <c r="I2832" s="4">
        <f>Clean_Data[[#This Row],[Exports_TIV]] + Clean_Data[[#This Row],[Imports_TIV]]</f>
        <v>56000000</v>
      </c>
    </row>
    <row r="2833" spans="1:9">
      <c r="A2833" s="4" t="s">
        <v>79</v>
      </c>
      <c r="B2833" s="4" t="s">
        <v>80</v>
      </c>
      <c r="C2833" s="5">
        <v>2007</v>
      </c>
      <c r="D2833" s="4">
        <v>334000000</v>
      </c>
      <c r="E2833" s="4">
        <v>478000000</v>
      </c>
      <c r="F2833" s="4" t="str">
        <f>_xlfn.LET(_xlpm.r, _xlfn.XLOOKUP(Clean_Data[[#This Row],[Country_Code]], Metadata_Country!$A:$A, Metadata_Country!$B:$B, "Unknown"), IF(OR(_xlpm.r=0, _xlpm.r=""), "Regional Aggregate", _xlpm.r))</f>
        <v>North America</v>
      </c>
      <c r="G2833" s="4" t="str">
        <f>_xlfn.LET(_xlpm.ig, _xlfn.XLOOKUP(Clean_Data[[#This Row],[Country_Code]], Metadata_Country!$A:$A, Metadata_Country!$C:$C, "Unknown"), IF(OR(_xlpm.ig=0, _xlpm.ig=""), "Regional Aggregate", _xlpm.ig))</f>
        <v>High income</v>
      </c>
      <c r="H2833" s="4">
        <f>Clean_Data[[#This Row],[Exports_TIV]] - Clean_Data[[#This Row],[Imports_TIV]]</f>
        <v>-144000000</v>
      </c>
      <c r="I2833" s="4">
        <f>Clean_Data[[#This Row],[Exports_TIV]] + Clean_Data[[#This Row],[Imports_TIV]]</f>
        <v>812000000</v>
      </c>
    </row>
    <row r="2834" spans="1:9">
      <c r="A2834" s="4" t="s">
        <v>81</v>
      </c>
      <c r="B2834" s="4" t="s">
        <v>82</v>
      </c>
      <c r="C2834" s="5">
        <v>2007</v>
      </c>
      <c r="D2834" s="4">
        <v>269000000</v>
      </c>
      <c r="E2834" s="4">
        <v>1419000000</v>
      </c>
      <c r="F2834" s="4" t="str">
        <f>_xlfn.LET(_xlpm.r, _xlfn.XLOOKUP(Clean_Data[[#This Row],[Country_Code]], Metadata_Country!$A:$A, Metadata_Country!$B:$B, "Unknown"), IF(OR(_xlpm.r=0, _xlpm.r=""), "Regional Aggregate", _xlpm.r))</f>
        <v>Regional Aggregate</v>
      </c>
      <c r="G2834" s="4" t="str">
        <f>_xlfn.LET(_xlpm.ig, _xlfn.XLOOKUP(Clean_Data[[#This Row],[Country_Code]], Metadata_Country!$A:$A, Metadata_Country!$C:$C, "Unknown"), IF(OR(_xlpm.ig=0, _xlpm.ig=""), "Regional Aggregate", _xlpm.ig))</f>
        <v>Regional Aggregate</v>
      </c>
      <c r="H2834" s="4">
        <f>Clean_Data[[#This Row],[Exports_TIV]] - Clean_Data[[#This Row],[Imports_TIV]]</f>
        <v>-1150000000</v>
      </c>
      <c r="I2834" s="4">
        <f>Clean_Data[[#This Row],[Exports_TIV]] + Clean_Data[[#This Row],[Imports_TIV]]</f>
        <v>1688000000</v>
      </c>
    </row>
    <row r="2835" spans="1:9">
      <c r="A2835" s="4" t="s">
        <v>467</v>
      </c>
      <c r="B2835" s="4" t="s">
        <v>468</v>
      </c>
      <c r="C2835" s="5">
        <v>2007</v>
      </c>
      <c r="D2835" s="4">
        <v>0</v>
      </c>
      <c r="E2835" s="4">
        <v>30000000</v>
      </c>
      <c r="F2835" s="4" t="str">
        <f>_xlfn.LET(_xlpm.r, _xlfn.XLOOKUP(Clean_Data[[#This Row],[Country_Code]], Metadata_Country!$A:$A, Metadata_Country!$B:$B, "Unknown"), IF(OR(_xlpm.r=0, _xlpm.r=""), "Regional Aggregate", _xlpm.r))</f>
        <v>Sub-Saharan Africa</v>
      </c>
      <c r="G2835" s="4" t="str">
        <f>_xlfn.LET(_xlpm.ig, _xlfn.XLOOKUP(Clean_Data[[#This Row],[Country_Code]], Metadata_Country!$A:$A, Metadata_Country!$C:$C, "Unknown"), IF(OR(_xlpm.ig=0, _xlpm.ig=""), "Regional Aggregate", _xlpm.ig))</f>
        <v>Low income</v>
      </c>
      <c r="H2835" s="4">
        <f>Clean_Data[[#This Row],[Exports_TIV]] - Clean_Data[[#This Row],[Imports_TIV]]</f>
        <v>-30000000</v>
      </c>
      <c r="I2835" s="4">
        <f>Clean_Data[[#This Row],[Exports_TIV]] + Clean_Data[[#This Row],[Imports_TIV]]</f>
        <v>30000000</v>
      </c>
    </row>
    <row r="2836" spans="1:9">
      <c r="A2836" s="4" t="s">
        <v>87</v>
      </c>
      <c r="B2836" s="4" t="s">
        <v>88</v>
      </c>
      <c r="C2836" s="5">
        <v>2007</v>
      </c>
      <c r="D2836" s="4">
        <v>0</v>
      </c>
      <c r="E2836" s="4">
        <v>659000000</v>
      </c>
      <c r="F2836" s="4" t="str">
        <f>_xlfn.LET(_xlpm.r, _xlfn.XLOOKUP(Clean_Data[[#This Row],[Country_Code]], Metadata_Country!$A:$A, Metadata_Country!$B:$B, "Unknown"), IF(OR(_xlpm.r=0, _xlpm.r=""), "Regional Aggregate", _xlpm.r))</f>
        <v>Latin America &amp; Caribbean</v>
      </c>
      <c r="G2836" s="4" t="str">
        <f>_xlfn.LET(_xlpm.ig, _xlfn.XLOOKUP(Clean_Data[[#This Row],[Country_Code]], Metadata_Country!$A:$A, Metadata_Country!$C:$C, "Unknown"), IF(OR(_xlpm.ig=0, _xlpm.ig=""), "Regional Aggregate", _xlpm.ig))</f>
        <v>High income</v>
      </c>
      <c r="H2836" s="4">
        <f>Clean_Data[[#This Row],[Exports_TIV]] - Clean_Data[[#This Row],[Imports_TIV]]</f>
        <v>-659000000</v>
      </c>
      <c r="I2836" s="4">
        <f>Clean_Data[[#This Row],[Exports_TIV]] + Clean_Data[[#This Row],[Imports_TIV]]</f>
        <v>659000000</v>
      </c>
    </row>
    <row r="2837" spans="1:9">
      <c r="A2837" s="4" t="s">
        <v>89</v>
      </c>
      <c r="B2837" s="4" t="s">
        <v>90</v>
      </c>
      <c r="C2837" s="5">
        <v>2007</v>
      </c>
      <c r="D2837" s="4">
        <v>520000000</v>
      </c>
      <c r="E2837" s="4">
        <v>1699000000</v>
      </c>
      <c r="F2837" s="4" t="str">
        <f>_xlfn.LET(_xlpm.r, _xlfn.XLOOKUP(Clean_Data[[#This Row],[Country_Code]], Metadata_Country!$A:$A, Metadata_Country!$B:$B, "Unknown"), IF(OR(_xlpm.r=0, _xlpm.r=""), "Regional Aggregate", _xlpm.r))</f>
        <v>East Asia &amp; Pacific</v>
      </c>
      <c r="G2837" s="4" t="str">
        <f>_xlfn.LET(_xlpm.ig, _xlfn.XLOOKUP(Clean_Data[[#This Row],[Country_Code]], Metadata_Country!$A:$A, Metadata_Country!$C:$C, "Unknown"), IF(OR(_xlpm.ig=0, _xlpm.ig=""), "Regional Aggregate", _xlpm.ig))</f>
        <v>Upper middle income</v>
      </c>
      <c r="H2837" s="4">
        <f>Clean_Data[[#This Row],[Exports_TIV]] - Clean_Data[[#This Row],[Imports_TIV]]</f>
        <v>-1179000000</v>
      </c>
      <c r="I2837" s="4">
        <f>Clean_Data[[#This Row],[Exports_TIV]] + Clean_Data[[#This Row],[Imports_TIV]]</f>
        <v>2219000000</v>
      </c>
    </row>
    <row r="2838" spans="1:9">
      <c r="A2838" s="4" t="s">
        <v>99</v>
      </c>
      <c r="B2838" s="4" t="s">
        <v>100</v>
      </c>
      <c r="C2838" s="5">
        <v>2007</v>
      </c>
      <c r="D2838" s="4">
        <v>0</v>
      </c>
      <c r="E2838" s="4">
        <v>237000000</v>
      </c>
      <c r="F2838" s="4" t="str">
        <f>_xlfn.LET(_xlpm.r, _xlfn.XLOOKUP(Clean_Data[[#This Row],[Country_Code]], Metadata_Country!$A:$A, Metadata_Country!$B:$B, "Unknown"), IF(OR(_xlpm.r=0, _xlpm.r=""), "Regional Aggregate", _xlpm.r))</f>
        <v>Latin America &amp; Caribbean</v>
      </c>
      <c r="G2838" s="4" t="str">
        <f>_xlfn.LET(_xlpm.ig, _xlfn.XLOOKUP(Clean_Data[[#This Row],[Country_Code]], Metadata_Country!$A:$A, Metadata_Country!$C:$C, "Unknown"), IF(OR(_xlpm.ig=0, _xlpm.ig=""), "Regional Aggregate", _xlpm.ig))</f>
        <v>Upper middle income</v>
      </c>
      <c r="H2838" s="4">
        <f>Clean_Data[[#This Row],[Exports_TIV]] - Clean_Data[[#This Row],[Imports_TIV]]</f>
        <v>-237000000</v>
      </c>
      <c r="I2838" s="4">
        <f>Clean_Data[[#This Row],[Exports_TIV]] + Clean_Data[[#This Row],[Imports_TIV]]</f>
        <v>237000000</v>
      </c>
    </row>
    <row r="2839" spans="1:9">
      <c r="A2839" s="4" t="s">
        <v>97</v>
      </c>
      <c r="B2839" s="4" t="s">
        <v>98</v>
      </c>
      <c r="C2839" s="5">
        <v>2007</v>
      </c>
      <c r="D2839" s="4">
        <v>0</v>
      </c>
      <c r="E2839" s="4">
        <v>0</v>
      </c>
      <c r="F2839" s="4" t="str">
        <f>_xlfn.LET(_xlpm.r, _xlfn.XLOOKUP(Clean_Data[[#This Row],[Country_Code]], Metadata_Country!$A:$A, Metadata_Country!$B:$B, "Unknown"), IF(OR(_xlpm.r=0, _xlpm.r=""), "Regional Aggregate", _xlpm.r))</f>
        <v>Sub-Saharan Africa</v>
      </c>
      <c r="G2839" s="4" t="str">
        <f>_xlfn.LET(_xlpm.ig, _xlfn.XLOOKUP(Clean_Data[[#This Row],[Country_Code]], Metadata_Country!$A:$A, Metadata_Country!$C:$C, "Unknown"), IF(OR(_xlpm.ig=0, _xlpm.ig=""), "Regional Aggregate", _xlpm.ig))</f>
        <v>Lower middle income</v>
      </c>
      <c r="H2839" s="4">
        <f>Clean_Data[[#This Row],[Exports_TIV]] - Clean_Data[[#This Row],[Imports_TIV]]</f>
        <v>0</v>
      </c>
      <c r="I2839" s="4">
        <f>Clean_Data[[#This Row],[Exports_TIV]] + Clean_Data[[#This Row],[Imports_TIV]]</f>
        <v>0</v>
      </c>
    </row>
    <row r="2840" spans="1:9">
      <c r="A2840" s="4" t="s">
        <v>207</v>
      </c>
      <c r="B2840" s="4" t="s">
        <v>208</v>
      </c>
      <c r="C2840" s="5">
        <v>2007</v>
      </c>
      <c r="D2840" s="4">
        <v>0</v>
      </c>
      <c r="E2840" s="4">
        <v>20000000</v>
      </c>
      <c r="F2840" s="4" t="str">
        <f>_xlfn.LET(_xlpm.r, _xlfn.XLOOKUP(Clean_Data[[#This Row],[Country_Code]], Metadata_Country!$A:$A, Metadata_Country!$B:$B, "Unknown"), IF(OR(_xlpm.r=0, _xlpm.r=""), "Regional Aggregate", _xlpm.r))</f>
        <v>Europe &amp; Central Asia</v>
      </c>
      <c r="G2840" s="4" t="str">
        <f>_xlfn.LET(_xlpm.ig, _xlfn.XLOOKUP(Clean_Data[[#This Row],[Country_Code]], Metadata_Country!$A:$A, Metadata_Country!$C:$C, "Unknown"), IF(OR(_xlpm.ig=0, _xlpm.ig=""), "Regional Aggregate", _xlpm.ig))</f>
        <v>High income</v>
      </c>
      <c r="H2840" s="4">
        <f>Clean_Data[[#This Row],[Exports_TIV]] - Clean_Data[[#This Row],[Imports_TIV]]</f>
        <v>-20000000</v>
      </c>
      <c r="I2840" s="4">
        <f>Clean_Data[[#This Row],[Exports_TIV]] + Clean_Data[[#This Row],[Imports_TIV]]</f>
        <v>20000000</v>
      </c>
    </row>
    <row r="2841" spans="1:9">
      <c r="A2841" s="4" t="s">
        <v>115</v>
      </c>
      <c r="B2841" s="4" t="s">
        <v>116</v>
      </c>
      <c r="C2841" s="5">
        <v>2007</v>
      </c>
      <c r="D2841" s="4">
        <v>0</v>
      </c>
      <c r="E2841" s="4">
        <v>16000000</v>
      </c>
      <c r="F2841" s="4" t="str">
        <f>_xlfn.LET(_xlpm.r, _xlfn.XLOOKUP(Clean_Data[[#This Row],[Country_Code]], Metadata_Country!$A:$A, Metadata_Country!$B:$B, "Unknown"), IF(OR(_xlpm.r=0, _xlpm.r=""), "Regional Aggregate", _xlpm.r))</f>
        <v>Europe &amp; Central Asia</v>
      </c>
      <c r="G2841" s="4" t="str">
        <f>_xlfn.LET(_xlpm.ig, _xlfn.XLOOKUP(Clean_Data[[#This Row],[Country_Code]], Metadata_Country!$A:$A, Metadata_Country!$C:$C, "Unknown"), IF(OR(_xlpm.ig=0, _xlpm.ig=""), "Regional Aggregate", _xlpm.ig))</f>
        <v>High income</v>
      </c>
      <c r="H2841" s="4">
        <f>Clean_Data[[#This Row],[Exports_TIV]] - Clean_Data[[#This Row],[Imports_TIV]]</f>
        <v>-16000000</v>
      </c>
      <c r="I2841" s="4">
        <f>Clean_Data[[#This Row],[Exports_TIV]] + Clean_Data[[#This Row],[Imports_TIV]]</f>
        <v>16000000</v>
      </c>
    </row>
    <row r="2842" spans="1:9">
      <c r="A2842" s="4" t="s">
        <v>117</v>
      </c>
      <c r="B2842" s="4" t="s">
        <v>118</v>
      </c>
      <c r="C2842" s="5">
        <v>2007</v>
      </c>
      <c r="D2842" s="4">
        <v>34000000</v>
      </c>
      <c r="E2842" s="4">
        <v>10000000</v>
      </c>
      <c r="F2842" s="4" t="str">
        <f>_xlfn.LET(_xlpm.r, _xlfn.XLOOKUP(Clean_Data[[#This Row],[Country_Code]], Metadata_Country!$A:$A, Metadata_Country!$B:$B, "Unknown"), IF(OR(_xlpm.r=0, _xlpm.r=""), "Regional Aggregate", _xlpm.r))</f>
        <v>Europe &amp; Central Asia</v>
      </c>
      <c r="G2842" s="4" t="str">
        <f>_xlfn.LET(_xlpm.ig, _xlfn.XLOOKUP(Clean_Data[[#This Row],[Country_Code]], Metadata_Country!$A:$A, Metadata_Country!$C:$C, "Unknown"), IF(OR(_xlpm.ig=0, _xlpm.ig=""), "Regional Aggregate", _xlpm.ig))</f>
        <v>High income</v>
      </c>
      <c r="H2842" s="4">
        <f>Clean_Data[[#This Row],[Exports_TIV]] - Clean_Data[[#This Row],[Imports_TIV]]</f>
        <v>24000000</v>
      </c>
      <c r="I2842" s="4">
        <f>Clean_Data[[#This Row],[Exports_TIV]] + Clean_Data[[#This Row],[Imports_TIV]]</f>
        <v>44000000</v>
      </c>
    </row>
    <row r="2843" spans="1:9">
      <c r="A2843" s="4" t="s">
        <v>125</v>
      </c>
      <c r="B2843" s="4" t="s">
        <v>126</v>
      </c>
      <c r="C2843" s="5">
        <v>2007</v>
      </c>
      <c r="D2843" s="4">
        <v>6000000</v>
      </c>
      <c r="E2843" s="4">
        <v>133000000</v>
      </c>
      <c r="F2843" s="4" t="str">
        <f>_xlfn.LET(_xlpm.r, _xlfn.XLOOKUP(Clean_Data[[#This Row],[Country_Code]], Metadata_Country!$A:$A, Metadata_Country!$B:$B, "Unknown"), IF(OR(_xlpm.r=0, _xlpm.r=""), "Regional Aggregate", _xlpm.r))</f>
        <v>Europe &amp; Central Asia</v>
      </c>
      <c r="G2843" s="4" t="str">
        <f>_xlfn.LET(_xlpm.ig, _xlfn.XLOOKUP(Clean_Data[[#This Row],[Country_Code]], Metadata_Country!$A:$A, Metadata_Country!$C:$C, "Unknown"), IF(OR(_xlpm.ig=0, _xlpm.ig=""), "Regional Aggregate", _xlpm.ig))</f>
        <v>High income</v>
      </c>
      <c r="H2843" s="4">
        <f>Clean_Data[[#This Row],[Exports_TIV]] - Clean_Data[[#This Row],[Imports_TIV]]</f>
        <v>-127000000</v>
      </c>
      <c r="I2843" s="4">
        <f>Clean_Data[[#This Row],[Exports_TIV]] + Clean_Data[[#This Row],[Imports_TIV]]</f>
        <v>139000000</v>
      </c>
    </row>
    <row r="2844" spans="1:9">
      <c r="A2844" s="4" t="s">
        <v>133</v>
      </c>
      <c r="B2844" s="4" t="s">
        <v>134</v>
      </c>
      <c r="C2844" s="5">
        <v>2007</v>
      </c>
      <c r="D2844" s="4">
        <v>0</v>
      </c>
      <c r="E2844" s="4">
        <v>9375000000</v>
      </c>
      <c r="F2844" s="4" t="str">
        <f>_xlfn.LET(_xlpm.r, _xlfn.XLOOKUP(Clean_Data[[#This Row],[Country_Code]], Metadata_Country!$A:$A, Metadata_Country!$B:$B, "Unknown"), IF(OR(_xlpm.r=0, _xlpm.r=""), "Regional Aggregate", _xlpm.r))</f>
        <v>Regional Aggregate</v>
      </c>
      <c r="G2844" s="4" t="str">
        <f>_xlfn.LET(_xlpm.ig, _xlfn.XLOOKUP(Clean_Data[[#This Row],[Country_Code]], Metadata_Country!$A:$A, Metadata_Country!$C:$C, "Unknown"), IF(OR(_xlpm.ig=0, _xlpm.ig=""), "Regional Aggregate", _xlpm.ig))</f>
        <v>Regional Aggregate</v>
      </c>
      <c r="H2844" s="4">
        <f>Clean_Data[[#This Row],[Exports_TIV]] - Clean_Data[[#This Row],[Imports_TIV]]</f>
        <v>-9375000000</v>
      </c>
      <c r="I2844" s="4">
        <f>Clean_Data[[#This Row],[Exports_TIV]] + Clean_Data[[#This Row],[Imports_TIV]]</f>
        <v>9375000000</v>
      </c>
    </row>
    <row r="2845" spans="1:9">
      <c r="A2845" s="4" t="s">
        <v>135</v>
      </c>
      <c r="B2845" s="4" t="s">
        <v>136</v>
      </c>
      <c r="C2845" s="5">
        <v>2007</v>
      </c>
      <c r="D2845" s="4">
        <v>0</v>
      </c>
      <c r="E2845" s="4">
        <v>6412000000</v>
      </c>
      <c r="F2845" s="4" t="str">
        <f>_xlfn.LET(_xlpm.r, _xlfn.XLOOKUP(Clean_Data[[#This Row],[Country_Code]], Metadata_Country!$A:$A, Metadata_Country!$B:$B, "Unknown"), IF(OR(_xlpm.r=0, _xlpm.r=""), "Regional Aggregate", _xlpm.r))</f>
        <v>Regional Aggregate</v>
      </c>
      <c r="G2845" s="4" t="str">
        <f>_xlfn.LET(_xlpm.ig, _xlfn.XLOOKUP(Clean_Data[[#This Row],[Country_Code]], Metadata_Country!$A:$A, Metadata_Country!$C:$C, "Unknown"), IF(OR(_xlpm.ig=0, _xlpm.ig=""), "Regional Aggregate", _xlpm.ig))</f>
        <v>Regional Aggregate</v>
      </c>
      <c r="H2845" s="4">
        <f>Clean_Data[[#This Row],[Exports_TIV]] - Clean_Data[[#This Row],[Imports_TIV]]</f>
        <v>-6412000000</v>
      </c>
      <c r="I2845" s="4">
        <f>Clean_Data[[#This Row],[Exports_TIV]] + Clean_Data[[#This Row],[Imports_TIV]]</f>
        <v>6412000000</v>
      </c>
    </row>
    <row r="2846" spans="1:9">
      <c r="A2846" s="4" t="s">
        <v>131</v>
      </c>
      <c r="B2846" s="4" t="s">
        <v>132</v>
      </c>
      <c r="C2846" s="5">
        <v>2007</v>
      </c>
      <c r="D2846" s="4">
        <v>539000000</v>
      </c>
      <c r="E2846" s="4">
        <v>3021000000</v>
      </c>
      <c r="F2846" s="4" t="str">
        <f>_xlfn.LET(_xlpm.r, _xlfn.XLOOKUP(Clean_Data[[#This Row],[Country_Code]], Metadata_Country!$A:$A, Metadata_Country!$B:$B, "Unknown"), IF(OR(_xlpm.r=0, _xlpm.r=""), "Regional Aggregate", _xlpm.r))</f>
        <v>Regional Aggregate</v>
      </c>
      <c r="G2846" s="4" t="str">
        <f>_xlfn.LET(_xlpm.ig, _xlfn.XLOOKUP(Clean_Data[[#This Row],[Country_Code]], Metadata_Country!$A:$A, Metadata_Country!$C:$C, "Unknown"), IF(OR(_xlpm.ig=0, _xlpm.ig=""), "Regional Aggregate", _xlpm.ig))</f>
        <v>Regional Aggregate</v>
      </c>
      <c r="H2846" s="4">
        <f>Clean_Data[[#This Row],[Exports_TIV]] - Clean_Data[[#This Row],[Imports_TIV]]</f>
        <v>-2482000000</v>
      </c>
      <c r="I2846" s="4">
        <f>Clean_Data[[#This Row],[Exports_TIV]] + Clean_Data[[#This Row],[Imports_TIV]]</f>
        <v>3560000000</v>
      </c>
    </row>
    <row r="2847" spans="1:9">
      <c r="A2847" s="4" t="s">
        <v>469</v>
      </c>
      <c r="B2847" s="4" t="s">
        <v>470</v>
      </c>
      <c r="C2847" s="5">
        <v>2007</v>
      </c>
      <c r="D2847" s="4">
        <v>524000000</v>
      </c>
      <c r="E2847" s="4">
        <v>3016000000</v>
      </c>
      <c r="F2847" s="4" t="str">
        <f>_xlfn.LET(_xlpm.r, _xlfn.XLOOKUP(Clean_Data[[#This Row],[Country_Code]], Metadata_Country!$A:$A, Metadata_Country!$B:$B, "Unknown"), IF(OR(_xlpm.r=0, _xlpm.r=""), "Regional Aggregate", _xlpm.r))</f>
        <v>Regional Aggregate</v>
      </c>
      <c r="G2847" s="4" t="str">
        <f>_xlfn.LET(_xlpm.ig, _xlfn.XLOOKUP(Clean_Data[[#This Row],[Country_Code]], Metadata_Country!$A:$A, Metadata_Country!$C:$C, "Unknown"), IF(OR(_xlpm.ig=0, _xlpm.ig=""), "Regional Aggregate", _xlpm.ig))</f>
        <v>Regional Aggregate</v>
      </c>
      <c r="H2847" s="4">
        <f>Clean_Data[[#This Row],[Exports_TIV]] - Clean_Data[[#This Row],[Imports_TIV]]</f>
        <v>-2492000000</v>
      </c>
      <c r="I2847" s="4">
        <f>Clean_Data[[#This Row],[Exports_TIV]] + Clean_Data[[#This Row],[Imports_TIV]]</f>
        <v>3540000000</v>
      </c>
    </row>
    <row r="2848" spans="1:9">
      <c r="A2848" s="4" t="s">
        <v>141</v>
      </c>
      <c r="B2848" s="4" t="s">
        <v>142</v>
      </c>
      <c r="C2848" s="5">
        <v>2007</v>
      </c>
      <c r="D2848" s="4">
        <v>0</v>
      </c>
      <c r="E2848" s="4">
        <v>2000000</v>
      </c>
      <c r="F2848" s="4" t="str">
        <f>_xlfn.LET(_xlpm.r, _xlfn.XLOOKUP(Clean_Data[[#This Row],[Country_Code]], Metadata_Country!$A:$A, Metadata_Country!$B:$B, "Unknown"), IF(OR(_xlpm.r=0, _xlpm.r=""), "Regional Aggregate", _xlpm.r))</f>
        <v>Latin America &amp; Caribbean</v>
      </c>
      <c r="G2848" s="4" t="str">
        <f>_xlfn.LET(_xlpm.ig, _xlfn.XLOOKUP(Clean_Data[[#This Row],[Country_Code]], Metadata_Country!$A:$A, Metadata_Country!$C:$C, "Unknown"), IF(OR(_xlpm.ig=0, _xlpm.ig=""), "Regional Aggregate", _xlpm.ig))</f>
        <v>Upper middle income</v>
      </c>
      <c r="H2848" s="4">
        <f>Clean_Data[[#This Row],[Exports_TIV]] - Clean_Data[[#This Row],[Imports_TIV]]</f>
        <v>-2000000</v>
      </c>
      <c r="I2848" s="4">
        <f>Clean_Data[[#This Row],[Exports_TIV]] + Clean_Data[[#This Row],[Imports_TIV]]</f>
        <v>2000000</v>
      </c>
    </row>
    <row r="2849" spans="1:9">
      <c r="A2849" s="4" t="s">
        <v>143</v>
      </c>
      <c r="B2849" s="4" t="s">
        <v>144</v>
      </c>
      <c r="C2849" s="5">
        <v>2007</v>
      </c>
      <c r="D2849" s="4">
        <v>0</v>
      </c>
      <c r="E2849" s="4">
        <v>660000000</v>
      </c>
      <c r="F2849" s="4" t="str">
        <f>_xlfn.LET(_xlpm.r, _xlfn.XLOOKUP(Clean_Data[[#This Row],[Country_Code]], Metadata_Country!$A:$A, Metadata_Country!$B:$B, "Unknown"), IF(OR(_xlpm.r=0, _xlpm.r=""), "Regional Aggregate", _xlpm.r))</f>
        <v>Middle East &amp; North Africa</v>
      </c>
      <c r="G2849" s="4" t="str">
        <f>_xlfn.LET(_xlpm.ig, _xlfn.XLOOKUP(Clean_Data[[#This Row],[Country_Code]], Metadata_Country!$A:$A, Metadata_Country!$C:$C, "Unknown"), IF(OR(_xlpm.ig=0, _xlpm.ig=""), "Regional Aggregate", _xlpm.ig))</f>
        <v>Lower middle income</v>
      </c>
      <c r="H2849" s="4">
        <f>Clean_Data[[#This Row],[Exports_TIV]] - Clean_Data[[#This Row],[Imports_TIV]]</f>
        <v>-660000000</v>
      </c>
      <c r="I2849" s="4">
        <f>Clean_Data[[#This Row],[Exports_TIV]] + Clean_Data[[#This Row],[Imports_TIV]]</f>
        <v>660000000</v>
      </c>
    </row>
    <row r="2850" spans="1:9">
      <c r="A2850" s="4" t="s">
        <v>185</v>
      </c>
      <c r="B2850" s="4" t="s">
        <v>186</v>
      </c>
      <c r="C2850" s="5">
        <v>2007</v>
      </c>
      <c r="D2850" s="4">
        <v>0</v>
      </c>
      <c r="E2850" s="4">
        <v>28000000</v>
      </c>
      <c r="F2850" s="4" t="str">
        <f>_xlfn.LET(_xlpm.r, _xlfn.XLOOKUP(Clean_Data[[#This Row],[Country_Code]], Metadata_Country!$A:$A, Metadata_Country!$B:$B, "Unknown"), IF(OR(_xlpm.r=0, _xlpm.r=""), "Regional Aggregate", _xlpm.r))</f>
        <v>Sub-Saharan Africa</v>
      </c>
      <c r="G2850" s="4" t="str">
        <f>_xlfn.LET(_xlpm.ig, _xlfn.XLOOKUP(Clean_Data[[#This Row],[Country_Code]], Metadata_Country!$A:$A, Metadata_Country!$C:$C, "Unknown"), IF(OR(_xlpm.ig=0, _xlpm.ig=""), "Regional Aggregate", _xlpm.ig))</f>
        <v>Upper middle income</v>
      </c>
      <c r="H2850" s="4">
        <f>Clean_Data[[#This Row],[Exports_TIV]] - Clean_Data[[#This Row],[Imports_TIV]]</f>
        <v>-28000000</v>
      </c>
      <c r="I2850" s="4">
        <f>Clean_Data[[#This Row],[Exports_TIV]] + Clean_Data[[#This Row],[Imports_TIV]]</f>
        <v>28000000</v>
      </c>
    </row>
    <row r="2851" spans="1:9">
      <c r="A2851" s="4" t="s">
        <v>147</v>
      </c>
      <c r="B2851" s="4" t="s">
        <v>148</v>
      </c>
      <c r="C2851" s="5">
        <v>2007</v>
      </c>
      <c r="D2851" s="4">
        <v>0</v>
      </c>
      <c r="E2851" s="4">
        <v>4000000</v>
      </c>
      <c r="F2851" s="4" t="str">
        <f>_xlfn.LET(_xlpm.r, _xlfn.XLOOKUP(Clean_Data[[#This Row],[Country_Code]], Metadata_Country!$A:$A, Metadata_Country!$B:$B, "Unknown"), IF(OR(_xlpm.r=0, _xlpm.r=""), "Regional Aggregate", _xlpm.r))</f>
        <v>Sub-Saharan Africa</v>
      </c>
      <c r="G2851" s="4" t="str">
        <f>_xlfn.LET(_xlpm.ig, _xlfn.XLOOKUP(Clean_Data[[#This Row],[Country_Code]], Metadata_Country!$A:$A, Metadata_Country!$C:$C, "Unknown"), IF(OR(_xlpm.ig=0, _xlpm.ig=""), "Regional Aggregate", _xlpm.ig))</f>
        <v>Low income</v>
      </c>
      <c r="H2851" s="4">
        <f>Clean_Data[[#This Row],[Exports_TIV]] - Clean_Data[[#This Row],[Imports_TIV]]</f>
        <v>-4000000</v>
      </c>
      <c r="I2851" s="4">
        <f>Clean_Data[[#This Row],[Exports_TIV]] + Clean_Data[[#This Row],[Imports_TIV]]</f>
        <v>4000000</v>
      </c>
    </row>
    <row r="2852" spans="1:9">
      <c r="A2852" s="4" t="s">
        <v>151</v>
      </c>
      <c r="B2852" s="4" t="s">
        <v>152</v>
      </c>
      <c r="C2852" s="5">
        <v>2007</v>
      </c>
      <c r="D2852" s="4">
        <v>0</v>
      </c>
      <c r="E2852" s="4">
        <v>18000000</v>
      </c>
      <c r="F2852" s="4" t="str">
        <f>_xlfn.LET(_xlpm.r, _xlfn.XLOOKUP(Clean_Data[[#This Row],[Country_Code]], Metadata_Country!$A:$A, Metadata_Country!$B:$B, "Unknown"), IF(OR(_xlpm.r=0, _xlpm.r=""), "Regional Aggregate", _xlpm.r))</f>
        <v>Europe &amp; Central Asia</v>
      </c>
      <c r="G2852" s="4" t="str">
        <f>_xlfn.LET(_xlpm.ig, _xlfn.XLOOKUP(Clean_Data[[#This Row],[Country_Code]], Metadata_Country!$A:$A, Metadata_Country!$C:$C, "Unknown"), IF(OR(_xlpm.ig=0, _xlpm.ig=""), "Regional Aggregate", _xlpm.ig))</f>
        <v>High income</v>
      </c>
      <c r="H2852" s="4">
        <f>Clean_Data[[#This Row],[Exports_TIV]] - Clean_Data[[#This Row],[Imports_TIV]]</f>
        <v>-18000000</v>
      </c>
      <c r="I2852" s="4">
        <f>Clean_Data[[#This Row],[Exports_TIV]] + Clean_Data[[#This Row],[Imports_TIV]]</f>
        <v>18000000</v>
      </c>
    </row>
    <row r="2853" spans="1:9">
      <c r="A2853" s="4" t="s">
        <v>145</v>
      </c>
      <c r="B2853" s="4" t="s">
        <v>146</v>
      </c>
      <c r="C2853" s="5">
        <v>2007</v>
      </c>
      <c r="D2853" s="4">
        <v>8236000000</v>
      </c>
      <c r="E2853" s="4">
        <v>3651000000</v>
      </c>
      <c r="F2853" s="4" t="str">
        <f>_xlfn.LET(_xlpm.r, _xlfn.XLOOKUP(Clean_Data[[#This Row],[Country_Code]], Metadata_Country!$A:$A, Metadata_Country!$B:$B, "Unknown"), IF(OR(_xlpm.r=0, _xlpm.r=""), "Regional Aggregate", _xlpm.r))</f>
        <v>Regional Aggregate</v>
      </c>
      <c r="G2853" s="4" t="str">
        <f>_xlfn.LET(_xlpm.ig, _xlfn.XLOOKUP(Clean_Data[[#This Row],[Country_Code]], Metadata_Country!$A:$A, Metadata_Country!$C:$C, "Unknown"), IF(OR(_xlpm.ig=0, _xlpm.ig=""), "Regional Aggregate", _xlpm.ig))</f>
        <v>Regional Aggregate</v>
      </c>
      <c r="H2853" s="4">
        <f>Clean_Data[[#This Row],[Exports_TIV]] - Clean_Data[[#This Row],[Imports_TIV]]</f>
        <v>4585000000</v>
      </c>
      <c r="I2853" s="4">
        <f>Clean_Data[[#This Row],[Exports_TIV]] + Clean_Data[[#This Row],[Imports_TIV]]</f>
        <v>11887000000</v>
      </c>
    </row>
    <row r="2854" spans="1:9">
      <c r="A2854" s="4" t="s">
        <v>139</v>
      </c>
      <c r="B2854" s="4" t="s">
        <v>140</v>
      </c>
      <c r="C2854" s="5">
        <v>2007</v>
      </c>
      <c r="D2854" s="4">
        <v>16544000000</v>
      </c>
      <c r="E2854" s="4">
        <v>7869000000</v>
      </c>
      <c r="F2854" s="4" t="str">
        <f>_xlfn.LET(_xlpm.r, _xlfn.XLOOKUP(Clean_Data[[#This Row],[Country_Code]], Metadata_Country!$A:$A, Metadata_Country!$B:$B, "Unknown"), IF(OR(_xlpm.r=0, _xlpm.r=""), "Regional Aggregate", _xlpm.r))</f>
        <v>Regional Aggregate</v>
      </c>
      <c r="G2854" s="4" t="str">
        <f>_xlfn.LET(_xlpm.ig, _xlfn.XLOOKUP(Clean_Data[[#This Row],[Country_Code]], Metadata_Country!$A:$A, Metadata_Country!$C:$C, "Unknown"), IF(OR(_xlpm.ig=0, _xlpm.ig=""), "Regional Aggregate", _xlpm.ig))</f>
        <v>Regional Aggregate</v>
      </c>
      <c r="H2854" s="4">
        <f>Clean_Data[[#This Row],[Exports_TIV]] - Clean_Data[[#This Row],[Imports_TIV]]</f>
        <v>8675000000</v>
      </c>
      <c r="I2854" s="4">
        <f>Clean_Data[[#This Row],[Exports_TIV]] + Clean_Data[[#This Row],[Imports_TIV]]</f>
        <v>24413000000</v>
      </c>
    </row>
    <row r="2855" spans="1:9">
      <c r="A2855" s="4" t="s">
        <v>137</v>
      </c>
      <c r="B2855" s="4" t="s">
        <v>138</v>
      </c>
      <c r="C2855" s="5">
        <v>2007</v>
      </c>
      <c r="D2855" s="4">
        <v>884000000</v>
      </c>
      <c r="E2855" s="4">
        <v>0</v>
      </c>
      <c r="F2855" s="4" t="str">
        <f>_xlfn.LET(_xlpm.r, _xlfn.XLOOKUP(Clean_Data[[#This Row],[Country_Code]], Metadata_Country!$A:$A, Metadata_Country!$B:$B, "Unknown"), IF(OR(_xlpm.r=0, _xlpm.r=""), "Regional Aggregate", _xlpm.r))</f>
        <v>Regional Aggregate</v>
      </c>
      <c r="G2855" s="4" t="str">
        <f>_xlfn.LET(_xlpm.ig, _xlfn.XLOOKUP(Clean_Data[[#This Row],[Country_Code]], Metadata_Country!$A:$A, Metadata_Country!$C:$C, "Unknown"), IF(OR(_xlpm.ig=0, _xlpm.ig=""), "Regional Aggregate", _xlpm.ig))</f>
        <v>Regional Aggregate</v>
      </c>
      <c r="H2855" s="4">
        <f>Clean_Data[[#This Row],[Exports_TIV]] - Clean_Data[[#This Row],[Imports_TIV]]</f>
        <v>884000000</v>
      </c>
      <c r="I2855" s="4">
        <f>Clean_Data[[#This Row],[Exports_TIV]] + Clean_Data[[#This Row],[Imports_TIV]]</f>
        <v>884000000</v>
      </c>
    </row>
    <row r="2856" spans="1:9">
      <c r="A2856" s="4" t="s">
        <v>471</v>
      </c>
      <c r="B2856" s="4" t="s">
        <v>472</v>
      </c>
      <c r="C2856" s="5">
        <v>2007</v>
      </c>
      <c r="D2856" s="4">
        <v>6684000000</v>
      </c>
      <c r="E2856" s="4">
        <v>2373000000</v>
      </c>
      <c r="F2856" s="4" t="str">
        <f>_xlfn.LET(_xlpm.r, _xlfn.XLOOKUP(Clean_Data[[#This Row],[Country_Code]], Metadata_Country!$A:$A, Metadata_Country!$B:$B, "Unknown"), IF(OR(_xlpm.r=0, _xlpm.r=""), "Regional Aggregate", _xlpm.r))</f>
        <v>Regional Aggregate</v>
      </c>
      <c r="G2856" s="4" t="str">
        <f>_xlfn.LET(_xlpm.ig, _xlfn.XLOOKUP(Clean_Data[[#This Row],[Country_Code]], Metadata_Country!$A:$A, Metadata_Country!$C:$C, "Unknown"), IF(OR(_xlpm.ig=0, _xlpm.ig=""), "Regional Aggregate", _xlpm.ig))</f>
        <v>Regional Aggregate</v>
      </c>
      <c r="H2856" s="4">
        <f>Clean_Data[[#This Row],[Exports_TIV]] - Clean_Data[[#This Row],[Imports_TIV]]</f>
        <v>4311000000</v>
      </c>
      <c r="I2856" s="4">
        <f>Clean_Data[[#This Row],[Exports_TIV]] + Clean_Data[[#This Row],[Imports_TIV]]</f>
        <v>9057000000</v>
      </c>
    </row>
    <row r="2857" spans="1:9">
      <c r="A2857" s="4" t="s">
        <v>155</v>
      </c>
      <c r="B2857" s="4" t="s">
        <v>156</v>
      </c>
      <c r="C2857" s="5">
        <v>2007</v>
      </c>
      <c r="D2857" s="4">
        <v>8812000000</v>
      </c>
      <c r="E2857" s="4">
        <v>5111000000</v>
      </c>
      <c r="F2857" s="4" t="str">
        <f>_xlfn.LET(_xlpm.r, _xlfn.XLOOKUP(Clean_Data[[#This Row],[Country_Code]], Metadata_Country!$A:$A, Metadata_Country!$B:$B, "Unknown"), IF(OR(_xlpm.r=0, _xlpm.r=""), "Regional Aggregate", _xlpm.r))</f>
        <v>Regional Aggregate</v>
      </c>
      <c r="G2857" s="4" t="str">
        <f>_xlfn.LET(_xlpm.ig, _xlfn.XLOOKUP(Clean_Data[[#This Row],[Country_Code]], Metadata_Country!$A:$A, Metadata_Country!$C:$C, "Unknown"), IF(OR(_xlpm.ig=0, _xlpm.ig=""), "Regional Aggregate", _xlpm.ig))</f>
        <v>Regional Aggregate</v>
      </c>
      <c r="H2857" s="4">
        <f>Clean_Data[[#This Row],[Exports_TIV]] - Clean_Data[[#This Row],[Imports_TIV]]</f>
        <v>3701000000</v>
      </c>
      <c r="I2857" s="4">
        <f>Clean_Data[[#This Row],[Exports_TIV]] + Clean_Data[[#This Row],[Imports_TIV]]</f>
        <v>13923000000</v>
      </c>
    </row>
    <row r="2858" spans="1:9">
      <c r="A2858" s="4" t="s">
        <v>159</v>
      </c>
      <c r="B2858" s="4" t="s">
        <v>160</v>
      </c>
      <c r="C2858" s="5">
        <v>2007</v>
      </c>
      <c r="D2858" s="4">
        <v>63000000</v>
      </c>
      <c r="E2858" s="4">
        <v>149000000</v>
      </c>
      <c r="F2858" s="4" t="str">
        <f>_xlfn.LET(_xlpm.r, _xlfn.XLOOKUP(Clean_Data[[#This Row],[Country_Code]], Metadata_Country!$A:$A, Metadata_Country!$B:$B, "Unknown"), IF(OR(_xlpm.r=0, _xlpm.r=""), "Regional Aggregate", _xlpm.r))</f>
        <v>Europe &amp; Central Asia</v>
      </c>
      <c r="G2858" s="4" t="str">
        <f>_xlfn.LET(_xlpm.ig, _xlfn.XLOOKUP(Clean_Data[[#This Row],[Country_Code]], Metadata_Country!$A:$A, Metadata_Country!$C:$C, "Unknown"), IF(OR(_xlpm.ig=0, _xlpm.ig=""), "Regional Aggregate", _xlpm.ig))</f>
        <v>High income</v>
      </c>
      <c r="H2858" s="4">
        <f>Clean_Data[[#This Row],[Exports_TIV]] - Clean_Data[[#This Row],[Imports_TIV]]</f>
        <v>-86000000</v>
      </c>
      <c r="I2858" s="4">
        <f>Clean_Data[[#This Row],[Exports_TIV]] + Clean_Data[[#This Row],[Imports_TIV]]</f>
        <v>212000000</v>
      </c>
    </row>
    <row r="2859" spans="1:9">
      <c r="A2859" s="4" t="s">
        <v>163</v>
      </c>
      <c r="B2859" s="4" t="s">
        <v>164</v>
      </c>
      <c r="C2859" s="5">
        <v>2007</v>
      </c>
      <c r="D2859" s="4">
        <v>2145000000</v>
      </c>
      <c r="E2859" s="4">
        <v>75000000</v>
      </c>
      <c r="F2859" s="4" t="str">
        <f>_xlfn.LET(_xlpm.r, _xlfn.XLOOKUP(Clean_Data[[#This Row],[Country_Code]], Metadata_Country!$A:$A, Metadata_Country!$B:$B, "Unknown"), IF(OR(_xlpm.r=0, _xlpm.r=""), "Regional Aggregate", _xlpm.r))</f>
        <v>Europe &amp; Central Asia</v>
      </c>
      <c r="G2859" s="4" t="str">
        <f>_xlfn.LET(_xlpm.ig, _xlfn.XLOOKUP(Clean_Data[[#This Row],[Country_Code]], Metadata_Country!$A:$A, Metadata_Country!$C:$C, "Unknown"), IF(OR(_xlpm.ig=0, _xlpm.ig=""), "Regional Aggregate", _xlpm.ig))</f>
        <v>High income</v>
      </c>
      <c r="H2859" s="4">
        <f>Clean_Data[[#This Row],[Exports_TIV]] - Clean_Data[[#This Row],[Imports_TIV]]</f>
        <v>2070000000</v>
      </c>
      <c r="I2859" s="4">
        <f>Clean_Data[[#This Row],[Exports_TIV]] + Clean_Data[[#This Row],[Imports_TIV]]</f>
        <v>2220000000</v>
      </c>
    </row>
    <row r="2860" spans="1:9">
      <c r="A2860" s="4" t="s">
        <v>169</v>
      </c>
      <c r="B2860" s="4" t="s">
        <v>170</v>
      </c>
      <c r="C2860" s="5">
        <v>2007</v>
      </c>
      <c r="D2860" s="4">
        <v>0</v>
      </c>
      <c r="E2860" s="4">
        <v>18000000</v>
      </c>
      <c r="F2860" s="4" t="str">
        <f>_xlfn.LET(_xlpm.r, _xlfn.XLOOKUP(Clean_Data[[#This Row],[Country_Code]], Metadata_Country!$A:$A, Metadata_Country!$B:$B, "Unknown"), IF(OR(_xlpm.r=0, _xlpm.r=""), "Regional Aggregate", _xlpm.r))</f>
        <v>Sub-Saharan Africa</v>
      </c>
      <c r="G2860" s="4" t="str">
        <f>_xlfn.LET(_xlpm.ig, _xlfn.XLOOKUP(Clean_Data[[#This Row],[Country_Code]], Metadata_Country!$A:$A, Metadata_Country!$C:$C, "Unknown"), IF(OR(_xlpm.ig=0, _xlpm.ig=""), "Regional Aggregate", _xlpm.ig))</f>
        <v>Upper middle income</v>
      </c>
      <c r="H2860" s="4">
        <f>Clean_Data[[#This Row],[Exports_TIV]] - Clean_Data[[#This Row],[Imports_TIV]]</f>
        <v>-18000000</v>
      </c>
      <c r="I2860" s="4">
        <f>Clean_Data[[#This Row],[Exports_TIV]] + Clean_Data[[#This Row],[Imports_TIV]]</f>
        <v>18000000</v>
      </c>
    </row>
    <row r="2861" spans="1:9">
      <c r="A2861" s="4" t="s">
        <v>173</v>
      </c>
      <c r="B2861" s="4" t="s">
        <v>174</v>
      </c>
      <c r="C2861" s="5">
        <v>2007</v>
      </c>
      <c r="D2861" s="4">
        <v>0</v>
      </c>
      <c r="E2861" s="4">
        <v>161000000</v>
      </c>
      <c r="F2861" s="4" t="str">
        <f>_xlfn.LET(_xlpm.r, _xlfn.XLOOKUP(Clean_Data[[#This Row],[Country_Code]], Metadata_Country!$A:$A, Metadata_Country!$B:$B, "Unknown"), IF(OR(_xlpm.r=0, _xlpm.r=""), "Regional Aggregate", _xlpm.r))</f>
        <v>Europe &amp; Central Asia</v>
      </c>
      <c r="G2861" s="4" t="str">
        <f>_xlfn.LET(_xlpm.ig, _xlfn.XLOOKUP(Clean_Data[[#This Row],[Country_Code]], Metadata_Country!$A:$A, Metadata_Country!$C:$C, "Unknown"), IF(OR(_xlpm.ig=0, _xlpm.ig=""), "Regional Aggregate", _xlpm.ig))</f>
        <v>Upper middle income</v>
      </c>
      <c r="H2861" s="4">
        <f>Clean_Data[[#This Row],[Exports_TIV]] - Clean_Data[[#This Row],[Imports_TIV]]</f>
        <v>-161000000</v>
      </c>
      <c r="I2861" s="4">
        <f>Clean_Data[[#This Row],[Exports_TIV]] + Clean_Data[[#This Row],[Imports_TIV]]</f>
        <v>161000000</v>
      </c>
    </row>
    <row r="2862" spans="1:9">
      <c r="A2862" s="4" t="s">
        <v>119</v>
      </c>
      <c r="B2862" s="4" t="s">
        <v>120</v>
      </c>
      <c r="C2862" s="5">
        <v>2007</v>
      </c>
      <c r="D2862" s="4">
        <v>3291000000</v>
      </c>
      <c r="E2862" s="4">
        <v>46000000</v>
      </c>
      <c r="F2862" s="4" t="str">
        <f>_xlfn.LET(_xlpm.r, _xlfn.XLOOKUP(Clean_Data[[#This Row],[Country_Code]], Metadata_Country!$A:$A, Metadata_Country!$B:$B, "Unknown"), IF(OR(_xlpm.r=0, _xlpm.r=""), "Regional Aggregate", _xlpm.r))</f>
        <v>Europe &amp; Central Asia</v>
      </c>
      <c r="G2862" s="4" t="str">
        <f>_xlfn.LET(_xlpm.ig, _xlfn.XLOOKUP(Clean_Data[[#This Row],[Country_Code]], Metadata_Country!$A:$A, Metadata_Country!$C:$C, "Unknown"), IF(OR(_xlpm.ig=0, _xlpm.ig=""), "Regional Aggregate", _xlpm.ig))</f>
        <v>High income</v>
      </c>
      <c r="H2862" s="4">
        <f>Clean_Data[[#This Row],[Exports_TIV]] - Clean_Data[[#This Row],[Imports_TIV]]</f>
        <v>3245000000</v>
      </c>
      <c r="I2862" s="4">
        <f>Clean_Data[[#This Row],[Exports_TIV]] + Clean_Data[[#This Row],[Imports_TIV]]</f>
        <v>3337000000</v>
      </c>
    </row>
    <row r="2863" spans="1:9">
      <c r="A2863" s="4" t="s">
        <v>175</v>
      </c>
      <c r="B2863" s="4" t="s">
        <v>176</v>
      </c>
      <c r="C2863" s="5">
        <v>2007</v>
      </c>
      <c r="D2863" s="4">
        <v>0</v>
      </c>
      <c r="E2863" s="4">
        <v>16000000</v>
      </c>
      <c r="F2863" s="4" t="str">
        <f>_xlfn.LET(_xlpm.r, _xlfn.XLOOKUP(Clean_Data[[#This Row],[Country_Code]], Metadata_Country!$A:$A, Metadata_Country!$B:$B, "Unknown"), IF(OR(_xlpm.r=0, _xlpm.r=""), "Regional Aggregate", _xlpm.r))</f>
        <v>Sub-Saharan Africa</v>
      </c>
      <c r="G2863" s="4" t="str">
        <f>_xlfn.LET(_xlpm.ig, _xlfn.XLOOKUP(Clean_Data[[#This Row],[Country_Code]], Metadata_Country!$A:$A, Metadata_Country!$C:$C, "Unknown"), IF(OR(_xlpm.ig=0, _xlpm.ig=""), "Regional Aggregate", _xlpm.ig))</f>
        <v>Lower middle income</v>
      </c>
      <c r="H2863" s="4">
        <f>Clean_Data[[#This Row],[Exports_TIV]] - Clean_Data[[#This Row],[Imports_TIV]]</f>
        <v>-16000000</v>
      </c>
      <c r="I2863" s="4">
        <f>Clean_Data[[#This Row],[Exports_TIV]] + Clean_Data[[#This Row],[Imports_TIV]]</f>
        <v>16000000</v>
      </c>
    </row>
    <row r="2864" spans="1:9">
      <c r="A2864" s="4" t="s">
        <v>187</v>
      </c>
      <c r="B2864" s="4" t="s">
        <v>188</v>
      </c>
      <c r="C2864" s="5">
        <v>2007</v>
      </c>
      <c r="D2864" s="4">
        <v>0</v>
      </c>
      <c r="E2864" s="4">
        <v>1665000000</v>
      </c>
      <c r="F2864" s="4" t="str">
        <f>_xlfn.LET(_xlpm.r, _xlfn.XLOOKUP(Clean_Data[[#This Row],[Country_Code]], Metadata_Country!$A:$A, Metadata_Country!$B:$B, "Unknown"), IF(OR(_xlpm.r=0, _xlpm.r=""), "Regional Aggregate", _xlpm.r))</f>
        <v>Europe &amp; Central Asia</v>
      </c>
      <c r="G2864" s="4" t="str">
        <f>_xlfn.LET(_xlpm.ig, _xlfn.XLOOKUP(Clean_Data[[#This Row],[Country_Code]], Metadata_Country!$A:$A, Metadata_Country!$C:$C, "Unknown"), IF(OR(_xlpm.ig=0, _xlpm.ig=""), "Regional Aggregate", _xlpm.ig))</f>
        <v>High income</v>
      </c>
      <c r="H2864" s="4">
        <f>Clean_Data[[#This Row],[Exports_TIV]] - Clean_Data[[#This Row],[Imports_TIV]]</f>
        <v>-1665000000</v>
      </c>
      <c r="I2864" s="4">
        <f>Clean_Data[[#This Row],[Exports_TIV]] + Clean_Data[[#This Row],[Imports_TIV]]</f>
        <v>1665000000</v>
      </c>
    </row>
    <row r="2865" spans="1:9">
      <c r="A2865" s="4" t="s">
        <v>179</v>
      </c>
      <c r="B2865" s="4" t="s">
        <v>180</v>
      </c>
      <c r="C2865" s="5">
        <v>2007</v>
      </c>
      <c r="D2865" s="4">
        <v>0</v>
      </c>
      <c r="E2865" s="4">
        <v>0</v>
      </c>
      <c r="F2865" s="4" t="str">
        <f>_xlfn.LET(_xlpm.r, _xlfn.XLOOKUP(Clean_Data[[#This Row],[Country_Code]], Metadata_Country!$A:$A, Metadata_Country!$B:$B, "Unknown"), IF(OR(_xlpm.r=0, _xlpm.r=""), "Regional Aggregate", _xlpm.r))</f>
        <v>Sub-Saharan Africa</v>
      </c>
      <c r="G2865" s="4" t="str">
        <f>_xlfn.LET(_xlpm.ig, _xlfn.XLOOKUP(Clean_Data[[#This Row],[Country_Code]], Metadata_Country!$A:$A, Metadata_Country!$C:$C, "Unknown"), IF(OR(_xlpm.ig=0, _xlpm.ig=""), "Regional Aggregate", _xlpm.ig))</f>
        <v>Lower middle income</v>
      </c>
      <c r="H2865" s="4">
        <f>Clean_Data[[#This Row],[Exports_TIV]] - Clean_Data[[#This Row],[Imports_TIV]]</f>
        <v>0</v>
      </c>
      <c r="I2865" s="4">
        <f>Clean_Data[[#This Row],[Exports_TIV]] + Clean_Data[[#This Row],[Imports_TIV]]</f>
        <v>0</v>
      </c>
    </row>
    <row r="2866" spans="1:9">
      <c r="A2866" s="4" t="s">
        <v>199</v>
      </c>
      <c r="B2866" s="4" t="s">
        <v>200</v>
      </c>
      <c r="C2866" s="5">
        <v>2007</v>
      </c>
      <c r="D2866" s="4">
        <v>24851000000</v>
      </c>
      <c r="E2866" s="4">
        <v>14355000000</v>
      </c>
      <c r="F2866" s="4" t="str">
        <f>_xlfn.LET(_xlpm.r, _xlfn.XLOOKUP(Clean_Data[[#This Row],[Country_Code]], Metadata_Country!$A:$A, Metadata_Country!$B:$B, "Unknown"), IF(OR(_xlpm.r=0, _xlpm.r=""), "Regional Aggregate", _xlpm.r))</f>
        <v>Regional Aggregate</v>
      </c>
      <c r="G2866" s="4" t="str">
        <f>_xlfn.LET(_xlpm.ig, _xlfn.XLOOKUP(Clean_Data[[#This Row],[Country_Code]], Metadata_Country!$A:$A, Metadata_Country!$C:$C, "Unknown"), IF(OR(_xlpm.ig=0, _xlpm.ig=""), "Regional Aggregate", _xlpm.ig))</f>
        <v>Regional Aggregate</v>
      </c>
      <c r="H2866" s="4">
        <f>Clean_Data[[#This Row],[Exports_TIV]] - Clean_Data[[#This Row],[Imports_TIV]]</f>
        <v>10496000000</v>
      </c>
      <c r="I2866" s="4">
        <f>Clean_Data[[#This Row],[Exports_TIV]] + Clean_Data[[#This Row],[Imports_TIV]]</f>
        <v>39206000000</v>
      </c>
    </row>
    <row r="2867" spans="1:9">
      <c r="A2867" s="4" t="s">
        <v>211</v>
      </c>
      <c r="B2867" s="4" t="s">
        <v>212</v>
      </c>
      <c r="C2867" s="5">
        <v>2007</v>
      </c>
      <c r="D2867" s="4">
        <v>9000000</v>
      </c>
      <c r="E2867" s="4">
        <v>196000000</v>
      </c>
      <c r="F2867" s="4" t="str">
        <f>_xlfn.LET(_xlpm.r, _xlfn.XLOOKUP(Clean_Data[[#This Row],[Country_Code]], Metadata_Country!$A:$A, Metadata_Country!$B:$B, "Unknown"), IF(OR(_xlpm.r=0, _xlpm.r=""), "Regional Aggregate", _xlpm.r))</f>
        <v>Europe &amp; Central Asia</v>
      </c>
      <c r="G2867" s="4" t="str">
        <f>_xlfn.LET(_xlpm.ig, _xlfn.XLOOKUP(Clean_Data[[#This Row],[Country_Code]], Metadata_Country!$A:$A, Metadata_Country!$C:$C, "Unknown"), IF(OR(_xlpm.ig=0, _xlpm.ig=""), "Regional Aggregate", _xlpm.ig))</f>
        <v>High income</v>
      </c>
      <c r="H2867" s="4">
        <f>Clean_Data[[#This Row],[Exports_TIV]] - Clean_Data[[#This Row],[Imports_TIV]]</f>
        <v>-187000000</v>
      </c>
      <c r="I2867" s="4">
        <f>Clean_Data[[#This Row],[Exports_TIV]] + Clean_Data[[#This Row],[Imports_TIV]]</f>
        <v>205000000</v>
      </c>
    </row>
    <row r="2868" spans="1:9">
      <c r="A2868" s="4" t="s">
        <v>213</v>
      </c>
      <c r="B2868" s="4" t="s">
        <v>214</v>
      </c>
      <c r="C2868" s="5">
        <v>2007</v>
      </c>
      <c r="D2868" s="4">
        <v>0</v>
      </c>
      <c r="E2868" s="4">
        <v>12570000000</v>
      </c>
      <c r="F2868" s="4" t="str">
        <f>_xlfn.LET(_xlpm.r, _xlfn.XLOOKUP(Clean_Data[[#This Row],[Country_Code]], Metadata_Country!$A:$A, Metadata_Country!$B:$B, "Unknown"), IF(OR(_xlpm.r=0, _xlpm.r=""), "Regional Aggregate", _xlpm.r))</f>
        <v>Regional Aggregate</v>
      </c>
      <c r="G2868" s="4" t="str">
        <f>_xlfn.LET(_xlpm.ig, _xlfn.XLOOKUP(Clean_Data[[#This Row],[Country_Code]], Metadata_Country!$A:$A, Metadata_Country!$C:$C, "Unknown"), IF(OR(_xlpm.ig=0, _xlpm.ig=""), "Regional Aggregate", _xlpm.ig))</f>
        <v>Regional Aggregate</v>
      </c>
      <c r="H2868" s="4">
        <f>Clean_Data[[#This Row],[Exports_TIV]] - Clean_Data[[#This Row],[Imports_TIV]]</f>
        <v>-12570000000</v>
      </c>
      <c r="I2868" s="4">
        <f>Clean_Data[[#This Row],[Exports_TIV]] + Clean_Data[[#This Row],[Imports_TIV]]</f>
        <v>12570000000</v>
      </c>
    </row>
    <row r="2869" spans="1:9">
      <c r="A2869" s="4" t="s">
        <v>215</v>
      </c>
      <c r="B2869" s="4" t="s">
        <v>216</v>
      </c>
      <c r="C2869" s="5">
        <v>2007</v>
      </c>
      <c r="D2869" s="4">
        <v>0</v>
      </c>
      <c r="E2869" s="4">
        <v>14058000000</v>
      </c>
      <c r="F2869" s="4" t="str">
        <f>_xlfn.LET(_xlpm.r, _xlfn.XLOOKUP(Clean_Data[[#This Row],[Country_Code]], Metadata_Country!$A:$A, Metadata_Country!$B:$B, "Unknown"), IF(OR(_xlpm.r=0, _xlpm.r=""), "Regional Aggregate", _xlpm.r))</f>
        <v>Regional Aggregate</v>
      </c>
      <c r="G2869" s="4" t="str">
        <f>_xlfn.LET(_xlpm.ig, _xlfn.XLOOKUP(Clean_Data[[#This Row],[Country_Code]], Metadata_Country!$A:$A, Metadata_Country!$C:$C, "Unknown"), IF(OR(_xlpm.ig=0, _xlpm.ig=""), "Regional Aggregate", _xlpm.ig))</f>
        <v>Regional Aggregate</v>
      </c>
      <c r="H2869" s="4">
        <f>Clean_Data[[#This Row],[Exports_TIV]] - Clean_Data[[#This Row],[Imports_TIV]]</f>
        <v>-14058000000</v>
      </c>
      <c r="I2869" s="4">
        <f>Clean_Data[[#This Row],[Exports_TIV]] + Clean_Data[[#This Row],[Imports_TIV]]</f>
        <v>14058000000</v>
      </c>
    </row>
    <row r="2870" spans="1:9">
      <c r="A2870" s="4" t="s">
        <v>219</v>
      </c>
      <c r="B2870" s="4" t="s">
        <v>220</v>
      </c>
      <c r="C2870" s="5">
        <v>2007</v>
      </c>
      <c r="D2870" s="4">
        <v>0</v>
      </c>
      <c r="E2870" s="4">
        <v>766000000</v>
      </c>
      <c r="F2870" s="4" t="str">
        <f>_xlfn.LET(_xlpm.r, _xlfn.XLOOKUP(Clean_Data[[#This Row],[Country_Code]], Metadata_Country!$A:$A, Metadata_Country!$B:$B, "Unknown"), IF(OR(_xlpm.r=0, _xlpm.r=""), "Regional Aggregate", _xlpm.r))</f>
        <v>Regional Aggregate</v>
      </c>
      <c r="G2870" s="4" t="str">
        <f>_xlfn.LET(_xlpm.ig, _xlfn.XLOOKUP(Clean_Data[[#This Row],[Country_Code]], Metadata_Country!$A:$A, Metadata_Country!$C:$C, "Unknown"), IF(OR(_xlpm.ig=0, _xlpm.ig=""), "Regional Aggregate", _xlpm.ig))</f>
        <v>Regional Aggregate</v>
      </c>
      <c r="H2870" s="4">
        <f>Clean_Data[[#This Row],[Exports_TIV]] - Clean_Data[[#This Row],[Imports_TIV]]</f>
        <v>-766000000</v>
      </c>
      <c r="I2870" s="4">
        <f>Clean_Data[[#This Row],[Exports_TIV]] + Clean_Data[[#This Row],[Imports_TIV]]</f>
        <v>766000000</v>
      </c>
    </row>
    <row r="2871" spans="1:9">
      <c r="A2871" s="4" t="s">
        <v>223</v>
      </c>
      <c r="B2871" s="4" t="s">
        <v>224</v>
      </c>
      <c r="C2871" s="5">
        <v>2007</v>
      </c>
      <c r="D2871" s="4">
        <v>0</v>
      </c>
      <c r="E2871" s="4">
        <v>722000000</v>
      </c>
      <c r="F2871" s="4" t="str">
        <f>_xlfn.LET(_xlpm.r, _xlfn.XLOOKUP(Clean_Data[[#This Row],[Country_Code]], Metadata_Country!$A:$A, Metadata_Country!$B:$B, "Unknown"), IF(OR(_xlpm.r=0, _xlpm.r=""), "Regional Aggregate", _xlpm.r))</f>
        <v>Regional Aggregate</v>
      </c>
      <c r="G2871" s="4" t="str">
        <f>_xlfn.LET(_xlpm.ig, _xlfn.XLOOKUP(Clean_Data[[#This Row],[Country_Code]], Metadata_Country!$A:$A, Metadata_Country!$C:$C, "Unknown"), IF(OR(_xlpm.ig=0, _xlpm.ig=""), "Regional Aggregate", _xlpm.ig))</f>
        <v>Regional Aggregate</v>
      </c>
      <c r="H2871" s="4">
        <f>Clean_Data[[#This Row],[Exports_TIV]] - Clean_Data[[#This Row],[Imports_TIV]]</f>
        <v>-722000000</v>
      </c>
      <c r="I2871" s="4">
        <f>Clean_Data[[#This Row],[Exports_TIV]] + Clean_Data[[#This Row],[Imports_TIV]]</f>
        <v>722000000</v>
      </c>
    </row>
    <row r="2872" spans="1:9">
      <c r="A2872" s="4" t="s">
        <v>217</v>
      </c>
      <c r="B2872" s="4" t="s">
        <v>218</v>
      </c>
      <c r="C2872" s="5">
        <v>2007</v>
      </c>
      <c r="D2872" s="4">
        <v>0</v>
      </c>
      <c r="E2872" s="4">
        <v>1488000000</v>
      </c>
      <c r="F2872" s="4" t="str">
        <f>_xlfn.LET(_xlpm.r, _xlfn.XLOOKUP(Clean_Data[[#This Row],[Country_Code]], Metadata_Country!$A:$A, Metadata_Country!$B:$B, "Unknown"), IF(OR(_xlpm.r=0, _xlpm.r=""), "Regional Aggregate", _xlpm.r))</f>
        <v>Regional Aggregate</v>
      </c>
      <c r="G2872" s="4" t="str">
        <f>_xlfn.LET(_xlpm.ig, _xlfn.XLOOKUP(Clean_Data[[#This Row],[Country_Code]], Metadata_Country!$A:$A, Metadata_Country!$C:$C, "Unknown"), IF(OR(_xlpm.ig=0, _xlpm.ig=""), "Regional Aggregate", _xlpm.ig))</f>
        <v>Regional Aggregate</v>
      </c>
      <c r="H2872" s="4">
        <f>Clean_Data[[#This Row],[Exports_TIV]] - Clean_Data[[#This Row],[Imports_TIV]]</f>
        <v>-1488000000</v>
      </c>
      <c r="I2872" s="4">
        <f>Clean_Data[[#This Row],[Exports_TIV]] + Clean_Data[[#This Row],[Imports_TIV]]</f>
        <v>1488000000</v>
      </c>
    </row>
    <row r="2873" spans="1:9">
      <c r="A2873" s="4" t="s">
        <v>227</v>
      </c>
      <c r="B2873" s="4" t="s">
        <v>228</v>
      </c>
      <c r="C2873" s="5">
        <v>2007</v>
      </c>
      <c r="D2873" s="4">
        <v>23000000</v>
      </c>
      <c r="E2873" s="4">
        <v>2300000000</v>
      </c>
      <c r="F2873" s="4" t="str">
        <f>_xlfn.LET(_xlpm.r, _xlfn.XLOOKUP(Clean_Data[[#This Row],[Country_Code]], Metadata_Country!$A:$A, Metadata_Country!$B:$B, "Unknown"), IF(OR(_xlpm.r=0, _xlpm.r=""), "Regional Aggregate", _xlpm.r))</f>
        <v>South Asia</v>
      </c>
      <c r="G2873" s="4" t="str">
        <f>_xlfn.LET(_xlpm.ig, _xlfn.XLOOKUP(Clean_Data[[#This Row],[Country_Code]], Metadata_Country!$A:$A, Metadata_Country!$C:$C, "Unknown"), IF(OR(_xlpm.ig=0, _xlpm.ig=""), "Regional Aggregate", _xlpm.ig))</f>
        <v>Lower middle income</v>
      </c>
      <c r="H2873" s="4">
        <f>Clean_Data[[#This Row],[Exports_TIV]] - Clean_Data[[#This Row],[Imports_TIV]]</f>
        <v>-2277000000</v>
      </c>
      <c r="I2873" s="4">
        <f>Clean_Data[[#This Row],[Exports_TIV]] + Clean_Data[[#This Row],[Imports_TIV]]</f>
        <v>2323000000</v>
      </c>
    </row>
    <row r="2874" spans="1:9">
      <c r="A2874" s="4" t="s">
        <v>221</v>
      </c>
      <c r="B2874" s="4" t="s">
        <v>222</v>
      </c>
      <c r="C2874" s="5">
        <v>2007</v>
      </c>
      <c r="D2874" s="4">
        <v>0</v>
      </c>
      <c r="E2874" s="4">
        <v>578000000</v>
      </c>
      <c r="F2874" s="4" t="str">
        <f>_xlfn.LET(_xlpm.r, _xlfn.XLOOKUP(Clean_Data[[#This Row],[Country_Code]], Metadata_Country!$A:$A, Metadata_Country!$B:$B, "Unknown"), IF(OR(_xlpm.r=0, _xlpm.r=""), "Regional Aggregate", _xlpm.r))</f>
        <v>East Asia &amp; Pacific</v>
      </c>
      <c r="G2874" s="4" t="str">
        <f>_xlfn.LET(_xlpm.ig, _xlfn.XLOOKUP(Clean_Data[[#This Row],[Country_Code]], Metadata_Country!$A:$A, Metadata_Country!$C:$C, "Unknown"), IF(OR(_xlpm.ig=0, _xlpm.ig=""), "Regional Aggregate", _xlpm.ig))</f>
        <v>Upper middle income</v>
      </c>
      <c r="H2874" s="4">
        <f>Clean_Data[[#This Row],[Exports_TIV]] - Clean_Data[[#This Row],[Imports_TIV]]</f>
        <v>-578000000</v>
      </c>
      <c r="I2874" s="4">
        <f>Clean_Data[[#This Row],[Exports_TIV]] + Clean_Data[[#This Row],[Imports_TIV]]</f>
        <v>578000000</v>
      </c>
    </row>
    <row r="2875" spans="1:9">
      <c r="A2875" s="4" t="s">
        <v>233</v>
      </c>
      <c r="B2875" s="4" t="s">
        <v>234</v>
      </c>
      <c r="C2875" s="5">
        <v>2007</v>
      </c>
      <c r="D2875" s="4">
        <v>2000000</v>
      </c>
      <c r="E2875" s="4">
        <v>325000000</v>
      </c>
      <c r="F2875" s="4" t="str">
        <f>_xlfn.LET(_xlpm.r, _xlfn.XLOOKUP(Clean_Data[[#This Row],[Country_Code]], Metadata_Country!$A:$A, Metadata_Country!$B:$B, "Unknown"), IF(OR(_xlpm.r=0, _xlpm.r=""), "Regional Aggregate", _xlpm.r))</f>
        <v>Middle East &amp; North Africa</v>
      </c>
      <c r="G2875" s="4" t="str">
        <f>_xlfn.LET(_xlpm.ig, _xlfn.XLOOKUP(Clean_Data[[#This Row],[Country_Code]], Metadata_Country!$A:$A, Metadata_Country!$C:$C, "Unknown"), IF(OR(_xlpm.ig=0, _xlpm.ig=""), "Regional Aggregate", _xlpm.ig))</f>
        <v>Upper middle income</v>
      </c>
      <c r="H2875" s="4">
        <f>Clean_Data[[#This Row],[Exports_TIV]] - Clean_Data[[#This Row],[Imports_TIV]]</f>
        <v>-323000000</v>
      </c>
      <c r="I2875" s="4">
        <f>Clean_Data[[#This Row],[Exports_TIV]] + Clean_Data[[#This Row],[Imports_TIV]]</f>
        <v>327000000</v>
      </c>
    </row>
    <row r="2876" spans="1:9">
      <c r="A2876" s="4" t="s">
        <v>235</v>
      </c>
      <c r="B2876" s="4" t="s">
        <v>236</v>
      </c>
      <c r="C2876" s="5">
        <v>2007</v>
      </c>
      <c r="D2876" s="4">
        <v>0</v>
      </c>
      <c r="E2876" s="4">
        <v>299000000</v>
      </c>
      <c r="F2876" s="4" t="str">
        <f>_xlfn.LET(_xlpm.r, _xlfn.XLOOKUP(Clean_Data[[#This Row],[Country_Code]], Metadata_Country!$A:$A, Metadata_Country!$B:$B, "Unknown"), IF(OR(_xlpm.r=0, _xlpm.r=""), "Regional Aggregate", _xlpm.r))</f>
        <v>Middle East &amp; North Africa</v>
      </c>
      <c r="G2876" s="4" t="str">
        <f>_xlfn.LET(_xlpm.ig, _xlfn.XLOOKUP(Clean_Data[[#This Row],[Country_Code]], Metadata_Country!$A:$A, Metadata_Country!$C:$C, "Unknown"), IF(OR(_xlpm.ig=0, _xlpm.ig=""), "Regional Aggregate", _xlpm.ig))</f>
        <v>Upper middle income</v>
      </c>
      <c r="H2876" s="4">
        <f>Clean_Data[[#This Row],[Exports_TIV]] - Clean_Data[[#This Row],[Imports_TIV]]</f>
        <v>-299000000</v>
      </c>
      <c r="I2876" s="4">
        <f>Clean_Data[[#This Row],[Exports_TIV]] + Clean_Data[[#This Row],[Imports_TIV]]</f>
        <v>299000000</v>
      </c>
    </row>
    <row r="2877" spans="1:9">
      <c r="A2877" s="4" t="s">
        <v>231</v>
      </c>
      <c r="B2877" s="4" t="s">
        <v>232</v>
      </c>
      <c r="C2877" s="5">
        <v>2007</v>
      </c>
      <c r="D2877" s="4">
        <v>51000000</v>
      </c>
      <c r="E2877" s="4">
        <v>26000000</v>
      </c>
      <c r="F2877" s="4" t="str">
        <f>_xlfn.LET(_xlpm.r, _xlfn.XLOOKUP(Clean_Data[[#This Row],[Country_Code]], Metadata_Country!$A:$A, Metadata_Country!$B:$B, "Unknown"), IF(OR(_xlpm.r=0, _xlpm.r=""), "Regional Aggregate", _xlpm.r))</f>
        <v>Europe &amp; Central Asia</v>
      </c>
      <c r="G2877" s="4" t="str">
        <f>_xlfn.LET(_xlpm.ig, _xlfn.XLOOKUP(Clean_Data[[#This Row],[Country_Code]], Metadata_Country!$A:$A, Metadata_Country!$C:$C, "Unknown"), IF(OR(_xlpm.ig=0, _xlpm.ig=""), "Regional Aggregate", _xlpm.ig))</f>
        <v>High income</v>
      </c>
      <c r="H2877" s="4">
        <f>Clean_Data[[#This Row],[Exports_TIV]] - Clean_Data[[#This Row],[Imports_TIV]]</f>
        <v>25000000</v>
      </c>
      <c r="I2877" s="4">
        <f>Clean_Data[[#This Row],[Exports_TIV]] + Clean_Data[[#This Row],[Imports_TIV]]</f>
        <v>77000000</v>
      </c>
    </row>
    <row r="2878" spans="1:9">
      <c r="A2878" s="4" t="s">
        <v>239</v>
      </c>
      <c r="B2878" s="4" t="s">
        <v>240</v>
      </c>
      <c r="C2878" s="5">
        <v>2007</v>
      </c>
      <c r="D2878" s="4">
        <v>613000000</v>
      </c>
      <c r="E2878" s="4">
        <v>840000000</v>
      </c>
      <c r="F2878" s="4" t="str">
        <f>_xlfn.LET(_xlpm.r, _xlfn.XLOOKUP(Clean_Data[[#This Row],[Country_Code]], Metadata_Country!$A:$A, Metadata_Country!$B:$B, "Unknown"), IF(OR(_xlpm.r=0, _xlpm.r=""), "Regional Aggregate", _xlpm.r))</f>
        <v>Middle East &amp; North Africa</v>
      </c>
      <c r="G2878" s="4" t="str">
        <f>_xlfn.LET(_xlpm.ig, _xlfn.XLOOKUP(Clean_Data[[#This Row],[Country_Code]], Metadata_Country!$A:$A, Metadata_Country!$C:$C, "Unknown"), IF(OR(_xlpm.ig=0, _xlpm.ig=""), "Regional Aggregate", _xlpm.ig))</f>
        <v>High income</v>
      </c>
      <c r="H2878" s="4">
        <f>Clean_Data[[#This Row],[Exports_TIV]] - Clean_Data[[#This Row],[Imports_TIV]]</f>
        <v>-227000000</v>
      </c>
      <c r="I2878" s="4">
        <f>Clean_Data[[#This Row],[Exports_TIV]] + Clean_Data[[#This Row],[Imports_TIV]]</f>
        <v>1453000000</v>
      </c>
    </row>
    <row r="2879" spans="1:9">
      <c r="A2879" s="4" t="s">
        <v>241</v>
      </c>
      <c r="B2879" s="4" t="s">
        <v>242</v>
      </c>
      <c r="C2879" s="5">
        <v>2007</v>
      </c>
      <c r="D2879" s="4">
        <v>700000000</v>
      </c>
      <c r="E2879" s="4">
        <v>467000000</v>
      </c>
      <c r="F2879" s="4" t="str">
        <f>_xlfn.LET(_xlpm.r, _xlfn.XLOOKUP(Clean_Data[[#This Row],[Country_Code]], Metadata_Country!$A:$A, Metadata_Country!$B:$B, "Unknown"), IF(OR(_xlpm.r=0, _xlpm.r=""), "Regional Aggregate", _xlpm.r))</f>
        <v>Europe &amp; Central Asia</v>
      </c>
      <c r="G2879" s="4" t="str">
        <f>_xlfn.LET(_xlpm.ig, _xlfn.XLOOKUP(Clean_Data[[#This Row],[Country_Code]], Metadata_Country!$A:$A, Metadata_Country!$C:$C, "Unknown"), IF(OR(_xlpm.ig=0, _xlpm.ig=""), "Regional Aggregate", _xlpm.ig))</f>
        <v>High income</v>
      </c>
      <c r="H2879" s="4">
        <f>Clean_Data[[#This Row],[Exports_TIV]] - Clean_Data[[#This Row],[Imports_TIV]]</f>
        <v>233000000</v>
      </c>
      <c r="I2879" s="4">
        <f>Clean_Data[[#This Row],[Exports_TIV]] + Clean_Data[[#This Row],[Imports_TIV]]</f>
        <v>1167000000</v>
      </c>
    </row>
    <row r="2880" spans="1:9">
      <c r="A2880" s="4" t="s">
        <v>243</v>
      </c>
      <c r="B2880" s="4" t="s">
        <v>244</v>
      </c>
      <c r="C2880" s="5">
        <v>2007</v>
      </c>
      <c r="D2880" s="4">
        <v>0</v>
      </c>
      <c r="E2880" s="4">
        <v>14000000</v>
      </c>
      <c r="F2880" s="4" t="str">
        <f>_xlfn.LET(_xlpm.r, _xlfn.XLOOKUP(Clean_Data[[#This Row],[Country_Code]], Metadata_Country!$A:$A, Metadata_Country!$B:$B, "Unknown"), IF(OR(_xlpm.r=0, _xlpm.r=""), "Regional Aggregate", _xlpm.r))</f>
        <v>Latin America &amp; Caribbean</v>
      </c>
      <c r="G2880" s="4" t="str">
        <f>_xlfn.LET(_xlpm.ig, _xlfn.XLOOKUP(Clean_Data[[#This Row],[Country_Code]], Metadata_Country!$A:$A, Metadata_Country!$C:$C, "Unknown"), IF(OR(_xlpm.ig=0, _xlpm.ig=""), "Regional Aggregate", _xlpm.ig))</f>
        <v>Upper middle income</v>
      </c>
      <c r="H2880" s="4">
        <f>Clean_Data[[#This Row],[Exports_TIV]] - Clean_Data[[#This Row],[Imports_TIV]]</f>
        <v>-14000000</v>
      </c>
      <c r="I2880" s="4">
        <f>Clean_Data[[#This Row],[Exports_TIV]] + Clean_Data[[#This Row],[Imports_TIV]]</f>
        <v>14000000</v>
      </c>
    </row>
    <row r="2881" spans="1:9">
      <c r="A2881" s="4" t="s">
        <v>247</v>
      </c>
      <c r="B2881" s="4" t="s">
        <v>248</v>
      </c>
      <c r="C2881" s="5">
        <v>2007</v>
      </c>
      <c r="D2881" s="4">
        <v>40000000</v>
      </c>
      <c r="E2881" s="4">
        <v>553000000</v>
      </c>
      <c r="F2881" s="4" t="str">
        <f>_xlfn.LET(_xlpm.r, _xlfn.XLOOKUP(Clean_Data[[#This Row],[Country_Code]], Metadata_Country!$A:$A, Metadata_Country!$B:$B, "Unknown"), IF(OR(_xlpm.r=0, _xlpm.r=""), "Regional Aggregate", _xlpm.r))</f>
        <v>East Asia &amp; Pacific</v>
      </c>
      <c r="G2881" s="4" t="str">
        <f>_xlfn.LET(_xlpm.ig, _xlfn.XLOOKUP(Clean_Data[[#This Row],[Country_Code]], Metadata_Country!$A:$A, Metadata_Country!$C:$C, "Unknown"), IF(OR(_xlpm.ig=0, _xlpm.ig=""), "Regional Aggregate", _xlpm.ig))</f>
        <v>High income</v>
      </c>
      <c r="H2881" s="4">
        <f>Clean_Data[[#This Row],[Exports_TIV]] - Clean_Data[[#This Row],[Imports_TIV]]</f>
        <v>-513000000</v>
      </c>
      <c r="I2881" s="4">
        <f>Clean_Data[[#This Row],[Exports_TIV]] + Clean_Data[[#This Row],[Imports_TIV]]</f>
        <v>593000000</v>
      </c>
    </row>
    <row r="2882" spans="1:9">
      <c r="A2882" s="4" t="s">
        <v>245</v>
      </c>
      <c r="B2882" s="4" t="s">
        <v>246</v>
      </c>
      <c r="C2882" s="5">
        <v>2007</v>
      </c>
      <c r="D2882" s="4">
        <v>13000000</v>
      </c>
      <c r="E2882" s="4">
        <v>180000000</v>
      </c>
      <c r="F2882" s="4" t="str">
        <f>_xlfn.LET(_xlpm.r, _xlfn.XLOOKUP(Clean_Data[[#This Row],[Country_Code]], Metadata_Country!$A:$A, Metadata_Country!$B:$B, "Unknown"), IF(OR(_xlpm.r=0, _xlpm.r=""), "Regional Aggregate", _xlpm.r))</f>
        <v>Middle East &amp; North Africa</v>
      </c>
      <c r="G2882" s="4" t="str">
        <f>_xlfn.LET(_xlpm.ig, _xlfn.XLOOKUP(Clean_Data[[#This Row],[Country_Code]], Metadata_Country!$A:$A, Metadata_Country!$C:$C, "Unknown"), IF(OR(_xlpm.ig=0, _xlpm.ig=""), "Regional Aggregate", _xlpm.ig))</f>
        <v>Upper middle income</v>
      </c>
      <c r="H2882" s="4">
        <f>Clean_Data[[#This Row],[Exports_TIV]] - Clean_Data[[#This Row],[Imports_TIV]]</f>
        <v>-167000000</v>
      </c>
      <c r="I2882" s="4">
        <f>Clean_Data[[#This Row],[Exports_TIV]] + Clean_Data[[#This Row],[Imports_TIV]]</f>
        <v>193000000</v>
      </c>
    </row>
    <row r="2883" spans="1:9">
      <c r="A2883" s="4" t="s">
        <v>249</v>
      </c>
      <c r="B2883" s="4" t="s">
        <v>250</v>
      </c>
      <c r="C2883" s="5">
        <v>2007</v>
      </c>
      <c r="D2883" s="4">
        <v>0</v>
      </c>
      <c r="E2883" s="4">
        <v>83000000</v>
      </c>
      <c r="F2883" s="4" t="str">
        <f>_xlfn.LET(_xlpm.r, _xlfn.XLOOKUP(Clean_Data[[#This Row],[Country_Code]], Metadata_Country!$A:$A, Metadata_Country!$B:$B, "Unknown"), IF(OR(_xlpm.r=0, _xlpm.r=""), "Regional Aggregate", _xlpm.r))</f>
        <v>Europe &amp; Central Asia</v>
      </c>
      <c r="G2883" s="4" t="str">
        <f>_xlfn.LET(_xlpm.ig, _xlfn.XLOOKUP(Clean_Data[[#This Row],[Country_Code]], Metadata_Country!$A:$A, Metadata_Country!$C:$C, "Unknown"), IF(OR(_xlpm.ig=0, _xlpm.ig=""), "Regional Aggregate", _xlpm.ig))</f>
        <v>Upper middle income</v>
      </c>
      <c r="H2883" s="4">
        <f>Clean_Data[[#This Row],[Exports_TIV]] - Clean_Data[[#This Row],[Imports_TIV]]</f>
        <v>-83000000</v>
      </c>
      <c r="I2883" s="4">
        <f>Clean_Data[[#This Row],[Exports_TIV]] + Clean_Data[[#This Row],[Imports_TIV]]</f>
        <v>83000000</v>
      </c>
    </row>
    <row r="2884" spans="1:9">
      <c r="A2884" s="4" t="s">
        <v>251</v>
      </c>
      <c r="B2884" s="4" t="s">
        <v>252</v>
      </c>
      <c r="C2884" s="5">
        <v>2007</v>
      </c>
      <c r="D2884" s="4">
        <v>0</v>
      </c>
      <c r="E2884" s="4">
        <v>11000000</v>
      </c>
      <c r="F2884" s="4" t="str">
        <f>_xlfn.LET(_xlpm.r, _xlfn.XLOOKUP(Clean_Data[[#This Row],[Country_Code]], Metadata_Country!$A:$A, Metadata_Country!$B:$B, "Unknown"), IF(OR(_xlpm.r=0, _xlpm.r=""), "Regional Aggregate", _xlpm.r))</f>
        <v>Sub-Saharan Africa</v>
      </c>
      <c r="G2884" s="4" t="str">
        <f>_xlfn.LET(_xlpm.ig, _xlfn.XLOOKUP(Clean_Data[[#This Row],[Country_Code]], Metadata_Country!$A:$A, Metadata_Country!$C:$C, "Unknown"), IF(OR(_xlpm.ig=0, _xlpm.ig=""), "Regional Aggregate", _xlpm.ig))</f>
        <v>Lower middle income</v>
      </c>
      <c r="H2884" s="4">
        <f>Clean_Data[[#This Row],[Exports_TIV]] - Clean_Data[[#This Row],[Imports_TIV]]</f>
        <v>-11000000</v>
      </c>
      <c r="I2884" s="4">
        <f>Clean_Data[[#This Row],[Exports_TIV]] + Clean_Data[[#This Row],[Imports_TIV]]</f>
        <v>11000000</v>
      </c>
    </row>
    <row r="2885" spans="1:9">
      <c r="A2885" s="4" t="s">
        <v>395</v>
      </c>
      <c r="B2885" s="4" t="s">
        <v>396</v>
      </c>
      <c r="C2885" s="5">
        <v>2007</v>
      </c>
      <c r="D2885" s="4">
        <v>15000000</v>
      </c>
      <c r="E2885" s="4">
        <v>5000000</v>
      </c>
      <c r="F2885" s="4" t="str">
        <f>_xlfn.LET(_xlpm.r, _xlfn.XLOOKUP(Clean_Data[[#This Row],[Country_Code]], Metadata_Country!$A:$A, Metadata_Country!$B:$B, "Unknown"), IF(OR(_xlpm.r=0, _xlpm.r=""), "Regional Aggregate", _xlpm.r))</f>
        <v>East Asia &amp; Pacific</v>
      </c>
      <c r="G2885" s="4" t="str">
        <f>_xlfn.LET(_xlpm.ig, _xlfn.XLOOKUP(Clean_Data[[#This Row],[Country_Code]], Metadata_Country!$A:$A, Metadata_Country!$C:$C, "Unknown"), IF(OR(_xlpm.ig=0, _xlpm.ig=""), "Regional Aggregate", _xlpm.ig))</f>
        <v>Low income</v>
      </c>
      <c r="H2885" s="4">
        <f>Clean_Data[[#This Row],[Exports_TIV]] - Clean_Data[[#This Row],[Imports_TIV]]</f>
        <v>10000000</v>
      </c>
      <c r="I2885" s="4">
        <f>Clean_Data[[#This Row],[Exports_TIV]] + Clean_Data[[#This Row],[Imports_TIV]]</f>
        <v>20000000</v>
      </c>
    </row>
    <row r="2886" spans="1:9">
      <c r="A2886" s="4" t="s">
        <v>261</v>
      </c>
      <c r="B2886" s="4" t="s">
        <v>262</v>
      </c>
      <c r="C2886" s="5">
        <v>2007</v>
      </c>
      <c r="D2886" s="4">
        <v>278000000</v>
      </c>
      <c r="E2886" s="4">
        <v>1730000000</v>
      </c>
      <c r="F2886" s="4" t="str">
        <f>_xlfn.LET(_xlpm.r, _xlfn.XLOOKUP(Clean_Data[[#This Row],[Country_Code]], Metadata_Country!$A:$A, Metadata_Country!$B:$B, "Unknown"), IF(OR(_xlpm.r=0, _xlpm.r=""), "Regional Aggregate", _xlpm.r))</f>
        <v>East Asia &amp; Pacific</v>
      </c>
      <c r="G2886" s="4" t="str">
        <f>_xlfn.LET(_xlpm.ig, _xlfn.XLOOKUP(Clean_Data[[#This Row],[Country_Code]], Metadata_Country!$A:$A, Metadata_Country!$C:$C, "Unknown"), IF(OR(_xlpm.ig=0, _xlpm.ig=""), "Regional Aggregate", _xlpm.ig))</f>
        <v>High income</v>
      </c>
      <c r="H2886" s="4">
        <f>Clean_Data[[#This Row],[Exports_TIV]] - Clean_Data[[#This Row],[Imports_TIV]]</f>
        <v>-1452000000</v>
      </c>
      <c r="I2886" s="4">
        <f>Clean_Data[[#This Row],[Exports_TIV]] + Clean_Data[[#This Row],[Imports_TIV]]</f>
        <v>2008000000</v>
      </c>
    </row>
    <row r="2887" spans="1:9">
      <c r="A2887" s="4" t="s">
        <v>263</v>
      </c>
      <c r="B2887" s="4" t="s">
        <v>264</v>
      </c>
      <c r="C2887" s="5">
        <v>2007</v>
      </c>
      <c r="D2887" s="4">
        <v>0</v>
      </c>
      <c r="E2887" s="4">
        <v>288000000</v>
      </c>
      <c r="F2887" s="4" t="str">
        <f>_xlfn.LET(_xlpm.r, _xlfn.XLOOKUP(Clean_Data[[#This Row],[Country_Code]], Metadata_Country!$A:$A, Metadata_Country!$B:$B, "Unknown"), IF(OR(_xlpm.r=0, _xlpm.r=""), "Regional Aggregate", _xlpm.r))</f>
        <v>Middle East &amp; North Africa</v>
      </c>
      <c r="G2887" s="4" t="str">
        <f>_xlfn.LET(_xlpm.ig, _xlfn.XLOOKUP(Clean_Data[[#This Row],[Country_Code]], Metadata_Country!$A:$A, Metadata_Country!$C:$C, "Unknown"), IF(OR(_xlpm.ig=0, _xlpm.ig=""), "Regional Aggregate", _xlpm.ig))</f>
        <v>High income</v>
      </c>
      <c r="H2887" s="4">
        <f>Clean_Data[[#This Row],[Exports_TIV]] - Clean_Data[[#This Row],[Imports_TIV]]</f>
        <v>-288000000</v>
      </c>
      <c r="I2887" s="4">
        <f>Clean_Data[[#This Row],[Exports_TIV]] + Clean_Data[[#This Row],[Imports_TIV]]</f>
        <v>288000000</v>
      </c>
    </row>
    <row r="2888" spans="1:9">
      <c r="A2888" s="4" t="s">
        <v>253</v>
      </c>
      <c r="B2888" s="4" t="s">
        <v>254</v>
      </c>
      <c r="C2888" s="5">
        <v>2007</v>
      </c>
      <c r="D2888" s="4">
        <v>18000000</v>
      </c>
      <c r="E2888" s="4">
        <v>0</v>
      </c>
      <c r="F2888" s="4" t="str">
        <f>_xlfn.LET(_xlpm.r, _xlfn.XLOOKUP(Clean_Data[[#This Row],[Country_Code]], Metadata_Country!$A:$A, Metadata_Country!$B:$B, "Unknown"), IF(OR(_xlpm.r=0, _xlpm.r=""), "Regional Aggregate", _xlpm.r))</f>
        <v>Europe &amp; Central Asia</v>
      </c>
      <c r="G2888" s="4" t="str">
        <f>_xlfn.LET(_xlpm.ig, _xlfn.XLOOKUP(Clean_Data[[#This Row],[Country_Code]], Metadata_Country!$A:$A, Metadata_Country!$C:$C, "Unknown"), IF(OR(_xlpm.ig=0, _xlpm.ig=""), "Regional Aggregate", _xlpm.ig))</f>
        <v>Lower middle income</v>
      </c>
      <c r="H2888" s="4">
        <f>Clean_Data[[#This Row],[Exports_TIV]] - Clean_Data[[#This Row],[Imports_TIV]]</f>
        <v>18000000</v>
      </c>
      <c r="I2888" s="4">
        <f>Clean_Data[[#This Row],[Exports_TIV]] + Clean_Data[[#This Row],[Imports_TIV]]</f>
        <v>18000000</v>
      </c>
    </row>
    <row r="2889" spans="1:9">
      <c r="A2889" s="4" t="s">
        <v>293</v>
      </c>
      <c r="B2889" s="4" t="s">
        <v>294</v>
      </c>
      <c r="C2889" s="5">
        <v>2007</v>
      </c>
      <c r="D2889" s="4">
        <v>6607000000</v>
      </c>
      <c r="E2889" s="4">
        <v>6328000000</v>
      </c>
      <c r="F2889" s="4" t="str">
        <f>_xlfn.LET(_xlpm.r, _xlfn.XLOOKUP(Clean_Data[[#This Row],[Country_Code]], Metadata_Country!$A:$A, Metadata_Country!$B:$B, "Unknown"), IF(OR(_xlpm.r=0, _xlpm.r=""), "Regional Aggregate", _xlpm.r))</f>
        <v>Regional Aggregate</v>
      </c>
      <c r="G2889" s="4" t="str">
        <f>_xlfn.LET(_xlpm.ig, _xlfn.XLOOKUP(Clean_Data[[#This Row],[Country_Code]], Metadata_Country!$A:$A, Metadata_Country!$C:$C, "Unknown"), IF(OR(_xlpm.ig=0, _xlpm.ig=""), "Regional Aggregate", _xlpm.ig))</f>
        <v>Regional Aggregate</v>
      </c>
      <c r="H2889" s="4">
        <f>Clean_Data[[#This Row],[Exports_TIV]] - Clean_Data[[#This Row],[Imports_TIV]]</f>
        <v>279000000</v>
      </c>
      <c r="I2889" s="4">
        <f>Clean_Data[[#This Row],[Exports_TIV]] + Clean_Data[[#This Row],[Imports_TIV]]</f>
        <v>12935000000</v>
      </c>
    </row>
    <row r="2890" spans="1:9">
      <c r="A2890" s="4" t="s">
        <v>299</v>
      </c>
      <c r="B2890" s="4" t="s">
        <v>300</v>
      </c>
      <c r="C2890" s="5">
        <v>2007</v>
      </c>
      <c r="D2890" s="4">
        <v>0</v>
      </c>
      <c r="E2890" s="4">
        <v>51000000</v>
      </c>
      <c r="F2890" s="4" t="str">
        <f>_xlfn.LET(_xlpm.r, _xlfn.XLOOKUP(Clean_Data[[#This Row],[Country_Code]], Metadata_Country!$A:$A, Metadata_Country!$B:$B, "Unknown"), IF(OR(_xlpm.r=0, _xlpm.r=""), "Regional Aggregate", _xlpm.r))</f>
        <v>Europe &amp; Central Asia</v>
      </c>
      <c r="G2890" s="4" t="str">
        <f>_xlfn.LET(_xlpm.ig, _xlfn.XLOOKUP(Clean_Data[[#This Row],[Country_Code]], Metadata_Country!$A:$A, Metadata_Country!$C:$C, "Unknown"), IF(OR(_xlpm.ig=0, _xlpm.ig=""), "Regional Aggregate", _xlpm.ig))</f>
        <v>High income</v>
      </c>
      <c r="H2890" s="4">
        <f>Clean_Data[[#This Row],[Exports_TIV]] - Clean_Data[[#This Row],[Imports_TIV]]</f>
        <v>-51000000</v>
      </c>
      <c r="I2890" s="4">
        <f>Clean_Data[[#This Row],[Exports_TIV]] + Clean_Data[[#This Row],[Imports_TIV]]</f>
        <v>51000000</v>
      </c>
    </row>
    <row r="2891" spans="1:9">
      <c r="A2891" s="4" t="s">
        <v>279</v>
      </c>
      <c r="B2891" s="4" t="s">
        <v>280</v>
      </c>
      <c r="C2891" s="5">
        <v>2007</v>
      </c>
      <c r="D2891" s="4">
        <v>0</v>
      </c>
      <c r="E2891" s="4">
        <v>614000000</v>
      </c>
      <c r="F2891" s="4" t="str">
        <f>_xlfn.LET(_xlpm.r, _xlfn.XLOOKUP(Clean_Data[[#This Row],[Country_Code]], Metadata_Country!$A:$A, Metadata_Country!$B:$B, "Unknown"), IF(OR(_xlpm.r=0, _xlpm.r=""), "Regional Aggregate", _xlpm.r))</f>
        <v>Regional Aggregate</v>
      </c>
      <c r="G2891" s="4" t="str">
        <f>_xlfn.LET(_xlpm.ig, _xlfn.XLOOKUP(Clean_Data[[#This Row],[Country_Code]], Metadata_Country!$A:$A, Metadata_Country!$C:$C, "Unknown"), IF(OR(_xlpm.ig=0, _xlpm.ig=""), "Regional Aggregate", _xlpm.ig))</f>
        <v>Regional Aggregate</v>
      </c>
      <c r="H2891" s="4">
        <f>Clean_Data[[#This Row],[Exports_TIV]] - Clean_Data[[#This Row],[Imports_TIV]]</f>
        <v>-614000000</v>
      </c>
      <c r="I2891" s="4">
        <f>Clean_Data[[#This Row],[Exports_TIV]] + Clean_Data[[#This Row],[Imports_TIV]]</f>
        <v>614000000</v>
      </c>
    </row>
    <row r="2892" spans="1:9">
      <c r="A2892" s="4" t="s">
        <v>269</v>
      </c>
      <c r="B2892" s="4" t="s">
        <v>270</v>
      </c>
      <c r="C2892" s="5">
        <v>2007</v>
      </c>
      <c r="D2892" s="4">
        <v>0</v>
      </c>
      <c r="E2892" s="4">
        <v>5000000</v>
      </c>
      <c r="F2892" s="4" t="str">
        <f>_xlfn.LET(_xlpm.r, _xlfn.XLOOKUP(Clean_Data[[#This Row],[Country_Code]], Metadata_Country!$A:$A, Metadata_Country!$B:$B, "Unknown"), IF(OR(_xlpm.r=0, _xlpm.r=""), "Regional Aggregate", _xlpm.r))</f>
        <v>Middle East &amp; North Africa</v>
      </c>
      <c r="G2892" s="4" t="str">
        <f>_xlfn.LET(_xlpm.ig, _xlfn.XLOOKUP(Clean_Data[[#This Row],[Country_Code]], Metadata_Country!$A:$A, Metadata_Country!$C:$C, "Unknown"), IF(OR(_xlpm.ig=0, _xlpm.ig=""), "Regional Aggregate", _xlpm.ig))</f>
        <v>Lower middle income</v>
      </c>
      <c r="H2892" s="4">
        <f>Clean_Data[[#This Row],[Exports_TIV]] - Clean_Data[[#This Row],[Imports_TIV]]</f>
        <v>-5000000</v>
      </c>
      <c r="I2892" s="4">
        <f>Clean_Data[[#This Row],[Exports_TIV]] + Clean_Data[[#This Row],[Imports_TIV]]</f>
        <v>5000000</v>
      </c>
    </row>
    <row r="2893" spans="1:9">
      <c r="A2893" s="4" t="s">
        <v>273</v>
      </c>
      <c r="B2893" s="4" t="s">
        <v>274</v>
      </c>
      <c r="C2893" s="5">
        <v>2007</v>
      </c>
      <c r="D2893" s="4">
        <v>9000000</v>
      </c>
      <c r="E2893" s="4">
        <v>16000000</v>
      </c>
      <c r="F2893" s="4" t="str">
        <f>_xlfn.LET(_xlpm.r, _xlfn.XLOOKUP(Clean_Data[[#This Row],[Country_Code]], Metadata_Country!$A:$A, Metadata_Country!$B:$B, "Unknown"), IF(OR(_xlpm.r=0, _xlpm.r=""), "Regional Aggregate", _xlpm.r))</f>
        <v>Middle East &amp; North Africa</v>
      </c>
      <c r="G2893" s="4" t="str">
        <f>_xlfn.LET(_xlpm.ig, _xlfn.XLOOKUP(Clean_Data[[#This Row],[Country_Code]], Metadata_Country!$A:$A, Metadata_Country!$C:$C, "Unknown"), IF(OR(_xlpm.ig=0, _xlpm.ig=""), "Regional Aggregate", _xlpm.ig))</f>
        <v>Upper middle income</v>
      </c>
      <c r="H2893" s="4">
        <f>Clean_Data[[#This Row],[Exports_TIV]] - Clean_Data[[#This Row],[Imports_TIV]]</f>
        <v>-7000000</v>
      </c>
      <c r="I2893" s="4">
        <f>Clean_Data[[#This Row],[Exports_TIV]] + Clean_Data[[#This Row],[Imports_TIV]]</f>
        <v>25000000</v>
      </c>
    </row>
    <row r="2894" spans="1:9">
      <c r="A2894" s="4" t="s">
        <v>295</v>
      </c>
      <c r="B2894" s="4" t="s">
        <v>296</v>
      </c>
      <c r="C2894" s="5">
        <v>2007</v>
      </c>
      <c r="D2894" s="4">
        <v>0</v>
      </c>
      <c r="E2894" s="4">
        <v>4000000</v>
      </c>
      <c r="F2894" s="4" t="str">
        <f>_xlfn.LET(_xlpm.r, _xlfn.XLOOKUP(Clean_Data[[#This Row],[Country_Code]], Metadata_Country!$A:$A, Metadata_Country!$B:$B, "Unknown"), IF(OR(_xlpm.r=0, _xlpm.r=""), "Regional Aggregate", _xlpm.r))</f>
        <v>Europe &amp; Central Asia</v>
      </c>
      <c r="G2894" s="4" t="str">
        <f>_xlfn.LET(_xlpm.ig, _xlfn.XLOOKUP(Clean_Data[[#This Row],[Country_Code]], Metadata_Country!$A:$A, Metadata_Country!$C:$C, "Unknown"), IF(OR(_xlpm.ig=0, _xlpm.ig=""), "Regional Aggregate", _xlpm.ig))</f>
        <v>High income</v>
      </c>
      <c r="H2894" s="4">
        <f>Clean_Data[[#This Row],[Exports_TIV]] - Clean_Data[[#This Row],[Imports_TIV]]</f>
        <v>-4000000</v>
      </c>
      <c r="I2894" s="4">
        <f>Clean_Data[[#This Row],[Exports_TIV]] + Clean_Data[[#This Row],[Imports_TIV]]</f>
        <v>4000000</v>
      </c>
    </row>
    <row r="2895" spans="1:9">
      <c r="A2895" s="4" t="s">
        <v>289</v>
      </c>
      <c r="B2895" s="4" t="s">
        <v>290</v>
      </c>
      <c r="C2895" s="5">
        <v>2007</v>
      </c>
      <c r="D2895" s="4">
        <v>0</v>
      </c>
      <c r="E2895" s="4">
        <v>12159000000</v>
      </c>
      <c r="F2895" s="4" t="str">
        <f>_xlfn.LET(_xlpm.r, _xlfn.XLOOKUP(Clean_Data[[#This Row],[Country_Code]], Metadata_Country!$A:$A, Metadata_Country!$B:$B, "Unknown"), IF(OR(_xlpm.r=0, _xlpm.r=""), "Regional Aggregate", _xlpm.r))</f>
        <v>Regional Aggregate</v>
      </c>
      <c r="G2895" s="4" t="str">
        <f>_xlfn.LET(_xlpm.ig, _xlfn.XLOOKUP(Clean_Data[[#This Row],[Country_Code]], Metadata_Country!$A:$A, Metadata_Country!$C:$C, "Unknown"), IF(OR(_xlpm.ig=0, _xlpm.ig=""), "Regional Aggregate", _xlpm.ig))</f>
        <v>Regional Aggregate</v>
      </c>
      <c r="H2895" s="4">
        <f>Clean_Data[[#This Row],[Exports_TIV]] - Clean_Data[[#This Row],[Imports_TIV]]</f>
        <v>-12159000000</v>
      </c>
      <c r="I2895" s="4">
        <f>Clean_Data[[#This Row],[Exports_TIV]] + Clean_Data[[#This Row],[Imports_TIV]]</f>
        <v>12159000000</v>
      </c>
    </row>
    <row r="2896" spans="1:9">
      <c r="A2896" s="4" t="s">
        <v>287</v>
      </c>
      <c r="B2896" s="4" t="s">
        <v>288</v>
      </c>
      <c r="C2896" s="5">
        <v>2007</v>
      </c>
      <c r="D2896" s="4">
        <v>0</v>
      </c>
      <c r="E2896" s="4">
        <v>4916000000</v>
      </c>
      <c r="F2896" s="4" t="str">
        <f>_xlfn.LET(_xlpm.r, _xlfn.XLOOKUP(Clean_Data[[#This Row],[Country_Code]], Metadata_Country!$A:$A, Metadata_Country!$B:$B, "Unknown"), IF(OR(_xlpm.r=0, _xlpm.r=""), "Regional Aggregate", _xlpm.r))</f>
        <v>Regional Aggregate</v>
      </c>
      <c r="G2896" s="4" t="str">
        <f>_xlfn.LET(_xlpm.ig, _xlfn.XLOOKUP(Clean_Data[[#This Row],[Country_Code]], Metadata_Country!$A:$A, Metadata_Country!$C:$C, "Unknown"), IF(OR(_xlpm.ig=0, _xlpm.ig=""), "Regional Aggregate", _xlpm.ig))</f>
        <v>Regional Aggregate</v>
      </c>
      <c r="H2896" s="4">
        <f>Clean_Data[[#This Row],[Exports_TIV]] - Clean_Data[[#This Row],[Imports_TIV]]</f>
        <v>-4916000000</v>
      </c>
      <c r="I2896" s="4">
        <f>Clean_Data[[#This Row],[Exports_TIV]] + Clean_Data[[#This Row],[Imports_TIV]]</f>
        <v>4916000000</v>
      </c>
    </row>
    <row r="2897" spans="1:9">
      <c r="A2897" s="4" t="s">
        <v>297</v>
      </c>
      <c r="B2897" s="4" t="s">
        <v>298</v>
      </c>
      <c r="C2897" s="5">
        <v>2007</v>
      </c>
      <c r="D2897" s="4">
        <v>0</v>
      </c>
      <c r="E2897" s="4">
        <v>0</v>
      </c>
      <c r="F2897" s="4" t="str">
        <f>_xlfn.LET(_xlpm.r, _xlfn.XLOOKUP(Clean_Data[[#This Row],[Country_Code]], Metadata_Country!$A:$A, Metadata_Country!$B:$B, "Unknown"), IF(OR(_xlpm.r=0, _xlpm.r=""), "Regional Aggregate", _xlpm.r))</f>
        <v>Europe &amp; Central Asia</v>
      </c>
      <c r="G2897" s="4" t="str">
        <f>_xlfn.LET(_xlpm.ig, _xlfn.XLOOKUP(Clean_Data[[#This Row],[Country_Code]], Metadata_Country!$A:$A, Metadata_Country!$C:$C, "Unknown"), IF(OR(_xlpm.ig=0, _xlpm.ig=""), "Regional Aggregate", _xlpm.ig))</f>
        <v>High income</v>
      </c>
      <c r="H2897" s="4">
        <f>Clean_Data[[#This Row],[Exports_TIV]] - Clean_Data[[#This Row],[Imports_TIV]]</f>
        <v>0</v>
      </c>
      <c r="I2897" s="4">
        <f>Clean_Data[[#This Row],[Exports_TIV]] + Clean_Data[[#This Row],[Imports_TIV]]</f>
        <v>0</v>
      </c>
    </row>
    <row r="2898" spans="1:9">
      <c r="A2898" s="4" t="s">
        <v>347</v>
      </c>
      <c r="B2898" s="4" t="s">
        <v>348</v>
      </c>
      <c r="C2898" s="5">
        <v>2007</v>
      </c>
      <c r="D2898" s="4">
        <v>0</v>
      </c>
      <c r="E2898" s="4">
        <v>498000000</v>
      </c>
      <c r="F2898" s="4" t="str">
        <f>_xlfn.LET(_xlpm.r, _xlfn.XLOOKUP(Clean_Data[[#This Row],[Country_Code]], Metadata_Country!$A:$A, Metadata_Country!$B:$B, "Unknown"), IF(OR(_xlpm.r=0, _xlpm.r=""), "Regional Aggregate", _xlpm.r))</f>
        <v>East Asia &amp; Pacific</v>
      </c>
      <c r="G2898" s="4" t="str">
        <f>_xlfn.LET(_xlpm.ig, _xlfn.XLOOKUP(Clean_Data[[#This Row],[Country_Code]], Metadata_Country!$A:$A, Metadata_Country!$C:$C, "Unknown"), IF(OR(_xlpm.ig=0, _xlpm.ig=""), "Regional Aggregate", _xlpm.ig))</f>
        <v>Upper middle income</v>
      </c>
      <c r="H2898" s="4">
        <f>Clean_Data[[#This Row],[Exports_TIV]] - Clean_Data[[#This Row],[Imports_TIV]]</f>
        <v>-498000000</v>
      </c>
      <c r="I2898" s="4">
        <f>Clean_Data[[#This Row],[Exports_TIV]] + Clean_Data[[#This Row],[Imports_TIV]]</f>
        <v>498000000</v>
      </c>
    </row>
    <row r="2899" spans="1:9">
      <c r="A2899" s="4" t="s">
        <v>325</v>
      </c>
      <c r="B2899" s="4" t="s">
        <v>326</v>
      </c>
      <c r="C2899" s="5">
        <v>2007</v>
      </c>
      <c r="D2899" s="4">
        <v>0</v>
      </c>
      <c r="E2899" s="4">
        <v>8000000</v>
      </c>
      <c r="F2899" s="4" t="str">
        <f>_xlfn.LET(_xlpm.r, _xlfn.XLOOKUP(Clean_Data[[#This Row],[Country_Code]], Metadata_Country!$A:$A, Metadata_Country!$B:$B, "Unknown"), IF(OR(_xlpm.r=0, _xlpm.r=""), "Regional Aggregate", _xlpm.r))</f>
        <v>Sub-Saharan Africa</v>
      </c>
      <c r="G2899" s="4" t="str">
        <f>_xlfn.LET(_xlpm.ig, _xlfn.XLOOKUP(Clean_Data[[#This Row],[Country_Code]], Metadata_Country!$A:$A, Metadata_Country!$C:$C, "Unknown"), IF(OR(_xlpm.ig=0, _xlpm.ig=""), "Regional Aggregate", _xlpm.ig))</f>
        <v>Low income</v>
      </c>
      <c r="H2899" s="4">
        <f>Clean_Data[[#This Row],[Exports_TIV]] - Clean_Data[[#This Row],[Imports_TIV]]</f>
        <v>-8000000</v>
      </c>
      <c r="I2899" s="4">
        <f>Clean_Data[[#This Row],[Exports_TIV]] + Clean_Data[[#This Row],[Imports_TIV]]</f>
        <v>8000000</v>
      </c>
    </row>
    <row r="2900" spans="1:9">
      <c r="A2900" s="4" t="s">
        <v>315</v>
      </c>
      <c r="B2900" s="4" t="s">
        <v>316</v>
      </c>
      <c r="C2900" s="5">
        <v>2007</v>
      </c>
      <c r="D2900" s="4">
        <v>0</v>
      </c>
      <c r="E2900" s="4">
        <v>5077000000</v>
      </c>
      <c r="F2900" s="4" t="str">
        <f>_xlfn.LET(_xlpm.r, _xlfn.XLOOKUP(Clean_Data[[#This Row],[Country_Code]], Metadata_Country!$A:$A, Metadata_Country!$B:$B, "Unknown"), IF(OR(_xlpm.r=0, _xlpm.r=""), "Regional Aggregate", _xlpm.r))</f>
        <v>Regional Aggregate</v>
      </c>
      <c r="G2900" s="4" t="str">
        <f>_xlfn.LET(_xlpm.ig, _xlfn.XLOOKUP(Clean_Data[[#This Row],[Country_Code]], Metadata_Country!$A:$A, Metadata_Country!$C:$C, "Unknown"), IF(OR(_xlpm.ig=0, _xlpm.ig=""), "Regional Aggregate", _xlpm.ig))</f>
        <v>Regional Aggregate</v>
      </c>
      <c r="H2900" s="4">
        <f>Clean_Data[[#This Row],[Exports_TIV]] - Clean_Data[[#This Row],[Imports_TIV]]</f>
        <v>-5077000000</v>
      </c>
      <c r="I2900" s="4">
        <f>Clean_Data[[#This Row],[Exports_TIV]] + Clean_Data[[#This Row],[Imports_TIV]]</f>
        <v>5077000000</v>
      </c>
    </row>
    <row r="2901" spans="1:9">
      <c r="A2901" s="4" t="s">
        <v>331</v>
      </c>
      <c r="B2901" s="4" t="s">
        <v>332</v>
      </c>
      <c r="C2901" s="5">
        <v>2007</v>
      </c>
      <c r="D2901" s="4">
        <v>0</v>
      </c>
      <c r="E2901" s="4">
        <v>2835000000</v>
      </c>
      <c r="F2901" s="4" t="str">
        <f>_xlfn.LET(_xlpm.r, _xlfn.XLOOKUP(Clean_Data[[#This Row],[Country_Code]], Metadata_Country!$A:$A, Metadata_Country!$B:$B, "Unknown"), IF(OR(_xlpm.r=0, _xlpm.r=""), "Regional Aggregate", _xlpm.r))</f>
        <v>Regional Aggregate</v>
      </c>
      <c r="G2901" s="4" t="str">
        <f>_xlfn.LET(_xlpm.ig, _xlfn.XLOOKUP(Clean_Data[[#This Row],[Country_Code]], Metadata_Country!$A:$A, Metadata_Country!$C:$C, "Unknown"), IF(OR(_xlpm.ig=0, _xlpm.ig=""), "Regional Aggregate", _xlpm.ig))</f>
        <v>Regional Aggregate</v>
      </c>
      <c r="H2901" s="4">
        <f>Clean_Data[[#This Row],[Exports_TIV]] - Clean_Data[[#This Row],[Imports_TIV]]</f>
        <v>-2835000000</v>
      </c>
      <c r="I2901" s="4">
        <f>Clean_Data[[#This Row],[Exports_TIV]] + Clean_Data[[#This Row],[Imports_TIV]]</f>
        <v>2835000000</v>
      </c>
    </row>
    <row r="2902" spans="1:9">
      <c r="A2902" s="4" t="s">
        <v>485</v>
      </c>
      <c r="B2902" s="4" t="s">
        <v>486</v>
      </c>
      <c r="C2902" s="5">
        <v>2007</v>
      </c>
      <c r="D2902" s="4">
        <v>0</v>
      </c>
      <c r="E2902" s="4">
        <v>2833000000</v>
      </c>
      <c r="F2902" s="4" t="str">
        <f>_xlfn.LET(_xlpm.r, _xlfn.XLOOKUP(Clean_Data[[#This Row],[Country_Code]], Metadata_Country!$A:$A, Metadata_Country!$B:$B, "Unknown"), IF(OR(_xlpm.r=0, _xlpm.r=""), "Regional Aggregate", _xlpm.r))</f>
        <v>Regional Aggregate</v>
      </c>
      <c r="G2902" s="4" t="str">
        <f>_xlfn.LET(_xlpm.ig, _xlfn.XLOOKUP(Clean_Data[[#This Row],[Country_Code]], Metadata_Country!$A:$A, Metadata_Country!$C:$C, "Unknown"), IF(OR(_xlpm.ig=0, _xlpm.ig=""), "Regional Aggregate", _xlpm.ig))</f>
        <v>Regional Aggregate</v>
      </c>
      <c r="H2902" s="4">
        <f>Clean_Data[[#This Row],[Exports_TIV]] - Clean_Data[[#This Row],[Imports_TIV]]</f>
        <v>-2833000000</v>
      </c>
      <c r="I2902" s="4">
        <f>Clean_Data[[#This Row],[Exports_TIV]] + Clean_Data[[#This Row],[Imports_TIV]]</f>
        <v>2833000000</v>
      </c>
    </row>
    <row r="2903" spans="1:9">
      <c r="A2903" s="4" t="s">
        <v>321</v>
      </c>
      <c r="B2903" s="4" t="s">
        <v>322</v>
      </c>
      <c r="C2903" s="5">
        <v>2007</v>
      </c>
      <c r="D2903" s="4">
        <v>0</v>
      </c>
      <c r="E2903" s="4">
        <v>11872000000</v>
      </c>
      <c r="F2903" s="4" t="str">
        <f>_xlfn.LET(_xlpm.r, _xlfn.XLOOKUP(Clean_Data[[#This Row],[Country_Code]], Metadata_Country!$A:$A, Metadata_Country!$B:$B, "Unknown"), IF(OR(_xlpm.r=0, _xlpm.r=""), "Regional Aggregate", _xlpm.r))</f>
        <v>Regional Aggregate</v>
      </c>
      <c r="G2903" s="4" t="str">
        <f>_xlfn.LET(_xlpm.ig, _xlfn.XLOOKUP(Clean_Data[[#This Row],[Country_Code]], Metadata_Country!$A:$A, Metadata_Country!$C:$C, "Unknown"), IF(OR(_xlpm.ig=0, _xlpm.ig=""), "Regional Aggregate", _xlpm.ig))</f>
        <v>Regional Aggregate</v>
      </c>
      <c r="H2903" s="4">
        <f>Clean_Data[[#This Row],[Exports_TIV]] - Clean_Data[[#This Row],[Imports_TIV]]</f>
        <v>-11872000000</v>
      </c>
      <c r="I2903" s="4">
        <f>Clean_Data[[#This Row],[Exports_TIV]] + Clean_Data[[#This Row],[Imports_TIV]]</f>
        <v>11872000000</v>
      </c>
    </row>
    <row r="2904" spans="1:9">
      <c r="A2904" s="4" t="s">
        <v>309</v>
      </c>
      <c r="B2904" s="4" t="s">
        <v>310</v>
      </c>
      <c r="C2904" s="5">
        <v>2007</v>
      </c>
      <c r="D2904" s="4">
        <v>19000000</v>
      </c>
      <c r="E2904" s="4">
        <v>0</v>
      </c>
      <c r="F2904" s="4" t="str">
        <f>_xlfn.LET(_xlpm.r, _xlfn.XLOOKUP(Clean_Data[[#This Row],[Country_Code]], Metadata_Country!$A:$A, Metadata_Country!$B:$B, "Unknown"), IF(OR(_xlpm.r=0, _xlpm.r=""), "Regional Aggregate", _xlpm.r))</f>
        <v>Europe &amp; Central Asia</v>
      </c>
      <c r="G2904" s="4" t="str">
        <f>_xlfn.LET(_xlpm.ig, _xlfn.XLOOKUP(Clean_Data[[#This Row],[Country_Code]], Metadata_Country!$A:$A, Metadata_Country!$C:$C, "Unknown"), IF(OR(_xlpm.ig=0, _xlpm.ig=""), "Regional Aggregate", _xlpm.ig))</f>
        <v>Upper middle income</v>
      </c>
      <c r="H2904" s="4">
        <f>Clean_Data[[#This Row],[Exports_TIV]] - Clean_Data[[#This Row],[Imports_TIV]]</f>
        <v>19000000</v>
      </c>
      <c r="I2904" s="4">
        <f>Clean_Data[[#This Row],[Exports_TIV]] + Clean_Data[[#This Row],[Imports_TIV]]</f>
        <v>19000000</v>
      </c>
    </row>
    <row r="2905" spans="1:9">
      <c r="A2905" s="4" t="s">
        <v>333</v>
      </c>
      <c r="B2905" s="4" t="s">
        <v>334</v>
      </c>
      <c r="C2905" s="5">
        <v>2007</v>
      </c>
      <c r="D2905" s="4">
        <v>109000000</v>
      </c>
      <c r="E2905" s="4">
        <v>0</v>
      </c>
      <c r="F2905" s="4" t="str">
        <f>_xlfn.LET(_xlpm.r, _xlfn.XLOOKUP(Clean_Data[[#This Row],[Country_Code]], Metadata_Country!$A:$A, Metadata_Country!$B:$B, "Unknown"), IF(OR(_xlpm.r=0, _xlpm.r=""), "Regional Aggregate", _xlpm.r))</f>
        <v>Europe &amp; Central Asia</v>
      </c>
      <c r="G2905" s="4" t="str">
        <f>_xlfn.LET(_xlpm.ig, _xlfn.XLOOKUP(Clean_Data[[#This Row],[Country_Code]], Metadata_Country!$A:$A, Metadata_Country!$C:$C, "Unknown"), IF(OR(_xlpm.ig=0, _xlpm.ig=""), "Regional Aggregate", _xlpm.ig))</f>
        <v>Upper middle income</v>
      </c>
      <c r="H2905" s="4">
        <f>Clean_Data[[#This Row],[Exports_TIV]] - Clean_Data[[#This Row],[Imports_TIV]]</f>
        <v>109000000</v>
      </c>
      <c r="I2905" s="4">
        <f>Clean_Data[[#This Row],[Exports_TIV]] + Clean_Data[[#This Row],[Imports_TIV]]</f>
        <v>109000000</v>
      </c>
    </row>
    <row r="2906" spans="1:9">
      <c r="A2906" s="4" t="s">
        <v>305</v>
      </c>
      <c r="B2906" s="4" t="s">
        <v>306</v>
      </c>
      <c r="C2906" s="5">
        <v>2007</v>
      </c>
      <c r="D2906" s="4">
        <v>0</v>
      </c>
      <c r="E2906" s="4">
        <v>27000000</v>
      </c>
      <c r="F2906" s="4" t="str">
        <f>_xlfn.LET(_xlpm.r, _xlfn.XLOOKUP(Clean_Data[[#This Row],[Country_Code]], Metadata_Country!$A:$A, Metadata_Country!$B:$B, "Unknown"), IF(OR(_xlpm.r=0, _xlpm.r=""), "Regional Aggregate", _xlpm.r))</f>
        <v>Middle East &amp; North Africa</v>
      </c>
      <c r="G2906" s="4" t="str">
        <f>_xlfn.LET(_xlpm.ig, _xlfn.XLOOKUP(Clean_Data[[#This Row],[Country_Code]], Metadata_Country!$A:$A, Metadata_Country!$C:$C, "Unknown"), IF(OR(_xlpm.ig=0, _xlpm.ig=""), "Regional Aggregate", _xlpm.ig))</f>
        <v>Lower middle income</v>
      </c>
      <c r="H2906" s="4">
        <f>Clean_Data[[#This Row],[Exports_TIV]] - Clean_Data[[#This Row],[Imports_TIV]]</f>
        <v>-27000000</v>
      </c>
      <c r="I2906" s="4">
        <f>Clean_Data[[#This Row],[Exports_TIV]] + Clean_Data[[#This Row],[Imports_TIV]]</f>
        <v>27000000</v>
      </c>
    </row>
    <row r="2907" spans="1:9">
      <c r="A2907" s="4" t="s">
        <v>329</v>
      </c>
      <c r="B2907" s="4" t="s">
        <v>330</v>
      </c>
      <c r="C2907" s="5">
        <v>2007</v>
      </c>
      <c r="D2907" s="4">
        <v>0</v>
      </c>
      <c r="E2907" s="4">
        <v>153000000</v>
      </c>
      <c r="F2907" s="4" t="str">
        <f>_xlfn.LET(_xlpm.r, _xlfn.XLOOKUP(Clean_Data[[#This Row],[Country_Code]], Metadata_Country!$A:$A, Metadata_Country!$B:$B, "Unknown"), IF(OR(_xlpm.r=0, _xlpm.r=""), "Regional Aggregate", _xlpm.r))</f>
        <v>East Asia &amp; Pacific</v>
      </c>
      <c r="G2907" s="4" t="str">
        <f>_xlfn.LET(_xlpm.ig, _xlfn.XLOOKUP(Clean_Data[[#This Row],[Country_Code]], Metadata_Country!$A:$A, Metadata_Country!$C:$C, "Unknown"), IF(OR(_xlpm.ig=0, _xlpm.ig=""), "Regional Aggregate", _xlpm.ig))</f>
        <v>Lower middle income</v>
      </c>
      <c r="H2907" s="4">
        <f>Clean_Data[[#This Row],[Exports_TIV]] - Clean_Data[[#This Row],[Imports_TIV]]</f>
        <v>-153000000</v>
      </c>
      <c r="I2907" s="4">
        <f>Clean_Data[[#This Row],[Exports_TIV]] + Clean_Data[[#This Row],[Imports_TIV]]</f>
        <v>153000000</v>
      </c>
    </row>
    <row r="2908" spans="1:9">
      <c r="A2908" s="4" t="s">
        <v>361</v>
      </c>
      <c r="B2908" s="4" t="s">
        <v>362</v>
      </c>
      <c r="C2908" s="5">
        <v>2007</v>
      </c>
      <c r="D2908" s="4">
        <v>1228000000</v>
      </c>
      <c r="E2908" s="4">
        <v>221000000</v>
      </c>
      <c r="F2908" s="4" t="str">
        <f>_xlfn.LET(_xlpm.r, _xlfn.XLOOKUP(Clean_Data[[#This Row],[Country_Code]], Metadata_Country!$A:$A, Metadata_Country!$B:$B, "Unknown"), IF(OR(_xlpm.r=0, _xlpm.r=""), "Regional Aggregate", _xlpm.r))</f>
        <v>Europe &amp; Central Asia</v>
      </c>
      <c r="G2908" s="4" t="str">
        <f>_xlfn.LET(_xlpm.ig, _xlfn.XLOOKUP(Clean_Data[[#This Row],[Country_Code]], Metadata_Country!$A:$A, Metadata_Country!$C:$C, "Unknown"), IF(OR(_xlpm.ig=0, _xlpm.ig=""), "Regional Aggregate", _xlpm.ig))</f>
        <v>High income</v>
      </c>
      <c r="H2908" s="4">
        <f>Clean_Data[[#This Row],[Exports_TIV]] - Clean_Data[[#This Row],[Imports_TIV]]</f>
        <v>1007000000</v>
      </c>
      <c r="I2908" s="4">
        <f>Clean_Data[[#This Row],[Exports_TIV]] + Clean_Data[[#This Row],[Imports_TIV]]</f>
        <v>1449000000</v>
      </c>
    </row>
    <row r="2909" spans="1:9">
      <c r="A2909" s="4" t="s">
        <v>369</v>
      </c>
      <c r="B2909" s="4" t="s">
        <v>370</v>
      </c>
      <c r="C2909" s="5">
        <v>2007</v>
      </c>
      <c r="D2909" s="4">
        <v>0</v>
      </c>
      <c r="E2909" s="4">
        <v>81000000</v>
      </c>
      <c r="F2909" s="4" t="str">
        <f>_xlfn.LET(_xlpm.r, _xlfn.XLOOKUP(Clean_Data[[#This Row],[Country_Code]], Metadata_Country!$A:$A, Metadata_Country!$B:$B, "Unknown"), IF(OR(_xlpm.r=0, _xlpm.r=""), "Regional Aggregate", _xlpm.r))</f>
        <v>East Asia &amp; Pacific</v>
      </c>
      <c r="G2909" s="4" t="str">
        <f>_xlfn.LET(_xlpm.ig, _xlfn.XLOOKUP(Clean_Data[[#This Row],[Country_Code]], Metadata_Country!$A:$A, Metadata_Country!$C:$C, "Unknown"), IF(OR(_xlpm.ig=0, _xlpm.ig=""), "Regional Aggregate", _xlpm.ig))</f>
        <v>High income</v>
      </c>
      <c r="H2909" s="4">
        <f>Clean_Data[[#This Row],[Exports_TIV]] - Clean_Data[[#This Row],[Imports_TIV]]</f>
        <v>-81000000</v>
      </c>
      <c r="I2909" s="4">
        <f>Clean_Data[[#This Row],[Exports_TIV]] + Clean_Data[[#This Row],[Imports_TIV]]</f>
        <v>81000000</v>
      </c>
    </row>
    <row r="2910" spans="1:9">
      <c r="A2910" s="4" t="s">
        <v>359</v>
      </c>
      <c r="B2910" s="4" t="s">
        <v>360</v>
      </c>
      <c r="C2910" s="5">
        <v>2007</v>
      </c>
      <c r="D2910" s="4">
        <v>0</v>
      </c>
      <c r="E2910" s="4">
        <v>14000000</v>
      </c>
      <c r="F2910" s="4" t="str">
        <f>_xlfn.LET(_xlpm.r, _xlfn.XLOOKUP(Clean_Data[[#This Row],[Country_Code]], Metadata_Country!$A:$A, Metadata_Country!$B:$B, "Unknown"), IF(OR(_xlpm.r=0, _xlpm.r=""), "Regional Aggregate", _xlpm.r))</f>
        <v>Latin America &amp; Caribbean</v>
      </c>
      <c r="G2910" s="4" t="str">
        <f>_xlfn.LET(_xlpm.ig, _xlfn.XLOOKUP(Clean_Data[[#This Row],[Country_Code]], Metadata_Country!$A:$A, Metadata_Country!$C:$C, "Unknown"), IF(OR(_xlpm.ig=0, _xlpm.ig=""), "Regional Aggregate", _xlpm.ig))</f>
        <v>Lower middle income</v>
      </c>
      <c r="H2910" s="4">
        <f>Clean_Data[[#This Row],[Exports_TIV]] - Clean_Data[[#This Row],[Imports_TIV]]</f>
        <v>-14000000</v>
      </c>
      <c r="I2910" s="4">
        <f>Clean_Data[[#This Row],[Exports_TIV]] + Clean_Data[[#This Row],[Imports_TIV]]</f>
        <v>14000000</v>
      </c>
    </row>
    <row r="2911" spans="1:9">
      <c r="A2911" s="4" t="s">
        <v>357</v>
      </c>
      <c r="B2911" s="4" t="s">
        <v>358</v>
      </c>
      <c r="C2911" s="5">
        <v>2007</v>
      </c>
      <c r="D2911" s="4">
        <v>0</v>
      </c>
      <c r="E2911" s="4">
        <v>62000000</v>
      </c>
      <c r="F2911" s="4" t="str">
        <f>_xlfn.LET(_xlpm.r, _xlfn.XLOOKUP(Clean_Data[[#This Row],[Country_Code]], Metadata_Country!$A:$A, Metadata_Country!$B:$B, "Unknown"), IF(OR(_xlpm.r=0, _xlpm.r=""), "Regional Aggregate", _xlpm.r))</f>
        <v>Sub-Saharan Africa</v>
      </c>
      <c r="G2911" s="4" t="str">
        <f>_xlfn.LET(_xlpm.ig, _xlfn.XLOOKUP(Clean_Data[[#This Row],[Country_Code]], Metadata_Country!$A:$A, Metadata_Country!$C:$C, "Unknown"), IF(OR(_xlpm.ig=0, _xlpm.ig=""), "Regional Aggregate", _xlpm.ig))</f>
        <v>Lower middle income</v>
      </c>
      <c r="H2911" s="4">
        <f>Clean_Data[[#This Row],[Exports_TIV]] - Clean_Data[[#This Row],[Imports_TIV]]</f>
        <v>-62000000</v>
      </c>
      <c r="I2911" s="4">
        <f>Clean_Data[[#This Row],[Exports_TIV]] + Clean_Data[[#This Row],[Imports_TIV]]</f>
        <v>62000000</v>
      </c>
    </row>
    <row r="2912" spans="1:9">
      <c r="A2912" s="4" t="s">
        <v>349</v>
      </c>
      <c r="B2912" s="4" t="s">
        <v>350</v>
      </c>
      <c r="C2912" s="5">
        <v>2007</v>
      </c>
      <c r="D2912" s="4">
        <v>8204000000</v>
      </c>
      <c r="E2912" s="4">
        <v>1320000000</v>
      </c>
      <c r="F2912" s="4" t="str">
        <f>_xlfn.LET(_xlpm.r, _xlfn.XLOOKUP(Clean_Data[[#This Row],[Country_Code]], Metadata_Country!$A:$A, Metadata_Country!$B:$B, "Unknown"), IF(OR(_xlpm.r=0, _xlpm.r=""), "Regional Aggregate", _xlpm.r))</f>
        <v>Regional Aggregate</v>
      </c>
      <c r="G2912" s="4" t="str">
        <f>_xlfn.LET(_xlpm.ig, _xlfn.XLOOKUP(Clean_Data[[#This Row],[Country_Code]], Metadata_Country!$A:$A, Metadata_Country!$C:$C, "Unknown"), IF(OR(_xlpm.ig=0, _xlpm.ig=""), "Regional Aggregate", _xlpm.ig))</f>
        <v>Regional Aggregate</v>
      </c>
      <c r="H2912" s="4">
        <f>Clean_Data[[#This Row],[Exports_TIV]] - Clean_Data[[#This Row],[Imports_TIV]]</f>
        <v>6884000000</v>
      </c>
      <c r="I2912" s="4">
        <f>Clean_Data[[#This Row],[Exports_TIV]] + Clean_Data[[#This Row],[Imports_TIV]]</f>
        <v>9524000000</v>
      </c>
    </row>
    <row r="2913" spans="1:9">
      <c r="A2913" s="4" t="s">
        <v>363</v>
      </c>
      <c r="B2913" s="4" t="s">
        <v>364</v>
      </c>
      <c r="C2913" s="5">
        <v>2007</v>
      </c>
      <c r="D2913" s="4">
        <v>3000000</v>
      </c>
      <c r="E2913" s="4">
        <v>598000000</v>
      </c>
      <c r="F2913" s="4" t="str">
        <f>_xlfn.LET(_xlpm.r, _xlfn.XLOOKUP(Clean_Data[[#This Row],[Country_Code]], Metadata_Country!$A:$A, Metadata_Country!$B:$B, "Unknown"), IF(OR(_xlpm.r=0, _xlpm.r=""), "Regional Aggregate", _xlpm.r))</f>
        <v>Europe &amp; Central Asia</v>
      </c>
      <c r="G2913" s="4" t="str">
        <f>_xlfn.LET(_xlpm.ig, _xlfn.XLOOKUP(Clean_Data[[#This Row],[Country_Code]], Metadata_Country!$A:$A, Metadata_Country!$C:$C, "Unknown"), IF(OR(_xlpm.ig=0, _xlpm.ig=""), "Regional Aggregate", _xlpm.ig))</f>
        <v>High income</v>
      </c>
      <c r="H2913" s="4">
        <f>Clean_Data[[#This Row],[Exports_TIV]] - Clean_Data[[#This Row],[Imports_TIV]]</f>
        <v>-595000000</v>
      </c>
      <c r="I2913" s="4">
        <f>Clean_Data[[#This Row],[Exports_TIV]] + Clean_Data[[#This Row],[Imports_TIV]]</f>
        <v>601000000</v>
      </c>
    </row>
    <row r="2914" spans="1:9">
      <c r="A2914" s="4" t="s">
        <v>371</v>
      </c>
      <c r="B2914" s="4" t="s">
        <v>372</v>
      </c>
      <c r="C2914" s="5">
        <v>2007</v>
      </c>
      <c r="D2914" s="4">
        <v>19299000000</v>
      </c>
      <c r="E2914" s="4">
        <v>13162000000</v>
      </c>
      <c r="F2914" s="4" t="str">
        <f>_xlfn.LET(_xlpm.r, _xlfn.XLOOKUP(Clean_Data[[#This Row],[Country_Code]], Metadata_Country!$A:$A, Metadata_Country!$B:$B, "Unknown"), IF(OR(_xlpm.r=0, _xlpm.r=""), "Regional Aggregate", _xlpm.r))</f>
        <v>Regional Aggregate</v>
      </c>
      <c r="G2914" s="4" t="str">
        <f>_xlfn.LET(_xlpm.ig, _xlfn.XLOOKUP(Clean_Data[[#This Row],[Country_Code]], Metadata_Country!$A:$A, Metadata_Country!$C:$C, "Unknown"), IF(OR(_xlpm.ig=0, _xlpm.ig=""), "Regional Aggregate", _xlpm.ig))</f>
        <v>Regional Aggregate</v>
      </c>
      <c r="H2914" s="4">
        <f>Clean_Data[[#This Row],[Exports_TIV]] - Clean_Data[[#This Row],[Imports_TIV]]</f>
        <v>6137000000</v>
      </c>
      <c r="I2914" s="4">
        <f>Clean_Data[[#This Row],[Exports_TIV]] + Clean_Data[[#This Row],[Imports_TIV]]</f>
        <v>32461000000</v>
      </c>
    </row>
    <row r="2915" spans="1:9">
      <c r="A2915" s="4" t="s">
        <v>373</v>
      </c>
      <c r="B2915" s="4" t="s">
        <v>374</v>
      </c>
      <c r="C2915" s="5">
        <v>2007</v>
      </c>
      <c r="D2915" s="4">
        <v>0</v>
      </c>
      <c r="E2915" s="4">
        <v>12000000</v>
      </c>
      <c r="F2915" s="4" t="str">
        <f>_xlfn.LET(_xlpm.r, _xlfn.XLOOKUP(Clean_Data[[#This Row],[Country_Code]], Metadata_Country!$A:$A, Metadata_Country!$B:$B, "Unknown"), IF(OR(_xlpm.r=0, _xlpm.r=""), "Regional Aggregate", _xlpm.r))</f>
        <v>Middle East &amp; North Africa</v>
      </c>
      <c r="G2915" s="4" t="str">
        <f>_xlfn.LET(_xlpm.ig, _xlfn.XLOOKUP(Clean_Data[[#This Row],[Country_Code]], Metadata_Country!$A:$A, Metadata_Country!$C:$C, "Unknown"), IF(OR(_xlpm.ig=0, _xlpm.ig=""), "Regional Aggregate", _xlpm.ig))</f>
        <v>High income</v>
      </c>
      <c r="H2915" s="4">
        <f>Clean_Data[[#This Row],[Exports_TIV]] - Clean_Data[[#This Row],[Imports_TIV]]</f>
        <v>-12000000</v>
      </c>
      <c r="I2915" s="4">
        <f>Clean_Data[[#This Row],[Exports_TIV]] + Clean_Data[[#This Row],[Imports_TIV]]</f>
        <v>12000000</v>
      </c>
    </row>
    <row r="2916" spans="1:9">
      <c r="A2916" s="4" t="s">
        <v>377</v>
      </c>
      <c r="B2916" s="4" t="s">
        <v>378</v>
      </c>
      <c r="C2916" s="5">
        <v>2007</v>
      </c>
      <c r="D2916" s="4">
        <v>0</v>
      </c>
      <c r="E2916" s="4">
        <v>693000000</v>
      </c>
      <c r="F2916" s="4" t="str">
        <f>_xlfn.LET(_xlpm.r, _xlfn.XLOOKUP(Clean_Data[[#This Row],[Country_Code]], Metadata_Country!$A:$A, Metadata_Country!$B:$B, "Unknown"), IF(OR(_xlpm.r=0, _xlpm.r=""), "Regional Aggregate", _xlpm.r))</f>
        <v>Middle East &amp; North Africa</v>
      </c>
      <c r="G2916" s="4" t="str">
        <f>_xlfn.LET(_xlpm.ig, _xlfn.XLOOKUP(Clean_Data[[#This Row],[Country_Code]], Metadata_Country!$A:$A, Metadata_Country!$C:$C, "Unknown"), IF(OR(_xlpm.ig=0, _xlpm.ig=""), "Regional Aggregate", _xlpm.ig))</f>
        <v>Lower middle income</v>
      </c>
      <c r="H2916" s="4">
        <f>Clean_Data[[#This Row],[Exports_TIV]] - Clean_Data[[#This Row],[Imports_TIV]]</f>
        <v>-693000000</v>
      </c>
      <c r="I2916" s="4">
        <f>Clean_Data[[#This Row],[Exports_TIV]] + Clean_Data[[#This Row],[Imports_TIV]]</f>
        <v>693000000</v>
      </c>
    </row>
    <row r="2917" spans="1:9">
      <c r="A2917" s="4" t="s">
        <v>381</v>
      </c>
      <c r="B2917" s="4" t="s">
        <v>382</v>
      </c>
      <c r="C2917" s="5">
        <v>2007</v>
      </c>
      <c r="D2917" s="4">
        <v>0</v>
      </c>
      <c r="E2917" s="4">
        <v>172000000</v>
      </c>
      <c r="F2917" s="4" t="str">
        <f>_xlfn.LET(_xlpm.r, _xlfn.XLOOKUP(Clean_Data[[#This Row],[Country_Code]], Metadata_Country!$A:$A, Metadata_Country!$B:$B, "Unknown"), IF(OR(_xlpm.r=0, _xlpm.r=""), "Regional Aggregate", _xlpm.r))</f>
        <v>Latin America &amp; Caribbean</v>
      </c>
      <c r="G2917" s="4" t="str">
        <f>_xlfn.LET(_xlpm.ig, _xlfn.XLOOKUP(Clean_Data[[#This Row],[Country_Code]], Metadata_Country!$A:$A, Metadata_Country!$C:$C, "Unknown"), IF(OR(_xlpm.ig=0, _xlpm.ig=""), "Regional Aggregate", _xlpm.ig))</f>
        <v>Upper middle income</v>
      </c>
      <c r="H2917" s="4">
        <f>Clean_Data[[#This Row],[Exports_TIV]] - Clean_Data[[#This Row],[Imports_TIV]]</f>
        <v>-172000000</v>
      </c>
      <c r="I2917" s="4">
        <f>Clean_Data[[#This Row],[Exports_TIV]] + Clean_Data[[#This Row],[Imports_TIV]]</f>
        <v>172000000</v>
      </c>
    </row>
    <row r="2918" spans="1:9">
      <c r="A2918" s="4" t="s">
        <v>383</v>
      </c>
      <c r="B2918" s="4" t="s">
        <v>384</v>
      </c>
      <c r="C2918" s="5">
        <v>2007</v>
      </c>
      <c r="D2918" s="4">
        <v>4000000</v>
      </c>
      <c r="E2918" s="4">
        <v>16000000</v>
      </c>
      <c r="F2918" s="4" t="str">
        <f>_xlfn.LET(_xlpm.r, _xlfn.XLOOKUP(Clean_Data[[#This Row],[Country_Code]], Metadata_Country!$A:$A, Metadata_Country!$B:$B, "Unknown"), IF(OR(_xlpm.r=0, _xlpm.r=""), "Regional Aggregate", _xlpm.r))</f>
        <v>East Asia &amp; Pacific</v>
      </c>
      <c r="G2918" s="4" t="str">
        <f>_xlfn.LET(_xlpm.ig, _xlfn.XLOOKUP(Clean_Data[[#This Row],[Country_Code]], Metadata_Country!$A:$A, Metadata_Country!$C:$C, "Unknown"), IF(OR(_xlpm.ig=0, _xlpm.ig=""), "Regional Aggregate", _xlpm.ig))</f>
        <v>Upper middle income</v>
      </c>
      <c r="H2918" s="4">
        <f>Clean_Data[[#This Row],[Exports_TIV]] - Clean_Data[[#This Row],[Imports_TIV]]</f>
        <v>-12000000</v>
      </c>
      <c r="I2918" s="4">
        <f>Clean_Data[[#This Row],[Exports_TIV]] + Clean_Data[[#This Row],[Imports_TIV]]</f>
        <v>20000000</v>
      </c>
    </row>
    <row r="2919" spans="1:9">
      <c r="A2919" s="4" t="s">
        <v>389</v>
      </c>
      <c r="B2919" s="4" t="s">
        <v>390</v>
      </c>
      <c r="C2919" s="5">
        <v>2007</v>
      </c>
      <c r="D2919" s="4">
        <v>163000000</v>
      </c>
      <c r="E2919" s="4">
        <v>969000000</v>
      </c>
      <c r="F2919" s="4" t="str">
        <f>_xlfn.LET(_xlpm.r, _xlfn.XLOOKUP(Clean_Data[[#This Row],[Country_Code]], Metadata_Country!$A:$A, Metadata_Country!$B:$B, "Unknown"), IF(OR(_xlpm.r=0, _xlpm.r=""), "Regional Aggregate", _xlpm.r))</f>
        <v>Europe &amp; Central Asia</v>
      </c>
      <c r="G2919" s="4" t="str">
        <f>_xlfn.LET(_xlpm.ig, _xlfn.XLOOKUP(Clean_Data[[#This Row],[Country_Code]], Metadata_Country!$A:$A, Metadata_Country!$C:$C, "Unknown"), IF(OR(_xlpm.ig=0, _xlpm.ig=""), "Regional Aggregate", _xlpm.ig))</f>
        <v>High income</v>
      </c>
      <c r="H2919" s="4">
        <f>Clean_Data[[#This Row],[Exports_TIV]] - Clean_Data[[#This Row],[Imports_TIV]]</f>
        <v>-806000000</v>
      </c>
      <c r="I2919" s="4">
        <f>Clean_Data[[#This Row],[Exports_TIV]] + Clean_Data[[#This Row],[Imports_TIV]]</f>
        <v>1132000000</v>
      </c>
    </row>
    <row r="2920" spans="1:9">
      <c r="A2920" s="4" t="s">
        <v>397</v>
      </c>
      <c r="B2920" s="4" t="s">
        <v>398</v>
      </c>
      <c r="C2920" s="5">
        <v>2007</v>
      </c>
      <c r="D2920" s="4">
        <v>0</v>
      </c>
      <c r="E2920" s="4">
        <v>60000000</v>
      </c>
      <c r="F2920" s="4" t="str">
        <f>_xlfn.LET(_xlpm.r, _xlfn.XLOOKUP(Clean_Data[[#This Row],[Country_Code]], Metadata_Country!$A:$A, Metadata_Country!$B:$B, "Unknown"), IF(OR(_xlpm.r=0, _xlpm.r=""), "Regional Aggregate", _xlpm.r))</f>
        <v>Europe &amp; Central Asia</v>
      </c>
      <c r="G2920" s="4" t="str">
        <f>_xlfn.LET(_xlpm.ig, _xlfn.XLOOKUP(Clean_Data[[#This Row],[Country_Code]], Metadata_Country!$A:$A, Metadata_Country!$C:$C, "Unknown"), IF(OR(_xlpm.ig=0, _xlpm.ig=""), "Regional Aggregate", _xlpm.ig))</f>
        <v>High income</v>
      </c>
      <c r="H2920" s="4">
        <f>Clean_Data[[#This Row],[Exports_TIV]] - Clean_Data[[#This Row],[Imports_TIV]]</f>
        <v>-60000000</v>
      </c>
      <c r="I2920" s="4">
        <f>Clean_Data[[#This Row],[Exports_TIV]] + Clean_Data[[#This Row],[Imports_TIV]]</f>
        <v>60000000</v>
      </c>
    </row>
    <row r="2921" spans="1:9">
      <c r="A2921" s="4" t="s">
        <v>405</v>
      </c>
      <c r="B2921" s="4" t="s">
        <v>406</v>
      </c>
      <c r="C2921" s="5">
        <v>2007</v>
      </c>
      <c r="D2921" s="4">
        <v>19016000000</v>
      </c>
      <c r="E2921" s="4">
        <v>10161000000</v>
      </c>
      <c r="F2921" s="4" t="str">
        <f>_xlfn.LET(_xlpm.r, _xlfn.XLOOKUP(Clean_Data[[#This Row],[Country_Code]], Metadata_Country!$A:$A, Metadata_Country!$B:$B, "Unknown"), IF(OR(_xlpm.r=0, _xlpm.r=""), "Regional Aggregate", _xlpm.r))</f>
        <v>Regional Aggregate</v>
      </c>
      <c r="G2921" s="4" t="str">
        <f>_xlfn.LET(_xlpm.ig, _xlfn.XLOOKUP(Clean_Data[[#This Row],[Country_Code]], Metadata_Country!$A:$A, Metadata_Country!$C:$C, "Unknown"), IF(OR(_xlpm.ig=0, _xlpm.ig=""), "Regional Aggregate", _xlpm.ig))</f>
        <v>Regional Aggregate</v>
      </c>
      <c r="H2921" s="4">
        <f>Clean_Data[[#This Row],[Exports_TIV]] - Clean_Data[[#This Row],[Imports_TIV]]</f>
        <v>8855000000</v>
      </c>
      <c r="I2921" s="4">
        <f>Clean_Data[[#This Row],[Exports_TIV]] + Clean_Data[[#This Row],[Imports_TIV]]</f>
        <v>29177000000</v>
      </c>
    </row>
    <row r="2922" spans="1:9">
      <c r="A2922" s="4" t="s">
        <v>391</v>
      </c>
      <c r="B2922" s="4" t="s">
        <v>392</v>
      </c>
      <c r="C2922" s="5">
        <v>2007</v>
      </c>
      <c r="D2922" s="4">
        <v>0</v>
      </c>
      <c r="E2922" s="4">
        <v>637000000</v>
      </c>
      <c r="F2922" s="4" t="str">
        <f>_xlfn.LET(_xlpm.r, _xlfn.XLOOKUP(Clean_Data[[#This Row],[Country_Code]], Metadata_Country!$A:$A, Metadata_Country!$B:$B, "Unknown"), IF(OR(_xlpm.r=0, _xlpm.r=""), "Regional Aggregate", _xlpm.r))</f>
        <v>Regional Aggregate</v>
      </c>
      <c r="G2922" s="4" t="str">
        <f>_xlfn.LET(_xlpm.ig, _xlfn.XLOOKUP(Clean_Data[[#This Row],[Country_Code]], Metadata_Country!$A:$A, Metadata_Country!$C:$C, "Unknown"), IF(OR(_xlpm.ig=0, _xlpm.ig=""), "Regional Aggregate", _xlpm.ig))</f>
        <v>Regional Aggregate</v>
      </c>
      <c r="H2922" s="4">
        <f>Clean_Data[[#This Row],[Exports_TIV]] - Clean_Data[[#This Row],[Imports_TIV]]</f>
        <v>-637000000</v>
      </c>
      <c r="I2922" s="4">
        <f>Clean_Data[[#This Row],[Exports_TIV]] + Clean_Data[[#This Row],[Imports_TIV]]</f>
        <v>637000000</v>
      </c>
    </row>
    <row r="2923" spans="1:9">
      <c r="A2923" s="4" t="s">
        <v>409</v>
      </c>
      <c r="B2923" s="4" t="s">
        <v>410</v>
      </c>
      <c r="C2923" s="5">
        <v>2007</v>
      </c>
      <c r="D2923" s="4">
        <v>0</v>
      </c>
      <c r="E2923" s="4">
        <v>27000000</v>
      </c>
      <c r="F2923" s="4" t="str">
        <f>_xlfn.LET(_xlpm.r, _xlfn.XLOOKUP(Clean_Data[[#This Row],[Country_Code]], Metadata_Country!$A:$A, Metadata_Country!$B:$B, "Unknown"), IF(OR(_xlpm.r=0, _xlpm.r=""), "Regional Aggregate", _xlpm.r))</f>
        <v>Middle East &amp; North Africa</v>
      </c>
      <c r="G2923" s="4" t="str">
        <f>_xlfn.LET(_xlpm.ig, _xlfn.XLOOKUP(Clean_Data[[#This Row],[Country_Code]], Metadata_Country!$A:$A, Metadata_Country!$C:$C, "Unknown"), IF(OR(_xlpm.ig=0, _xlpm.ig=""), "Regional Aggregate", _xlpm.ig))</f>
        <v>High income</v>
      </c>
      <c r="H2923" s="4">
        <f>Clean_Data[[#This Row],[Exports_TIV]] - Clean_Data[[#This Row],[Imports_TIV]]</f>
        <v>-27000000</v>
      </c>
      <c r="I2923" s="4">
        <f>Clean_Data[[#This Row],[Exports_TIV]] + Clean_Data[[#This Row],[Imports_TIV]]</f>
        <v>27000000</v>
      </c>
    </row>
    <row r="2924" spans="1:9">
      <c r="A2924" s="4" t="s">
        <v>411</v>
      </c>
      <c r="B2924" s="4" t="s">
        <v>412</v>
      </c>
      <c r="C2924" s="5">
        <v>2007</v>
      </c>
      <c r="D2924" s="4">
        <v>32000000</v>
      </c>
      <c r="E2924" s="4">
        <v>101000000</v>
      </c>
      <c r="F2924" s="4" t="str">
        <f>_xlfn.LET(_xlpm.r, _xlfn.XLOOKUP(Clean_Data[[#This Row],[Country_Code]], Metadata_Country!$A:$A, Metadata_Country!$B:$B, "Unknown"), IF(OR(_xlpm.r=0, _xlpm.r=""), "Regional Aggregate", _xlpm.r))</f>
        <v>Europe &amp; Central Asia</v>
      </c>
      <c r="G2924" s="4" t="str">
        <f>_xlfn.LET(_xlpm.ig, _xlfn.XLOOKUP(Clean_Data[[#This Row],[Country_Code]], Metadata_Country!$A:$A, Metadata_Country!$C:$C, "Unknown"), IF(OR(_xlpm.ig=0, _xlpm.ig=""), "Regional Aggregate", _xlpm.ig))</f>
        <v>High income</v>
      </c>
      <c r="H2924" s="4">
        <f>Clean_Data[[#This Row],[Exports_TIV]] - Clean_Data[[#This Row],[Imports_TIV]]</f>
        <v>-69000000</v>
      </c>
      <c r="I2924" s="4">
        <f>Clean_Data[[#This Row],[Exports_TIV]] + Clean_Data[[#This Row],[Imports_TIV]]</f>
        <v>133000000</v>
      </c>
    </row>
    <row r="2925" spans="1:9">
      <c r="A2925" s="4" t="s">
        <v>413</v>
      </c>
      <c r="B2925" s="4" t="s">
        <v>414</v>
      </c>
      <c r="C2925" s="5">
        <v>2007</v>
      </c>
      <c r="D2925" s="4">
        <v>5596000000</v>
      </c>
      <c r="E2925" s="4">
        <v>90000000</v>
      </c>
      <c r="F2925" s="4" t="str">
        <f>_xlfn.LET(_xlpm.r, _xlfn.XLOOKUP(Clean_Data[[#This Row],[Country_Code]], Metadata_Country!$A:$A, Metadata_Country!$B:$B, "Unknown"), IF(OR(_xlpm.r=0, _xlpm.r=""), "Regional Aggregate", _xlpm.r))</f>
        <v>Europe &amp; Central Asia</v>
      </c>
      <c r="G2925" s="4" t="str">
        <f>_xlfn.LET(_xlpm.ig, _xlfn.XLOOKUP(Clean_Data[[#This Row],[Country_Code]], Metadata_Country!$A:$A, Metadata_Country!$C:$C, "Unknown"), IF(OR(_xlpm.ig=0, _xlpm.ig=""), "Regional Aggregate", _xlpm.ig))</f>
        <v>High income</v>
      </c>
      <c r="H2925" s="4">
        <f>Clean_Data[[#This Row],[Exports_TIV]] - Clean_Data[[#This Row],[Imports_TIV]]</f>
        <v>5506000000</v>
      </c>
      <c r="I2925" s="4">
        <f>Clean_Data[[#This Row],[Exports_TIV]] + Clean_Data[[#This Row],[Imports_TIV]]</f>
        <v>5686000000</v>
      </c>
    </row>
    <row r="2926" spans="1:9">
      <c r="A2926" s="4" t="s">
        <v>415</v>
      </c>
      <c r="B2926" s="4" t="s">
        <v>416</v>
      </c>
      <c r="C2926" s="5">
        <v>2007</v>
      </c>
      <c r="D2926" s="4">
        <v>0</v>
      </c>
      <c r="E2926" s="4">
        <v>20000000</v>
      </c>
      <c r="F2926" s="4" t="str">
        <f>_xlfn.LET(_xlpm.r, _xlfn.XLOOKUP(Clean_Data[[#This Row],[Country_Code]], Metadata_Country!$A:$A, Metadata_Country!$B:$B, "Unknown"), IF(OR(_xlpm.r=0, _xlpm.r=""), "Regional Aggregate", _xlpm.r))</f>
        <v>Sub-Saharan Africa</v>
      </c>
      <c r="G2926" s="4" t="str">
        <f>_xlfn.LET(_xlpm.ig, _xlfn.XLOOKUP(Clean_Data[[#This Row],[Country_Code]], Metadata_Country!$A:$A, Metadata_Country!$C:$C, "Unknown"), IF(OR(_xlpm.ig=0, _xlpm.ig=""), "Regional Aggregate", _xlpm.ig))</f>
        <v>Low income</v>
      </c>
      <c r="H2926" s="4">
        <f>Clean_Data[[#This Row],[Exports_TIV]] - Clean_Data[[#This Row],[Imports_TIV]]</f>
        <v>-20000000</v>
      </c>
      <c r="I2926" s="4">
        <f>Clean_Data[[#This Row],[Exports_TIV]] + Clean_Data[[#This Row],[Imports_TIV]]</f>
        <v>20000000</v>
      </c>
    </row>
    <row r="2927" spans="1:9">
      <c r="A2927" s="4" t="s">
        <v>419</v>
      </c>
      <c r="B2927" s="4" t="s">
        <v>420</v>
      </c>
      <c r="C2927" s="5">
        <v>2007</v>
      </c>
      <c r="D2927" s="4">
        <v>0</v>
      </c>
      <c r="E2927" s="4">
        <v>229000000</v>
      </c>
      <c r="F2927" s="4" t="str">
        <f>_xlfn.LET(_xlpm.r, _xlfn.XLOOKUP(Clean_Data[[#This Row],[Country_Code]], Metadata_Country!$A:$A, Metadata_Country!$B:$B, "Unknown"), IF(OR(_xlpm.r=0, _xlpm.r=""), "Regional Aggregate", _xlpm.r))</f>
        <v>Middle East &amp; North Africa</v>
      </c>
      <c r="G2927" s="4" t="str">
        <f>_xlfn.LET(_xlpm.ig, _xlfn.XLOOKUP(Clean_Data[[#This Row],[Country_Code]], Metadata_Country!$A:$A, Metadata_Country!$C:$C, "Unknown"), IF(OR(_xlpm.ig=0, _xlpm.ig=""), "Regional Aggregate", _xlpm.ig))</f>
        <v>High income</v>
      </c>
      <c r="H2927" s="4">
        <f>Clean_Data[[#This Row],[Exports_TIV]] - Clean_Data[[#This Row],[Imports_TIV]]</f>
        <v>-229000000</v>
      </c>
      <c r="I2927" s="4">
        <f>Clean_Data[[#This Row],[Exports_TIV]] + Clean_Data[[#This Row],[Imports_TIV]]</f>
        <v>229000000</v>
      </c>
    </row>
    <row r="2928" spans="1:9">
      <c r="A2928" s="4" t="s">
        <v>423</v>
      </c>
      <c r="B2928" s="4" t="s">
        <v>424</v>
      </c>
      <c r="C2928" s="5">
        <v>2007</v>
      </c>
      <c r="D2928" s="4">
        <v>0</v>
      </c>
      <c r="E2928" s="4">
        <v>12000000</v>
      </c>
      <c r="F2928" s="4" t="str">
        <f>_xlfn.LET(_xlpm.r, _xlfn.XLOOKUP(Clean_Data[[#This Row],[Country_Code]], Metadata_Country!$A:$A, Metadata_Country!$B:$B, "Unknown"), IF(OR(_xlpm.r=0, _xlpm.r=""), "Regional Aggregate", _xlpm.r))</f>
        <v>Sub-Saharan Africa</v>
      </c>
      <c r="G2928" s="4" t="str">
        <f>_xlfn.LET(_xlpm.ig, _xlfn.XLOOKUP(Clean_Data[[#This Row],[Country_Code]], Metadata_Country!$A:$A, Metadata_Country!$C:$C, "Unknown"), IF(OR(_xlpm.ig=0, _xlpm.ig=""), "Regional Aggregate", _xlpm.ig))</f>
        <v>Lower middle income</v>
      </c>
      <c r="H2928" s="4">
        <f>Clean_Data[[#This Row],[Exports_TIV]] - Clean_Data[[#This Row],[Imports_TIV]]</f>
        <v>-12000000</v>
      </c>
      <c r="I2928" s="4">
        <f>Clean_Data[[#This Row],[Exports_TIV]] + Clean_Data[[#This Row],[Imports_TIV]]</f>
        <v>12000000</v>
      </c>
    </row>
    <row r="2929" spans="1:9">
      <c r="A2929" s="4" t="s">
        <v>437</v>
      </c>
      <c r="B2929" s="4" t="s">
        <v>438</v>
      </c>
      <c r="C2929" s="5">
        <v>2007</v>
      </c>
      <c r="D2929" s="4">
        <v>5000000</v>
      </c>
      <c r="E2929" s="4">
        <v>0</v>
      </c>
      <c r="F2929" s="4" t="str">
        <f>_xlfn.LET(_xlpm.r, _xlfn.XLOOKUP(Clean_Data[[#This Row],[Country_Code]], Metadata_Country!$A:$A, Metadata_Country!$B:$B, "Unknown"), IF(OR(_xlpm.r=0, _xlpm.r=""), "Regional Aggregate", _xlpm.r))</f>
        <v>Europe &amp; Central Asia</v>
      </c>
      <c r="G2929" s="4" t="str">
        <f>_xlfn.LET(_xlpm.ig, _xlfn.XLOOKUP(Clean_Data[[#This Row],[Country_Code]], Metadata_Country!$A:$A, Metadata_Country!$C:$C, "Unknown"), IF(OR(_xlpm.ig=0, _xlpm.ig=""), "Regional Aggregate", _xlpm.ig))</f>
        <v>Upper middle income</v>
      </c>
      <c r="H2929" s="4">
        <f>Clean_Data[[#This Row],[Exports_TIV]] - Clean_Data[[#This Row],[Imports_TIV]]</f>
        <v>5000000</v>
      </c>
      <c r="I2929" s="4">
        <f>Clean_Data[[#This Row],[Exports_TIV]] + Clean_Data[[#This Row],[Imports_TIV]]</f>
        <v>5000000</v>
      </c>
    </row>
    <row r="2930" spans="1:9">
      <c r="A2930" s="4" t="s">
        <v>425</v>
      </c>
      <c r="B2930" s="4" t="s">
        <v>426</v>
      </c>
      <c r="C2930" s="5">
        <v>2007</v>
      </c>
      <c r="D2930" s="4">
        <v>0</v>
      </c>
      <c r="E2930" s="4">
        <v>396000000</v>
      </c>
      <c r="F2930" s="4" t="str">
        <f>_xlfn.LET(_xlpm.r, _xlfn.XLOOKUP(Clean_Data[[#This Row],[Country_Code]], Metadata_Country!$A:$A, Metadata_Country!$B:$B, "Unknown"), IF(OR(_xlpm.r=0, _xlpm.r=""), "Regional Aggregate", _xlpm.r))</f>
        <v>East Asia &amp; Pacific</v>
      </c>
      <c r="G2930" s="4" t="str">
        <f>_xlfn.LET(_xlpm.ig, _xlfn.XLOOKUP(Clean_Data[[#This Row],[Country_Code]], Metadata_Country!$A:$A, Metadata_Country!$C:$C, "Unknown"), IF(OR(_xlpm.ig=0, _xlpm.ig=""), "Regional Aggregate", _xlpm.ig))</f>
        <v>High income</v>
      </c>
      <c r="H2930" s="4">
        <f>Clean_Data[[#This Row],[Exports_TIV]] - Clean_Data[[#This Row],[Imports_TIV]]</f>
        <v>-396000000</v>
      </c>
      <c r="I2930" s="4">
        <f>Clean_Data[[#This Row],[Exports_TIV]] + Clean_Data[[#This Row],[Imports_TIV]]</f>
        <v>396000000</v>
      </c>
    </row>
    <row r="2931" spans="1:9">
      <c r="A2931" s="4" t="s">
        <v>451</v>
      </c>
      <c r="B2931" s="4" t="s">
        <v>452</v>
      </c>
      <c r="C2931" s="5">
        <v>2007</v>
      </c>
      <c r="D2931" s="4">
        <v>22000000</v>
      </c>
      <c r="E2931" s="4">
        <v>0</v>
      </c>
      <c r="F2931" s="4" t="str">
        <f>_xlfn.LET(_xlpm.r, _xlfn.XLOOKUP(Clean_Data[[#This Row],[Country_Code]], Metadata_Country!$A:$A, Metadata_Country!$B:$B, "Unknown"), IF(OR(_xlpm.r=0, _xlpm.r=""), "Regional Aggregate", _xlpm.r))</f>
        <v>Europe &amp; Central Asia</v>
      </c>
      <c r="G2931" s="4" t="str">
        <f>_xlfn.LET(_xlpm.ig, _xlfn.XLOOKUP(Clean_Data[[#This Row],[Country_Code]], Metadata_Country!$A:$A, Metadata_Country!$C:$C, "Unknown"), IF(OR(_xlpm.ig=0, _xlpm.ig=""), "Regional Aggregate", _xlpm.ig))</f>
        <v>High income</v>
      </c>
      <c r="H2931" s="4">
        <f>Clean_Data[[#This Row],[Exports_TIV]] - Clean_Data[[#This Row],[Imports_TIV]]</f>
        <v>22000000</v>
      </c>
      <c r="I2931" s="4">
        <f>Clean_Data[[#This Row],[Exports_TIV]] + Clean_Data[[#This Row],[Imports_TIV]]</f>
        <v>22000000</v>
      </c>
    </row>
    <row r="2932" spans="1:9">
      <c r="A2932" s="4" t="s">
        <v>453</v>
      </c>
      <c r="B2932" s="4" t="s">
        <v>454</v>
      </c>
      <c r="C2932" s="5">
        <v>2007</v>
      </c>
      <c r="D2932" s="4">
        <v>0</v>
      </c>
      <c r="E2932" s="4">
        <v>2000000</v>
      </c>
      <c r="F2932" s="4" t="str">
        <f>_xlfn.LET(_xlpm.r, _xlfn.XLOOKUP(Clean_Data[[#This Row],[Country_Code]], Metadata_Country!$A:$A, Metadata_Country!$B:$B, "Unknown"), IF(OR(_xlpm.r=0, _xlpm.r=""), "Regional Aggregate", _xlpm.r))</f>
        <v>Europe &amp; Central Asia</v>
      </c>
      <c r="G2932" s="4" t="str">
        <f>_xlfn.LET(_xlpm.ig, _xlfn.XLOOKUP(Clean_Data[[#This Row],[Country_Code]], Metadata_Country!$A:$A, Metadata_Country!$C:$C, "Unknown"), IF(OR(_xlpm.ig=0, _xlpm.ig=""), "Regional Aggregate", _xlpm.ig))</f>
        <v>High income</v>
      </c>
      <c r="H2932" s="4">
        <f>Clean_Data[[#This Row],[Exports_TIV]] - Clean_Data[[#This Row],[Imports_TIV]]</f>
        <v>-2000000</v>
      </c>
      <c r="I2932" s="4">
        <f>Clean_Data[[#This Row],[Exports_TIV]] + Clean_Data[[#This Row],[Imports_TIV]]</f>
        <v>2000000</v>
      </c>
    </row>
    <row r="2933" spans="1:9">
      <c r="A2933" s="4" t="s">
        <v>535</v>
      </c>
      <c r="B2933" s="4" t="s">
        <v>536</v>
      </c>
      <c r="C2933" s="5">
        <v>2007</v>
      </c>
      <c r="D2933" s="4">
        <v>137000000</v>
      </c>
      <c r="E2933" s="4">
        <v>910000000</v>
      </c>
      <c r="F2933" s="4" t="str">
        <f>_xlfn.LET(_xlpm.r, _xlfn.XLOOKUP(Clean_Data[[#This Row],[Country_Code]], Metadata_Country!$A:$A, Metadata_Country!$B:$B, "Unknown"), IF(OR(_xlpm.r=0, _xlpm.r=""), "Regional Aggregate", _xlpm.r))</f>
        <v>Sub-Saharan Africa</v>
      </c>
      <c r="G2933" s="4" t="str">
        <f>_xlfn.LET(_xlpm.ig, _xlfn.XLOOKUP(Clean_Data[[#This Row],[Country_Code]], Metadata_Country!$A:$A, Metadata_Country!$C:$C, "Unknown"), IF(OR(_xlpm.ig=0, _xlpm.ig=""), "Regional Aggregate", _xlpm.ig))</f>
        <v>Upper middle income</v>
      </c>
      <c r="H2933" s="4">
        <f>Clean_Data[[#This Row],[Exports_TIV]] - Clean_Data[[#This Row],[Imports_TIV]]</f>
        <v>-773000000</v>
      </c>
      <c r="I2933" s="4">
        <f>Clean_Data[[#This Row],[Exports_TIV]] + Clean_Data[[#This Row],[Imports_TIV]]</f>
        <v>1047000000</v>
      </c>
    </row>
    <row r="2934" spans="1:9">
      <c r="A2934" s="4" t="s">
        <v>417</v>
      </c>
      <c r="B2934" s="4" t="s">
        <v>418</v>
      </c>
      <c r="C2934" s="5">
        <v>2007</v>
      </c>
      <c r="D2934" s="4">
        <v>23000000</v>
      </c>
      <c r="E2934" s="4">
        <v>2473000000</v>
      </c>
      <c r="F2934" s="4" t="str">
        <f>_xlfn.LET(_xlpm.r, _xlfn.XLOOKUP(Clean_Data[[#This Row],[Country_Code]], Metadata_Country!$A:$A, Metadata_Country!$B:$B, "Unknown"), IF(OR(_xlpm.r=0, _xlpm.r=""), "Regional Aggregate", _xlpm.r))</f>
        <v>Regional Aggregate</v>
      </c>
      <c r="G2934" s="4" t="str">
        <f>_xlfn.LET(_xlpm.ig, _xlfn.XLOOKUP(Clean_Data[[#This Row],[Country_Code]], Metadata_Country!$A:$A, Metadata_Country!$C:$C, "Unknown"), IF(OR(_xlpm.ig=0, _xlpm.ig=""), "Regional Aggregate", _xlpm.ig))</f>
        <v>Regional Aggregate</v>
      </c>
      <c r="H2934" s="4">
        <f>Clean_Data[[#This Row],[Exports_TIV]] - Clean_Data[[#This Row],[Imports_TIV]]</f>
        <v>-2450000000</v>
      </c>
      <c r="I2934" s="4">
        <f>Clean_Data[[#This Row],[Exports_TIV]] + Clean_Data[[#This Row],[Imports_TIV]]</f>
        <v>2496000000</v>
      </c>
    </row>
    <row r="2935" spans="1:9">
      <c r="A2935" s="4" t="s">
        <v>489</v>
      </c>
      <c r="B2935" s="4" t="s">
        <v>490</v>
      </c>
      <c r="C2935" s="5">
        <v>2007</v>
      </c>
      <c r="D2935" s="4">
        <v>23000000</v>
      </c>
      <c r="E2935" s="4">
        <v>2473000000</v>
      </c>
      <c r="F2935" s="4" t="str">
        <f>_xlfn.LET(_xlpm.r, _xlfn.XLOOKUP(Clean_Data[[#This Row],[Country_Code]], Metadata_Country!$A:$A, Metadata_Country!$B:$B, "Unknown"), IF(OR(_xlpm.r=0, _xlpm.r=""), "Regional Aggregate", _xlpm.r))</f>
        <v>Regional Aggregate</v>
      </c>
      <c r="G2935" s="4" t="str">
        <f>_xlfn.LET(_xlpm.ig, _xlfn.XLOOKUP(Clean_Data[[#This Row],[Country_Code]], Metadata_Country!$A:$A, Metadata_Country!$C:$C, "Unknown"), IF(OR(_xlpm.ig=0, _xlpm.ig=""), "Regional Aggregate", _xlpm.ig))</f>
        <v>Regional Aggregate</v>
      </c>
      <c r="H2935" s="4">
        <f>Clean_Data[[#This Row],[Exports_TIV]] - Clean_Data[[#This Row],[Imports_TIV]]</f>
        <v>-2450000000</v>
      </c>
      <c r="I2935" s="4">
        <f>Clean_Data[[#This Row],[Exports_TIV]] + Clean_Data[[#This Row],[Imports_TIV]]</f>
        <v>2496000000</v>
      </c>
    </row>
    <row r="2936" spans="1:9">
      <c r="A2936" s="4" t="s">
        <v>441</v>
      </c>
      <c r="B2936" s="4" t="s">
        <v>442</v>
      </c>
      <c r="C2936" s="5">
        <v>2007</v>
      </c>
      <c r="D2936" s="4">
        <v>0</v>
      </c>
      <c r="E2936" s="4">
        <v>37000000</v>
      </c>
      <c r="F2936" s="4" t="str">
        <f>_xlfn.LET(_xlpm.r, _xlfn.XLOOKUP(Clean_Data[[#This Row],[Country_Code]], Metadata_Country!$A:$A, Metadata_Country!$B:$B, "Unknown"), IF(OR(_xlpm.r=0, _xlpm.r=""), "Regional Aggregate", _xlpm.r))</f>
        <v>Sub-Saharan Africa</v>
      </c>
      <c r="G2936" s="4" t="str">
        <f>_xlfn.LET(_xlpm.ig, _xlfn.XLOOKUP(Clean_Data[[#This Row],[Country_Code]], Metadata_Country!$A:$A, Metadata_Country!$C:$C, "Unknown"), IF(OR(_xlpm.ig=0, _xlpm.ig=""), "Regional Aggregate", _xlpm.ig))</f>
        <v>Low income</v>
      </c>
      <c r="H2936" s="4">
        <f>Clean_Data[[#This Row],[Exports_TIV]] - Clean_Data[[#This Row],[Imports_TIV]]</f>
        <v>-37000000</v>
      </c>
      <c r="I2936" s="4">
        <f>Clean_Data[[#This Row],[Exports_TIV]] + Clean_Data[[#This Row],[Imports_TIV]]</f>
        <v>37000000</v>
      </c>
    </row>
    <row r="2937" spans="1:9">
      <c r="A2937" s="4" t="s">
        <v>149</v>
      </c>
      <c r="B2937" s="4" t="s">
        <v>150</v>
      </c>
      <c r="C2937" s="5">
        <v>2007</v>
      </c>
      <c r="D2937" s="4">
        <v>628000000</v>
      </c>
      <c r="E2937" s="4">
        <v>343000000</v>
      </c>
      <c r="F2937" s="4" t="str">
        <f>_xlfn.LET(_xlpm.r, _xlfn.XLOOKUP(Clean_Data[[#This Row],[Country_Code]], Metadata_Country!$A:$A, Metadata_Country!$B:$B, "Unknown"), IF(OR(_xlpm.r=0, _xlpm.r=""), "Regional Aggregate", _xlpm.r))</f>
        <v>Europe &amp; Central Asia</v>
      </c>
      <c r="G2937" s="4" t="str">
        <f>_xlfn.LET(_xlpm.ig, _xlfn.XLOOKUP(Clean_Data[[#This Row],[Country_Code]], Metadata_Country!$A:$A, Metadata_Country!$C:$C, "Unknown"), IF(OR(_xlpm.ig=0, _xlpm.ig=""), "Regional Aggregate", _xlpm.ig))</f>
        <v>High income</v>
      </c>
      <c r="H2937" s="4">
        <f>Clean_Data[[#This Row],[Exports_TIV]] - Clean_Data[[#This Row],[Imports_TIV]]</f>
        <v>285000000</v>
      </c>
      <c r="I2937" s="4">
        <f>Clean_Data[[#This Row],[Exports_TIV]] + Clean_Data[[#This Row],[Imports_TIV]]</f>
        <v>971000000</v>
      </c>
    </row>
    <row r="2938" spans="1:9">
      <c r="A2938" s="4" t="s">
        <v>285</v>
      </c>
      <c r="B2938" s="4" t="s">
        <v>286</v>
      </c>
      <c r="C2938" s="5">
        <v>2007</v>
      </c>
      <c r="D2938" s="4">
        <v>0</v>
      </c>
      <c r="E2938" s="4">
        <v>91000000</v>
      </c>
      <c r="F2938" s="4" t="str">
        <f>_xlfn.LET(_xlpm.r, _xlfn.XLOOKUP(Clean_Data[[#This Row],[Country_Code]], Metadata_Country!$A:$A, Metadata_Country!$B:$B, "Unknown"), IF(OR(_xlpm.r=0, _xlpm.r=""), "Regional Aggregate", _xlpm.r))</f>
        <v>South Asia</v>
      </c>
      <c r="G2938" s="4" t="str">
        <f>_xlfn.LET(_xlpm.ig, _xlfn.XLOOKUP(Clean_Data[[#This Row],[Country_Code]], Metadata_Country!$A:$A, Metadata_Country!$C:$C, "Unknown"), IF(OR(_xlpm.ig=0, _xlpm.ig=""), "Regional Aggregate", _xlpm.ig))</f>
        <v>Upper middle income</v>
      </c>
      <c r="H2938" s="4">
        <f>Clean_Data[[#This Row],[Exports_TIV]] - Clean_Data[[#This Row],[Imports_TIV]]</f>
        <v>-91000000</v>
      </c>
      <c r="I2938" s="4">
        <f>Clean_Data[[#This Row],[Exports_TIV]] + Clean_Data[[#This Row],[Imports_TIV]]</f>
        <v>91000000</v>
      </c>
    </row>
    <row r="2939" spans="1:9">
      <c r="A2939" s="4" t="s">
        <v>443</v>
      </c>
      <c r="B2939" s="4" t="s">
        <v>444</v>
      </c>
      <c r="C2939" s="5">
        <v>2007</v>
      </c>
      <c r="D2939" s="4">
        <v>0</v>
      </c>
      <c r="E2939" s="4">
        <v>1262000000</v>
      </c>
      <c r="F2939" s="4" t="str">
        <f>_xlfn.LET(_xlpm.r, _xlfn.XLOOKUP(Clean_Data[[#This Row],[Country_Code]], Metadata_Country!$A:$A, Metadata_Country!$B:$B, "Unknown"), IF(OR(_xlpm.r=0, _xlpm.r=""), "Regional Aggregate", _xlpm.r))</f>
        <v>Regional Aggregate</v>
      </c>
      <c r="G2939" s="4" t="str">
        <f>_xlfn.LET(_xlpm.ig, _xlfn.XLOOKUP(Clean_Data[[#This Row],[Country_Code]], Metadata_Country!$A:$A, Metadata_Country!$C:$C, "Unknown"), IF(OR(_xlpm.ig=0, _xlpm.ig=""), "Regional Aggregate", _xlpm.ig))</f>
        <v>Regional Aggregate</v>
      </c>
      <c r="H2939" s="4">
        <f>Clean_Data[[#This Row],[Exports_TIV]] - Clean_Data[[#This Row],[Imports_TIV]]</f>
        <v>-1262000000</v>
      </c>
      <c r="I2939" s="4">
        <f>Clean_Data[[#This Row],[Exports_TIV]] + Clean_Data[[#This Row],[Imports_TIV]]</f>
        <v>1262000000</v>
      </c>
    </row>
    <row r="2940" spans="1:9">
      <c r="A2940" s="4" t="s">
        <v>439</v>
      </c>
      <c r="B2940" s="4" t="s">
        <v>440</v>
      </c>
      <c r="C2940" s="5">
        <v>2007</v>
      </c>
      <c r="D2940" s="4">
        <v>0</v>
      </c>
      <c r="E2940" s="4">
        <v>1262000000</v>
      </c>
      <c r="F2940" s="4" t="str">
        <f>_xlfn.LET(_xlpm.r, _xlfn.XLOOKUP(Clean_Data[[#This Row],[Country_Code]], Metadata_Country!$A:$A, Metadata_Country!$B:$B, "Unknown"), IF(OR(_xlpm.r=0, _xlpm.r=""), "Regional Aggregate", _xlpm.r))</f>
        <v>Regional Aggregate</v>
      </c>
      <c r="G2940" s="4" t="str">
        <f>_xlfn.LET(_xlpm.ig, _xlfn.XLOOKUP(Clean_Data[[#This Row],[Country_Code]], Metadata_Country!$A:$A, Metadata_Country!$C:$C, "Unknown"), IF(OR(_xlpm.ig=0, _xlpm.ig=""), "Regional Aggregate", _xlpm.ig))</f>
        <v>Regional Aggregate</v>
      </c>
      <c r="H2940" s="4">
        <f>Clean_Data[[#This Row],[Exports_TIV]] - Clean_Data[[#This Row],[Imports_TIV]]</f>
        <v>-1262000000</v>
      </c>
      <c r="I2940" s="4">
        <f>Clean_Data[[#This Row],[Exports_TIV]] + Clean_Data[[#This Row],[Imports_TIV]]</f>
        <v>1262000000</v>
      </c>
    </row>
    <row r="2941" spans="1:9">
      <c r="A2941" s="4" t="s">
        <v>491</v>
      </c>
      <c r="B2941" s="4" t="s">
        <v>492</v>
      </c>
      <c r="C2941" s="5">
        <v>2007</v>
      </c>
      <c r="D2941" s="4">
        <v>0</v>
      </c>
      <c r="E2941" s="4">
        <v>1262000000</v>
      </c>
      <c r="F2941" s="4" t="str">
        <f>_xlfn.LET(_xlpm.r, _xlfn.XLOOKUP(Clean_Data[[#This Row],[Country_Code]], Metadata_Country!$A:$A, Metadata_Country!$B:$B, "Unknown"), IF(OR(_xlpm.r=0, _xlpm.r=""), "Regional Aggregate", _xlpm.r))</f>
        <v>Regional Aggregate</v>
      </c>
      <c r="G2941" s="4" t="str">
        <f>_xlfn.LET(_xlpm.ig, _xlfn.XLOOKUP(Clean_Data[[#This Row],[Country_Code]], Metadata_Country!$A:$A, Metadata_Country!$C:$C, "Unknown"), IF(OR(_xlpm.ig=0, _xlpm.ig=""), "Regional Aggregate", _xlpm.ig))</f>
        <v>Regional Aggregate</v>
      </c>
      <c r="H2941" s="4">
        <f>Clean_Data[[#This Row],[Exports_TIV]] - Clean_Data[[#This Row],[Imports_TIV]]</f>
        <v>-1262000000</v>
      </c>
      <c r="I2941" s="4">
        <f>Clean_Data[[#This Row],[Exports_TIV]] + Clean_Data[[#This Row],[Imports_TIV]]</f>
        <v>1262000000</v>
      </c>
    </row>
    <row r="2942" spans="1:9">
      <c r="A2942" s="4" t="s">
        <v>421</v>
      </c>
      <c r="B2942" s="4" t="s">
        <v>422</v>
      </c>
      <c r="C2942" s="5">
        <v>2007</v>
      </c>
      <c r="D2942" s="4">
        <v>0</v>
      </c>
      <c r="E2942" s="4">
        <v>58000000</v>
      </c>
      <c r="F2942" s="4" t="str">
        <f>_xlfn.LET(_xlpm.r, _xlfn.XLOOKUP(Clean_Data[[#This Row],[Country_Code]], Metadata_Country!$A:$A, Metadata_Country!$B:$B, "Unknown"), IF(OR(_xlpm.r=0, _xlpm.r=""), "Regional Aggregate", _xlpm.r))</f>
        <v>Sub-Saharan Africa</v>
      </c>
      <c r="G2942" s="4" t="str">
        <f>_xlfn.LET(_xlpm.ig, _xlfn.XLOOKUP(Clean_Data[[#This Row],[Country_Code]], Metadata_Country!$A:$A, Metadata_Country!$C:$C, "Unknown"), IF(OR(_xlpm.ig=0, _xlpm.ig=""), "Regional Aggregate", _xlpm.ig))</f>
        <v>Low income</v>
      </c>
      <c r="H2942" s="4">
        <f>Clean_Data[[#This Row],[Exports_TIV]] - Clean_Data[[#This Row],[Imports_TIV]]</f>
        <v>-58000000</v>
      </c>
      <c r="I2942" s="4">
        <f>Clean_Data[[#This Row],[Exports_TIV]] + Clean_Data[[#This Row],[Imports_TIV]]</f>
        <v>58000000</v>
      </c>
    </row>
    <row r="2943" spans="1:9">
      <c r="A2943" s="4" t="s">
        <v>455</v>
      </c>
      <c r="B2943" s="4" t="s">
        <v>456</v>
      </c>
      <c r="C2943" s="5">
        <v>2007</v>
      </c>
      <c r="D2943" s="4">
        <v>332000000</v>
      </c>
      <c r="E2943" s="4">
        <v>51000000</v>
      </c>
      <c r="F2943" s="4" t="str">
        <f>_xlfn.LET(_xlpm.r, _xlfn.XLOOKUP(Clean_Data[[#This Row],[Country_Code]], Metadata_Country!$A:$A, Metadata_Country!$B:$B, "Unknown"), IF(OR(_xlpm.r=0, _xlpm.r=""), "Regional Aggregate", _xlpm.r))</f>
        <v>Europe &amp; Central Asia</v>
      </c>
      <c r="G2943" s="4" t="str">
        <f>_xlfn.LET(_xlpm.ig, _xlfn.XLOOKUP(Clean_Data[[#This Row],[Country_Code]], Metadata_Country!$A:$A, Metadata_Country!$C:$C, "Unknown"), IF(OR(_xlpm.ig=0, _xlpm.ig=""), "Regional Aggregate", _xlpm.ig))</f>
        <v>High income</v>
      </c>
      <c r="H2943" s="4">
        <f>Clean_Data[[#This Row],[Exports_TIV]] - Clean_Data[[#This Row],[Imports_TIV]]</f>
        <v>281000000</v>
      </c>
      <c r="I2943" s="4">
        <f>Clean_Data[[#This Row],[Exports_TIV]] + Clean_Data[[#This Row],[Imports_TIV]]</f>
        <v>383000000</v>
      </c>
    </row>
    <row r="2944" spans="1:9">
      <c r="A2944" s="4" t="s">
        <v>83</v>
      </c>
      <c r="B2944" s="4" t="s">
        <v>84</v>
      </c>
      <c r="C2944" s="5">
        <v>2007</v>
      </c>
      <c r="D2944" s="4">
        <v>325000000</v>
      </c>
      <c r="E2944" s="4">
        <v>108000000</v>
      </c>
      <c r="F2944" s="4" t="str">
        <f>_xlfn.LET(_xlpm.r, _xlfn.XLOOKUP(Clean_Data[[#This Row],[Country_Code]], Metadata_Country!$A:$A, Metadata_Country!$B:$B, "Unknown"), IF(OR(_xlpm.r=0, _xlpm.r=""), "Regional Aggregate", _xlpm.r))</f>
        <v>Europe &amp; Central Asia</v>
      </c>
      <c r="G2944" s="4" t="str">
        <f>_xlfn.LET(_xlpm.ig, _xlfn.XLOOKUP(Clean_Data[[#This Row],[Country_Code]], Metadata_Country!$A:$A, Metadata_Country!$C:$C, "Unknown"), IF(OR(_xlpm.ig=0, _xlpm.ig=""), "Regional Aggregate", _xlpm.ig))</f>
        <v>High income</v>
      </c>
      <c r="H2944" s="4">
        <f>Clean_Data[[#This Row],[Exports_TIV]] - Clean_Data[[#This Row],[Imports_TIV]]</f>
        <v>217000000</v>
      </c>
      <c r="I2944" s="4">
        <f>Clean_Data[[#This Row],[Exports_TIV]] + Clean_Data[[#This Row],[Imports_TIV]]</f>
        <v>433000000</v>
      </c>
    </row>
    <row r="2945" spans="1:9">
      <c r="A2945" s="4" t="s">
        <v>463</v>
      </c>
      <c r="B2945" s="4" t="s">
        <v>464</v>
      </c>
      <c r="C2945" s="5">
        <v>2007</v>
      </c>
      <c r="D2945" s="4">
        <v>0</v>
      </c>
      <c r="E2945" s="4">
        <v>15000000</v>
      </c>
      <c r="F2945" s="4" t="str">
        <f>_xlfn.LET(_xlpm.r, _xlfn.XLOOKUP(Clean_Data[[#This Row],[Country_Code]], Metadata_Country!$A:$A, Metadata_Country!$B:$B, "Unknown"), IF(OR(_xlpm.r=0, _xlpm.r=""), "Regional Aggregate", _xlpm.r))</f>
        <v>Middle East &amp; North Africa</v>
      </c>
      <c r="G2945" s="4" t="str">
        <f>_xlfn.LET(_xlpm.ig, _xlfn.XLOOKUP(Clean_Data[[#This Row],[Country_Code]], Metadata_Country!$A:$A, Metadata_Country!$C:$C, "Unknown"), IF(OR(_xlpm.ig=0, _xlpm.ig=""), "Regional Aggregate", _xlpm.ig))</f>
        <v>Low income</v>
      </c>
      <c r="H2945" s="4">
        <f>Clean_Data[[#This Row],[Exports_TIV]] - Clean_Data[[#This Row],[Imports_TIV]]</f>
        <v>-15000000</v>
      </c>
      <c r="I2945" s="4">
        <f>Clean_Data[[#This Row],[Exports_TIV]] + Clean_Data[[#This Row],[Imports_TIV]]</f>
        <v>15000000</v>
      </c>
    </row>
    <row r="2946" spans="1:9">
      <c r="A2946" s="4" t="s">
        <v>477</v>
      </c>
      <c r="B2946" s="4" t="s">
        <v>478</v>
      </c>
      <c r="C2946" s="5">
        <v>2007</v>
      </c>
      <c r="D2946" s="4">
        <v>0</v>
      </c>
      <c r="E2946" s="4">
        <v>7000000</v>
      </c>
      <c r="F2946" s="4" t="str">
        <f>_xlfn.LET(_xlpm.r, _xlfn.XLOOKUP(Clean_Data[[#This Row],[Country_Code]], Metadata_Country!$A:$A, Metadata_Country!$B:$B, "Unknown"), IF(OR(_xlpm.r=0, _xlpm.r=""), "Regional Aggregate", _xlpm.r))</f>
        <v>Europe &amp; Central Asia</v>
      </c>
      <c r="G2946" s="4" t="str">
        <f>_xlfn.LET(_xlpm.ig, _xlfn.XLOOKUP(Clean_Data[[#This Row],[Country_Code]], Metadata_Country!$A:$A, Metadata_Country!$C:$C, "Unknown"), IF(OR(_xlpm.ig=0, _xlpm.ig=""), "Regional Aggregate", _xlpm.ig))</f>
        <v>Lower middle income</v>
      </c>
      <c r="H2946" s="4">
        <f>Clean_Data[[#This Row],[Exports_TIV]] - Clean_Data[[#This Row],[Imports_TIV]]</f>
        <v>-7000000</v>
      </c>
      <c r="I2946" s="4">
        <f>Clean_Data[[#This Row],[Exports_TIV]] + Clean_Data[[#This Row],[Imports_TIV]]</f>
        <v>7000000</v>
      </c>
    </row>
    <row r="2947" spans="1:9">
      <c r="A2947" s="4" t="s">
        <v>501</v>
      </c>
      <c r="B2947" s="4" t="s">
        <v>502</v>
      </c>
      <c r="C2947" s="5">
        <v>2007</v>
      </c>
      <c r="D2947" s="4">
        <v>0</v>
      </c>
      <c r="E2947" s="4">
        <v>1000000</v>
      </c>
      <c r="F2947" s="4" t="str">
        <f>_xlfn.LET(_xlpm.r, _xlfn.XLOOKUP(Clean_Data[[#This Row],[Country_Code]], Metadata_Country!$A:$A, Metadata_Country!$B:$B, "Unknown"), IF(OR(_xlpm.r=0, _xlpm.r=""), "Regional Aggregate", _xlpm.r))</f>
        <v>Sub-Saharan Africa</v>
      </c>
      <c r="G2947" s="4" t="str">
        <f>_xlfn.LET(_xlpm.ig, _xlfn.XLOOKUP(Clean_Data[[#This Row],[Country_Code]], Metadata_Country!$A:$A, Metadata_Country!$C:$C, "Unknown"), IF(OR(_xlpm.ig=0, _xlpm.ig=""), "Regional Aggregate", _xlpm.ig))</f>
        <v>Lower middle income</v>
      </c>
      <c r="H2947" s="4">
        <f>Clean_Data[[#This Row],[Exports_TIV]] - Clean_Data[[#This Row],[Imports_TIV]]</f>
        <v>-1000000</v>
      </c>
      <c r="I2947" s="4">
        <f>Clean_Data[[#This Row],[Exports_TIV]] + Clean_Data[[#This Row],[Imports_TIV]]</f>
        <v>1000000</v>
      </c>
    </row>
    <row r="2948" spans="1:9">
      <c r="A2948" s="4" t="s">
        <v>475</v>
      </c>
      <c r="B2948" s="4" t="s">
        <v>476</v>
      </c>
      <c r="C2948" s="5">
        <v>2007</v>
      </c>
      <c r="D2948" s="4">
        <v>0</v>
      </c>
      <c r="E2948" s="4">
        <v>8000000</v>
      </c>
      <c r="F2948" s="4" t="str">
        <f>_xlfn.LET(_xlpm.r, _xlfn.XLOOKUP(Clean_Data[[#This Row],[Country_Code]], Metadata_Country!$A:$A, Metadata_Country!$B:$B, "Unknown"), IF(OR(_xlpm.r=0, _xlpm.r=""), "Regional Aggregate", _xlpm.r))</f>
        <v>East Asia &amp; Pacific</v>
      </c>
      <c r="G2948" s="4" t="str">
        <f>_xlfn.LET(_xlpm.ig, _xlfn.XLOOKUP(Clean_Data[[#This Row],[Country_Code]], Metadata_Country!$A:$A, Metadata_Country!$C:$C, "Unknown"), IF(OR(_xlpm.ig=0, _xlpm.ig=""), "Regional Aggregate", _xlpm.ig))</f>
        <v>Upper middle income</v>
      </c>
      <c r="H2948" s="4">
        <f>Clean_Data[[#This Row],[Exports_TIV]] - Clean_Data[[#This Row],[Imports_TIV]]</f>
        <v>-8000000</v>
      </c>
      <c r="I2948" s="4">
        <f>Clean_Data[[#This Row],[Exports_TIV]] + Clean_Data[[#This Row],[Imports_TIV]]</f>
        <v>8000000</v>
      </c>
    </row>
    <row r="2949" spans="1:9">
      <c r="A2949" s="4" t="s">
        <v>493</v>
      </c>
      <c r="B2949" s="4" t="s">
        <v>494</v>
      </c>
      <c r="C2949" s="5">
        <v>2007</v>
      </c>
      <c r="D2949" s="4">
        <v>0</v>
      </c>
      <c r="E2949" s="4">
        <v>6000000</v>
      </c>
      <c r="F2949" s="4" t="str">
        <f>_xlfn.LET(_xlpm.r, _xlfn.XLOOKUP(Clean_Data[[#This Row],[Country_Code]], Metadata_Country!$A:$A, Metadata_Country!$B:$B, "Unknown"), IF(OR(_xlpm.r=0, _xlpm.r=""), "Regional Aggregate", _xlpm.r))</f>
        <v>Latin America &amp; Caribbean</v>
      </c>
      <c r="G2949" s="4" t="str">
        <f>_xlfn.LET(_xlpm.ig, _xlfn.XLOOKUP(Clean_Data[[#This Row],[Country_Code]], Metadata_Country!$A:$A, Metadata_Country!$C:$C, "Unknown"), IF(OR(_xlpm.ig=0, _xlpm.ig=""), "Regional Aggregate", _xlpm.ig))</f>
        <v>High income</v>
      </c>
      <c r="H2949" s="4">
        <f>Clean_Data[[#This Row],[Exports_TIV]] - Clean_Data[[#This Row],[Imports_TIV]]</f>
        <v>-6000000</v>
      </c>
      <c r="I2949" s="4">
        <f>Clean_Data[[#This Row],[Exports_TIV]] + Clean_Data[[#This Row],[Imports_TIV]]</f>
        <v>6000000</v>
      </c>
    </row>
    <row r="2950" spans="1:9">
      <c r="A2950" s="4" t="s">
        <v>497</v>
      </c>
      <c r="B2950" s="4" t="s">
        <v>498</v>
      </c>
      <c r="C2950" s="5">
        <v>2007</v>
      </c>
      <c r="D2950" s="4">
        <v>88000000</v>
      </c>
      <c r="E2950" s="4">
        <v>675000000</v>
      </c>
      <c r="F2950" s="4" t="str">
        <f>_xlfn.LET(_xlpm.r, _xlfn.XLOOKUP(Clean_Data[[#This Row],[Country_Code]], Metadata_Country!$A:$A, Metadata_Country!$B:$B, "Unknown"), IF(OR(_xlpm.r=0, _xlpm.r=""), "Regional Aggregate", _xlpm.r))</f>
        <v>Europe &amp; Central Asia</v>
      </c>
      <c r="G2950" s="4" t="str">
        <f>_xlfn.LET(_xlpm.ig, _xlfn.XLOOKUP(Clean_Data[[#This Row],[Country_Code]], Metadata_Country!$A:$A, Metadata_Country!$C:$C, "Unknown"), IF(OR(_xlpm.ig=0, _xlpm.ig=""), "Regional Aggregate", _xlpm.ig))</f>
        <v>Upper middle income</v>
      </c>
      <c r="H2950" s="4">
        <f>Clean_Data[[#This Row],[Exports_TIV]] - Clean_Data[[#This Row],[Imports_TIV]]</f>
        <v>-587000000</v>
      </c>
      <c r="I2950" s="4">
        <f>Clean_Data[[#This Row],[Exports_TIV]] + Clean_Data[[#This Row],[Imports_TIV]]</f>
        <v>763000000</v>
      </c>
    </row>
    <row r="2951" spans="1:9">
      <c r="A2951" s="4" t="s">
        <v>503</v>
      </c>
      <c r="B2951" s="4" t="s">
        <v>504</v>
      </c>
      <c r="C2951" s="5">
        <v>2007</v>
      </c>
      <c r="D2951" s="4">
        <v>0</v>
      </c>
      <c r="E2951" s="4">
        <v>0</v>
      </c>
      <c r="F2951" s="4" t="str">
        <f>_xlfn.LET(_xlpm.r, _xlfn.XLOOKUP(Clean_Data[[#This Row],[Country_Code]], Metadata_Country!$A:$A, Metadata_Country!$B:$B, "Unknown"), IF(OR(_xlpm.r=0, _xlpm.r=""), "Regional Aggregate", _xlpm.r))</f>
        <v>Sub-Saharan Africa</v>
      </c>
      <c r="G2951" s="4" t="str">
        <f>_xlfn.LET(_xlpm.ig, _xlfn.XLOOKUP(Clean_Data[[#This Row],[Country_Code]], Metadata_Country!$A:$A, Metadata_Country!$C:$C, "Unknown"), IF(OR(_xlpm.ig=0, _xlpm.ig=""), "Regional Aggregate", _xlpm.ig))</f>
        <v>Low income</v>
      </c>
      <c r="H2951" s="4">
        <f>Clean_Data[[#This Row],[Exports_TIV]] - Clean_Data[[#This Row],[Imports_TIV]]</f>
        <v>0</v>
      </c>
      <c r="I2951" s="4">
        <f>Clean_Data[[#This Row],[Exports_TIV]] + Clean_Data[[#This Row],[Imports_TIV]]</f>
        <v>0</v>
      </c>
    </row>
    <row r="2952" spans="1:9">
      <c r="A2952" s="4" t="s">
        <v>505</v>
      </c>
      <c r="B2952" s="4" t="s">
        <v>506</v>
      </c>
      <c r="C2952" s="5">
        <v>2007</v>
      </c>
      <c r="D2952" s="4">
        <v>640000000</v>
      </c>
      <c r="E2952" s="4">
        <v>0</v>
      </c>
      <c r="F2952" s="4" t="str">
        <f>_xlfn.LET(_xlpm.r, _xlfn.XLOOKUP(Clean_Data[[#This Row],[Country_Code]], Metadata_Country!$A:$A, Metadata_Country!$B:$B, "Unknown"), IF(OR(_xlpm.r=0, _xlpm.r=""), "Regional Aggregate", _xlpm.r))</f>
        <v>Europe &amp; Central Asia</v>
      </c>
      <c r="G2952" s="4" t="str">
        <f>_xlfn.LET(_xlpm.ig, _xlfn.XLOOKUP(Clean_Data[[#This Row],[Country_Code]], Metadata_Country!$A:$A, Metadata_Country!$C:$C, "Unknown"), IF(OR(_xlpm.ig=0, _xlpm.ig=""), "Regional Aggregate", _xlpm.ig))</f>
        <v>Upper middle income</v>
      </c>
      <c r="H2952" s="4">
        <f>Clean_Data[[#This Row],[Exports_TIV]] - Clean_Data[[#This Row],[Imports_TIV]]</f>
        <v>640000000</v>
      </c>
      <c r="I2952" s="4">
        <f>Clean_Data[[#This Row],[Exports_TIV]] + Clean_Data[[#This Row],[Imports_TIV]]</f>
        <v>640000000</v>
      </c>
    </row>
    <row r="2953" spans="1:9">
      <c r="A2953" s="4" t="s">
        <v>25</v>
      </c>
      <c r="B2953" s="4" t="s">
        <v>26</v>
      </c>
      <c r="C2953" s="5">
        <v>2007</v>
      </c>
      <c r="D2953" s="4">
        <v>3000000</v>
      </c>
      <c r="E2953" s="4">
        <v>819000000</v>
      </c>
      <c r="F2953" s="4" t="str">
        <f>_xlfn.LET(_xlpm.r, _xlfn.XLOOKUP(Clean_Data[[#This Row],[Country_Code]], Metadata_Country!$A:$A, Metadata_Country!$B:$B, "Unknown"), IF(OR(_xlpm.r=0, _xlpm.r=""), "Regional Aggregate", _xlpm.r))</f>
        <v>Middle East &amp; North Africa</v>
      </c>
      <c r="G2953" s="4" t="str">
        <f>_xlfn.LET(_xlpm.ig, _xlfn.XLOOKUP(Clean_Data[[#This Row],[Country_Code]], Metadata_Country!$A:$A, Metadata_Country!$C:$C, "Unknown"), IF(OR(_xlpm.ig=0, _xlpm.ig=""), "Regional Aggregate", _xlpm.ig))</f>
        <v>High income</v>
      </c>
      <c r="H2953" s="4">
        <f>Clean_Data[[#This Row],[Exports_TIV]] - Clean_Data[[#This Row],[Imports_TIV]]</f>
        <v>-816000000</v>
      </c>
      <c r="I2953" s="4">
        <f>Clean_Data[[#This Row],[Exports_TIV]] + Clean_Data[[#This Row],[Imports_TIV]]</f>
        <v>822000000</v>
      </c>
    </row>
    <row r="2954" spans="1:9">
      <c r="A2954" s="4" t="s">
        <v>171</v>
      </c>
      <c r="B2954" s="4" t="s">
        <v>172</v>
      </c>
      <c r="C2954" s="5">
        <v>2007</v>
      </c>
      <c r="D2954" s="4">
        <v>924000000</v>
      </c>
      <c r="E2954" s="4">
        <v>817000000</v>
      </c>
      <c r="F2954" s="4" t="str">
        <f>_xlfn.LET(_xlpm.r, _xlfn.XLOOKUP(Clean_Data[[#This Row],[Country_Code]], Metadata_Country!$A:$A, Metadata_Country!$B:$B, "Unknown"), IF(OR(_xlpm.r=0, _xlpm.r=""), "Regional Aggregate", _xlpm.r))</f>
        <v>Europe &amp; Central Asia</v>
      </c>
      <c r="G2954" s="4" t="str">
        <f>_xlfn.LET(_xlpm.ig, _xlfn.XLOOKUP(Clean_Data[[#This Row],[Country_Code]], Metadata_Country!$A:$A, Metadata_Country!$C:$C, "Unknown"), IF(OR(_xlpm.ig=0, _xlpm.ig=""), "Regional Aggregate", _xlpm.ig))</f>
        <v>High income</v>
      </c>
      <c r="H2954" s="4">
        <f>Clean_Data[[#This Row],[Exports_TIV]] - Clean_Data[[#This Row],[Imports_TIV]]</f>
        <v>107000000</v>
      </c>
      <c r="I2954" s="4">
        <f>Clean_Data[[#This Row],[Exports_TIV]] + Clean_Data[[#This Row],[Imports_TIV]]</f>
        <v>1741000000</v>
      </c>
    </row>
    <row r="2955" spans="1:9">
      <c r="A2955" s="4" t="s">
        <v>511</v>
      </c>
      <c r="B2955" s="4" t="s">
        <v>512</v>
      </c>
      <c r="C2955" s="5">
        <v>2007</v>
      </c>
      <c r="D2955" s="4">
        <v>7870000000</v>
      </c>
      <c r="E2955" s="4">
        <v>842000000</v>
      </c>
      <c r="F2955" s="4" t="str">
        <f>_xlfn.LET(_xlpm.r, _xlfn.XLOOKUP(Clean_Data[[#This Row],[Country_Code]], Metadata_Country!$A:$A, Metadata_Country!$B:$B, "Unknown"), IF(OR(_xlpm.r=0, _xlpm.r=""), "Regional Aggregate", _xlpm.r))</f>
        <v>North America</v>
      </c>
      <c r="G2955" s="4" t="str">
        <f>_xlfn.LET(_xlpm.ig, _xlfn.XLOOKUP(Clean_Data[[#This Row],[Country_Code]], Metadata_Country!$A:$A, Metadata_Country!$C:$C, "Unknown"), IF(OR(_xlpm.ig=0, _xlpm.ig=""), "Regional Aggregate", _xlpm.ig))</f>
        <v>High income</v>
      </c>
      <c r="H2955" s="4">
        <f>Clean_Data[[#This Row],[Exports_TIV]] - Clean_Data[[#This Row],[Imports_TIV]]</f>
        <v>7028000000</v>
      </c>
      <c r="I2955" s="4">
        <f>Clean_Data[[#This Row],[Exports_TIV]] + Clean_Data[[#This Row],[Imports_TIV]]</f>
        <v>8712000000</v>
      </c>
    </row>
    <row r="2956" spans="1:9">
      <c r="A2956" s="4" t="s">
        <v>507</v>
      </c>
      <c r="B2956" s="4" t="s">
        <v>508</v>
      </c>
      <c r="C2956" s="5">
        <v>2007</v>
      </c>
      <c r="D2956" s="4">
        <v>0</v>
      </c>
      <c r="E2956" s="4">
        <v>6956000000</v>
      </c>
      <c r="F2956" s="4" t="str">
        <f>_xlfn.LET(_xlpm.r, _xlfn.XLOOKUP(Clean_Data[[#This Row],[Country_Code]], Metadata_Country!$A:$A, Metadata_Country!$B:$B, "Unknown"), IF(OR(_xlpm.r=0, _xlpm.r=""), "Regional Aggregate", _xlpm.r))</f>
        <v>Regional Aggregate</v>
      </c>
      <c r="G2956" s="4" t="str">
        <f>_xlfn.LET(_xlpm.ig, _xlfn.XLOOKUP(Clean_Data[[#This Row],[Country_Code]], Metadata_Country!$A:$A, Metadata_Country!$C:$C, "Unknown"), IF(OR(_xlpm.ig=0, _xlpm.ig=""), "Regional Aggregate", _xlpm.ig))</f>
        <v>Regional Aggregate</v>
      </c>
      <c r="H2956" s="4">
        <f>Clean_Data[[#This Row],[Exports_TIV]] - Clean_Data[[#This Row],[Imports_TIV]]</f>
        <v>-6956000000</v>
      </c>
      <c r="I2956" s="4">
        <f>Clean_Data[[#This Row],[Exports_TIV]] + Clean_Data[[#This Row],[Imports_TIV]]</f>
        <v>6956000000</v>
      </c>
    </row>
    <row r="2957" spans="1:9">
      <c r="A2957" s="4" t="s">
        <v>509</v>
      </c>
      <c r="B2957" s="4" t="s">
        <v>510</v>
      </c>
      <c r="C2957" s="5">
        <v>2007</v>
      </c>
      <c r="D2957" s="4">
        <v>0</v>
      </c>
      <c r="E2957" s="4">
        <v>3000000</v>
      </c>
      <c r="F2957" s="4" t="str">
        <f>_xlfn.LET(_xlpm.r, _xlfn.XLOOKUP(Clean_Data[[#This Row],[Country_Code]], Metadata_Country!$A:$A, Metadata_Country!$B:$B, "Unknown"), IF(OR(_xlpm.r=0, _xlpm.r=""), "Regional Aggregate", _xlpm.r))</f>
        <v>Latin America &amp; Caribbean</v>
      </c>
      <c r="G2957" s="4" t="str">
        <f>_xlfn.LET(_xlpm.ig, _xlfn.XLOOKUP(Clean_Data[[#This Row],[Country_Code]], Metadata_Country!$A:$A, Metadata_Country!$C:$C, "Unknown"), IF(OR(_xlpm.ig=0, _xlpm.ig=""), "Regional Aggregate", _xlpm.ig))</f>
        <v>High income</v>
      </c>
      <c r="H2957" s="4">
        <f>Clean_Data[[#This Row],[Exports_TIV]] - Clean_Data[[#This Row],[Imports_TIV]]</f>
        <v>-3000000</v>
      </c>
      <c r="I2957" s="4">
        <f>Clean_Data[[#This Row],[Exports_TIV]] + Clean_Data[[#This Row],[Imports_TIV]]</f>
        <v>3000000</v>
      </c>
    </row>
    <row r="2958" spans="1:9">
      <c r="A2958" s="4" t="s">
        <v>517</v>
      </c>
      <c r="B2958" s="4" t="s">
        <v>518</v>
      </c>
      <c r="C2958" s="5">
        <v>2007</v>
      </c>
      <c r="D2958" s="4">
        <v>0</v>
      </c>
      <c r="E2958" s="4">
        <v>770000000</v>
      </c>
      <c r="F2958" s="4" t="str">
        <f>_xlfn.LET(_xlpm.r, _xlfn.XLOOKUP(Clean_Data[[#This Row],[Country_Code]], Metadata_Country!$A:$A, Metadata_Country!$B:$B, "Unknown"), IF(OR(_xlpm.r=0, _xlpm.r=""), "Regional Aggregate", _xlpm.r))</f>
        <v>Latin America &amp; Caribbean</v>
      </c>
      <c r="G2958" s="4" t="str">
        <f>_xlfn.LET(_xlpm.ig, _xlfn.XLOOKUP(Clean_Data[[#This Row],[Country_Code]], Metadata_Country!$A:$A, Metadata_Country!$C:$C, "Unknown"), IF(OR(_xlpm.ig=0, _xlpm.ig=""), "Regional Aggregate", _xlpm.ig))</f>
        <v>Lower middle income</v>
      </c>
      <c r="H2958" s="4">
        <f>Clean_Data[[#This Row],[Exports_TIV]] - Clean_Data[[#This Row],[Imports_TIV]]</f>
        <v>-770000000</v>
      </c>
      <c r="I2958" s="4">
        <f>Clean_Data[[#This Row],[Exports_TIV]] + Clean_Data[[#This Row],[Imports_TIV]]</f>
        <v>770000000</v>
      </c>
    </row>
    <row r="2959" spans="1:9">
      <c r="A2959" s="4" t="s">
        <v>523</v>
      </c>
      <c r="B2959" s="4" t="s">
        <v>524</v>
      </c>
      <c r="C2959" s="5">
        <v>2007</v>
      </c>
      <c r="D2959" s="4">
        <v>0</v>
      </c>
      <c r="E2959" s="4">
        <v>8000000</v>
      </c>
      <c r="F2959" s="4" t="str">
        <f>_xlfn.LET(_xlpm.r, _xlfn.XLOOKUP(Clean_Data[[#This Row],[Country_Code]], Metadata_Country!$A:$A, Metadata_Country!$B:$B, "Unknown"), IF(OR(_xlpm.r=0, _xlpm.r=""), "Regional Aggregate", _xlpm.r))</f>
        <v>East Asia &amp; Pacific</v>
      </c>
      <c r="G2959" s="4" t="str">
        <f>_xlfn.LET(_xlpm.ig, _xlfn.XLOOKUP(Clean_Data[[#This Row],[Country_Code]], Metadata_Country!$A:$A, Metadata_Country!$C:$C, "Unknown"), IF(OR(_xlpm.ig=0, _xlpm.ig=""), "Regional Aggregate", _xlpm.ig))</f>
        <v>Upper middle income</v>
      </c>
      <c r="H2959" s="4">
        <f>Clean_Data[[#This Row],[Exports_TIV]] - Clean_Data[[#This Row],[Imports_TIV]]</f>
        <v>-8000000</v>
      </c>
      <c r="I2959" s="4">
        <f>Clean_Data[[#This Row],[Exports_TIV]] + Clean_Data[[#This Row],[Imports_TIV]]</f>
        <v>8000000</v>
      </c>
    </row>
    <row r="2960" spans="1:9">
      <c r="A2960" s="4" t="s">
        <v>401</v>
      </c>
      <c r="B2960" s="4" t="s">
        <v>402</v>
      </c>
      <c r="C2960" s="5">
        <v>2007</v>
      </c>
      <c r="D2960" s="4">
        <v>0</v>
      </c>
      <c r="E2960" s="4">
        <v>2000000</v>
      </c>
      <c r="F2960" s="4" t="str">
        <f>_xlfn.LET(_xlpm.r, _xlfn.XLOOKUP(Clean_Data[[#This Row],[Country_Code]], Metadata_Country!$A:$A, Metadata_Country!$B:$B, "Unknown"), IF(OR(_xlpm.r=0, _xlpm.r=""), "Regional Aggregate", _xlpm.r))</f>
        <v>Middle East &amp; North Africa</v>
      </c>
      <c r="G2960" s="4" t="str">
        <f>_xlfn.LET(_xlpm.ig, _xlfn.XLOOKUP(Clean_Data[[#This Row],[Country_Code]], Metadata_Country!$A:$A, Metadata_Country!$C:$C, "Unknown"), IF(OR(_xlpm.ig=0, _xlpm.ig=""), "Regional Aggregate", _xlpm.ig))</f>
        <v>Lower middle income</v>
      </c>
      <c r="H2960" s="4">
        <f>Clean_Data[[#This Row],[Exports_TIV]] - Clean_Data[[#This Row],[Imports_TIV]]</f>
        <v>-2000000</v>
      </c>
      <c r="I2960" s="4">
        <f>Clean_Data[[#This Row],[Exports_TIV]] + Clean_Data[[#This Row],[Imports_TIV]]</f>
        <v>2000000</v>
      </c>
    </row>
    <row r="2961" spans="1:9">
      <c r="A2961" s="4" t="s">
        <v>527</v>
      </c>
      <c r="B2961" s="4" t="s">
        <v>528</v>
      </c>
      <c r="C2961" s="5">
        <v>2007</v>
      </c>
      <c r="D2961" s="4">
        <v>26511000000</v>
      </c>
      <c r="E2961" s="4">
        <v>26514000000</v>
      </c>
      <c r="F2961" s="4" t="str">
        <f>_xlfn.LET(_xlpm.r, _xlfn.XLOOKUP(Clean_Data[[#This Row],[Country_Code]], Metadata_Country!$A:$A, Metadata_Country!$B:$B, "Unknown"), IF(OR(_xlpm.r=0, _xlpm.r=""), "Regional Aggregate", _xlpm.r))</f>
        <v>Regional Aggregate</v>
      </c>
      <c r="G2961" s="4" t="str">
        <f>_xlfn.LET(_xlpm.ig, _xlfn.XLOOKUP(Clean_Data[[#This Row],[Country_Code]], Metadata_Country!$A:$A, Metadata_Country!$C:$C, "Unknown"), IF(OR(_xlpm.ig=0, _xlpm.ig=""), "Regional Aggregate", _xlpm.ig))</f>
        <v>Regional Aggregate</v>
      </c>
      <c r="H2961" s="4">
        <f>Clean_Data[[#This Row],[Exports_TIV]] - Clean_Data[[#This Row],[Imports_TIV]]</f>
        <v>-3000000</v>
      </c>
      <c r="I2961" s="4">
        <f>Clean_Data[[#This Row],[Exports_TIV]] + Clean_Data[[#This Row],[Imports_TIV]]</f>
        <v>53025000000</v>
      </c>
    </row>
    <row r="2962" spans="1:9">
      <c r="A2962" s="4" t="s">
        <v>533</v>
      </c>
      <c r="B2962" s="4" t="s">
        <v>534</v>
      </c>
      <c r="C2962" s="5">
        <v>2007</v>
      </c>
      <c r="D2962" s="4">
        <v>0</v>
      </c>
      <c r="E2962" s="4">
        <v>66000000</v>
      </c>
      <c r="F2962" s="4" t="str">
        <f>_xlfn.LET(_xlpm.r, _xlfn.XLOOKUP(Clean_Data[[#This Row],[Country_Code]], Metadata_Country!$A:$A, Metadata_Country!$B:$B, "Unknown"), IF(OR(_xlpm.r=0, _xlpm.r=""), "Regional Aggregate", _xlpm.r))</f>
        <v>Middle East &amp; North Africa</v>
      </c>
      <c r="G2962" s="4" t="str">
        <f>_xlfn.LET(_xlpm.ig, _xlfn.XLOOKUP(Clean_Data[[#This Row],[Country_Code]], Metadata_Country!$A:$A, Metadata_Country!$C:$C, "Unknown"), IF(OR(_xlpm.ig=0, _xlpm.ig=""), "Regional Aggregate", _xlpm.ig))</f>
        <v>Low income</v>
      </c>
      <c r="H2962" s="4">
        <f>Clean_Data[[#This Row],[Exports_TIV]] - Clean_Data[[#This Row],[Imports_TIV]]</f>
        <v>-66000000</v>
      </c>
      <c r="I2962" s="4">
        <f>Clean_Data[[#This Row],[Exports_TIV]] + Clean_Data[[#This Row],[Imports_TIV]]</f>
        <v>66000000</v>
      </c>
    </row>
    <row r="2963" spans="1:9">
      <c r="A2963" s="4" t="s">
        <v>537</v>
      </c>
      <c r="B2963" s="4" t="s">
        <v>538</v>
      </c>
      <c r="C2963" s="5">
        <v>2007</v>
      </c>
      <c r="D2963" s="4">
        <v>0</v>
      </c>
      <c r="E2963" s="4">
        <v>5000000</v>
      </c>
      <c r="F2963" s="4" t="str">
        <f>_xlfn.LET(_xlpm.r, _xlfn.XLOOKUP(Clean_Data[[#This Row],[Country_Code]], Metadata_Country!$A:$A, Metadata_Country!$B:$B, "Unknown"), IF(OR(_xlpm.r=0, _xlpm.r=""), "Regional Aggregate", _xlpm.r))</f>
        <v>Sub-Saharan Africa</v>
      </c>
      <c r="G2963" s="4" t="str">
        <f>_xlfn.LET(_xlpm.ig, _xlfn.XLOOKUP(Clean_Data[[#This Row],[Country_Code]], Metadata_Country!$A:$A, Metadata_Country!$C:$C, "Unknown"), IF(OR(_xlpm.ig=0, _xlpm.ig=""), "Regional Aggregate", _xlpm.ig))</f>
        <v>Lower middle income</v>
      </c>
      <c r="H2963" s="4">
        <f>Clean_Data[[#This Row],[Exports_TIV]] - Clean_Data[[#This Row],[Imports_TIV]]</f>
        <v>-5000000</v>
      </c>
      <c r="I2963" s="4">
        <f>Clean_Data[[#This Row],[Exports_TIV]] + Clean_Data[[#This Row],[Imports_TIV]]</f>
        <v>5000000</v>
      </c>
    </row>
    <row r="2964" spans="1:9">
      <c r="A2964" s="4" t="s">
        <v>13</v>
      </c>
      <c r="B2964" s="4" t="s">
        <v>14</v>
      </c>
      <c r="C2964" s="5">
        <v>2006</v>
      </c>
      <c r="D2964" s="4">
        <v>0</v>
      </c>
      <c r="E2964" s="4">
        <v>3000000</v>
      </c>
      <c r="F2964" s="4" t="str">
        <f>_xlfn.LET(_xlpm.r, _xlfn.XLOOKUP(Clean_Data[[#This Row],[Country_Code]], Metadata_Country!$A:$A, Metadata_Country!$B:$B, "Unknown"), IF(OR(_xlpm.r=0, _xlpm.r=""), "Regional Aggregate", _xlpm.r))</f>
        <v>Middle East &amp; North Africa</v>
      </c>
      <c r="G2964" s="4" t="str">
        <f>_xlfn.LET(_xlpm.ig, _xlfn.XLOOKUP(Clean_Data[[#This Row],[Country_Code]], Metadata_Country!$A:$A, Metadata_Country!$C:$C, "Unknown"), IF(OR(_xlpm.ig=0, _xlpm.ig=""), "Regional Aggregate", _xlpm.ig))</f>
        <v>Low income</v>
      </c>
      <c r="H2964" s="4">
        <f>Clean_Data[[#This Row],[Exports_TIV]] - Clean_Data[[#This Row],[Imports_TIV]]</f>
        <v>-3000000</v>
      </c>
      <c r="I2964" s="4">
        <f>Clean_Data[[#This Row],[Exports_TIV]] + Clean_Data[[#This Row],[Imports_TIV]]</f>
        <v>3000000</v>
      </c>
    </row>
    <row r="2965" spans="1:9">
      <c r="A2965" s="4" t="s">
        <v>11</v>
      </c>
      <c r="B2965" s="4" t="s">
        <v>12</v>
      </c>
      <c r="C2965" s="5">
        <v>2006</v>
      </c>
      <c r="D2965" s="4">
        <v>0</v>
      </c>
      <c r="E2965" s="4">
        <v>1035000000</v>
      </c>
      <c r="F2965" s="4" t="str">
        <f>_xlfn.LET(_xlpm.r, _xlfn.XLOOKUP(Clean_Data[[#This Row],[Country_Code]], Metadata_Country!$A:$A, Metadata_Country!$B:$B, "Unknown"), IF(OR(_xlpm.r=0, _xlpm.r=""), "Regional Aggregate", _xlpm.r))</f>
        <v>Regional Aggregate</v>
      </c>
      <c r="G2965" s="4" t="str">
        <f>_xlfn.LET(_xlpm.ig, _xlfn.XLOOKUP(Clean_Data[[#This Row],[Country_Code]], Metadata_Country!$A:$A, Metadata_Country!$C:$C, "Unknown"), IF(OR(_xlpm.ig=0, _xlpm.ig=""), "Regional Aggregate", _xlpm.ig))</f>
        <v>Regional Aggregate</v>
      </c>
      <c r="H2965" s="4">
        <f>Clean_Data[[#This Row],[Exports_TIV]] - Clean_Data[[#This Row],[Imports_TIV]]</f>
        <v>-1035000000</v>
      </c>
      <c r="I2965" s="4">
        <f>Clean_Data[[#This Row],[Exports_TIV]] + Clean_Data[[#This Row],[Imports_TIV]]</f>
        <v>1035000000</v>
      </c>
    </row>
    <row r="2966" spans="1:9">
      <c r="A2966" s="4" t="s">
        <v>15</v>
      </c>
      <c r="B2966" s="4" t="s">
        <v>16</v>
      </c>
      <c r="C2966" s="5">
        <v>2006</v>
      </c>
      <c r="D2966" s="4">
        <v>0</v>
      </c>
      <c r="E2966" s="4">
        <v>102000000</v>
      </c>
      <c r="F2966" s="4" t="str">
        <f>_xlfn.LET(_xlpm.r, _xlfn.XLOOKUP(Clean_Data[[#This Row],[Country_Code]], Metadata_Country!$A:$A, Metadata_Country!$B:$B, "Unknown"), IF(OR(_xlpm.r=0, _xlpm.r=""), "Regional Aggregate", _xlpm.r))</f>
        <v>Regional Aggregate</v>
      </c>
      <c r="G2966" s="4" t="str">
        <f>_xlfn.LET(_xlpm.ig, _xlfn.XLOOKUP(Clean_Data[[#This Row],[Country_Code]], Metadata_Country!$A:$A, Metadata_Country!$C:$C, "Unknown"), IF(OR(_xlpm.ig=0, _xlpm.ig=""), "Regional Aggregate", _xlpm.ig))</f>
        <v>Regional Aggregate</v>
      </c>
      <c r="H2966" s="4">
        <f>Clean_Data[[#This Row],[Exports_TIV]] - Clean_Data[[#This Row],[Imports_TIV]]</f>
        <v>-102000000</v>
      </c>
      <c r="I2966" s="4">
        <f>Clean_Data[[#This Row],[Exports_TIV]] + Clean_Data[[#This Row],[Imports_TIV]]</f>
        <v>102000000</v>
      </c>
    </row>
    <row r="2967" spans="1:9">
      <c r="A2967" s="4" t="s">
        <v>129</v>
      </c>
      <c r="B2967" s="4" t="s">
        <v>130</v>
      </c>
      <c r="C2967" s="5">
        <v>2006</v>
      </c>
      <c r="D2967" s="4">
        <v>0</v>
      </c>
      <c r="E2967" s="4">
        <v>340000000</v>
      </c>
      <c r="F2967" s="4" t="str">
        <f>_xlfn.LET(_xlpm.r, _xlfn.XLOOKUP(Clean_Data[[#This Row],[Country_Code]], Metadata_Country!$A:$A, Metadata_Country!$B:$B, "Unknown"), IF(OR(_xlpm.r=0, _xlpm.r=""), "Regional Aggregate", _xlpm.r))</f>
        <v>Middle East &amp; North Africa</v>
      </c>
      <c r="G2967" s="4" t="str">
        <f>_xlfn.LET(_xlpm.ig, _xlfn.XLOOKUP(Clean_Data[[#This Row],[Country_Code]], Metadata_Country!$A:$A, Metadata_Country!$C:$C, "Unknown"), IF(OR(_xlpm.ig=0, _xlpm.ig=""), "Regional Aggregate", _xlpm.ig))</f>
        <v>Upper middle income</v>
      </c>
      <c r="H2967" s="4">
        <f>Clean_Data[[#This Row],[Exports_TIV]] - Clean_Data[[#This Row],[Imports_TIV]]</f>
        <v>-340000000</v>
      </c>
      <c r="I2967" s="4">
        <f>Clean_Data[[#This Row],[Exports_TIV]] + Clean_Data[[#This Row],[Imports_TIV]]</f>
        <v>340000000</v>
      </c>
    </row>
    <row r="2968" spans="1:9">
      <c r="A2968" s="4" t="s">
        <v>17</v>
      </c>
      <c r="B2968" s="4" t="s">
        <v>18</v>
      </c>
      <c r="C2968" s="5">
        <v>2006</v>
      </c>
      <c r="D2968" s="4">
        <v>0</v>
      </c>
      <c r="E2968" s="4">
        <v>7000000</v>
      </c>
      <c r="F2968" s="4" t="str">
        <f>_xlfn.LET(_xlpm.r, _xlfn.XLOOKUP(Clean_Data[[#This Row],[Country_Code]], Metadata_Country!$A:$A, Metadata_Country!$B:$B, "Unknown"), IF(OR(_xlpm.r=0, _xlpm.r=""), "Regional Aggregate", _xlpm.r))</f>
        <v>Sub-Saharan Africa</v>
      </c>
      <c r="G2968" s="4" t="str">
        <f>_xlfn.LET(_xlpm.ig, _xlfn.XLOOKUP(Clean_Data[[#This Row],[Country_Code]], Metadata_Country!$A:$A, Metadata_Country!$C:$C, "Unknown"), IF(OR(_xlpm.ig=0, _xlpm.ig=""), "Regional Aggregate", _xlpm.ig))</f>
        <v>Lower middle income</v>
      </c>
      <c r="H2968" s="4">
        <f>Clean_Data[[#This Row],[Exports_TIV]] - Clean_Data[[#This Row],[Imports_TIV]]</f>
        <v>-7000000</v>
      </c>
      <c r="I2968" s="4">
        <f>Clean_Data[[#This Row],[Exports_TIV]] + Clean_Data[[#This Row],[Imports_TIV]]</f>
        <v>7000000</v>
      </c>
    </row>
    <row r="2969" spans="1:9">
      <c r="A2969" s="4" t="s">
        <v>23</v>
      </c>
      <c r="B2969" s="4" t="s">
        <v>24</v>
      </c>
      <c r="C2969" s="5">
        <v>2006</v>
      </c>
      <c r="D2969" s="4">
        <v>0</v>
      </c>
      <c r="E2969" s="4">
        <v>4198000000</v>
      </c>
      <c r="F2969" s="4" t="str">
        <f>_xlfn.LET(_xlpm.r, _xlfn.XLOOKUP(Clean_Data[[#This Row],[Country_Code]], Metadata_Country!$A:$A, Metadata_Country!$B:$B, "Unknown"), IF(OR(_xlpm.r=0, _xlpm.r=""), "Regional Aggregate", _xlpm.r))</f>
        <v>Regional Aggregate</v>
      </c>
      <c r="G2969" s="4" t="str">
        <f>_xlfn.LET(_xlpm.ig, _xlfn.XLOOKUP(Clean_Data[[#This Row],[Country_Code]], Metadata_Country!$A:$A, Metadata_Country!$C:$C, "Unknown"), IF(OR(_xlpm.ig=0, _xlpm.ig=""), "Regional Aggregate", _xlpm.ig))</f>
        <v>Regional Aggregate</v>
      </c>
      <c r="H2969" s="4">
        <f>Clean_Data[[#This Row],[Exports_TIV]] - Clean_Data[[#This Row],[Imports_TIV]]</f>
        <v>-4198000000</v>
      </c>
      <c r="I2969" s="4">
        <f>Clean_Data[[#This Row],[Exports_TIV]] + Clean_Data[[#This Row],[Imports_TIV]]</f>
        <v>4198000000</v>
      </c>
    </row>
    <row r="2970" spans="1:9">
      <c r="A2970" s="4" t="s">
        <v>27</v>
      </c>
      <c r="B2970" s="4" t="s">
        <v>28</v>
      </c>
      <c r="C2970" s="5">
        <v>2006</v>
      </c>
      <c r="D2970" s="4">
        <v>2000000</v>
      </c>
      <c r="E2970" s="4">
        <v>9000000</v>
      </c>
      <c r="F2970" s="4" t="str">
        <f>_xlfn.LET(_xlpm.r, _xlfn.XLOOKUP(Clean_Data[[#This Row],[Country_Code]], Metadata_Country!$A:$A, Metadata_Country!$B:$B, "Unknown"), IF(OR(_xlpm.r=0, _xlpm.r=""), "Regional Aggregate", _xlpm.r))</f>
        <v>Latin America &amp; Caribbean</v>
      </c>
      <c r="G2970" s="4" t="str">
        <f>_xlfn.LET(_xlpm.ig, _xlfn.XLOOKUP(Clean_Data[[#This Row],[Country_Code]], Metadata_Country!$A:$A, Metadata_Country!$C:$C, "Unknown"), IF(OR(_xlpm.ig=0, _xlpm.ig=""), "Regional Aggregate", _xlpm.ig))</f>
        <v>Upper middle income</v>
      </c>
      <c r="H2970" s="4">
        <f>Clean_Data[[#This Row],[Exports_TIV]] - Clean_Data[[#This Row],[Imports_TIV]]</f>
        <v>-7000000</v>
      </c>
      <c r="I2970" s="4">
        <f>Clean_Data[[#This Row],[Exports_TIV]] + Clean_Data[[#This Row],[Imports_TIV]]</f>
        <v>11000000</v>
      </c>
    </row>
    <row r="2971" spans="1:9">
      <c r="A2971" s="4" t="s">
        <v>29</v>
      </c>
      <c r="B2971" s="4" t="s">
        <v>30</v>
      </c>
      <c r="C2971" s="5">
        <v>2006</v>
      </c>
      <c r="D2971" s="4">
        <v>4000000</v>
      </c>
      <c r="E2971" s="4">
        <v>0</v>
      </c>
      <c r="F2971" s="4" t="str">
        <f>_xlfn.LET(_xlpm.r, _xlfn.XLOOKUP(Clean_Data[[#This Row],[Country_Code]], Metadata_Country!$A:$A, Metadata_Country!$B:$B, "Unknown"), IF(OR(_xlpm.r=0, _xlpm.r=""), "Regional Aggregate", _xlpm.r))</f>
        <v>Europe &amp; Central Asia</v>
      </c>
      <c r="G2971" s="4" t="str">
        <f>_xlfn.LET(_xlpm.ig, _xlfn.XLOOKUP(Clean_Data[[#This Row],[Country_Code]], Metadata_Country!$A:$A, Metadata_Country!$C:$C, "Unknown"), IF(OR(_xlpm.ig=0, _xlpm.ig=""), "Regional Aggregate", _xlpm.ig))</f>
        <v>Upper middle income</v>
      </c>
      <c r="H2971" s="4">
        <f>Clean_Data[[#This Row],[Exports_TIV]] - Clean_Data[[#This Row],[Imports_TIV]]</f>
        <v>4000000</v>
      </c>
      <c r="I2971" s="4">
        <f>Clean_Data[[#This Row],[Exports_TIV]] + Clean_Data[[#This Row],[Imports_TIV]]</f>
        <v>4000000</v>
      </c>
    </row>
    <row r="2972" spans="1:9">
      <c r="A2972" s="4" t="s">
        <v>35</v>
      </c>
      <c r="B2972" s="4" t="s">
        <v>36</v>
      </c>
      <c r="C2972" s="5">
        <v>2006</v>
      </c>
      <c r="D2972" s="4">
        <v>26000000</v>
      </c>
      <c r="E2972" s="4">
        <v>721000000</v>
      </c>
      <c r="F2972" s="4" t="str">
        <f>_xlfn.LET(_xlpm.r, _xlfn.XLOOKUP(Clean_Data[[#This Row],[Country_Code]], Metadata_Country!$A:$A, Metadata_Country!$B:$B, "Unknown"), IF(OR(_xlpm.r=0, _xlpm.r=""), "Regional Aggregate", _xlpm.r))</f>
        <v>East Asia &amp; Pacific</v>
      </c>
      <c r="G2972" s="4" t="str">
        <f>_xlfn.LET(_xlpm.ig, _xlfn.XLOOKUP(Clean_Data[[#This Row],[Country_Code]], Metadata_Country!$A:$A, Metadata_Country!$C:$C, "Unknown"), IF(OR(_xlpm.ig=0, _xlpm.ig=""), "Regional Aggregate", _xlpm.ig))</f>
        <v>High income</v>
      </c>
      <c r="H2972" s="4">
        <f>Clean_Data[[#This Row],[Exports_TIV]] - Clean_Data[[#This Row],[Imports_TIV]]</f>
        <v>-695000000</v>
      </c>
      <c r="I2972" s="4">
        <f>Clean_Data[[#This Row],[Exports_TIV]] + Clean_Data[[#This Row],[Imports_TIV]]</f>
        <v>747000000</v>
      </c>
    </row>
    <row r="2973" spans="1:9">
      <c r="A2973" s="4" t="s">
        <v>37</v>
      </c>
      <c r="B2973" s="4" t="s">
        <v>38</v>
      </c>
      <c r="C2973" s="5">
        <v>2006</v>
      </c>
      <c r="D2973" s="4">
        <v>62000000</v>
      </c>
      <c r="E2973" s="4">
        <v>5000000</v>
      </c>
      <c r="F2973" s="4" t="str">
        <f>_xlfn.LET(_xlpm.r, _xlfn.XLOOKUP(Clean_Data[[#This Row],[Country_Code]], Metadata_Country!$A:$A, Metadata_Country!$B:$B, "Unknown"), IF(OR(_xlpm.r=0, _xlpm.r=""), "Regional Aggregate", _xlpm.r))</f>
        <v>Europe &amp; Central Asia</v>
      </c>
      <c r="G2973" s="4" t="str">
        <f>_xlfn.LET(_xlpm.ig, _xlfn.XLOOKUP(Clean_Data[[#This Row],[Country_Code]], Metadata_Country!$A:$A, Metadata_Country!$C:$C, "Unknown"), IF(OR(_xlpm.ig=0, _xlpm.ig=""), "Regional Aggregate", _xlpm.ig))</f>
        <v>High income</v>
      </c>
      <c r="H2973" s="4">
        <f>Clean_Data[[#This Row],[Exports_TIV]] - Clean_Data[[#This Row],[Imports_TIV]]</f>
        <v>57000000</v>
      </c>
      <c r="I2973" s="4">
        <f>Clean_Data[[#This Row],[Exports_TIV]] + Clean_Data[[#This Row],[Imports_TIV]]</f>
        <v>67000000</v>
      </c>
    </row>
    <row r="2974" spans="1:9">
      <c r="A2974" s="4" t="s">
        <v>39</v>
      </c>
      <c r="B2974" s="4" t="s">
        <v>40</v>
      </c>
      <c r="C2974" s="5">
        <v>2006</v>
      </c>
      <c r="D2974" s="4">
        <v>0</v>
      </c>
      <c r="E2974" s="4">
        <v>168000000</v>
      </c>
      <c r="F2974" s="4" t="str">
        <f>_xlfn.LET(_xlpm.r, _xlfn.XLOOKUP(Clean_Data[[#This Row],[Country_Code]], Metadata_Country!$A:$A, Metadata_Country!$B:$B, "Unknown"), IF(OR(_xlpm.r=0, _xlpm.r=""), "Regional Aggregate", _xlpm.r))</f>
        <v>Europe &amp; Central Asia</v>
      </c>
      <c r="G2974" s="4" t="str">
        <f>_xlfn.LET(_xlpm.ig, _xlfn.XLOOKUP(Clean_Data[[#This Row],[Country_Code]], Metadata_Country!$A:$A, Metadata_Country!$C:$C, "Unknown"), IF(OR(_xlpm.ig=0, _xlpm.ig=""), "Regional Aggregate", _xlpm.ig))</f>
        <v>Upper middle income</v>
      </c>
      <c r="H2974" s="4">
        <f>Clean_Data[[#This Row],[Exports_TIV]] - Clean_Data[[#This Row],[Imports_TIV]]</f>
        <v>-168000000</v>
      </c>
      <c r="I2974" s="4">
        <f>Clean_Data[[#This Row],[Exports_TIV]] + Clean_Data[[#This Row],[Imports_TIV]]</f>
        <v>168000000</v>
      </c>
    </row>
    <row r="2975" spans="1:9">
      <c r="A2975" s="4" t="s">
        <v>53</v>
      </c>
      <c r="B2975" s="4" t="s">
        <v>54</v>
      </c>
      <c r="C2975" s="5">
        <v>2006</v>
      </c>
      <c r="D2975" s="4">
        <v>0</v>
      </c>
      <c r="E2975" s="4">
        <v>63000000</v>
      </c>
      <c r="F2975" s="4" t="str">
        <f>_xlfn.LET(_xlpm.r, _xlfn.XLOOKUP(Clean_Data[[#This Row],[Country_Code]], Metadata_Country!$A:$A, Metadata_Country!$B:$B, "Unknown"), IF(OR(_xlpm.r=0, _xlpm.r=""), "Regional Aggregate", _xlpm.r))</f>
        <v>Middle East &amp; North Africa</v>
      </c>
      <c r="G2975" s="4" t="str">
        <f>_xlfn.LET(_xlpm.ig, _xlfn.XLOOKUP(Clean_Data[[#This Row],[Country_Code]], Metadata_Country!$A:$A, Metadata_Country!$C:$C, "Unknown"), IF(OR(_xlpm.ig=0, _xlpm.ig=""), "Regional Aggregate", _xlpm.ig))</f>
        <v>High income</v>
      </c>
      <c r="H2975" s="4">
        <f>Clean_Data[[#This Row],[Exports_TIV]] - Clean_Data[[#This Row],[Imports_TIV]]</f>
        <v>-63000000</v>
      </c>
      <c r="I2975" s="4">
        <f>Clean_Data[[#This Row],[Exports_TIV]] + Clean_Data[[#This Row],[Imports_TIV]]</f>
        <v>63000000</v>
      </c>
    </row>
    <row r="2976" spans="1:9">
      <c r="A2976" s="4" t="s">
        <v>49</v>
      </c>
      <c r="B2976" s="4" t="s">
        <v>50</v>
      </c>
      <c r="C2976" s="5">
        <v>2006</v>
      </c>
      <c r="D2976" s="4">
        <v>0</v>
      </c>
      <c r="E2976" s="4">
        <v>221000000</v>
      </c>
      <c r="F2976" s="4" t="str">
        <f>_xlfn.LET(_xlpm.r, _xlfn.XLOOKUP(Clean_Data[[#This Row],[Country_Code]], Metadata_Country!$A:$A, Metadata_Country!$B:$B, "Unknown"), IF(OR(_xlpm.r=0, _xlpm.r=""), "Regional Aggregate", _xlpm.r))</f>
        <v>South Asia</v>
      </c>
      <c r="G2976" s="4" t="str">
        <f>_xlfn.LET(_xlpm.ig, _xlfn.XLOOKUP(Clean_Data[[#This Row],[Country_Code]], Metadata_Country!$A:$A, Metadata_Country!$C:$C, "Unknown"), IF(OR(_xlpm.ig=0, _xlpm.ig=""), "Regional Aggregate", _xlpm.ig))</f>
        <v>Lower middle income</v>
      </c>
      <c r="H2976" s="4">
        <f>Clean_Data[[#This Row],[Exports_TIV]] - Clean_Data[[#This Row],[Imports_TIV]]</f>
        <v>-221000000</v>
      </c>
      <c r="I2976" s="4">
        <f>Clean_Data[[#This Row],[Exports_TIV]] + Clean_Data[[#This Row],[Imports_TIV]]</f>
        <v>221000000</v>
      </c>
    </row>
    <row r="2977" spans="1:9">
      <c r="A2977" s="4" t="s">
        <v>59</v>
      </c>
      <c r="B2977" s="4" t="s">
        <v>60</v>
      </c>
      <c r="C2977" s="5">
        <v>2006</v>
      </c>
      <c r="D2977" s="4">
        <v>43000000</v>
      </c>
      <c r="E2977" s="4">
        <v>140000000</v>
      </c>
      <c r="F2977" s="4" t="str">
        <f>_xlfn.LET(_xlpm.r, _xlfn.XLOOKUP(Clean_Data[[#This Row],[Country_Code]], Metadata_Country!$A:$A, Metadata_Country!$B:$B, "Unknown"), IF(OR(_xlpm.r=0, _xlpm.r=""), "Regional Aggregate", _xlpm.r))</f>
        <v>Europe &amp; Central Asia</v>
      </c>
      <c r="G2977" s="4" t="str">
        <f>_xlfn.LET(_xlpm.ig, _xlfn.XLOOKUP(Clean_Data[[#This Row],[Country_Code]], Metadata_Country!$A:$A, Metadata_Country!$C:$C, "Unknown"), IF(OR(_xlpm.ig=0, _xlpm.ig=""), "Regional Aggregate", _xlpm.ig))</f>
        <v>Upper middle income</v>
      </c>
      <c r="H2977" s="4">
        <f>Clean_Data[[#This Row],[Exports_TIV]] - Clean_Data[[#This Row],[Imports_TIV]]</f>
        <v>-97000000</v>
      </c>
      <c r="I2977" s="4">
        <f>Clean_Data[[#This Row],[Exports_TIV]] + Clean_Data[[#This Row],[Imports_TIV]]</f>
        <v>183000000</v>
      </c>
    </row>
    <row r="2978" spans="1:9">
      <c r="A2978" s="4" t="s">
        <v>43</v>
      </c>
      <c r="B2978" s="4" t="s">
        <v>44</v>
      </c>
      <c r="C2978" s="5">
        <v>2006</v>
      </c>
      <c r="D2978" s="4">
        <v>59000000</v>
      </c>
      <c r="E2978" s="4">
        <v>15000000</v>
      </c>
      <c r="F2978" s="4" t="str">
        <f>_xlfn.LET(_xlpm.r, _xlfn.XLOOKUP(Clean_Data[[#This Row],[Country_Code]], Metadata_Country!$A:$A, Metadata_Country!$B:$B, "Unknown"), IF(OR(_xlpm.r=0, _xlpm.r=""), "Regional Aggregate", _xlpm.r))</f>
        <v>Europe &amp; Central Asia</v>
      </c>
      <c r="G2978" s="4" t="str">
        <f>_xlfn.LET(_xlpm.ig, _xlfn.XLOOKUP(Clean_Data[[#This Row],[Country_Code]], Metadata_Country!$A:$A, Metadata_Country!$C:$C, "Unknown"), IF(OR(_xlpm.ig=0, _xlpm.ig=""), "Regional Aggregate", _xlpm.ig))</f>
        <v>High income</v>
      </c>
      <c r="H2978" s="4">
        <f>Clean_Data[[#This Row],[Exports_TIV]] - Clean_Data[[#This Row],[Imports_TIV]]</f>
        <v>44000000</v>
      </c>
      <c r="I2978" s="4">
        <f>Clean_Data[[#This Row],[Exports_TIV]] + Clean_Data[[#This Row],[Imports_TIV]]</f>
        <v>74000000</v>
      </c>
    </row>
    <row r="2979" spans="1:9">
      <c r="A2979" s="4" t="s">
        <v>65</v>
      </c>
      <c r="B2979" s="4" t="s">
        <v>66</v>
      </c>
      <c r="C2979" s="5">
        <v>2006</v>
      </c>
      <c r="D2979" s="4">
        <v>0</v>
      </c>
      <c r="E2979" s="4">
        <v>9000000</v>
      </c>
      <c r="F2979" s="4" t="str">
        <f>_xlfn.LET(_xlpm.r, _xlfn.XLOOKUP(Clean_Data[[#This Row],[Country_Code]], Metadata_Country!$A:$A, Metadata_Country!$B:$B, "Unknown"), IF(OR(_xlpm.r=0, _xlpm.r=""), "Regional Aggregate", _xlpm.r))</f>
        <v>Latin America &amp; Caribbean</v>
      </c>
      <c r="G2979" s="4" t="str">
        <f>_xlfn.LET(_xlpm.ig, _xlfn.XLOOKUP(Clean_Data[[#This Row],[Country_Code]], Metadata_Country!$A:$A, Metadata_Country!$C:$C, "Unknown"), IF(OR(_xlpm.ig=0, _xlpm.ig=""), "Regional Aggregate", _xlpm.ig))</f>
        <v>Lower middle income</v>
      </c>
      <c r="H2979" s="4">
        <f>Clean_Data[[#This Row],[Exports_TIV]] - Clean_Data[[#This Row],[Imports_TIV]]</f>
        <v>-9000000</v>
      </c>
      <c r="I2979" s="4">
        <f>Clean_Data[[#This Row],[Exports_TIV]] + Clean_Data[[#This Row],[Imports_TIV]]</f>
        <v>9000000</v>
      </c>
    </row>
    <row r="2980" spans="1:9">
      <c r="A2980" s="4" t="s">
        <v>67</v>
      </c>
      <c r="B2980" s="4" t="s">
        <v>68</v>
      </c>
      <c r="C2980" s="5">
        <v>2006</v>
      </c>
      <c r="D2980" s="4">
        <v>44000000</v>
      </c>
      <c r="E2980" s="4">
        <v>178000000</v>
      </c>
      <c r="F2980" s="4" t="str">
        <f>_xlfn.LET(_xlpm.r, _xlfn.XLOOKUP(Clean_Data[[#This Row],[Country_Code]], Metadata_Country!$A:$A, Metadata_Country!$B:$B, "Unknown"), IF(OR(_xlpm.r=0, _xlpm.r=""), "Regional Aggregate", _xlpm.r))</f>
        <v>Latin America &amp; Caribbean</v>
      </c>
      <c r="G2980" s="4" t="str">
        <f>_xlfn.LET(_xlpm.ig, _xlfn.XLOOKUP(Clean_Data[[#This Row],[Country_Code]], Metadata_Country!$A:$A, Metadata_Country!$C:$C, "Unknown"), IF(OR(_xlpm.ig=0, _xlpm.ig=""), "Regional Aggregate", _xlpm.ig))</f>
        <v>Upper middle income</v>
      </c>
      <c r="H2980" s="4">
        <f>Clean_Data[[#This Row],[Exports_TIV]] - Clean_Data[[#This Row],[Imports_TIV]]</f>
        <v>-134000000</v>
      </c>
      <c r="I2980" s="4">
        <f>Clean_Data[[#This Row],[Exports_TIV]] + Clean_Data[[#This Row],[Imports_TIV]]</f>
        <v>222000000</v>
      </c>
    </row>
    <row r="2981" spans="1:9">
      <c r="A2981" s="4" t="s">
        <v>71</v>
      </c>
      <c r="B2981" s="4" t="s">
        <v>72</v>
      </c>
      <c r="C2981" s="5">
        <v>2006</v>
      </c>
      <c r="D2981" s="4">
        <v>0</v>
      </c>
      <c r="E2981" s="4">
        <v>1000000</v>
      </c>
      <c r="F2981" s="4" t="str">
        <f>_xlfn.LET(_xlpm.r, _xlfn.XLOOKUP(Clean_Data[[#This Row],[Country_Code]], Metadata_Country!$A:$A, Metadata_Country!$B:$B, "Unknown"), IF(OR(_xlpm.r=0, _xlpm.r=""), "Regional Aggregate", _xlpm.r))</f>
        <v>East Asia &amp; Pacific</v>
      </c>
      <c r="G2981" s="4" t="str">
        <f>_xlfn.LET(_xlpm.ig, _xlfn.XLOOKUP(Clean_Data[[#This Row],[Country_Code]], Metadata_Country!$A:$A, Metadata_Country!$C:$C, "Unknown"), IF(OR(_xlpm.ig=0, _xlpm.ig=""), "Regional Aggregate", _xlpm.ig))</f>
        <v>High income</v>
      </c>
      <c r="H2981" s="4">
        <f>Clean_Data[[#This Row],[Exports_TIV]] - Clean_Data[[#This Row],[Imports_TIV]]</f>
        <v>-1000000</v>
      </c>
      <c r="I2981" s="4">
        <f>Clean_Data[[#This Row],[Exports_TIV]] + Clean_Data[[#This Row],[Imports_TIV]]</f>
        <v>1000000</v>
      </c>
    </row>
    <row r="2982" spans="1:9">
      <c r="A2982" s="4" t="s">
        <v>51</v>
      </c>
      <c r="B2982" s="4" t="s">
        <v>52</v>
      </c>
      <c r="C2982" s="5">
        <v>2006</v>
      </c>
      <c r="D2982" s="4">
        <v>5000000</v>
      </c>
      <c r="E2982" s="4">
        <v>22000000</v>
      </c>
      <c r="F2982" s="4" t="str">
        <f>_xlfn.LET(_xlpm.r, _xlfn.XLOOKUP(Clean_Data[[#This Row],[Country_Code]], Metadata_Country!$A:$A, Metadata_Country!$B:$B, "Unknown"), IF(OR(_xlpm.r=0, _xlpm.r=""), "Regional Aggregate", _xlpm.r))</f>
        <v>Europe &amp; Central Asia</v>
      </c>
      <c r="G2982" s="4" t="str">
        <f>_xlfn.LET(_xlpm.ig, _xlfn.XLOOKUP(Clean_Data[[#This Row],[Country_Code]], Metadata_Country!$A:$A, Metadata_Country!$C:$C, "Unknown"), IF(OR(_xlpm.ig=0, _xlpm.ig=""), "Regional Aggregate", _xlpm.ig))</f>
        <v>High income</v>
      </c>
      <c r="H2982" s="4">
        <f>Clean_Data[[#This Row],[Exports_TIV]] - Clean_Data[[#This Row],[Imports_TIV]]</f>
        <v>-17000000</v>
      </c>
      <c r="I2982" s="4">
        <f>Clean_Data[[#This Row],[Exports_TIV]] + Clean_Data[[#This Row],[Imports_TIV]]</f>
        <v>27000000</v>
      </c>
    </row>
    <row r="2983" spans="1:9">
      <c r="A2983" s="4" t="s">
        <v>47</v>
      </c>
      <c r="B2983" s="4" t="s">
        <v>48</v>
      </c>
      <c r="C2983" s="5">
        <v>2006</v>
      </c>
      <c r="D2983" s="4">
        <v>0</v>
      </c>
      <c r="E2983" s="4">
        <v>4000000</v>
      </c>
      <c r="F2983" s="4" t="str">
        <f>_xlfn.LET(_xlpm.r, _xlfn.XLOOKUP(Clean_Data[[#This Row],[Country_Code]], Metadata_Country!$A:$A, Metadata_Country!$B:$B, "Unknown"), IF(OR(_xlpm.r=0, _xlpm.r=""), "Regional Aggregate", _xlpm.r))</f>
        <v>Sub-Saharan Africa</v>
      </c>
      <c r="G2983" s="4" t="str">
        <f>_xlfn.LET(_xlpm.ig, _xlfn.XLOOKUP(Clean_Data[[#This Row],[Country_Code]], Metadata_Country!$A:$A, Metadata_Country!$C:$C, "Unknown"), IF(OR(_xlpm.ig=0, _xlpm.ig=""), "Regional Aggregate", _xlpm.ig))</f>
        <v>Low income</v>
      </c>
      <c r="H2983" s="4">
        <f>Clean_Data[[#This Row],[Exports_TIV]] - Clean_Data[[#This Row],[Imports_TIV]]</f>
        <v>-4000000</v>
      </c>
      <c r="I2983" s="4">
        <f>Clean_Data[[#This Row],[Exports_TIV]] + Clean_Data[[#This Row],[Imports_TIV]]</f>
        <v>4000000</v>
      </c>
    </row>
    <row r="2984" spans="1:9">
      <c r="A2984" s="4" t="s">
        <v>255</v>
      </c>
      <c r="B2984" s="4" t="s">
        <v>256</v>
      </c>
      <c r="C2984" s="5">
        <v>2006</v>
      </c>
      <c r="D2984" s="4">
        <v>0</v>
      </c>
      <c r="E2984" s="4">
        <v>14000000</v>
      </c>
      <c r="F2984" s="4" t="str">
        <f>_xlfn.LET(_xlpm.r, _xlfn.XLOOKUP(Clean_Data[[#This Row],[Country_Code]], Metadata_Country!$A:$A, Metadata_Country!$B:$B, "Unknown"), IF(OR(_xlpm.r=0, _xlpm.r=""), "Regional Aggregate", _xlpm.r))</f>
        <v>East Asia &amp; Pacific</v>
      </c>
      <c r="G2984" s="4" t="str">
        <f>_xlfn.LET(_xlpm.ig, _xlfn.XLOOKUP(Clean_Data[[#This Row],[Country_Code]], Metadata_Country!$A:$A, Metadata_Country!$C:$C, "Unknown"), IF(OR(_xlpm.ig=0, _xlpm.ig=""), "Regional Aggregate", _xlpm.ig))</f>
        <v>Lower middle income</v>
      </c>
      <c r="H2984" s="4">
        <f>Clean_Data[[#This Row],[Exports_TIV]] - Clean_Data[[#This Row],[Imports_TIV]]</f>
        <v>-14000000</v>
      </c>
      <c r="I2984" s="4">
        <f>Clean_Data[[#This Row],[Exports_TIV]] + Clean_Data[[#This Row],[Imports_TIV]]</f>
        <v>14000000</v>
      </c>
    </row>
    <row r="2985" spans="1:9">
      <c r="A2985" s="4" t="s">
        <v>93</v>
      </c>
      <c r="B2985" s="4" t="s">
        <v>94</v>
      </c>
      <c r="C2985" s="5">
        <v>2006</v>
      </c>
      <c r="D2985" s="4">
        <v>0</v>
      </c>
      <c r="E2985" s="4">
        <v>3000000</v>
      </c>
      <c r="F2985" s="4" t="str">
        <f>_xlfn.LET(_xlpm.r, _xlfn.XLOOKUP(Clean_Data[[#This Row],[Country_Code]], Metadata_Country!$A:$A, Metadata_Country!$B:$B, "Unknown"), IF(OR(_xlpm.r=0, _xlpm.r=""), "Regional Aggregate", _xlpm.r))</f>
        <v>Sub-Saharan Africa</v>
      </c>
      <c r="G2985" s="4" t="str">
        <f>_xlfn.LET(_xlpm.ig, _xlfn.XLOOKUP(Clean_Data[[#This Row],[Country_Code]], Metadata_Country!$A:$A, Metadata_Country!$C:$C, "Unknown"), IF(OR(_xlpm.ig=0, _xlpm.ig=""), "Regional Aggregate", _xlpm.ig))</f>
        <v>Lower middle income</v>
      </c>
      <c r="H2985" s="4">
        <f>Clean_Data[[#This Row],[Exports_TIV]] - Clean_Data[[#This Row],[Imports_TIV]]</f>
        <v>-3000000</v>
      </c>
      <c r="I2985" s="4">
        <f>Clean_Data[[#This Row],[Exports_TIV]] + Clean_Data[[#This Row],[Imports_TIV]]</f>
        <v>3000000</v>
      </c>
    </row>
    <row r="2986" spans="1:9">
      <c r="A2986" s="4" t="s">
        <v>79</v>
      </c>
      <c r="B2986" s="4" t="s">
        <v>80</v>
      </c>
      <c r="C2986" s="5">
        <v>2006</v>
      </c>
      <c r="D2986" s="4">
        <v>254000000</v>
      </c>
      <c r="E2986" s="4">
        <v>97000000</v>
      </c>
      <c r="F2986" s="4" t="str">
        <f>_xlfn.LET(_xlpm.r, _xlfn.XLOOKUP(Clean_Data[[#This Row],[Country_Code]], Metadata_Country!$A:$A, Metadata_Country!$B:$B, "Unknown"), IF(OR(_xlpm.r=0, _xlpm.r=""), "Regional Aggregate", _xlpm.r))</f>
        <v>North America</v>
      </c>
      <c r="G2986" s="4" t="str">
        <f>_xlfn.LET(_xlpm.ig, _xlfn.XLOOKUP(Clean_Data[[#This Row],[Country_Code]], Metadata_Country!$A:$A, Metadata_Country!$C:$C, "Unknown"), IF(OR(_xlpm.ig=0, _xlpm.ig=""), "Regional Aggregate", _xlpm.ig))</f>
        <v>High income</v>
      </c>
      <c r="H2986" s="4">
        <f>Clean_Data[[#This Row],[Exports_TIV]] - Clean_Data[[#This Row],[Imports_TIV]]</f>
        <v>157000000</v>
      </c>
      <c r="I2986" s="4">
        <f>Clean_Data[[#This Row],[Exports_TIV]] + Clean_Data[[#This Row],[Imports_TIV]]</f>
        <v>351000000</v>
      </c>
    </row>
    <row r="2987" spans="1:9">
      <c r="A2987" s="4" t="s">
        <v>77</v>
      </c>
      <c r="B2987" s="4" t="s">
        <v>78</v>
      </c>
      <c r="C2987" s="5">
        <v>2006</v>
      </c>
      <c r="D2987" s="4">
        <v>0</v>
      </c>
      <c r="E2987" s="4">
        <v>9000000</v>
      </c>
      <c r="F2987" s="4" t="str">
        <f>_xlfn.LET(_xlpm.r, _xlfn.XLOOKUP(Clean_Data[[#This Row],[Country_Code]], Metadata_Country!$A:$A, Metadata_Country!$B:$B, "Unknown"), IF(OR(_xlpm.r=0, _xlpm.r=""), "Regional Aggregate", _xlpm.r))</f>
        <v>Sub-Saharan Africa</v>
      </c>
      <c r="G2987" s="4" t="str">
        <f>_xlfn.LET(_xlpm.ig, _xlfn.XLOOKUP(Clean_Data[[#This Row],[Country_Code]], Metadata_Country!$A:$A, Metadata_Country!$C:$C, "Unknown"), IF(OR(_xlpm.ig=0, _xlpm.ig=""), "Regional Aggregate", _xlpm.ig))</f>
        <v>Low income</v>
      </c>
      <c r="H2987" s="4">
        <f>Clean_Data[[#This Row],[Exports_TIV]] - Clean_Data[[#This Row],[Imports_TIV]]</f>
        <v>-9000000</v>
      </c>
      <c r="I2987" s="4">
        <f>Clean_Data[[#This Row],[Exports_TIV]] + Clean_Data[[#This Row],[Imports_TIV]]</f>
        <v>9000000</v>
      </c>
    </row>
    <row r="2988" spans="1:9">
      <c r="A2988" s="4" t="s">
        <v>81</v>
      </c>
      <c r="B2988" s="4" t="s">
        <v>82</v>
      </c>
      <c r="C2988" s="5">
        <v>2006</v>
      </c>
      <c r="D2988" s="4">
        <v>342000000</v>
      </c>
      <c r="E2988" s="4">
        <v>896000000</v>
      </c>
      <c r="F2988" s="4" t="str">
        <f>_xlfn.LET(_xlpm.r, _xlfn.XLOOKUP(Clean_Data[[#This Row],[Country_Code]], Metadata_Country!$A:$A, Metadata_Country!$B:$B, "Unknown"), IF(OR(_xlpm.r=0, _xlpm.r=""), "Regional Aggregate", _xlpm.r))</f>
        <v>Regional Aggregate</v>
      </c>
      <c r="G2988" s="4" t="str">
        <f>_xlfn.LET(_xlpm.ig, _xlfn.XLOOKUP(Clean_Data[[#This Row],[Country_Code]], Metadata_Country!$A:$A, Metadata_Country!$C:$C, "Unknown"), IF(OR(_xlpm.ig=0, _xlpm.ig=""), "Regional Aggregate", _xlpm.ig))</f>
        <v>Regional Aggregate</v>
      </c>
      <c r="H2988" s="4">
        <f>Clean_Data[[#This Row],[Exports_TIV]] - Clean_Data[[#This Row],[Imports_TIV]]</f>
        <v>-554000000</v>
      </c>
      <c r="I2988" s="4">
        <f>Clean_Data[[#This Row],[Exports_TIV]] + Clean_Data[[#This Row],[Imports_TIV]]</f>
        <v>1238000000</v>
      </c>
    </row>
    <row r="2989" spans="1:9">
      <c r="A2989" s="4" t="s">
        <v>467</v>
      </c>
      <c r="B2989" s="4" t="s">
        <v>468</v>
      </c>
      <c r="C2989" s="5">
        <v>2006</v>
      </c>
      <c r="D2989" s="4">
        <v>0</v>
      </c>
      <c r="E2989" s="4">
        <v>18000000</v>
      </c>
      <c r="F2989" s="4" t="str">
        <f>_xlfn.LET(_xlpm.r, _xlfn.XLOOKUP(Clean_Data[[#This Row],[Country_Code]], Metadata_Country!$A:$A, Metadata_Country!$B:$B, "Unknown"), IF(OR(_xlpm.r=0, _xlpm.r=""), "Regional Aggregate", _xlpm.r))</f>
        <v>Sub-Saharan Africa</v>
      </c>
      <c r="G2989" s="4" t="str">
        <f>_xlfn.LET(_xlpm.ig, _xlfn.XLOOKUP(Clean_Data[[#This Row],[Country_Code]], Metadata_Country!$A:$A, Metadata_Country!$C:$C, "Unknown"), IF(OR(_xlpm.ig=0, _xlpm.ig=""), "Regional Aggregate", _xlpm.ig))</f>
        <v>Low income</v>
      </c>
      <c r="H2989" s="4">
        <f>Clean_Data[[#This Row],[Exports_TIV]] - Clean_Data[[#This Row],[Imports_TIV]]</f>
        <v>-18000000</v>
      </c>
      <c r="I2989" s="4">
        <f>Clean_Data[[#This Row],[Exports_TIV]] + Clean_Data[[#This Row],[Imports_TIV]]</f>
        <v>18000000</v>
      </c>
    </row>
    <row r="2990" spans="1:9">
      <c r="A2990" s="4" t="s">
        <v>87</v>
      </c>
      <c r="B2990" s="4" t="s">
        <v>88</v>
      </c>
      <c r="C2990" s="5">
        <v>2006</v>
      </c>
      <c r="D2990" s="4">
        <v>0</v>
      </c>
      <c r="E2990" s="4">
        <v>1097000000</v>
      </c>
      <c r="F2990" s="4" t="str">
        <f>_xlfn.LET(_xlpm.r, _xlfn.XLOOKUP(Clean_Data[[#This Row],[Country_Code]], Metadata_Country!$A:$A, Metadata_Country!$B:$B, "Unknown"), IF(OR(_xlpm.r=0, _xlpm.r=""), "Regional Aggregate", _xlpm.r))</f>
        <v>Latin America &amp; Caribbean</v>
      </c>
      <c r="G2990" s="4" t="str">
        <f>_xlfn.LET(_xlpm.ig, _xlfn.XLOOKUP(Clean_Data[[#This Row],[Country_Code]], Metadata_Country!$A:$A, Metadata_Country!$C:$C, "Unknown"), IF(OR(_xlpm.ig=0, _xlpm.ig=""), "Regional Aggregate", _xlpm.ig))</f>
        <v>High income</v>
      </c>
      <c r="H2990" s="4">
        <f>Clean_Data[[#This Row],[Exports_TIV]] - Clean_Data[[#This Row],[Imports_TIV]]</f>
        <v>-1097000000</v>
      </c>
      <c r="I2990" s="4">
        <f>Clean_Data[[#This Row],[Exports_TIV]] + Clean_Data[[#This Row],[Imports_TIV]]</f>
        <v>1097000000</v>
      </c>
    </row>
    <row r="2991" spans="1:9">
      <c r="A2991" s="4" t="s">
        <v>89</v>
      </c>
      <c r="B2991" s="4" t="s">
        <v>90</v>
      </c>
      <c r="C2991" s="5">
        <v>2006</v>
      </c>
      <c r="D2991" s="4">
        <v>769000000</v>
      </c>
      <c r="E2991" s="4">
        <v>2831000000</v>
      </c>
      <c r="F2991" s="4" t="str">
        <f>_xlfn.LET(_xlpm.r, _xlfn.XLOOKUP(Clean_Data[[#This Row],[Country_Code]], Metadata_Country!$A:$A, Metadata_Country!$B:$B, "Unknown"), IF(OR(_xlpm.r=0, _xlpm.r=""), "Regional Aggregate", _xlpm.r))</f>
        <v>East Asia &amp; Pacific</v>
      </c>
      <c r="G2991" s="4" t="str">
        <f>_xlfn.LET(_xlpm.ig, _xlfn.XLOOKUP(Clean_Data[[#This Row],[Country_Code]], Metadata_Country!$A:$A, Metadata_Country!$C:$C, "Unknown"), IF(OR(_xlpm.ig=0, _xlpm.ig=""), "Regional Aggregate", _xlpm.ig))</f>
        <v>Upper middle income</v>
      </c>
      <c r="H2991" s="4">
        <f>Clean_Data[[#This Row],[Exports_TIV]] - Clean_Data[[#This Row],[Imports_TIV]]</f>
        <v>-2062000000</v>
      </c>
      <c r="I2991" s="4">
        <f>Clean_Data[[#This Row],[Exports_TIV]] + Clean_Data[[#This Row],[Imports_TIV]]</f>
        <v>3600000000</v>
      </c>
    </row>
    <row r="2992" spans="1:9">
      <c r="A2992" s="4" t="s">
        <v>99</v>
      </c>
      <c r="B2992" s="4" t="s">
        <v>100</v>
      </c>
      <c r="C2992" s="5">
        <v>2006</v>
      </c>
      <c r="D2992" s="4">
        <v>0</v>
      </c>
      <c r="E2992" s="4">
        <v>54000000</v>
      </c>
      <c r="F2992" s="4" t="str">
        <f>_xlfn.LET(_xlpm.r, _xlfn.XLOOKUP(Clean_Data[[#This Row],[Country_Code]], Metadata_Country!$A:$A, Metadata_Country!$B:$B, "Unknown"), IF(OR(_xlpm.r=0, _xlpm.r=""), "Regional Aggregate", _xlpm.r))</f>
        <v>Latin America &amp; Caribbean</v>
      </c>
      <c r="G2992" s="4" t="str">
        <f>_xlfn.LET(_xlpm.ig, _xlfn.XLOOKUP(Clean_Data[[#This Row],[Country_Code]], Metadata_Country!$A:$A, Metadata_Country!$C:$C, "Unknown"), IF(OR(_xlpm.ig=0, _xlpm.ig=""), "Regional Aggregate", _xlpm.ig))</f>
        <v>Upper middle income</v>
      </c>
      <c r="H2992" s="4">
        <f>Clean_Data[[#This Row],[Exports_TIV]] - Clean_Data[[#This Row],[Imports_TIV]]</f>
        <v>-54000000</v>
      </c>
      <c r="I2992" s="4">
        <f>Clean_Data[[#This Row],[Exports_TIV]] + Clean_Data[[#This Row],[Imports_TIV]]</f>
        <v>54000000</v>
      </c>
    </row>
    <row r="2993" spans="1:9">
      <c r="A2993" s="4" t="s">
        <v>95</v>
      </c>
      <c r="B2993" s="4" t="s">
        <v>96</v>
      </c>
      <c r="C2993" s="5">
        <v>2006</v>
      </c>
      <c r="D2993" s="4">
        <v>0</v>
      </c>
      <c r="E2993" s="4">
        <v>24000000</v>
      </c>
      <c r="F2993" s="4" t="str">
        <f>_xlfn.LET(_xlpm.r, _xlfn.XLOOKUP(Clean_Data[[#This Row],[Country_Code]], Metadata_Country!$A:$A, Metadata_Country!$B:$B, "Unknown"), IF(OR(_xlpm.r=0, _xlpm.r=""), "Regional Aggregate", _xlpm.r))</f>
        <v>Sub-Saharan Africa</v>
      </c>
      <c r="G2993" s="4" t="str">
        <f>_xlfn.LET(_xlpm.ig, _xlfn.XLOOKUP(Clean_Data[[#This Row],[Country_Code]], Metadata_Country!$A:$A, Metadata_Country!$C:$C, "Unknown"), IF(OR(_xlpm.ig=0, _xlpm.ig=""), "Regional Aggregate", _xlpm.ig))</f>
        <v>Low income</v>
      </c>
      <c r="H2993" s="4">
        <f>Clean_Data[[#This Row],[Exports_TIV]] - Clean_Data[[#This Row],[Imports_TIV]]</f>
        <v>-24000000</v>
      </c>
      <c r="I2993" s="4">
        <f>Clean_Data[[#This Row],[Exports_TIV]] + Clean_Data[[#This Row],[Imports_TIV]]</f>
        <v>24000000</v>
      </c>
    </row>
    <row r="2994" spans="1:9">
      <c r="A2994" s="4" t="s">
        <v>97</v>
      </c>
      <c r="B2994" s="4" t="s">
        <v>98</v>
      </c>
      <c r="C2994" s="5">
        <v>2006</v>
      </c>
      <c r="D2994" s="4">
        <v>0</v>
      </c>
      <c r="E2994" s="4">
        <v>1000000</v>
      </c>
      <c r="F2994" s="4" t="str">
        <f>_xlfn.LET(_xlpm.r, _xlfn.XLOOKUP(Clean_Data[[#This Row],[Country_Code]], Metadata_Country!$A:$A, Metadata_Country!$B:$B, "Unknown"), IF(OR(_xlpm.r=0, _xlpm.r=""), "Regional Aggregate", _xlpm.r))</f>
        <v>Sub-Saharan Africa</v>
      </c>
      <c r="G2994" s="4" t="str">
        <f>_xlfn.LET(_xlpm.ig, _xlfn.XLOOKUP(Clean_Data[[#This Row],[Country_Code]], Metadata_Country!$A:$A, Metadata_Country!$C:$C, "Unknown"), IF(OR(_xlpm.ig=0, _xlpm.ig=""), "Regional Aggregate", _xlpm.ig))</f>
        <v>Lower middle income</v>
      </c>
      <c r="H2994" s="4">
        <f>Clean_Data[[#This Row],[Exports_TIV]] - Clean_Data[[#This Row],[Imports_TIV]]</f>
        <v>-1000000</v>
      </c>
      <c r="I2994" s="4">
        <f>Clean_Data[[#This Row],[Exports_TIV]] + Clean_Data[[#This Row],[Imports_TIV]]</f>
        <v>1000000</v>
      </c>
    </row>
    <row r="2995" spans="1:9">
      <c r="A2995" s="4" t="s">
        <v>115</v>
      </c>
      <c r="B2995" s="4" t="s">
        <v>116</v>
      </c>
      <c r="C2995" s="5">
        <v>2006</v>
      </c>
      <c r="D2995" s="4">
        <v>0</v>
      </c>
      <c r="E2995" s="4">
        <v>22000000</v>
      </c>
      <c r="F2995" s="4" t="str">
        <f>_xlfn.LET(_xlpm.r, _xlfn.XLOOKUP(Clean_Data[[#This Row],[Country_Code]], Metadata_Country!$A:$A, Metadata_Country!$B:$B, "Unknown"), IF(OR(_xlpm.r=0, _xlpm.r=""), "Regional Aggregate", _xlpm.r))</f>
        <v>Europe &amp; Central Asia</v>
      </c>
      <c r="G2995" s="4" t="str">
        <f>_xlfn.LET(_xlpm.ig, _xlfn.XLOOKUP(Clean_Data[[#This Row],[Country_Code]], Metadata_Country!$A:$A, Metadata_Country!$C:$C, "Unknown"), IF(OR(_xlpm.ig=0, _xlpm.ig=""), "Regional Aggregate", _xlpm.ig))</f>
        <v>High income</v>
      </c>
      <c r="H2995" s="4">
        <f>Clean_Data[[#This Row],[Exports_TIV]] - Clean_Data[[#This Row],[Imports_TIV]]</f>
        <v>-22000000</v>
      </c>
      <c r="I2995" s="4">
        <f>Clean_Data[[#This Row],[Exports_TIV]] + Clean_Data[[#This Row],[Imports_TIV]]</f>
        <v>22000000</v>
      </c>
    </row>
    <row r="2996" spans="1:9">
      <c r="A2996" s="4" t="s">
        <v>117</v>
      </c>
      <c r="B2996" s="4" t="s">
        <v>118</v>
      </c>
      <c r="C2996" s="5">
        <v>2006</v>
      </c>
      <c r="D2996" s="4">
        <v>44000000</v>
      </c>
      <c r="E2996" s="4">
        <v>46000000</v>
      </c>
      <c r="F2996" s="4" t="str">
        <f>_xlfn.LET(_xlpm.r, _xlfn.XLOOKUP(Clean_Data[[#This Row],[Country_Code]], Metadata_Country!$A:$A, Metadata_Country!$B:$B, "Unknown"), IF(OR(_xlpm.r=0, _xlpm.r=""), "Regional Aggregate", _xlpm.r))</f>
        <v>Europe &amp; Central Asia</v>
      </c>
      <c r="G2996" s="4" t="str">
        <f>_xlfn.LET(_xlpm.ig, _xlfn.XLOOKUP(Clean_Data[[#This Row],[Country_Code]], Metadata_Country!$A:$A, Metadata_Country!$C:$C, "Unknown"), IF(OR(_xlpm.ig=0, _xlpm.ig=""), "Regional Aggregate", _xlpm.ig))</f>
        <v>High income</v>
      </c>
      <c r="H2996" s="4">
        <f>Clean_Data[[#This Row],[Exports_TIV]] - Clean_Data[[#This Row],[Imports_TIV]]</f>
        <v>-2000000</v>
      </c>
      <c r="I2996" s="4">
        <f>Clean_Data[[#This Row],[Exports_TIV]] + Clean_Data[[#This Row],[Imports_TIV]]</f>
        <v>90000000</v>
      </c>
    </row>
    <row r="2997" spans="1:9">
      <c r="A2997" s="4" t="s">
        <v>125</v>
      </c>
      <c r="B2997" s="4" t="s">
        <v>126</v>
      </c>
      <c r="C2997" s="5">
        <v>2006</v>
      </c>
      <c r="D2997" s="4">
        <v>5000000</v>
      </c>
      <c r="E2997" s="4">
        <v>86000000</v>
      </c>
      <c r="F2997" s="4" t="str">
        <f>_xlfn.LET(_xlpm.r, _xlfn.XLOOKUP(Clean_Data[[#This Row],[Country_Code]], Metadata_Country!$A:$A, Metadata_Country!$B:$B, "Unknown"), IF(OR(_xlpm.r=0, _xlpm.r=""), "Regional Aggregate", _xlpm.r))</f>
        <v>Europe &amp; Central Asia</v>
      </c>
      <c r="G2997" s="4" t="str">
        <f>_xlfn.LET(_xlpm.ig, _xlfn.XLOOKUP(Clean_Data[[#This Row],[Country_Code]], Metadata_Country!$A:$A, Metadata_Country!$C:$C, "Unknown"), IF(OR(_xlpm.ig=0, _xlpm.ig=""), "Regional Aggregate", _xlpm.ig))</f>
        <v>High income</v>
      </c>
      <c r="H2997" s="4">
        <f>Clean_Data[[#This Row],[Exports_TIV]] - Clean_Data[[#This Row],[Imports_TIV]]</f>
        <v>-81000000</v>
      </c>
      <c r="I2997" s="4">
        <f>Clean_Data[[#This Row],[Exports_TIV]] + Clean_Data[[#This Row],[Imports_TIV]]</f>
        <v>91000000</v>
      </c>
    </row>
    <row r="2998" spans="1:9">
      <c r="A2998" s="4" t="s">
        <v>133</v>
      </c>
      <c r="B2998" s="4" t="s">
        <v>134</v>
      </c>
      <c r="C2998" s="5">
        <v>2006</v>
      </c>
      <c r="D2998" s="4">
        <v>0</v>
      </c>
      <c r="E2998" s="4">
        <v>7518000000</v>
      </c>
      <c r="F2998" s="4" t="str">
        <f>_xlfn.LET(_xlpm.r, _xlfn.XLOOKUP(Clean_Data[[#This Row],[Country_Code]], Metadata_Country!$A:$A, Metadata_Country!$B:$B, "Unknown"), IF(OR(_xlpm.r=0, _xlpm.r=""), "Regional Aggregate", _xlpm.r))</f>
        <v>Regional Aggregate</v>
      </c>
      <c r="G2998" s="4" t="str">
        <f>_xlfn.LET(_xlpm.ig, _xlfn.XLOOKUP(Clean_Data[[#This Row],[Country_Code]], Metadata_Country!$A:$A, Metadata_Country!$C:$C, "Unknown"), IF(OR(_xlpm.ig=0, _xlpm.ig=""), "Regional Aggregate", _xlpm.ig))</f>
        <v>Regional Aggregate</v>
      </c>
      <c r="H2998" s="4">
        <f>Clean_Data[[#This Row],[Exports_TIV]] - Clean_Data[[#This Row],[Imports_TIV]]</f>
        <v>-7518000000</v>
      </c>
      <c r="I2998" s="4">
        <f>Clean_Data[[#This Row],[Exports_TIV]] + Clean_Data[[#This Row],[Imports_TIV]]</f>
        <v>7518000000</v>
      </c>
    </row>
    <row r="2999" spans="1:9">
      <c r="A2999" s="4" t="s">
        <v>135</v>
      </c>
      <c r="B2999" s="4" t="s">
        <v>136</v>
      </c>
      <c r="C2999" s="5">
        <v>2006</v>
      </c>
      <c r="D2999" s="4">
        <v>0</v>
      </c>
      <c r="E2999" s="4">
        <v>6899000000</v>
      </c>
      <c r="F2999" s="4" t="str">
        <f>_xlfn.LET(_xlpm.r, _xlfn.XLOOKUP(Clean_Data[[#This Row],[Country_Code]], Metadata_Country!$A:$A, Metadata_Country!$B:$B, "Unknown"), IF(OR(_xlpm.r=0, _xlpm.r=""), "Regional Aggregate", _xlpm.r))</f>
        <v>Regional Aggregate</v>
      </c>
      <c r="G2999" s="4" t="str">
        <f>_xlfn.LET(_xlpm.ig, _xlfn.XLOOKUP(Clean_Data[[#This Row],[Country_Code]], Metadata_Country!$A:$A, Metadata_Country!$C:$C, "Unknown"), IF(OR(_xlpm.ig=0, _xlpm.ig=""), "Regional Aggregate", _xlpm.ig))</f>
        <v>Regional Aggregate</v>
      </c>
      <c r="H2999" s="4">
        <f>Clean_Data[[#This Row],[Exports_TIV]] - Clean_Data[[#This Row],[Imports_TIV]]</f>
        <v>-6899000000</v>
      </c>
      <c r="I2999" s="4">
        <f>Clean_Data[[#This Row],[Exports_TIV]] + Clean_Data[[#This Row],[Imports_TIV]]</f>
        <v>6899000000</v>
      </c>
    </row>
    <row r="3000" spans="1:9">
      <c r="A3000" s="4" t="s">
        <v>131</v>
      </c>
      <c r="B3000" s="4" t="s">
        <v>132</v>
      </c>
      <c r="C3000" s="5">
        <v>2006</v>
      </c>
      <c r="D3000" s="4">
        <v>886000000</v>
      </c>
      <c r="E3000" s="4">
        <v>3467000000</v>
      </c>
      <c r="F3000" s="4" t="str">
        <f>_xlfn.LET(_xlpm.r, _xlfn.XLOOKUP(Clean_Data[[#This Row],[Country_Code]], Metadata_Country!$A:$A, Metadata_Country!$B:$B, "Unknown"), IF(OR(_xlpm.r=0, _xlpm.r=""), "Regional Aggregate", _xlpm.r))</f>
        <v>Regional Aggregate</v>
      </c>
      <c r="G3000" s="4" t="str">
        <f>_xlfn.LET(_xlpm.ig, _xlfn.XLOOKUP(Clean_Data[[#This Row],[Country_Code]], Metadata_Country!$A:$A, Metadata_Country!$C:$C, "Unknown"), IF(OR(_xlpm.ig=0, _xlpm.ig=""), "Regional Aggregate", _xlpm.ig))</f>
        <v>Regional Aggregate</v>
      </c>
      <c r="H3000" s="4">
        <f>Clean_Data[[#This Row],[Exports_TIV]] - Clean_Data[[#This Row],[Imports_TIV]]</f>
        <v>-2581000000</v>
      </c>
      <c r="I3000" s="4">
        <f>Clean_Data[[#This Row],[Exports_TIV]] + Clean_Data[[#This Row],[Imports_TIV]]</f>
        <v>4353000000</v>
      </c>
    </row>
    <row r="3001" spans="1:9">
      <c r="A3001" s="4" t="s">
        <v>469</v>
      </c>
      <c r="B3001" s="4" t="s">
        <v>470</v>
      </c>
      <c r="C3001" s="5">
        <v>2006</v>
      </c>
      <c r="D3001" s="4">
        <v>871000000</v>
      </c>
      <c r="E3001" s="4">
        <v>3462000000</v>
      </c>
      <c r="F3001" s="4" t="str">
        <f>_xlfn.LET(_xlpm.r, _xlfn.XLOOKUP(Clean_Data[[#This Row],[Country_Code]], Metadata_Country!$A:$A, Metadata_Country!$B:$B, "Unknown"), IF(OR(_xlpm.r=0, _xlpm.r=""), "Regional Aggregate", _xlpm.r))</f>
        <v>Regional Aggregate</v>
      </c>
      <c r="G3001" s="4" t="str">
        <f>_xlfn.LET(_xlpm.ig, _xlfn.XLOOKUP(Clean_Data[[#This Row],[Country_Code]], Metadata_Country!$A:$A, Metadata_Country!$C:$C, "Unknown"), IF(OR(_xlpm.ig=0, _xlpm.ig=""), "Regional Aggregate", _xlpm.ig))</f>
        <v>Regional Aggregate</v>
      </c>
      <c r="H3001" s="4">
        <f>Clean_Data[[#This Row],[Exports_TIV]] - Clean_Data[[#This Row],[Imports_TIV]]</f>
        <v>-2591000000</v>
      </c>
      <c r="I3001" s="4">
        <f>Clean_Data[[#This Row],[Exports_TIV]] + Clean_Data[[#This Row],[Imports_TIV]]</f>
        <v>4333000000</v>
      </c>
    </row>
    <row r="3002" spans="1:9">
      <c r="A3002" s="4" t="s">
        <v>141</v>
      </c>
      <c r="B3002" s="4" t="s">
        <v>142</v>
      </c>
      <c r="C3002" s="5">
        <v>2006</v>
      </c>
      <c r="D3002" s="4">
        <v>0</v>
      </c>
      <c r="E3002" s="4">
        <v>47000000</v>
      </c>
      <c r="F3002" s="4" t="str">
        <f>_xlfn.LET(_xlpm.r, _xlfn.XLOOKUP(Clean_Data[[#This Row],[Country_Code]], Metadata_Country!$A:$A, Metadata_Country!$B:$B, "Unknown"), IF(OR(_xlpm.r=0, _xlpm.r=""), "Regional Aggregate", _xlpm.r))</f>
        <v>Latin America &amp; Caribbean</v>
      </c>
      <c r="G3002" s="4" t="str">
        <f>_xlfn.LET(_xlpm.ig, _xlfn.XLOOKUP(Clean_Data[[#This Row],[Country_Code]], Metadata_Country!$A:$A, Metadata_Country!$C:$C, "Unknown"), IF(OR(_xlpm.ig=0, _xlpm.ig=""), "Regional Aggregate", _xlpm.ig))</f>
        <v>Upper middle income</v>
      </c>
      <c r="H3002" s="4">
        <f>Clean_Data[[#This Row],[Exports_TIV]] - Clean_Data[[#This Row],[Imports_TIV]]</f>
        <v>-47000000</v>
      </c>
      <c r="I3002" s="4">
        <f>Clean_Data[[#This Row],[Exports_TIV]] + Clean_Data[[#This Row],[Imports_TIV]]</f>
        <v>47000000</v>
      </c>
    </row>
    <row r="3003" spans="1:9">
      <c r="A3003" s="4" t="s">
        <v>143</v>
      </c>
      <c r="B3003" s="4" t="s">
        <v>144</v>
      </c>
      <c r="C3003" s="5">
        <v>2006</v>
      </c>
      <c r="D3003" s="4">
        <v>0</v>
      </c>
      <c r="E3003" s="4">
        <v>695000000</v>
      </c>
      <c r="F3003" s="4" t="str">
        <f>_xlfn.LET(_xlpm.r, _xlfn.XLOOKUP(Clean_Data[[#This Row],[Country_Code]], Metadata_Country!$A:$A, Metadata_Country!$B:$B, "Unknown"), IF(OR(_xlpm.r=0, _xlpm.r=""), "Regional Aggregate", _xlpm.r))</f>
        <v>Middle East &amp; North Africa</v>
      </c>
      <c r="G3003" s="4" t="str">
        <f>_xlfn.LET(_xlpm.ig, _xlfn.XLOOKUP(Clean_Data[[#This Row],[Country_Code]], Metadata_Country!$A:$A, Metadata_Country!$C:$C, "Unknown"), IF(OR(_xlpm.ig=0, _xlpm.ig=""), "Regional Aggregate", _xlpm.ig))</f>
        <v>Lower middle income</v>
      </c>
      <c r="H3003" s="4">
        <f>Clean_Data[[#This Row],[Exports_TIV]] - Clean_Data[[#This Row],[Imports_TIV]]</f>
        <v>-695000000</v>
      </c>
      <c r="I3003" s="4">
        <f>Clean_Data[[#This Row],[Exports_TIV]] + Clean_Data[[#This Row],[Imports_TIV]]</f>
        <v>695000000</v>
      </c>
    </row>
    <row r="3004" spans="1:9">
      <c r="A3004" s="4" t="s">
        <v>185</v>
      </c>
      <c r="B3004" s="4" t="s">
        <v>186</v>
      </c>
      <c r="C3004" s="5">
        <v>2006</v>
      </c>
      <c r="D3004" s="4">
        <v>0</v>
      </c>
      <c r="E3004" s="4">
        <v>7000000</v>
      </c>
      <c r="F3004" s="4" t="str">
        <f>_xlfn.LET(_xlpm.r, _xlfn.XLOOKUP(Clean_Data[[#This Row],[Country_Code]], Metadata_Country!$A:$A, Metadata_Country!$B:$B, "Unknown"), IF(OR(_xlpm.r=0, _xlpm.r=""), "Regional Aggregate", _xlpm.r))</f>
        <v>Sub-Saharan Africa</v>
      </c>
      <c r="G3004" s="4" t="str">
        <f>_xlfn.LET(_xlpm.ig, _xlfn.XLOOKUP(Clean_Data[[#This Row],[Country_Code]], Metadata_Country!$A:$A, Metadata_Country!$C:$C, "Unknown"), IF(OR(_xlpm.ig=0, _xlpm.ig=""), "Regional Aggregate", _xlpm.ig))</f>
        <v>Upper middle income</v>
      </c>
      <c r="H3004" s="4">
        <f>Clean_Data[[#This Row],[Exports_TIV]] - Clean_Data[[#This Row],[Imports_TIV]]</f>
        <v>-7000000</v>
      </c>
      <c r="I3004" s="4">
        <f>Clean_Data[[#This Row],[Exports_TIV]] + Clean_Data[[#This Row],[Imports_TIV]]</f>
        <v>7000000</v>
      </c>
    </row>
    <row r="3005" spans="1:9">
      <c r="A3005" s="4" t="s">
        <v>147</v>
      </c>
      <c r="B3005" s="4" t="s">
        <v>148</v>
      </c>
      <c r="C3005" s="5">
        <v>2006</v>
      </c>
      <c r="D3005" s="4">
        <v>0</v>
      </c>
      <c r="E3005" s="4">
        <v>0</v>
      </c>
      <c r="F3005" s="4" t="str">
        <f>_xlfn.LET(_xlpm.r, _xlfn.XLOOKUP(Clean_Data[[#This Row],[Country_Code]], Metadata_Country!$A:$A, Metadata_Country!$B:$B, "Unknown"), IF(OR(_xlpm.r=0, _xlpm.r=""), "Regional Aggregate", _xlpm.r))</f>
        <v>Sub-Saharan Africa</v>
      </c>
      <c r="G3005" s="4" t="str">
        <f>_xlfn.LET(_xlpm.ig, _xlfn.XLOOKUP(Clean_Data[[#This Row],[Country_Code]], Metadata_Country!$A:$A, Metadata_Country!$C:$C, "Unknown"), IF(OR(_xlpm.ig=0, _xlpm.ig=""), "Regional Aggregate", _xlpm.ig))</f>
        <v>Low income</v>
      </c>
      <c r="H3005" s="4">
        <f>Clean_Data[[#This Row],[Exports_TIV]] - Clean_Data[[#This Row],[Imports_TIV]]</f>
        <v>0</v>
      </c>
      <c r="I3005" s="4">
        <f>Clean_Data[[#This Row],[Exports_TIV]] + Clean_Data[[#This Row],[Imports_TIV]]</f>
        <v>0</v>
      </c>
    </row>
    <row r="3006" spans="1:9">
      <c r="A3006" s="4" t="s">
        <v>151</v>
      </c>
      <c r="B3006" s="4" t="s">
        <v>152</v>
      </c>
      <c r="C3006" s="5">
        <v>2006</v>
      </c>
      <c r="D3006" s="4">
        <v>0</v>
      </c>
      <c r="E3006" s="4">
        <v>4000000</v>
      </c>
      <c r="F3006" s="4" t="str">
        <f>_xlfn.LET(_xlpm.r, _xlfn.XLOOKUP(Clean_Data[[#This Row],[Country_Code]], Metadata_Country!$A:$A, Metadata_Country!$B:$B, "Unknown"), IF(OR(_xlpm.r=0, _xlpm.r=""), "Regional Aggregate", _xlpm.r))</f>
        <v>Europe &amp; Central Asia</v>
      </c>
      <c r="G3006" s="4" t="str">
        <f>_xlfn.LET(_xlpm.ig, _xlfn.XLOOKUP(Clean_Data[[#This Row],[Country_Code]], Metadata_Country!$A:$A, Metadata_Country!$C:$C, "Unknown"), IF(OR(_xlpm.ig=0, _xlpm.ig=""), "Regional Aggregate", _xlpm.ig))</f>
        <v>High income</v>
      </c>
      <c r="H3006" s="4">
        <f>Clean_Data[[#This Row],[Exports_TIV]] - Clean_Data[[#This Row],[Imports_TIV]]</f>
        <v>-4000000</v>
      </c>
      <c r="I3006" s="4">
        <f>Clean_Data[[#This Row],[Exports_TIV]] + Clean_Data[[#This Row],[Imports_TIV]]</f>
        <v>4000000</v>
      </c>
    </row>
    <row r="3007" spans="1:9">
      <c r="A3007" s="4" t="s">
        <v>145</v>
      </c>
      <c r="B3007" s="4" t="s">
        <v>146</v>
      </c>
      <c r="C3007" s="5">
        <v>2006</v>
      </c>
      <c r="D3007" s="4">
        <v>6878000000</v>
      </c>
      <c r="E3007" s="4">
        <v>2698000000</v>
      </c>
      <c r="F3007" s="4" t="str">
        <f>_xlfn.LET(_xlpm.r, _xlfn.XLOOKUP(Clean_Data[[#This Row],[Country_Code]], Metadata_Country!$A:$A, Metadata_Country!$B:$B, "Unknown"), IF(OR(_xlpm.r=0, _xlpm.r=""), "Regional Aggregate", _xlpm.r))</f>
        <v>Regional Aggregate</v>
      </c>
      <c r="G3007" s="4" t="str">
        <f>_xlfn.LET(_xlpm.ig, _xlfn.XLOOKUP(Clean_Data[[#This Row],[Country_Code]], Metadata_Country!$A:$A, Metadata_Country!$C:$C, "Unknown"), IF(OR(_xlpm.ig=0, _xlpm.ig=""), "Regional Aggregate", _xlpm.ig))</f>
        <v>Regional Aggregate</v>
      </c>
      <c r="H3007" s="4">
        <f>Clean_Data[[#This Row],[Exports_TIV]] - Clean_Data[[#This Row],[Imports_TIV]]</f>
        <v>4180000000</v>
      </c>
      <c r="I3007" s="4">
        <f>Clean_Data[[#This Row],[Exports_TIV]] + Clean_Data[[#This Row],[Imports_TIV]]</f>
        <v>9576000000</v>
      </c>
    </row>
    <row r="3008" spans="1:9">
      <c r="A3008" s="4" t="s">
        <v>139</v>
      </c>
      <c r="B3008" s="4" t="s">
        <v>140</v>
      </c>
      <c r="C3008" s="5">
        <v>2006</v>
      </c>
      <c r="D3008" s="4">
        <v>14825000000</v>
      </c>
      <c r="E3008" s="4">
        <v>5717000000</v>
      </c>
      <c r="F3008" s="4" t="str">
        <f>_xlfn.LET(_xlpm.r, _xlfn.XLOOKUP(Clean_Data[[#This Row],[Country_Code]], Metadata_Country!$A:$A, Metadata_Country!$B:$B, "Unknown"), IF(OR(_xlpm.r=0, _xlpm.r=""), "Regional Aggregate", _xlpm.r))</f>
        <v>Regional Aggregate</v>
      </c>
      <c r="G3008" s="4" t="str">
        <f>_xlfn.LET(_xlpm.ig, _xlfn.XLOOKUP(Clean_Data[[#This Row],[Country_Code]], Metadata_Country!$A:$A, Metadata_Country!$C:$C, "Unknown"), IF(OR(_xlpm.ig=0, _xlpm.ig=""), "Regional Aggregate", _xlpm.ig))</f>
        <v>Regional Aggregate</v>
      </c>
      <c r="H3008" s="4">
        <f>Clean_Data[[#This Row],[Exports_TIV]] - Clean_Data[[#This Row],[Imports_TIV]]</f>
        <v>9108000000</v>
      </c>
      <c r="I3008" s="4">
        <f>Clean_Data[[#This Row],[Exports_TIV]] + Clean_Data[[#This Row],[Imports_TIV]]</f>
        <v>20542000000</v>
      </c>
    </row>
    <row r="3009" spans="1:9">
      <c r="A3009" s="4" t="s">
        <v>137</v>
      </c>
      <c r="B3009" s="4" t="s">
        <v>138</v>
      </c>
      <c r="C3009" s="5">
        <v>2006</v>
      </c>
      <c r="D3009" s="4">
        <v>751000000</v>
      </c>
      <c r="E3009" s="4">
        <v>990000000</v>
      </c>
      <c r="F3009" s="4" t="str">
        <f>_xlfn.LET(_xlpm.r, _xlfn.XLOOKUP(Clean_Data[[#This Row],[Country_Code]], Metadata_Country!$A:$A, Metadata_Country!$B:$B, "Unknown"), IF(OR(_xlpm.r=0, _xlpm.r=""), "Regional Aggregate", _xlpm.r))</f>
        <v>Regional Aggregate</v>
      </c>
      <c r="G3009" s="4" t="str">
        <f>_xlfn.LET(_xlpm.ig, _xlfn.XLOOKUP(Clean_Data[[#This Row],[Country_Code]], Metadata_Country!$A:$A, Metadata_Country!$C:$C, "Unknown"), IF(OR(_xlpm.ig=0, _xlpm.ig=""), "Regional Aggregate", _xlpm.ig))</f>
        <v>Regional Aggregate</v>
      </c>
      <c r="H3009" s="4">
        <f>Clean_Data[[#This Row],[Exports_TIV]] - Clean_Data[[#This Row],[Imports_TIV]]</f>
        <v>-239000000</v>
      </c>
      <c r="I3009" s="4">
        <f>Clean_Data[[#This Row],[Exports_TIV]] + Clean_Data[[#This Row],[Imports_TIV]]</f>
        <v>1741000000</v>
      </c>
    </row>
    <row r="3010" spans="1:9">
      <c r="A3010" s="4" t="s">
        <v>471</v>
      </c>
      <c r="B3010" s="4" t="s">
        <v>472</v>
      </c>
      <c r="C3010" s="5">
        <v>2006</v>
      </c>
      <c r="D3010" s="4">
        <v>6228000000</v>
      </c>
      <c r="E3010" s="4">
        <v>0</v>
      </c>
      <c r="F3010" s="4" t="str">
        <f>_xlfn.LET(_xlpm.r, _xlfn.XLOOKUP(Clean_Data[[#This Row],[Country_Code]], Metadata_Country!$A:$A, Metadata_Country!$B:$B, "Unknown"), IF(OR(_xlpm.r=0, _xlpm.r=""), "Regional Aggregate", _xlpm.r))</f>
        <v>Regional Aggregate</v>
      </c>
      <c r="G3010" s="4" t="str">
        <f>_xlfn.LET(_xlpm.ig, _xlfn.XLOOKUP(Clean_Data[[#This Row],[Country_Code]], Metadata_Country!$A:$A, Metadata_Country!$C:$C, "Unknown"), IF(OR(_xlpm.ig=0, _xlpm.ig=""), "Regional Aggregate", _xlpm.ig))</f>
        <v>Regional Aggregate</v>
      </c>
      <c r="H3010" s="4">
        <f>Clean_Data[[#This Row],[Exports_TIV]] - Clean_Data[[#This Row],[Imports_TIV]]</f>
        <v>6228000000</v>
      </c>
      <c r="I3010" s="4">
        <f>Clean_Data[[#This Row],[Exports_TIV]] + Clean_Data[[#This Row],[Imports_TIV]]</f>
        <v>6228000000</v>
      </c>
    </row>
    <row r="3011" spans="1:9">
      <c r="A3011" s="4" t="s">
        <v>155</v>
      </c>
      <c r="B3011" s="4" t="s">
        <v>156</v>
      </c>
      <c r="C3011" s="5">
        <v>2006</v>
      </c>
      <c r="D3011" s="4">
        <v>7601000000</v>
      </c>
      <c r="E3011" s="4">
        <v>3710000000</v>
      </c>
      <c r="F3011" s="4" t="str">
        <f>_xlfn.LET(_xlpm.r, _xlfn.XLOOKUP(Clean_Data[[#This Row],[Country_Code]], Metadata_Country!$A:$A, Metadata_Country!$B:$B, "Unknown"), IF(OR(_xlpm.r=0, _xlpm.r=""), "Regional Aggregate", _xlpm.r))</f>
        <v>Regional Aggregate</v>
      </c>
      <c r="G3011" s="4" t="str">
        <f>_xlfn.LET(_xlpm.ig, _xlfn.XLOOKUP(Clean_Data[[#This Row],[Country_Code]], Metadata_Country!$A:$A, Metadata_Country!$C:$C, "Unknown"), IF(OR(_xlpm.ig=0, _xlpm.ig=""), "Regional Aggregate", _xlpm.ig))</f>
        <v>Regional Aggregate</v>
      </c>
      <c r="H3011" s="4">
        <f>Clean_Data[[#This Row],[Exports_TIV]] - Clean_Data[[#This Row],[Imports_TIV]]</f>
        <v>3891000000</v>
      </c>
      <c r="I3011" s="4">
        <f>Clean_Data[[#This Row],[Exports_TIV]] + Clean_Data[[#This Row],[Imports_TIV]]</f>
        <v>11311000000</v>
      </c>
    </row>
    <row r="3012" spans="1:9">
      <c r="A3012" s="4" t="s">
        <v>159</v>
      </c>
      <c r="B3012" s="4" t="s">
        <v>160</v>
      </c>
      <c r="C3012" s="5">
        <v>2006</v>
      </c>
      <c r="D3012" s="4">
        <v>124000000</v>
      </c>
      <c r="E3012" s="4">
        <v>132000000</v>
      </c>
      <c r="F3012" s="4" t="str">
        <f>_xlfn.LET(_xlpm.r, _xlfn.XLOOKUP(Clean_Data[[#This Row],[Country_Code]], Metadata_Country!$A:$A, Metadata_Country!$B:$B, "Unknown"), IF(OR(_xlpm.r=0, _xlpm.r=""), "Regional Aggregate", _xlpm.r))</f>
        <v>Europe &amp; Central Asia</v>
      </c>
      <c r="G3012" s="4" t="str">
        <f>_xlfn.LET(_xlpm.ig, _xlfn.XLOOKUP(Clean_Data[[#This Row],[Country_Code]], Metadata_Country!$A:$A, Metadata_Country!$C:$C, "Unknown"), IF(OR(_xlpm.ig=0, _xlpm.ig=""), "Regional Aggregate", _xlpm.ig))</f>
        <v>High income</v>
      </c>
      <c r="H3012" s="4">
        <f>Clean_Data[[#This Row],[Exports_TIV]] - Clean_Data[[#This Row],[Imports_TIV]]</f>
        <v>-8000000</v>
      </c>
      <c r="I3012" s="4">
        <f>Clean_Data[[#This Row],[Exports_TIV]] + Clean_Data[[#This Row],[Imports_TIV]]</f>
        <v>256000000</v>
      </c>
    </row>
    <row r="3013" spans="1:9">
      <c r="A3013" s="4" t="s">
        <v>163</v>
      </c>
      <c r="B3013" s="4" t="s">
        <v>164</v>
      </c>
      <c r="C3013" s="5">
        <v>2006</v>
      </c>
      <c r="D3013" s="4">
        <v>1484000000</v>
      </c>
      <c r="E3013" s="4">
        <v>68000000</v>
      </c>
      <c r="F3013" s="4" t="str">
        <f>_xlfn.LET(_xlpm.r, _xlfn.XLOOKUP(Clean_Data[[#This Row],[Country_Code]], Metadata_Country!$A:$A, Metadata_Country!$B:$B, "Unknown"), IF(OR(_xlpm.r=0, _xlpm.r=""), "Regional Aggregate", _xlpm.r))</f>
        <v>Europe &amp; Central Asia</v>
      </c>
      <c r="G3013" s="4" t="str">
        <f>_xlfn.LET(_xlpm.ig, _xlfn.XLOOKUP(Clean_Data[[#This Row],[Country_Code]], Metadata_Country!$A:$A, Metadata_Country!$C:$C, "Unknown"), IF(OR(_xlpm.ig=0, _xlpm.ig=""), "Regional Aggregate", _xlpm.ig))</f>
        <v>High income</v>
      </c>
      <c r="H3013" s="4">
        <f>Clean_Data[[#This Row],[Exports_TIV]] - Clean_Data[[#This Row],[Imports_TIV]]</f>
        <v>1416000000</v>
      </c>
      <c r="I3013" s="4">
        <f>Clean_Data[[#This Row],[Exports_TIV]] + Clean_Data[[#This Row],[Imports_TIV]]</f>
        <v>1552000000</v>
      </c>
    </row>
    <row r="3014" spans="1:9">
      <c r="A3014" s="4" t="s">
        <v>169</v>
      </c>
      <c r="B3014" s="4" t="s">
        <v>170</v>
      </c>
      <c r="C3014" s="5">
        <v>2006</v>
      </c>
      <c r="D3014" s="4">
        <v>0</v>
      </c>
      <c r="E3014" s="4">
        <v>20000000</v>
      </c>
      <c r="F3014" s="4" t="str">
        <f>_xlfn.LET(_xlpm.r, _xlfn.XLOOKUP(Clean_Data[[#This Row],[Country_Code]], Metadata_Country!$A:$A, Metadata_Country!$B:$B, "Unknown"), IF(OR(_xlpm.r=0, _xlpm.r=""), "Regional Aggregate", _xlpm.r))</f>
        <v>Sub-Saharan Africa</v>
      </c>
      <c r="G3014" s="4" t="str">
        <f>_xlfn.LET(_xlpm.ig, _xlfn.XLOOKUP(Clean_Data[[#This Row],[Country_Code]], Metadata_Country!$A:$A, Metadata_Country!$C:$C, "Unknown"), IF(OR(_xlpm.ig=0, _xlpm.ig=""), "Regional Aggregate", _xlpm.ig))</f>
        <v>Upper middle income</v>
      </c>
      <c r="H3014" s="4">
        <f>Clean_Data[[#This Row],[Exports_TIV]] - Clean_Data[[#This Row],[Imports_TIV]]</f>
        <v>-20000000</v>
      </c>
      <c r="I3014" s="4">
        <f>Clean_Data[[#This Row],[Exports_TIV]] + Clean_Data[[#This Row],[Imports_TIV]]</f>
        <v>20000000</v>
      </c>
    </row>
    <row r="3015" spans="1:9">
      <c r="A3015" s="4" t="s">
        <v>173</v>
      </c>
      <c r="B3015" s="4" t="s">
        <v>174</v>
      </c>
      <c r="C3015" s="5">
        <v>2006</v>
      </c>
      <c r="D3015" s="4">
        <v>0</v>
      </c>
      <c r="E3015" s="4">
        <v>97000000</v>
      </c>
      <c r="F3015" s="4" t="str">
        <f>_xlfn.LET(_xlpm.r, _xlfn.XLOOKUP(Clean_Data[[#This Row],[Country_Code]], Metadata_Country!$A:$A, Metadata_Country!$B:$B, "Unknown"), IF(OR(_xlpm.r=0, _xlpm.r=""), "Regional Aggregate", _xlpm.r))</f>
        <v>Europe &amp; Central Asia</v>
      </c>
      <c r="G3015" s="4" t="str">
        <f>_xlfn.LET(_xlpm.ig, _xlfn.XLOOKUP(Clean_Data[[#This Row],[Country_Code]], Metadata_Country!$A:$A, Metadata_Country!$C:$C, "Unknown"), IF(OR(_xlpm.ig=0, _xlpm.ig=""), "Regional Aggregate", _xlpm.ig))</f>
        <v>Upper middle income</v>
      </c>
      <c r="H3015" s="4">
        <f>Clean_Data[[#This Row],[Exports_TIV]] - Clean_Data[[#This Row],[Imports_TIV]]</f>
        <v>-97000000</v>
      </c>
      <c r="I3015" s="4">
        <f>Clean_Data[[#This Row],[Exports_TIV]] + Clean_Data[[#This Row],[Imports_TIV]]</f>
        <v>97000000</v>
      </c>
    </row>
    <row r="3016" spans="1:9">
      <c r="A3016" s="4" t="s">
        <v>119</v>
      </c>
      <c r="B3016" s="4" t="s">
        <v>120</v>
      </c>
      <c r="C3016" s="5">
        <v>2006</v>
      </c>
      <c r="D3016" s="4">
        <v>2482000000</v>
      </c>
      <c r="E3016" s="4">
        <v>413000000</v>
      </c>
      <c r="F3016" s="4" t="str">
        <f>_xlfn.LET(_xlpm.r, _xlfn.XLOOKUP(Clean_Data[[#This Row],[Country_Code]], Metadata_Country!$A:$A, Metadata_Country!$B:$B, "Unknown"), IF(OR(_xlpm.r=0, _xlpm.r=""), "Regional Aggregate", _xlpm.r))</f>
        <v>Europe &amp; Central Asia</v>
      </c>
      <c r="G3016" s="4" t="str">
        <f>_xlfn.LET(_xlpm.ig, _xlfn.XLOOKUP(Clean_Data[[#This Row],[Country_Code]], Metadata_Country!$A:$A, Metadata_Country!$C:$C, "Unknown"), IF(OR(_xlpm.ig=0, _xlpm.ig=""), "Regional Aggregate", _xlpm.ig))</f>
        <v>High income</v>
      </c>
      <c r="H3016" s="4">
        <f>Clean_Data[[#This Row],[Exports_TIV]] - Clean_Data[[#This Row],[Imports_TIV]]</f>
        <v>2069000000</v>
      </c>
      <c r="I3016" s="4">
        <f>Clean_Data[[#This Row],[Exports_TIV]] + Clean_Data[[#This Row],[Imports_TIV]]</f>
        <v>2895000000</v>
      </c>
    </row>
    <row r="3017" spans="1:9">
      <c r="A3017" s="4" t="s">
        <v>187</v>
      </c>
      <c r="B3017" s="4" t="s">
        <v>188</v>
      </c>
      <c r="C3017" s="5">
        <v>2006</v>
      </c>
      <c r="D3017" s="4">
        <v>23000000</v>
      </c>
      <c r="E3017" s="4">
        <v>719000000</v>
      </c>
      <c r="F3017" s="4" t="str">
        <f>_xlfn.LET(_xlpm.r, _xlfn.XLOOKUP(Clean_Data[[#This Row],[Country_Code]], Metadata_Country!$A:$A, Metadata_Country!$B:$B, "Unknown"), IF(OR(_xlpm.r=0, _xlpm.r=""), "Regional Aggregate", _xlpm.r))</f>
        <v>Europe &amp; Central Asia</v>
      </c>
      <c r="G3017" s="4" t="str">
        <f>_xlfn.LET(_xlpm.ig, _xlfn.XLOOKUP(Clean_Data[[#This Row],[Country_Code]], Metadata_Country!$A:$A, Metadata_Country!$C:$C, "Unknown"), IF(OR(_xlpm.ig=0, _xlpm.ig=""), "Regional Aggregate", _xlpm.ig))</f>
        <v>High income</v>
      </c>
      <c r="H3017" s="4">
        <f>Clean_Data[[#This Row],[Exports_TIV]] - Clean_Data[[#This Row],[Imports_TIV]]</f>
        <v>-696000000</v>
      </c>
      <c r="I3017" s="4">
        <f>Clean_Data[[#This Row],[Exports_TIV]] + Clean_Data[[#This Row],[Imports_TIV]]</f>
        <v>742000000</v>
      </c>
    </row>
    <row r="3018" spans="1:9">
      <c r="A3018" s="4" t="s">
        <v>199</v>
      </c>
      <c r="B3018" s="4" t="s">
        <v>200</v>
      </c>
      <c r="C3018" s="5">
        <v>2006</v>
      </c>
      <c r="D3018" s="4">
        <v>22497000000</v>
      </c>
      <c r="E3018" s="4">
        <v>13689000000</v>
      </c>
      <c r="F3018" s="4" t="str">
        <f>_xlfn.LET(_xlpm.r, _xlfn.XLOOKUP(Clean_Data[[#This Row],[Country_Code]], Metadata_Country!$A:$A, Metadata_Country!$B:$B, "Unknown"), IF(OR(_xlpm.r=0, _xlpm.r=""), "Regional Aggregate", _xlpm.r))</f>
        <v>Regional Aggregate</v>
      </c>
      <c r="G3018" s="4" t="str">
        <f>_xlfn.LET(_xlpm.ig, _xlfn.XLOOKUP(Clean_Data[[#This Row],[Country_Code]], Metadata_Country!$A:$A, Metadata_Country!$C:$C, "Unknown"), IF(OR(_xlpm.ig=0, _xlpm.ig=""), "Regional Aggregate", _xlpm.ig))</f>
        <v>Regional Aggregate</v>
      </c>
      <c r="H3018" s="4">
        <f>Clean_Data[[#This Row],[Exports_TIV]] - Clean_Data[[#This Row],[Imports_TIV]]</f>
        <v>8808000000</v>
      </c>
      <c r="I3018" s="4">
        <f>Clean_Data[[#This Row],[Exports_TIV]] + Clean_Data[[#This Row],[Imports_TIV]]</f>
        <v>36186000000</v>
      </c>
    </row>
    <row r="3019" spans="1:9">
      <c r="A3019" s="4" t="s">
        <v>211</v>
      </c>
      <c r="B3019" s="4" t="s">
        <v>212</v>
      </c>
      <c r="C3019" s="5">
        <v>2006</v>
      </c>
      <c r="D3019" s="4">
        <v>0</v>
      </c>
      <c r="E3019" s="4">
        <v>253000000</v>
      </c>
      <c r="F3019" s="4" t="str">
        <f>_xlfn.LET(_xlpm.r, _xlfn.XLOOKUP(Clean_Data[[#This Row],[Country_Code]], Metadata_Country!$A:$A, Metadata_Country!$B:$B, "Unknown"), IF(OR(_xlpm.r=0, _xlpm.r=""), "Regional Aggregate", _xlpm.r))</f>
        <v>Europe &amp; Central Asia</v>
      </c>
      <c r="G3019" s="4" t="str">
        <f>_xlfn.LET(_xlpm.ig, _xlfn.XLOOKUP(Clean_Data[[#This Row],[Country_Code]], Metadata_Country!$A:$A, Metadata_Country!$C:$C, "Unknown"), IF(OR(_xlpm.ig=0, _xlpm.ig=""), "Regional Aggregate", _xlpm.ig))</f>
        <v>High income</v>
      </c>
      <c r="H3019" s="4">
        <f>Clean_Data[[#This Row],[Exports_TIV]] - Clean_Data[[#This Row],[Imports_TIV]]</f>
        <v>-253000000</v>
      </c>
      <c r="I3019" s="4">
        <f>Clean_Data[[#This Row],[Exports_TIV]] + Clean_Data[[#This Row],[Imports_TIV]]</f>
        <v>253000000</v>
      </c>
    </row>
    <row r="3020" spans="1:9">
      <c r="A3020" s="4" t="s">
        <v>213</v>
      </c>
      <c r="B3020" s="4" t="s">
        <v>214</v>
      </c>
      <c r="C3020" s="5">
        <v>2006</v>
      </c>
      <c r="D3020" s="4">
        <v>7463000000</v>
      </c>
      <c r="E3020" s="4">
        <v>11019000000</v>
      </c>
      <c r="F3020" s="4" t="str">
        <f>_xlfn.LET(_xlpm.r, _xlfn.XLOOKUP(Clean_Data[[#This Row],[Country_Code]], Metadata_Country!$A:$A, Metadata_Country!$B:$B, "Unknown"), IF(OR(_xlpm.r=0, _xlpm.r=""), "Regional Aggregate", _xlpm.r))</f>
        <v>Regional Aggregate</v>
      </c>
      <c r="G3020" s="4" t="str">
        <f>_xlfn.LET(_xlpm.ig, _xlfn.XLOOKUP(Clean_Data[[#This Row],[Country_Code]], Metadata_Country!$A:$A, Metadata_Country!$C:$C, "Unknown"), IF(OR(_xlpm.ig=0, _xlpm.ig=""), "Regional Aggregate", _xlpm.ig))</f>
        <v>Regional Aggregate</v>
      </c>
      <c r="H3020" s="4">
        <f>Clean_Data[[#This Row],[Exports_TIV]] - Clean_Data[[#This Row],[Imports_TIV]]</f>
        <v>-3556000000</v>
      </c>
      <c r="I3020" s="4">
        <f>Clean_Data[[#This Row],[Exports_TIV]] + Clean_Data[[#This Row],[Imports_TIV]]</f>
        <v>18482000000</v>
      </c>
    </row>
    <row r="3021" spans="1:9">
      <c r="A3021" s="4" t="s">
        <v>215</v>
      </c>
      <c r="B3021" s="4" t="s">
        <v>216</v>
      </c>
      <c r="C3021" s="5">
        <v>2006</v>
      </c>
      <c r="D3021" s="4">
        <v>7488000000</v>
      </c>
      <c r="E3021" s="4">
        <v>12333000000</v>
      </c>
      <c r="F3021" s="4" t="str">
        <f>_xlfn.LET(_xlpm.r, _xlfn.XLOOKUP(Clean_Data[[#This Row],[Country_Code]], Metadata_Country!$A:$A, Metadata_Country!$B:$B, "Unknown"), IF(OR(_xlpm.r=0, _xlpm.r=""), "Regional Aggregate", _xlpm.r))</f>
        <v>Regional Aggregate</v>
      </c>
      <c r="G3021" s="4" t="str">
        <f>_xlfn.LET(_xlpm.ig, _xlfn.XLOOKUP(Clean_Data[[#This Row],[Country_Code]], Metadata_Country!$A:$A, Metadata_Country!$C:$C, "Unknown"), IF(OR(_xlpm.ig=0, _xlpm.ig=""), "Regional Aggregate", _xlpm.ig))</f>
        <v>Regional Aggregate</v>
      </c>
      <c r="H3021" s="4">
        <f>Clean_Data[[#This Row],[Exports_TIV]] - Clean_Data[[#This Row],[Imports_TIV]]</f>
        <v>-4845000000</v>
      </c>
      <c r="I3021" s="4">
        <f>Clean_Data[[#This Row],[Exports_TIV]] + Clean_Data[[#This Row],[Imports_TIV]]</f>
        <v>19821000000</v>
      </c>
    </row>
    <row r="3022" spans="1:9">
      <c r="A3022" s="4" t="s">
        <v>219</v>
      </c>
      <c r="B3022" s="4" t="s">
        <v>220</v>
      </c>
      <c r="C3022" s="5">
        <v>2006</v>
      </c>
      <c r="D3022" s="4">
        <v>0</v>
      </c>
      <c r="E3022" s="4">
        <v>369000000</v>
      </c>
      <c r="F3022" s="4" t="str">
        <f>_xlfn.LET(_xlpm.r, _xlfn.XLOOKUP(Clean_Data[[#This Row],[Country_Code]], Metadata_Country!$A:$A, Metadata_Country!$B:$B, "Unknown"), IF(OR(_xlpm.r=0, _xlpm.r=""), "Regional Aggregate", _xlpm.r))</f>
        <v>Regional Aggregate</v>
      </c>
      <c r="G3022" s="4" t="str">
        <f>_xlfn.LET(_xlpm.ig, _xlfn.XLOOKUP(Clean_Data[[#This Row],[Country_Code]], Metadata_Country!$A:$A, Metadata_Country!$C:$C, "Unknown"), IF(OR(_xlpm.ig=0, _xlpm.ig=""), "Regional Aggregate", _xlpm.ig))</f>
        <v>Regional Aggregate</v>
      </c>
      <c r="H3022" s="4">
        <f>Clean_Data[[#This Row],[Exports_TIV]] - Clean_Data[[#This Row],[Imports_TIV]]</f>
        <v>-369000000</v>
      </c>
      <c r="I3022" s="4">
        <f>Clean_Data[[#This Row],[Exports_TIV]] + Clean_Data[[#This Row],[Imports_TIV]]</f>
        <v>369000000</v>
      </c>
    </row>
    <row r="3023" spans="1:9">
      <c r="A3023" s="4" t="s">
        <v>217</v>
      </c>
      <c r="B3023" s="4" t="s">
        <v>218</v>
      </c>
      <c r="C3023" s="5">
        <v>2006</v>
      </c>
      <c r="D3023" s="4">
        <v>0</v>
      </c>
      <c r="E3023" s="4">
        <v>1314000000</v>
      </c>
      <c r="F3023" s="4" t="str">
        <f>_xlfn.LET(_xlpm.r, _xlfn.XLOOKUP(Clean_Data[[#This Row],[Country_Code]], Metadata_Country!$A:$A, Metadata_Country!$B:$B, "Unknown"), IF(OR(_xlpm.r=0, _xlpm.r=""), "Regional Aggregate", _xlpm.r))</f>
        <v>Regional Aggregate</v>
      </c>
      <c r="G3023" s="4" t="str">
        <f>_xlfn.LET(_xlpm.ig, _xlfn.XLOOKUP(Clean_Data[[#This Row],[Country_Code]], Metadata_Country!$A:$A, Metadata_Country!$C:$C, "Unknown"), IF(OR(_xlpm.ig=0, _xlpm.ig=""), "Regional Aggregate", _xlpm.ig))</f>
        <v>Regional Aggregate</v>
      </c>
      <c r="H3023" s="4">
        <f>Clean_Data[[#This Row],[Exports_TIV]] - Clean_Data[[#This Row],[Imports_TIV]]</f>
        <v>-1314000000</v>
      </c>
      <c r="I3023" s="4">
        <f>Clean_Data[[#This Row],[Exports_TIV]] + Clean_Data[[#This Row],[Imports_TIV]]</f>
        <v>1314000000</v>
      </c>
    </row>
    <row r="3024" spans="1:9">
      <c r="A3024" s="4" t="s">
        <v>227</v>
      </c>
      <c r="B3024" s="4" t="s">
        <v>228</v>
      </c>
      <c r="C3024" s="5">
        <v>2006</v>
      </c>
      <c r="D3024" s="4">
        <v>33000000</v>
      </c>
      <c r="E3024" s="4">
        <v>1487000000</v>
      </c>
      <c r="F3024" s="4" t="str">
        <f>_xlfn.LET(_xlpm.r, _xlfn.XLOOKUP(Clean_Data[[#This Row],[Country_Code]], Metadata_Country!$A:$A, Metadata_Country!$B:$B, "Unknown"), IF(OR(_xlpm.r=0, _xlpm.r=""), "Regional Aggregate", _xlpm.r))</f>
        <v>South Asia</v>
      </c>
      <c r="G3024" s="4" t="str">
        <f>_xlfn.LET(_xlpm.ig, _xlfn.XLOOKUP(Clean_Data[[#This Row],[Country_Code]], Metadata_Country!$A:$A, Metadata_Country!$C:$C, "Unknown"), IF(OR(_xlpm.ig=0, _xlpm.ig=""), "Regional Aggregate", _xlpm.ig))</f>
        <v>Lower middle income</v>
      </c>
      <c r="H3024" s="4">
        <f>Clean_Data[[#This Row],[Exports_TIV]] - Clean_Data[[#This Row],[Imports_TIV]]</f>
        <v>-1454000000</v>
      </c>
      <c r="I3024" s="4">
        <f>Clean_Data[[#This Row],[Exports_TIV]] + Clean_Data[[#This Row],[Imports_TIV]]</f>
        <v>1520000000</v>
      </c>
    </row>
    <row r="3025" spans="1:9">
      <c r="A3025" s="4" t="s">
        <v>221</v>
      </c>
      <c r="B3025" s="4" t="s">
        <v>222</v>
      </c>
      <c r="C3025" s="5">
        <v>2006</v>
      </c>
      <c r="D3025" s="4">
        <v>9000000</v>
      </c>
      <c r="E3025" s="4">
        <v>63000000</v>
      </c>
      <c r="F3025" s="4" t="str">
        <f>_xlfn.LET(_xlpm.r, _xlfn.XLOOKUP(Clean_Data[[#This Row],[Country_Code]], Metadata_Country!$A:$A, Metadata_Country!$B:$B, "Unknown"), IF(OR(_xlpm.r=0, _xlpm.r=""), "Regional Aggregate", _xlpm.r))</f>
        <v>East Asia &amp; Pacific</v>
      </c>
      <c r="G3025" s="4" t="str">
        <f>_xlfn.LET(_xlpm.ig, _xlfn.XLOOKUP(Clean_Data[[#This Row],[Country_Code]], Metadata_Country!$A:$A, Metadata_Country!$C:$C, "Unknown"), IF(OR(_xlpm.ig=0, _xlpm.ig=""), "Regional Aggregate", _xlpm.ig))</f>
        <v>Upper middle income</v>
      </c>
      <c r="H3025" s="4">
        <f>Clean_Data[[#This Row],[Exports_TIV]] - Clean_Data[[#This Row],[Imports_TIV]]</f>
        <v>-54000000</v>
      </c>
      <c r="I3025" s="4">
        <f>Clean_Data[[#This Row],[Exports_TIV]] + Clean_Data[[#This Row],[Imports_TIV]]</f>
        <v>72000000</v>
      </c>
    </row>
    <row r="3026" spans="1:9">
      <c r="A3026" s="4" t="s">
        <v>233</v>
      </c>
      <c r="B3026" s="4" t="s">
        <v>234</v>
      </c>
      <c r="C3026" s="5">
        <v>2006</v>
      </c>
      <c r="D3026" s="4">
        <v>78000000</v>
      </c>
      <c r="E3026" s="4">
        <v>418000000</v>
      </c>
      <c r="F3026" s="4" t="str">
        <f>_xlfn.LET(_xlpm.r, _xlfn.XLOOKUP(Clean_Data[[#This Row],[Country_Code]], Metadata_Country!$A:$A, Metadata_Country!$B:$B, "Unknown"), IF(OR(_xlpm.r=0, _xlpm.r=""), "Regional Aggregate", _xlpm.r))</f>
        <v>Middle East &amp; North Africa</v>
      </c>
      <c r="G3026" s="4" t="str">
        <f>_xlfn.LET(_xlpm.ig, _xlfn.XLOOKUP(Clean_Data[[#This Row],[Country_Code]], Metadata_Country!$A:$A, Metadata_Country!$C:$C, "Unknown"), IF(OR(_xlpm.ig=0, _xlpm.ig=""), "Regional Aggregate", _xlpm.ig))</f>
        <v>Upper middle income</v>
      </c>
      <c r="H3026" s="4">
        <f>Clean_Data[[#This Row],[Exports_TIV]] - Clean_Data[[#This Row],[Imports_TIV]]</f>
        <v>-340000000</v>
      </c>
      <c r="I3026" s="4">
        <f>Clean_Data[[#This Row],[Exports_TIV]] + Clean_Data[[#This Row],[Imports_TIV]]</f>
        <v>496000000</v>
      </c>
    </row>
    <row r="3027" spans="1:9">
      <c r="A3027" s="4" t="s">
        <v>235</v>
      </c>
      <c r="B3027" s="4" t="s">
        <v>236</v>
      </c>
      <c r="C3027" s="5">
        <v>2006</v>
      </c>
      <c r="D3027" s="4">
        <v>0</v>
      </c>
      <c r="E3027" s="4">
        <v>306000000</v>
      </c>
      <c r="F3027" s="4" t="str">
        <f>_xlfn.LET(_xlpm.r, _xlfn.XLOOKUP(Clean_Data[[#This Row],[Country_Code]], Metadata_Country!$A:$A, Metadata_Country!$B:$B, "Unknown"), IF(OR(_xlpm.r=0, _xlpm.r=""), "Regional Aggregate", _xlpm.r))</f>
        <v>Middle East &amp; North Africa</v>
      </c>
      <c r="G3027" s="4" t="str">
        <f>_xlfn.LET(_xlpm.ig, _xlfn.XLOOKUP(Clean_Data[[#This Row],[Country_Code]], Metadata_Country!$A:$A, Metadata_Country!$C:$C, "Unknown"), IF(OR(_xlpm.ig=0, _xlpm.ig=""), "Regional Aggregate", _xlpm.ig))</f>
        <v>Upper middle income</v>
      </c>
      <c r="H3027" s="4">
        <f>Clean_Data[[#This Row],[Exports_TIV]] - Clean_Data[[#This Row],[Imports_TIV]]</f>
        <v>-306000000</v>
      </c>
      <c r="I3027" s="4">
        <f>Clean_Data[[#This Row],[Exports_TIV]] + Clean_Data[[#This Row],[Imports_TIV]]</f>
        <v>306000000</v>
      </c>
    </row>
    <row r="3028" spans="1:9">
      <c r="A3028" s="4" t="s">
        <v>231</v>
      </c>
      <c r="B3028" s="4" t="s">
        <v>232</v>
      </c>
      <c r="C3028" s="5">
        <v>2006</v>
      </c>
      <c r="D3028" s="4">
        <v>53000000</v>
      </c>
      <c r="E3028" s="4">
        <v>13000000</v>
      </c>
      <c r="F3028" s="4" t="str">
        <f>_xlfn.LET(_xlpm.r, _xlfn.XLOOKUP(Clean_Data[[#This Row],[Country_Code]], Metadata_Country!$A:$A, Metadata_Country!$B:$B, "Unknown"), IF(OR(_xlpm.r=0, _xlpm.r=""), "Regional Aggregate", _xlpm.r))</f>
        <v>Europe &amp; Central Asia</v>
      </c>
      <c r="G3028" s="4" t="str">
        <f>_xlfn.LET(_xlpm.ig, _xlfn.XLOOKUP(Clean_Data[[#This Row],[Country_Code]], Metadata_Country!$A:$A, Metadata_Country!$C:$C, "Unknown"), IF(OR(_xlpm.ig=0, _xlpm.ig=""), "Regional Aggregate", _xlpm.ig))</f>
        <v>High income</v>
      </c>
      <c r="H3028" s="4">
        <f>Clean_Data[[#This Row],[Exports_TIV]] - Clean_Data[[#This Row],[Imports_TIV]]</f>
        <v>40000000</v>
      </c>
      <c r="I3028" s="4">
        <f>Clean_Data[[#This Row],[Exports_TIV]] + Clean_Data[[#This Row],[Imports_TIV]]</f>
        <v>66000000</v>
      </c>
    </row>
    <row r="3029" spans="1:9">
      <c r="A3029" s="4" t="s">
        <v>239</v>
      </c>
      <c r="B3029" s="4" t="s">
        <v>240</v>
      </c>
      <c r="C3029" s="5">
        <v>2006</v>
      </c>
      <c r="D3029" s="4">
        <v>451000000</v>
      </c>
      <c r="E3029" s="4">
        <v>1125000000</v>
      </c>
      <c r="F3029" s="4" t="str">
        <f>_xlfn.LET(_xlpm.r, _xlfn.XLOOKUP(Clean_Data[[#This Row],[Country_Code]], Metadata_Country!$A:$A, Metadata_Country!$B:$B, "Unknown"), IF(OR(_xlpm.r=0, _xlpm.r=""), "Regional Aggregate", _xlpm.r))</f>
        <v>Middle East &amp; North Africa</v>
      </c>
      <c r="G3029" s="4" t="str">
        <f>_xlfn.LET(_xlpm.ig, _xlfn.XLOOKUP(Clean_Data[[#This Row],[Country_Code]], Metadata_Country!$A:$A, Metadata_Country!$C:$C, "Unknown"), IF(OR(_xlpm.ig=0, _xlpm.ig=""), "Regional Aggregate", _xlpm.ig))</f>
        <v>High income</v>
      </c>
      <c r="H3029" s="4">
        <f>Clean_Data[[#This Row],[Exports_TIV]] - Clean_Data[[#This Row],[Imports_TIV]]</f>
        <v>-674000000</v>
      </c>
      <c r="I3029" s="4">
        <f>Clean_Data[[#This Row],[Exports_TIV]] + Clean_Data[[#This Row],[Imports_TIV]]</f>
        <v>1576000000</v>
      </c>
    </row>
    <row r="3030" spans="1:9">
      <c r="A3030" s="4" t="s">
        <v>241</v>
      </c>
      <c r="B3030" s="4" t="s">
        <v>242</v>
      </c>
      <c r="C3030" s="5">
        <v>2006</v>
      </c>
      <c r="D3030" s="4">
        <v>538000000</v>
      </c>
      <c r="E3030" s="4">
        <v>384000000</v>
      </c>
      <c r="F3030" s="4" t="str">
        <f>_xlfn.LET(_xlpm.r, _xlfn.XLOOKUP(Clean_Data[[#This Row],[Country_Code]], Metadata_Country!$A:$A, Metadata_Country!$B:$B, "Unknown"), IF(OR(_xlpm.r=0, _xlpm.r=""), "Regional Aggregate", _xlpm.r))</f>
        <v>Europe &amp; Central Asia</v>
      </c>
      <c r="G3030" s="4" t="str">
        <f>_xlfn.LET(_xlpm.ig, _xlfn.XLOOKUP(Clean_Data[[#This Row],[Country_Code]], Metadata_Country!$A:$A, Metadata_Country!$C:$C, "Unknown"), IF(OR(_xlpm.ig=0, _xlpm.ig=""), "Regional Aggregate", _xlpm.ig))</f>
        <v>High income</v>
      </c>
      <c r="H3030" s="4">
        <f>Clean_Data[[#This Row],[Exports_TIV]] - Clean_Data[[#This Row],[Imports_TIV]]</f>
        <v>154000000</v>
      </c>
      <c r="I3030" s="4">
        <f>Clean_Data[[#This Row],[Exports_TIV]] + Clean_Data[[#This Row],[Imports_TIV]]</f>
        <v>922000000</v>
      </c>
    </row>
    <row r="3031" spans="1:9">
      <c r="A3031" s="4" t="s">
        <v>243</v>
      </c>
      <c r="B3031" s="4" t="s">
        <v>244</v>
      </c>
      <c r="C3031" s="5">
        <v>2006</v>
      </c>
      <c r="D3031" s="4">
        <v>0</v>
      </c>
      <c r="E3031" s="4">
        <v>10000000</v>
      </c>
      <c r="F3031" s="4" t="str">
        <f>_xlfn.LET(_xlpm.r, _xlfn.XLOOKUP(Clean_Data[[#This Row],[Country_Code]], Metadata_Country!$A:$A, Metadata_Country!$B:$B, "Unknown"), IF(OR(_xlpm.r=0, _xlpm.r=""), "Regional Aggregate", _xlpm.r))</f>
        <v>Latin America &amp; Caribbean</v>
      </c>
      <c r="G3031" s="4" t="str">
        <f>_xlfn.LET(_xlpm.ig, _xlfn.XLOOKUP(Clean_Data[[#This Row],[Country_Code]], Metadata_Country!$A:$A, Metadata_Country!$C:$C, "Unknown"), IF(OR(_xlpm.ig=0, _xlpm.ig=""), "Regional Aggregate", _xlpm.ig))</f>
        <v>Upper middle income</v>
      </c>
      <c r="H3031" s="4">
        <f>Clean_Data[[#This Row],[Exports_TIV]] - Clean_Data[[#This Row],[Imports_TIV]]</f>
        <v>-10000000</v>
      </c>
      <c r="I3031" s="4">
        <f>Clean_Data[[#This Row],[Exports_TIV]] + Clean_Data[[#This Row],[Imports_TIV]]</f>
        <v>10000000</v>
      </c>
    </row>
    <row r="3032" spans="1:9">
      <c r="A3032" s="4" t="s">
        <v>247</v>
      </c>
      <c r="B3032" s="4" t="s">
        <v>248</v>
      </c>
      <c r="C3032" s="5">
        <v>2006</v>
      </c>
      <c r="D3032" s="4">
        <v>0</v>
      </c>
      <c r="E3032" s="4">
        <v>469000000</v>
      </c>
      <c r="F3032" s="4" t="str">
        <f>_xlfn.LET(_xlpm.r, _xlfn.XLOOKUP(Clean_Data[[#This Row],[Country_Code]], Metadata_Country!$A:$A, Metadata_Country!$B:$B, "Unknown"), IF(OR(_xlpm.r=0, _xlpm.r=""), "Regional Aggregate", _xlpm.r))</f>
        <v>East Asia &amp; Pacific</v>
      </c>
      <c r="G3032" s="4" t="str">
        <f>_xlfn.LET(_xlpm.ig, _xlfn.XLOOKUP(Clean_Data[[#This Row],[Country_Code]], Metadata_Country!$A:$A, Metadata_Country!$C:$C, "Unknown"), IF(OR(_xlpm.ig=0, _xlpm.ig=""), "Regional Aggregate", _xlpm.ig))</f>
        <v>High income</v>
      </c>
      <c r="H3032" s="4">
        <f>Clean_Data[[#This Row],[Exports_TIV]] - Clean_Data[[#This Row],[Imports_TIV]]</f>
        <v>-469000000</v>
      </c>
      <c r="I3032" s="4">
        <f>Clean_Data[[#This Row],[Exports_TIV]] + Clean_Data[[#This Row],[Imports_TIV]]</f>
        <v>469000000</v>
      </c>
    </row>
    <row r="3033" spans="1:9">
      <c r="A3033" s="4" t="s">
        <v>245</v>
      </c>
      <c r="B3033" s="4" t="s">
        <v>246</v>
      </c>
      <c r="C3033" s="5">
        <v>2006</v>
      </c>
      <c r="D3033" s="4">
        <v>0</v>
      </c>
      <c r="E3033" s="4">
        <v>50000000</v>
      </c>
      <c r="F3033" s="4" t="str">
        <f>_xlfn.LET(_xlpm.r, _xlfn.XLOOKUP(Clean_Data[[#This Row],[Country_Code]], Metadata_Country!$A:$A, Metadata_Country!$B:$B, "Unknown"), IF(OR(_xlpm.r=0, _xlpm.r=""), "Regional Aggregate", _xlpm.r))</f>
        <v>Middle East &amp; North Africa</v>
      </c>
      <c r="G3033" s="4" t="str">
        <f>_xlfn.LET(_xlpm.ig, _xlfn.XLOOKUP(Clean_Data[[#This Row],[Country_Code]], Metadata_Country!$A:$A, Metadata_Country!$C:$C, "Unknown"), IF(OR(_xlpm.ig=0, _xlpm.ig=""), "Regional Aggregate", _xlpm.ig))</f>
        <v>Upper middle income</v>
      </c>
      <c r="H3033" s="4">
        <f>Clean_Data[[#This Row],[Exports_TIV]] - Clean_Data[[#This Row],[Imports_TIV]]</f>
        <v>-50000000</v>
      </c>
      <c r="I3033" s="4">
        <f>Clean_Data[[#This Row],[Exports_TIV]] + Clean_Data[[#This Row],[Imports_TIV]]</f>
        <v>50000000</v>
      </c>
    </row>
    <row r="3034" spans="1:9">
      <c r="A3034" s="4" t="s">
        <v>249</v>
      </c>
      <c r="B3034" s="4" t="s">
        <v>250</v>
      </c>
      <c r="C3034" s="5">
        <v>2006</v>
      </c>
      <c r="D3034" s="4">
        <v>6000000</v>
      </c>
      <c r="E3034" s="4">
        <v>46000000</v>
      </c>
      <c r="F3034" s="4" t="str">
        <f>_xlfn.LET(_xlpm.r, _xlfn.XLOOKUP(Clean_Data[[#This Row],[Country_Code]], Metadata_Country!$A:$A, Metadata_Country!$B:$B, "Unknown"), IF(OR(_xlpm.r=0, _xlpm.r=""), "Regional Aggregate", _xlpm.r))</f>
        <v>Europe &amp; Central Asia</v>
      </c>
      <c r="G3034" s="4" t="str">
        <f>_xlfn.LET(_xlpm.ig, _xlfn.XLOOKUP(Clean_Data[[#This Row],[Country_Code]], Metadata_Country!$A:$A, Metadata_Country!$C:$C, "Unknown"), IF(OR(_xlpm.ig=0, _xlpm.ig=""), "Regional Aggregate", _xlpm.ig))</f>
        <v>Upper middle income</v>
      </c>
      <c r="H3034" s="4">
        <f>Clean_Data[[#This Row],[Exports_TIV]] - Clean_Data[[#This Row],[Imports_TIV]]</f>
        <v>-40000000</v>
      </c>
      <c r="I3034" s="4">
        <f>Clean_Data[[#This Row],[Exports_TIV]] + Clean_Data[[#This Row],[Imports_TIV]]</f>
        <v>52000000</v>
      </c>
    </row>
    <row r="3035" spans="1:9">
      <c r="A3035" s="4" t="s">
        <v>395</v>
      </c>
      <c r="B3035" s="4" t="s">
        <v>396</v>
      </c>
      <c r="C3035" s="5">
        <v>2006</v>
      </c>
      <c r="D3035" s="4">
        <v>15000000</v>
      </c>
      <c r="E3035" s="4">
        <v>5000000</v>
      </c>
      <c r="F3035" s="4" t="str">
        <f>_xlfn.LET(_xlpm.r, _xlfn.XLOOKUP(Clean_Data[[#This Row],[Country_Code]], Metadata_Country!$A:$A, Metadata_Country!$B:$B, "Unknown"), IF(OR(_xlpm.r=0, _xlpm.r=""), "Regional Aggregate", _xlpm.r))</f>
        <v>East Asia &amp; Pacific</v>
      </c>
      <c r="G3035" s="4" t="str">
        <f>_xlfn.LET(_xlpm.ig, _xlfn.XLOOKUP(Clean_Data[[#This Row],[Country_Code]], Metadata_Country!$A:$A, Metadata_Country!$C:$C, "Unknown"), IF(OR(_xlpm.ig=0, _xlpm.ig=""), "Regional Aggregate", _xlpm.ig))</f>
        <v>Low income</v>
      </c>
      <c r="H3035" s="4">
        <f>Clean_Data[[#This Row],[Exports_TIV]] - Clean_Data[[#This Row],[Imports_TIV]]</f>
        <v>10000000</v>
      </c>
      <c r="I3035" s="4">
        <f>Clean_Data[[#This Row],[Exports_TIV]] + Clean_Data[[#This Row],[Imports_TIV]]</f>
        <v>20000000</v>
      </c>
    </row>
    <row r="3036" spans="1:9">
      <c r="A3036" s="4" t="s">
        <v>261</v>
      </c>
      <c r="B3036" s="4" t="s">
        <v>262</v>
      </c>
      <c r="C3036" s="5">
        <v>2006</v>
      </c>
      <c r="D3036" s="4">
        <v>158000000</v>
      </c>
      <c r="E3036" s="4">
        <v>1658000000</v>
      </c>
      <c r="F3036" s="4" t="str">
        <f>_xlfn.LET(_xlpm.r, _xlfn.XLOOKUP(Clean_Data[[#This Row],[Country_Code]], Metadata_Country!$A:$A, Metadata_Country!$B:$B, "Unknown"), IF(OR(_xlpm.r=0, _xlpm.r=""), "Regional Aggregate", _xlpm.r))</f>
        <v>East Asia &amp; Pacific</v>
      </c>
      <c r="G3036" s="4" t="str">
        <f>_xlfn.LET(_xlpm.ig, _xlfn.XLOOKUP(Clean_Data[[#This Row],[Country_Code]], Metadata_Country!$A:$A, Metadata_Country!$C:$C, "Unknown"), IF(OR(_xlpm.ig=0, _xlpm.ig=""), "Regional Aggregate", _xlpm.ig))</f>
        <v>High income</v>
      </c>
      <c r="H3036" s="4">
        <f>Clean_Data[[#This Row],[Exports_TIV]] - Clean_Data[[#This Row],[Imports_TIV]]</f>
        <v>-1500000000</v>
      </c>
      <c r="I3036" s="4">
        <f>Clean_Data[[#This Row],[Exports_TIV]] + Clean_Data[[#This Row],[Imports_TIV]]</f>
        <v>1816000000</v>
      </c>
    </row>
    <row r="3037" spans="1:9">
      <c r="A3037" s="4" t="s">
        <v>263</v>
      </c>
      <c r="B3037" s="4" t="s">
        <v>264</v>
      </c>
      <c r="C3037" s="5">
        <v>2006</v>
      </c>
      <c r="D3037" s="4">
        <v>0</v>
      </c>
      <c r="E3037" s="4">
        <v>5000000</v>
      </c>
      <c r="F3037" s="4" t="str">
        <f>_xlfn.LET(_xlpm.r, _xlfn.XLOOKUP(Clean_Data[[#This Row],[Country_Code]], Metadata_Country!$A:$A, Metadata_Country!$B:$B, "Unknown"), IF(OR(_xlpm.r=0, _xlpm.r=""), "Regional Aggregate", _xlpm.r))</f>
        <v>Middle East &amp; North Africa</v>
      </c>
      <c r="G3037" s="4" t="str">
        <f>_xlfn.LET(_xlpm.ig, _xlfn.XLOOKUP(Clean_Data[[#This Row],[Country_Code]], Metadata_Country!$A:$A, Metadata_Country!$C:$C, "Unknown"), IF(OR(_xlpm.ig=0, _xlpm.ig=""), "Regional Aggregate", _xlpm.ig))</f>
        <v>High income</v>
      </c>
      <c r="H3037" s="4">
        <f>Clean_Data[[#This Row],[Exports_TIV]] - Clean_Data[[#This Row],[Imports_TIV]]</f>
        <v>-5000000</v>
      </c>
      <c r="I3037" s="4">
        <f>Clean_Data[[#This Row],[Exports_TIV]] + Clean_Data[[#This Row],[Imports_TIV]]</f>
        <v>5000000</v>
      </c>
    </row>
    <row r="3038" spans="1:9">
      <c r="A3038" s="4" t="s">
        <v>253</v>
      </c>
      <c r="B3038" s="4" t="s">
        <v>254</v>
      </c>
      <c r="C3038" s="5">
        <v>2006</v>
      </c>
      <c r="D3038" s="4">
        <v>18000000</v>
      </c>
      <c r="E3038" s="4">
        <v>2000000</v>
      </c>
      <c r="F3038" s="4" t="str">
        <f>_xlfn.LET(_xlpm.r, _xlfn.XLOOKUP(Clean_Data[[#This Row],[Country_Code]], Metadata_Country!$A:$A, Metadata_Country!$B:$B, "Unknown"), IF(OR(_xlpm.r=0, _xlpm.r=""), "Regional Aggregate", _xlpm.r))</f>
        <v>Europe &amp; Central Asia</v>
      </c>
      <c r="G3038" s="4" t="str">
        <f>_xlfn.LET(_xlpm.ig, _xlfn.XLOOKUP(Clean_Data[[#This Row],[Country_Code]], Metadata_Country!$A:$A, Metadata_Country!$C:$C, "Unknown"), IF(OR(_xlpm.ig=0, _xlpm.ig=""), "Regional Aggregate", _xlpm.ig))</f>
        <v>Lower middle income</v>
      </c>
      <c r="H3038" s="4">
        <f>Clean_Data[[#This Row],[Exports_TIV]] - Clean_Data[[#This Row],[Imports_TIV]]</f>
        <v>16000000</v>
      </c>
      <c r="I3038" s="4">
        <f>Clean_Data[[#This Row],[Exports_TIV]] + Clean_Data[[#This Row],[Imports_TIV]]</f>
        <v>20000000</v>
      </c>
    </row>
    <row r="3039" spans="1:9">
      <c r="A3039" s="4" t="s">
        <v>293</v>
      </c>
      <c r="B3039" s="4" t="s">
        <v>294</v>
      </c>
      <c r="C3039" s="5">
        <v>2006</v>
      </c>
      <c r="D3039" s="4">
        <v>6575000000</v>
      </c>
      <c r="E3039" s="4">
        <v>7748000000</v>
      </c>
      <c r="F3039" s="4" t="str">
        <f>_xlfn.LET(_xlpm.r, _xlfn.XLOOKUP(Clean_Data[[#This Row],[Country_Code]], Metadata_Country!$A:$A, Metadata_Country!$B:$B, "Unknown"), IF(OR(_xlpm.r=0, _xlpm.r=""), "Regional Aggregate", _xlpm.r))</f>
        <v>Regional Aggregate</v>
      </c>
      <c r="G3039" s="4" t="str">
        <f>_xlfn.LET(_xlpm.ig, _xlfn.XLOOKUP(Clean_Data[[#This Row],[Country_Code]], Metadata_Country!$A:$A, Metadata_Country!$C:$C, "Unknown"), IF(OR(_xlpm.ig=0, _xlpm.ig=""), "Regional Aggregate", _xlpm.ig))</f>
        <v>Regional Aggregate</v>
      </c>
      <c r="H3039" s="4">
        <f>Clean_Data[[#This Row],[Exports_TIV]] - Clean_Data[[#This Row],[Imports_TIV]]</f>
        <v>-1173000000</v>
      </c>
      <c r="I3039" s="4">
        <f>Clean_Data[[#This Row],[Exports_TIV]] + Clean_Data[[#This Row],[Imports_TIV]]</f>
        <v>14323000000</v>
      </c>
    </row>
    <row r="3040" spans="1:9">
      <c r="A3040" s="4" t="s">
        <v>277</v>
      </c>
      <c r="B3040" s="4" t="s">
        <v>278</v>
      </c>
      <c r="C3040" s="5">
        <v>2006</v>
      </c>
      <c r="D3040" s="4">
        <v>0</v>
      </c>
      <c r="E3040" s="4">
        <v>2063000000</v>
      </c>
      <c r="F3040" s="4" t="str">
        <f>_xlfn.LET(_xlpm.r, _xlfn.XLOOKUP(Clean_Data[[#This Row],[Country_Code]], Metadata_Country!$A:$A, Metadata_Country!$B:$B, "Unknown"), IF(OR(_xlpm.r=0, _xlpm.r=""), "Regional Aggregate", _xlpm.r))</f>
        <v>Regional Aggregate</v>
      </c>
      <c r="G3040" s="4" t="str">
        <f>_xlfn.LET(_xlpm.ig, _xlfn.XLOOKUP(Clean_Data[[#This Row],[Country_Code]], Metadata_Country!$A:$A, Metadata_Country!$C:$C, "Unknown"), IF(OR(_xlpm.ig=0, _xlpm.ig=""), "Regional Aggregate", _xlpm.ig))</f>
        <v>Regional Aggregate</v>
      </c>
      <c r="H3040" s="4">
        <f>Clean_Data[[#This Row],[Exports_TIV]] - Clean_Data[[#This Row],[Imports_TIV]]</f>
        <v>-2063000000</v>
      </c>
      <c r="I3040" s="4">
        <f>Clean_Data[[#This Row],[Exports_TIV]] + Clean_Data[[#This Row],[Imports_TIV]]</f>
        <v>2063000000</v>
      </c>
    </row>
    <row r="3041" spans="1:9">
      <c r="A3041" s="4" t="s">
        <v>265</v>
      </c>
      <c r="B3041" s="4" t="s">
        <v>266</v>
      </c>
      <c r="C3041" s="5">
        <v>2006</v>
      </c>
      <c r="D3041" s="4">
        <v>0</v>
      </c>
      <c r="E3041" s="4">
        <v>958000000</v>
      </c>
      <c r="F3041" s="4" t="str">
        <f>_xlfn.LET(_xlpm.r, _xlfn.XLOOKUP(Clean_Data[[#This Row],[Country_Code]], Metadata_Country!$A:$A, Metadata_Country!$B:$B, "Unknown"), IF(OR(_xlpm.r=0, _xlpm.r=""), "Regional Aggregate", _xlpm.r))</f>
        <v>Regional Aggregate</v>
      </c>
      <c r="G3041" s="4" t="str">
        <f>_xlfn.LET(_xlpm.ig, _xlfn.XLOOKUP(Clean_Data[[#This Row],[Country_Code]], Metadata_Country!$A:$A, Metadata_Country!$C:$C, "Unknown"), IF(OR(_xlpm.ig=0, _xlpm.ig=""), "Regional Aggregate", _xlpm.ig))</f>
        <v>Regional Aggregate</v>
      </c>
      <c r="H3041" s="4">
        <f>Clean_Data[[#This Row],[Exports_TIV]] - Clean_Data[[#This Row],[Imports_TIV]]</f>
        <v>-958000000</v>
      </c>
      <c r="I3041" s="4">
        <f>Clean_Data[[#This Row],[Exports_TIV]] + Clean_Data[[#This Row],[Imports_TIV]]</f>
        <v>958000000</v>
      </c>
    </row>
    <row r="3042" spans="1:9">
      <c r="A3042" s="4" t="s">
        <v>481</v>
      </c>
      <c r="B3042" s="4" t="s">
        <v>482</v>
      </c>
      <c r="C3042" s="5">
        <v>2006</v>
      </c>
      <c r="D3042" s="4">
        <v>0</v>
      </c>
      <c r="E3042" s="4">
        <v>2063000000</v>
      </c>
      <c r="F3042" s="4" t="str">
        <f>_xlfn.LET(_xlpm.r, _xlfn.XLOOKUP(Clean_Data[[#This Row],[Country_Code]], Metadata_Country!$A:$A, Metadata_Country!$B:$B, "Unknown"), IF(OR(_xlpm.r=0, _xlpm.r=""), "Regional Aggregate", _xlpm.r))</f>
        <v>Regional Aggregate</v>
      </c>
      <c r="G3042" s="4" t="str">
        <f>_xlfn.LET(_xlpm.ig, _xlfn.XLOOKUP(Clean_Data[[#This Row],[Country_Code]], Metadata_Country!$A:$A, Metadata_Country!$C:$C, "Unknown"), IF(OR(_xlpm.ig=0, _xlpm.ig=""), "Regional Aggregate", _xlpm.ig))</f>
        <v>Regional Aggregate</v>
      </c>
      <c r="H3042" s="4">
        <f>Clean_Data[[#This Row],[Exports_TIV]] - Clean_Data[[#This Row],[Imports_TIV]]</f>
        <v>-2063000000</v>
      </c>
      <c r="I3042" s="4">
        <f>Clean_Data[[#This Row],[Exports_TIV]] + Clean_Data[[#This Row],[Imports_TIV]]</f>
        <v>2063000000</v>
      </c>
    </row>
    <row r="3043" spans="1:9">
      <c r="A3043" s="4" t="s">
        <v>299</v>
      </c>
      <c r="B3043" s="4" t="s">
        <v>300</v>
      </c>
      <c r="C3043" s="5">
        <v>2006</v>
      </c>
      <c r="D3043" s="4">
        <v>0</v>
      </c>
      <c r="E3043" s="4">
        <v>9000000</v>
      </c>
      <c r="F3043" s="4" t="str">
        <f>_xlfn.LET(_xlpm.r, _xlfn.XLOOKUP(Clean_Data[[#This Row],[Country_Code]], Metadata_Country!$A:$A, Metadata_Country!$B:$B, "Unknown"), IF(OR(_xlpm.r=0, _xlpm.r=""), "Regional Aggregate", _xlpm.r))</f>
        <v>Europe &amp; Central Asia</v>
      </c>
      <c r="G3043" s="4" t="str">
        <f>_xlfn.LET(_xlpm.ig, _xlfn.XLOOKUP(Clean_Data[[#This Row],[Country_Code]], Metadata_Country!$A:$A, Metadata_Country!$C:$C, "Unknown"), IF(OR(_xlpm.ig=0, _xlpm.ig=""), "Regional Aggregate", _xlpm.ig))</f>
        <v>High income</v>
      </c>
      <c r="H3043" s="4">
        <f>Clean_Data[[#This Row],[Exports_TIV]] - Clean_Data[[#This Row],[Imports_TIV]]</f>
        <v>-9000000</v>
      </c>
      <c r="I3043" s="4">
        <f>Clean_Data[[#This Row],[Exports_TIV]] + Clean_Data[[#This Row],[Imports_TIV]]</f>
        <v>9000000</v>
      </c>
    </row>
    <row r="3044" spans="1:9">
      <c r="A3044" s="4" t="s">
        <v>279</v>
      </c>
      <c r="B3044" s="4" t="s">
        <v>280</v>
      </c>
      <c r="C3044" s="5">
        <v>2006</v>
      </c>
      <c r="D3044" s="4">
        <v>0</v>
      </c>
      <c r="E3044" s="4">
        <v>731000000</v>
      </c>
      <c r="F3044" s="4" t="str">
        <f>_xlfn.LET(_xlpm.r, _xlfn.XLOOKUP(Clean_Data[[#This Row],[Country_Code]], Metadata_Country!$A:$A, Metadata_Country!$B:$B, "Unknown"), IF(OR(_xlpm.r=0, _xlpm.r=""), "Regional Aggregate", _xlpm.r))</f>
        <v>Regional Aggregate</v>
      </c>
      <c r="G3044" s="4" t="str">
        <f>_xlfn.LET(_xlpm.ig, _xlfn.XLOOKUP(Clean_Data[[#This Row],[Country_Code]], Metadata_Country!$A:$A, Metadata_Country!$C:$C, "Unknown"), IF(OR(_xlpm.ig=0, _xlpm.ig=""), "Regional Aggregate", _xlpm.ig))</f>
        <v>Regional Aggregate</v>
      </c>
      <c r="H3044" s="4">
        <f>Clean_Data[[#This Row],[Exports_TIV]] - Clean_Data[[#This Row],[Imports_TIV]]</f>
        <v>-731000000</v>
      </c>
      <c r="I3044" s="4">
        <f>Clean_Data[[#This Row],[Exports_TIV]] + Clean_Data[[#This Row],[Imports_TIV]]</f>
        <v>731000000</v>
      </c>
    </row>
    <row r="3045" spans="1:9">
      <c r="A3045" s="4" t="s">
        <v>291</v>
      </c>
      <c r="B3045" s="4" t="s">
        <v>292</v>
      </c>
      <c r="C3045" s="5">
        <v>2006</v>
      </c>
      <c r="D3045" s="4">
        <v>0</v>
      </c>
      <c r="E3045" s="4">
        <v>1000000</v>
      </c>
      <c r="F3045" s="4" t="str">
        <f>_xlfn.LET(_xlpm.r, _xlfn.XLOOKUP(Clean_Data[[#This Row],[Country_Code]], Metadata_Country!$A:$A, Metadata_Country!$B:$B, "Unknown"), IF(OR(_xlpm.r=0, _xlpm.r=""), "Regional Aggregate", _xlpm.r))</f>
        <v>Sub-Saharan Africa</v>
      </c>
      <c r="G3045" s="4" t="str">
        <f>_xlfn.LET(_xlpm.ig, _xlfn.XLOOKUP(Clean_Data[[#This Row],[Country_Code]], Metadata_Country!$A:$A, Metadata_Country!$C:$C, "Unknown"), IF(OR(_xlpm.ig=0, _xlpm.ig=""), "Regional Aggregate", _xlpm.ig))</f>
        <v>Lower middle income</v>
      </c>
      <c r="H3045" s="4">
        <f>Clean_Data[[#This Row],[Exports_TIV]] - Clean_Data[[#This Row],[Imports_TIV]]</f>
        <v>-1000000</v>
      </c>
      <c r="I3045" s="4">
        <f>Clean_Data[[#This Row],[Exports_TIV]] + Clean_Data[[#This Row],[Imports_TIV]]</f>
        <v>1000000</v>
      </c>
    </row>
    <row r="3046" spans="1:9">
      <c r="A3046" s="4" t="s">
        <v>273</v>
      </c>
      <c r="B3046" s="4" t="s">
        <v>274</v>
      </c>
      <c r="C3046" s="5">
        <v>2006</v>
      </c>
      <c r="D3046" s="4">
        <v>18000000</v>
      </c>
      <c r="E3046" s="4">
        <v>16000000</v>
      </c>
      <c r="F3046" s="4" t="str">
        <f>_xlfn.LET(_xlpm.r, _xlfn.XLOOKUP(Clean_Data[[#This Row],[Country_Code]], Metadata_Country!$A:$A, Metadata_Country!$B:$B, "Unknown"), IF(OR(_xlpm.r=0, _xlpm.r=""), "Regional Aggregate", _xlpm.r))</f>
        <v>Middle East &amp; North Africa</v>
      </c>
      <c r="G3046" s="4" t="str">
        <f>_xlfn.LET(_xlpm.ig, _xlfn.XLOOKUP(Clean_Data[[#This Row],[Country_Code]], Metadata_Country!$A:$A, Metadata_Country!$C:$C, "Unknown"), IF(OR(_xlpm.ig=0, _xlpm.ig=""), "Regional Aggregate", _xlpm.ig))</f>
        <v>Upper middle income</v>
      </c>
      <c r="H3046" s="4">
        <f>Clean_Data[[#This Row],[Exports_TIV]] - Clean_Data[[#This Row],[Imports_TIV]]</f>
        <v>2000000</v>
      </c>
      <c r="I3046" s="4">
        <f>Clean_Data[[#This Row],[Exports_TIV]] + Clean_Data[[#This Row],[Imports_TIV]]</f>
        <v>34000000</v>
      </c>
    </row>
    <row r="3047" spans="1:9">
      <c r="A3047" s="4" t="s">
        <v>295</v>
      </c>
      <c r="B3047" s="4" t="s">
        <v>296</v>
      </c>
      <c r="C3047" s="5">
        <v>2006</v>
      </c>
      <c r="D3047" s="4">
        <v>0</v>
      </c>
      <c r="E3047" s="4">
        <v>53000000</v>
      </c>
      <c r="F3047" s="4" t="str">
        <f>_xlfn.LET(_xlpm.r, _xlfn.XLOOKUP(Clean_Data[[#This Row],[Country_Code]], Metadata_Country!$A:$A, Metadata_Country!$B:$B, "Unknown"), IF(OR(_xlpm.r=0, _xlpm.r=""), "Regional Aggregate", _xlpm.r))</f>
        <v>Europe &amp; Central Asia</v>
      </c>
      <c r="G3047" s="4" t="str">
        <f>_xlfn.LET(_xlpm.ig, _xlfn.XLOOKUP(Clean_Data[[#This Row],[Country_Code]], Metadata_Country!$A:$A, Metadata_Country!$C:$C, "Unknown"), IF(OR(_xlpm.ig=0, _xlpm.ig=""), "Regional Aggregate", _xlpm.ig))</f>
        <v>High income</v>
      </c>
      <c r="H3047" s="4">
        <f>Clean_Data[[#This Row],[Exports_TIV]] - Clean_Data[[#This Row],[Imports_TIV]]</f>
        <v>-53000000</v>
      </c>
      <c r="I3047" s="4">
        <f>Clean_Data[[#This Row],[Exports_TIV]] + Clean_Data[[#This Row],[Imports_TIV]]</f>
        <v>53000000</v>
      </c>
    </row>
    <row r="3048" spans="1:9">
      <c r="A3048" s="4" t="s">
        <v>289</v>
      </c>
      <c r="B3048" s="4" t="s">
        <v>290</v>
      </c>
      <c r="C3048" s="5">
        <v>2006</v>
      </c>
      <c r="D3048" s="4">
        <v>2026000000</v>
      </c>
      <c r="E3048" s="4">
        <v>10705000000</v>
      </c>
      <c r="F3048" s="4" t="str">
        <f>_xlfn.LET(_xlpm.r, _xlfn.XLOOKUP(Clean_Data[[#This Row],[Country_Code]], Metadata_Country!$A:$A, Metadata_Country!$B:$B, "Unknown"), IF(OR(_xlpm.r=0, _xlpm.r=""), "Regional Aggregate", _xlpm.r))</f>
        <v>Regional Aggregate</v>
      </c>
      <c r="G3048" s="4" t="str">
        <f>_xlfn.LET(_xlpm.ig, _xlfn.XLOOKUP(Clean_Data[[#This Row],[Country_Code]], Metadata_Country!$A:$A, Metadata_Country!$C:$C, "Unknown"), IF(OR(_xlpm.ig=0, _xlpm.ig=""), "Regional Aggregate", _xlpm.ig))</f>
        <v>Regional Aggregate</v>
      </c>
      <c r="H3048" s="4">
        <f>Clean_Data[[#This Row],[Exports_TIV]] - Clean_Data[[#This Row],[Imports_TIV]]</f>
        <v>-8679000000</v>
      </c>
      <c r="I3048" s="4">
        <f>Clean_Data[[#This Row],[Exports_TIV]] + Clean_Data[[#This Row],[Imports_TIV]]</f>
        <v>12731000000</v>
      </c>
    </row>
    <row r="3049" spans="1:9">
      <c r="A3049" s="4" t="s">
        <v>281</v>
      </c>
      <c r="B3049" s="4" t="s">
        <v>282</v>
      </c>
      <c r="C3049" s="5">
        <v>2006</v>
      </c>
      <c r="D3049" s="4">
        <v>0</v>
      </c>
      <c r="E3049" s="4">
        <v>325000000</v>
      </c>
      <c r="F3049" s="4" t="str">
        <f>_xlfn.LET(_xlpm.r, _xlfn.XLOOKUP(Clean_Data[[#This Row],[Country_Code]], Metadata_Country!$A:$A, Metadata_Country!$B:$B, "Unknown"), IF(OR(_xlpm.r=0, _xlpm.r=""), "Regional Aggregate", _xlpm.r))</f>
        <v>Regional Aggregate</v>
      </c>
      <c r="G3049" s="4" t="str">
        <f>_xlfn.LET(_xlpm.ig, _xlfn.XLOOKUP(Clean_Data[[#This Row],[Country_Code]], Metadata_Country!$A:$A, Metadata_Country!$C:$C, "Unknown"), IF(OR(_xlpm.ig=0, _xlpm.ig=""), "Regional Aggregate", _xlpm.ig))</f>
        <v>Regional Aggregate</v>
      </c>
      <c r="H3049" s="4">
        <f>Clean_Data[[#This Row],[Exports_TIV]] - Clean_Data[[#This Row],[Imports_TIV]]</f>
        <v>-325000000</v>
      </c>
      <c r="I3049" s="4">
        <f>Clean_Data[[#This Row],[Exports_TIV]] + Clean_Data[[#This Row],[Imports_TIV]]</f>
        <v>325000000</v>
      </c>
    </row>
    <row r="3050" spans="1:9">
      <c r="A3050" s="4" t="s">
        <v>287</v>
      </c>
      <c r="B3050" s="4" t="s">
        <v>288</v>
      </c>
      <c r="C3050" s="5">
        <v>2006</v>
      </c>
      <c r="D3050" s="4">
        <v>0</v>
      </c>
      <c r="E3050" s="4">
        <v>3585000000</v>
      </c>
      <c r="F3050" s="4" t="str">
        <f>_xlfn.LET(_xlpm.r, _xlfn.XLOOKUP(Clean_Data[[#This Row],[Country_Code]], Metadata_Country!$A:$A, Metadata_Country!$B:$B, "Unknown"), IF(OR(_xlpm.r=0, _xlpm.r=""), "Regional Aggregate", _xlpm.r))</f>
        <v>Regional Aggregate</v>
      </c>
      <c r="G3050" s="4" t="str">
        <f>_xlfn.LET(_xlpm.ig, _xlfn.XLOOKUP(Clean_Data[[#This Row],[Country_Code]], Metadata_Country!$A:$A, Metadata_Country!$C:$C, "Unknown"), IF(OR(_xlpm.ig=0, _xlpm.ig=""), "Regional Aggregate", _xlpm.ig))</f>
        <v>Regional Aggregate</v>
      </c>
      <c r="H3050" s="4">
        <f>Clean_Data[[#This Row],[Exports_TIV]] - Clean_Data[[#This Row],[Imports_TIV]]</f>
        <v>-3585000000</v>
      </c>
      <c r="I3050" s="4">
        <f>Clean_Data[[#This Row],[Exports_TIV]] + Clean_Data[[#This Row],[Imports_TIV]]</f>
        <v>3585000000</v>
      </c>
    </row>
    <row r="3051" spans="1:9">
      <c r="A3051" s="4" t="s">
        <v>347</v>
      </c>
      <c r="B3051" s="4" t="s">
        <v>348</v>
      </c>
      <c r="C3051" s="5">
        <v>2006</v>
      </c>
      <c r="D3051" s="4">
        <v>0</v>
      </c>
      <c r="E3051" s="4">
        <v>184000000</v>
      </c>
      <c r="F3051" s="4" t="str">
        <f>_xlfn.LET(_xlpm.r, _xlfn.XLOOKUP(Clean_Data[[#This Row],[Country_Code]], Metadata_Country!$A:$A, Metadata_Country!$B:$B, "Unknown"), IF(OR(_xlpm.r=0, _xlpm.r=""), "Regional Aggregate", _xlpm.r))</f>
        <v>East Asia &amp; Pacific</v>
      </c>
      <c r="G3051" s="4" t="str">
        <f>_xlfn.LET(_xlpm.ig, _xlfn.XLOOKUP(Clean_Data[[#This Row],[Country_Code]], Metadata_Country!$A:$A, Metadata_Country!$C:$C, "Unknown"), IF(OR(_xlpm.ig=0, _xlpm.ig=""), "Regional Aggregate", _xlpm.ig))</f>
        <v>Upper middle income</v>
      </c>
      <c r="H3051" s="4">
        <f>Clean_Data[[#This Row],[Exports_TIV]] - Clean_Data[[#This Row],[Imports_TIV]]</f>
        <v>-184000000</v>
      </c>
      <c r="I3051" s="4">
        <f>Clean_Data[[#This Row],[Exports_TIV]] + Clean_Data[[#This Row],[Imports_TIV]]</f>
        <v>184000000</v>
      </c>
    </row>
    <row r="3052" spans="1:9">
      <c r="A3052" s="4" t="s">
        <v>313</v>
      </c>
      <c r="B3052" s="4" t="s">
        <v>314</v>
      </c>
      <c r="C3052" s="5">
        <v>2006</v>
      </c>
      <c r="D3052" s="4">
        <v>0</v>
      </c>
      <c r="E3052" s="4">
        <v>15000000</v>
      </c>
      <c r="F3052" s="4" t="str">
        <f>_xlfn.LET(_xlpm.r, _xlfn.XLOOKUP(Clean_Data[[#This Row],[Country_Code]], Metadata_Country!$A:$A, Metadata_Country!$B:$B, "Unknown"), IF(OR(_xlpm.r=0, _xlpm.r=""), "Regional Aggregate", _xlpm.r))</f>
        <v>South Asia</v>
      </c>
      <c r="G3052" s="4" t="str">
        <f>_xlfn.LET(_xlpm.ig, _xlfn.XLOOKUP(Clean_Data[[#This Row],[Country_Code]], Metadata_Country!$A:$A, Metadata_Country!$C:$C, "Unknown"), IF(OR(_xlpm.ig=0, _xlpm.ig=""), "Regional Aggregate", _xlpm.ig))</f>
        <v>Upper middle income</v>
      </c>
      <c r="H3052" s="4">
        <f>Clean_Data[[#This Row],[Exports_TIV]] - Clean_Data[[#This Row],[Imports_TIV]]</f>
        <v>-15000000</v>
      </c>
      <c r="I3052" s="4">
        <f>Clean_Data[[#This Row],[Exports_TIV]] + Clean_Data[[#This Row],[Imports_TIV]]</f>
        <v>15000000</v>
      </c>
    </row>
    <row r="3053" spans="1:9">
      <c r="A3053" s="4" t="s">
        <v>317</v>
      </c>
      <c r="B3053" s="4" t="s">
        <v>318</v>
      </c>
      <c r="C3053" s="5">
        <v>2006</v>
      </c>
      <c r="D3053" s="4">
        <v>0</v>
      </c>
      <c r="E3053" s="4">
        <v>78000000</v>
      </c>
      <c r="F3053" s="4" t="str">
        <f>_xlfn.LET(_xlpm.r, _xlfn.XLOOKUP(Clean_Data[[#This Row],[Country_Code]], Metadata_Country!$A:$A, Metadata_Country!$B:$B, "Unknown"), IF(OR(_xlpm.r=0, _xlpm.r=""), "Regional Aggregate", _xlpm.r))</f>
        <v>Latin America &amp; Caribbean</v>
      </c>
      <c r="G3053" s="4" t="str">
        <f>_xlfn.LET(_xlpm.ig, _xlfn.XLOOKUP(Clean_Data[[#This Row],[Country_Code]], Metadata_Country!$A:$A, Metadata_Country!$C:$C, "Unknown"), IF(OR(_xlpm.ig=0, _xlpm.ig=""), "Regional Aggregate", _xlpm.ig))</f>
        <v>Upper middle income</v>
      </c>
      <c r="H3053" s="4">
        <f>Clean_Data[[#This Row],[Exports_TIV]] - Clean_Data[[#This Row],[Imports_TIV]]</f>
        <v>-78000000</v>
      </c>
      <c r="I3053" s="4">
        <f>Clean_Data[[#This Row],[Exports_TIV]] + Clean_Data[[#This Row],[Imports_TIV]]</f>
        <v>78000000</v>
      </c>
    </row>
    <row r="3054" spans="1:9">
      <c r="A3054" s="4" t="s">
        <v>315</v>
      </c>
      <c r="B3054" s="4" t="s">
        <v>316</v>
      </c>
      <c r="C3054" s="5">
        <v>2006</v>
      </c>
      <c r="D3054" s="4">
        <v>0</v>
      </c>
      <c r="E3054" s="4">
        <v>5956000000</v>
      </c>
      <c r="F3054" s="4" t="str">
        <f>_xlfn.LET(_xlpm.r, _xlfn.XLOOKUP(Clean_Data[[#This Row],[Country_Code]], Metadata_Country!$A:$A, Metadata_Country!$B:$B, "Unknown"), IF(OR(_xlpm.r=0, _xlpm.r=""), "Regional Aggregate", _xlpm.r))</f>
        <v>Regional Aggregate</v>
      </c>
      <c r="G3054" s="4" t="str">
        <f>_xlfn.LET(_xlpm.ig, _xlfn.XLOOKUP(Clean_Data[[#This Row],[Country_Code]], Metadata_Country!$A:$A, Metadata_Country!$C:$C, "Unknown"), IF(OR(_xlpm.ig=0, _xlpm.ig=""), "Regional Aggregate", _xlpm.ig))</f>
        <v>Regional Aggregate</v>
      </c>
      <c r="H3054" s="4">
        <f>Clean_Data[[#This Row],[Exports_TIV]] - Clean_Data[[#This Row],[Imports_TIV]]</f>
        <v>-5956000000</v>
      </c>
      <c r="I3054" s="4">
        <f>Clean_Data[[#This Row],[Exports_TIV]] + Clean_Data[[#This Row],[Imports_TIV]]</f>
        <v>5956000000</v>
      </c>
    </row>
    <row r="3055" spans="1:9">
      <c r="A3055" s="4" t="s">
        <v>331</v>
      </c>
      <c r="B3055" s="4" t="s">
        <v>332</v>
      </c>
      <c r="C3055" s="5">
        <v>2006</v>
      </c>
      <c r="D3055" s="4">
        <v>0</v>
      </c>
      <c r="E3055" s="4">
        <v>2334000000</v>
      </c>
      <c r="F3055" s="4" t="str">
        <f>_xlfn.LET(_xlpm.r, _xlfn.XLOOKUP(Clean_Data[[#This Row],[Country_Code]], Metadata_Country!$A:$A, Metadata_Country!$B:$B, "Unknown"), IF(OR(_xlpm.r=0, _xlpm.r=""), "Regional Aggregate", _xlpm.r))</f>
        <v>Regional Aggregate</v>
      </c>
      <c r="G3055" s="4" t="str">
        <f>_xlfn.LET(_xlpm.ig, _xlfn.XLOOKUP(Clean_Data[[#This Row],[Country_Code]], Metadata_Country!$A:$A, Metadata_Country!$C:$C, "Unknown"), IF(OR(_xlpm.ig=0, _xlpm.ig=""), "Regional Aggregate", _xlpm.ig))</f>
        <v>Regional Aggregate</v>
      </c>
      <c r="H3055" s="4">
        <f>Clean_Data[[#This Row],[Exports_TIV]] - Clean_Data[[#This Row],[Imports_TIV]]</f>
        <v>-2334000000</v>
      </c>
      <c r="I3055" s="4">
        <f>Clean_Data[[#This Row],[Exports_TIV]] + Clean_Data[[#This Row],[Imports_TIV]]</f>
        <v>2334000000</v>
      </c>
    </row>
    <row r="3056" spans="1:9">
      <c r="A3056" s="4" t="s">
        <v>485</v>
      </c>
      <c r="B3056" s="4" t="s">
        <v>486</v>
      </c>
      <c r="C3056" s="5">
        <v>2006</v>
      </c>
      <c r="D3056" s="4">
        <v>0</v>
      </c>
      <c r="E3056" s="4">
        <v>2334000000</v>
      </c>
      <c r="F3056" s="4" t="str">
        <f>_xlfn.LET(_xlpm.r, _xlfn.XLOOKUP(Clean_Data[[#This Row],[Country_Code]], Metadata_Country!$A:$A, Metadata_Country!$B:$B, "Unknown"), IF(OR(_xlpm.r=0, _xlpm.r=""), "Regional Aggregate", _xlpm.r))</f>
        <v>Regional Aggregate</v>
      </c>
      <c r="G3056" s="4" t="str">
        <f>_xlfn.LET(_xlpm.ig, _xlfn.XLOOKUP(Clean_Data[[#This Row],[Country_Code]], Metadata_Country!$A:$A, Metadata_Country!$C:$C, "Unknown"), IF(OR(_xlpm.ig=0, _xlpm.ig=""), "Regional Aggregate", _xlpm.ig))</f>
        <v>Regional Aggregate</v>
      </c>
      <c r="H3056" s="4">
        <f>Clean_Data[[#This Row],[Exports_TIV]] - Clean_Data[[#This Row],[Imports_TIV]]</f>
        <v>-2334000000</v>
      </c>
      <c r="I3056" s="4">
        <f>Clean_Data[[#This Row],[Exports_TIV]] + Clean_Data[[#This Row],[Imports_TIV]]</f>
        <v>2334000000</v>
      </c>
    </row>
    <row r="3057" spans="1:9">
      <c r="A3057" s="4" t="s">
        <v>321</v>
      </c>
      <c r="B3057" s="4" t="s">
        <v>322</v>
      </c>
      <c r="C3057" s="5">
        <v>2006</v>
      </c>
      <c r="D3057" s="4">
        <v>2008000000</v>
      </c>
      <c r="E3057" s="4">
        <v>10380000000</v>
      </c>
      <c r="F3057" s="4" t="str">
        <f>_xlfn.LET(_xlpm.r, _xlfn.XLOOKUP(Clean_Data[[#This Row],[Country_Code]], Metadata_Country!$A:$A, Metadata_Country!$B:$B, "Unknown"), IF(OR(_xlpm.r=0, _xlpm.r=""), "Regional Aggregate", _xlpm.r))</f>
        <v>Regional Aggregate</v>
      </c>
      <c r="G3057" s="4" t="str">
        <f>_xlfn.LET(_xlpm.ig, _xlfn.XLOOKUP(Clean_Data[[#This Row],[Country_Code]], Metadata_Country!$A:$A, Metadata_Country!$C:$C, "Unknown"), IF(OR(_xlpm.ig=0, _xlpm.ig=""), "Regional Aggregate", _xlpm.ig))</f>
        <v>Regional Aggregate</v>
      </c>
      <c r="H3057" s="4">
        <f>Clean_Data[[#This Row],[Exports_TIV]] - Clean_Data[[#This Row],[Imports_TIV]]</f>
        <v>-8372000000</v>
      </c>
      <c r="I3057" s="4">
        <f>Clean_Data[[#This Row],[Exports_TIV]] + Clean_Data[[#This Row],[Imports_TIV]]</f>
        <v>12388000000</v>
      </c>
    </row>
    <row r="3058" spans="1:9">
      <c r="A3058" s="4" t="s">
        <v>309</v>
      </c>
      <c r="B3058" s="4" t="s">
        <v>310</v>
      </c>
      <c r="C3058" s="5">
        <v>2006</v>
      </c>
      <c r="D3058" s="4">
        <v>3000000</v>
      </c>
      <c r="E3058" s="4">
        <v>0</v>
      </c>
      <c r="F3058" s="4" t="str">
        <f>_xlfn.LET(_xlpm.r, _xlfn.XLOOKUP(Clean_Data[[#This Row],[Country_Code]], Metadata_Country!$A:$A, Metadata_Country!$B:$B, "Unknown"), IF(OR(_xlpm.r=0, _xlpm.r=""), "Regional Aggregate", _xlpm.r))</f>
        <v>Europe &amp; Central Asia</v>
      </c>
      <c r="G3058" s="4" t="str">
        <f>_xlfn.LET(_xlpm.ig, _xlfn.XLOOKUP(Clean_Data[[#This Row],[Country_Code]], Metadata_Country!$A:$A, Metadata_Country!$C:$C, "Unknown"), IF(OR(_xlpm.ig=0, _xlpm.ig=""), "Regional Aggregate", _xlpm.ig))</f>
        <v>Upper middle income</v>
      </c>
      <c r="H3058" s="4">
        <f>Clean_Data[[#This Row],[Exports_TIV]] - Clean_Data[[#This Row],[Imports_TIV]]</f>
        <v>3000000</v>
      </c>
      <c r="I3058" s="4">
        <f>Clean_Data[[#This Row],[Exports_TIV]] + Clean_Data[[#This Row],[Imports_TIV]]</f>
        <v>3000000</v>
      </c>
    </row>
    <row r="3059" spans="1:9">
      <c r="A3059" s="4" t="s">
        <v>333</v>
      </c>
      <c r="B3059" s="4" t="s">
        <v>334</v>
      </c>
      <c r="C3059" s="5">
        <v>2006</v>
      </c>
      <c r="D3059" s="4">
        <v>71000000</v>
      </c>
      <c r="E3059" s="4">
        <v>0</v>
      </c>
      <c r="F3059" s="4" t="str">
        <f>_xlfn.LET(_xlpm.r, _xlfn.XLOOKUP(Clean_Data[[#This Row],[Country_Code]], Metadata_Country!$A:$A, Metadata_Country!$B:$B, "Unknown"), IF(OR(_xlpm.r=0, _xlpm.r=""), "Regional Aggregate", _xlpm.r))</f>
        <v>Europe &amp; Central Asia</v>
      </c>
      <c r="G3059" s="4" t="str">
        <f>_xlfn.LET(_xlpm.ig, _xlfn.XLOOKUP(Clean_Data[[#This Row],[Country_Code]], Metadata_Country!$A:$A, Metadata_Country!$C:$C, "Unknown"), IF(OR(_xlpm.ig=0, _xlpm.ig=""), "Regional Aggregate", _xlpm.ig))</f>
        <v>Upper middle income</v>
      </c>
      <c r="H3059" s="4">
        <f>Clean_Data[[#This Row],[Exports_TIV]] - Clean_Data[[#This Row],[Imports_TIV]]</f>
        <v>71000000</v>
      </c>
      <c r="I3059" s="4">
        <f>Clean_Data[[#This Row],[Exports_TIV]] + Clean_Data[[#This Row],[Imports_TIV]]</f>
        <v>71000000</v>
      </c>
    </row>
    <row r="3060" spans="1:9">
      <c r="A3060" s="4" t="s">
        <v>305</v>
      </c>
      <c r="B3060" s="4" t="s">
        <v>306</v>
      </c>
      <c r="C3060" s="5">
        <v>2006</v>
      </c>
      <c r="D3060" s="4">
        <v>0</v>
      </c>
      <c r="E3060" s="4">
        <v>47000000</v>
      </c>
      <c r="F3060" s="4" t="str">
        <f>_xlfn.LET(_xlpm.r, _xlfn.XLOOKUP(Clean_Data[[#This Row],[Country_Code]], Metadata_Country!$A:$A, Metadata_Country!$B:$B, "Unknown"), IF(OR(_xlpm.r=0, _xlpm.r=""), "Regional Aggregate", _xlpm.r))</f>
        <v>Middle East &amp; North Africa</v>
      </c>
      <c r="G3060" s="4" t="str">
        <f>_xlfn.LET(_xlpm.ig, _xlfn.XLOOKUP(Clean_Data[[#This Row],[Country_Code]], Metadata_Country!$A:$A, Metadata_Country!$C:$C, "Unknown"), IF(OR(_xlpm.ig=0, _xlpm.ig=""), "Regional Aggregate", _xlpm.ig))</f>
        <v>Lower middle income</v>
      </c>
      <c r="H3060" s="4">
        <f>Clean_Data[[#This Row],[Exports_TIV]] - Clean_Data[[#This Row],[Imports_TIV]]</f>
        <v>-47000000</v>
      </c>
      <c r="I3060" s="4">
        <f>Clean_Data[[#This Row],[Exports_TIV]] + Clean_Data[[#This Row],[Imports_TIV]]</f>
        <v>47000000</v>
      </c>
    </row>
    <row r="3061" spans="1:9">
      <c r="A3061" s="4" t="s">
        <v>329</v>
      </c>
      <c r="B3061" s="4" t="s">
        <v>330</v>
      </c>
      <c r="C3061" s="5">
        <v>2006</v>
      </c>
      <c r="D3061" s="4">
        <v>0</v>
      </c>
      <c r="E3061" s="4">
        <v>206000000</v>
      </c>
      <c r="F3061" s="4" t="str">
        <f>_xlfn.LET(_xlpm.r, _xlfn.XLOOKUP(Clean_Data[[#This Row],[Country_Code]], Metadata_Country!$A:$A, Metadata_Country!$B:$B, "Unknown"), IF(OR(_xlpm.r=0, _xlpm.r=""), "Regional Aggregate", _xlpm.r))</f>
        <v>East Asia &amp; Pacific</v>
      </c>
      <c r="G3061" s="4" t="str">
        <f>_xlfn.LET(_xlpm.ig, _xlfn.XLOOKUP(Clean_Data[[#This Row],[Country_Code]], Metadata_Country!$A:$A, Metadata_Country!$C:$C, "Unknown"), IF(OR(_xlpm.ig=0, _xlpm.ig=""), "Regional Aggregate", _xlpm.ig))</f>
        <v>Lower middle income</v>
      </c>
      <c r="H3061" s="4">
        <f>Clean_Data[[#This Row],[Exports_TIV]] - Clean_Data[[#This Row],[Imports_TIV]]</f>
        <v>-206000000</v>
      </c>
      <c r="I3061" s="4">
        <f>Clean_Data[[#This Row],[Exports_TIV]] + Clean_Data[[#This Row],[Imports_TIV]]</f>
        <v>206000000</v>
      </c>
    </row>
    <row r="3062" spans="1:9">
      <c r="A3062" s="4" t="s">
        <v>351</v>
      </c>
      <c r="B3062" s="4" t="s">
        <v>352</v>
      </c>
      <c r="C3062" s="5">
        <v>2006</v>
      </c>
      <c r="D3062" s="4">
        <v>0</v>
      </c>
      <c r="E3062" s="4">
        <v>75000000</v>
      </c>
      <c r="F3062" s="4" t="str">
        <f>_xlfn.LET(_xlpm.r, _xlfn.XLOOKUP(Clean_Data[[#This Row],[Country_Code]], Metadata_Country!$A:$A, Metadata_Country!$B:$B, "Unknown"), IF(OR(_xlpm.r=0, _xlpm.r=""), "Regional Aggregate", _xlpm.r))</f>
        <v>Sub-Saharan Africa</v>
      </c>
      <c r="G3062" s="4" t="str">
        <f>_xlfn.LET(_xlpm.ig, _xlfn.XLOOKUP(Clean_Data[[#This Row],[Country_Code]], Metadata_Country!$A:$A, Metadata_Country!$C:$C, "Unknown"), IF(OR(_xlpm.ig=0, _xlpm.ig=""), "Regional Aggregate", _xlpm.ig))</f>
        <v>Lower middle income</v>
      </c>
      <c r="H3062" s="4">
        <f>Clean_Data[[#This Row],[Exports_TIV]] - Clean_Data[[#This Row],[Imports_TIV]]</f>
        <v>-75000000</v>
      </c>
      <c r="I3062" s="4">
        <f>Clean_Data[[#This Row],[Exports_TIV]] + Clean_Data[[#This Row],[Imports_TIV]]</f>
        <v>75000000</v>
      </c>
    </row>
    <row r="3063" spans="1:9">
      <c r="A3063" s="4" t="s">
        <v>361</v>
      </c>
      <c r="B3063" s="4" t="s">
        <v>362</v>
      </c>
      <c r="C3063" s="5">
        <v>2006</v>
      </c>
      <c r="D3063" s="4">
        <v>1147000000</v>
      </c>
      <c r="E3063" s="4">
        <v>304000000</v>
      </c>
      <c r="F3063" s="4" t="str">
        <f>_xlfn.LET(_xlpm.r, _xlfn.XLOOKUP(Clean_Data[[#This Row],[Country_Code]], Metadata_Country!$A:$A, Metadata_Country!$B:$B, "Unknown"), IF(OR(_xlpm.r=0, _xlpm.r=""), "Regional Aggregate", _xlpm.r))</f>
        <v>Europe &amp; Central Asia</v>
      </c>
      <c r="G3063" s="4" t="str">
        <f>_xlfn.LET(_xlpm.ig, _xlfn.XLOOKUP(Clean_Data[[#This Row],[Country_Code]], Metadata_Country!$A:$A, Metadata_Country!$C:$C, "Unknown"), IF(OR(_xlpm.ig=0, _xlpm.ig=""), "Regional Aggregate", _xlpm.ig))</f>
        <v>High income</v>
      </c>
      <c r="H3063" s="4">
        <f>Clean_Data[[#This Row],[Exports_TIV]] - Clean_Data[[#This Row],[Imports_TIV]]</f>
        <v>843000000</v>
      </c>
      <c r="I3063" s="4">
        <f>Clean_Data[[#This Row],[Exports_TIV]] + Clean_Data[[#This Row],[Imports_TIV]]</f>
        <v>1451000000</v>
      </c>
    </row>
    <row r="3064" spans="1:9">
      <c r="A3064" s="4" t="s">
        <v>369</v>
      </c>
      <c r="B3064" s="4" t="s">
        <v>370</v>
      </c>
      <c r="C3064" s="5">
        <v>2006</v>
      </c>
      <c r="D3064" s="4">
        <v>0</v>
      </c>
      <c r="E3064" s="4">
        <v>6000000</v>
      </c>
      <c r="F3064" s="4" t="str">
        <f>_xlfn.LET(_xlpm.r, _xlfn.XLOOKUP(Clean_Data[[#This Row],[Country_Code]], Metadata_Country!$A:$A, Metadata_Country!$B:$B, "Unknown"), IF(OR(_xlpm.r=0, _xlpm.r=""), "Regional Aggregate", _xlpm.r))</f>
        <v>East Asia &amp; Pacific</v>
      </c>
      <c r="G3064" s="4" t="str">
        <f>_xlfn.LET(_xlpm.ig, _xlfn.XLOOKUP(Clean_Data[[#This Row],[Country_Code]], Metadata_Country!$A:$A, Metadata_Country!$C:$C, "Unknown"), IF(OR(_xlpm.ig=0, _xlpm.ig=""), "Regional Aggregate", _xlpm.ig))</f>
        <v>High income</v>
      </c>
      <c r="H3064" s="4">
        <f>Clean_Data[[#This Row],[Exports_TIV]] - Clean_Data[[#This Row],[Imports_TIV]]</f>
        <v>-6000000</v>
      </c>
      <c r="I3064" s="4">
        <f>Clean_Data[[#This Row],[Exports_TIV]] + Clean_Data[[#This Row],[Imports_TIV]]</f>
        <v>6000000</v>
      </c>
    </row>
    <row r="3065" spans="1:9">
      <c r="A3065" s="4" t="s">
        <v>357</v>
      </c>
      <c r="B3065" s="4" t="s">
        <v>358</v>
      </c>
      <c r="C3065" s="5">
        <v>2006</v>
      </c>
      <c r="D3065" s="4">
        <v>0</v>
      </c>
      <c r="E3065" s="4">
        <v>16000000</v>
      </c>
      <c r="F3065" s="4" t="str">
        <f>_xlfn.LET(_xlpm.r, _xlfn.XLOOKUP(Clean_Data[[#This Row],[Country_Code]], Metadata_Country!$A:$A, Metadata_Country!$B:$B, "Unknown"), IF(OR(_xlpm.r=0, _xlpm.r=""), "Regional Aggregate", _xlpm.r))</f>
        <v>Sub-Saharan Africa</v>
      </c>
      <c r="G3065" s="4" t="str">
        <f>_xlfn.LET(_xlpm.ig, _xlfn.XLOOKUP(Clean_Data[[#This Row],[Country_Code]], Metadata_Country!$A:$A, Metadata_Country!$C:$C, "Unknown"), IF(OR(_xlpm.ig=0, _xlpm.ig=""), "Regional Aggregate", _xlpm.ig))</f>
        <v>Lower middle income</v>
      </c>
      <c r="H3065" s="4">
        <f>Clean_Data[[#This Row],[Exports_TIV]] - Clean_Data[[#This Row],[Imports_TIV]]</f>
        <v>-16000000</v>
      </c>
      <c r="I3065" s="4">
        <f>Clean_Data[[#This Row],[Exports_TIV]] + Clean_Data[[#This Row],[Imports_TIV]]</f>
        <v>16000000</v>
      </c>
    </row>
    <row r="3066" spans="1:9">
      <c r="A3066" s="4" t="s">
        <v>349</v>
      </c>
      <c r="B3066" s="4" t="s">
        <v>350</v>
      </c>
      <c r="C3066" s="5">
        <v>2006</v>
      </c>
      <c r="D3066" s="4">
        <v>7751000000</v>
      </c>
      <c r="E3066" s="4">
        <v>803000000</v>
      </c>
      <c r="F3066" s="4" t="str">
        <f>_xlfn.LET(_xlpm.r, _xlfn.XLOOKUP(Clean_Data[[#This Row],[Country_Code]], Metadata_Country!$A:$A, Metadata_Country!$B:$B, "Unknown"), IF(OR(_xlpm.r=0, _xlpm.r=""), "Regional Aggregate", _xlpm.r))</f>
        <v>Regional Aggregate</v>
      </c>
      <c r="G3066" s="4" t="str">
        <f>_xlfn.LET(_xlpm.ig, _xlfn.XLOOKUP(Clean_Data[[#This Row],[Country_Code]], Metadata_Country!$A:$A, Metadata_Country!$C:$C, "Unknown"), IF(OR(_xlpm.ig=0, _xlpm.ig=""), "Regional Aggregate", _xlpm.ig))</f>
        <v>Regional Aggregate</v>
      </c>
      <c r="H3066" s="4">
        <f>Clean_Data[[#This Row],[Exports_TIV]] - Clean_Data[[#This Row],[Imports_TIV]]</f>
        <v>6948000000</v>
      </c>
      <c r="I3066" s="4">
        <f>Clean_Data[[#This Row],[Exports_TIV]] + Clean_Data[[#This Row],[Imports_TIV]]</f>
        <v>8554000000</v>
      </c>
    </row>
    <row r="3067" spans="1:9">
      <c r="A3067" s="4" t="s">
        <v>323</v>
      </c>
      <c r="B3067" s="4" t="s">
        <v>324</v>
      </c>
      <c r="C3067" s="5">
        <v>2006</v>
      </c>
      <c r="D3067" s="4">
        <v>0</v>
      </c>
      <c r="E3067" s="4">
        <v>0</v>
      </c>
      <c r="F3067" s="4" t="str">
        <f>_xlfn.LET(_xlpm.r, _xlfn.XLOOKUP(Clean_Data[[#This Row],[Country_Code]], Metadata_Country!$A:$A, Metadata_Country!$B:$B, "Unknown"), IF(OR(_xlpm.r=0, _xlpm.r=""), "Regional Aggregate", _xlpm.r))</f>
        <v>Europe &amp; Central Asia</v>
      </c>
      <c r="G3067" s="4" t="str">
        <f>_xlfn.LET(_xlpm.ig, _xlfn.XLOOKUP(Clean_Data[[#This Row],[Country_Code]], Metadata_Country!$A:$A, Metadata_Country!$C:$C, "Unknown"), IF(OR(_xlpm.ig=0, _xlpm.ig=""), "Regional Aggregate", _xlpm.ig))</f>
        <v>Upper middle income</v>
      </c>
      <c r="H3067" s="4">
        <f>Clean_Data[[#This Row],[Exports_TIV]] - Clean_Data[[#This Row],[Imports_TIV]]</f>
        <v>0</v>
      </c>
      <c r="I3067" s="4">
        <f>Clean_Data[[#This Row],[Exports_TIV]] + Clean_Data[[#This Row],[Imports_TIV]]</f>
        <v>0</v>
      </c>
    </row>
    <row r="3068" spans="1:9">
      <c r="A3068" s="4" t="s">
        <v>363</v>
      </c>
      <c r="B3068" s="4" t="s">
        <v>364</v>
      </c>
      <c r="C3068" s="5">
        <v>2006</v>
      </c>
      <c r="D3068" s="4">
        <v>14000000</v>
      </c>
      <c r="E3068" s="4">
        <v>559000000</v>
      </c>
      <c r="F3068" s="4" t="str">
        <f>_xlfn.LET(_xlpm.r, _xlfn.XLOOKUP(Clean_Data[[#This Row],[Country_Code]], Metadata_Country!$A:$A, Metadata_Country!$B:$B, "Unknown"), IF(OR(_xlpm.r=0, _xlpm.r=""), "Regional Aggregate", _xlpm.r))</f>
        <v>Europe &amp; Central Asia</v>
      </c>
      <c r="G3068" s="4" t="str">
        <f>_xlfn.LET(_xlpm.ig, _xlfn.XLOOKUP(Clean_Data[[#This Row],[Country_Code]], Metadata_Country!$A:$A, Metadata_Country!$C:$C, "Unknown"), IF(OR(_xlpm.ig=0, _xlpm.ig=""), "Regional Aggregate", _xlpm.ig))</f>
        <v>High income</v>
      </c>
      <c r="H3068" s="4">
        <f>Clean_Data[[#This Row],[Exports_TIV]] - Clean_Data[[#This Row],[Imports_TIV]]</f>
        <v>-545000000</v>
      </c>
      <c r="I3068" s="4">
        <f>Clean_Data[[#This Row],[Exports_TIV]] + Clean_Data[[#This Row],[Imports_TIV]]</f>
        <v>573000000</v>
      </c>
    </row>
    <row r="3069" spans="1:9">
      <c r="A3069" s="4" t="s">
        <v>371</v>
      </c>
      <c r="B3069" s="4" t="s">
        <v>372</v>
      </c>
      <c r="C3069" s="5">
        <v>2006</v>
      </c>
      <c r="D3069" s="4">
        <v>17333000000</v>
      </c>
      <c r="E3069" s="4">
        <v>11154000000</v>
      </c>
      <c r="F3069" s="4" t="str">
        <f>_xlfn.LET(_xlpm.r, _xlfn.XLOOKUP(Clean_Data[[#This Row],[Country_Code]], Metadata_Country!$A:$A, Metadata_Country!$B:$B, "Unknown"), IF(OR(_xlpm.r=0, _xlpm.r=""), "Regional Aggregate", _xlpm.r))</f>
        <v>Regional Aggregate</v>
      </c>
      <c r="G3069" s="4" t="str">
        <f>_xlfn.LET(_xlpm.ig, _xlfn.XLOOKUP(Clean_Data[[#This Row],[Country_Code]], Metadata_Country!$A:$A, Metadata_Country!$C:$C, "Unknown"), IF(OR(_xlpm.ig=0, _xlpm.ig=""), "Regional Aggregate", _xlpm.ig))</f>
        <v>Regional Aggregate</v>
      </c>
      <c r="H3069" s="4">
        <f>Clean_Data[[#This Row],[Exports_TIV]] - Clean_Data[[#This Row],[Imports_TIV]]</f>
        <v>6179000000</v>
      </c>
      <c r="I3069" s="4">
        <f>Clean_Data[[#This Row],[Exports_TIV]] + Clean_Data[[#This Row],[Imports_TIV]]</f>
        <v>28487000000</v>
      </c>
    </row>
    <row r="3070" spans="1:9">
      <c r="A3070" s="4" t="s">
        <v>373</v>
      </c>
      <c r="B3070" s="4" t="s">
        <v>374</v>
      </c>
      <c r="C3070" s="5">
        <v>2006</v>
      </c>
      <c r="D3070" s="4">
        <v>0</v>
      </c>
      <c r="E3070" s="4">
        <v>297000000</v>
      </c>
      <c r="F3070" s="4" t="str">
        <f>_xlfn.LET(_xlpm.r, _xlfn.XLOOKUP(Clean_Data[[#This Row],[Country_Code]], Metadata_Country!$A:$A, Metadata_Country!$B:$B, "Unknown"), IF(OR(_xlpm.r=0, _xlpm.r=""), "Regional Aggregate", _xlpm.r))</f>
        <v>Middle East &amp; North Africa</v>
      </c>
      <c r="G3070" s="4" t="str">
        <f>_xlfn.LET(_xlpm.ig, _xlfn.XLOOKUP(Clean_Data[[#This Row],[Country_Code]], Metadata_Country!$A:$A, Metadata_Country!$C:$C, "Unknown"), IF(OR(_xlpm.ig=0, _xlpm.ig=""), "Regional Aggregate", _xlpm.ig))</f>
        <v>High income</v>
      </c>
      <c r="H3070" s="4">
        <f>Clean_Data[[#This Row],[Exports_TIV]] - Clean_Data[[#This Row],[Imports_TIV]]</f>
        <v>-297000000</v>
      </c>
      <c r="I3070" s="4">
        <f>Clean_Data[[#This Row],[Exports_TIV]] + Clean_Data[[#This Row],[Imports_TIV]]</f>
        <v>297000000</v>
      </c>
    </row>
    <row r="3071" spans="1:9">
      <c r="A3071" s="4" t="s">
        <v>377</v>
      </c>
      <c r="B3071" s="4" t="s">
        <v>378</v>
      </c>
      <c r="C3071" s="5">
        <v>2006</v>
      </c>
      <c r="D3071" s="4">
        <v>4000000</v>
      </c>
      <c r="E3071" s="4">
        <v>324000000</v>
      </c>
      <c r="F3071" s="4" t="str">
        <f>_xlfn.LET(_xlpm.r, _xlfn.XLOOKUP(Clean_Data[[#This Row],[Country_Code]], Metadata_Country!$A:$A, Metadata_Country!$B:$B, "Unknown"), IF(OR(_xlpm.r=0, _xlpm.r=""), "Regional Aggregate", _xlpm.r))</f>
        <v>Middle East &amp; North Africa</v>
      </c>
      <c r="G3071" s="4" t="str">
        <f>_xlfn.LET(_xlpm.ig, _xlfn.XLOOKUP(Clean_Data[[#This Row],[Country_Code]], Metadata_Country!$A:$A, Metadata_Country!$C:$C, "Unknown"), IF(OR(_xlpm.ig=0, _xlpm.ig=""), "Regional Aggregate", _xlpm.ig))</f>
        <v>Lower middle income</v>
      </c>
      <c r="H3071" s="4">
        <f>Clean_Data[[#This Row],[Exports_TIV]] - Clean_Data[[#This Row],[Imports_TIV]]</f>
        <v>-320000000</v>
      </c>
      <c r="I3071" s="4">
        <f>Clean_Data[[#This Row],[Exports_TIV]] + Clean_Data[[#This Row],[Imports_TIV]]</f>
        <v>328000000</v>
      </c>
    </row>
    <row r="3072" spans="1:9">
      <c r="A3072" s="4" t="s">
        <v>381</v>
      </c>
      <c r="B3072" s="4" t="s">
        <v>382</v>
      </c>
      <c r="C3072" s="5">
        <v>2006</v>
      </c>
      <c r="D3072" s="4">
        <v>0</v>
      </c>
      <c r="E3072" s="4">
        <v>193000000</v>
      </c>
      <c r="F3072" s="4" t="str">
        <f>_xlfn.LET(_xlpm.r, _xlfn.XLOOKUP(Clean_Data[[#This Row],[Country_Code]], Metadata_Country!$A:$A, Metadata_Country!$B:$B, "Unknown"), IF(OR(_xlpm.r=0, _xlpm.r=""), "Regional Aggregate", _xlpm.r))</f>
        <v>Latin America &amp; Caribbean</v>
      </c>
      <c r="G3072" s="4" t="str">
        <f>_xlfn.LET(_xlpm.ig, _xlfn.XLOOKUP(Clean_Data[[#This Row],[Country_Code]], Metadata_Country!$A:$A, Metadata_Country!$C:$C, "Unknown"), IF(OR(_xlpm.ig=0, _xlpm.ig=""), "Regional Aggregate", _xlpm.ig))</f>
        <v>Upper middle income</v>
      </c>
      <c r="H3072" s="4">
        <f>Clean_Data[[#This Row],[Exports_TIV]] - Clean_Data[[#This Row],[Imports_TIV]]</f>
        <v>-193000000</v>
      </c>
      <c r="I3072" s="4">
        <f>Clean_Data[[#This Row],[Exports_TIV]] + Clean_Data[[#This Row],[Imports_TIV]]</f>
        <v>193000000</v>
      </c>
    </row>
    <row r="3073" spans="1:9">
      <c r="A3073" s="4" t="s">
        <v>383</v>
      </c>
      <c r="B3073" s="4" t="s">
        <v>384</v>
      </c>
      <c r="C3073" s="5">
        <v>2006</v>
      </c>
      <c r="D3073" s="4">
        <v>0</v>
      </c>
      <c r="E3073" s="4">
        <v>23000000</v>
      </c>
      <c r="F3073" s="4" t="str">
        <f>_xlfn.LET(_xlpm.r, _xlfn.XLOOKUP(Clean_Data[[#This Row],[Country_Code]], Metadata_Country!$A:$A, Metadata_Country!$B:$B, "Unknown"), IF(OR(_xlpm.r=0, _xlpm.r=""), "Regional Aggregate", _xlpm.r))</f>
        <v>East Asia &amp; Pacific</v>
      </c>
      <c r="G3073" s="4" t="str">
        <f>_xlfn.LET(_xlpm.ig, _xlfn.XLOOKUP(Clean_Data[[#This Row],[Country_Code]], Metadata_Country!$A:$A, Metadata_Country!$C:$C, "Unknown"), IF(OR(_xlpm.ig=0, _xlpm.ig=""), "Regional Aggregate", _xlpm.ig))</f>
        <v>Upper middle income</v>
      </c>
      <c r="H3073" s="4">
        <f>Clean_Data[[#This Row],[Exports_TIV]] - Clean_Data[[#This Row],[Imports_TIV]]</f>
        <v>-23000000</v>
      </c>
      <c r="I3073" s="4">
        <f>Clean_Data[[#This Row],[Exports_TIV]] + Clean_Data[[#This Row],[Imports_TIV]]</f>
        <v>23000000</v>
      </c>
    </row>
    <row r="3074" spans="1:9">
      <c r="A3074" s="4" t="s">
        <v>389</v>
      </c>
      <c r="B3074" s="4" t="s">
        <v>390</v>
      </c>
      <c r="C3074" s="5">
        <v>2006</v>
      </c>
      <c r="D3074" s="4">
        <v>282000000</v>
      </c>
      <c r="E3074" s="4">
        <v>442000000</v>
      </c>
      <c r="F3074" s="4" t="str">
        <f>_xlfn.LET(_xlpm.r, _xlfn.XLOOKUP(Clean_Data[[#This Row],[Country_Code]], Metadata_Country!$A:$A, Metadata_Country!$B:$B, "Unknown"), IF(OR(_xlpm.r=0, _xlpm.r=""), "Regional Aggregate", _xlpm.r))</f>
        <v>Europe &amp; Central Asia</v>
      </c>
      <c r="G3074" s="4" t="str">
        <f>_xlfn.LET(_xlpm.ig, _xlfn.XLOOKUP(Clean_Data[[#This Row],[Country_Code]], Metadata_Country!$A:$A, Metadata_Country!$C:$C, "Unknown"), IF(OR(_xlpm.ig=0, _xlpm.ig=""), "Regional Aggregate", _xlpm.ig))</f>
        <v>High income</v>
      </c>
      <c r="H3074" s="4">
        <f>Clean_Data[[#This Row],[Exports_TIV]] - Clean_Data[[#This Row],[Imports_TIV]]</f>
        <v>-160000000</v>
      </c>
      <c r="I3074" s="4">
        <f>Clean_Data[[#This Row],[Exports_TIV]] + Clean_Data[[#This Row],[Imports_TIV]]</f>
        <v>724000000</v>
      </c>
    </row>
    <row r="3075" spans="1:9">
      <c r="A3075" s="4" t="s">
        <v>397</v>
      </c>
      <c r="B3075" s="4" t="s">
        <v>398</v>
      </c>
      <c r="C3075" s="5">
        <v>2006</v>
      </c>
      <c r="D3075" s="4">
        <v>0</v>
      </c>
      <c r="E3075" s="4">
        <v>220000000</v>
      </c>
      <c r="F3075" s="4" t="str">
        <f>_xlfn.LET(_xlpm.r, _xlfn.XLOOKUP(Clean_Data[[#This Row],[Country_Code]], Metadata_Country!$A:$A, Metadata_Country!$B:$B, "Unknown"), IF(OR(_xlpm.r=0, _xlpm.r=""), "Regional Aggregate", _xlpm.r))</f>
        <v>Europe &amp; Central Asia</v>
      </c>
      <c r="G3075" s="4" t="str">
        <f>_xlfn.LET(_xlpm.ig, _xlfn.XLOOKUP(Clean_Data[[#This Row],[Country_Code]], Metadata_Country!$A:$A, Metadata_Country!$C:$C, "Unknown"), IF(OR(_xlpm.ig=0, _xlpm.ig=""), "Regional Aggregate", _xlpm.ig))</f>
        <v>High income</v>
      </c>
      <c r="H3075" s="4">
        <f>Clean_Data[[#This Row],[Exports_TIV]] - Clean_Data[[#This Row],[Imports_TIV]]</f>
        <v>-220000000</v>
      </c>
      <c r="I3075" s="4">
        <f>Clean_Data[[#This Row],[Exports_TIV]] + Clean_Data[[#This Row],[Imports_TIV]]</f>
        <v>220000000</v>
      </c>
    </row>
    <row r="3076" spans="1:9">
      <c r="A3076" s="4" t="s">
        <v>405</v>
      </c>
      <c r="B3076" s="4" t="s">
        <v>406</v>
      </c>
      <c r="C3076" s="5">
        <v>2006</v>
      </c>
      <c r="D3076" s="4">
        <v>17057000000</v>
      </c>
      <c r="E3076" s="4">
        <v>8044000000</v>
      </c>
      <c r="F3076" s="4" t="str">
        <f>_xlfn.LET(_xlpm.r, _xlfn.XLOOKUP(Clean_Data[[#This Row],[Country_Code]], Metadata_Country!$A:$A, Metadata_Country!$B:$B, "Unknown"), IF(OR(_xlpm.r=0, _xlpm.r=""), "Regional Aggregate", _xlpm.r))</f>
        <v>Regional Aggregate</v>
      </c>
      <c r="G3076" s="4" t="str">
        <f>_xlfn.LET(_xlpm.ig, _xlfn.XLOOKUP(Clean_Data[[#This Row],[Country_Code]], Metadata_Country!$A:$A, Metadata_Country!$C:$C, "Unknown"), IF(OR(_xlpm.ig=0, _xlpm.ig=""), "Regional Aggregate", _xlpm.ig))</f>
        <v>Regional Aggregate</v>
      </c>
      <c r="H3076" s="4">
        <f>Clean_Data[[#This Row],[Exports_TIV]] - Clean_Data[[#This Row],[Imports_TIV]]</f>
        <v>9013000000</v>
      </c>
      <c r="I3076" s="4">
        <f>Clean_Data[[#This Row],[Exports_TIV]] + Clean_Data[[#This Row],[Imports_TIV]]</f>
        <v>25101000000</v>
      </c>
    </row>
    <row r="3077" spans="1:9">
      <c r="A3077" s="4" t="s">
        <v>391</v>
      </c>
      <c r="B3077" s="4" t="s">
        <v>392</v>
      </c>
      <c r="C3077" s="5">
        <v>2006</v>
      </c>
      <c r="D3077" s="4">
        <v>0</v>
      </c>
      <c r="E3077" s="4">
        <v>581000000</v>
      </c>
      <c r="F3077" s="4" t="str">
        <f>_xlfn.LET(_xlpm.r, _xlfn.XLOOKUP(Clean_Data[[#This Row],[Country_Code]], Metadata_Country!$A:$A, Metadata_Country!$B:$B, "Unknown"), IF(OR(_xlpm.r=0, _xlpm.r=""), "Regional Aggregate", _xlpm.r))</f>
        <v>Regional Aggregate</v>
      </c>
      <c r="G3077" s="4" t="str">
        <f>_xlfn.LET(_xlpm.ig, _xlfn.XLOOKUP(Clean_Data[[#This Row],[Country_Code]], Metadata_Country!$A:$A, Metadata_Country!$C:$C, "Unknown"), IF(OR(_xlpm.ig=0, _xlpm.ig=""), "Regional Aggregate", _xlpm.ig))</f>
        <v>Regional Aggregate</v>
      </c>
      <c r="H3077" s="4">
        <f>Clean_Data[[#This Row],[Exports_TIV]] - Clean_Data[[#This Row],[Imports_TIV]]</f>
        <v>-581000000</v>
      </c>
      <c r="I3077" s="4">
        <f>Clean_Data[[#This Row],[Exports_TIV]] + Clean_Data[[#This Row],[Imports_TIV]]</f>
        <v>581000000</v>
      </c>
    </row>
    <row r="3078" spans="1:9">
      <c r="A3078" s="4" t="s">
        <v>409</v>
      </c>
      <c r="B3078" s="4" t="s">
        <v>410</v>
      </c>
      <c r="C3078" s="5">
        <v>2006</v>
      </c>
      <c r="D3078" s="4">
        <v>2000000</v>
      </c>
      <c r="E3078" s="4">
        <v>0</v>
      </c>
      <c r="F3078" s="4" t="str">
        <f>_xlfn.LET(_xlpm.r, _xlfn.XLOOKUP(Clean_Data[[#This Row],[Country_Code]], Metadata_Country!$A:$A, Metadata_Country!$B:$B, "Unknown"), IF(OR(_xlpm.r=0, _xlpm.r=""), "Regional Aggregate", _xlpm.r))</f>
        <v>Middle East &amp; North Africa</v>
      </c>
      <c r="G3078" s="4" t="str">
        <f>_xlfn.LET(_xlpm.ig, _xlfn.XLOOKUP(Clean_Data[[#This Row],[Country_Code]], Metadata_Country!$A:$A, Metadata_Country!$C:$C, "Unknown"), IF(OR(_xlpm.ig=0, _xlpm.ig=""), "Regional Aggregate", _xlpm.ig))</f>
        <v>High income</v>
      </c>
      <c r="H3078" s="4">
        <f>Clean_Data[[#This Row],[Exports_TIV]] - Clean_Data[[#This Row],[Imports_TIV]]</f>
        <v>2000000</v>
      </c>
      <c r="I3078" s="4">
        <f>Clean_Data[[#This Row],[Exports_TIV]] + Clean_Data[[#This Row],[Imports_TIV]]</f>
        <v>2000000</v>
      </c>
    </row>
    <row r="3079" spans="1:9">
      <c r="A3079" s="4" t="s">
        <v>411</v>
      </c>
      <c r="B3079" s="4" t="s">
        <v>412</v>
      </c>
      <c r="C3079" s="5">
        <v>2006</v>
      </c>
      <c r="D3079" s="4">
        <v>8000000</v>
      </c>
      <c r="E3079" s="4">
        <v>64000000</v>
      </c>
      <c r="F3079" s="4" t="str">
        <f>_xlfn.LET(_xlpm.r, _xlfn.XLOOKUP(Clean_Data[[#This Row],[Country_Code]], Metadata_Country!$A:$A, Metadata_Country!$B:$B, "Unknown"), IF(OR(_xlpm.r=0, _xlpm.r=""), "Regional Aggregate", _xlpm.r))</f>
        <v>Europe &amp; Central Asia</v>
      </c>
      <c r="G3079" s="4" t="str">
        <f>_xlfn.LET(_xlpm.ig, _xlfn.XLOOKUP(Clean_Data[[#This Row],[Country_Code]], Metadata_Country!$A:$A, Metadata_Country!$C:$C, "Unknown"), IF(OR(_xlpm.ig=0, _xlpm.ig=""), "Regional Aggregate", _xlpm.ig))</f>
        <v>High income</v>
      </c>
      <c r="H3079" s="4">
        <f>Clean_Data[[#This Row],[Exports_TIV]] - Clean_Data[[#This Row],[Imports_TIV]]</f>
        <v>-56000000</v>
      </c>
      <c r="I3079" s="4">
        <f>Clean_Data[[#This Row],[Exports_TIV]] + Clean_Data[[#This Row],[Imports_TIV]]</f>
        <v>72000000</v>
      </c>
    </row>
    <row r="3080" spans="1:9">
      <c r="A3080" s="4" t="s">
        <v>413</v>
      </c>
      <c r="B3080" s="4" t="s">
        <v>414</v>
      </c>
      <c r="C3080" s="5">
        <v>2006</v>
      </c>
      <c r="D3080" s="4">
        <v>5182000000</v>
      </c>
      <c r="E3080" s="4">
        <v>0</v>
      </c>
      <c r="F3080" s="4" t="str">
        <f>_xlfn.LET(_xlpm.r, _xlfn.XLOOKUP(Clean_Data[[#This Row],[Country_Code]], Metadata_Country!$A:$A, Metadata_Country!$B:$B, "Unknown"), IF(OR(_xlpm.r=0, _xlpm.r=""), "Regional Aggregate", _xlpm.r))</f>
        <v>Europe &amp; Central Asia</v>
      </c>
      <c r="G3080" s="4" t="str">
        <f>_xlfn.LET(_xlpm.ig, _xlfn.XLOOKUP(Clean_Data[[#This Row],[Country_Code]], Metadata_Country!$A:$A, Metadata_Country!$C:$C, "Unknown"), IF(OR(_xlpm.ig=0, _xlpm.ig=""), "Regional Aggregate", _xlpm.ig))</f>
        <v>High income</v>
      </c>
      <c r="H3080" s="4">
        <f>Clean_Data[[#This Row],[Exports_TIV]] - Clean_Data[[#This Row],[Imports_TIV]]</f>
        <v>5182000000</v>
      </c>
      <c r="I3080" s="4">
        <f>Clean_Data[[#This Row],[Exports_TIV]] + Clean_Data[[#This Row],[Imports_TIV]]</f>
        <v>5182000000</v>
      </c>
    </row>
    <row r="3081" spans="1:9">
      <c r="A3081" s="4" t="s">
        <v>415</v>
      </c>
      <c r="B3081" s="4" t="s">
        <v>416</v>
      </c>
      <c r="C3081" s="5">
        <v>2006</v>
      </c>
      <c r="D3081" s="4">
        <v>0</v>
      </c>
      <c r="E3081" s="4">
        <v>3000000</v>
      </c>
      <c r="F3081" s="4" t="str">
        <f>_xlfn.LET(_xlpm.r, _xlfn.XLOOKUP(Clean_Data[[#This Row],[Country_Code]], Metadata_Country!$A:$A, Metadata_Country!$B:$B, "Unknown"), IF(OR(_xlpm.r=0, _xlpm.r=""), "Regional Aggregate", _xlpm.r))</f>
        <v>Sub-Saharan Africa</v>
      </c>
      <c r="G3081" s="4" t="str">
        <f>_xlfn.LET(_xlpm.ig, _xlfn.XLOOKUP(Clean_Data[[#This Row],[Country_Code]], Metadata_Country!$A:$A, Metadata_Country!$C:$C, "Unknown"), IF(OR(_xlpm.ig=0, _xlpm.ig=""), "Regional Aggregate", _xlpm.ig))</f>
        <v>Low income</v>
      </c>
      <c r="H3081" s="4">
        <f>Clean_Data[[#This Row],[Exports_TIV]] - Clean_Data[[#This Row],[Imports_TIV]]</f>
        <v>-3000000</v>
      </c>
      <c r="I3081" s="4">
        <f>Clean_Data[[#This Row],[Exports_TIV]] + Clean_Data[[#This Row],[Imports_TIV]]</f>
        <v>3000000</v>
      </c>
    </row>
    <row r="3082" spans="1:9">
      <c r="A3082" s="4" t="s">
        <v>419</v>
      </c>
      <c r="B3082" s="4" t="s">
        <v>420</v>
      </c>
      <c r="C3082" s="5">
        <v>2006</v>
      </c>
      <c r="D3082" s="4">
        <v>18000000</v>
      </c>
      <c r="E3082" s="4">
        <v>207000000</v>
      </c>
      <c r="F3082" s="4" t="str">
        <f>_xlfn.LET(_xlpm.r, _xlfn.XLOOKUP(Clean_Data[[#This Row],[Country_Code]], Metadata_Country!$A:$A, Metadata_Country!$B:$B, "Unknown"), IF(OR(_xlpm.r=0, _xlpm.r=""), "Regional Aggregate", _xlpm.r))</f>
        <v>Middle East &amp; North Africa</v>
      </c>
      <c r="G3082" s="4" t="str">
        <f>_xlfn.LET(_xlpm.ig, _xlfn.XLOOKUP(Clean_Data[[#This Row],[Country_Code]], Metadata_Country!$A:$A, Metadata_Country!$C:$C, "Unknown"), IF(OR(_xlpm.ig=0, _xlpm.ig=""), "Regional Aggregate", _xlpm.ig))</f>
        <v>High income</v>
      </c>
      <c r="H3082" s="4">
        <f>Clean_Data[[#This Row],[Exports_TIV]] - Clean_Data[[#This Row],[Imports_TIV]]</f>
        <v>-189000000</v>
      </c>
      <c r="I3082" s="4">
        <f>Clean_Data[[#This Row],[Exports_TIV]] + Clean_Data[[#This Row],[Imports_TIV]]</f>
        <v>225000000</v>
      </c>
    </row>
    <row r="3083" spans="1:9">
      <c r="A3083" s="4" t="s">
        <v>423</v>
      </c>
      <c r="B3083" s="4" t="s">
        <v>424</v>
      </c>
      <c r="C3083" s="5">
        <v>2006</v>
      </c>
      <c r="D3083" s="4">
        <v>0</v>
      </c>
      <c r="E3083" s="4">
        <v>15000000</v>
      </c>
      <c r="F3083" s="4" t="str">
        <f>_xlfn.LET(_xlpm.r, _xlfn.XLOOKUP(Clean_Data[[#This Row],[Country_Code]], Metadata_Country!$A:$A, Metadata_Country!$B:$B, "Unknown"), IF(OR(_xlpm.r=0, _xlpm.r=""), "Regional Aggregate", _xlpm.r))</f>
        <v>Sub-Saharan Africa</v>
      </c>
      <c r="G3083" s="4" t="str">
        <f>_xlfn.LET(_xlpm.ig, _xlfn.XLOOKUP(Clean_Data[[#This Row],[Country_Code]], Metadata_Country!$A:$A, Metadata_Country!$C:$C, "Unknown"), IF(OR(_xlpm.ig=0, _xlpm.ig=""), "Regional Aggregate", _xlpm.ig))</f>
        <v>Lower middle income</v>
      </c>
      <c r="H3083" s="4">
        <f>Clean_Data[[#This Row],[Exports_TIV]] - Clean_Data[[#This Row],[Imports_TIV]]</f>
        <v>-15000000</v>
      </c>
      <c r="I3083" s="4">
        <f>Clean_Data[[#This Row],[Exports_TIV]] + Clean_Data[[#This Row],[Imports_TIV]]</f>
        <v>15000000</v>
      </c>
    </row>
    <row r="3084" spans="1:9">
      <c r="A3084" s="4" t="s">
        <v>437</v>
      </c>
      <c r="B3084" s="4" t="s">
        <v>438</v>
      </c>
      <c r="C3084" s="5">
        <v>2006</v>
      </c>
      <c r="D3084" s="4">
        <v>5000000</v>
      </c>
      <c r="E3084" s="4">
        <v>0</v>
      </c>
      <c r="F3084" s="4" t="str">
        <f>_xlfn.LET(_xlpm.r, _xlfn.XLOOKUP(Clean_Data[[#This Row],[Country_Code]], Metadata_Country!$A:$A, Metadata_Country!$B:$B, "Unknown"), IF(OR(_xlpm.r=0, _xlpm.r=""), "Regional Aggregate", _xlpm.r))</f>
        <v>Europe &amp; Central Asia</v>
      </c>
      <c r="G3084" s="4" t="str">
        <f>_xlfn.LET(_xlpm.ig, _xlfn.XLOOKUP(Clean_Data[[#This Row],[Country_Code]], Metadata_Country!$A:$A, Metadata_Country!$C:$C, "Unknown"), IF(OR(_xlpm.ig=0, _xlpm.ig=""), "Regional Aggregate", _xlpm.ig))</f>
        <v>Upper middle income</v>
      </c>
      <c r="H3084" s="4">
        <f>Clean_Data[[#This Row],[Exports_TIV]] - Clean_Data[[#This Row],[Imports_TIV]]</f>
        <v>5000000</v>
      </c>
      <c r="I3084" s="4">
        <f>Clean_Data[[#This Row],[Exports_TIV]] + Clean_Data[[#This Row],[Imports_TIV]]</f>
        <v>5000000</v>
      </c>
    </row>
    <row r="3085" spans="1:9">
      <c r="A3085" s="4" t="s">
        <v>429</v>
      </c>
      <c r="B3085" s="4" t="s">
        <v>430</v>
      </c>
      <c r="C3085" s="5">
        <v>2006</v>
      </c>
      <c r="D3085" s="4">
        <v>0</v>
      </c>
      <c r="E3085" s="4">
        <v>9000000</v>
      </c>
      <c r="F3085" s="4" t="str">
        <f>_xlfn.LET(_xlpm.r, _xlfn.XLOOKUP(Clean_Data[[#This Row],[Country_Code]], Metadata_Country!$A:$A, Metadata_Country!$B:$B, "Unknown"), IF(OR(_xlpm.r=0, _xlpm.r=""), "Regional Aggregate", _xlpm.r))</f>
        <v>Sub-Saharan Africa</v>
      </c>
      <c r="G3085" s="4" t="str">
        <f>_xlfn.LET(_xlpm.ig, _xlfn.XLOOKUP(Clean_Data[[#This Row],[Country_Code]], Metadata_Country!$A:$A, Metadata_Country!$C:$C, "Unknown"), IF(OR(_xlpm.ig=0, _xlpm.ig=""), "Regional Aggregate", _xlpm.ig))</f>
        <v>Low income</v>
      </c>
      <c r="H3085" s="4">
        <f>Clean_Data[[#This Row],[Exports_TIV]] - Clean_Data[[#This Row],[Imports_TIV]]</f>
        <v>-9000000</v>
      </c>
      <c r="I3085" s="4">
        <f>Clean_Data[[#This Row],[Exports_TIV]] + Clean_Data[[#This Row],[Imports_TIV]]</f>
        <v>9000000</v>
      </c>
    </row>
    <row r="3086" spans="1:9">
      <c r="A3086" s="4" t="s">
        <v>425</v>
      </c>
      <c r="B3086" s="4" t="s">
        <v>426</v>
      </c>
      <c r="C3086" s="5">
        <v>2006</v>
      </c>
      <c r="D3086" s="4">
        <v>0</v>
      </c>
      <c r="E3086" s="4">
        <v>74000000</v>
      </c>
      <c r="F3086" s="4" t="str">
        <f>_xlfn.LET(_xlpm.r, _xlfn.XLOOKUP(Clean_Data[[#This Row],[Country_Code]], Metadata_Country!$A:$A, Metadata_Country!$B:$B, "Unknown"), IF(OR(_xlpm.r=0, _xlpm.r=""), "Regional Aggregate", _xlpm.r))</f>
        <v>East Asia &amp; Pacific</v>
      </c>
      <c r="G3086" s="4" t="str">
        <f>_xlfn.LET(_xlpm.ig, _xlfn.XLOOKUP(Clean_Data[[#This Row],[Country_Code]], Metadata_Country!$A:$A, Metadata_Country!$C:$C, "Unknown"), IF(OR(_xlpm.ig=0, _xlpm.ig=""), "Regional Aggregate", _xlpm.ig))</f>
        <v>High income</v>
      </c>
      <c r="H3086" s="4">
        <f>Clean_Data[[#This Row],[Exports_TIV]] - Clean_Data[[#This Row],[Imports_TIV]]</f>
        <v>-74000000</v>
      </c>
      <c r="I3086" s="4">
        <f>Clean_Data[[#This Row],[Exports_TIV]] + Clean_Data[[#This Row],[Imports_TIV]]</f>
        <v>74000000</v>
      </c>
    </row>
    <row r="3087" spans="1:9">
      <c r="A3087" s="4" t="s">
        <v>451</v>
      </c>
      <c r="B3087" s="4" t="s">
        <v>452</v>
      </c>
      <c r="C3087" s="5">
        <v>2006</v>
      </c>
      <c r="D3087" s="4">
        <v>3000000</v>
      </c>
      <c r="E3087" s="4">
        <v>0</v>
      </c>
      <c r="F3087" s="4" t="str">
        <f>_xlfn.LET(_xlpm.r, _xlfn.XLOOKUP(Clean_Data[[#This Row],[Country_Code]], Metadata_Country!$A:$A, Metadata_Country!$B:$B, "Unknown"), IF(OR(_xlpm.r=0, _xlpm.r=""), "Regional Aggregate", _xlpm.r))</f>
        <v>Europe &amp; Central Asia</v>
      </c>
      <c r="G3087" s="4" t="str">
        <f>_xlfn.LET(_xlpm.ig, _xlfn.XLOOKUP(Clean_Data[[#This Row],[Country_Code]], Metadata_Country!$A:$A, Metadata_Country!$C:$C, "Unknown"), IF(OR(_xlpm.ig=0, _xlpm.ig=""), "Regional Aggregate", _xlpm.ig))</f>
        <v>High income</v>
      </c>
      <c r="H3087" s="4">
        <f>Clean_Data[[#This Row],[Exports_TIV]] - Clean_Data[[#This Row],[Imports_TIV]]</f>
        <v>3000000</v>
      </c>
      <c r="I3087" s="4">
        <f>Clean_Data[[#This Row],[Exports_TIV]] + Clean_Data[[#This Row],[Imports_TIV]]</f>
        <v>3000000</v>
      </c>
    </row>
    <row r="3088" spans="1:9">
      <c r="A3088" s="4" t="s">
        <v>453</v>
      </c>
      <c r="B3088" s="4" t="s">
        <v>454</v>
      </c>
      <c r="C3088" s="5">
        <v>2006</v>
      </c>
      <c r="D3088" s="4">
        <v>0</v>
      </c>
      <c r="E3088" s="4">
        <v>3000000</v>
      </c>
      <c r="F3088" s="4" t="str">
        <f>_xlfn.LET(_xlpm.r, _xlfn.XLOOKUP(Clean_Data[[#This Row],[Country_Code]], Metadata_Country!$A:$A, Metadata_Country!$B:$B, "Unknown"), IF(OR(_xlpm.r=0, _xlpm.r=""), "Regional Aggregate", _xlpm.r))</f>
        <v>Europe &amp; Central Asia</v>
      </c>
      <c r="G3088" s="4" t="str">
        <f>_xlfn.LET(_xlpm.ig, _xlfn.XLOOKUP(Clean_Data[[#This Row],[Country_Code]], Metadata_Country!$A:$A, Metadata_Country!$C:$C, "Unknown"), IF(OR(_xlpm.ig=0, _xlpm.ig=""), "Regional Aggregate", _xlpm.ig))</f>
        <v>High income</v>
      </c>
      <c r="H3088" s="4">
        <f>Clean_Data[[#This Row],[Exports_TIV]] - Clean_Data[[#This Row],[Imports_TIV]]</f>
        <v>-3000000</v>
      </c>
      <c r="I3088" s="4">
        <f>Clean_Data[[#This Row],[Exports_TIV]] + Clean_Data[[#This Row],[Imports_TIV]]</f>
        <v>3000000</v>
      </c>
    </row>
    <row r="3089" spans="1:9">
      <c r="A3089" s="4" t="s">
        <v>535</v>
      </c>
      <c r="B3089" s="4" t="s">
        <v>536</v>
      </c>
      <c r="C3089" s="5">
        <v>2006</v>
      </c>
      <c r="D3089" s="4">
        <v>200000000</v>
      </c>
      <c r="E3089" s="4">
        <v>741000000</v>
      </c>
      <c r="F3089" s="4" t="str">
        <f>_xlfn.LET(_xlpm.r, _xlfn.XLOOKUP(Clean_Data[[#This Row],[Country_Code]], Metadata_Country!$A:$A, Metadata_Country!$B:$B, "Unknown"), IF(OR(_xlpm.r=0, _xlpm.r=""), "Regional Aggregate", _xlpm.r))</f>
        <v>Sub-Saharan Africa</v>
      </c>
      <c r="G3089" s="4" t="str">
        <f>_xlfn.LET(_xlpm.ig, _xlfn.XLOOKUP(Clean_Data[[#This Row],[Country_Code]], Metadata_Country!$A:$A, Metadata_Country!$C:$C, "Unknown"), IF(OR(_xlpm.ig=0, _xlpm.ig=""), "Regional Aggregate", _xlpm.ig))</f>
        <v>Upper middle income</v>
      </c>
      <c r="H3089" s="4">
        <f>Clean_Data[[#This Row],[Exports_TIV]] - Clean_Data[[#This Row],[Imports_TIV]]</f>
        <v>-541000000</v>
      </c>
      <c r="I3089" s="4">
        <f>Clean_Data[[#This Row],[Exports_TIV]] + Clean_Data[[#This Row],[Imports_TIV]]</f>
        <v>941000000</v>
      </c>
    </row>
    <row r="3090" spans="1:9">
      <c r="A3090" s="4" t="s">
        <v>417</v>
      </c>
      <c r="B3090" s="4" t="s">
        <v>418</v>
      </c>
      <c r="C3090" s="5">
        <v>2006</v>
      </c>
      <c r="D3090" s="4">
        <v>33000000</v>
      </c>
      <c r="E3090" s="4">
        <v>1819000000</v>
      </c>
      <c r="F3090" s="4" t="str">
        <f>_xlfn.LET(_xlpm.r, _xlfn.XLOOKUP(Clean_Data[[#This Row],[Country_Code]], Metadata_Country!$A:$A, Metadata_Country!$B:$B, "Unknown"), IF(OR(_xlpm.r=0, _xlpm.r=""), "Regional Aggregate", _xlpm.r))</f>
        <v>Regional Aggregate</v>
      </c>
      <c r="G3090" s="4" t="str">
        <f>_xlfn.LET(_xlpm.ig, _xlfn.XLOOKUP(Clean_Data[[#This Row],[Country_Code]], Metadata_Country!$A:$A, Metadata_Country!$C:$C, "Unknown"), IF(OR(_xlpm.ig=0, _xlpm.ig=""), "Regional Aggregate", _xlpm.ig))</f>
        <v>Regional Aggregate</v>
      </c>
      <c r="H3090" s="4">
        <f>Clean_Data[[#This Row],[Exports_TIV]] - Clean_Data[[#This Row],[Imports_TIV]]</f>
        <v>-1786000000</v>
      </c>
      <c r="I3090" s="4">
        <f>Clean_Data[[#This Row],[Exports_TIV]] + Clean_Data[[#This Row],[Imports_TIV]]</f>
        <v>1852000000</v>
      </c>
    </row>
    <row r="3091" spans="1:9">
      <c r="A3091" s="4" t="s">
        <v>489</v>
      </c>
      <c r="B3091" s="4" t="s">
        <v>490</v>
      </c>
      <c r="C3091" s="5">
        <v>2006</v>
      </c>
      <c r="D3091" s="4">
        <v>33000000</v>
      </c>
      <c r="E3091" s="4">
        <v>1819000000</v>
      </c>
      <c r="F3091" s="4" t="str">
        <f>_xlfn.LET(_xlpm.r, _xlfn.XLOOKUP(Clean_Data[[#This Row],[Country_Code]], Metadata_Country!$A:$A, Metadata_Country!$B:$B, "Unknown"), IF(OR(_xlpm.r=0, _xlpm.r=""), "Regional Aggregate", _xlpm.r))</f>
        <v>Regional Aggregate</v>
      </c>
      <c r="G3091" s="4" t="str">
        <f>_xlfn.LET(_xlpm.ig, _xlfn.XLOOKUP(Clean_Data[[#This Row],[Country_Code]], Metadata_Country!$A:$A, Metadata_Country!$C:$C, "Unknown"), IF(OR(_xlpm.ig=0, _xlpm.ig=""), "Regional Aggregate", _xlpm.ig))</f>
        <v>Regional Aggregate</v>
      </c>
      <c r="H3091" s="4">
        <f>Clean_Data[[#This Row],[Exports_TIV]] - Clean_Data[[#This Row],[Imports_TIV]]</f>
        <v>-1786000000</v>
      </c>
      <c r="I3091" s="4">
        <f>Clean_Data[[#This Row],[Exports_TIV]] + Clean_Data[[#This Row],[Imports_TIV]]</f>
        <v>1852000000</v>
      </c>
    </row>
    <row r="3092" spans="1:9">
      <c r="A3092" s="4" t="s">
        <v>149</v>
      </c>
      <c r="B3092" s="4" t="s">
        <v>150</v>
      </c>
      <c r="C3092" s="5">
        <v>2006</v>
      </c>
      <c r="D3092" s="4">
        <v>898000000</v>
      </c>
      <c r="E3092" s="4">
        <v>312000000</v>
      </c>
      <c r="F3092" s="4" t="str">
        <f>_xlfn.LET(_xlpm.r, _xlfn.XLOOKUP(Clean_Data[[#This Row],[Country_Code]], Metadata_Country!$A:$A, Metadata_Country!$B:$B, "Unknown"), IF(OR(_xlpm.r=0, _xlpm.r=""), "Regional Aggregate", _xlpm.r))</f>
        <v>Europe &amp; Central Asia</v>
      </c>
      <c r="G3092" s="4" t="str">
        <f>_xlfn.LET(_xlpm.ig, _xlfn.XLOOKUP(Clean_Data[[#This Row],[Country_Code]], Metadata_Country!$A:$A, Metadata_Country!$C:$C, "Unknown"), IF(OR(_xlpm.ig=0, _xlpm.ig=""), "Regional Aggregate", _xlpm.ig))</f>
        <v>High income</v>
      </c>
      <c r="H3092" s="4">
        <f>Clean_Data[[#This Row],[Exports_TIV]] - Clean_Data[[#This Row],[Imports_TIV]]</f>
        <v>586000000</v>
      </c>
      <c r="I3092" s="4">
        <f>Clean_Data[[#This Row],[Exports_TIV]] + Clean_Data[[#This Row],[Imports_TIV]]</f>
        <v>1210000000</v>
      </c>
    </row>
    <row r="3093" spans="1:9">
      <c r="A3093" s="4" t="s">
        <v>285</v>
      </c>
      <c r="B3093" s="4" t="s">
        <v>286</v>
      </c>
      <c r="C3093" s="5">
        <v>2006</v>
      </c>
      <c r="D3093" s="4">
        <v>0</v>
      </c>
      <c r="E3093" s="4">
        <v>96000000</v>
      </c>
      <c r="F3093" s="4" t="str">
        <f>_xlfn.LET(_xlpm.r, _xlfn.XLOOKUP(Clean_Data[[#This Row],[Country_Code]], Metadata_Country!$A:$A, Metadata_Country!$B:$B, "Unknown"), IF(OR(_xlpm.r=0, _xlpm.r=""), "Regional Aggregate", _xlpm.r))</f>
        <v>South Asia</v>
      </c>
      <c r="G3093" s="4" t="str">
        <f>_xlfn.LET(_xlpm.ig, _xlfn.XLOOKUP(Clean_Data[[#This Row],[Country_Code]], Metadata_Country!$A:$A, Metadata_Country!$C:$C, "Unknown"), IF(OR(_xlpm.ig=0, _xlpm.ig=""), "Regional Aggregate", _xlpm.ig))</f>
        <v>Upper middle income</v>
      </c>
      <c r="H3093" s="4">
        <f>Clean_Data[[#This Row],[Exports_TIV]] - Clean_Data[[#This Row],[Imports_TIV]]</f>
        <v>-96000000</v>
      </c>
      <c r="I3093" s="4">
        <f>Clean_Data[[#This Row],[Exports_TIV]] + Clean_Data[[#This Row],[Imports_TIV]]</f>
        <v>96000000</v>
      </c>
    </row>
    <row r="3094" spans="1:9">
      <c r="A3094" s="4" t="s">
        <v>443</v>
      </c>
      <c r="B3094" s="4" t="s">
        <v>444</v>
      </c>
      <c r="C3094" s="5">
        <v>2006</v>
      </c>
      <c r="D3094" s="4">
        <v>0</v>
      </c>
      <c r="E3094" s="4">
        <v>1137000000</v>
      </c>
      <c r="F3094" s="4" t="str">
        <f>_xlfn.LET(_xlpm.r, _xlfn.XLOOKUP(Clean_Data[[#This Row],[Country_Code]], Metadata_Country!$A:$A, Metadata_Country!$B:$B, "Unknown"), IF(OR(_xlpm.r=0, _xlpm.r=""), "Regional Aggregate", _xlpm.r))</f>
        <v>Regional Aggregate</v>
      </c>
      <c r="G3094" s="4" t="str">
        <f>_xlfn.LET(_xlpm.ig, _xlfn.XLOOKUP(Clean_Data[[#This Row],[Country_Code]], Metadata_Country!$A:$A, Metadata_Country!$C:$C, "Unknown"), IF(OR(_xlpm.ig=0, _xlpm.ig=""), "Regional Aggregate", _xlpm.ig))</f>
        <v>Regional Aggregate</v>
      </c>
      <c r="H3094" s="4">
        <f>Clean_Data[[#This Row],[Exports_TIV]] - Clean_Data[[#This Row],[Imports_TIV]]</f>
        <v>-1137000000</v>
      </c>
      <c r="I3094" s="4">
        <f>Clean_Data[[#This Row],[Exports_TIV]] + Clean_Data[[#This Row],[Imports_TIV]]</f>
        <v>1137000000</v>
      </c>
    </row>
    <row r="3095" spans="1:9">
      <c r="A3095" s="4" t="s">
        <v>439</v>
      </c>
      <c r="B3095" s="4" t="s">
        <v>440</v>
      </c>
      <c r="C3095" s="5">
        <v>2006</v>
      </c>
      <c r="D3095" s="4">
        <v>0</v>
      </c>
      <c r="E3095" s="4">
        <v>1137000000</v>
      </c>
      <c r="F3095" s="4" t="str">
        <f>_xlfn.LET(_xlpm.r, _xlfn.XLOOKUP(Clean_Data[[#This Row],[Country_Code]], Metadata_Country!$A:$A, Metadata_Country!$B:$B, "Unknown"), IF(OR(_xlpm.r=0, _xlpm.r=""), "Regional Aggregate", _xlpm.r))</f>
        <v>Regional Aggregate</v>
      </c>
      <c r="G3095" s="4" t="str">
        <f>_xlfn.LET(_xlpm.ig, _xlfn.XLOOKUP(Clean_Data[[#This Row],[Country_Code]], Metadata_Country!$A:$A, Metadata_Country!$C:$C, "Unknown"), IF(OR(_xlpm.ig=0, _xlpm.ig=""), "Regional Aggregate", _xlpm.ig))</f>
        <v>Regional Aggregate</v>
      </c>
      <c r="H3095" s="4">
        <f>Clean_Data[[#This Row],[Exports_TIV]] - Clean_Data[[#This Row],[Imports_TIV]]</f>
        <v>-1137000000</v>
      </c>
      <c r="I3095" s="4">
        <f>Clean_Data[[#This Row],[Exports_TIV]] + Clean_Data[[#This Row],[Imports_TIV]]</f>
        <v>1137000000</v>
      </c>
    </row>
    <row r="3096" spans="1:9">
      <c r="A3096" s="4" t="s">
        <v>491</v>
      </c>
      <c r="B3096" s="4" t="s">
        <v>492</v>
      </c>
      <c r="C3096" s="5">
        <v>2006</v>
      </c>
      <c r="D3096" s="4">
        <v>0</v>
      </c>
      <c r="E3096" s="4">
        <v>1137000000</v>
      </c>
      <c r="F3096" s="4" t="str">
        <f>_xlfn.LET(_xlpm.r, _xlfn.XLOOKUP(Clean_Data[[#This Row],[Country_Code]], Metadata_Country!$A:$A, Metadata_Country!$B:$B, "Unknown"), IF(OR(_xlpm.r=0, _xlpm.r=""), "Regional Aggregate", _xlpm.r))</f>
        <v>Regional Aggregate</v>
      </c>
      <c r="G3096" s="4" t="str">
        <f>_xlfn.LET(_xlpm.ig, _xlfn.XLOOKUP(Clean_Data[[#This Row],[Country_Code]], Metadata_Country!$A:$A, Metadata_Country!$C:$C, "Unknown"), IF(OR(_xlpm.ig=0, _xlpm.ig=""), "Regional Aggregate", _xlpm.ig))</f>
        <v>Regional Aggregate</v>
      </c>
      <c r="H3096" s="4">
        <f>Clean_Data[[#This Row],[Exports_TIV]] - Clean_Data[[#This Row],[Imports_TIV]]</f>
        <v>-1137000000</v>
      </c>
      <c r="I3096" s="4">
        <f>Clean_Data[[#This Row],[Exports_TIV]] + Clean_Data[[#This Row],[Imports_TIV]]</f>
        <v>1137000000</v>
      </c>
    </row>
    <row r="3097" spans="1:9">
      <c r="A3097" s="4" t="s">
        <v>421</v>
      </c>
      <c r="B3097" s="4" t="s">
        <v>422</v>
      </c>
      <c r="C3097" s="5">
        <v>2006</v>
      </c>
      <c r="D3097" s="4">
        <v>0</v>
      </c>
      <c r="E3097" s="4">
        <v>112000000</v>
      </c>
      <c r="F3097" s="4" t="str">
        <f>_xlfn.LET(_xlpm.r, _xlfn.XLOOKUP(Clean_Data[[#This Row],[Country_Code]], Metadata_Country!$A:$A, Metadata_Country!$B:$B, "Unknown"), IF(OR(_xlpm.r=0, _xlpm.r=""), "Regional Aggregate", _xlpm.r))</f>
        <v>Sub-Saharan Africa</v>
      </c>
      <c r="G3097" s="4" t="str">
        <f>_xlfn.LET(_xlpm.ig, _xlfn.XLOOKUP(Clean_Data[[#This Row],[Country_Code]], Metadata_Country!$A:$A, Metadata_Country!$C:$C, "Unknown"), IF(OR(_xlpm.ig=0, _xlpm.ig=""), "Regional Aggregate", _xlpm.ig))</f>
        <v>Low income</v>
      </c>
      <c r="H3097" s="4">
        <f>Clean_Data[[#This Row],[Exports_TIV]] - Clean_Data[[#This Row],[Imports_TIV]]</f>
        <v>-112000000</v>
      </c>
      <c r="I3097" s="4">
        <f>Clean_Data[[#This Row],[Exports_TIV]] + Clean_Data[[#This Row],[Imports_TIV]]</f>
        <v>112000000</v>
      </c>
    </row>
    <row r="3098" spans="1:9">
      <c r="A3098" s="4" t="s">
        <v>455</v>
      </c>
      <c r="B3098" s="4" t="s">
        <v>456</v>
      </c>
      <c r="C3098" s="5">
        <v>2006</v>
      </c>
      <c r="D3098" s="4">
        <v>384000000</v>
      </c>
      <c r="E3098" s="4">
        <v>121000000</v>
      </c>
      <c r="F3098" s="4" t="str">
        <f>_xlfn.LET(_xlpm.r, _xlfn.XLOOKUP(Clean_Data[[#This Row],[Country_Code]], Metadata_Country!$A:$A, Metadata_Country!$B:$B, "Unknown"), IF(OR(_xlpm.r=0, _xlpm.r=""), "Regional Aggregate", _xlpm.r))</f>
        <v>Europe &amp; Central Asia</v>
      </c>
      <c r="G3098" s="4" t="str">
        <f>_xlfn.LET(_xlpm.ig, _xlfn.XLOOKUP(Clean_Data[[#This Row],[Country_Code]], Metadata_Country!$A:$A, Metadata_Country!$C:$C, "Unknown"), IF(OR(_xlpm.ig=0, _xlpm.ig=""), "Regional Aggregate", _xlpm.ig))</f>
        <v>High income</v>
      </c>
      <c r="H3098" s="4">
        <f>Clean_Data[[#This Row],[Exports_TIV]] - Clean_Data[[#This Row],[Imports_TIV]]</f>
        <v>263000000</v>
      </c>
      <c r="I3098" s="4">
        <f>Clean_Data[[#This Row],[Exports_TIV]] + Clean_Data[[#This Row],[Imports_TIV]]</f>
        <v>505000000</v>
      </c>
    </row>
    <row r="3099" spans="1:9">
      <c r="A3099" s="4" t="s">
        <v>83</v>
      </c>
      <c r="B3099" s="4" t="s">
        <v>84</v>
      </c>
      <c r="C3099" s="5">
        <v>2006</v>
      </c>
      <c r="D3099" s="4">
        <v>320000000</v>
      </c>
      <c r="E3099" s="4">
        <v>83000000</v>
      </c>
      <c r="F3099" s="4" t="str">
        <f>_xlfn.LET(_xlpm.r, _xlfn.XLOOKUP(Clean_Data[[#This Row],[Country_Code]], Metadata_Country!$A:$A, Metadata_Country!$B:$B, "Unknown"), IF(OR(_xlpm.r=0, _xlpm.r=""), "Regional Aggregate", _xlpm.r))</f>
        <v>Europe &amp; Central Asia</v>
      </c>
      <c r="G3099" s="4" t="str">
        <f>_xlfn.LET(_xlpm.ig, _xlfn.XLOOKUP(Clean_Data[[#This Row],[Country_Code]], Metadata_Country!$A:$A, Metadata_Country!$C:$C, "Unknown"), IF(OR(_xlpm.ig=0, _xlpm.ig=""), "Regional Aggregate", _xlpm.ig))</f>
        <v>High income</v>
      </c>
      <c r="H3099" s="4">
        <f>Clean_Data[[#This Row],[Exports_TIV]] - Clean_Data[[#This Row],[Imports_TIV]]</f>
        <v>237000000</v>
      </c>
      <c r="I3099" s="4">
        <f>Clean_Data[[#This Row],[Exports_TIV]] + Clean_Data[[#This Row],[Imports_TIV]]</f>
        <v>403000000</v>
      </c>
    </row>
    <row r="3100" spans="1:9">
      <c r="A3100" s="4" t="s">
        <v>463</v>
      </c>
      <c r="B3100" s="4" t="s">
        <v>464</v>
      </c>
      <c r="C3100" s="5">
        <v>2006</v>
      </c>
      <c r="D3100" s="4">
        <v>3000000</v>
      </c>
      <c r="E3100" s="4">
        <v>95000000</v>
      </c>
      <c r="F3100" s="4" t="str">
        <f>_xlfn.LET(_xlpm.r, _xlfn.XLOOKUP(Clean_Data[[#This Row],[Country_Code]], Metadata_Country!$A:$A, Metadata_Country!$B:$B, "Unknown"), IF(OR(_xlpm.r=0, _xlpm.r=""), "Regional Aggregate", _xlpm.r))</f>
        <v>Middle East &amp; North Africa</v>
      </c>
      <c r="G3100" s="4" t="str">
        <f>_xlfn.LET(_xlpm.ig, _xlfn.XLOOKUP(Clean_Data[[#This Row],[Country_Code]], Metadata_Country!$A:$A, Metadata_Country!$C:$C, "Unknown"), IF(OR(_xlpm.ig=0, _xlpm.ig=""), "Regional Aggregate", _xlpm.ig))</f>
        <v>Low income</v>
      </c>
      <c r="H3100" s="4">
        <f>Clean_Data[[#This Row],[Exports_TIV]] - Clean_Data[[#This Row],[Imports_TIV]]</f>
        <v>-92000000</v>
      </c>
      <c r="I3100" s="4">
        <f>Clean_Data[[#This Row],[Exports_TIV]] + Clean_Data[[#This Row],[Imports_TIV]]</f>
        <v>98000000</v>
      </c>
    </row>
    <row r="3101" spans="1:9">
      <c r="A3101" s="4" t="s">
        <v>477</v>
      </c>
      <c r="B3101" s="4" t="s">
        <v>478</v>
      </c>
      <c r="C3101" s="5">
        <v>2006</v>
      </c>
      <c r="D3101" s="4">
        <v>0</v>
      </c>
      <c r="E3101" s="4">
        <v>13000000</v>
      </c>
      <c r="F3101" s="4" t="str">
        <f>_xlfn.LET(_xlpm.r, _xlfn.XLOOKUP(Clean_Data[[#This Row],[Country_Code]], Metadata_Country!$A:$A, Metadata_Country!$B:$B, "Unknown"), IF(OR(_xlpm.r=0, _xlpm.r=""), "Regional Aggregate", _xlpm.r))</f>
        <v>Europe &amp; Central Asia</v>
      </c>
      <c r="G3101" s="4" t="str">
        <f>_xlfn.LET(_xlpm.ig, _xlfn.XLOOKUP(Clean_Data[[#This Row],[Country_Code]], Metadata_Country!$A:$A, Metadata_Country!$C:$C, "Unknown"), IF(OR(_xlpm.ig=0, _xlpm.ig=""), "Regional Aggregate", _xlpm.ig))</f>
        <v>Lower middle income</v>
      </c>
      <c r="H3101" s="4">
        <f>Clean_Data[[#This Row],[Exports_TIV]] - Clean_Data[[#This Row],[Imports_TIV]]</f>
        <v>-13000000</v>
      </c>
      <c r="I3101" s="4">
        <f>Clean_Data[[#This Row],[Exports_TIV]] + Clean_Data[[#This Row],[Imports_TIV]]</f>
        <v>13000000</v>
      </c>
    </row>
    <row r="3102" spans="1:9">
      <c r="A3102" s="4" t="s">
        <v>501</v>
      </c>
      <c r="B3102" s="4" t="s">
        <v>502</v>
      </c>
      <c r="C3102" s="5">
        <v>2006</v>
      </c>
      <c r="D3102" s="4">
        <v>0</v>
      </c>
      <c r="E3102" s="4">
        <v>12000000</v>
      </c>
      <c r="F3102" s="4" t="str">
        <f>_xlfn.LET(_xlpm.r, _xlfn.XLOOKUP(Clean_Data[[#This Row],[Country_Code]], Metadata_Country!$A:$A, Metadata_Country!$B:$B, "Unknown"), IF(OR(_xlpm.r=0, _xlpm.r=""), "Regional Aggregate", _xlpm.r))</f>
        <v>Sub-Saharan Africa</v>
      </c>
      <c r="G3102" s="4" t="str">
        <f>_xlfn.LET(_xlpm.ig, _xlfn.XLOOKUP(Clean_Data[[#This Row],[Country_Code]], Metadata_Country!$A:$A, Metadata_Country!$C:$C, "Unknown"), IF(OR(_xlpm.ig=0, _xlpm.ig=""), "Regional Aggregate", _xlpm.ig))</f>
        <v>Lower middle income</v>
      </c>
      <c r="H3102" s="4">
        <f>Clean_Data[[#This Row],[Exports_TIV]] - Clean_Data[[#This Row],[Imports_TIV]]</f>
        <v>-12000000</v>
      </c>
      <c r="I3102" s="4">
        <f>Clean_Data[[#This Row],[Exports_TIV]] + Clean_Data[[#This Row],[Imports_TIV]]</f>
        <v>12000000</v>
      </c>
    </row>
    <row r="3103" spans="1:9">
      <c r="A3103" s="4" t="s">
        <v>475</v>
      </c>
      <c r="B3103" s="4" t="s">
        <v>476</v>
      </c>
      <c r="C3103" s="5">
        <v>2006</v>
      </c>
      <c r="D3103" s="4">
        <v>79000000</v>
      </c>
      <c r="E3103" s="4">
        <v>99000000</v>
      </c>
      <c r="F3103" s="4" t="str">
        <f>_xlfn.LET(_xlpm.r, _xlfn.XLOOKUP(Clean_Data[[#This Row],[Country_Code]], Metadata_Country!$A:$A, Metadata_Country!$B:$B, "Unknown"), IF(OR(_xlpm.r=0, _xlpm.r=""), "Regional Aggregate", _xlpm.r))</f>
        <v>East Asia &amp; Pacific</v>
      </c>
      <c r="G3103" s="4" t="str">
        <f>_xlfn.LET(_xlpm.ig, _xlfn.XLOOKUP(Clean_Data[[#This Row],[Country_Code]], Metadata_Country!$A:$A, Metadata_Country!$C:$C, "Unknown"), IF(OR(_xlpm.ig=0, _xlpm.ig=""), "Regional Aggregate", _xlpm.ig))</f>
        <v>Upper middle income</v>
      </c>
      <c r="H3103" s="4">
        <f>Clean_Data[[#This Row],[Exports_TIV]] - Clean_Data[[#This Row],[Imports_TIV]]</f>
        <v>-20000000</v>
      </c>
      <c r="I3103" s="4">
        <f>Clean_Data[[#This Row],[Exports_TIV]] + Clean_Data[[#This Row],[Imports_TIV]]</f>
        <v>178000000</v>
      </c>
    </row>
    <row r="3104" spans="1:9">
      <c r="A3104" s="4" t="s">
        <v>495</v>
      </c>
      <c r="B3104" s="4" t="s">
        <v>496</v>
      </c>
      <c r="C3104" s="5">
        <v>2006</v>
      </c>
      <c r="D3104" s="4">
        <v>0</v>
      </c>
      <c r="E3104" s="4">
        <v>2000000</v>
      </c>
      <c r="F3104" s="4" t="str">
        <f>_xlfn.LET(_xlpm.r, _xlfn.XLOOKUP(Clean_Data[[#This Row],[Country_Code]], Metadata_Country!$A:$A, Metadata_Country!$B:$B, "Unknown"), IF(OR(_xlpm.r=0, _xlpm.r=""), "Regional Aggregate", _xlpm.r))</f>
        <v>Middle East &amp; North Africa</v>
      </c>
      <c r="G3104" s="4" t="str">
        <f>_xlfn.LET(_xlpm.ig, _xlfn.XLOOKUP(Clean_Data[[#This Row],[Country_Code]], Metadata_Country!$A:$A, Metadata_Country!$C:$C, "Unknown"), IF(OR(_xlpm.ig=0, _xlpm.ig=""), "Regional Aggregate", _xlpm.ig))</f>
        <v>Lower middle income</v>
      </c>
      <c r="H3104" s="4">
        <f>Clean_Data[[#This Row],[Exports_TIV]] - Clean_Data[[#This Row],[Imports_TIV]]</f>
        <v>-2000000</v>
      </c>
      <c r="I3104" s="4">
        <f>Clean_Data[[#This Row],[Exports_TIV]] + Clean_Data[[#This Row],[Imports_TIV]]</f>
        <v>2000000</v>
      </c>
    </row>
    <row r="3105" spans="1:9">
      <c r="A3105" s="4" t="s">
        <v>497</v>
      </c>
      <c r="B3105" s="4" t="s">
        <v>498</v>
      </c>
      <c r="C3105" s="5">
        <v>2006</v>
      </c>
      <c r="D3105" s="4">
        <v>68000000</v>
      </c>
      <c r="E3105" s="4">
        <v>524000000</v>
      </c>
      <c r="F3105" s="4" t="str">
        <f>_xlfn.LET(_xlpm.r, _xlfn.XLOOKUP(Clean_Data[[#This Row],[Country_Code]], Metadata_Country!$A:$A, Metadata_Country!$B:$B, "Unknown"), IF(OR(_xlpm.r=0, _xlpm.r=""), "Regional Aggregate", _xlpm.r))</f>
        <v>Europe &amp; Central Asia</v>
      </c>
      <c r="G3105" s="4" t="str">
        <f>_xlfn.LET(_xlpm.ig, _xlfn.XLOOKUP(Clean_Data[[#This Row],[Country_Code]], Metadata_Country!$A:$A, Metadata_Country!$C:$C, "Unknown"), IF(OR(_xlpm.ig=0, _xlpm.ig=""), "Regional Aggregate", _xlpm.ig))</f>
        <v>Upper middle income</v>
      </c>
      <c r="H3105" s="4">
        <f>Clean_Data[[#This Row],[Exports_TIV]] - Clean_Data[[#This Row],[Imports_TIV]]</f>
        <v>-456000000</v>
      </c>
      <c r="I3105" s="4">
        <f>Clean_Data[[#This Row],[Exports_TIV]] + Clean_Data[[#This Row],[Imports_TIV]]</f>
        <v>592000000</v>
      </c>
    </row>
    <row r="3106" spans="1:9">
      <c r="A3106" s="4" t="s">
        <v>503</v>
      </c>
      <c r="B3106" s="4" t="s">
        <v>504</v>
      </c>
      <c r="C3106" s="5">
        <v>2006</v>
      </c>
      <c r="D3106" s="4">
        <v>0</v>
      </c>
      <c r="E3106" s="4">
        <v>5000000</v>
      </c>
      <c r="F3106" s="4" t="str">
        <f>_xlfn.LET(_xlpm.r, _xlfn.XLOOKUP(Clean_Data[[#This Row],[Country_Code]], Metadata_Country!$A:$A, Metadata_Country!$B:$B, "Unknown"), IF(OR(_xlpm.r=0, _xlpm.r=""), "Regional Aggregate", _xlpm.r))</f>
        <v>Sub-Saharan Africa</v>
      </c>
      <c r="G3106" s="4" t="str">
        <f>_xlfn.LET(_xlpm.ig, _xlfn.XLOOKUP(Clean_Data[[#This Row],[Country_Code]], Metadata_Country!$A:$A, Metadata_Country!$C:$C, "Unknown"), IF(OR(_xlpm.ig=0, _xlpm.ig=""), "Regional Aggregate", _xlpm.ig))</f>
        <v>Low income</v>
      </c>
      <c r="H3106" s="4">
        <f>Clean_Data[[#This Row],[Exports_TIV]] - Clean_Data[[#This Row],[Imports_TIV]]</f>
        <v>-5000000</v>
      </c>
      <c r="I3106" s="4">
        <f>Clean_Data[[#This Row],[Exports_TIV]] + Clean_Data[[#This Row],[Imports_TIV]]</f>
        <v>5000000</v>
      </c>
    </row>
    <row r="3107" spans="1:9">
      <c r="A3107" s="4" t="s">
        <v>505</v>
      </c>
      <c r="B3107" s="4" t="s">
        <v>506</v>
      </c>
      <c r="C3107" s="5">
        <v>2006</v>
      </c>
      <c r="D3107" s="4">
        <v>533000000</v>
      </c>
      <c r="E3107" s="4">
        <v>0</v>
      </c>
      <c r="F3107" s="4" t="str">
        <f>_xlfn.LET(_xlpm.r, _xlfn.XLOOKUP(Clean_Data[[#This Row],[Country_Code]], Metadata_Country!$A:$A, Metadata_Country!$B:$B, "Unknown"), IF(OR(_xlpm.r=0, _xlpm.r=""), "Regional Aggregate", _xlpm.r))</f>
        <v>Europe &amp; Central Asia</v>
      </c>
      <c r="G3107" s="4" t="str">
        <f>_xlfn.LET(_xlpm.ig, _xlfn.XLOOKUP(Clean_Data[[#This Row],[Country_Code]], Metadata_Country!$A:$A, Metadata_Country!$C:$C, "Unknown"), IF(OR(_xlpm.ig=0, _xlpm.ig=""), "Regional Aggregate", _xlpm.ig))</f>
        <v>Upper middle income</v>
      </c>
      <c r="H3107" s="4">
        <f>Clean_Data[[#This Row],[Exports_TIV]] - Clean_Data[[#This Row],[Imports_TIV]]</f>
        <v>533000000</v>
      </c>
      <c r="I3107" s="4">
        <f>Clean_Data[[#This Row],[Exports_TIV]] + Clean_Data[[#This Row],[Imports_TIV]]</f>
        <v>533000000</v>
      </c>
    </row>
    <row r="3108" spans="1:9">
      <c r="A3108" s="4" t="s">
        <v>25</v>
      </c>
      <c r="B3108" s="4" t="s">
        <v>26</v>
      </c>
      <c r="C3108" s="5">
        <v>2006</v>
      </c>
      <c r="D3108" s="4">
        <v>17000000</v>
      </c>
      <c r="E3108" s="4">
        <v>1925000000</v>
      </c>
      <c r="F3108" s="4" t="str">
        <f>_xlfn.LET(_xlpm.r, _xlfn.XLOOKUP(Clean_Data[[#This Row],[Country_Code]], Metadata_Country!$A:$A, Metadata_Country!$B:$B, "Unknown"), IF(OR(_xlpm.r=0, _xlpm.r=""), "Regional Aggregate", _xlpm.r))</f>
        <v>Middle East &amp; North Africa</v>
      </c>
      <c r="G3108" s="4" t="str">
        <f>_xlfn.LET(_xlpm.ig, _xlfn.XLOOKUP(Clean_Data[[#This Row],[Country_Code]], Metadata_Country!$A:$A, Metadata_Country!$C:$C, "Unknown"), IF(OR(_xlpm.ig=0, _xlpm.ig=""), "Regional Aggregate", _xlpm.ig))</f>
        <v>High income</v>
      </c>
      <c r="H3108" s="4">
        <f>Clean_Data[[#This Row],[Exports_TIV]] - Clean_Data[[#This Row],[Imports_TIV]]</f>
        <v>-1908000000</v>
      </c>
      <c r="I3108" s="4">
        <f>Clean_Data[[#This Row],[Exports_TIV]] + Clean_Data[[#This Row],[Imports_TIV]]</f>
        <v>1942000000</v>
      </c>
    </row>
    <row r="3109" spans="1:9">
      <c r="A3109" s="4" t="s">
        <v>171</v>
      </c>
      <c r="B3109" s="4" t="s">
        <v>172</v>
      </c>
      <c r="C3109" s="5">
        <v>2006</v>
      </c>
      <c r="D3109" s="4">
        <v>957000000</v>
      </c>
      <c r="E3109" s="4">
        <v>375000000</v>
      </c>
      <c r="F3109" s="4" t="str">
        <f>_xlfn.LET(_xlpm.r, _xlfn.XLOOKUP(Clean_Data[[#This Row],[Country_Code]], Metadata_Country!$A:$A, Metadata_Country!$B:$B, "Unknown"), IF(OR(_xlpm.r=0, _xlpm.r=""), "Regional Aggregate", _xlpm.r))</f>
        <v>Europe &amp; Central Asia</v>
      </c>
      <c r="G3109" s="4" t="str">
        <f>_xlfn.LET(_xlpm.ig, _xlfn.XLOOKUP(Clean_Data[[#This Row],[Country_Code]], Metadata_Country!$A:$A, Metadata_Country!$C:$C, "Unknown"), IF(OR(_xlpm.ig=0, _xlpm.ig=""), "Regional Aggregate", _xlpm.ig))</f>
        <v>High income</v>
      </c>
      <c r="H3109" s="4">
        <f>Clean_Data[[#This Row],[Exports_TIV]] - Clean_Data[[#This Row],[Imports_TIV]]</f>
        <v>582000000</v>
      </c>
      <c r="I3109" s="4">
        <f>Clean_Data[[#This Row],[Exports_TIV]] + Clean_Data[[#This Row],[Imports_TIV]]</f>
        <v>1332000000</v>
      </c>
    </row>
    <row r="3110" spans="1:9">
      <c r="A3110" s="4" t="s">
        <v>511</v>
      </c>
      <c r="B3110" s="4" t="s">
        <v>512</v>
      </c>
      <c r="C3110" s="5">
        <v>2006</v>
      </c>
      <c r="D3110" s="4">
        <v>7497000000</v>
      </c>
      <c r="E3110" s="4">
        <v>706000000</v>
      </c>
      <c r="F3110" s="4" t="str">
        <f>_xlfn.LET(_xlpm.r, _xlfn.XLOOKUP(Clean_Data[[#This Row],[Country_Code]], Metadata_Country!$A:$A, Metadata_Country!$B:$B, "Unknown"), IF(OR(_xlpm.r=0, _xlpm.r=""), "Regional Aggregate", _xlpm.r))</f>
        <v>North America</v>
      </c>
      <c r="G3110" s="4" t="str">
        <f>_xlfn.LET(_xlpm.ig, _xlfn.XLOOKUP(Clean_Data[[#This Row],[Country_Code]], Metadata_Country!$A:$A, Metadata_Country!$C:$C, "Unknown"), IF(OR(_xlpm.ig=0, _xlpm.ig=""), "Regional Aggregate", _xlpm.ig))</f>
        <v>High income</v>
      </c>
      <c r="H3110" s="4">
        <f>Clean_Data[[#This Row],[Exports_TIV]] - Clean_Data[[#This Row],[Imports_TIV]]</f>
        <v>6791000000</v>
      </c>
      <c r="I3110" s="4">
        <f>Clean_Data[[#This Row],[Exports_TIV]] + Clean_Data[[#This Row],[Imports_TIV]]</f>
        <v>8203000000</v>
      </c>
    </row>
    <row r="3111" spans="1:9">
      <c r="A3111" s="4" t="s">
        <v>507</v>
      </c>
      <c r="B3111" s="4" t="s">
        <v>508</v>
      </c>
      <c r="C3111" s="5">
        <v>2006</v>
      </c>
      <c r="D3111" s="4">
        <v>1946000000</v>
      </c>
      <c r="E3111" s="4">
        <v>6795000000</v>
      </c>
      <c r="F3111" s="4" t="str">
        <f>_xlfn.LET(_xlpm.r, _xlfn.XLOOKUP(Clean_Data[[#This Row],[Country_Code]], Metadata_Country!$A:$A, Metadata_Country!$B:$B, "Unknown"), IF(OR(_xlpm.r=0, _xlpm.r=""), "Regional Aggregate", _xlpm.r))</f>
        <v>Regional Aggregate</v>
      </c>
      <c r="G3111" s="4" t="str">
        <f>_xlfn.LET(_xlpm.ig, _xlfn.XLOOKUP(Clean_Data[[#This Row],[Country_Code]], Metadata_Country!$A:$A, Metadata_Country!$C:$C, "Unknown"), IF(OR(_xlpm.ig=0, _xlpm.ig=""), "Regional Aggregate", _xlpm.ig))</f>
        <v>Regional Aggregate</v>
      </c>
      <c r="H3111" s="4">
        <f>Clean_Data[[#This Row],[Exports_TIV]] - Clean_Data[[#This Row],[Imports_TIV]]</f>
        <v>-4849000000</v>
      </c>
      <c r="I3111" s="4">
        <f>Clean_Data[[#This Row],[Exports_TIV]] + Clean_Data[[#This Row],[Imports_TIV]]</f>
        <v>8741000000</v>
      </c>
    </row>
    <row r="3112" spans="1:9">
      <c r="A3112" s="4" t="s">
        <v>509</v>
      </c>
      <c r="B3112" s="4" t="s">
        <v>510</v>
      </c>
      <c r="C3112" s="5">
        <v>2006</v>
      </c>
      <c r="D3112" s="4">
        <v>0</v>
      </c>
      <c r="E3112" s="4">
        <v>8000000</v>
      </c>
      <c r="F3112" s="4" t="str">
        <f>_xlfn.LET(_xlpm.r, _xlfn.XLOOKUP(Clean_Data[[#This Row],[Country_Code]], Metadata_Country!$A:$A, Metadata_Country!$B:$B, "Unknown"), IF(OR(_xlpm.r=0, _xlpm.r=""), "Regional Aggregate", _xlpm.r))</f>
        <v>Latin America &amp; Caribbean</v>
      </c>
      <c r="G3112" s="4" t="str">
        <f>_xlfn.LET(_xlpm.ig, _xlfn.XLOOKUP(Clean_Data[[#This Row],[Country_Code]], Metadata_Country!$A:$A, Metadata_Country!$C:$C, "Unknown"), IF(OR(_xlpm.ig=0, _xlpm.ig=""), "Regional Aggregate", _xlpm.ig))</f>
        <v>High income</v>
      </c>
      <c r="H3112" s="4">
        <f>Clean_Data[[#This Row],[Exports_TIV]] - Clean_Data[[#This Row],[Imports_TIV]]</f>
        <v>-8000000</v>
      </c>
      <c r="I3112" s="4">
        <f>Clean_Data[[#This Row],[Exports_TIV]] + Clean_Data[[#This Row],[Imports_TIV]]</f>
        <v>8000000</v>
      </c>
    </row>
    <row r="3113" spans="1:9">
      <c r="A3113" s="4" t="s">
        <v>517</v>
      </c>
      <c r="B3113" s="4" t="s">
        <v>518</v>
      </c>
      <c r="C3113" s="5">
        <v>2006</v>
      </c>
      <c r="D3113" s="4">
        <v>7000000</v>
      </c>
      <c r="E3113" s="4">
        <v>380000000</v>
      </c>
      <c r="F3113" s="4" t="str">
        <f>_xlfn.LET(_xlpm.r, _xlfn.XLOOKUP(Clean_Data[[#This Row],[Country_Code]], Metadata_Country!$A:$A, Metadata_Country!$B:$B, "Unknown"), IF(OR(_xlpm.r=0, _xlpm.r=""), "Regional Aggregate", _xlpm.r))</f>
        <v>Latin America &amp; Caribbean</v>
      </c>
      <c r="G3113" s="4" t="str">
        <f>_xlfn.LET(_xlpm.ig, _xlfn.XLOOKUP(Clean_Data[[#This Row],[Country_Code]], Metadata_Country!$A:$A, Metadata_Country!$C:$C, "Unknown"), IF(OR(_xlpm.ig=0, _xlpm.ig=""), "Regional Aggregate", _xlpm.ig))</f>
        <v>Lower middle income</v>
      </c>
      <c r="H3113" s="4">
        <f>Clean_Data[[#This Row],[Exports_TIV]] - Clean_Data[[#This Row],[Imports_TIV]]</f>
        <v>-373000000</v>
      </c>
      <c r="I3113" s="4">
        <f>Clean_Data[[#This Row],[Exports_TIV]] + Clean_Data[[#This Row],[Imports_TIV]]</f>
        <v>387000000</v>
      </c>
    </row>
    <row r="3114" spans="1:9">
      <c r="A3114" s="4" t="s">
        <v>523</v>
      </c>
      <c r="B3114" s="4" t="s">
        <v>524</v>
      </c>
      <c r="C3114" s="5">
        <v>2006</v>
      </c>
      <c r="D3114" s="4">
        <v>14000000</v>
      </c>
      <c r="E3114" s="4">
        <v>42000000</v>
      </c>
      <c r="F3114" s="4" t="str">
        <f>_xlfn.LET(_xlpm.r, _xlfn.XLOOKUP(Clean_Data[[#This Row],[Country_Code]], Metadata_Country!$A:$A, Metadata_Country!$B:$B, "Unknown"), IF(OR(_xlpm.r=0, _xlpm.r=""), "Regional Aggregate", _xlpm.r))</f>
        <v>East Asia &amp; Pacific</v>
      </c>
      <c r="G3114" s="4" t="str">
        <f>_xlfn.LET(_xlpm.ig, _xlfn.XLOOKUP(Clean_Data[[#This Row],[Country_Code]], Metadata_Country!$A:$A, Metadata_Country!$C:$C, "Unknown"), IF(OR(_xlpm.ig=0, _xlpm.ig=""), "Regional Aggregate", _xlpm.ig))</f>
        <v>Upper middle income</v>
      </c>
      <c r="H3114" s="4">
        <f>Clean_Data[[#This Row],[Exports_TIV]] - Clean_Data[[#This Row],[Imports_TIV]]</f>
        <v>-28000000</v>
      </c>
      <c r="I3114" s="4">
        <f>Clean_Data[[#This Row],[Exports_TIV]] + Clean_Data[[#This Row],[Imports_TIV]]</f>
        <v>56000000</v>
      </c>
    </row>
    <row r="3115" spans="1:9">
      <c r="A3115" s="4" t="s">
        <v>527</v>
      </c>
      <c r="B3115" s="4" t="s">
        <v>528</v>
      </c>
      <c r="C3115" s="5">
        <v>2006</v>
      </c>
      <c r="D3115" s="4">
        <v>24528000000</v>
      </c>
      <c r="E3115" s="4">
        <v>24394000000</v>
      </c>
      <c r="F3115" s="4" t="str">
        <f>_xlfn.LET(_xlpm.r, _xlfn.XLOOKUP(Clean_Data[[#This Row],[Country_Code]], Metadata_Country!$A:$A, Metadata_Country!$B:$B, "Unknown"), IF(OR(_xlpm.r=0, _xlpm.r=""), "Regional Aggregate", _xlpm.r))</f>
        <v>Regional Aggregate</v>
      </c>
      <c r="G3115" s="4" t="str">
        <f>_xlfn.LET(_xlpm.ig, _xlfn.XLOOKUP(Clean_Data[[#This Row],[Country_Code]], Metadata_Country!$A:$A, Metadata_Country!$C:$C, "Unknown"), IF(OR(_xlpm.ig=0, _xlpm.ig=""), "Regional Aggregate", _xlpm.ig))</f>
        <v>Regional Aggregate</v>
      </c>
      <c r="H3115" s="4">
        <f>Clean_Data[[#This Row],[Exports_TIV]] - Clean_Data[[#This Row],[Imports_TIV]]</f>
        <v>134000000</v>
      </c>
      <c r="I3115" s="4">
        <f>Clean_Data[[#This Row],[Exports_TIV]] + Clean_Data[[#This Row],[Imports_TIV]]</f>
        <v>48922000000</v>
      </c>
    </row>
    <row r="3116" spans="1:9">
      <c r="A3116" s="4" t="s">
        <v>533</v>
      </c>
      <c r="B3116" s="4" t="s">
        <v>534</v>
      </c>
      <c r="C3116" s="5">
        <v>2006</v>
      </c>
      <c r="D3116" s="4">
        <v>0</v>
      </c>
      <c r="E3116" s="4">
        <v>38000000</v>
      </c>
      <c r="F3116" s="4" t="str">
        <f>_xlfn.LET(_xlpm.r, _xlfn.XLOOKUP(Clean_Data[[#This Row],[Country_Code]], Metadata_Country!$A:$A, Metadata_Country!$B:$B, "Unknown"), IF(OR(_xlpm.r=0, _xlpm.r=""), "Regional Aggregate", _xlpm.r))</f>
        <v>Middle East &amp; North Africa</v>
      </c>
      <c r="G3116" s="4" t="str">
        <f>_xlfn.LET(_xlpm.ig, _xlfn.XLOOKUP(Clean_Data[[#This Row],[Country_Code]], Metadata_Country!$A:$A, Metadata_Country!$C:$C, "Unknown"), IF(OR(_xlpm.ig=0, _xlpm.ig=""), "Regional Aggregate", _xlpm.ig))</f>
        <v>Low income</v>
      </c>
      <c r="H3116" s="4">
        <f>Clean_Data[[#This Row],[Exports_TIV]] - Clean_Data[[#This Row],[Imports_TIV]]</f>
        <v>-38000000</v>
      </c>
      <c r="I3116" s="4">
        <f>Clean_Data[[#This Row],[Exports_TIV]] + Clean_Data[[#This Row],[Imports_TIV]]</f>
        <v>38000000</v>
      </c>
    </row>
    <row r="3117" spans="1:9">
      <c r="A3117" s="4" t="s">
        <v>537</v>
      </c>
      <c r="B3117" s="4" t="s">
        <v>538</v>
      </c>
      <c r="C3117" s="5">
        <v>2006</v>
      </c>
      <c r="D3117" s="4">
        <v>0</v>
      </c>
      <c r="E3117" s="4">
        <v>30000000</v>
      </c>
      <c r="F3117" s="4" t="str">
        <f>_xlfn.LET(_xlpm.r, _xlfn.XLOOKUP(Clean_Data[[#This Row],[Country_Code]], Metadata_Country!$A:$A, Metadata_Country!$B:$B, "Unknown"), IF(OR(_xlpm.r=0, _xlpm.r=""), "Regional Aggregate", _xlpm.r))</f>
        <v>Sub-Saharan Africa</v>
      </c>
      <c r="G3117" s="4" t="str">
        <f>_xlfn.LET(_xlpm.ig, _xlfn.XLOOKUP(Clean_Data[[#This Row],[Country_Code]], Metadata_Country!$A:$A, Metadata_Country!$C:$C, "Unknown"), IF(OR(_xlpm.ig=0, _xlpm.ig=""), "Regional Aggregate", _xlpm.ig))</f>
        <v>Lower middle income</v>
      </c>
      <c r="H3117" s="4">
        <f>Clean_Data[[#This Row],[Exports_TIV]] - Clean_Data[[#This Row],[Imports_TIV]]</f>
        <v>-30000000</v>
      </c>
      <c r="I3117" s="4">
        <f>Clean_Data[[#This Row],[Exports_TIV]] + Clean_Data[[#This Row],[Imports_TIV]]</f>
        <v>30000000</v>
      </c>
    </row>
    <row r="3118" spans="1:9">
      <c r="A3118" s="4" t="s">
        <v>539</v>
      </c>
      <c r="B3118" s="4" t="s">
        <v>540</v>
      </c>
      <c r="C3118" s="5">
        <v>2006</v>
      </c>
      <c r="D3118" s="4">
        <v>0</v>
      </c>
      <c r="E3118" s="4">
        <v>25000000</v>
      </c>
      <c r="F3118" s="4" t="str">
        <f>_xlfn.LET(_xlpm.r, _xlfn.XLOOKUP(Clean_Data[[#This Row],[Country_Code]], Metadata_Country!$A:$A, Metadata_Country!$B:$B, "Unknown"), IF(OR(_xlpm.r=0, _xlpm.r=""), "Regional Aggregate", _xlpm.r))</f>
        <v>Sub-Saharan Africa</v>
      </c>
      <c r="G3118" s="4" t="str">
        <f>_xlfn.LET(_xlpm.ig, _xlfn.XLOOKUP(Clean_Data[[#This Row],[Country_Code]], Metadata_Country!$A:$A, Metadata_Country!$C:$C, "Unknown"), IF(OR(_xlpm.ig=0, _xlpm.ig=""), "Regional Aggregate", _xlpm.ig))</f>
        <v>Lower middle income</v>
      </c>
      <c r="H3118" s="4">
        <f>Clean_Data[[#This Row],[Exports_TIV]] - Clean_Data[[#This Row],[Imports_TIV]]</f>
        <v>-25000000</v>
      </c>
      <c r="I3118" s="4">
        <f>Clean_Data[[#This Row],[Exports_TIV]] + Clean_Data[[#This Row],[Imports_TIV]]</f>
        <v>25000000</v>
      </c>
    </row>
    <row r="3119" spans="1:9">
      <c r="A3119" s="4" t="s">
        <v>13</v>
      </c>
      <c r="B3119" s="4" t="s">
        <v>14</v>
      </c>
      <c r="C3119" s="5">
        <v>2005</v>
      </c>
      <c r="D3119" s="4">
        <v>0</v>
      </c>
      <c r="E3119" s="4">
        <v>33000000</v>
      </c>
      <c r="F3119" s="4" t="str">
        <f>_xlfn.LET(_xlpm.r, _xlfn.XLOOKUP(Clean_Data[[#This Row],[Country_Code]], Metadata_Country!$A:$A, Metadata_Country!$B:$B, "Unknown"), IF(OR(_xlpm.r=0, _xlpm.r=""), "Regional Aggregate", _xlpm.r))</f>
        <v>Middle East &amp; North Africa</v>
      </c>
      <c r="G3119" s="4" t="str">
        <f>_xlfn.LET(_xlpm.ig, _xlfn.XLOOKUP(Clean_Data[[#This Row],[Country_Code]], Metadata_Country!$A:$A, Metadata_Country!$C:$C, "Unknown"), IF(OR(_xlpm.ig=0, _xlpm.ig=""), "Regional Aggregate", _xlpm.ig))</f>
        <v>Low income</v>
      </c>
      <c r="H3119" s="4">
        <f>Clean_Data[[#This Row],[Exports_TIV]] - Clean_Data[[#This Row],[Imports_TIV]]</f>
        <v>-33000000</v>
      </c>
      <c r="I3119" s="4">
        <f>Clean_Data[[#This Row],[Exports_TIV]] + Clean_Data[[#This Row],[Imports_TIV]]</f>
        <v>33000000</v>
      </c>
    </row>
    <row r="3120" spans="1:9">
      <c r="A3120" s="4" t="s">
        <v>11</v>
      </c>
      <c r="B3120" s="4" t="s">
        <v>12</v>
      </c>
      <c r="C3120" s="5">
        <v>2005</v>
      </c>
      <c r="D3120" s="4">
        <v>0</v>
      </c>
      <c r="E3120" s="4">
        <v>598000000</v>
      </c>
      <c r="F3120" s="4" t="str">
        <f>_xlfn.LET(_xlpm.r, _xlfn.XLOOKUP(Clean_Data[[#This Row],[Country_Code]], Metadata_Country!$A:$A, Metadata_Country!$B:$B, "Unknown"), IF(OR(_xlpm.r=0, _xlpm.r=""), "Regional Aggregate", _xlpm.r))</f>
        <v>Regional Aggregate</v>
      </c>
      <c r="G3120" s="4" t="str">
        <f>_xlfn.LET(_xlpm.ig, _xlfn.XLOOKUP(Clean_Data[[#This Row],[Country_Code]], Metadata_Country!$A:$A, Metadata_Country!$C:$C, "Unknown"), IF(OR(_xlpm.ig=0, _xlpm.ig=""), "Regional Aggregate", _xlpm.ig))</f>
        <v>Regional Aggregate</v>
      </c>
      <c r="H3120" s="4">
        <f>Clean_Data[[#This Row],[Exports_TIV]] - Clean_Data[[#This Row],[Imports_TIV]]</f>
        <v>-598000000</v>
      </c>
      <c r="I3120" s="4">
        <f>Clean_Data[[#This Row],[Exports_TIV]] + Clean_Data[[#This Row],[Imports_TIV]]</f>
        <v>598000000</v>
      </c>
    </row>
    <row r="3121" spans="1:9">
      <c r="A3121" s="4" t="s">
        <v>19</v>
      </c>
      <c r="B3121" s="4" t="s">
        <v>20</v>
      </c>
      <c r="C3121" s="5">
        <v>2005</v>
      </c>
      <c r="D3121" s="4">
        <v>0</v>
      </c>
      <c r="E3121" s="4">
        <v>7000000</v>
      </c>
      <c r="F3121" s="4" t="str">
        <f>_xlfn.LET(_xlpm.r, _xlfn.XLOOKUP(Clean_Data[[#This Row],[Country_Code]], Metadata_Country!$A:$A, Metadata_Country!$B:$B, "Unknown"), IF(OR(_xlpm.r=0, _xlpm.r=""), "Regional Aggregate", _xlpm.r))</f>
        <v>Europe &amp; Central Asia</v>
      </c>
      <c r="G3121" s="4" t="str">
        <f>_xlfn.LET(_xlpm.ig, _xlfn.XLOOKUP(Clean_Data[[#This Row],[Country_Code]], Metadata_Country!$A:$A, Metadata_Country!$C:$C, "Unknown"), IF(OR(_xlpm.ig=0, _xlpm.ig=""), "Regional Aggregate", _xlpm.ig))</f>
        <v>Upper middle income</v>
      </c>
      <c r="H3121" s="4">
        <f>Clean_Data[[#This Row],[Exports_TIV]] - Clean_Data[[#This Row],[Imports_TIV]]</f>
        <v>-7000000</v>
      </c>
      <c r="I3121" s="4">
        <f>Clean_Data[[#This Row],[Exports_TIV]] + Clean_Data[[#This Row],[Imports_TIV]]</f>
        <v>7000000</v>
      </c>
    </row>
    <row r="3122" spans="1:9">
      <c r="A3122" s="4" t="s">
        <v>129</v>
      </c>
      <c r="B3122" s="4" t="s">
        <v>130</v>
      </c>
      <c r="C3122" s="5">
        <v>2005</v>
      </c>
      <c r="D3122" s="4">
        <v>0</v>
      </c>
      <c r="E3122" s="4">
        <v>159000000</v>
      </c>
      <c r="F3122" s="4" t="str">
        <f>_xlfn.LET(_xlpm.r, _xlfn.XLOOKUP(Clean_Data[[#This Row],[Country_Code]], Metadata_Country!$A:$A, Metadata_Country!$B:$B, "Unknown"), IF(OR(_xlpm.r=0, _xlpm.r=""), "Regional Aggregate", _xlpm.r))</f>
        <v>Middle East &amp; North Africa</v>
      </c>
      <c r="G3122" s="4" t="str">
        <f>_xlfn.LET(_xlpm.ig, _xlfn.XLOOKUP(Clean_Data[[#This Row],[Country_Code]], Metadata_Country!$A:$A, Metadata_Country!$C:$C, "Unknown"), IF(OR(_xlpm.ig=0, _xlpm.ig=""), "Regional Aggregate", _xlpm.ig))</f>
        <v>Upper middle income</v>
      </c>
      <c r="H3122" s="4">
        <f>Clean_Data[[#This Row],[Exports_TIV]] - Clean_Data[[#This Row],[Imports_TIV]]</f>
        <v>-159000000</v>
      </c>
      <c r="I3122" s="4">
        <f>Clean_Data[[#This Row],[Exports_TIV]] + Clean_Data[[#This Row],[Imports_TIV]]</f>
        <v>159000000</v>
      </c>
    </row>
    <row r="3123" spans="1:9">
      <c r="A3123" s="4" t="s">
        <v>17</v>
      </c>
      <c r="B3123" s="4" t="s">
        <v>18</v>
      </c>
      <c r="C3123" s="5">
        <v>2005</v>
      </c>
      <c r="D3123" s="4">
        <v>0</v>
      </c>
      <c r="E3123" s="4">
        <v>38000000</v>
      </c>
      <c r="F3123" s="4" t="str">
        <f>_xlfn.LET(_xlpm.r, _xlfn.XLOOKUP(Clean_Data[[#This Row],[Country_Code]], Metadata_Country!$A:$A, Metadata_Country!$B:$B, "Unknown"), IF(OR(_xlpm.r=0, _xlpm.r=""), "Regional Aggregate", _xlpm.r))</f>
        <v>Sub-Saharan Africa</v>
      </c>
      <c r="G3123" s="4" t="str">
        <f>_xlfn.LET(_xlpm.ig, _xlfn.XLOOKUP(Clean_Data[[#This Row],[Country_Code]], Metadata_Country!$A:$A, Metadata_Country!$C:$C, "Unknown"), IF(OR(_xlpm.ig=0, _xlpm.ig=""), "Regional Aggregate", _xlpm.ig))</f>
        <v>Lower middle income</v>
      </c>
      <c r="H3123" s="4">
        <f>Clean_Data[[#This Row],[Exports_TIV]] - Clean_Data[[#This Row],[Imports_TIV]]</f>
        <v>-38000000</v>
      </c>
      <c r="I3123" s="4">
        <f>Clean_Data[[#This Row],[Exports_TIV]] + Clean_Data[[#This Row],[Imports_TIV]]</f>
        <v>38000000</v>
      </c>
    </row>
    <row r="3124" spans="1:9">
      <c r="A3124" s="4" t="s">
        <v>23</v>
      </c>
      <c r="B3124" s="4" t="s">
        <v>24</v>
      </c>
      <c r="C3124" s="5">
        <v>2005</v>
      </c>
      <c r="D3124" s="4">
        <v>0</v>
      </c>
      <c r="E3124" s="4">
        <v>4497000000</v>
      </c>
      <c r="F3124" s="4" t="str">
        <f>_xlfn.LET(_xlpm.r, _xlfn.XLOOKUP(Clean_Data[[#This Row],[Country_Code]], Metadata_Country!$A:$A, Metadata_Country!$B:$B, "Unknown"), IF(OR(_xlpm.r=0, _xlpm.r=""), "Regional Aggregate", _xlpm.r))</f>
        <v>Regional Aggregate</v>
      </c>
      <c r="G3124" s="4" t="str">
        <f>_xlfn.LET(_xlpm.ig, _xlfn.XLOOKUP(Clean_Data[[#This Row],[Country_Code]], Metadata_Country!$A:$A, Metadata_Country!$C:$C, "Unknown"), IF(OR(_xlpm.ig=0, _xlpm.ig=""), "Regional Aggregate", _xlpm.ig))</f>
        <v>Regional Aggregate</v>
      </c>
      <c r="H3124" s="4">
        <f>Clean_Data[[#This Row],[Exports_TIV]] - Clean_Data[[#This Row],[Imports_TIV]]</f>
        <v>-4497000000</v>
      </c>
      <c r="I3124" s="4">
        <f>Clean_Data[[#This Row],[Exports_TIV]] + Clean_Data[[#This Row],[Imports_TIV]]</f>
        <v>4497000000</v>
      </c>
    </row>
    <row r="3125" spans="1:9">
      <c r="A3125" s="4" t="s">
        <v>27</v>
      </c>
      <c r="B3125" s="4" t="s">
        <v>28</v>
      </c>
      <c r="C3125" s="5">
        <v>2005</v>
      </c>
      <c r="D3125" s="4">
        <v>0</v>
      </c>
      <c r="E3125" s="4">
        <v>3000000</v>
      </c>
      <c r="F3125" s="4" t="str">
        <f>_xlfn.LET(_xlpm.r, _xlfn.XLOOKUP(Clean_Data[[#This Row],[Country_Code]], Metadata_Country!$A:$A, Metadata_Country!$B:$B, "Unknown"), IF(OR(_xlpm.r=0, _xlpm.r=""), "Regional Aggregate", _xlpm.r))</f>
        <v>Latin America &amp; Caribbean</v>
      </c>
      <c r="G3125" s="4" t="str">
        <f>_xlfn.LET(_xlpm.ig, _xlfn.XLOOKUP(Clean_Data[[#This Row],[Country_Code]], Metadata_Country!$A:$A, Metadata_Country!$C:$C, "Unknown"), IF(OR(_xlpm.ig=0, _xlpm.ig=""), "Regional Aggregate", _xlpm.ig))</f>
        <v>Upper middle income</v>
      </c>
      <c r="H3125" s="4">
        <f>Clean_Data[[#This Row],[Exports_TIV]] - Clean_Data[[#This Row],[Imports_TIV]]</f>
        <v>-3000000</v>
      </c>
      <c r="I3125" s="4">
        <f>Clean_Data[[#This Row],[Exports_TIV]] + Clean_Data[[#This Row],[Imports_TIV]]</f>
        <v>3000000</v>
      </c>
    </row>
    <row r="3126" spans="1:9">
      <c r="A3126" s="4" t="s">
        <v>35</v>
      </c>
      <c r="B3126" s="4" t="s">
        <v>36</v>
      </c>
      <c r="C3126" s="5">
        <v>2005</v>
      </c>
      <c r="D3126" s="4">
        <v>49000000</v>
      </c>
      <c r="E3126" s="4">
        <v>458000000</v>
      </c>
      <c r="F3126" s="4" t="str">
        <f>_xlfn.LET(_xlpm.r, _xlfn.XLOOKUP(Clean_Data[[#This Row],[Country_Code]], Metadata_Country!$A:$A, Metadata_Country!$B:$B, "Unknown"), IF(OR(_xlpm.r=0, _xlpm.r=""), "Regional Aggregate", _xlpm.r))</f>
        <v>East Asia &amp; Pacific</v>
      </c>
      <c r="G3126" s="4" t="str">
        <f>_xlfn.LET(_xlpm.ig, _xlfn.XLOOKUP(Clean_Data[[#This Row],[Country_Code]], Metadata_Country!$A:$A, Metadata_Country!$C:$C, "Unknown"), IF(OR(_xlpm.ig=0, _xlpm.ig=""), "Regional Aggregate", _xlpm.ig))</f>
        <v>High income</v>
      </c>
      <c r="H3126" s="4">
        <f>Clean_Data[[#This Row],[Exports_TIV]] - Clean_Data[[#This Row],[Imports_TIV]]</f>
        <v>-409000000</v>
      </c>
      <c r="I3126" s="4">
        <f>Clean_Data[[#This Row],[Exports_TIV]] + Clean_Data[[#This Row],[Imports_TIV]]</f>
        <v>507000000</v>
      </c>
    </row>
    <row r="3127" spans="1:9">
      <c r="A3127" s="4" t="s">
        <v>37</v>
      </c>
      <c r="B3127" s="4" t="s">
        <v>38</v>
      </c>
      <c r="C3127" s="5">
        <v>2005</v>
      </c>
      <c r="D3127" s="4">
        <v>3000000</v>
      </c>
      <c r="E3127" s="4">
        <v>26000000</v>
      </c>
      <c r="F3127" s="4" t="str">
        <f>_xlfn.LET(_xlpm.r, _xlfn.XLOOKUP(Clean_Data[[#This Row],[Country_Code]], Metadata_Country!$A:$A, Metadata_Country!$B:$B, "Unknown"), IF(OR(_xlpm.r=0, _xlpm.r=""), "Regional Aggregate", _xlpm.r))</f>
        <v>Europe &amp; Central Asia</v>
      </c>
      <c r="G3127" s="4" t="str">
        <f>_xlfn.LET(_xlpm.ig, _xlfn.XLOOKUP(Clean_Data[[#This Row],[Country_Code]], Metadata_Country!$A:$A, Metadata_Country!$C:$C, "Unknown"), IF(OR(_xlpm.ig=0, _xlpm.ig=""), "Regional Aggregate", _xlpm.ig))</f>
        <v>High income</v>
      </c>
      <c r="H3127" s="4">
        <f>Clean_Data[[#This Row],[Exports_TIV]] - Clean_Data[[#This Row],[Imports_TIV]]</f>
        <v>-23000000</v>
      </c>
      <c r="I3127" s="4">
        <f>Clean_Data[[#This Row],[Exports_TIV]] + Clean_Data[[#This Row],[Imports_TIV]]</f>
        <v>29000000</v>
      </c>
    </row>
    <row r="3128" spans="1:9">
      <c r="A3128" s="4" t="s">
        <v>39</v>
      </c>
      <c r="B3128" s="4" t="s">
        <v>40</v>
      </c>
      <c r="C3128" s="5">
        <v>2005</v>
      </c>
      <c r="D3128" s="4">
        <v>0</v>
      </c>
      <c r="E3128" s="4">
        <v>63000000</v>
      </c>
      <c r="F3128" s="4" t="str">
        <f>_xlfn.LET(_xlpm.r, _xlfn.XLOOKUP(Clean_Data[[#This Row],[Country_Code]], Metadata_Country!$A:$A, Metadata_Country!$B:$B, "Unknown"), IF(OR(_xlpm.r=0, _xlpm.r=""), "Regional Aggregate", _xlpm.r))</f>
        <v>Europe &amp; Central Asia</v>
      </c>
      <c r="G3128" s="4" t="str">
        <f>_xlfn.LET(_xlpm.ig, _xlfn.XLOOKUP(Clean_Data[[#This Row],[Country_Code]], Metadata_Country!$A:$A, Metadata_Country!$C:$C, "Unknown"), IF(OR(_xlpm.ig=0, _xlpm.ig=""), "Regional Aggregate", _xlpm.ig))</f>
        <v>Upper middle income</v>
      </c>
      <c r="H3128" s="4">
        <f>Clean_Data[[#This Row],[Exports_TIV]] - Clean_Data[[#This Row],[Imports_TIV]]</f>
        <v>-63000000</v>
      </c>
      <c r="I3128" s="4">
        <f>Clean_Data[[#This Row],[Exports_TIV]] + Clean_Data[[#This Row],[Imports_TIV]]</f>
        <v>63000000</v>
      </c>
    </row>
    <row r="3129" spans="1:9">
      <c r="A3129" s="4" t="s">
        <v>55</v>
      </c>
      <c r="B3129" s="4" t="s">
        <v>56</v>
      </c>
      <c r="C3129" s="5">
        <v>2005</v>
      </c>
      <c r="D3129" s="4">
        <v>0</v>
      </c>
      <c r="E3129" s="4">
        <v>3000000</v>
      </c>
      <c r="F3129" s="4" t="str">
        <f>_xlfn.LET(_xlpm.r, _xlfn.XLOOKUP(Clean_Data[[#This Row],[Country_Code]], Metadata_Country!$A:$A, Metadata_Country!$B:$B, "Unknown"), IF(OR(_xlpm.r=0, _xlpm.r=""), "Regional Aggregate", _xlpm.r))</f>
        <v>Latin America &amp; Caribbean</v>
      </c>
      <c r="G3129" s="4" t="str">
        <f>_xlfn.LET(_xlpm.ig, _xlfn.XLOOKUP(Clean_Data[[#This Row],[Country_Code]], Metadata_Country!$A:$A, Metadata_Country!$C:$C, "Unknown"), IF(OR(_xlpm.ig=0, _xlpm.ig=""), "Regional Aggregate", _xlpm.ig))</f>
        <v>High income</v>
      </c>
      <c r="H3129" s="4">
        <f>Clean_Data[[#This Row],[Exports_TIV]] - Clean_Data[[#This Row],[Imports_TIV]]</f>
        <v>-3000000</v>
      </c>
      <c r="I3129" s="4">
        <f>Clean_Data[[#This Row],[Exports_TIV]] + Clean_Data[[#This Row],[Imports_TIV]]</f>
        <v>3000000</v>
      </c>
    </row>
    <row r="3130" spans="1:9">
      <c r="A3130" s="4" t="s">
        <v>53</v>
      </c>
      <c r="B3130" s="4" t="s">
        <v>54</v>
      </c>
      <c r="C3130" s="5">
        <v>2005</v>
      </c>
      <c r="D3130" s="4">
        <v>0</v>
      </c>
      <c r="E3130" s="4">
        <v>66000000</v>
      </c>
      <c r="F3130" s="4" t="str">
        <f>_xlfn.LET(_xlpm.r, _xlfn.XLOOKUP(Clean_Data[[#This Row],[Country_Code]], Metadata_Country!$A:$A, Metadata_Country!$B:$B, "Unknown"), IF(OR(_xlpm.r=0, _xlpm.r=""), "Regional Aggregate", _xlpm.r))</f>
        <v>Middle East &amp; North Africa</v>
      </c>
      <c r="G3130" s="4" t="str">
        <f>_xlfn.LET(_xlpm.ig, _xlfn.XLOOKUP(Clean_Data[[#This Row],[Country_Code]], Metadata_Country!$A:$A, Metadata_Country!$C:$C, "Unknown"), IF(OR(_xlpm.ig=0, _xlpm.ig=""), "Regional Aggregate", _xlpm.ig))</f>
        <v>High income</v>
      </c>
      <c r="H3130" s="4">
        <f>Clean_Data[[#This Row],[Exports_TIV]] - Clean_Data[[#This Row],[Imports_TIV]]</f>
        <v>-66000000</v>
      </c>
      <c r="I3130" s="4">
        <f>Clean_Data[[#This Row],[Exports_TIV]] + Clean_Data[[#This Row],[Imports_TIV]]</f>
        <v>66000000</v>
      </c>
    </row>
    <row r="3131" spans="1:9">
      <c r="A3131" s="4" t="s">
        <v>49</v>
      </c>
      <c r="B3131" s="4" t="s">
        <v>50</v>
      </c>
      <c r="C3131" s="5">
        <v>2005</v>
      </c>
      <c r="D3131" s="4">
        <v>0</v>
      </c>
      <c r="E3131" s="4">
        <v>10000000</v>
      </c>
      <c r="F3131" s="4" t="str">
        <f>_xlfn.LET(_xlpm.r, _xlfn.XLOOKUP(Clean_Data[[#This Row],[Country_Code]], Metadata_Country!$A:$A, Metadata_Country!$B:$B, "Unknown"), IF(OR(_xlpm.r=0, _xlpm.r=""), "Regional Aggregate", _xlpm.r))</f>
        <v>South Asia</v>
      </c>
      <c r="G3131" s="4" t="str">
        <f>_xlfn.LET(_xlpm.ig, _xlfn.XLOOKUP(Clean_Data[[#This Row],[Country_Code]], Metadata_Country!$A:$A, Metadata_Country!$C:$C, "Unknown"), IF(OR(_xlpm.ig=0, _xlpm.ig=""), "Regional Aggregate", _xlpm.ig))</f>
        <v>Lower middle income</v>
      </c>
      <c r="H3131" s="4">
        <f>Clean_Data[[#This Row],[Exports_TIV]] - Clean_Data[[#This Row],[Imports_TIV]]</f>
        <v>-10000000</v>
      </c>
      <c r="I3131" s="4">
        <f>Clean_Data[[#This Row],[Exports_TIV]] + Clean_Data[[#This Row],[Imports_TIV]]</f>
        <v>10000000</v>
      </c>
    </row>
    <row r="3132" spans="1:9">
      <c r="A3132" s="4" t="s">
        <v>59</v>
      </c>
      <c r="B3132" s="4" t="s">
        <v>60</v>
      </c>
      <c r="C3132" s="5">
        <v>2005</v>
      </c>
      <c r="D3132" s="4">
        <v>53000000</v>
      </c>
      <c r="E3132" s="4">
        <v>6000000</v>
      </c>
      <c r="F3132" s="4" t="str">
        <f>_xlfn.LET(_xlpm.r, _xlfn.XLOOKUP(Clean_Data[[#This Row],[Country_Code]], Metadata_Country!$A:$A, Metadata_Country!$B:$B, "Unknown"), IF(OR(_xlpm.r=0, _xlpm.r=""), "Regional Aggregate", _xlpm.r))</f>
        <v>Europe &amp; Central Asia</v>
      </c>
      <c r="G3132" s="4" t="str">
        <f>_xlfn.LET(_xlpm.ig, _xlfn.XLOOKUP(Clean_Data[[#This Row],[Country_Code]], Metadata_Country!$A:$A, Metadata_Country!$C:$C, "Unknown"), IF(OR(_xlpm.ig=0, _xlpm.ig=""), "Regional Aggregate", _xlpm.ig))</f>
        <v>Upper middle income</v>
      </c>
      <c r="H3132" s="4">
        <f>Clean_Data[[#This Row],[Exports_TIV]] - Clean_Data[[#This Row],[Imports_TIV]]</f>
        <v>47000000</v>
      </c>
      <c r="I3132" s="4">
        <f>Clean_Data[[#This Row],[Exports_TIV]] + Clean_Data[[#This Row],[Imports_TIV]]</f>
        <v>59000000</v>
      </c>
    </row>
    <row r="3133" spans="1:9">
      <c r="A3133" s="4" t="s">
        <v>43</v>
      </c>
      <c r="B3133" s="4" t="s">
        <v>44</v>
      </c>
      <c r="C3133" s="5">
        <v>2005</v>
      </c>
      <c r="D3133" s="4">
        <v>160000000</v>
      </c>
      <c r="E3133" s="4">
        <v>3000000</v>
      </c>
      <c r="F3133" s="4" t="str">
        <f>_xlfn.LET(_xlpm.r, _xlfn.XLOOKUP(Clean_Data[[#This Row],[Country_Code]], Metadata_Country!$A:$A, Metadata_Country!$B:$B, "Unknown"), IF(OR(_xlpm.r=0, _xlpm.r=""), "Regional Aggregate", _xlpm.r))</f>
        <v>Europe &amp; Central Asia</v>
      </c>
      <c r="G3133" s="4" t="str">
        <f>_xlfn.LET(_xlpm.ig, _xlfn.XLOOKUP(Clean_Data[[#This Row],[Country_Code]], Metadata_Country!$A:$A, Metadata_Country!$C:$C, "Unknown"), IF(OR(_xlpm.ig=0, _xlpm.ig=""), "Regional Aggregate", _xlpm.ig))</f>
        <v>High income</v>
      </c>
      <c r="H3133" s="4">
        <f>Clean_Data[[#This Row],[Exports_TIV]] - Clean_Data[[#This Row],[Imports_TIV]]</f>
        <v>157000000</v>
      </c>
      <c r="I3133" s="4">
        <f>Clean_Data[[#This Row],[Exports_TIV]] + Clean_Data[[#This Row],[Imports_TIV]]</f>
        <v>163000000</v>
      </c>
    </row>
    <row r="3134" spans="1:9">
      <c r="A3134" s="4" t="s">
        <v>65</v>
      </c>
      <c r="B3134" s="4" t="s">
        <v>66</v>
      </c>
      <c r="C3134" s="5">
        <v>2005</v>
      </c>
      <c r="D3134" s="4">
        <v>0</v>
      </c>
      <c r="E3134" s="4">
        <v>1000000</v>
      </c>
      <c r="F3134" s="4" t="str">
        <f>_xlfn.LET(_xlpm.r, _xlfn.XLOOKUP(Clean_Data[[#This Row],[Country_Code]], Metadata_Country!$A:$A, Metadata_Country!$B:$B, "Unknown"), IF(OR(_xlpm.r=0, _xlpm.r=""), "Regional Aggregate", _xlpm.r))</f>
        <v>Latin America &amp; Caribbean</v>
      </c>
      <c r="G3134" s="4" t="str">
        <f>_xlfn.LET(_xlpm.ig, _xlfn.XLOOKUP(Clean_Data[[#This Row],[Country_Code]], Metadata_Country!$A:$A, Metadata_Country!$C:$C, "Unknown"), IF(OR(_xlpm.ig=0, _xlpm.ig=""), "Regional Aggregate", _xlpm.ig))</f>
        <v>Lower middle income</v>
      </c>
      <c r="H3134" s="4">
        <f>Clean_Data[[#This Row],[Exports_TIV]] - Clean_Data[[#This Row],[Imports_TIV]]</f>
        <v>-1000000</v>
      </c>
      <c r="I3134" s="4">
        <f>Clean_Data[[#This Row],[Exports_TIV]] + Clean_Data[[#This Row],[Imports_TIV]]</f>
        <v>1000000</v>
      </c>
    </row>
    <row r="3135" spans="1:9">
      <c r="A3135" s="4" t="s">
        <v>67</v>
      </c>
      <c r="B3135" s="4" t="s">
        <v>68</v>
      </c>
      <c r="C3135" s="5">
        <v>2005</v>
      </c>
      <c r="D3135" s="4">
        <v>1000000</v>
      </c>
      <c r="E3135" s="4">
        <v>223000000</v>
      </c>
      <c r="F3135" s="4" t="str">
        <f>_xlfn.LET(_xlpm.r, _xlfn.XLOOKUP(Clean_Data[[#This Row],[Country_Code]], Metadata_Country!$A:$A, Metadata_Country!$B:$B, "Unknown"), IF(OR(_xlpm.r=0, _xlpm.r=""), "Regional Aggregate", _xlpm.r))</f>
        <v>Latin America &amp; Caribbean</v>
      </c>
      <c r="G3135" s="4" t="str">
        <f>_xlfn.LET(_xlpm.ig, _xlfn.XLOOKUP(Clean_Data[[#This Row],[Country_Code]], Metadata_Country!$A:$A, Metadata_Country!$C:$C, "Unknown"), IF(OR(_xlpm.ig=0, _xlpm.ig=""), "Regional Aggregate", _xlpm.ig))</f>
        <v>Upper middle income</v>
      </c>
      <c r="H3135" s="4">
        <f>Clean_Data[[#This Row],[Exports_TIV]] - Clean_Data[[#This Row],[Imports_TIV]]</f>
        <v>-222000000</v>
      </c>
      <c r="I3135" s="4">
        <f>Clean_Data[[#This Row],[Exports_TIV]] + Clean_Data[[#This Row],[Imports_TIV]]</f>
        <v>224000000</v>
      </c>
    </row>
    <row r="3136" spans="1:9">
      <c r="A3136" s="4" t="s">
        <v>71</v>
      </c>
      <c r="B3136" s="4" t="s">
        <v>72</v>
      </c>
      <c r="C3136" s="5">
        <v>2005</v>
      </c>
      <c r="D3136" s="4">
        <v>0</v>
      </c>
      <c r="E3136" s="4">
        <v>1000000</v>
      </c>
      <c r="F3136" s="4" t="str">
        <f>_xlfn.LET(_xlpm.r, _xlfn.XLOOKUP(Clean_Data[[#This Row],[Country_Code]], Metadata_Country!$A:$A, Metadata_Country!$B:$B, "Unknown"), IF(OR(_xlpm.r=0, _xlpm.r=""), "Regional Aggregate", _xlpm.r))</f>
        <v>East Asia &amp; Pacific</v>
      </c>
      <c r="G3136" s="4" t="str">
        <f>_xlfn.LET(_xlpm.ig, _xlfn.XLOOKUP(Clean_Data[[#This Row],[Country_Code]], Metadata_Country!$A:$A, Metadata_Country!$C:$C, "Unknown"), IF(OR(_xlpm.ig=0, _xlpm.ig=""), "Regional Aggregate", _xlpm.ig))</f>
        <v>High income</v>
      </c>
      <c r="H3136" s="4">
        <f>Clean_Data[[#This Row],[Exports_TIV]] - Clean_Data[[#This Row],[Imports_TIV]]</f>
        <v>-1000000</v>
      </c>
      <c r="I3136" s="4">
        <f>Clean_Data[[#This Row],[Exports_TIV]] + Clean_Data[[#This Row],[Imports_TIV]]</f>
        <v>1000000</v>
      </c>
    </row>
    <row r="3137" spans="1:9">
      <c r="A3137" s="4" t="s">
        <v>51</v>
      </c>
      <c r="B3137" s="4" t="s">
        <v>52</v>
      </c>
      <c r="C3137" s="5">
        <v>2005</v>
      </c>
      <c r="D3137" s="4">
        <v>87000000</v>
      </c>
      <c r="E3137" s="4">
        <v>132000000</v>
      </c>
      <c r="F3137" s="4" t="str">
        <f>_xlfn.LET(_xlpm.r, _xlfn.XLOOKUP(Clean_Data[[#This Row],[Country_Code]], Metadata_Country!$A:$A, Metadata_Country!$B:$B, "Unknown"), IF(OR(_xlpm.r=0, _xlpm.r=""), "Regional Aggregate", _xlpm.r))</f>
        <v>Europe &amp; Central Asia</v>
      </c>
      <c r="G3137" s="4" t="str">
        <f>_xlfn.LET(_xlpm.ig, _xlfn.XLOOKUP(Clean_Data[[#This Row],[Country_Code]], Metadata_Country!$A:$A, Metadata_Country!$C:$C, "Unknown"), IF(OR(_xlpm.ig=0, _xlpm.ig=""), "Regional Aggregate", _xlpm.ig))</f>
        <v>High income</v>
      </c>
      <c r="H3137" s="4">
        <f>Clean_Data[[#This Row],[Exports_TIV]] - Clean_Data[[#This Row],[Imports_TIV]]</f>
        <v>-45000000</v>
      </c>
      <c r="I3137" s="4">
        <f>Clean_Data[[#This Row],[Exports_TIV]] + Clean_Data[[#This Row],[Imports_TIV]]</f>
        <v>219000000</v>
      </c>
    </row>
    <row r="3138" spans="1:9">
      <c r="A3138" s="4" t="s">
        <v>47</v>
      </c>
      <c r="B3138" s="4" t="s">
        <v>48</v>
      </c>
      <c r="C3138" s="5">
        <v>2005</v>
      </c>
      <c r="D3138" s="4">
        <v>0</v>
      </c>
      <c r="E3138" s="4">
        <v>12000000</v>
      </c>
      <c r="F3138" s="4" t="str">
        <f>_xlfn.LET(_xlpm.r, _xlfn.XLOOKUP(Clean_Data[[#This Row],[Country_Code]], Metadata_Country!$A:$A, Metadata_Country!$B:$B, "Unknown"), IF(OR(_xlpm.r=0, _xlpm.r=""), "Regional Aggregate", _xlpm.r))</f>
        <v>Sub-Saharan Africa</v>
      </c>
      <c r="G3138" s="4" t="str">
        <f>_xlfn.LET(_xlpm.ig, _xlfn.XLOOKUP(Clean_Data[[#This Row],[Country_Code]], Metadata_Country!$A:$A, Metadata_Country!$C:$C, "Unknown"), IF(OR(_xlpm.ig=0, _xlpm.ig=""), "Regional Aggregate", _xlpm.ig))</f>
        <v>Low income</v>
      </c>
      <c r="H3138" s="4">
        <f>Clean_Data[[#This Row],[Exports_TIV]] - Clean_Data[[#This Row],[Imports_TIV]]</f>
        <v>-12000000</v>
      </c>
      <c r="I3138" s="4">
        <f>Clean_Data[[#This Row],[Exports_TIV]] + Clean_Data[[#This Row],[Imports_TIV]]</f>
        <v>12000000</v>
      </c>
    </row>
    <row r="3139" spans="1:9">
      <c r="A3139" s="4" t="s">
        <v>93</v>
      </c>
      <c r="B3139" s="4" t="s">
        <v>94</v>
      </c>
      <c r="C3139" s="5">
        <v>2005</v>
      </c>
      <c r="D3139" s="4">
        <v>0</v>
      </c>
      <c r="E3139" s="4">
        <v>5000000</v>
      </c>
      <c r="F3139" s="4" t="str">
        <f>_xlfn.LET(_xlpm.r, _xlfn.XLOOKUP(Clean_Data[[#This Row],[Country_Code]], Metadata_Country!$A:$A, Metadata_Country!$B:$B, "Unknown"), IF(OR(_xlpm.r=0, _xlpm.r=""), "Regional Aggregate", _xlpm.r))</f>
        <v>Sub-Saharan Africa</v>
      </c>
      <c r="G3139" s="4" t="str">
        <f>_xlfn.LET(_xlpm.ig, _xlfn.XLOOKUP(Clean_Data[[#This Row],[Country_Code]], Metadata_Country!$A:$A, Metadata_Country!$C:$C, "Unknown"), IF(OR(_xlpm.ig=0, _xlpm.ig=""), "Regional Aggregate", _xlpm.ig))</f>
        <v>Lower middle income</v>
      </c>
      <c r="H3139" s="4">
        <f>Clean_Data[[#This Row],[Exports_TIV]] - Clean_Data[[#This Row],[Imports_TIV]]</f>
        <v>-5000000</v>
      </c>
      <c r="I3139" s="4">
        <f>Clean_Data[[#This Row],[Exports_TIV]] + Clean_Data[[#This Row],[Imports_TIV]]</f>
        <v>5000000</v>
      </c>
    </row>
    <row r="3140" spans="1:9">
      <c r="A3140" s="4" t="s">
        <v>79</v>
      </c>
      <c r="B3140" s="4" t="s">
        <v>80</v>
      </c>
      <c r="C3140" s="5">
        <v>2005</v>
      </c>
      <c r="D3140" s="4">
        <v>234000000</v>
      </c>
      <c r="E3140" s="4">
        <v>106000000</v>
      </c>
      <c r="F3140" s="4" t="str">
        <f>_xlfn.LET(_xlpm.r, _xlfn.XLOOKUP(Clean_Data[[#This Row],[Country_Code]], Metadata_Country!$A:$A, Metadata_Country!$B:$B, "Unknown"), IF(OR(_xlpm.r=0, _xlpm.r=""), "Regional Aggregate", _xlpm.r))</f>
        <v>North America</v>
      </c>
      <c r="G3140" s="4" t="str">
        <f>_xlfn.LET(_xlpm.ig, _xlfn.XLOOKUP(Clean_Data[[#This Row],[Country_Code]], Metadata_Country!$A:$A, Metadata_Country!$C:$C, "Unknown"), IF(OR(_xlpm.ig=0, _xlpm.ig=""), "Regional Aggregate", _xlpm.ig))</f>
        <v>High income</v>
      </c>
      <c r="H3140" s="4">
        <f>Clean_Data[[#This Row],[Exports_TIV]] - Clean_Data[[#This Row],[Imports_TIV]]</f>
        <v>128000000</v>
      </c>
      <c r="I3140" s="4">
        <f>Clean_Data[[#This Row],[Exports_TIV]] + Clean_Data[[#This Row],[Imports_TIV]]</f>
        <v>340000000</v>
      </c>
    </row>
    <row r="3141" spans="1:9">
      <c r="A3141" s="4" t="s">
        <v>81</v>
      </c>
      <c r="B3141" s="4" t="s">
        <v>82</v>
      </c>
      <c r="C3141" s="5">
        <v>2005</v>
      </c>
      <c r="D3141" s="4">
        <v>262000000</v>
      </c>
      <c r="E3141" s="4">
        <v>1330000000</v>
      </c>
      <c r="F3141" s="4" t="str">
        <f>_xlfn.LET(_xlpm.r, _xlfn.XLOOKUP(Clean_Data[[#This Row],[Country_Code]], Metadata_Country!$A:$A, Metadata_Country!$B:$B, "Unknown"), IF(OR(_xlpm.r=0, _xlpm.r=""), "Regional Aggregate", _xlpm.r))</f>
        <v>Regional Aggregate</v>
      </c>
      <c r="G3141" s="4" t="str">
        <f>_xlfn.LET(_xlpm.ig, _xlfn.XLOOKUP(Clean_Data[[#This Row],[Country_Code]], Metadata_Country!$A:$A, Metadata_Country!$C:$C, "Unknown"), IF(OR(_xlpm.ig=0, _xlpm.ig=""), "Regional Aggregate", _xlpm.ig))</f>
        <v>Regional Aggregate</v>
      </c>
      <c r="H3141" s="4">
        <f>Clean_Data[[#This Row],[Exports_TIV]] - Clean_Data[[#This Row],[Imports_TIV]]</f>
        <v>-1068000000</v>
      </c>
      <c r="I3141" s="4">
        <f>Clean_Data[[#This Row],[Exports_TIV]] + Clean_Data[[#This Row],[Imports_TIV]]</f>
        <v>1592000000</v>
      </c>
    </row>
    <row r="3142" spans="1:9">
      <c r="A3142" s="4" t="s">
        <v>87</v>
      </c>
      <c r="B3142" s="4" t="s">
        <v>88</v>
      </c>
      <c r="C3142" s="5">
        <v>2005</v>
      </c>
      <c r="D3142" s="4">
        <v>0</v>
      </c>
      <c r="E3142" s="4">
        <v>446000000</v>
      </c>
      <c r="F3142" s="4" t="str">
        <f>_xlfn.LET(_xlpm.r, _xlfn.XLOOKUP(Clean_Data[[#This Row],[Country_Code]], Metadata_Country!$A:$A, Metadata_Country!$B:$B, "Unknown"), IF(OR(_xlpm.r=0, _xlpm.r=""), "Regional Aggregate", _xlpm.r))</f>
        <v>Latin America &amp; Caribbean</v>
      </c>
      <c r="G3142" s="4" t="str">
        <f>_xlfn.LET(_xlpm.ig, _xlfn.XLOOKUP(Clean_Data[[#This Row],[Country_Code]], Metadata_Country!$A:$A, Metadata_Country!$C:$C, "Unknown"), IF(OR(_xlpm.ig=0, _xlpm.ig=""), "Regional Aggregate", _xlpm.ig))</f>
        <v>High income</v>
      </c>
      <c r="H3142" s="4">
        <f>Clean_Data[[#This Row],[Exports_TIV]] - Clean_Data[[#This Row],[Imports_TIV]]</f>
        <v>-446000000</v>
      </c>
      <c r="I3142" s="4">
        <f>Clean_Data[[#This Row],[Exports_TIV]] + Clean_Data[[#This Row],[Imports_TIV]]</f>
        <v>446000000</v>
      </c>
    </row>
    <row r="3143" spans="1:9">
      <c r="A3143" s="4" t="s">
        <v>89</v>
      </c>
      <c r="B3143" s="4" t="s">
        <v>90</v>
      </c>
      <c r="C3143" s="5">
        <v>2005</v>
      </c>
      <c r="D3143" s="4">
        <v>341000000</v>
      </c>
      <c r="E3143" s="4">
        <v>3467000000</v>
      </c>
      <c r="F3143" s="4" t="str">
        <f>_xlfn.LET(_xlpm.r, _xlfn.XLOOKUP(Clean_Data[[#This Row],[Country_Code]], Metadata_Country!$A:$A, Metadata_Country!$B:$B, "Unknown"), IF(OR(_xlpm.r=0, _xlpm.r=""), "Regional Aggregate", _xlpm.r))</f>
        <v>East Asia &amp; Pacific</v>
      </c>
      <c r="G3143" s="4" t="str">
        <f>_xlfn.LET(_xlpm.ig, _xlfn.XLOOKUP(Clean_Data[[#This Row],[Country_Code]], Metadata_Country!$A:$A, Metadata_Country!$C:$C, "Unknown"), IF(OR(_xlpm.ig=0, _xlpm.ig=""), "Regional Aggregate", _xlpm.ig))</f>
        <v>Upper middle income</v>
      </c>
      <c r="H3143" s="4">
        <f>Clean_Data[[#This Row],[Exports_TIV]] - Clean_Data[[#This Row],[Imports_TIV]]</f>
        <v>-3126000000</v>
      </c>
      <c r="I3143" s="4">
        <f>Clean_Data[[#This Row],[Exports_TIV]] + Clean_Data[[#This Row],[Imports_TIV]]</f>
        <v>3808000000</v>
      </c>
    </row>
    <row r="3144" spans="1:9">
      <c r="A3144" s="4" t="s">
        <v>99</v>
      </c>
      <c r="B3144" s="4" t="s">
        <v>100</v>
      </c>
      <c r="C3144" s="5">
        <v>2005</v>
      </c>
      <c r="D3144" s="4">
        <v>0</v>
      </c>
      <c r="E3144" s="4">
        <v>18000000</v>
      </c>
      <c r="F3144" s="4" t="str">
        <f>_xlfn.LET(_xlpm.r, _xlfn.XLOOKUP(Clean_Data[[#This Row],[Country_Code]], Metadata_Country!$A:$A, Metadata_Country!$B:$B, "Unknown"), IF(OR(_xlpm.r=0, _xlpm.r=""), "Regional Aggregate", _xlpm.r))</f>
        <v>Latin America &amp; Caribbean</v>
      </c>
      <c r="G3144" s="4" t="str">
        <f>_xlfn.LET(_xlpm.ig, _xlfn.XLOOKUP(Clean_Data[[#This Row],[Country_Code]], Metadata_Country!$A:$A, Metadata_Country!$C:$C, "Unknown"), IF(OR(_xlpm.ig=0, _xlpm.ig=""), "Regional Aggregate", _xlpm.ig))</f>
        <v>Upper middle income</v>
      </c>
      <c r="H3144" s="4">
        <f>Clean_Data[[#This Row],[Exports_TIV]] - Clean_Data[[#This Row],[Imports_TIV]]</f>
        <v>-18000000</v>
      </c>
      <c r="I3144" s="4">
        <f>Clean_Data[[#This Row],[Exports_TIV]] + Clean_Data[[#This Row],[Imports_TIV]]</f>
        <v>18000000</v>
      </c>
    </row>
    <row r="3145" spans="1:9">
      <c r="A3145" s="4" t="s">
        <v>95</v>
      </c>
      <c r="B3145" s="4" t="s">
        <v>96</v>
      </c>
      <c r="C3145" s="5">
        <v>2005</v>
      </c>
      <c r="D3145" s="4">
        <v>0</v>
      </c>
      <c r="E3145" s="4">
        <v>26000000</v>
      </c>
      <c r="F3145" s="4" t="str">
        <f>_xlfn.LET(_xlpm.r, _xlfn.XLOOKUP(Clean_Data[[#This Row],[Country_Code]], Metadata_Country!$A:$A, Metadata_Country!$B:$B, "Unknown"), IF(OR(_xlpm.r=0, _xlpm.r=""), "Regional Aggregate", _xlpm.r))</f>
        <v>Sub-Saharan Africa</v>
      </c>
      <c r="G3145" s="4" t="str">
        <f>_xlfn.LET(_xlpm.ig, _xlfn.XLOOKUP(Clean_Data[[#This Row],[Country_Code]], Metadata_Country!$A:$A, Metadata_Country!$C:$C, "Unknown"), IF(OR(_xlpm.ig=0, _xlpm.ig=""), "Regional Aggregate", _xlpm.ig))</f>
        <v>Low income</v>
      </c>
      <c r="H3145" s="4">
        <f>Clean_Data[[#This Row],[Exports_TIV]] - Clean_Data[[#This Row],[Imports_TIV]]</f>
        <v>-26000000</v>
      </c>
      <c r="I3145" s="4">
        <f>Clean_Data[[#This Row],[Exports_TIV]] + Clean_Data[[#This Row],[Imports_TIV]]</f>
        <v>26000000</v>
      </c>
    </row>
    <row r="3146" spans="1:9">
      <c r="A3146" s="4" t="s">
        <v>97</v>
      </c>
      <c r="B3146" s="4" t="s">
        <v>98</v>
      </c>
      <c r="C3146" s="5">
        <v>2005</v>
      </c>
      <c r="D3146" s="4">
        <v>0</v>
      </c>
      <c r="E3146" s="4">
        <v>4000000</v>
      </c>
      <c r="F3146" s="4" t="str">
        <f>_xlfn.LET(_xlpm.r, _xlfn.XLOOKUP(Clean_Data[[#This Row],[Country_Code]], Metadata_Country!$A:$A, Metadata_Country!$B:$B, "Unknown"), IF(OR(_xlpm.r=0, _xlpm.r=""), "Regional Aggregate", _xlpm.r))</f>
        <v>Sub-Saharan Africa</v>
      </c>
      <c r="G3146" s="4" t="str">
        <f>_xlfn.LET(_xlpm.ig, _xlfn.XLOOKUP(Clean_Data[[#This Row],[Country_Code]], Metadata_Country!$A:$A, Metadata_Country!$C:$C, "Unknown"), IF(OR(_xlpm.ig=0, _xlpm.ig=""), "Regional Aggregate", _xlpm.ig))</f>
        <v>Lower middle income</v>
      </c>
      <c r="H3146" s="4">
        <f>Clean_Data[[#This Row],[Exports_TIV]] - Clean_Data[[#This Row],[Imports_TIV]]</f>
        <v>-4000000</v>
      </c>
      <c r="I3146" s="4">
        <f>Clean_Data[[#This Row],[Exports_TIV]] + Clean_Data[[#This Row],[Imports_TIV]]</f>
        <v>4000000</v>
      </c>
    </row>
    <row r="3147" spans="1:9">
      <c r="A3147" s="4" t="s">
        <v>115</v>
      </c>
      <c r="B3147" s="4" t="s">
        <v>116</v>
      </c>
      <c r="C3147" s="5">
        <v>2005</v>
      </c>
      <c r="D3147" s="4">
        <v>0</v>
      </c>
      <c r="E3147" s="4">
        <v>18000000</v>
      </c>
      <c r="F3147" s="4" t="str">
        <f>_xlfn.LET(_xlpm.r, _xlfn.XLOOKUP(Clean_Data[[#This Row],[Country_Code]], Metadata_Country!$A:$A, Metadata_Country!$B:$B, "Unknown"), IF(OR(_xlpm.r=0, _xlpm.r=""), "Regional Aggregate", _xlpm.r))</f>
        <v>Europe &amp; Central Asia</v>
      </c>
      <c r="G3147" s="4" t="str">
        <f>_xlfn.LET(_xlpm.ig, _xlfn.XLOOKUP(Clean_Data[[#This Row],[Country_Code]], Metadata_Country!$A:$A, Metadata_Country!$C:$C, "Unknown"), IF(OR(_xlpm.ig=0, _xlpm.ig=""), "Regional Aggregate", _xlpm.ig))</f>
        <v>High income</v>
      </c>
      <c r="H3147" s="4">
        <f>Clean_Data[[#This Row],[Exports_TIV]] - Clean_Data[[#This Row],[Imports_TIV]]</f>
        <v>-18000000</v>
      </c>
      <c r="I3147" s="4">
        <f>Clean_Data[[#This Row],[Exports_TIV]] + Clean_Data[[#This Row],[Imports_TIV]]</f>
        <v>18000000</v>
      </c>
    </row>
    <row r="3148" spans="1:9">
      <c r="A3148" s="4" t="s">
        <v>117</v>
      </c>
      <c r="B3148" s="4" t="s">
        <v>118</v>
      </c>
      <c r="C3148" s="5">
        <v>2005</v>
      </c>
      <c r="D3148" s="4">
        <v>72000000</v>
      </c>
      <c r="E3148" s="4">
        <v>600000000</v>
      </c>
      <c r="F3148" s="4" t="str">
        <f>_xlfn.LET(_xlpm.r, _xlfn.XLOOKUP(Clean_Data[[#This Row],[Country_Code]], Metadata_Country!$A:$A, Metadata_Country!$B:$B, "Unknown"), IF(OR(_xlpm.r=0, _xlpm.r=""), "Regional Aggregate", _xlpm.r))</f>
        <v>Europe &amp; Central Asia</v>
      </c>
      <c r="G3148" s="4" t="str">
        <f>_xlfn.LET(_xlpm.ig, _xlfn.XLOOKUP(Clean_Data[[#This Row],[Country_Code]], Metadata_Country!$A:$A, Metadata_Country!$C:$C, "Unknown"), IF(OR(_xlpm.ig=0, _xlpm.ig=""), "Regional Aggregate", _xlpm.ig))</f>
        <v>High income</v>
      </c>
      <c r="H3148" s="4">
        <f>Clean_Data[[#This Row],[Exports_TIV]] - Clean_Data[[#This Row],[Imports_TIV]]</f>
        <v>-528000000</v>
      </c>
      <c r="I3148" s="4">
        <f>Clean_Data[[#This Row],[Exports_TIV]] + Clean_Data[[#This Row],[Imports_TIV]]</f>
        <v>672000000</v>
      </c>
    </row>
    <row r="3149" spans="1:9">
      <c r="A3149" s="4" t="s">
        <v>125</v>
      </c>
      <c r="B3149" s="4" t="s">
        <v>126</v>
      </c>
      <c r="C3149" s="5">
        <v>2005</v>
      </c>
      <c r="D3149" s="4">
        <v>0</v>
      </c>
      <c r="E3149" s="4">
        <v>117000000</v>
      </c>
      <c r="F3149" s="4" t="str">
        <f>_xlfn.LET(_xlpm.r, _xlfn.XLOOKUP(Clean_Data[[#This Row],[Country_Code]], Metadata_Country!$A:$A, Metadata_Country!$B:$B, "Unknown"), IF(OR(_xlpm.r=0, _xlpm.r=""), "Regional Aggregate", _xlpm.r))</f>
        <v>Europe &amp; Central Asia</v>
      </c>
      <c r="G3149" s="4" t="str">
        <f>_xlfn.LET(_xlpm.ig, _xlfn.XLOOKUP(Clean_Data[[#This Row],[Country_Code]], Metadata_Country!$A:$A, Metadata_Country!$C:$C, "Unknown"), IF(OR(_xlpm.ig=0, _xlpm.ig=""), "Regional Aggregate", _xlpm.ig))</f>
        <v>High income</v>
      </c>
      <c r="H3149" s="4">
        <f>Clean_Data[[#This Row],[Exports_TIV]] - Clean_Data[[#This Row],[Imports_TIV]]</f>
        <v>-117000000</v>
      </c>
      <c r="I3149" s="4">
        <f>Clean_Data[[#This Row],[Exports_TIV]] + Clean_Data[[#This Row],[Imports_TIV]]</f>
        <v>117000000</v>
      </c>
    </row>
    <row r="3150" spans="1:9">
      <c r="A3150" s="4" t="s">
        <v>121</v>
      </c>
      <c r="B3150" s="4" t="s">
        <v>122</v>
      </c>
      <c r="C3150" s="5">
        <v>2005</v>
      </c>
      <c r="D3150" s="4">
        <v>0</v>
      </c>
      <c r="E3150" s="4">
        <v>7000000</v>
      </c>
      <c r="F3150" s="4" t="str">
        <f>_xlfn.LET(_xlpm.r, _xlfn.XLOOKUP(Clean_Data[[#This Row],[Country_Code]], Metadata_Country!$A:$A, Metadata_Country!$B:$B, "Unknown"), IF(OR(_xlpm.r=0, _xlpm.r=""), "Regional Aggregate", _xlpm.r))</f>
        <v>Middle East &amp; North Africa</v>
      </c>
      <c r="G3150" s="4" t="str">
        <f>_xlfn.LET(_xlpm.ig, _xlfn.XLOOKUP(Clean_Data[[#This Row],[Country_Code]], Metadata_Country!$A:$A, Metadata_Country!$C:$C, "Unknown"), IF(OR(_xlpm.ig=0, _xlpm.ig=""), "Regional Aggregate", _xlpm.ig))</f>
        <v>Lower middle income</v>
      </c>
      <c r="H3150" s="4">
        <f>Clean_Data[[#This Row],[Exports_TIV]] - Clean_Data[[#This Row],[Imports_TIV]]</f>
        <v>-7000000</v>
      </c>
      <c r="I3150" s="4">
        <f>Clean_Data[[#This Row],[Exports_TIV]] + Clean_Data[[#This Row],[Imports_TIV]]</f>
        <v>7000000</v>
      </c>
    </row>
    <row r="3151" spans="1:9">
      <c r="A3151" s="4" t="s">
        <v>127</v>
      </c>
      <c r="B3151" s="4" t="s">
        <v>128</v>
      </c>
      <c r="C3151" s="5">
        <v>2005</v>
      </c>
      <c r="D3151" s="4">
        <v>0</v>
      </c>
      <c r="E3151" s="4">
        <v>2000000</v>
      </c>
      <c r="F3151" s="4" t="str">
        <f>_xlfn.LET(_xlpm.r, _xlfn.XLOOKUP(Clean_Data[[#This Row],[Country_Code]], Metadata_Country!$A:$A, Metadata_Country!$B:$B, "Unknown"), IF(OR(_xlpm.r=0, _xlpm.r=""), "Regional Aggregate", _xlpm.r))</f>
        <v>Latin America &amp; Caribbean</v>
      </c>
      <c r="G3151" s="4" t="str">
        <f>_xlfn.LET(_xlpm.ig, _xlfn.XLOOKUP(Clean_Data[[#This Row],[Country_Code]], Metadata_Country!$A:$A, Metadata_Country!$C:$C, "Unknown"), IF(OR(_xlpm.ig=0, _xlpm.ig=""), "Regional Aggregate", _xlpm.ig))</f>
        <v>Upper middle income</v>
      </c>
      <c r="H3151" s="4">
        <f>Clean_Data[[#This Row],[Exports_TIV]] - Clean_Data[[#This Row],[Imports_TIV]]</f>
        <v>-2000000</v>
      </c>
      <c r="I3151" s="4">
        <f>Clean_Data[[#This Row],[Exports_TIV]] + Clean_Data[[#This Row],[Imports_TIV]]</f>
        <v>2000000</v>
      </c>
    </row>
    <row r="3152" spans="1:9">
      <c r="A3152" s="4" t="s">
        <v>133</v>
      </c>
      <c r="B3152" s="4" t="s">
        <v>134</v>
      </c>
      <c r="C3152" s="5">
        <v>2005</v>
      </c>
      <c r="D3152" s="4">
        <v>0</v>
      </c>
      <c r="E3152" s="4">
        <v>6525000000</v>
      </c>
      <c r="F3152" s="4" t="str">
        <f>_xlfn.LET(_xlpm.r, _xlfn.XLOOKUP(Clean_Data[[#This Row],[Country_Code]], Metadata_Country!$A:$A, Metadata_Country!$B:$B, "Unknown"), IF(OR(_xlpm.r=0, _xlpm.r=""), "Regional Aggregate", _xlpm.r))</f>
        <v>Regional Aggregate</v>
      </c>
      <c r="G3152" s="4" t="str">
        <f>_xlfn.LET(_xlpm.ig, _xlfn.XLOOKUP(Clean_Data[[#This Row],[Country_Code]], Metadata_Country!$A:$A, Metadata_Country!$C:$C, "Unknown"), IF(OR(_xlpm.ig=0, _xlpm.ig=""), "Regional Aggregate", _xlpm.ig))</f>
        <v>Regional Aggregate</v>
      </c>
      <c r="H3152" s="4">
        <f>Clean_Data[[#This Row],[Exports_TIV]] - Clean_Data[[#This Row],[Imports_TIV]]</f>
        <v>-6525000000</v>
      </c>
      <c r="I3152" s="4">
        <f>Clean_Data[[#This Row],[Exports_TIV]] + Clean_Data[[#This Row],[Imports_TIV]]</f>
        <v>6525000000</v>
      </c>
    </row>
    <row r="3153" spans="1:9">
      <c r="A3153" s="4" t="s">
        <v>135</v>
      </c>
      <c r="B3153" s="4" t="s">
        <v>136</v>
      </c>
      <c r="C3153" s="5">
        <v>2005</v>
      </c>
      <c r="D3153" s="4">
        <v>0</v>
      </c>
      <c r="E3153" s="4">
        <v>6961000000</v>
      </c>
      <c r="F3153" s="4" t="str">
        <f>_xlfn.LET(_xlpm.r, _xlfn.XLOOKUP(Clean_Data[[#This Row],[Country_Code]], Metadata_Country!$A:$A, Metadata_Country!$B:$B, "Unknown"), IF(OR(_xlpm.r=0, _xlpm.r=""), "Regional Aggregate", _xlpm.r))</f>
        <v>Regional Aggregate</v>
      </c>
      <c r="G3153" s="4" t="str">
        <f>_xlfn.LET(_xlpm.ig, _xlfn.XLOOKUP(Clean_Data[[#This Row],[Country_Code]], Metadata_Country!$A:$A, Metadata_Country!$C:$C, "Unknown"), IF(OR(_xlpm.ig=0, _xlpm.ig=""), "Regional Aggregate", _xlpm.ig))</f>
        <v>Regional Aggregate</v>
      </c>
      <c r="H3153" s="4">
        <f>Clean_Data[[#This Row],[Exports_TIV]] - Clean_Data[[#This Row],[Imports_TIV]]</f>
        <v>-6961000000</v>
      </c>
      <c r="I3153" s="4">
        <f>Clean_Data[[#This Row],[Exports_TIV]] + Clean_Data[[#This Row],[Imports_TIV]]</f>
        <v>6961000000</v>
      </c>
    </row>
    <row r="3154" spans="1:9">
      <c r="A3154" s="4" t="s">
        <v>131</v>
      </c>
      <c r="B3154" s="4" t="s">
        <v>132</v>
      </c>
      <c r="C3154" s="5">
        <v>2005</v>
      </c>
      <c r="D3154" s="4">
        <v>365000000</v>
      </c>
      <c r="E3154" s="4">
        <v>4093000000</v>
      </c>
      <c r="F3154" s="4" t="str">
        <f>_xlfn.LET(_xlpm.r, _xlfn.XLOOKUP(Clean_Data[[#This Row],[Country_Code]], Metadata_Country!$A:$A, Metadata_Country!$B:$B, "Unknown"), IF(OR(_xlpm.r=0, _xlpm.r=""), "Regional Aggregate", _xlpm.r))</f>
        <v>Regional Aggregate</v>
      </c>
      <c r="G3154" s="4" t="str">
        <f>_xlfn.LET(_xlpm.ig, _xlfn.XLOOKUP(Clean_Data[[#This Row],[Country_Code]], Metadata_Country!$A:$A, Metadata_Country!$C:$C, "Unknown"), IF(OR(_xlpm.ig=0, _xlpm.ig=""), "Regional Aggregate", _xlpm.ig))</f>
        <v>Regional Aggregate</v>
      </c>
      <c r="H3154" s="4">
        <f>Clean_Data[[#This Row],[Exports_TIV]] - Clean_Data[[#This Row],[Imports_TIV]]</f>
        <v>-3728000000</v>
      </c>
      <c r="I3154" s="4">
        <f>Clean_Data[[#This Row],[Exports_TIV]] + Clean_Data[[#This Row],[Imports_TIV]]</f>
        <v>4458000000</v>
      </c>
    </row>
    <row r="3155" spans="1:9">
      <c r="A3155" s="4" t="s">
        <v>469</v>
      </c>
      <c r="B3155" s="4" t="s">
        <v>470</v>
      </c>
      <c r="C3155" s="5">
        <v>2005</v>
      </c>
      <c r="D3155" s="4">
        <v>350000000</v>
      </c>
      <c r="E3155" s="4">
        <v>4088000000</v>
      </c>
      <c r="F3155" s="4" t="str">
        <f>_xlfn.LET(_xlpm.r, _xlfn.XLOOKUP(Clean_Data[[#This Row],[Country_Code]], Metadata_Country!$A:$A, Metadata_Country!$B:$B, "Unknown"), IF(OR(_xlpm.r=0, _xlpm.r=""), "Regional Aggregate", _xlpm.r))</f>
        <v>Regional Aggregate</v>
      </c>
      <c r="G3155" s="4" t="str">
        <f>_xlfn.LET(_xlpm.ig, _xlfn.XLOOKUP(Clean_Data[[#This Row],[Country_Code]], Metadata_Country!$A:$A, Metadata_Country!$C:$C, "Unknown"), IF(OR(_xlpm.ig=0, _xlpm.ig=""), "Regional Aggregate", _xlpm.ig))</f>
        <v>Regional Aggregate</v>
      </c>
      <c r="H3155" s="4">
        <f>Clean_Data[[#This Row],[Exports_TIV]] - Clean_Data[[#This Row],[Imports_TIV]]</f>
        <v>-3738000000</v>
      </c>
      <c r="I3155" s="4">
        <f>Clean_Data[[#This Row],[Exports_TIV]] + Clean_Data[[#This Row],[Imports_TIV]]</f>
        <v>4438000000</v>
      </c>
    </row>
    <row r="3156" spans="1:9">
      <c r="A3156" s="4" t="s">
        <v>141</v>
      </c>
      <c r="B3156" s="4" t="s">
        <v>142</v>
      </c>
      <c r="C3156" s="5">
        <v>2005</v>
      </c>
      <c r="D3156" s="4">
        <v>0</v>
      </c>
      <c r="E3156" s="4">
        <v>39000000</v>
      </c>
      <c r="F3156" s="4" t="str">
        <f>_xlfn.LET(_xlpm.r, _xlfn.XLOOKUP(Clean_Data[[#This Row],[Country_Code]], Metadata_Country!$A:$A, Metadata_Country!$B:$B, "Unknown"), IF(OR(_xlpm.r=0, _xlpm.r=""), "Regional Aggregate", _xlpm.r))</f>
        <v>Latin America &amp; Caribbean</v>
      </c>
      <c r="G3156" s="4" t="str">
        <f>_xlfn.LET(_xlpm.ig, _xlfn.XLOOKUP(Clean_Data[[#This Row],[Country_Code]], Metadata_Country!$A:$A, Metadata_Country!$C:$C, "Unknown"), IF(OR(_xlpm.ig=0, _xlpm.ig=""), "Regional Aggregate", _xlpm.ig))</f>
        <v>Upper middle income</v>
      </c>
      <c r="H3156" s="4">
        <f>Clean_Data[[#This Row],[Exports_TIV]] - Clean_Data[[#This Row],[Imports_TIV]]</f>
        <v>-39000000</v>
      </c>
      <c r="I3156" s="4">
        <f>Clean_Data[[#This Row],[Exports_TIV]] + Clean_Data[[#This Row],[Imports_TIV]]</f>
        <v>39000000</v>
      </c>
    </row>
    <row r="3157" spans="1:9">
      <c r="A3157" s="4" t="s">
        <v>143</v>
      </c>
      <c r="B3157" s="4" t="s">
        <v>144</v>
      </c>
      <c r="C3157" s="5">
        <v>2005</v>
      </c>
      <c r="D3157" s="4">
        <v>0</v>
      </c>
      <c r="E3157" s="4">
        <v>833000000</v>
      </c>
      <c r="F3157" s="4" t="str">
        <f>_xlfn.LET(_xlpm.r, _xlfn.XLOOKUP(Clean_Data[[#This Row],[Country_Code]], Metadata_Country!$A:$A, Metadata_Country!$B:$B, "Unknown"), IF(OR(_xlpm.r=0, _xlpm.r=""), "Regional Aggregate", _xlpm.r))</f>
        <v>Middle East &amp; North Africa</v>
      </c>
      <c r="G3157" s="4" t="str">
        <f>_xlfn.LET(_xlpm.ig, _xlfn.XLOOKUP(Clean_Data[[#This Row],[Country_Code]], Metadata_Country!$A:$A, Metadata_Country!$C:$C, "Unknown"), IF(OR(_xlpm.ig=0, _xlpm.ig=""), "Regional Aggregate", _xlpm.ig))</f>
        <v>Lower middle income</v>
      </c>
      <c r="H3157" s="4">
        <f>Clean_Data[[#This Row],[Exports_TIV]] - Clean_Data[[#This Row],[Imports_TIV]]</f>
        <v>-833000000</v>
      </c>
      <c r="I3157" s="4">
        <f>Clean_Data[[#This Row],[Exports_TIV]] + Clean_Data[[#This Row],[Imports_TIV]]</f>
        <v>833000000</v>
      </c>
    </row>
    <row r="3158" spans="1:9">
      <c r="A3158" s="4" t="s">
        <v>185</v>
      </c>
      <c r="B3158" s="4" t="s">
        <v>186</v>
      </c>
      <c r="C3158" s="5">
        <v>2005</v>
      </c>
      <c r="D3158" s="4">
        <v>0</v>
      </c>
      <c r="E3158" s="4">
        <v>11000000</v>
      </c>
      <c r="F3158" s="4" t="str">
        <f>_xlfn.LET(_xlpm.r, _xlfn.XLOOKUP(Clean_Data[[#This Row],[Country_Code]], Metadata_Country!$A:$A, Metadata_Country!$B:$B, "Unknown"), IF(OR(_xlpm.r=0, _xlpm.r=""), "Regional Aggregate", _xlpm.r))</f>
        <v>Sub-Saharan Africa</v>
      </c>
      <c r="G3158" s="4" t="str">
        <f>_xlfn.LET(_xlpm.ig, _xlfn.XLOOKUP(Clean_Data[[#This Row],[Country_Code]], Metadata_Country!$A:$A, Metadata_Country!$C:$C, "Unknown"), IF(OR(_xlpm.ig=0, _xlpm.ig=""), "Regional Aggregate", _xlpm.ig))</f>
        <v>Upper middle income</v>
      </c>
      <c r="H3158" s="4">
        <f>Clean_Data[[#This Row],[Exports_TIV]] - Clean_Data[[#This Row],[Imports_TIV]]</f>
        <v>-11000000</v>
      </c>
      <c r="I3158" s="4">
        <f>Clean_Data[[#This Row],[Exports_TIV]] + Clean_Data[[#This Row],[Imports_TIV]]</f>
        <v>11000000</v>
      </c>
    </row>
    <row r="3159" spans="1:9">
      <c r="A3159" s="4" t="s">
        <v>147</v>
      </c>
      <c r="B3159" s="4" t="s">
        <v>148</v>
      </c>
      <c r="C3159" s="5">
        <v>2005</v>
      </c>
      <c r="D3159" s="4">
        <v>0</v>
      </c>
      <c r="E3159" s="4">
        <v>99000000</v>
      </c>
      <c r="F3159" s="4" t="str">
        <f>_xlfn.LET(_xlpm.r, _xlfn.XLOOKUP(Clean_Data[[#This Row],[Country_Code]], Metadata_Country!$A:$A, Metadata_Country!$B:$B, "Unknown"), IF(OR(_xlpm.r=0, _xlpm.r=""), "Regional Aggregate", _xlpm.r))</f>
        <v>Sub-Saharan Africa</v>
      </c>
      <c r="G3159" s="4" t="str">
        <f>_xlfn.LET(_xlpm.ig, _xlfn.XLOOKUP(Clean_Data[[#This Row],[Country_Code]], Metadata_Country!$A:$A, Metadata_Country!$C:$C, "Unknown"), IF(OR(_xlpm.ig=0, _xlpm.ig=""), "Regional Aggregate", _xlpm.ig))</f>
        <v>Low income</v>
      </c>
      <c r="H3159" s="4">
        <f>Clean_Data[[#This Row],[Exports_TIV]] - Clean_Data[[#This Row],[Imports_TIV]]</f>
        <v>-99000000</v>
      </c>
      <c r="I3159" s="4">
        <f>Clean_Data[[#This Row],[Exports_TIV]] + Clean_Data[[#This Row],[Imports_TIV]]</f>
        <v>99000000</v>
      </c>
    </row>
    <row r="3160" spans="1:9">
      <c r="A3160" s="4" t="s">
        <v>151</v>
      </c>
      <c r="B3160" s="4" t="s">
        <v>152</v>
      </c>
      <c r="C3160" s="5">
        <v>2005</v>
      </c>
      <c r="D3160" s="4">
        <v>0</v>
      </c>
      <c r="E3160" s="4">
        <v>26000000</v>
      </c>
      <c r="F3160" s="4" t="str">
        <f>_xlfn.LET(_xlpm.r, _xlfn.XLOOKUP(Clean_Data[[#This Row],[Country_Code]], Metadata_Country!$A:$A, Metadata_Country!$B:$B, "Unknown"), IF(OR(_xlpm.r=0, _xlpm.r=""), "Regional Aggregate", _xlpm.r))</f>
        <v>Europe &amp; Central Asia</v>
      </c>
      <c r="G3160" s="4" t="str">
        <f>_xlfn.LET(_xlpm.ig, _xlfn.XLOOKUP(Clean_Data[[#This Row],[Country_Code]], Metadata_Country!$A:$A, Metadata_Country!$C:$C, "Unknown"), IF(OR(_xlpm.ig=0, _xlpm.ig=""), "Regional Aggregate", _xlpm.ig))</f>
        <v>High income</v>
      </c>
      <c r="H3160" s="4">
        <f>Clean_Data[[#This Row],[Exports_TIV]] - Clean_Data[[#This Row],[Imports_TIV]]</f>
        <v>-26000000</v>
      </c>
      <c r="I3160" s="4">
        <f>Clean_Data[[#This Row],[Exports_TIV]] + Clean_Data[[#This Row],[Imports_TIV]]</f>
        <v>26000000</v>
      </c>
    </row>
    <row r="3161" spans="1:9">
      <c r="A3161" s="4" t="s">
        <v>145</v>
      </c>
      <c r="B3161" s="4" t="s">
        <v>146</v>
      </c>
      <c r="C3161" s="5">
        <v>2005</v>
      </c>
      <c r="D3161" s="4">
        <v>5499000000</v>
      </c>
      <c r="E3161" s="4">
        <v>1696000000</v>
      </c>
      <c r="F3161" s="4" t="str">
        <f>_xlfn.LET(_xlpm.r, _xlfn.XLOOKUP(Clean_Data[[#This Row],[Country_Code]], Metadata_Country!$A:$A, Metadata_Country!$B:$B, "Unknown"), IF(OR(_xlpm.r=0, _xlpm.r=""), "Regional Aggregate", _xlpm.r))</f>
        <v>Regional Aggregate</v>
      </c>
      <c r="G3161" s="4" t="str">
        <f>_xlfn.LET(_xlpm.ig, _xlfn.XLOOKUP(Clean_Data[[#This Row],[Country_Code]], Metadata_Country!$A:$A, Metadata_Country!$C:$C, "Unknown"), IF(OR(_xlpm.ig=0, _xlpm.ig=""), "Regional Aggregate", _xlpm.ig))</f>
        <v>Regional Aggregate</v>
      </c>
      <c r="H3161" s="4">
        <f>Clean_Data[[#This Row],[Exports_TIV]] - Clean_Data[[#This Row],[Imports_TIV]]</f>
        <v>3803000000</v>
      </c>
      <c r="I3161" s="4">
        <f>Clean_Data[[#This Row],[Exports_TIV]] + Clean_Data[[#This Row],[Imports_TIV]]</f>
        <v>7195000000</v>
      </c>
    </row>
    <row r="3162" spans="1:9">
      <c r="A3162" s="4" t="s">
        <v>139</v>
      </c>
      <c r="B3162" s="4" t="s">
        <v>140</v>
      </c>
      <c r="C3162" s="5">
        <v>2005</v>
      </c>
      <c r="D3162" s="4">
        <v>13079000000</v>
      </c>
      <c r="E3162" s="4">
        <v>4529000000</v>
      </c>
      <c r="F3162" s="4" t="str">
        <f>_xlfn.LET(_xlpm.r, _xlfn.XLOOKUP(Clean_Data[[#This Row],[Country_Code]], Metadata_Country!$A:$A, Metadata_Country!$B:$B, "Unknown"), IF(OR(_xlpm.r=0, _xlpm.r=""), "Regional Aggregate", _xlpm.r))</f>
        <v>Regional Aggregate</v>
      </c>
      <c r="G3162" s="4" t="str">
        <f>_xlfn.LET(_xlpm.ig, _xlfn.XLOOKUP(Clean_Data[[#This Row],[Country_Code]], Metadata_Country!$A:$A, Metadata_Country!$C:$C, "Unknown"), IF(OR(_xlpm.ig=0, _xlpm.ig=""), "Regional Aggregate", _xlpm.ig))</f>
        <v>Regional Aggregate</v>
      </c>
      <c r="H3162" s="4">
        <f>Clean_Data[[#This Row],[Exports_TIV]] - Clean_Data[[#This Row],[Imports_TIV]]</f>
        <v>8550000000</v>
      </c>
      <c r="I3162" s="4">
        <f>Clean_Data[[#This Row],[Exports_TIV]] + Clean_Data[[#This Row],[Imports_TIV]]</f>
        <v>17608000000</v>
      </c>
    </row>
    <row r="3163" spans="1:9">
      <c r="A3163" s="4" t="s">
        <v>137</v>
      </c>
      <c r="B3163" s="4" t="s">
        <v>138</v>
      </c>
      <c r="C3163" s="5">
        <v>2005</v>
      </c>
      <c r="D3163" s="4">
        <v>400000000</v>
      </c>
      <c r="E3163" s="4">
        <v>1294000000</v>
      </c>
      <c r="F3163" s="4" t="str">
        <f>_xlfn.LET(_xlpm.r, _xlfn.XLOOKUP(Clean_Data[[#This Row],[Country_Code]], Metadata_Country!$A:$A, Metadata_Country!$B:$B, "Unknown"), IF(OR(_xlpm.r=0, _xlpm.r=""), "Regional Aggregate", _xlpm.r))</f>
        <v>Regional Aggregate</v>
      </c>
      <c r="G3163" s="4" t="str">
        <f>_xlfn.LET(_xlpm.ig, _xlfn.XLOOKUP(Clean_Data[[#This Row],[Country_Code]], Metadata_Country!$A:$A, Metadata_Country!$C:$C, "Unknown"), IF(OR(_xlpm.ig=0, _xlpm.ig=""), "Regional Aggregate", _xlpm.ig))</f>
        <v>Regional Aggregate</v>
      </c>
      <c r="H3163" s="4">
        <f>Clean_Data[[#This Row],[Exports_TIV]] - Clean_Data[[#This Row],[Imports_TIV]]</f>
        <v>-894000000</v>
      </c>
      <c r="I3163" s="4">
        <f>Clean_Data[[#This Row],[Exports_TIV]] + Clean_Data[[#This Row],[Imports_TIV]]</f>
        <v>1694000000</v>
      </c>
    </row>
    <row r="3164" spans="1:9">
      <c r="A3164" s="4" t="s">
        <v>471</v>
      </c>
      <c r="B3164" s="4" t="s">
        <v>472</v>
      </c>
      <c r="C3164" s="5">
        <v>2005</v>
      </c>
      <c r="D3164" s="4">
        <v>5707000000</v>
      </c>
      <c r="E3164" s="4">
        <v>0</v>
      </c>
      <c r="F3164" s="4" t="str">
        <f>_xlfn.LET(_xlpm.r, _xlfn.XLOOKUP(Clean_Data[[#This Row],[Country_Code]], Metadata_Country!$A:$A, Metadata_Country!$B:$B, "Unknown"), IF(OR(_xlpm.r=0, _xlpm.r=""), "Regional Aggregate", _xlpm.r))</f>
        <v>Regional Aggregate</v>
      </c>
      <c r="G3164" s="4" t="str">
        <f>_xlfn.LET(_xlpm.ig, _xlfn.XLOOKUP(Clean_Data[[#This Row],[Country_Code]], Metadata_Country!$A:$A, Metadata_Country!$C:$C, "Unknown"), IF(OR(_xlpm.ig=0, _xlpm.ig=""), "Regional Aggregate", _xlpm.ig))</f>
        <v>Regional Aggregate</v>
      </c>
      <c r="H3164" s="4">
        <f>Clean_Data[[#This Row],[Exports_TIV]] - Clean_Data[[#This Row],[Imports_TIV]]</f>
        <v>5707000000</v>
      </c>
      <c r="I3164" s="4">
        <f>Clean_Data[[#This Row],[Exports_TIV]] + Clean_Data[[#This Row],[Imports_TIV]]</f>
        <v>5707000000</v>
      </c>
    </row>
    <row r="3165" spans="1:9">
      <c r="A3165" s="4" t="s">
        <v>155</v>
      </c>
      <c r="B3165" s="4" t="s">
        <v>156</v>
      </c>
      <c r="C3165" s="5">
        <v>2005</v>
      </c>
      <c r="D3165" s="4">
        <v>6210000000</v>
      </c>
      <c r="E3165" s="4">
        <v>3040000000</v>
      </c>
      <c r="F3165" s="4" t="str">
        <f>_xlfn.LET(_xlpm.r, _xlfn.XLOOKUP(Clean_Data[[#This Row],[Country_Code]], Metadata_Country!$A:$A, Metadata_Country!$B:$B, "Unknown"), IF(OR(_xlpm.r=0, _xlpm.r=""), "Regional Aggregate", _xlpm.r))</f>
        <v>Regional Aggregate</v>
      </c>
      <c r="G3165" s="4" t="str">
        <f>_xlfn.LET(_xlpm.ig, _xlfn.XLOOKUP(Clean_Data[[#This Row],[Country_Code]], Metadata_Country!$A:$A, Metadata_Country!$C:$C, "Unknown"), IF(OR(_xlpm.ig=0, _xlpm.ig=""), "Regional Aggregate", _xlpm.ig))</f>
        <v>Regional Aggregate</v>
      </c>
      <c r="H3165" s="4">
        <f>Clean_Data[[#This Row],[Exports_TIV]] - Clean_Data[[#This Row],[Imports_TIV]]</f>
        <v>3170000000</v>
      </c>
      <c r="I3165" s="4">
        <f>Clean_Data[[#This Row],[Exports_TIV]] + Clean_Data[[#This Row],[Imports_TIV]]</f>
        <v>9250000000</v>
      </c>
    </row>
    <row r="3166" spans="1:9">
      <c r="A3166" s="4" t="s">
        <v>159</v>
      </c>
      <c r="B3166" s="4" t="s">
        <v>160</v>
      </c>
      <c r="C3166" s="5">
        <v>2005</v>
      </c>
      <c r="D3166" s="4">
        <v>41000000</v>
      </c>
      <c r="E3166" s="4">
        <v>93000000</v>
      </c>
      <c r="F3166" s="4" t="str">
        <f>_xlfn.LET(_xlpm.r, _xlfn.XLOOKUP(Clean_Data[[#This Row],[Country_Code]], Metadata_Country!$A:$A, Metadata_Country!$B:$B, "Unknown"), IF(OR(_xlpm.r=0, _xlpm.r=""), "Regional Aggregate", _xlpm.r))</f>
        <v>Europe &amp; Central Asia</v>
      </c>
      <c r="G3166" s="4" t="str">
        <f>_xlfn.LET(_xlpm.ig, _xlfn.XLOOKUP(Clean_Data[[#This Row],[Country_Code]], Metadata_Country!$A:$A, Metadata_Country!$C:$C, "Unknown"), IF(OR(_xlpm.ig=0, _xlpm.ig=""), "Regional Aggregate", _xlpm.ig))</f>
        <v>High income</v>
      </c>
      <c r="H3166" s="4">
        <f>Clean_Data[[#This Row],[Exports_TIV]] - Clean_Data[[#This Row],[Imports_TIV]]</f>
        <v>-52000000</v>
      </c>
      <c r="I3166" s="4">
        <f>Clean_Data[[#This Row],[Exports_TIV]] + Clean_Data[[#This Row],[Imports_TIV]]</f>
        <v>134000000</v>
      </c>
    </row>
    <row r="3167" spans="1:9">
      <c r="A3167" s="4" t="s">
        <v>163</v>
      </c>
      <c r="B3167" s="4" t="s">
        <v>164</v>
      </c>
      <c r="C3167" s="5">
        <v>2005</v>
      </c>
      <c r="D3167" s="4">
        <v>1645000000</v>
      </c>
      <c r="E3167" s="4">
        <v>2000000</v>
      </c>
      <c r="F3167" s="4" t="str">
        <f>_xlfn.LET(_xlpm.r, _xlfn.XLOOKUP(Clean_Data[[#This Row],[Country_Code]], Metadata_Country!$A:$A, Metadata_Country!$B:$B, "Unknown"), IF(OR(_xlpm.r=0, _xlpm.r=""), "Regional Aggregate", _xlpm.r))</f>
        <v>Europe &amp; Central Asia</v>
      </c>
      <c r="G3167" s="4" t="str">
        <f>_xlfn.LET(_xlpm.ig, _xlfn.XLOOKUP(Clean_Data[[#This Row],[Country_Code]], Metadata_Country!$A:$A, Metadata_Country!$C:$C, "Unknown"), IF(OR(_xlpm.ig=0, _xlpm.ig=""), "Regional Aggregate", _xlpm.ig))</f>
        <v>High income</v>
      </c>
      <c r="H3167" s="4">
        <f>Clean_Data[[#This Row],[Exports_TIV]] - Clean_Data[[#This Row],[Imports_TIV]]</f>
        <v>1643000000</v>
      </c>
      <c r="I3167" s="4">
        <f>Clean_Data[[#This Row],[Exports_TIV]] + Clean_Data[[#This Row],[Imports_TIV]]</f>
        <v>1647000000</v>
      </c>
    </row>
    <row r="3168" spans="1:9">
      <c r="A3168" s="4" t="s">
        <v>173</v>
      </c>
      <c r="B3168" s="4" t="s">
        <v>174</v>
      </c>
      <c r="C3168" s="5">
        <v>2005</v>
      </c>
      <c r="D3168" s="4">
        <v>0</v>
      </c>
      <c r="E3168" s="4">
        <v>95000000</v>
      </c>
      <c r="F3168" s="4" t="str">
        <f>_xlfn.LET(_xlpm.r, _xlfn.XLOOKUP(Clean_Data[[#This Row],[Country_Code]], Metadata_Country!$A:$A, Metadata_Country!$B:$B, "Unknown"), IF(OR(_xlpm.r=0, _xlpm.r=""), "Regional Aggregate", _xlpm.r))</f>
        <v>Europe &amp; Central Asia</v>
      </c>
      <c r="G3168" s="4" t="str">
        <f>_xlfn.LET(_xlpm.ig, _xlfn.XLOOKUP(Clean_Data[[#This Row],[Country_Code]], Metadata_Country!$A:$A, Metadata_Country!$C:$C, "Unknown"), IF(OR(_xlpm.ig=0, _xlpm.ig=""), "Regional Aggregate", _xlpm.ig))</f>
        <v>Upper middle income</v>
      </c>
      <c r="H3168" s="4">
        <f>Clean_Data[[#This Row],[Exports_TIV]] - Clean_Data[[#This Row],[Imports_TIV]]</f>
        <v>-95000000</v>
      </c>
      <c r="I3168" s="4">
        <f>Clean_Data[[#This Row],[Exports_TIV]] + Clean_Data[[#This Row],[Imports_TIV]]</f>
        <v>95000000</v>
      </c>
    </row>
    <row r="3169" spans="1:9">
      <c r="A3169" s="4" t="s">
        <v>119</v>
      </c>
      <c r="B3169" s="4" t="s">
        <v>120</v>
      </c>
      <c r="C3169" s="5">
        <v>2005</v>
      </c>
      <c r="D3169" s="4">
        <v>2083000000</v>
      </c>
      <c r="E3169" s="4">
        <v>206000000</v>
      </c>
      <c r="F3169" s="4" t="str">
        <f>_xlfn.LET(_xlpm.r, _xlfn.XLOOKUP(Clean_Data[[#This Row],[Country_Code]], Metadata_Country!$A:$A, Metadata_Country!$B:$B, "Unknown"), IF(OR(_xlpm.r=0, _xlpm.r=""), "Regional Aggregate", _xlpm.r))</f>
        <v>Europe &amp; Central Asia</v>
      </c>
      <c r="G3169" s="4" t="str">
        <f>_xlfn.LET(_xlpm.ig, _xlfn.XLOOKUP(Clean_Data[[#This Row],[Country_Code]], Metadata_Country!$A:$A, Metadata_Country!$C:$C, "Unknown"), IF(OR(_xlpm.ig=0, _xlpm.ig=""), "Regional Aggregate", _xlpm.ig))</f>
        <v>High income</v>
      </c>
      <c r="H3169" s="4">
        <f>Clean_Data[[#This Row],[Exports_TIV]] - Clean_Data[[#This Row],[Imports_TIV]]</f>
        <v>1877000000</v>
      </c>
      <c r="I3169" s="4">
        <f>Clean_Data[[#This Row],[Exports_TIV]] + Clean_Data[[#This Row],[Imports_TIV]]</f>
        <v>2289000000</v>
      </c>
    </row>
    <row r="3170" spans="1:9">
      <c r="A3170" s="4" t="s">
        <v>175</v>
      </c>
      <c r="B3170" s="4" t="s">
        <v>176</v>
      </c>
      <c r="C3170" s="5">
        <v>2005</v>
      </c>
      <c r="D3170" s="4">
        <v>19000000</v>
      </c>
      <c r="E3170" s="4">
        <v>0</v>
      </c>
      <c r="F3170" s="4" t="str">
        <f>_xlfn.LET(_xlpm.r, _xlfn.XLOOKUP(Clean_Data[[#This Row],[Country_Code]], Metadata_Country!$A:$A, Metadata_Country!$B:$B, "Unknown"), IF(OR(_xlpm.r=0, _xlpm.r=""), "Regional Aggregate", _xlpm.r))</f>
        <v>Sub-Saharan Africa</v>
      </c>
      <c r="G3170" s="4" t="str">
        <f>_xlfn.LET(_xlpm.ig, _xlfn.XLOOKUP(Clean_Data[[#This Row],[Country_Code]], Metadata_Country!$A:$A, Metadata_Country!$C:$C, "Unknown"), IF(OR(_xlpm.ig=0, _xlpm.ig=""), "Regional Aggregate", _xlpm.ig))</f>
        <v>Lower middle income</v>
      </c>
      <c r="H3170" s="4">
        <f>Clean_Data[[#This Row],[Exports_TIV]] - Clean_Data[[#This Row],[Imports_TIV]]</f>
        <v>19000000</v>
      </c>
      <c r="I3170" s="4">
        <f>Clean_Data[[#This Row],[Exports_TIV]] + Clean_Data[[#This Row],[Imports_TIV]]</f>
        <v>19000000</v>
      </c>
    </row>
    <row r="3171" spans="1:9">
      <c r="A3171" s="4" t="s">
        <v>187</v>
      </c>
      <c r="B3171" s="4" t="s">
        <v>188</v>
      </c>
      <c r="C3171" s="5">
        <v>2005</v>
      </c>
      <c r="D3171" s="4">
        <v>13000000</v>
      </c>
      <c r="E3171" s="4">
        <v>406000000</v>
      </c>
      <c r="F3171" s="4" t="str">
        <f>_xlfn.LET(_xlpm.r, _xlfn.XLOOKUP(Clean_Data[[#This Row],[Country_Code]], Metadata_Country!$A:$A, Metadata_Country!$B:$B, "Unknown"), IF(OR(_xlpm.r=0, _xlpm.r=""), "Regional Aggregate", _xlpm.r))</f>
        <v>Europe &amp; Central Asia</v>
      </c>
      <c r="G3171" s="4" t="str">
        <f>_xlfn.LET(_xlpm.ig, _xlfn.XLOOKUP(Clean_Data[[#This Row],[Country_Code]], Metadata_Country!$A:$A, Metadata_Country!$C:$C, "Unknown"), IF(OR(_xlpm.ig=0, _xlpm.ig=""), "Regional Aggregate", _xlpm.ig))</f>
        <v>High income</v>
      </c>
      <c r="H3171" s="4">
        <f>Clean_Data[[#This Row],[Exports_TIV]] - Clean_Data[[#This Row],[Imports_TIV]]</f>
        <v>-393000000</v>
      </c>
      <c r="I3171" s="4">
        <f>Clean_Data[[#This Row],[Exports_TIV]] + Clean_Data[[#This Row],[Imports_TIV]]</f>
        <v>419000000</v>
      </c>
    </row>
    <row r="3172" spans="1:9">
      <c r="A3172" s="4" t="s">
        <v>179</v>
      </c>
      <c r="B3172" s="4" t="s">
        <v>180</v>
      </c>
      <c r="C3172" s="5">
        <v>2005</v>
      </c>
      <c r="D3172" s="4">
        <v>0</v>
      </c>
      <c r="E3172" s="4">
        <v>1000000</v>
      </c>
      <c r="F3172" s="4" t="str">
        <f>_xlfn.LET(_xlpm.r, _xlfn.XLOOKUP(Clean_Data[[#This Row],[Country_Code]], Metadata_Country!$A:$A, Metadata_Country!$B:$B, "Unknown"), IF(OR(_xlpm.r=0, _xlpm.r=""), "Regional Aggregate", _xlpm.r))</f>
        <v>Sub-Saharan Africa</v>
      </c>
      <c r="G3172" s="4" t="str">
        <f>_xlfn.LET(_xlpm.ig, _xlfn.XLOOKUP(Clean_Data[[#This Row],[Country_Code]], Metadata_Country!$A:$A, Metadata_Country!$C:$C, "Unknown"), IF(OR(_xlpm.ig=0, _xlpm.ig=""), "Regional Aggregate", _xlpm.ig))</f>
        <v>Lower middle income</v>
      </c>
      <c r="H3172" s="4">
        <f>Clean_Data[[#This Row],[Exports_TIV]] - Clean_Data[[#This Row],[Imports_TIV]]</f>
        <v>-1000000</v>
      </c>
      <c r="I3172" s="4">
        <f>Clean_Data[[#This Row],[Exports_TIV]] + Clean_Data[[#This Row],[Imports_TIV]]</f>
        <v>1000000</v>
      </c>
    </row>
    <row r="3173" spans="1:9">
      <c r="A3173" s="4" t="s">
        <v>199</v>
      </c>
      <c r="B3173" s="4" t="s">
        <v>200</v>
      </c>
      <c r="C3173" s="5">
        <v>2005</v>
      </c>
      <c r="D3173" s="4">
        <v>20332000000</v>
      </c>
      <c r="E3173" s="4">
        <v>10890000000</v>
      </c>
      <c r="F3173" s="4" t="str">
        <f>_xlfn.LET(_xlpm.r, _xlfn.XLOOKUP(Clean_Data[[#This Row],[Country_Code]], Metadata_Country!$A:$A, Metadata_Country!$B:$B, "Unknown"), IF(OR(_xlpm.r=0, _xlpm.r=""), "Regional Aggregate", _xlpm.r))</f>
        <v>Regional Aggregate</v>
      </c>
      <c r="G3173" s="4" t="str">
        <f>_xlfn.LET(_xlpm.ig, _xlfn.XLOOKUP(Clean_Data[[#This Row],[Country_Code]], Metadata_Country!$A:$A, Metadata_Country!$C:$C, "Unknown"), IF(OR(_xlpm.ig=0, _xlpm.ig=""), "Regional Aggregate", _xlpm.ig))</f>
        <v>Regional Aggregate</v>
      </c>
      <c r="H3173" s="4">
        <f>Clean_Data[[#This Row],[Exports_TIV]] - Clean_Data[[#This Row],[Imports_TIV]]</f>
        <v>9442000000</v>
      </c>
      <c r="I3173" s="4">
        <f>Clean_Data[[#This Row],[Exports_TIV]] + Clean_Data[[#This Row],[Imports_TIV]]</f>
        <v>31222000000</v>
      </c>
    </row>
    <row r="3174" spans="1:9">
      <c r="A3174" s="4" t="s">
        <v>211</v>
      </c>
      <c r="B3174" s="4" t="s">
        <v>212</v>
      </c>
      <c r="C3174" s="5">
        <v>2005</v>
      </c>
      <c r="D3174" s="4">
        <v>82000000</v>
      </c>
      <c r="E3174" s="4">
        <v>13000000</v>
      </c>
      <c r="F3174" s="4" t="str">
        <f>_xlfn.LET(_xlpm.r, _xlfn.XLOOKUP(Clean_Data[[#This Row],[Country_Code]], Metadata_Country!$A:$A, Metadata_Country!$B:$B, "Unknown"), IF(OR(_xlpm.r=0, _xlpm.r=""), "Regional Aggregate", _xlpm.r))</f>
        <v>Europe &amp; Central Asia</v>
      </c>
      <c r="G3174" s="4" t="str">
        <f>_xlfn.LET(_xlpm.ig, _xlfn.XLOOKUP(Clean_Data[[#This Row],[Country_Code]], Metadata_Country!$A:$A, Metadata_Country!$C:$C, "Unknown"), IF(OR(_xlpm.ig=0, _xlpm.ig=""), "Regional Aggregate", _xlpm.ig))</f>
        <v>High income</v>
      </c>
      <c r="H3174" s="4">
        <f>Clean_Data[[#This Row],[Exports_TIV]] - Clean_Data[[#This Row],[Imports_TIV]]</f>
        <v>69000000</v>
      </c>
      <c r="I3174" s="4">
        <f>Clean_Data[[#This Row],[Exports_TIV]] + Clean_Data[[#This Row],[Imports_TIV]]</f>
        <v>95000000</v>
      </c>
    </row>
    <row r="3175" spans="1:9">
      <c r="A3175" s="4" t="s">
        <v>213</v>
      </c>
      <c r="B3175" s="4" t="s">
        <v>214</v>
      </c>
      <c r="C3175" s="5">
        <v>2005</v>
      </c>
      <c r="D3175" s="4">
        <v>0</v>
      </c>
      <c r="E3175" s="4">
        <v>10174000000</v>
      </c>
      <c r="F3175" s="4" t="str">
        <f>_xlfn.LET(_xlpm.r, _xlfn.XLOOKUP(Clean_Data[[#This Row],[Country_Code]], Metadata_Country!$A:$A, Metadata_Country!$B:$B, "Unknown"), IF(OR(_xlpm.r=0, _xlpm.r=""), "Regional Aggregate", _xlpm.r))</f>
        <v>Regional Aggregate</v>
      </c>
      <c r="G3175" s="4" t="str">
        <f>_xlfn.LET(_xlpm.ig, _xlfn.XLOOKUP(Clean_Data[[#This Row],[Country_Code]], Metadata_Country!$A:$A, Metadata_Country!$C:$C, "Unknown"), IF(OR(_xlpm.ig=0, _xlpm.ig=""), "Regional Aggregate", _xlpm.ig))</f>
        <v>Regional Aggregate</v>
      </c>
      <c r="H3175" s="4">
        <f>Clean_Data[[#This Row],[Exports_TIV]] - Clean_Data[[#This Row],[Imports_TIV]]</f>
        <v>-10174000000</v>
      </c>
      <c r="I3175" s="4">
        <f>Clean_Data[[#This Row],[Exports_TIV]] + Clean_Data[[#This Row],[Imports_TIV]]</f>
        <v>10174000000</v>
      </c>
    </row>
    <row r="3176" spans="1:9">
      <c r="A3176" s="4" t="s">
        <v>215</v>
      </c>
      <c r="B3176" s="4" t="s">
        <v>216</v>
      </c>
      <c r="C3176" s="5">
        <v>2005</v>
      </c>
      <c r="D3176" s="4">
        <v>0</v>
      </c>
      <c r="E3176" s="4">
        <v>11587000000</v>
      </c>
      <c r="F3176" s="4" t="str">
        <f>_xlfn.LET(_xlpm.r, _xlfn.XLOOKUP(Clean_Data[[#This Row],[Country_Code]], Metadata_Country!$A:$A, Metadata_Country!$B:$B, "Unknown"), IF(OR(_xlpm.r=0, _xlpm.r=""), "Regional Aggregate", _xlpm.r))</f>
        <v>Regional Aggregate</v>
      </c>
      <c r="G3176" s="4" t="str">
        <f>_xlfn.LET(_xlpm.ig, _xlfn.XLOOKUP(Clean_Data[[#This Row],[Country_Code]], Metadata_Country!$A:$A, Metadata_Country!$C:$C, "Unknown"), IF(OR(_xlpm.ig=0, _xlpm.ig=""), "Regional Aggregate", _xlpm.ig))</f>
        <v>Regional Aggregate</v>
      </c>
      <c r="H3176" s="4">
        <f>Clean_Data[[#This Row],[Exports_TIV]] - Clean_Data[[#This Row],[Imports_TIV]]</f>
        <v>-11587000000</v>
      </c>
      <c r="I3176" s="4">
        <f>Clean_Data[[#This Row],[Exports_TIV]] + Clean_Data[[#This Row],[Imports_TIV]]</f>
        <v>11587000000</v>
      </c>
    </row>
    <row r="3177" spans="1:9">
      <c r="A3177" s="4" t="s">
        <v>223</v>
      </c>
      <c r="B3177" s="4" t="s">
        <v>224</v>
      </c>
      <c r="C3177" s="5">
        <v>2005</v>
      </c>
      <c r="D3177" s="4">
        <v>0</v>
      </c>
      <c r="E3177" s="4">
        <v>952000000</v>
      </c>
      <c r="F3177" s="4" t="str">
        <f>_xlfn.LET(_xlpm.r, _xlfn.XLOOKUP(Clean_Data[[#This Row],[Country_Code]], Metadata_Country!$A:$A, Metadata_Country!$B:$B, "Unknown"), IF(OR(_xlpm.r=0, _xlpm.r=""), "Regional Aggregate", _xlpm.r))</f>
        <v>Regional Aggregate</v>
      </c>
      <c r="G3177" s="4" t="str">
        <f>_xlfn.LET(_xlpm.ig, _xlfn.XLOOKUP(Clean_Data[[#This Row],[Country_Code]], Metadata_Country!$A:$A, Metadata_Country!$C:$C, "Unknown"), IF(OR(_xlpm.ig=0, _xlpm.ig=""), "Regional Aggregate", _xlpm.ig))</f>
        <v>Regional Aggregate</v>
      </c>
      <c r="H3177" s="4">
        <f>Clean_Data[[#This Row],[Exports_TIV]] - Clean_Data[[#This Row],[Imports_TIV]]</f>
        <v>-952000000</v>
      </c>
      <c r="I3177" s="4">
        <f>Clean_Data[[#This Row],[Exports_TIV]] + Clean_Data[[#This Row],[Imports_TIV]]</f>
        <v>952000000</v>
      </c>
    </row>
    <row r="3178" spans="1:9">
      <c r="A3178" s="4" t="s">
        <v>227</v>
      </c>
      <c r="B3178" s="4" t="s">
        <v>228</v>
      </c>
      <c r="C3178" s="5">
        <v>2005</v>
      </c>
      <c r="D3178" s="4">
        <v>19000000</v>
      </c>
      <c r="E3178" s="4">
        <v>1202000000</v>
      </c>
      <c r="F3178" s="4" t="str">
        <f>_xlfn.LET(_xlpm.r, _xlfn.XLOOKUP(Clean_Data[[#This Row],[Country_Code]], Metadata_Country!$A:$A, Metadata_Country!$B:$B, "Unknown"), IF(OR(_xlpm.r=0, _xlpm.r=""), "Regional Aggregate", _xlpm.r))</f>
        <v>South Asia</v>
      </c>
      <c r="G3178" s="4" t="str">
        <f>_xlfn.LET(_xlpm.ig, _xlfn.XLOOKUP(Clean_Data[[#This Row],[Country_Code]], Metadata_Country!$A:$A, Metadata_Country!$C:$C, "Unknown"), IF(OR(_xlpm.ig=0, _xlpm.ig=""), "Regional Aggregate", _xlpm.ig))</f>
        <v>Lower middle income</v>
      </c>
      <c r="H3178" s="4">
        <f>Clean_Data[[#This Row],[Exports_TIV]] - Clean_Data[[#This Row],[Imports_TIV]]</f>
        <v>-1183000000</v>
      </c>
      <c r="I3178" s="4">
        <f>Clean_Data[[#This Row],[Exports_TIV]] + Clean_Data[[#This Row],[Imports_TIV]]</f>
        <v>1221000000</v>
      </c>
    </row>
    <row r="3179" spans="1:9">
      <c r="A3179" s="4" t="s">
        <v>221</v>
      </c>
      <c r="B3179" s="4" t="s">
        <v>222</v>
      </c>
      <c r="C3179" s="5">
        <v>2005</v>
      </c>
      <c r="D3179" s="4">
        <v>9000000</v>
      </c>
      <c r="E3179" s="4">
        <v>33000000</v>
      </c>
      <c r="F3179" s="4" t="str">
        <f>_xlfn.LET(_xlpm.r, _xlfn.XLOOKUP(Clean_Data[[#This Row],[Country_Code]], Metadata_Country!$A:$A, Metadata_Country!$B:$B, "Unknown"), IF(OR(_xlpm.r=0, _xlpm.r=""), "Regional Aggregate", _xlpm.r))</f>
        <v>East Asia &amp; Pacific</v>
      </c>
      <c r="G3179" s="4" t="str">
        <f>_xlfn.LET(_xlpm.ig, _xlfn.XLOOKUP(Clean_Data[[#This Row],[Country_Code]], Metadata_Country!$A:$A, Metadata_Country!$C:$C, "Unknown"), IF(OR(_xlpm.ig=0, _xlpm.ig=""), "Regional Aggregate", _xlpm.ig))</f>
        <v>Upper middle income</v>
      </c>
      <c r="H3179" s="4">
        <f>Clean_Data[[#This Row],[Exports_TIV]] - Clean_Data[[#This Row],[Imports_TIV]]</f>
        <v>-24000000</v>
      </c>
      <c r="I3179" s="4">
        <f>Clean_Data[[#This Row],[Exports_TIV]] + Clean_Data[[#This Row],[Imports_TIV]]</f>
        <v>42000000</v>
      </c>
    </row>
    <row r="3180" spans="1:9">
      <c r="A3180" s="4" t="s">
        <v>233</v>
      </c>
      <c r="B3180" s="4" t="s">
        <v>234</v>
      </c>
      <c r="C3180" s="5">
        <v>2005</v>
      </c>
      <c r="D3180" s="4">
        <v>4000000</v>
      </c>
      <c r="E3180" s="4">
        <v>53000000</v>
      </c>
      <c r="F3180" s="4" t="str">
        <f>_xlfn.LET(_xlpm.r, _xlfn.XLOOKUP(Clean_Data[[#This Row],[Country_Code]], Metadata_Country!$A:$A, Metadata_Country!$B:$B, "Unknown"), IF(OR(_xlpm.r=0, _xlpm.r=""), "Regional Aggregate", _xlpm.r))</f>
        <v>Middle East &amp; North Africa</v>
      </c>
      <c r="G3180" s="4" t="str">
        <f>_xlfn.LET(_xlpm.ig, _xlfn.XLOOKUP(Clean_Data[[#This Row],[Country_Code]], Metadata_Country!$A:$A, Metadata_Country!$C:$C, "Unknown"), IF(OR(_xlpm.ig=0, _xlpm.ig=""), "Regional Aggregate", _xlpm.ig))</f>
        <v>Upper middle income</v>
      </c>
      <c r="H3180" s="4">
        <f>Clean_Data[[#This Row],[Exports_TIV]] - Clean_Data[[#This Row],[Imports_TIV]]</f>
        <v>-49000000</v>
      </c>
      <c r="I3180" s="4">
        <f>Clean_Data[[#This Row],[Exports_TIV]] + Clean_Data[[#This Row],[Imports_TIV]]</f>
        <v>57000000</v>
      </c>
    </row>
    <row r="3181" spans="1:9">
      <c r="A3181" s="4" t="s">
        <v>235</v>
      </c>
      <c r="B3181" s="4" t="s">
        <v>236</v>
      </c>
      <c r="C3181" s="5">
        <v>2005</v>
      </c>
      <c r="D3181" s="4">
        <v>0</v>
      </c>
      <c r="E3181" s="4">
        <v>195000000</v>
      </c>
      <c r="F3181" s="4" t="str">
        <f>_xlfn.LET(_xlpm.r, _xlfn.XLOOKUP(Clean_Data[[#This Row],[Country_Code]], Metadata_Country!$A:$A, Metadata_Country!$B:$B, "Unknown"), IF(OR(_xlpm.r=0, _xlpm.r=""), "Regional Aggregate", _xlpm.r))</f>
        <v>Middle East &amp; North Africa</v>
      </c>
      <c r="G3181" s="4" t="str">
        <f>_xlfn.LET(_xlpm.ig, _xlfn.XLOOKUP(Clean_Data[[#This Row],[Country_Code]], Metadata_Country!$A:$A, Metadata_Country!$C:$C, "Unknown"), IF(OR(_xlpm.ig=0, _xlpm.ig=""), "Regional Aggregate", _xlpm.ig))</f>
        <v>Upper middle income</v>
      </c>
      <c r="H3181" s="4">
        <f>Clean_Data[[#This Row],[Exports_TIV]] - Clean_Data[[#This Row],[Imports_TIV]]</f>
        <v>-195000000</v>
      </c>
      <c r="I3181" s="4">
        <f>Clean_Data[[#This Row],[Exports_TIV]] + Clean_Data[[#This Row],[Imports_TIV]]</f>
        <v>195000000</v>
      </c>
    </row>
    <row r="3182" spans="1:9">
      <c r="A3182" s="4" t="s">
        <v>231</v>
      </c>
      <c r="B3182" s="4" t="s">
        <v>232</v>
      </c>
      <c r="C3182" s="5">
        <v>2005</v>
      </c>
      <c r="D3182" s="4">
        <v>26000000</v>
      </c>
      <c r="E3182" s="4">
        <v>5000000</v>
      </c>
      <c r="F3182" s="4" t="str">
        <f>_xlfn.LET(_xlpm.r, _xlfn.XLOOKUP(Clean_Data[[#This Row],[Country_Code]], Metadata_Country!$A:$A, Metadata_Country!$B:$B, "Unknown"), IF(OR(_xlpm.r=0, _xlpm.r=""), "Regional Aggregate", _xlpm.r))</f>
        <v>Europe &amp; Central Asia</v>
      </c>
      <c r="G3182" s="4" t="str">
        <f>_xlfn.LET(_xlpm.ig, _xlfn.XLOOKUP(Clean_Data[[#This Row],[Country_Code]], Metadata_Country!$A:$A, Metadata_Country!$C:$C, "Unknown"), IF(OR(_xlpm.ig=0, _xlpm.ig=""), "Regional Aggregate", _xlpm.ig))</f>
        <v>High income</v>
      </c>
      <c r="H3182" s="4">
        <f>Clean_Data[[#This Row],[Exports_TIV]] - Clean_Data[[#This Row],[Imports_TIV]]</f>
        <v>21000000</v>
      </c>
      <c r="I3182" s="4">
        <f>Clean_Data[[#This Row],[Exports_TIV]] + Clean_Data[[#This Row],[Imports_TIV]]</f>
        <v>31000000</v>
      </c>
    </row>
    <row r="3183" spans="1:9">
      <c r="A3183" s="4" t="s">
        <v>239</v>
      </c>
      <c r="B3183" s="4" t="s">
        <v>240</v>
      </c>
      <c r="C3183" s="5">
        <v>2005</v>
      </c>
      <c r="D3183" s="4">
        <v>521000000</v>
      </c>
      <c r="E3183" s="4">
        <v>1103000000</v>
      </c>
      <c r="F3183" s="4" t="str">
        <f>_xlfn.LET(_xlpm.r, _xlfn.XLOOKUP(Clean_Data[[#This Row],[Country_Code]], Metadata_Country!$A:$A, Metadata_Country!$B:$B, "Unknown"), IF(OR(_xlpm.r=0, _xlpm.r=""), "Regional Aggregate", _xlpm.r))</f>
        <v>Middle East &amp; North Africa</v>
      </c>
      <c r="G3183" s="4" t="str">
        <f>_xlfn.LET(_xlpm.ig, _xlfn.XLOOKUP(Clean_Data[[#This Row],[Country_Code]], Metadata_Country!$A:$A, Metadata_Country!$C:$C, "Unknown"), IF(OR(_xlpm.ig=0, _xlpm.ig=""), "Regional Aggregate", _xlpm.ig))</f>
        <v>High income</v>
      </c>
      <c r="H3183" s="4">
        <f>Clean_Data[[#This Row],[Exports_TIV]] - Clean_Data[[#This Row],[Imports_TIV]]</f>
        <v>-582000000</v>
      </c>
      <c r="I3183" s="4">
        <f>Clean_Data[[#This Row],[Exports_TIV]] + Clean_Data[[#This Row],[Imports_TIV]]</f>
        <v>1624000000</v>
      </c>
    </row>
    <row r="3184" spans="1:9">
      <c r="A3184" s="4" t="s">
        <v>241</v>
      </c>
      <c r="B3184" s="4" t="s">
        <v>242</v>
      </c>
      <c r="C3184" s="5">
        <v>2005</v>
      </c>
      <c r="D3184" s="4">
        <v>832000000</v>
      </c>
      <c r="E3184" s="4">
        <v>136000000</v>
      </c>
      <c r="F3184" s="4" t="str">
        <f>_xlfn.LET(_xlpm.r, _xlfn.XLOOKUP(Clean_Data[[#This Row],[Country_Code]], Metadata_Country!$A:$A, Metadata_Country!$B:$B, "Unknown"), IF(OR(_xlpm.r=0, _xlpm.r=""), "Regional Aggregate", _xlpm.r))</f>
        <v>Europe &amp; Central Asia</v>
      </c>
      <c r="G3184" s="4" t="str">
        <f>_xlfn.LET(_xlpm.ig, _xlfn.XLOOKUP(Clean_Data[[#This Row],[Country_Code]], Metadata_Country!$A:$A, Metadata_Country!$C:$C, "Unknown"), IF(OR(_xlpm.ig=0, _xlpm.ig=""), "Regional Aggregate", _xlpm.ig))</f>
        <v>High income</v>
      </c>
      <c r="H3184" s="4">
        <f>Clean_Data[[#This Row],[Exports_TIV]] - Clean_Data[[#This Row],[Imports_TIV]]</f>
        <v>696000000</v>
      </c>
      <c r="I3184" s="4">
        <f>Clean_Data[[#This Row],[Exports_TIV]] + Clean_Data[[#This Row],[Imports_TIV]]</f>
        <v>968000000</v>
      </c>
    </row>
    <row r="3185" spans="1:9">
      <c r="A3185" s="4" t="s">
        <v>243</v>
      </c>
      <c r="B3185" s="4" t="s">
        <v>244</v>
      </c>
      <c r="C3185" s="5">
        <v>2005</v>
      </c>
      <c r="D3185" s="4">
        <v>0</v>
      </c>
      <c r="E3185" s="4">
        <v>10000000</v>
      </c>
      <c r="F3185" s="4" t="str">
        <f>_xlfn.LET(_xlpm.r, _xlfn.XLOOKUP(Clean_Data[[#This Row],[Country_Code]], Metadata_Country!$A:$A, Metadata_Country!$B:$B, "Unknown"), IF(OR(_xlpm.r=0, _xlpm.r=""), "Regional Aggregate", _xlpm.r))</f>
        <v>Latin America &amp; Caribbean</v>
      </c>
      <c r="G3185" s="4" t="str">
        <f>_xlfn.LET(_xlpm.ig, _xlfn.XLOOKUP(Clean_Data[[#This Row],[Country_Code]], Metadata_Country!$A:$A, Metadata_Country!$C:$C, "Unknown"), IF(OR(_xlpm.ig=0, _xlpm.ig=""), "Regional Aggregate", _xlpm.ig))</f>
        <v>Upper middle income</v>
      </c>
      <c r="H3185" s="4">
        <f>Clean_Data[[#This Row],[Exports_TIV]] - Clean_Data[[#This Row],[Imports_TIV]]</f>
        <v>-10000000</v>
      </c>
      <c r="I3185" s="4">
        <f>Clean_Data[[#This Row],[Exports_TIV]] + Clean_Data[[#This Row],[Imports_TIV]]</f>
        <v>10000000</v>
      </c>
    </row>
    <row r="3186" spans="1:9">
      <c r="A3186" s="4" t="s">
        <v>247</v>
      </c>
      <c r="B3186" s="4" t="s">
        <v>248</v>
      </c>
      <c r="C3186" s="5">
        <v>2005</v>
      </c>
      <c r="D3186" s="4">
        <v>0</v>
      </c>
      <c r="E3186" s="4">
        <v>375000000</v>
      </c>
      <c r="F3186" s="4" t="str">
        <f>_xlfn.LET(_xlpm.r, _xlfn.XLOOKUP(Clean_Data[[#This Row],[Country_Code]], Metadata_Country!$A:$A, Metadata_Country!$B:$B, "Unknown"), IF(OR(_xlpm.r=0, _xlpm.r=""), "Regional Aggregate", _xlpm.r))</f>
        <v>East Asia &amp; Pacific</v>
      </c>
      <c r="G3186" s="4" t="str">
        <f>_xlfn.LET(_xlpm.ig, _xlfn.XLOOKUP(Clean_Data[[#This Row],[Country_Code]], Metadata_Country!$A:$A, Metadata_Country!$C:$C, "Unknown"), IF(OR(_xlpm.ig=0, _xlpm.ig=""), "Regional Aggregate", _xlpm.ig))</f>
        <v>High income</v>
      </c>
      <c r="H3186" s="4">
        <f>Clean_Data[[#This Row],[Exports_TIV]] - Clean_Data[[#This Row],[Imports_TIV]]</f>
        <v>-375000000</v>
      </c>
      <c r="I3186" s="4">
        <f>Clean_Data[[#This Row],[Exports_TIV]] + Clean_Data[[#This Row],[Imports_TIV]]</f>
        <v>375000000</v>
      </c>
    </row>
    <row r="3187" spans="1:9">
      <c r="A3187" s="4" t="s">
        <v>245</v>
      </c>
      <c r="B3187" s="4" t="s">
        <v>246</v>
      </c>
      <c r="C3187" s="5">
        <v>2005</v>
      </c>
      <c r="D3187" s="4">
        <v>22000000</v>
      </c>
      <c r="E3187" s="4">
        <v>79000000</v>
      </c>
      <c r="F3187" s="4" t="str">
        <f>_xlfn.LET(_xlpm.r, _xlfn.XLOOKUP(Clean_Data[[#This Row],[Country_Code]], Metadata_Country!$A:$A, Metadata_Country!$B:$B, "Unknown"), IF(OR(_xlpm.r=0, _xlpm.r=""), "Regional Aggregate", _xlpm.r))</f>
        <v>Middle East &amp; North Africa</v>
      </c>
      <c r="G3187" s="4" t="str">
        <f>_xlfn.LET(_xlpm.ig, _xlfn.XLOOKUP(Clean_Data[[#This Row],[Country_Code]], Metadata_Country!$A:$A, Metadata_Country!$C:$C, "Unknown"), IF(OR(_xlpm.ig=0, _xlpm.ig=""), "Regional Aggregate", _xlpm.ig))</f>
        <v>Upper middle income</v>
      </c>
      <c r="H3187" s="4">
        <f>Clean_Data[[#This Row],[Exports_TIV]] - Clean_Data[[#This Row],[Imports_TIV]]</f>
        <v>-57000000</v>
      </c>
      <c r="I3187" s="4">
        <f>Clean_Data[[#This Row],[Exports_TIV]] + Clean_Data[[#This Row],[Imports_TIV]]</f>
        <v>101000000</v>
      </c>
    </row>
    <row r="3188" spans="1:9">
      <c r="A3188" s="4" t="s">
        <v>249</v>
      </c>
      <c r="B3188" s="4" t="s">
        <v>250</v>
      </c>
      <c r="C3188" s="5">
        <v>2005</v>
      </c>
      <c r="D3188" s="4">
        <v>0</v>
      </c>
      <c r="E3188" s="4">
        <v>44000000</v>
      </c>
      <c r="F3188" s="4" t="str">
        <f>_xlfn.LET(_xlpm.r, _xlfn.XLOOKUP(Clean_Data[[#This Row],[Country_Code]], Metadata_Country!$A:$A, Metadata_Country!$B:$B, "Unknown"), IF(OR(_xlpm.r=0, _xlpm.r=""), "Regional Aggregate", _xlpm.r))</f>
        <v>Europe &amp; Central Asia</v>
      </c>
      <c r="G3188" s="4" t="str">
        <f>_xlfn.LET(_xlpm.ig, _xlfn.XLOOKUP(Clean_Data[[#This Row],[Country_Code]], Metadata_Country!$A:$A, Metadata_Country!$C:$C, "Unknown"), IF(OR(_xlpm.ig=0, _xlpm.ig=""), "Regional Aggregate", _xlpm.ig))</f>
        <v>Upper middle income</v>
      </c>
      <c r="H3188" s="4">
        <f>Clean_Data[[#This Row],[Exports_TIV]] - Clean_Data[[#This Row],[Imports_TIV]]</f>
        <v>-44000000</v>
      </c>
      <c r="I3188" s="4">
        <f>Clean_Data[[#This Row],[Exports_TIV]] + Clean_Data[[#This Row],[Imports_TIV]]</f>
        <v>44000000</v>
      </c>
    </row>
    <row r="3189" spans="1:9">
      <c r="A3189" s="4" t="s">
        <v>395</v>
      </c>
      <c r="B3189" s="4" t="s">
        <v>396</v>
      </c>
      <c r="C3189" s="5">
        <v>2005</v>
      </c>
      <c r="D3189" s="4">
        <v>15000000</v>
      </c>
      <c r="E3189" s="4">
        <v>5000000</v>
      </c>
      <c r="F3189" s="4" t="str">
        <f>_xlfn.LET(_xlpm.r, _xlfn.XLOOKUP(Clean_Data[[#This Row],[Country_Code]], Metadata_Country!$A:$A, Metadata_Country!$B:$B, "Unknown"), IF(OR(_xlpm.r=0, _xlpm.r=""), "Regional Aggregate", _xlpm.r))</f>
        <v>East Asia &amp; Pacific</v>
      </c>
      <c r="G3189" s="4" t="str">
        <f>_xlfn.LET(_xlpm.ig, _xlfn.XLOOKUP(Clean_Data[[#This Row],[Country_Code]], Metadata_Country!$A:$A, Metadata_Country!$C:$C, "Unknown"), IF(OR(_xlpm.ig=0, _xlpm.ig=""), "Regional Aggregate", _xlpm.ig))</f>
        <v>Low income</v>
      </c>
      <c r="H3189" s="4">
        <f>Clean_Data[[#This Row],[Exports_TIV]] - Clean_Data[[#This Row],[Imports_TIV]]</f>
        <v>10000000</v>
      </c>
      <c r="I3189" s="4">
        <f>Clean_Data[[#This Row],[Exports_TIV]] + Clean_Data[[#This Row],[Imports_TIV]]</f>
        <v>20000000</v>
      </c>
    </row>
    <row r="3190" spans="1:9">
      <c r="A3190" s="4" t="s">
        <v>261</v>
      </c>
      <c r="B3190" s="4" t="s">
        <v>262</v>
      </c>
      <c r="C3190" s="5">
        <v>2005</v>
      </c>
      <c r="D3190" s="4">
        <v>109000000</v>
      </c>
      <c r="E3190" s="4">
        <v>801000000</v>
      </c>
      <c r="F3190" s="4" t="str">
        <f>_xlfn.LET(_xlpm.r, _xlfn.XLOOKUP(Clean_Data[[#This Row],[Country_Code]], Metadata_Country!$A:$A, Metadata_Country!$B:$B, "Unknown"), IF(OR(_xlpm.r=0, _xlpm.r=""), "Regional Aggregate", _xlpm.r))</f>
        <v>East Asia &amp; Pacific</v>
      </c>
      <c r="G3190" s="4" t="str">
        <f>_xlfn.LET(_xlpm.ig, _xlfn.XLOOKUP(Clean_Data[[#This Row],[Country_Code]], Metadata_Country!$A:$A, Metadata_Country!$C:$C, "Unknown"), IF(OR(_xlpm.ig=0, _xlpm.ig=""), "Regional Aggregate", _xlpm.ig))</f>
        <v>High income</v>
      </c>
      <c r="H3190" s="4">
        <f>Clean_Data[[#This Row],[Exports_TIV]] - Clean_Data[[#This Row],[Imports_TIV]]</f>
        <v>-692000000</v>
      </c>
      <c r="I3190" s="4">
        <f>Clean_Data[[#This Row],[Exports_TIV]] + Clean_Data[[#This Row],[Imports_TIV]]</f>
        <v>910000000</v>
      </c>
    </row>
    <row r="3191" spans="1:9">
      <c r="A3191" s="4" t="s">
        <v>263</v>
      </c>
      <c r="B3191" s="4" t="s">
        <v>264</v>
      </c>
      <c r="C3191" s="5">
        <v>2005</v>
      </c>
      <c r="D3191" s="4">
        <v>0</v>
      </c>
      <c r="E3191" s="4">
        <v>12000000</v>
      </c>
      <c r="F3191" s="4" t="str">
        <f>_xlfn.LET(_xlpm.r, _xlfn.XLOOKUP(Clean_Data[[#This Row],[Country_Code]], Metadata_Country!$A:$A, Metadata_Country!$B:$B, "Unknown"), IF(OR(_xlpm.r=0, _xlpm.r=""), "Regional Aggregate", _xlpm.r))</f>
        <v>Middle East &amp; North Africa</v>
      </c>
      <c r="G3191" s="4" t="str">
        <f>_xlfn.LET(_xlpm.ig, _xlfn.XLOOKUP(Clean_Data[[#This Row],[Country_Code]], Metadata_Country!$A:$A, Metadata_Country!$C:$C, "Unknown"), IF(OR(_xlpm.ig=0, _xlpm.ig=""), "Regional Aggregate", _xlpm.ig))</f>
        <v>High income</v>
      </c>
      <c r="H3191" s="4">
        <f>Clean_Data[[#This Row],[Exports_TIV]] - Clean_Data[[#This Row],[Imports_TIV]]</f>
        <v>-12000000</v>
      </c>
      <c r="I3191" s="4">
        <f>Clean_Data[[#This Row],[Exports_TIV]] + Clean_Data[[#This Row],[Imports_TIV]]</f>
        <v>12000000</v>
      </c>
    </row>
    <row r="3192" spans="1:9">
      <c r="A3192" s="4" t="s">
        <v>253</v>
      </c>
      <c r="B3192" s="4" t="s">
        <v>254</v>
      </c>
      <c r="C3192" s="5">
        <v>2005</v>
      </c>
      <c r="D3192" s="4">
        <v>0</v>
      </c>
      <c r="E3192" s="4">
        <v>3000000</v>
      </c>
      <c r="F3192" s="4" t="str">
        <f>_xlfn.LET(_xlpm.r, _xlfn.XLOOKUP(Clean_Data[[#This Row],[Country_Code]], Metadata_Country!$A:$A, Metadata_Country!$B:$B, "Unknown"), IF(OR(_xlpm.r=0, _xlpm.r=""), "Regional Aggregate", _xlpm.r))</f>
        <v>Europe &amp; Central Asia</v>
      </c>
      <c r="G3192" s="4" t="str">
        <f>_xlfn.LET(_xlpm.ig, _xlfn.XLOOKUP(Clean_Data[[#This Row],[Country_Code]], Metadata_Country!$A:$A, Metadata_Country!$C:$C, "Unknown"), IF(OR(_xlpm.ig=0, _xlpm.ig=""), "Regional Aggregate", _xlpm.ig))</f>
        <v>Lower middle income</v>
      </c>
      <c r="H3192" s="4">
        <f>Clean_Data[[#This Row],[Exports_TIV]] - Clean_Data[[#This Row],[Imports_TIV]]</f>
        <v>-3000000</v>
      </c>
      <c r="I3192" s="4">
        <f>Clean_Data[[#This Row],[Exports_TIV]] + Clean_Data[[#This Row],[Imports_TIV]]</f>
        <v>3000000</v>
      </c>
    </row>
    <row r="3193" spans="1:9">
      <c r="A3193" s="4" t="s">
        <v>267</v>
      </c>
      <c r="B3193" s="4" t="s">
        <v>268</v>
      </c>
      <c r="C3193" s="5">
        <v>2005</v>
      </c>
      <c r="D3193" s="4">
        <v>0</v>
      </c>
      <c r="E3193" s="4">
        <v>4000000</v>
      </c>
      <c r="F3193" s="4" t="str">
        <f>_xlfn.LET(_xlpm.r, _xlfn.XLOOKUP(Clean_Data[[#This Row],[Country_Code]], Metadata_Country!$A:$A, Metadata_Country!$B:$B, "Unknown"), IF(OR(_xlpm.r=0, _xlpm.r=""), "Regional Aggregate", _xlpm.r))</f>
        <v>East Asia &amp; Pacific</v>
      </c>
      <c r="G3193" s="4" t="str">
        <f>_xlfn.LET(_xlpm.ig, _xlfn.XLOOKUP(Clean_Data[[#This Row],[Country_Code]], Metadata_Country!$A:$A, Metadata_Country!$C:$C, "Unknown"), IF(OR(_xlpm.ig=0, _xlpm.ig=""), "Regional Aggregate", _xlpm.ig))</f>
        <v>Lower middle income</v>
      </c>
      <c r="H3193" s="4">
        <f>Clean_Data[[#This Row],[Exports_TIV]] - Clean_Data[[#This Row],[Imports_TIV]]</f>
        <v>-4000000</v>
      </c>
      <c r="I3193" s="4">
        <f>Clean_Data[[#This Row],[Exports_TIV]] + Clean_Data[[#This Row],[Imports_TIV]]</f>
        <v>4000000</v>
      </c>
    </row>
    <row r="3194" spans="1:9">
      <c r="A3194" s="4" t="s">
        <v>293</v>
      </c>
      <c r="B3194" s="4" t="s">
        <v>294</v>
      </c>
      <c r="C3194" s="5">
        <v>2005</v>
      </c>
      <c r="D3194" s="4">
        <v>5637000000</v>
      </c>
      <c r="E3194" s="4">
        <v>8002000000</v>
      </c>
      <c r="F3194" s="4" t="str">
        <f>_xlfn.LET(_xlpm.r, _xlfn.XLOOKUP(Clean_Data[[#This Row],[Country_Code]], Metadata_Country!$A:$A, Metadata_Country!$B:$B, "Unknown"), IF(OR(_xlpm.r=0, _xlpm.r=""), "Regional Aggregate", _xlpm.r))</f>
        <v>Regional Aggregate</v>
      </c>
      <c r="G3194" s="4" t="str">
        <f>_xlfn.LET(_xlpm.ig, _xlfn.XLOOKUP(Clean_Data[[#This Row],[Country_Code]], Metadata_Country!$A:$A, Metadata_Country!$C:$C, "Unknown"), IF(OR(_xlpm.ig=0, _xlpm.ig=""), "Regional Aggregate", _xlpm.ig))</f>
        <v>Regional Aggregate</v>
      </c>
      <c r="H3194" s="4">
        <f>Clean_Data[[#This Row],[Exports_TIV]] - Clean_Data[[#This Row],[Imports_TIV]]</f>
        <v>-2365000000</v>
      </c>
      <c r="I3194" s="4">
        <f>Clean_Data[[#This Row],[Exports_TIV]] + Clean_Data[[#This Row],[Imports_TIV]]</f>
        <v>13639000000</v>
      </c>
    </row>
    <row r="3195" spans="1:9">
      <c r="A3195" s="4" t="s">
        <v>277</v>
      </c>
      <c r="B3195" s="4" t="s">
        <v>278</v>
      </c>
      <c r="C3195" s="5">
        <v>2005</v>
      </c>
      <c r="D3195" s="4">
        <v>0</v>
      </c>
      <c r="E3195" s="4">
        <v>1195000000</v>
      </c>
      <c r="F3195" s="4" t="str">
        <f>_xlfn.LET(_xlpm.r, _xlfn.XLOOKUP(Clean_Data[[#This Row],[Country_Code]], Metadata_Country!$A:$A, Metadata_Country!$B:$B, "Unknown"), IF(OR(_xlpm.r=0, _xlpm.r=""), "Regional Aggregate", _xlpm.r))</f>
        <v>Regional Aggregate</v>
      </c>
      <c r="G3195" s="4" t="str">
        <f>_xlfn.LET(_xlpm.ig, _xlfn.XLOOKUP(Clean_Data[[#This Row],[Country_Code]], Metadata_Country!$A:$A, Metadata_Country!$C:$C, "Unknown"), IF(OR(_xlpm.ig=0, _xlpm.ig=""), "Regional Aggregate", _xlpm.ig))</f>
        <v>Regional Aggregate</v>
      </c>
      <c r="H3195" s="4">
        <f>Clean_Data[[#This Row],[Exports_TIV]] - Clean_Data[[#This Row],[Imports_TIV]]</f>
        <v>-1195000000</v>
      </c>
      <c r="I3195" s="4">
        <f>Clean_Data[[#This Row],[Exports_TIV]] + Clean_Data[[#This Row],[Imports_TIV]]</f>
        <v>1195000000</v>
      </c>
    </row>
    <row r="3196" spans="1:9">
      <c r="A3196" s="4" t="s">
        <v>265</v>
      </c>
      <c r="B3196" s="4" t="s">
        <v>266</v>
      </c>
      <c r="C3196" s="5">
        <v>2005</v>
      </c>
      <c r="D3196" s="4">
        <v>0</v>
      </c>
      <c r="E3196" s="4">
        <v>726000000</v>
      </c>
      <c r="F3196" s="4" t="str">
        <f>_xlfn.LET(_xlpm.r, _xlfn.XLOOKUP(Clean_Data[[#This Row],[Country_Code]], Metadata_Country!$A:$A, Metadata_Country!$B:$B, "Unknown"), IF(OR(_xlpm.r=0, _xlpm.r=""), "Regional Aggregate", _xlpm.r))</f>
        <v>Regional Aggregate</v>
      </c>
      <c r="G3196" s="4" t="str">
        <f>_xlfn.LET(_xlpm.ig, _xlfn.XLOOKUP(Clean_Data[[#This Row],[Country_Code]], Metadata_Country!$A:$A, Metadata_Country!$C:$C, "Unknown"), IF(OR(_xlpm.ig=0, _xlpm.ig=""), "Regional Aggregate", _xlpm.ig))</f>
        <v>Regional Aggregate</v>
      </c>
      <c r="H3196" s="4">
        <f>Clean_Data[[#This Row],[Exports_TIV]] - Clean_Data[[#This Row],[Imports_TIV]]</f>
        <v>-726000000</v>
      </c>
      <c r="I3196" s="4">
        <f>Clean_Data[[#This Row],[Exports_TIV]] + Clean_Data[[#This Row],[Imports_TIV]]</f>
        <v>726000000</v>
      </c>
    </row>
    <row r="3197" spans="1:9">
      <c r="A3197" s="4" t="s">
        <v>481</v>
      </c>
      <c r="B3197" s="4" t="s">
        <v>482</v>
      </c>
      <c r="C3197" s="5">
        <v>2005</v>
      </c>
      <c r="D3197" s="4">
        <v>0</v>
      </c>
      <c r="E3197" s="4">
        <v>1192000000</v>
      </c>
      <c r="F3197" s="4" t="str">
        <f>_xlfn.LET(_xlpm.r, _xlfn.XLOOKUP(Clean_Data[[#This Row],[Country_Code]], Metadata_Country!$A:$A, Metadata_Country!$B:$B, "Unknown"), IF(OR(_xlpm.r=0, _xlpm.r=""), "Regional Aggregate", _xlpm.r))</f>
        <v>Regional Aggregate</v>
      </c>
      <c r="G3197" s="4" t="str">
        <f>_xlfn.LET(_xlpm.ig, _xlfn.XLOOKUP(Clean_Data[[#This Row],[Country_Code]], Metadata_Country!$A:$A, Metadata_Country!$C:$C, "Unknown"), IF(OR(_xlpm.ig=0, _xlpm.ig=""), "Regional Aggregate", _xlpm.ig))</f>
        <v>Regional Aggregate</v>
      </c>
      <c r="H3197" s="4">
        <f>Clean_Data[[#This Row],[Exports_TIV]] - Clean_Data[[#This Row],[Imports_TIV]]</f>
        <v>-1192000000</v>
      </c>
      <c r="I3197" s="4">
        <f>Clean_Data[[#This Row],[Exports_TIV]] + Clean_Data[[#This Row],[Imports_TIV]]</f>
        <v>1192000000</v>
      </c>
    </row>
    <row r="3198" spans="1:9">
      <c r="A3198" s="4" t="s">
        <v>299</v>
      </c>
      <c r="B3198" s="4" t="s">
        <v>300</v>
      </c>
      <c r="C3198" s="5">
        <v>2005</v>
      </c>
      <c r="D3198" s="4">
        <v>0</v>
      </c>
      <c r="E3198" s="4">
        <v>5000000</v>
      </c>
      <c r="F3198" s="4" t="str">
        <f>_xlfn.LET(_xlpm.r, _xlfn.XLOOKUP(Clean_Data[[#This Row],[Country_Code]], Metadata_Country!$A:$A, Metadata_Country!$B:$B, "Unknown"), IF(OR(_xlpm.r=0, _xlpm.r=""), "Regional Aggregate", _xlpm.r))</f>
        <v>Europe &amp; Central Asia</v>
      </c>
      <c r="G3198" s="4" t="str">
        <f>_xlfn.LET(_xlpm.ig, _xlfn.XLOOKUP(Clean_Data[[#This Row],[Country_Code]], Metadata_Country!$A:$A, Metadata_Country!$C:$C, "Unknown"), IF(OR(_xlpm.ig=0, _xlpm.ig=""), "Regional Aggregate", _xlpm.ig))</f>
        <v>High income</v>
      </c>
      <c r="H3198" s="4">
        <f>Clean_Data[[#This Row],[Exports_TIV]] - Clean_Data[[#This Row],[Imports_TIV]]</f>
        <v>-5000000</v>
      </c>
      <c r="I3198" s="4">
        <f>Clean_Data[[#This Row],[Exports_TIV]] + Clean_Data[[#This Row],[Imports_TIV]]</f>
        <v>5000000</v>
      </c>
    </row>
    <row r="3199" spans="1:9">
      <c r="A3199" s="4" t="s">
        <v>279</v>
      </c>
      <c r="B3199" s="4" t="s">
        <v>280</v>
      </c>
      <c r="C3199" s="5">
        <v>2005</v>
      </c>
      <c r="D3199" s="4">
        <v>0</v>
      </c>
      <c r="E3199" s="4">
        <v>894000000</v>
      </c>
      <c r="F3199" s="4" t="str">
        <f>_xlfn.LET(_xlpm.r, _xlfn.XLOOKUP(Clean_Data[[#This Row],[Country_Code]], Metadata_Country!$A:$A, Metadata_Country!$B:$B, "Unknown"), IF(OR(_xlpm.r=0, _xlpm.r=""), "Regional Aggregate", _xlpm.r))</f>
        <v>Regional Aggregate</v>
      </c>
      <c r="G3199" s="4" t="str">
        <f>_xlfn.LET(_xlpm.ig, _xlfn.XLOOKUP(Clean_Data[[#This Row],[Country_Code]], Metadata_Country!$A:$A, Metadata_Country!$C:$C, "Unknown"), IF(OR(_xlpm.ig=0, _xlpm.ig=""), "Regional Aggregate", _xlpm.ig))</f>
        <v>Regional Aggregate</v>
      </c>
      <c r="H3199" s="4">
        <f>Clean_Data[[#This Row],[Exports_TIV]] - Clean_Data[[#This Row],[Imports_TIV]]</f>
        <v>-894000000</v>
      </c>
      <c r="I3199" s="4">
        <f>Clean_Data[[#This Row],[Exports_TIV]] + Clean_Data[[#This Row],[Imports_TIV]]</f>
        <v>894000000</v>
      </c>
    </row>
    <row r="3200" spans="1:9">
      <c r="A3200" s="4" t="s">
        <v>269</v>
      </c>
      <c r="B3200" s="4" t="s">
        <v>270</v>
      </c>
      <c r="C3200" s="5">
        <v>2005</v>
      </c>
      <c r="D3200" s="4">
        <v>0</v>
      </c>
      <c r="E3200" s="4">
        <v>1000000</v>
      </c>
      <c r="F3200" s="4" t="str">
        <f>_xlfn.LET(_xlpm.r, _xlfn.XLOOKUP(Clean_Data[[#This Row],[Country_Code]], Metadata_Country!$A:$A, Metadata_Country!$B:$B, "Unknown"), IF(OR(_xlpm.r=0, _xlpm.r=""), "Regional Aggregate", _xlpm.r))</f>
        <v>Middle East &amp; North Africa</v>
      </c>
      <c r="G3200" s="4" t="str">
        <f>_xlfn.LET(_xlpm.ig, _xlfn.XLOOKUP(Clean_Data[[#This Row],[Country_Code]], Metadata_Country!$A:$A, Metadata_Country!$C:$C, "Unknown"), IF(OR(_xlpm.ig=0, _xlpm.ig=""), "Regional Aggregate", _xlpm.ig))</f>
        <v>Lower middle income</v>
      </c>
      <c r="H3200" s="4">
        <f>Clean_Data[[#This Row],[Exports_TIV]] - Clean_Data[[#This Row],[Imports_TIV]]</f>
        <v>-1000000</v>
      </c>
      <c r="I3200" s="4">
        <f>Clean_Data[[#This Row],[Exports_TIV]] + Clean_Data[[#This Row],[Imports_TIV]]</f>
        <v>1000000</v>
      </c>
    </row>
    <row r="3201" spans="1:9">
      <c r="A3201" s="4" t="s">
        <v>273</v>
      </c>
      <c r="B3201" s="4" t="s">
        <v>274</v>
      </c>
      <c r="C3201" s="5">
        <v>2005</v>
      </c>
      <c r="D3201" s="4">
        <v>113000000</v>
      </c>
      <c r="E3201" s="4">
        <v>1000000</v>
      </c>
      <c r="F3201" s="4" t="str">
        <f>_xlfn.LET(_xlpm.r, _xlfn.XLOOKUP(Clean_Data[[#This Row],[Country_Code]], Metadata_Country!$A:$A, Metadata_Country!$B:$B, "Unknown"), IF(OR(_xlpm.r=0, _xlpm.r=""), "Regional Aggregate", _xlpm.r))</f>
        <v>Middle East &amp; North Africa</v>
      </c>
      <c r="G3201" s="4" t="str">
        <f>_xlfn.LET(_xlpm.ig, _xlfn.XLOOKUP(Clean_Data[[#This Row],[Country_Code]], Metadata_Country!$A:$A, Metadata_Country!$C:$C, "Unknown"), IF(OR(_xlpm.ig=0, _xlpm.ig=""), "Regional Aggregate", _xlpm.ig))</f>
        <v>Upper middle income</v>
      </c>
      <c r="H3201" s="4">
        <f>Clean_Data[[#This Row],[Exports_TIV]] - Clean_Data[[#This Row],[Imports_TIV]]</f>
        <v>112000000</v>
      </c>
      <c r="I3201" s="4">
        <f>Clean_Data[[#This Row],[Exports_TIV]] + Clean_Data[[#This Row],[Imports_TIV]]</f>
        <v>114000000</v>
      </c>
    </row>
    <row r="3202" spans="1:9">
      <c r="A3202" s="4" t="s">
        <v>295</v>
      </c>
      <c r="B3202" s="4" t="s">
        <v>296</v>
      </c>
      <c r="C3202" s="5">
        <v>2005</v>
      </c>
      <c r="D3202" s="4">
        <v>0</v>
      </c>
      <c r="E3202" s="4">
        <v>11000000</v>
      </c>
      <c r="F3202" s="4" t="str">
        <f>_xlfn.LET(_xlpm.r, _xlfn.XLOOKUP(Clean_Data[[#This Row],[Country_Code]], Metadata_Country!$A:$A, Metadata_Country!$B:$B, "Unknown"), IF(OR(_xlpm.r=0, _xlpm.r=""), "Regional Aggregate", _xlpm.r))</f>
        <v>Europe &amp; Central Asia</v>
      </c>
      <c r="G3202" s="4" t="str">
        <f>_xlfn.LET(_xlpm.ig, _xlfn.XLOOKUP(Clean_Data[[#This Row],[Country_Code]], Metadata_Country!$A:$A, Metadata_Country!$C:$C, "Unknown"), IF(OR(_xlpm.ig=0, _xlpm.ig=""), "Regional Aggregate", _xlpm.ig))</f>
        <v>High income</v>
      </c>
      <c r="H3202" s="4">
        <f>Clean_Data[[#This Row],[Exports_TIV]] - Clean_Data[[#This Row],[Imports_TIV]]</f>
        <v>-11000000</v>
      </c>
      <c r="I3202" s="4">
        <f>Clean_Data[[#This Row],[Exports_TIV]] + Clean_Data[[#This Row],[Imports_TIV]]</f>
        <v>11000000</v>
      </c>
    </row>
    <row r="3203" spans="1:9">
      <c r="A3203" s="4" t="s">
        <v>289</v>
      </c>
      <c r="B3203" s="4" t="s">
        <v>290</v>
      </c>
      <c r="C3203" s="5">
        <v>2005</v>
      </c>
      <c r="D3203" s="4">
        <v>0</v>
      </c>
      <c r="E3203" s="4">
        <v>10443000000</v>
      </c>
      <c r="F3203" s="4" t="str">
        <f>_xlfn.LET(_xlpm.r, _xlfn.XLOOKUP(Clean_Data[[#This Row],[Country_Code]], Metadata_Country!$A:$A, Metadata_Country!$B:$B, "Unknown"), IF(OR(_xlpm.r=0, _xlpm.r=""), "Regional Aggregate", _xlpm.r))</f>
        <v>Regional Aggregate</v>
      </c>
      <c r="G3203" s="4" t="str">
        <f>_xlfn.LET(_xlpm.ig, _xlfn.XLOOKUP(Clean_Data[[#This Row],[Country_Code]], Metadata_Country!$A:$A, Metadata_Country!$C:$C, "Unknown"), IF(OR(_xlpm.ig=0, _xlpm.ig=""), "Regional Aggregate", _xlpm.ig))</f>
        <v>Regional Aggregate</v>
      </c>
      <c r="H3203" s="4">
        <f>Clean_Data[[#This Row],[Exports_TIV]] - Clean_Data[[#This Row],[Imports_TIV]]</f>
        <v>-10443000000</v>
      </c>
      <c r="I3203" s="4">
        <f>Clean_Data[[#This Row],[Exports_TIV]] + Clean_Data[[#This Row],[Imports_TIV]]</f>
        <v>10443000000</v>
      </c>
    </row>
    <row r="3204" spans="1:9">
      <c r="A3204" s="4" t="s">
        <v>281</v>
      </c>
      <c r="B3204" s="4" t="s">
        <v>282</v>
      </c>
      <c r="C3204" s="5">
        <v>2005</v>
      </c>
      <c r="D3204" s="4">
        <v>0</v>
      </c>
      <c r="E3204" s="4">
        <v>657000000</v>
      </c>
      <c r="F3204" s="4" t="str">
        <f>_xlfn.LET(_xlpm.r, _xlfn.XLOOKUP(Clean_Data[[#This Row],[Country_Code]], Metadata_Country!$A:$A, Metadata_Country!$B:$B, "Unknown"), IF(OR(_xlpm.r=0, _xlpm.r=""), "Regional Aggregate", _xlpm.r))</f>
        <v>Regional Aggregate</v>
      </c>
      <c r="G3204" s="4" t="str">
        <f>_xlfn.LET(_xlpm.ig, _xlfn.XLOOKUP(Clean_Data[[#This Row],[Country_Code]], Metadata_Country!$A:$A, Metadata_Country!$C:$C, "Unknown"), IF(OR(_xlpm.ig=0, _xlpm.ig=""), "Regional Aggregate", _xlpm.ig))</f>
        <v>Regional Aggregate</v>
      </c>
      <c r="H3204" s="4">
        <f>Clean_Data[[#This Row],[Exports_TIV]] - Clean_Data[[#This Row],[Imports_TIV]]</f>
        <v>-657000000</v>
      </c>
      <c r="I3204" s="4">
        <f>Clean_Data[[#This Row],[Exports_TIV]] + Clean_Data[[#This Row],[Imports_TIV]]</f>
        <v>657000000</v>
      </c>
    </row>
    <row r="3205" spans="1:9">
      <c r="A3205" s="4" t="s">
        <v>287</v>
      </c>
      <c r="B3205" s="4" t="s">
        <v>288</v>
      </c>
      <c r="C3205" s="5">
        <v>2005</v>
      </c>
      <c r="D3205" s="4">
        <v>0</v>
      </c>
      <c r="E3205" s="4">
        <v>3063000000</v>
      </c>
      <c r="F3205" s="4" t="str">
        <f>_xlfn.LET(_xlpm.r, _xlfn.XLOOKUP(Clean_Data[[#This Row],[Country_Code]], Metadata_Country!$A:$A, Metadata_Country!$B:$B, "Unknown"), IF(OR(_xlpm.r=0, _xlpm.r=""), "Regional Aggregate", _xlpm.r))</f>
        <v>Regional Aggregate</v>
      </c>
      <c r="G3205" s="4" t="str">
        <f>_xlfn.LET(_xlpm.ig, _xlfn.XLOOKUP(Clean_Data[[#This Row],[Country_Code]], Metadata_Country!$A:$A, Metadata_Country!$C:$C, "Unknown"), IF(OR(_xlpm.ig=0, _xlpm.ig=""), "Regional Aggregate", _xlpm.ig))</f>
        <v>Regional Aggregate</v>
      </c>
      <c r="H3205" s="4">
        <f>Clean_Data[[#This Row],[Exports_TIV]] - Clean_Data[[#This Row],[Imports_TIV]]</f>
        <v>-3063000000</v>
      </c>
      <c r="I3205" s="4">
        <f>Clean_Data[[#This Row],[Exports_TIV]] + Clean_Data[[#This Row],[Imports_TIV]]</f>
        <v>3063000000</v>
      </c>
    </row>
    <row r="3206" spans="1:9">
      <c r="A3206" s="4" t="s">
        <v>347</v>
      </c>
      <c r="B3206" s="4" t="s">
        <v>348</v>
      </c>
      <c r="C3206" s="5">
        <v>2005</v>
      </c>
      <c r="D3206" s="4">
        <v>0</v>
      </c>
      <c r="E3206" s="4">
        <v>57000000</v>
      </c>
      <c r="F3206" s="4" t="str">
        <f>_xlfn.LET(_xlpm.r, _xlfn.XLOOKUP(Clean_Data[[#This Row],[Country_Code]], Metadata_Country!$A:$A, Metadata_Country!$B:$B, "Unknown"), IF(OR(_xlpm.r=0, _xlpm.r=""), "Regional Aggregate", _xlpm.r))</f>
        <v>East Asia &amp; Pacific</v>
      </c>
      <c r="G3206" s="4" t="str">
        <f>_xlfn.LET(_xlpm.ig, _xlfn.XLOOKUP(Clean_Data[[#This Row],[Country_Code]], Metadata_Country!$A:$A, Metadata_Country!$C:$C, "Unknown"), IF(OR(_xlpm.ig=0, _xlpm.ig=""), "Regional Aggregate", _xlpm.ig))</f>
        <v>Upper middle income</v>
      </c>
      <c r="H3206" s="4">
        <f>Clean_Data[[#This Row],[Exports_TIV]] - Clean_Data[[#This Row],[Imports_TIV]]</f>
        <v>-57000000</v>
      </c>
      <c r="I3206" s="4">
        <f>Clean_Data[[#This Row],[Exports_TIV]] + Clean_Data[[#This Row],[Imports_TIV]]</f>
        <v>57000000</v>
      </c>
    </row>
    <row r="3207" spans="1:9">
      <c r="A3207" s="4" t="s">
        <v>325</v>
      </c>
      <c r="B3207" s="4" t="s">
        <v>326</v>
      </c>
      <c r="C3207" s="5">
        <v>2005</v>
      </c>
      <c r="D3207" s="4">
        <v>0</v>
      </c>
      <c r="E3207" s="4">
        <v>13000000</v>
      </c>
      <c r="F3207" s="4" t="str">
        <f>_xlfn.LET(_xlpm.r, _xlfn.XLOOKUP(Clean_Data[[#This Row],[Country_Code]], Metadata_Country!$A:$A, Metadata_Country!$B:$B, "Unknown"), IF(OR(_xlpm.r=0, _xlpm.r=""), "Regional Aggregate", _xlpm.r))</f>
        <v>Sub-Saharan Africa</v>
      </c>
      <c r="G3207" s="4" t="str">
        <f>_xlfn.LET(_xlpm.ig, _xlfn.XLOOKUP(Clean_Data[[#This Row],[Country_Code]], Metadata_Country!$A:$A, Metadata_Country!$C:$C, "Unknown"), IF(OR(_xlpm.ig=0, _xlpm.ig=""), "Regional Aggregate", _xlpm.ig))</f>
        <v>Low income</v>
      </c>
      <c r="H3207" s="4">
        <f>Clean_Data[[#This Row],[Exports_TIV]] - Clean_Data[[#This Row],[Imports_TIV]]</f>
        <v>-13000000</v>
      </c>
      <c r="I3207" s="4">
        <f>Clean_Data[[#This Row],[Exports_TIV]] + Clean_Data[[#This Row],[Imports_TIV]]</f>
        <v>13000000</v>
      </c>
    </row>
    <row r="3208" spans="1:9">
      <c r="A3208" s="4" t="s">
        <v>327</v>
      </c>
      <c r="B3208" s="4" t="s">
        <v>328</v>
      </c>
      <c r="C3208" s="5">
        <v>2005</v>
      </c>
      <c r="D3208" s="4">
        <v>0</v>
      </c>
      <c r="E3208" s="4">
        <v>18000000</v>
      </c>
      <c r="F3208" s="4" t="str">
        <f>_xlfn.LET(_xlpm.r, _xlfn.XLOOKUP(Clean_Data[[#This Row],[Country_Code]], Metadata_Country!$A:$A, Metadata_Country!$B:$B, "Unknown"), IF(OR(_xlpm.r=0, _xlpm.r=""), "Regional Aggregate", _xlpm.r))</f>
        <v>Middle East &amp; North Africa</v>
      </c>
      <c r="G3208" s="4" t="str">
        <f>_xlfn.LET(_xlpm.ig, _xlfn.XLOOKUP(Clean_Data[[#This Row],[Country_Code]], Metadata_Country!$A:$A, Metadata_Country!$C:$C, "Unknown"), IF(OR(_xlpm.ig=0, _xlpm.ig=""), "Regional Aggregate", _xlpm.ig))</f>
        <v>High income</v>
      </c>
      <c r="H3208" s="4">
        <f>Clean_Data[[#This Row],[Exports_TIV]] - Clean_Data[[#This Row],[Imports_TIV]]</f>
        <v>-18000000</v>
      </c>
      <c r="I3208" s="4">
        <f>Clean_Data[[#This Row],[Exports_TIV]] + Clean_Data[[#This Row],[Imports_TIV]]</f>
        <v>18000000</v>
      </c>
    </row>
    <row r="3209" spans="1:9">
      <c r="A3209" s="4" t="s">
        <v>317</v>
      </c>
      <c r="B3209" s="4" t="s">
        <v>318</v>
      </c>
      <c r="C3209" s="5">
        <v>2005</v>
      </c>
      <c r="D3209" s="4">
        <v>0</v>
      </c>
      <c r="E3209" s="4">
        <v>40000000</v>
      </c>
      <c r="F3209" s="4" t="str">
        <f>_xlfn.LET(_xlpm.r, _xlfn.XLOOKUP(Clean_Data[[#This Row],[Country_Code]], Metadata_Country!$A:$A, Metadata_Country!$B:$B, "Unknown"), IF(OR(_xlpm.r=0, _xlpm.r=""), "Regional Aggregate", _xlpm.r))</f>
        <v>Latin America &amp; Caribbean</v>
      </c>
      <c r="G3209" s="4" t="str">
        <f>_xlfn.LET(_xlpm.ig, _xlfn.XLOOKUP(Clean_Data[[#This Row],[Country_Code]], Metadata_Country!$A:$A, Metadata_Country!$C:$C, "Unknown"), IF(OR(_xlpm.ig=0, _xlpm.ig=""), "Regional Aggregate", _xlpm.ig))</f>
        <v>Upper middle income</v>
      </c>
      <c r="H3209" s="4">
        <f>Clean_Data[[#This Row],[Exports_TIV]] - Clean_Data[[#This Row],[Imports_TIV]]</f>
        <v>-40000000</v>
      </c>
      <c r="I3209" s="4">
        <f>Clean_Data[[#This Row],[Exports_TIV]] + Clean_Data[[#This Row],[Imports_TIV]]</f>
        <v>40000000</v>
      </c>
    </row>
    <row r="3210" spans="1:9">
      <c r="A3210" s="4" t="s">
        <v>315</v>
      </c>
      <c r="B3210" s="4" t="s">
        <v>316</v>
      </c>
      <c r="C3210" s="5">
        <v>2005</v>
      </c>
      <c r="D3210" s="4">
        <v>0</v>
      </c>
      <c r="E3210" s="4">
        <v>6018000000</v>
      </c>
      <c r="F3210" s="4" t="str">
        <f>_xlfn.LET(_xlpm.r, _xlfn.XLOOKUP(Clean_Data[[#This Row],[Country_Code]], Metadata_Country!$A:$A, Metadata_Country!$B:$B, "Unknown"), IF(OR(_xlpm.r=0, _xlpm.r=""), "Regional Aggregate", _xlpm.r))</f>
        <v>Regional Aggregate</v>
      </c>
      <c r="G3210" s="4" t="str">
        <f>_xlfn.LET(_xlpm.ig, _xlfn.XLOOKUP(Clean_Data[[#This Row],[Country_Code]], Metadata_Country!$A:$A, Metadata_Country!$C:$C, "Unknown"), IF(OR(_xlpm.ig=0, _xlpm.ig=""), "Regional Aggregate", _xlpm.ig))</f>
        <v>Regional Aggregate</v>
      </c>
      <c r="H3210" s="4">
        <f>Clean_Data[[#This Row],[Exports_TIV]] - Clean_Data[[#This Row],[Imports_TIV]]</f>
        <v>-6018000000</v>
      </c>
      <c r="I3210" s="4">
        <f>Clean_Data[[#This Row],[Exports_TIV]] + Clean_Data[[#This Row],[Imports_TIV]]</f>
        <v>6018000000</v>
      </c>
    </row>
    <row r="3211" spans="1:9">
      <c r="A3211" s="4" t="s">
        <v>331</v>
      </c>
      <c r="B3211" s="4" t="s">
        <v>332</v>
      </c>
      <c r="C3211" s="5">
        <v>2005</v>
      </c>
      <c r="D3211" s="4">
        <v>0</v>
      </c>
      <c r="E3211" s="4">
        <v>2403000000</v>
      </c>
      <c r="F3211" s="4" t="str">
        <f>_xlfn.LET(_xlpm.r, _xlfn.XLOOKUP(Clean_Data[[#This Row],[Country_Code]], Metadata_Country!$A:$A, Metadata_Country!$B:$B, "Unknown"), IF(OR(_xlpm.r=0, _xlpm.r=""), "Regional Aggregate", _xlpm.r))</f>
        <v>Regional Aggregate</v>
      </c>
      <c r="G3211" s="4" t="str">
        <f>_xlfn.LET(_xlpm.ig, _xlfn.XLOOKUP(Clean_Data[[#This Row],[Country_Code]], Metadata_Country!$A:$A, Metadata_Country!$C:$C, "Unknown"), IF(OR(_xlpm.ig=0, _xlpm.ig=""), "Regional Aggregate", _xlpm.ig))</f>
        <v>Regional Aggregate</v>
      </c>
      <c r="H3211" s="4">
        <f>Clean_Data[[#This Row],[Exports_TIV]] - Clean_Data[[#This Row],[Imports_TIV]]</f>
        <v>-2403000000</v>
      </c>
      <c r="I3211" s="4">
        <f>Clean_Data[[#This Row],[Exports_TIV]] + Clean_Data[[#This Row],[Imports_TIV]]</f>
        <v>2403000000</v>
      </c>
    </row>
    <row r="3212" spans="1:9">
      <c r="A3212" s="4" t="s">
        <v>485</v>
      </c>
      <c r="B3212" s="4" t="s">
        <v>486</v>
      </c>
      <c r="C3212" s="5">
        <v>2005</v>
      </c>
      <c r="D3212" s="4">
        <v>0</v>
      </c>
      <c r="E3212" s="4">
        <v>2403000000</v>
      </c>
      <c r="F3212" s="4" t="str">
        <f>_xlfn.LET(_xlpm.r, _xlfn.XLOOKUP(Clean_Data[[#This Row],[Country_Code]], Metadata_Country!$A:$A, Metadata_Country!$B:$B, "Unknown"), IF(OR(_xlpm.r=0, _xlpm.r=""), "Regional Aggregate", _xlpm.r))</f>
        <v>Regional Aggregate</v>
      </c>
      <c r="G3212" s="4" t="str">
        <f>_xlfn.LET(_xlpm.ig, _xlfn.XLOOKUP(Clean_Data[[#This Row],[Country_Code]], Metadata_Country!$A:$A, Metadata_Country!$C:$C, "Unknown"), IF(OR(_xlpm.ig=0, _xlpm.ig=""), "Regional Aggregate", _xlpm.ig))</f>
        <v>Regional Aggregate</v>
      </c>
      <c r="H3212" s="4">
        <f>Clean_Data[[#This Row],[Exports_TIV]] - Clean_Data[[#This Row],[Imports_TIV]]</f>
        <v>-2403000000</v>
      </c>
      <c r="I3212" s="4">
        <f>Clean_Data[[#This Row],[Exports_TIV]] + Clean_Data[[#This Row],[Imports_TIV]]</f>
        <v>2403000000</v>
      </c>
    </row>
    <row r="3213" spans="1:9">
      <c r="A3213" s="4" t="s">
        <v>321</v>
      </c>
      <c r="B3213" s="4" t="s">
        <v>322</v>
      </c>
      <c r="C3213" s="5">
        <v>2005</v>
      </c>
      <c r="D3213" s="4">
        <v>0</v>
      </c>
      <c r="E3213" s="4">
        <v>9786000000</v>
      </c>
      <c r="F3213" s="4" t="str">
        <f>_xlfn.LET(_xlpm.r, _xlfn.XLOOKUP(Clean_Data[[#This Row],[Country_Code]], Metadata_Country!$A:$A, Metadata_Country!$B:$B, "Unknown"), IF(OR(_xlpm.r=0, _xlpm.r=""), "Regional Aggregate", _xlpm.r))</f>
        <v>Regional Aggregate</v>
      </c>
      <c r="G3213" s="4" t="str">
        <f>_xlfn.LET(_xlpm.ig, _xlfn.XLOOKUP(Clean_Data[[#This Row],[Country_Code]], Metadata_Country!$A:$A, Metadata_Country!$C:$C, "Unknown"), IF(OR(_xlpm.ig=0, _xlpm.ig=""), "Regional Aggregate", _xlpm.ig))</f>
        <v>Regional Aggregate</v>
      </c>
      <c r="H3213" s="4">
        <f>Clean_Data[[#This Row],[Exports_TIV]] - Clean_Data[[#This Row],[Imports_TIV]]</f>
        <v>-9786000000</v>
      </c>
      <c r="I3213" s="4">
        <f>Clean_Data[[#This Row],[Exports_TIV]] + Clean_Data[[#This Row],[Imports_TIV]]</f>
        <v>9786000000</v>
      </c>
    </row>
    <row r="3214" spans="1:9">
      <c r="A3214" s="4" t="s">
        <v>309</v>
      </c>
      <c r="B3214" s="4" t="s">
        <v>310</v>
      </c>
      <c r="C3214" s="5">
        <v>2005</v>
      </c>
      <c r="D3214" s="4">
        <v>18000000</v>
      </c>
      <c r="E3214" s="4">
        <v>0</v>
      </c>
      <c r="F3214" s="4" t="str">
        <f>_xlfn.LET(_xlpm.r, _xlfn.XLOOKUP(Clean_Data[[#This Row],[Country_Code]], Metadata_Country!$A:$A, Metadata_Country!$B:$B, "Unknown"), IF(OR(_xlpm.r=0, _xlpm.r=""), "Regional Aggregate", _xlpm.r))</f>
        <v>Europe &amp; Central Asia</v>
      </c>
      <c r="G3214" s="4" t="str">
        <f>_xlfn.LET(_xlpm.ig, _xlfn.XLOOKUP(Clean_Data[[#This Row],[Country_Code]], Metadata_Country!$A:$A, Metadata_Country!$C:$C, "Unknown"), IF(OR(_xlpm.ig=0, _xlpm.ig=""), "Regional Aggregate", _xlpm.ig))</f>
        <v>Upper middle income</v>
      </c>
      <c r="H3214" s="4">
        <f>Clean_Data[[#This Row],[Exports_TIV]] - Clean_Data[[#This Row],[Imports_TIV]]</f>
        <v>18000000</v>
      </c>
      <c r="I3214" s="4">
        <f>Clean_Data[[#This Row],[Exports_TIV]] + Clean_Data[[#This Row],[Imports_TIV]]</f>
        <v>18000000</v>
      </c>
    </row>
    <row r="3215" spans="1:9">
      <c r="A3215" s="4" t="s">
        <v>305</v>
      </c>
      <c r="B3215" s="4" t="s">
        <v>306</v>
      </c>
      <c r="C3215" s="5">
        <v>2005</v>
      </c>
      <c r="D3215" s="4">
        <v>0</v>
      </c>
      <c r="E3215" s="4">
        <v>101000000</v>
      </c>
      <c r="F3215" s="4" t="str">
        <f>_xlfn.LET(_xlpm.r, _xlfn.XLOOKUP(Clean_Data[[#This Row],[Country_Code]], Metadata_Country!$A:$A, Metadata_Country!$B:$B, "Unknown"), IF(OR(_xlpm.r=0, _xlpm.r=""), "Regional Aggregate", _xlpm.r))</f>
        <v>Middle East &amp; North Africa</v>
      </c>
      <c r="G3215" s="4" t="str">
        <f>_xlfn.LET(_xlpm.ig, _xlfn.XLOOKUP(Clean_Data[[#This Row],[Country_Code]], Metadata_Country!$A:$A, Metadata_Country!$C:$C, "Unknown"), IF(OR(_xlpm.ig=0, _xlpm.ig=""), "Regional Aggregate", _xlpm.ig))</f>
        <v>Lower middle income</v>
      </c>
      <c r="H3215" s="4">
        <f>Clean_Data[[#This Row],[Exports_TIV]] - Clean_Data[[#This Row],[Imports_TIV]]</f>
        <v>-101000000</v>
      </c>
      <c r="I3215" s="4">
        <f>Clean_Data[[#This Row],[Exports_TIV]] + Clean_Data[[#This Row],[Imports_TIV]]</f>
        <v>101000000</v>
      </c>
    </row>
    <row r="3216" spans="1:9">
      <c r="A3216" s="4" t="s">
        <v>329</v>
      </c>
      <c r="B3216" s="4" t="s">
        <v>330</v>
      </c>
      <c r="C3216" s="5">
        <v>2005</v>
      </c>
      <c r="D3216" s="4">
        <v>0</v>
      </c>
      <c r="E3216" s="4">
        <v>179000000</v>
      </c>
      <c r="F3216" s="4" t="str">
        <f>_xlfn.LET(_xlpm.r, _xlfn.XLOOKUP(Clean_Data[[#This Row],[Country_Code]], Metadata_Country!$A:$A, Metadata_Country!$B:$B, "Unknown"), IF(OR(_xlpm.r=0, _xlpm.r=""), "Regional Aggregate", _xlpm.r))</f>
        <v>East Asia &amp; Pacific</v>
      </c>
      <c r="G3216" s="4" t="str">
        <f>_xlfn.LET(_xlpm.ig, _xlfn.XLOOKUP(Clean_Data[[#This Row],[Country_Code]], Metadata_Country!$A:$A, Metadata_Country!$C:$C, "Unknown"), IF(OR(_xlpm.ig=0, _xlpm.ig=""), "Regional Aggregate", _xlpm.ig))</f>
        <v>Lower middle income</v>
      </c>
      <c r="H3216" s="4">
        <f>Clean_Data[[#This Row],[Exports_TIV]] - Clean_Data[[#This Row],[Imports_TIV]]</f>
        <v>-179000000</v>
      </c>
      <c r="I3216" s="4">
        <f>Clean_Data[[#This Row],[Exports_TIV]] + Clean_Data[[#This Row],[Imports_TIV]]</f>
        <v>179000000</v>
      </c>
    </row>
    <row r="3217" spans="1:9">
      <c r="A3217" s="4" t="s">
        <v>365</v>
      </c>
      <c r="B3217" s="4" t="s">
        <v>366</v>
      </c>
      <c r="C3217" s="5">
        <v>2005</v>
      </c>
      <c r="D3217" s="4">
        <v>0</v>
      </c>
      <c r="E3217" s="4">
        <v>7000000</v>
      </c>
      <c r="F3217" s="4" t="str">
        <f>_xlfn.LET(_xlpm.r, _xlfn.XLOOKUP(Clean_Data[[#This Row],[Country_Code]], Metadata_Country!$A:$A, Metadata_Country!$B:$B, "Unknown"), IF(OR(_xlpm.r=0, _xlpm.r=""), "Regional Aggregate", _xlpm.r))</f>
        <v>South Asia</v>
      </c>
      <c r="G3217" s="4" t="str">
        <f>_xlfn.LET(_xlpm.ig, _xlfn.XLOOKUP(Clean_Data[[#This Row],[Country_Code]], Metadata_Country!$A:$A, Metadata_Country!$C:$C, "Unknown"), IF(OR(_xlpm.ig=0, _xlpm.ig=""), "Regional Aggregate", _xlpm.ig))</f>
        <v>Lower middle income</v>
      </c>
      <c r="H3217" s="4">
        <f>Clean_Data[[#This Row],[Exports_TIV]] - Clean_Data[[#This Row],[Imports_TIV]]</f>
        <v>-7000000</v>
      </c>
      <c r="I3217" s="4">
        <f>Clean_Data[[#This Row],[Exports_TIV]] + Clean_Data[[#This Row],[Imports_TIV]]</f>
        <v>7000000</v>
      </c>
    </row>
    <row r="3218" spans="1:9">
      <c r="A3218" s="4" t="s">
        <v>361</v>
      </c>
      <c r="B3218" s="4" t="s">
        <v>362</v>
      </c>
      <c r="C3218" s="5">
        <v>2005</v>
      </c>
      <c r="D3218" s="4">
        <v>496000000</v>
      </c>
      <c r="E3218" s="4">
        <v>86000000</v>
      </c>
      <c r="F3218" s="4" t="str">
        <f>_xlfn.LET(_xlpm.r, _xlfn.XLOOKUP(Clean_Data[[#This Row],[Country_Code]], Metadata_Country!$A:$A, Metadata_Country!$B:$B, "Unknown"), IF(OR(_xlpm.r=0, _xlpm.r=""), "Regional Aggregate", _xlpm.r))</f>
        <v>Europe &amp; Central Asia</v>
      </c>
      <c r="G3218" s="4" t="str">
        <f>_xlfn.LET(_xlpm.ig, _xlfn.XLOOKUP(Clean_Data[[#This Row],[Country_Code]], Metadata_Country!$A:$A, Metadata_Country!$C:$C, "Unknown"), IF(OR(_xlpm.ig=0, _xlpm.ig=""), "Regional Aggregate", _xlpm.ig))</f>
        <v>High income</v>
      </c>
      <c r="H3218" s="4">
        <f>Clean_Data[[#This Row],[Exports_TIV]] - Clean_Data[[#This Row],[Imports_TIV]]</f>
        <v>410000000</v>
      </c>
      <c r="I3218" s="4">
        <f>Clean_Data[[#This Row],[Exports_TIV]] + Clean_Data[[#This Row],[Imports_TIV]]</f>
        <v>582000000</v>
      </c>
    </row>
    <row r="3219" spans="1:9">
      <c r="A3219" s="4" t="s">
        <v>369</v>
      </c>
      <c r="B3219" s="4" t="s">
        <v>370</v>
      </c>
      <c r="C3219" s="5">
        <v>2005</v>
      </c>
      <c r="D3219" s="4">
        <v>0</v>
      </c>
      <c r="E3219" s="4">
        <v>0</v>
      </c>
      <c r="F3219" s="4" t="str">
        <f>_xlfn.LET(_xlpm.r, _xlfn.XLOOKUP(Clean_Data[[#This Row],[Country_Code]], Metadata_Country!$A:$A, Metadata_Country!$B:$B, "Unknown"), IF(OR(_xlpm.r=0, _xlpm.r=""), "Regional Aggregate", _xlpm.r))</f>
        <v>East Asia &amp; Pacific</v>
      </c>
      <c r="G3219" s="4" t="str">
        <f>_xlfn.LET(_xlpm.ig, _xlfn.XLOOKUP(Clean_Data[[#This Row],[Country_Code]], Metadata_Country!$A:$A, Metadata_Country!$C:$C, "Unknown"), IF(OR(_xlpm.ig=0, _xlpm.ig=""), "Regional Aggregate", _xlpm.ig))</f>
        <v>High income</v>
      </c>
      <c r="H3219" s="4">
        <f>Clean_Data[[#This Row],[Exports_TIV]] - Clean_Data[[#This Row],[Imports_TIV]]</f>
        <v>0</v>
      </c>
      <c r="I3219" s="4">
        <f>Clean_Data[[#This Row],[Exports_TIV]] + Clean_Data[[#This Row],[Imports_TIV]]</f>
        <v>0</v>
      </c>
    </row>
    <row r="3220" spans="1:9">
      <c r="A3220" s="4" t="s">
        <v>349</v>
      </c>
      <c r="B3220" s="4" t="s">
        <v>350</v>
      </c>
      <c r="C3220" s="5">
        <v>2005</v>
      </c>
      <c r="D3220" s="4">
        <v>6958000000</v>
      </c>
      <c r="E3220" s="4">
        <v>688000000</v>
      </c>
      <c r="F3220" s="4" t="str">
        <f>_xlfn.LET(_xlpm.r, _xlfn.XLOOKUP(Clean_Data[[#This Row],[Country_Code]], Metadata_Country!$A:$A, Metadata_Country!$B:$B, "Unknown"), IF(OR(_xlpm.r=0, _xlpm.r=""), "Regional Aggregate", _xlpm.r))</f>
        <v>Regional Aggregate</v>
      </c>
      <c r="G3220" s="4" t="str">
        <f>_xlfn.LET(_xlpm.ig, _xlfn.XLOOKUP(Clean_Data[[#This Row],[Country_Code]], Metadata_Country!$A:$A, Metadata_Country!$C:$C, "Unknown"), IF(OR(_xlpm.ig=0, _xlpm.ig=""), "Regional Aggregate", _xlpm.ig))</f>
        <v>Regional Aggregate</v>
      </c>
      <c r="H3220" s="4">
        <f>Clean_Data[[#This Row],[Exports_TIV]] - Clean_Data[[#This Row],[Imports_TIV]]</f>
        <v>6270000000</v>
      </c>
      <c r="I3220" s="4">
        <f>Clean_Data[[#This Row],[Exports_TIV]] + Clean_Data[[#This Row],[Imports_TIV]]</f>
        <v>7646000000</v>
      </c>
    </row>
    <row r="3221" spans="1:9">
      <c r="A3221" s="4" t="s">
        <v>363</v>
      </c>
      <c r="B3221" s="4" t="s">
        <v>364</v>
      </c>
      <c r="C3221" s="5">
        <v>2005</v>
      </c>
      <c r="D3221" s="4">
        <v>6000000</v>
      </c>
      <c r="E3221" s="4">
        <v>14000000</v>
      </c>
      <c r="F3221" s="4" t="str">
        <f>_xlfn.LET(_xlpm.r, _xlfn.XLOOKUP(Clean_Data[[#This Row],[Country_Code]], Metadata_Country!$A:$A, Metadata_Country!$B:$B, "Unknown"), IF(OR(_xlpm.r=0, _xlpm.r=""), "Regional Aggregate", _xlpm.r))</f>
        <v>Europe &amp; Central Asia</v>
      </c>
      <c r="G3221" s="4" t="str">
        <f>_xlfn.LET(_xlpm.ig, _xlfn.XLOOKUP(Clean_Data[[#This Row],[Country_Code]], Metadata_Country!$A:$A, Metadata_Country!$C:$C, "Unknown"), IF(OR(_xlpm.ig=0, _xlpm.ig=""), "Regional Aggregate", _xlpm.ig))</f>
        <v>High income</v>
      </c>
      <c r="H3221" s="4">
        <f>Clean_Data[[#This Row],[Exports_TIV]] - Clean_Data[[#This Row],[Imports_TIV]]</f>
        <v>-8000000</v>
      </c>
      <c r="I3221" s="4">
        <f>Clean_Data[[#This Row],[Exports_TIV]] + Clean_Data[[#This Row],[Imports_TIV]]</f>
        <v>20000000</v>
      </c>
    </row>
    <row r="3222" spans="1:9">
      <c r="A3222" s="4" t="s">
        <v>371</v>
      </c>
      <c r="B3222" s="4" t="s">
        <v>372</v>
      </c>
      <c r="C3222" s="5">
        <v>2005</v>
      </c>
      <c r="D3222" s="4">
        <v>15053000000</v>
      </c>
      <c r="E3222" s="4">
        <v>7659000000</v>
      </c>
      <c r="F3222" s="4" t="str">
        <f>_xlfn.LET(_xlpm.r, _xlfn.XLOOKUP(Clean_Data[[#This Row],[Country_Code]], Metadata_Country!$A:$A, Metadata_Country!$B:$B, "Unknown"), IF(OR(_xlpm.r=0, _xlpm.r=""), "Regional Aggregate", _xlpm.r))</f>
        <v>Regional Aggregate</v>
      </c>
      <c r="G3222" s="4" t="str">
        <f>_xlfn.LET(_xlpm.ig, _xlfn.XLOOKUP(Clean_Data[[#This Row],[Country_Code]], Metadata_Country!$A:$A, Metadata_Country!$C:$C, "Unknown"), IF(OR(_xlpm.ig=0, _xlpm.ig=""), "Regional Aggregate", _xlpm.ig))</f>
        <v>Regional Aggregate</v>
      </c>
      <c r="H3222" s="4">
        <f>Clean_Data[[#This Row],[Exports_TIV]] - Clean_Data[[#This Row],[Imports_TIV]]</f>
        <v>7394000000</v>
      </c>
      <c r="I3222" s="4">
        <f>Clean_Data[[#This Row],[Exports_TIV]] + Clean_Data[[#This Row],[Imports_TIV]]</f>
        <v>22712000000</v>
      </c>
    </row>
    <row r="3223" spans="1:9">
      <c r="A3223" s="4" t="s">
        <v>373</v>
      </c>
      <c r="B3223" s="4" t="s">
        <v>374</v>
      </c>
      <c r="C3223" s="5">
        <v>2005</v>
      </c>
      <c r="D3223" s="4">
        <v>1000000</v>
      </c>
      <c r="E3223" s="4">
        <v>178000000</v>
      </c>
      <c r="F3223" s="4" t="str">
        <f>_xlfn.LET(_xlpm.r, _xlfn.XLOOKUP(Clean_Data[[#This Row],[Country_Code]], Metadata_Country!$A:$A, Metadata_Country!$B:$B, "Unknown"), IF(OR(_xlpm.r=0, _xlpm.r=""), "Regional Aggregate", _xlpm.r))</f>
        <v>Middle East &amp; North Africa</v>
      </c>
      <c r="G3223" s="4" t="str">
        <f>_xlfn.LET(_xlpm.ig, _xlfn.XLOOKUP(Clean_Data[[#This Row],[Country_Code]], Metadata_Country!$A:$A, Metadata_Country!$C:$C, "Unknown"), IF(OR(_xlpm.ig=0, _xlpm.ig=""), "Regional Aggregate", _xlpm.ig))</f>
        <v>High income</v>
      </c>
      <c r="H3223" s="4">
        <f>Clean_Data[[#This Row],[Exports_TIV]] - Clean_Data[[#This Row],[Imports_TIV]]</f>
        <v>-177000000</v>
      </c>
      <c r="I3223" s="4">
        <f>Clean_Data[[#This Row],[Exports_TIV]] + Clean_Data[[#This Row],[Imports_TIV]]</f>
        <v>179000000</v>
      </c>
    </row>
    <row r="3224" spans="1:9">
      <c r="A3224" s="4" t="s">
        <v>375</v>
      </c>
      <c r="B3224" s="4" t="s">
        <v>376</v>
      </c>
      <c r="C3224" s="5">
        <v>2005</v>
      </c>
      <c r="D3224" s="4">
        <v>0</v>
      </c>
      <c r="E3224" s="4">
        <v>85000000</v>
      </c>
      <c r="F3224" s="4" t="str">
        <f>_xlfn.LET(_xlpm.r, _xlfn.XLOOKUP(Clean_Data[[#This Row],[Country_Code]], Metadata_Country!$A:$A, Metadata_Country!$B:$B, "Unknown"), IF(OR(_xlpm.r=0, _xlpm.r=""), "Regional Aggregate", _xlpm.r))</f>
        <v>Regional Aggregate</v>
      </c>
      <c r="G3224" s="4" t="str">
        <f>_xlfn.LET(_xlpm.ig, _xlfn.XLOOKUP(Clean_Data[[#This Row],[Country_Code]], Metadata_Country!$A:$A, Metadata_Country!$C:$C, "Unknown"), IF(OR(_xlpm.ig=0, _xlpm.ig=""), "Regional Aggregate", _xlpm.ig))</f>
        <v>Regional Aggregate</v>
      </c>
      <c r="H3224" s="4">
        <f>Clean_Data[[#This Row],[Exports_TIV]] - Clean_Data[[#This Row],[Imports_TIV]]</f>
        <v>-85000000</v>
      </c>
      <c r="I3224" s="4">
        <f>Clean_Data[[#This Row],[Exports_TIV]] + Clean_Data[[#This Row],[Imports_TIV]]</f>
        <v>85000000</v>
      </c>
    </row>
    <row r="3225" spans="1:9">
      <c r="A3225" s="4" t="s">
        <v>377</v>
      </c>
      <c r="B3225" s="4" t="s">
        <v>378</v>
      </c>
      <c r="C3225" s="5">
        <v>2005</v>
      </c>
      <c r="D3225" s="4">
        <v>26000000</v>
      </c>
      <c r="E3225" s="4">
        <v>427000000</v>
      </c>
      <c r="F3225" s="4" t="str">
        <f>_xlfn.LET(_xlpm.r, _xlfn.XLOOKUP(Clean_Data[[#This Row],[Country_Code]], Metadata_Country!$A:$A, Metadata_Country!$B:$B, "Unknown"), IF(OR(_xlpm.r=0, _xlpm.r=""), "Regional Aggregate", _xlpm.r))</f>
        <v>Middle East &amp; North Africa</v>
      </c>
      <c r="G3225" s="4" t="str">
        <f>_xlfn.LET(_xlpm.ig, _xlfn.XLOOKUP(Clean_Data[[#This Row],[Country_Code]], Metadata_Country!$A:$A, Metadata_Country!$C:$C, "Unknown"), IF(OR(_xlpm.ig=0, _xlpm.ig=""), "Regional Aggregate", _xlpm.ig))</f>
        <v>Lower middle income</v>
      </c>
      <c r="H3225" s="4">
        <f>Clean_Data[[#This Row],[Exports_TIV]] - Clean_Data[[#This Row],[Imports_TIV]]</f>
        <v>-401000000</v>
      </c>
      <c r="I3225" s="4">
        <f>Clean_Data[[#This Row],[Exports_TIV]] + Clean_Data[[#This Row],[Imports_TIV]]</f>
        <v>453000000</v>
      </c>
    </row>
    <row r="3226" spans="1:9">
      <c r="A3226" s="4" t="s">
        <v>399</v>
      </c>
      <c r="B3226" s="4" t="s">
        <v>400</v>
      </c>
      <c r="C3226" s="5">
        <v>2005</v>
      </c>
      <c r="D3226" s="4">
        <v>0</v>
      </c>
      <c r="E3226" s="4">
        <v>1000000</v>
      </c>
      <c r="F3226" s="4" t="str">
        <f>_xlfn.LET(_xlpm.r, _xlfn.XLOOKUP(Clean_Data[[#This Row],[Country_Code]], Metadata_Country!$A:$A, Metadata_Country!$B:$B, "Unknown"), IF(OR(_xlpm.r=0, _xlpm.r=""), "Regional Aggregate", _xlpm.r))</f>
        <v>Latin America &amp; Caribbean</v>
      </c>
      <c r="G3226" s="4" t="str">
        <f>_xlfn.LET(_xlpm.ig, _xlfn.XLOOKUP(Clean_Data[[#This Row],[Country_Code]], Metadata_Country!$A:$A, Metadata_Country!$C:$C, "Unknown"), IF(OR(_xlpm.ig=0, _xlpm.ig=""), "Regional Aggregate", _xlpm.ig))</f>
        <v>Upper middle income</v>
      </c>
      <c r="H3226" s="4">
        <f>Clean_Data[[#This Row],[Exports_TIV]] - Clean_Data[[#This Row],[Imports_TIV]]</f>
        <v>-1000000</v>
      </c>
      <c r="I3226" s="4">
        <f>Clean_Data[[#This Row],[Exports_TIV]] + Clean_Data[[#This Row],[Imports_TIV]]</f>
        <v>1000000</v>
      </c>
    </row>
    <row r="3227" spans="1:9">
      <c r="A3227" s="4" t="s">
        <v>381</v>
      </c>
      <c r="B3227" s="4" t="s">
        <v>382</v>
      </c>
      <c r="C3227" s="5">
        <v>2005</v>
      </c>
      <c r="D3227" s="4">
        <v>0</v>
      </c>
      <c r="E3227" s="4">
        <v>368000000</v>
      </c>
      <c r="F3227" s="4" t="str">
        <f>_xlfn.LET(_xlpm.r, _xlfn.XLOOKUP(Clean_Data[[#This Row],[Country_Code]], Metadata_Country!$A:$A, Metadata_Country!$B:$B, "Unknown"), IF(OR(_xlpm.r=0, _xlpm.r=""), "Regional Aggregate", _xlpm.r))</f>
        <v>Latin America &amp; Caribbean</v>
      </c>
      <c r="G3227" s="4" t="str">
        <f>_xlfn.LET(_xlpm.ig, _xlfn.XLOOKUP(Clean_Data[[#This Row],[Country_Code]], Metadata_Country!$A:$A, Metadata_Country!$C:$C, "Unknown"), IF(OR(_xlpm.ig=0, _xlpm.ig=""), "Regional Aggregate", _xlpm.ig))</f>
        <v>Upper middle income</v>
      </c>
      <c r="H3227" s="4">
        <f>Clean_Data[[#This Row],[Exports_TIV]] - Clean_Data[[#This Row],[Imports_TIV]]</f>
        <v>-368000000</v>
      </c>
      <c r="I3227" s="4">
        <f>Clean_Data[[#This Row],[Exports_TIV]] + Clean_Data[[#This Row],[Imports_TIV]]</f>
        <v>368000000</v>
      </c>
    </row>
    <row r="3228" spans="1:9">
      <c r="A3228" s="4" t="s">
        <v>383</v>
      </c>
      <c r="B3228" s="4" t="s">
        <v>384</v>
      </c>
      <c r="C3228" s="5">
        <v>2005</v>
      </c>
      <c r="D3228" s="4">
        <v>0</v>
      </c>
      <c r="E3228" s="4">
        <v>12000000</v>
      </c>
      <c r="F3228" s="4" t="str">
        <f>_xlfn.LET(_xlpm.r, _xlfn.XLOOKUP(Clean_Data[[#This Row],[Country_Code]], Metadata_Country!$A:$A, Metadata_Country!$B:$B, "Unknown"), IF(OR(_xlpm.r=0, _xlpm.r=""), "Regional Aggregate", _xlpm.r))</f>
        <v>East Asia &amp; Pacific</v>
      </c>
      <c r="G3228" s="4" t="str">
        <f>_xlfn.LET(_xlpm.ig, _xlfn.XLOOKUP(Clean_Data[[#This Row],[Country_Code]], Metadata_Country!$A:$A, Metadata_Country!$C:$C, "Unknown"), IF(OR(_xlpm.ig=0, _xlpm.ig=""), "Regional Aggregate", _xlpm.ig))</f>
        <v>Upper middle income</v>
      </c>
      <c r="H3228" s="4">
        <f>Clean_Data[[#This Row],[Exports_TIV]] - Clean_Data[[#This Row],[Imports_TIV]]</f>
        <v>-12000000</v>
      </c>
      <c r="I3228" s="4">
        <f>Clean_Data[[#This Row],[Exports_TIV]] + Clean_Data[[#This Row],[Imports_TIV]]</f>
        <v>12000000</v>
      </c>
    </row>
    <row r="3229" spans="1:9">
      <c r="A3229" s="4" t="s">
        <v>389</v>
      </c>
      <c r="B3229" s="4" t="s">
        <v>390</v>
      </c>
      <c r="C3229" s="5">
        <v>2005</v>
      </c>
      <c r="D3229" s="4">
        <v>18000000</v>
      </c>
      <c r="E3229" s="4">
        <v>105000000</v>
      </c>
      <c r="F3229" s="4" t="str">
        <f>_xlfn.LET(_xlpm.r, _xlfn.XLOOKUP(Clean_Data[[#This Row],[Country_Code]], Metadata_Country!$A:$A, Metadata_Country!$B:$B, "Unknown"), IF(OR(_xlpm.r=0, _xlpm.r=""), "Regional Aggregate", _xlpm.r))</f>
        <v>Europe &amp; Central Asia</v>
      </c>
      <c r="G3229" s="4" t="str">
        <f>_xlfn.LET(_xlpm.ig, _xlfn.XLOOKUP(Clean_Data[[#This Row],[Country_Code]], Metadata_Country!$A:$A, Metadata_Country!$C:$C, "Unknown"), IF(OR(_xlpm.ig=0, _xlpm.ig=""), "Regional Aggregate", _xlpm.ig))</f>
        <v>High income</v>
      </c>
      <c r="H3229" s="4">
        <f>Clean_Data[[#This Row],[Exports_TIV]] - Clean_Data[[#This Row],[Imports_TIV]]</f>
        <v>-87000000</v>
      </c>
      <c r="I3229" s="4">
        <f>Clean_Data[[#This Row],[Exports_TIV]] + Clean_Data[[#This Row],[Imports_TIV]]</f>
        <v>123000000</v>
      </c>
    </row>
    <row r="3230" spans="1:9">
      <c r="A3230" s="4" t="s">
        <v>397</v>
      </c>
      <c r="B3230" s="4" t="s">
        <v>398</v>
      </c>
      <c r="C3230" s="5">
        <v>2005</v>
      </c>
      <c r="D3230" s="4">
        <v>0</v>
      </c>
      <c r="E3230" s="4">
        <v>158000000</v>
      </c>
      <c r="F3230" s="4" t="str">
        <f>_xlfn.LET(_xlpm.r, _xlfn.XLOOKUP(Clean_Data[[#This Row],[Country_Code]], Metadata_Country!$A:$A, Metadata_Country!$B:$B, "Unknown"), IF(OR(_xlpm.r=0, _xlpm.r=""), "Regional Aggregate", _xlpm.r))</f>
        <v>Europe &amp; Central Asia</v>
      </c>
      <c r="G3230" s="4" t="str">
        <f>_xlfn.LET(_xlpm.ig, _xlfn.XLOOKUP(Clean_Data[[#This Row],[Country_Code]], Metadata_Country!$A:$A, Metadata_Country!$C:$C, "Unknown"), IF(OR(_xlpm.ig=0, _xlpm.ig=""), "Regional Aggregate", _xlpm.ig))</f>
        <v>High income</v>
      </c>
      <c r="H3230" s="4">
        <f>Clean_Data[[#This Row],[Exports_TIV]] - Clean_Data[[#This Row],[Imports_TIV]]</f>
        <v>-158000000</v>
      </c>
      <c r="I3230" s="4">
        <f>Clean_Data[[#This Row],[Exports_TIV]] + Clean_Data[[#This Row],[Imports_TIV]]</f>
        <v>158000000</v>
      </c>
    </row>
    <row r="3231" spans="1:9">
      <c r="A3231" s="4" t="s">
        <v>405</v>
      </c>
      <c r="B3231" s="4" t="s">
        <v>406</v>
      </c>
      <c r="C3231" s="5">
        <v>2005</v>
      </c>
      <c r="D3231" s="4">
        <v>14901000000</v>
      </c>
      <c r="E3231" s="4">
        <v>5525000000</v>
      </c>
      <c r="F3231" s="4" t="str">
        <f>_xlfn.LET(_xlpm.r, _xlfn.XLOOKUP(Clean_Data[[#This Row],[Country_Code]], Metadata_Country!$A:$A, Metadata_Country!$B:$B, "Unknown"), IF(OR(_xlpm.r=0, _xlpm.r=""), "Regional Aggregate", _xlpm.r))</f>
        <v>Regional Aggregate</v>
      </c>
      <c r="G3231" s="4" t="str">
        <f>_xlfn.LET(_xlpm.ig, _xlfn.XLOOKUP(Clean_Data[[#This Row],[Country_Code]], Metadata_Country!$A:$A, Metadata_Country!$C:$C, "Unknown"), IF(OR(_xlpm.ig=0, _xlpm.ig=""), "Regional Aggregate", _xlpm.ig))</f>
        <v>Regional Aggregate</v>
      </c>
      <c r="H3231" s="4">
        <f>Clean_Data[[#This Row],[Exports_TIV]] - Clean_Data[[#This Row],[Imports_TIV]]</f>
        <v>9376000000</v>
      </c>
      <c r="I3231" s="4">
        <f>Clean_Data[[#This Row],[Exports_TIV]] + Clean_Data[[#This Row],[Imports_TIV]]</f>
        <v>20426000000</v>
      </c>
    </row>
    <row r="3232" spans="1:9">
      <c r="A3232" s="4" t="s">
        <v>411</v>
      </c>
      <c r="B3232" s="4" t="s">
        <v>412</v>
      </c>
      <c r="C3232" s="5">
        <v>2005</v>
      </c>
      <c r="D3232" s="4">
        <v>3000000</v>
      </c>
      <c r="E3232" s="4">
        <v>431000000</v>
      </c>
      <c r="F3232" s="4" t="str">
        <f>_xlfn.LET(_xlpm.r, _xlfn.XLOOKUP(Clean_Data[[#This Row],[Country_Code]], Metadata_Country!$A:$A, Metadata_Country!$B:$B, "Unknown"), IF(OR(_xlpm.r=0, _xlpm.r=""), "Regional Aggregate", _xlpm.r))</f>
        <v>Europe &amp; Central Asia</v>
      </c>
      <c r="G3232" s="4" t="str">
        <f>_xlfn.LET(_xlpm.ig, _xlfn.XLOOKUP(Clean_Data[[#This Row],[Country_Code]], Metadata_Country!$A:$A, Metadata_Country!$C:$C, "Unknown"), IF(OR(_xlpm.ig=0, _xlpm.ig=""), "Regional Aggregate", _xlpm.ig))</f>
        <v>High income</v>
      </c>
      <c r="H3232" s="4">
        <f>Clean_Data[[#This Row],[Exports_TIV]] - Clean_Data[[#This Row],[Imports_TIV]]</f>
        <v>-428000000</v>
      </c>
      <c r="I3232" s="4">
        <f>Clean_Data[[#This Row],[Exports_TIV]] + Clean_Data[[#This Row],[Imports_TIV]]</f>
        <v>434000000</v>
      </c>
    </row>
    <row r="3233" spans="1:9">
      <c r="A3233" s="4" t="s">
        <v>413</v>
      </c>
      <c r="B3233" s="4" t="s">
        <v>414</v>
      </c>
      <c r="C3233" s="5">
        <v>2005</v>
      </c>
      <c r="D3233" s="4">
        <v>5199000000</v>
      </c>
      <c r="E3233" s="4">
        <v>0</v>
      </c>
      <c r="F3233" s="4" t="str">
        <f>_xlfn.LET(_xlpm.r, _xlfn.XLOOKUP(Clean_Data[[#This Row],[Country_Code]], Metadata_Country!$A:$A, Metadata_Country!$B:$B, "Unknown"), IF(OR(_xlpm.r=0, _xlpm.r=""), "Regional Aggregate", _xlpm.r))</f>
        <v>Europe &amp; Central Asia</v>
      </c>
      <c r="G3233" s="4" t="str">
        <f>_xlfn.LET(_xlpm.ig, _xlfn.XLOOKUP(Clean_Data[[#This Row],[Country_Code]], Metadata_Country!$A:$A, Metadata_Country!$C:$C, "Unknown"), IF(OR(_xlpm.ig=0, _xlpm.ig=""), "Regional Aggregate", _xlpm.ig))</f>
        <v>High income</v>
      </c>
      <c r="H3233" s="4">
        <f>Clean_Data[[#This Row],[Exports_TIV]] - Clean_Data[[#This Row],[Imports_TIV]]</f>
        <v>5199000000</v>
      </c>
      <c r="I3233" s="4">
        <f>Clean_Data[[#This Row],[Exports_TIV]] + Clean_Data[[#This Row],[Imports_TIV]]</f>
        <v>5199000000</v>
      </c>
    </row>
    <row r="3234" spans="1:9">
      <c r="A3234" s="4" t="s">
        <v>419</v>
      </c>
      <c r="B3234" s="4" t="s">
        <v>420</v>
      </c>
      <c r="C3234" s="5">
        <v>2005</v>
      </c>
      <c r="D3234" s="4">
        <v>0</v>
      </c>
      <c r="E3234" s="4">
        <v>166000000</v>
      </c>
      <c r="F3234" s="4" t="str">
        <f>_xlfn.LET(_xlpm.r, _xlfn.XLOOKUP(Clean_Data[[#This Row],[Country_Code]], Metadata_Country!$A:$A, Metadata_Country!$B:$B, "Unknown"), IF(OR(_xlpm.r=0, _xlpm.r=""), "Regional Aggregate", _xlpm.r))</f>
        <v>Middle East &amp; North Africa</v>
      </c>
      <c r="G3234" s="4" t="str">
        <f>_xlfn.LET(_xlpm.ig, _xlfn.XLOOKUP(Clean_Data[[#This Row],[Country_Code]], Metadata_Country!$A:$A, Metadata_Country!$C:$C, "Unknown"), IF(OR(_xlpm.ig=0, _xlpm.ig=""), "Regional Aggregate", _xlpm.ig))</f>
        <v>High income</v>
      </c>
      <c r="H3234" s="4">
        <f>Clean_Data[[#This Row],[Exports_TIV]] - Clean_Data[[#This Row],[Imports_TIV]]</f>
        <v>-166000000</v>
      </c>
      <c r="I3234" s="4">
        <f>Clean_Data[[#This Row],[Exports_TIV]] + Clean_Data[[#This Row],[Imports_TIV]]</f>
        <v>166000000</v>
      </c>
    </row>
    <row r="3235" spans="1:9">
      <c r="A3235" s="4" t="s">
        <v>423</v>
      </c>
      <c r="B3235" s="4" t="s">
        <v>424</v>
      </c>
      <c r="C3235" s="5">
        <v>2005</v>
      </c>
      <c r="D3235" s="4">
        <v>0</v>
      </c>
      <c r="E3235" s="4">
        <v>16000000</v>
      </c>
      <c r="F3235" s="4" t="str">
        <f>_xlfn.LET(_xlpm.r, _xlfn.XLOOKUP(Clean_Data[[#This Row],[Country_Code]], Metadata_Country!$A:$A, Metadata_Country!$B:$B, "Unknown"), IF(OR(_xlpm.r=0, _xlpm.r=""), "Regional Aggregate", _xlpm.r))</f>
        <v>Sub-Saharan Africa</v>
      </c>
      <c r="G3235" s="4" t="str">
        <f>_xlfn.LET(_xlpm.ig, _xlfn.XLOOKUP(Clean_Data[[#This Row],[Country_Code]], Metadata_Country!$A:$A, Metadata_Country!$C:$C, "Unknown"), IF(OR(_xlpm.ig=0, _xlpm.ig=""), "Regional Aggregate", _xlpm.ig))</f>
        <v>Lower middle income</v>
      </c>
      <c r="H3235" s="4">
        <f>Clean_Data[[#This Row],[Exports_TIV]] - Clean_Data[[#This Row],[Imports_TIV]]</f>
        <v>-16000000</v>
      </c>
      <c r="I3235" s="4">
        <f>Clean_Data[[#This Row],[Exports_TIV]] + Clean_Data[[#This Row],[Imports_TIV]]</f>
        <v>16000000</v>
      </c>
    </row>
    <row r="3236" spans="1:9">
      <c r="A3236" s="4" t="s">
        <v>461</v>
      </c>
      <c r="B3236" s="4" t="s">
        <v>462</v>
      </c>
      <c r="C3236" s="5">
        <v>2005</v>
      </c>
      <c r="D3236" s="4">
        <v>0</v>
      </c>
      <c r="E3236" s="4">
        <v>15000000</v>
      </c>
      <c r="F3236" s="4" t="str">
        <f>_xlfn.LET(_xlpm.r, _xlfn.XLOOKUP(Clean_Data[[#This Row],[Country_Code]], Metadata_Country!$A:$A, Metadata_Country!$B:$B, "Unknown"), IF(OR(_xlpm.r=0, _xlpm.r=""), "Regional Aggregate", _xlpm.r))</f>
        <v>Sub-Saharan Africa</v>
      </c>
      <c r="G3236" s="4" t="str">
        <f>_xlfn.LET(_xlpm.ig, _xlfn.XLOOKUP(Clean_Data[[#This Row],[Country_Code]], Metadata_Country!$A:$A, Metadata_Country!$C:$C, "Unknown"), IF(OR(_xlpm.ig=0, _xlpm.ig=""), "Regional Aggregate", _xlpm.ig))</f>
        <v>High income</v>
      </c>
      <c r="H3236" s="4">
        <f>Clean_Data[[#This Row],[Exports_TIV]] - Clean_Data[[#This Row],[Imports_TIV]]</f>
        <v>-15000000</v>
      </c>
      <c r="I3236" s="4">
        <f>Clean_Data[[#This Row],[Exports_TIV]] + Clean_Data[[#This Row],[Imports_TIV]]</f>
        <v>15000000</v>
      </c>
    </row>
    <row r="3237" spans="1:9">
      <c r="A3237" s="4" t="s">
        <v>425</v>
      </c>
      <c r="B3237" s="4" t="s">
        <v>426</v>
      </c>
      <c r="C3237" s="5">
        <v>2005</v>
      </c>
      <c r="D3237" s="4">
        <v>0</v>
      </c>
      <c r="E3237" s="4">
        <v>538000000</v>
      </c>
      <c r="F3237" s="4" t="str">
        <f>_xlfn.LET(_xlpm.r, _xlfn.XLOOKUP(Clean_Data[[#This Row],[Country_Code]], Metadata_Country!$A:$A, Metadata_Country!$B:$B, "Unknown"), IF(OR(_xlpm.r=0, _xlpm.r=""), "Regional Aggregate", _xlpm.r))</f>
        <v>East Asia &amp; Pacific</v>
      </c>
      <c r="G3237" s="4" t="str">
        <f>_xlfn.LET(_xlpm.ig, _xlfn.XLOOKUP(Clean_Data[[#This Row],[Country_Code]], Metadata_Country!$A:$A, Metadata_Country!$C:$C, "Unknown"), IF(OR(_xlpm.ig=0, _xlpm.ig=""), "Regional Aggregate", _xlpm.ig))</f>
        <v>High income</v>
      </c>
      <c r="H3237" s="4">
        <f>Clean_Data[[#This Row],[Exports_TIV]] - Clean_Data[[#This Row],[Imports_TIV]]</f>
        <v>-538000000</v>
      </c>
      <c r="I3237" s="4">
        <f>Clean_Data[[#This Row],[Exports_TIV]] + Clean_Data[[#This Row],[Imports_TIV]]</f>
        <v>538000000</v>
      </c>
    </row>
    <row r="3238" spans="1:9">
      <c r="A3238" s="4" t="s">
        <v>451</v>
      </c>
      <c r="B3238" s="4" t="s">
        <v>452</v>
      </c>
      <c r="C3238" s="5">
        <v>2005</v>
      </c>
      <c r="D3238" s="4">
        <v>0</v>
      </c>
      <c r="E3238" s="4">
        <v>4000000</v>
      </c>
      <c r="F3238" s="4" t="str">
        <f>_xlfn.LET(_xlpm.r, _xlfn.XLOOKUP(Clean_Data[[#This Row],[Country_Code]], Metadata_Country!$A:$A, Metadata_Country!$B:$B, "Unknown"), IF(OR(_xlpm.r=0, _xlpm.r=""), "Regional Aggregate", _xlpm.r))</f>
        <v>Europe &amp; Central Asia</v>
      </c>
      <c r="G3238" s="4" t="str">
        <f>_xlfn.LET(_xlpm.ig, _xlfn.XLOOKUP(Clean_Data[[#This Row],[Country_Code]], Metadata_Country!$A:$A, Metadata_Country!$C:$C, "Unknown"), IF(OR(_xlpm.ig=0, _xlpm.ig=""), "Regional Aggregate", _xlpm.ig))</f>
        <v>High income</v>
      </c>
      <c r="H3238" s="4">
        <f>Clean_Data[[#This Row],[Exports_TIV]] - Clean_Data[[#This Row],[Imports_TIV]]</f>
        <v>-4000000</v>
      </c>
      <c r="I3238" s="4">
        <f>Clean_Data[[#This Row],[Exports_TIV]] + Clean_Data[[#This Row],[Imports_TIV]]</f>
        <v>4000000</v>
      </c>
    </row>
    <row r="3239" spans="1:9">
      <c r="A3239" s="4" t="s">
        <v>453</v>
      </c>
      <c r="B3239" s="4" t="s">
        <v>454</v>
      </c>
      <c r="C3239" s="5">
        <v>2005</v>
      </c>
      <c r="D3239" s="4">
        <v>0</v>
      </c>
      <c r="E3239" s="4">
        <v>3000000</v>
      </c>
      <c r="F3239" s="4" t="str">
        <f>_xlfn.LET(_xlpm.r, _xlfn.XLOOKUP(Clean_Data[[#This Row],[Country_Code]], Metadata_Country!$A:$A, Metadata_Country!$B:$B, "Unknown"), IF(OR(_xlpm.r=0, _xlpm.r=""), "Regional Aggregate", _xlpm.r))</f>
        <v>Europe &amp; Central Asia</v>
      </c>
      <c r="G3239" s="4" t="str">
        <f>_xlfn.LET(_xlpm.ig, _xlfn.XLOOKUP(Clean_Data[[#This Row],[Country_Code]], Metadata_Country!$A:$A, Metadata_Country!$C:$C, "Unknown"), IF(OR(_xlpm.ig=0, _xlpm.ig=""), "Regional Aggregate", _xlpm.ig))</f>
        <v>High income</v>
      </c>
      <c r="H3239" s="4">
        <f>Clean_Data[[#This Row],[Exports_TIV]] - Clean_Data[[#This Row],[Imports_TIV]]</f>
        <v>-3000000</v>
      </c>
      <c r="I3239" s="4">
        <f>Clean_Data[[#This Row],[Exports_TIV]] + Clean_Data[[#This Row],[Imports_TIV]]</f>
        <v>3000000</v>
      </c>
    </row>
    <row r="3240" spans="1:9">
      <c r="A3240" s="4" t="s">
        <v>535</v>
      </c>
      <c r="B3240" s="4" t="s">
        <v>536</v>
      </c>
      <c r="C3240" s="5">
        <v>2005</v>
      </c>
      <c r="D3240" s="4">
        <v>36000000</v>
      </c>
      <c r="E3240" s="4">
        <v>262000000</v>
      </c>
      <c r="F3240" s="4" t="str">
        <f>_xlfn.LET(_xlpm.r, _xlfn.XLOOKUP(Clean_Data[[#This Row],[Country_Code]], Metadata_Country!$A:$A, Metadata_Country!$B:$B, "Unknown"), IF(OR(_xlpm.r=0, _xlpm.r=""), "Regional Aggregate", _xlpm.r))</f>
        <v>Sub-Saharan Africa</v>
      </c>
      <c r="G3240" s="4" t="str">
        <f>_xlfn.LET(_xlpm.ig, _xlfn.XLOOKUP(Clean_Data[[#This Row],[Country_Code]], Metadata_Country!$A:$A, Metadata_Country!$C:$C, "Unknown"), IF(OR(_xlpm.ig=0, _xlpm.ig=""), "Regional Aggregate", _xlpm.ig))</f>
        <v>Upper middle income</v>
      </c>
      <c r="H3240" s="4">
        <f>Clean_Data[[#This Row],[Exports_TIV]] - Clean_Data[[#This Row],[Imports_TIV]]</f>
        <v>-226000000</v>
      </c>
      <c r="I3240" s="4">
        <f>Clean_Data[[#This Row],[Exports_TIV]] + Clean_Data[[#This Row],[Imports_TIV]]</f>
        <v>298000000</v>
      </c>
    </row>
    <row r="3241" spans="1:9">
      <c r="A3241" s="4" t="s">
        <v>417</v>
      </c>
      <c r="B3241" s="4" t="s">
        <v>418</v>
      </c>
      <c r="C3241" s="5">
        <v>2005</v>
      </c>
      <c r="D3241" s="4">
        <v>19000000</v>
      </c>
      <c r="E3241" s="4">
        <v>1282000000</v>
      </c>
      <c r="F3241" s="4" t="str">
        <f>_xlfn.LET(_xlpm.r, _xlfn.XLOOKUP(Clean_Data[[#This Row],[Country_Code]], Metadata_Country!$A:$A, Metadata_Country!$B:$B, "Unknown"), IF(OR(_xlpm.r=0, _xlpm.r=""), "Regional Aggregate", _xlpm.r))</f>
        <v>Regional Aggregate</v>
      </c>
      <c r="G3241" s="4" t="str">
        <f>_xlfn.LET(_xlpm.ig, _xlfn.XLOOKUP(Clean_Data[[#This Row],[Country_Code]], Metadata_Country!$A:$A, Metadata_Country!$C:$C, "Unknown"), IF(OR(_xlpm.ig=0, _xlpm.ig=""), "Regional Aggregate", _xlpm.ig))</f>
        <v>Regional Aggregate</v>
      </c>
      <c r="H3241" s="4">
        <f>Clean_Data[[#This Row],[Exports_TIV]] - Clean_Data[[#This Row],[Imports_TIV]]</f>
        <v>-1263000000</v>
      </c>
      <c r="I3241" s="4">
        <f>Clean_Data[[#This Row],[Exports_TIV]] + Clean_Data[[#This Row],[Imports_TIV]]</f>
        <v>1301000000</v>
      </c>
    </row>
    <row r="3242" spans="1:9">
      <c r="A3242" s="4" t="s">
        <v>489</v>
      </c>
      <c r="B3242" s="4" t="s">
        <v>490</v>
      </c>
      <c r="C3242" s="5">
        <v>2005</v>
      </c>
      <c r="D3242" s="4">
        <v>19000000</v>
      </c>
      <c r="E3242" s="4">
        <v>1282000000</v>
      </c>
      <c r="F3242" s="4" t="str">
        <f>_xlfn.LET(_xlpm.r, _xlfn.XLOOKUP(Clean_Data[[#This Row],[Country_Code]], Metadata_Country!$A:$A, Metadata_Country!$B:$B, "Unknown"), IF(OR(_xlpm.r=0, _xlpm.r=""), "Regional Aggregate", _xlpm.r))</f>
        <v>Regional Aggregate</v>
      </c>
      <c r="G3242" s="4" t="str">
        <f>_xlfn.LET(_xlpm.ig, _xlfn.XLOOKUP(Clean_Data[[#This Row],[Country_Code]], Metadata_Country!$A:$A, Metadata_Country!$C:$C, "Unknown"), IF(OR(_xlpm.ig=0, _xlpm.ig=""), "Regional Aggregate", _xlpm.ig))</f>
        <v>Regional Aggregate</v>
      </c>
      <c r="H3242" s="4">
        <f>Clean_Data[[#This Row],[Exports_TIV]] - Clean_Data[[#This Row],[Imports_TIV]]</f>
        <v>-1263000000</v>
      </c>
      <c r="I3242" s="4">
        <f>Clean_Data[[#This Row],[Exports_TIV]] + Clean_Data[[#This Row],[Imports_TIV]]</f>
        <v>1301000000</v>
      </c>
    </row>
    <row r="3243" spans="1:9">
      <c r="A3243" s="4" t="s">
        <v>149</v>
      </c>
      <c r="B3243" s="4" t="s">
        <v>150</v>
      </c>
      <c r="C3243" s="5">
        <v>2005</v>
      </c>
      <c r="D3243" s="4">
        <v>113000000</v>
      </c>
      <c r="E3243" s="4">
        <v>358000000</v>
      </c>
      <c r="F3243" s="4" t="str">
        <f>_xlfn.LET(_xlpm.r, _xlfn.XLOOKUP(Clean_Data[[#This Row],[Country_Code]], Metadata_Country!$A:$A, Metadata_Country!$B:$B, "Unknown"), IF(OR(_xlpm.r=0, _xlpm.r=""), "Regional Aggregate", _xlpm.r))</f>
        <v>Europe &amp; Central Asia</v>
      </c>
      <c r="G3243" s="4" t="str">
        <f>_xlfn.LET(_xlpm.ig, _xlfn.XLOOKUP(Clean_Data[[#This Row],[Country_Code]], Metadata_Country!$A:$A, Metadata_Country!$C:$C, "Unknown"), IF(OR(_xlpm.ig=0, _xlpm.ig=""), "Regional Aggregate", _xlpm.ig))</f>
        <v>High income</v>
      </c>
      <c r="H3243" s="4">
        <f>Clean_Data[[#This Row],[Exports_TIV]] - Clean_Data[[#This Row],[Imports_TIV]]</f>
        <v>-245000000</v>
      </c>
      <c r="I3243" s="4">
        <f>Clean_Data[[#This Row],[Exports_TIV]] + Clean_Data[[#This Row],[Imports_TIV]]</f>
        <v>471000000</v>
      </c>
    </row>
    <row r="3244" spans="1:9">
      <c r="A3244" s="4" t="s">
        <v>285</v>
      </c>
      <c r="B3244" s="4" t="s">
        <v>286</v>
      </c>
      <c r="C3244" s="5">
        <v>2005</v>
      </c>
      <c r="D3244" s="4">
        <v>0</v>
      </c>
      <c r="E3244" s="4">
        <v>63000000</v>
      </c>
      <c r="F3244" s="4" t="str">
        <f>_xlfn.LET(_xlpm.r, _xlfn.XLOOKUP(Clean_Data[[#This Row],[Country_Code]], Metadata_Country!$A:$A, Metadata_Country!$B:$B, "Unknown"), IF(OR(_xlpm.r=0, _xlpm.r=""), "Regional Aggregate", _xlpm.r))</f>
        <v>South Asia</v>
      </c>
      <c r="G3244" s="4" t="str">
        <f>_xlfn.LET(_xlpm.ig, _xlfn.XLOOKUP(Clean_Data[[#This Row],[Country_Code]], Metadata_Country!$A:$A, Metadata_Country!$C:$C, "Unknown"), IF(OR(_xlpm.ig=0, _xlpm.ig=""), "Regional Aggregate", _xlpm.ig))</f>
        <v>Upper middle income</v>
      </c>
      <c r="H3244" s="4">
        <f>Clean_Data[[#This Row],[Exports_TIV]] - Clean_Data[[#This Row],[Imports_TIV]]</f>
        <v>-63000000</v>
      </c>
      <c r="I3244" s="4">
        <f>Clean_Data[[#This Row],[Exports_TIV]] + Clean_Data[[#This Row],[Imports_TIV]]</f>
        <v>63000000</v>
      </c>
    </row>
    <row r="3245" spans="1:9">
      <c r="A3245" s="4" t="s">
        <v>421</v>
      </c>
      <c r="B3245" s="4" t="s">
        <v>422</v>
      </c>
      <c r="C3245" s="5">
        <v>2005</v>
      </c>
      <c r="D3245" s="4">
        <v>0</v>
      </c>
      <c r="E3245" s="4">
        <v>113000000</v>
      </c>
      <c r="F3245" s="4" t="str">
        <f>_xlfn.LET(_xlpm.r, _xlfn.XLOOKUP(Clean_Data[[#This Row],[Country_Code]], Metadata_Country!$A:$A, Metadata_Country!$B:$B, "Unknown"), IF(OR(_xlpm.r=0, _xlpm.r=""), "Regional Aggregate", _xlpm.r))</f>
        <v>Sub-Saharan Africa</v>
      </c>
      <c r="G3245" s="4" t="str">
        <f>_xlfn.LET(_xlpm.ig, _xlfn.XLOOKUP(Clean_Data[[#This Row],[Country_Code]], Metadata_Country!$A:$A, Metadata_Country!$C:$C, "Unknown"), IF(OR(_xlpm.ig=0, _xlpm.ig=""), "Regional Aggregate", _xlpm.ig))</f>
        <v>Low income</v>
      </c>
      <c r="H3245" s="4">
        <f>Clean_Data[[#This Row],[Exports_TIV]] - Clean_Data[[#This Row],[Imports_TIV]]</f>
        <v>-113000000</v>
      </c>
      <c r="I3245" s="4">
        <f>Clean_Data[[#This Row],[Exports_TIV]] + Clean_Data[[#This Row],[Imports_TIV]]</f>
        <v>113000000</v>
      </c>
    </row>
    <row r="3246" spans="1:9">
      <c r="A3246" s="4" t="s">
        <v>455</v>
      </c>
      <c r="B3246" s="4" t="s">
        <v>456</v>
      </c>
      <c r="C3246" s="5">
        <v>2005</v>
      </c>
      <c r="D3246" s="4">
        <v>536000000</v>
      </c>
      <c r="E3246" s="4">
        <v>78000000</v>
      </c>
      <c r="F3246" s="4" t="str">
        <f>_xlfn.LET(_xlpm.r, _xlfn.XLOOKUP(Clean_Data[[#This Row],[Country_Code]], Metadata_Country!$A:$A, Metadata_Country!$B:$B, "Unknown"), IF(OR(_xlpm.r=0, _xlpm.r=""), "Regional Aggregate", _xlpm.r))</f>
        <v>Europe &amp; Central Asia</v>
      </c>
      <c r="G3246" s="4" t="str">
        <f>_xlfn.LET(_xlpm.ig, _xlfn.XLOOKUP(Clean_Data[[#This Row],[Country_Code]], Metadata_Country!$A:$A, Metadata_Country!$C:$C, "Unknown"), IF(OR(_xlpm.ig=0, _xlpm.ig=""), "Regional Aggregate", _xlpm.ig))</f>
        <v>High income</v>
      </c>
      <c r="H3246" s="4">
        <f>Clean_Data[[#This Row],[Exports_TIV]] - Clean_Data[[#This Row],[Imports_TIV]]</f>
        <v>458000000</v>
      </c>
      <c r="I3246" s="4">
        <f>Clean_Data[[#This Row],[Exports_TIV]] + Clean_Data[[#This Row],[Imports_TIV]]</f>
        <v>614000000</v>
      </c>
    </row>
    <row r="3247" spans="1:9">
      <c r="A3247" s="4" t="s">
        <v>83</v>
      </c>
      <c r="B3247" s="4" t="s">
        <v>84</v>
      </c>
      <c r="C3247" s="5">
        <v>2005</v>
      </c>
      <c r="D3247" s="4">
        <v>274000000</v>
      </c>
      <c r="E3247" s="4">
        <v>168000000</v>
      </c>
      <c r="F3247" s="4" t="str">
        <f>_xlfn.LET(_xlpm.r, _xlfn.XLOOKUP(Clean_Data[[#This Row],[Country_Code]], Metadata_Country!$A:$A, Metadata_Country!$B:$B, "Unknown"), IF(OR(_xlpm.r=0, _xlpm.r=""), "Regional Aggregate", _xlpm.r))</f>
        <v>Europe &amp; Central Asia</v>
      </c>
      <c r="G3247" s="4" t="str">
        <f>_xlfn.LET(_xlpm.ig, _xlfn.XLOOKUP(Clean_Data[[#This Row],[Country_Code]], Metadata_Country!$A:$A, Metadata_Country!$C:$C, "Unknown"), IF(OR(_xlpm.ig=0, _xlpm.ig=""), "Regional Aggregate", _xlpm.ig))</f>
        <v>High income</v>
      </c>
      <c r="H3247" s="4">
        <f>Clean_Data[[#This Row],[Exports_TIV]] - Clean_Data[[#This Row],[Imports_TIV]]</f>
        <v>106000000</v>
      </c>
      <c r="I3247" s="4">
        <f>Clean_Data[[#This Row],[Exports_TIV]] + Clean_Data[[#This Row],[Imports_TIV]]</f>
        <v>442000000</v>
      </c>
    </row>
    <row r="3248" spans="1:9">
      <c r="A3248" s="4" t="s">
        <v>463</v>
      </c>
      <c r="B3248" s="4" t="s">
        <v>464</v>
      </c>
      <c r="C3248" s="5">
        <v>2005</v>
      </c>
      <c r="D3248" s="4">
        <v>0</v>
      </c>
      <c r="E3248" s="4">
        <v>30000000</v>
      </c>
      <c r="F3248" s="4" t="str">
        <f>_xlfn.LET(_xlpm.r, _xlfn.XLOOKUP(Clean_Data[[#This Row],[Country_Code]], Metadata_Country!$A:$A, Metadata_Country!$B:$B, "Unknown"), IF(OR(_xlpm.r=0, _xlpm.r=""), "Regional Aggregate", _xlpm.r))</f>
        <v>Middle East &amp; North Africa</v>
      </c>
      <c r="G3248" s="4" t="str">
        <f>_xlfn.LET(_xlpm.ig, _xlfn.XLOOKUP(Clean_Data[[#This Row],[Country_Code]], Metadata_Country!$A:$A, Metadata_Country!$C:$C, "Unknown"), IF(OR(_xlpm.ig=0, _xlpm.ig=""), "Regional Aggregate", _xlpm.ig))</f>
        <v>Low income</v>
      </c>
      <c r="H3248" s="4">
        <f>Clean_Data[[#This Row],[Exports_TIV]] - Clean_Data[[#This Row],[Imports_TIV]]</f>
        <v>-30000000</v>
      </c>
      <c r="I3248" s="4">
        <f>Clean_Data[[#This Row],[Exports_TIV]] + Clean_Data[[#This Row],[Imports_TIV]]</f>
        <v>30000000</v>
      </c>
    </row>
    <row r="3249" spans="1:9">
      <c r="A3249" s="4" t="s">
        <v>501</v>
      </c>
      <c r="B3249" s="4" t="s">
        <v>502</v>
      </c>
      <c r="C3249" s="5">
        <v>2005</v>
      </c>
      <c r="D3249" s="4">
        <v>0</v>
      </c>
      <c r="E3249" s="4">
        <v>10000000</v>
      </c>
      <c r="F3249" s="4" t="str">
        <f>_xlfn.LET(_xlpm.r, _xlfn.XLOOKUP(Clean_Data[[#This Row],[Country_Code]], Metadata_Country!$A:$A, Metadata_Country!$B:$B, "Unknown"), IF(OR(_xlpm.r=0, _xlpm.r=""), "Regional Aggregate", _xlpm.r))</f>
        <v>Sub-Saharan Africa</v>
      </c>
      <c r="G3249" s="4" t="str">
        <f>_xlfn.LET(_xlpm.ig, _xlfn.XLOOKUP(Clean_Data[[#This Row],[Country_Code]], Metadata_Country!$A:$A, Metadata_Country!$C:$C, "Unknown"), IF(OR(_xlpm.ig=0, _xlpm.ig=""), "Regional Aggregate", _xlpm.ig))</f>
        <v>Lower middle income</v>
      </c>
      <c r="H3249" s="4">
        <f>Clean_Data[[#This Row],[Exports_TIV]] - Clean_Data[[#This Row],[Imports_TIV]]</f>
        <v>-10000000</v>
      </c>
      <c r="I3249" s="4">
        <f>Clean_Data[[#This Row],[Exports_TIV]] + Clean_Data[[#This Row],[Imports_TIV]]</f>
        <v>10000000</v>
      </c>
    </row>
    <row r="3250" spans="1:9">
      <c r="A3250" s="4" t="s">
        <v>475</v>
      </c>
      <c r="B3250" s="4" t="s">
        <v>476</v>
      </c>
      <c r="C3250" s="5">
        <v>2005</v>
      </c>
      <c r="D3250" s="4">
        <v>0</v>
      </c>
      <c r="E3250" s="4">
        <v>115000000</v>
      </c>
      <c r="F3250" s="4" t="str">
        <f>_xlfn.LET(_xlpm.r, _xlfn.XLOOKUP(Clean_Data[[#This Row],[Country_Code]], Metadata_Country!$A:$A, Metadata_Country!$B:$B, "Unknown"), IF(OR(_xlpm.r=0, _xlpm.r=""), "Regional Aggregate", _xlpm.r))</f>
        <v>East Asia &amp; Pacific</v>
      </c>
      <c r="G3250" s="4" t="str">
        <f>_xlfn.LET(_xlpm.ig, _xlfn.XLOOKUP(Clean_Data[[#This Row],[Country_Code]], Metadata_Country!$A:$A, Metadata_Country!$C:$C, "Unknown"), IF(OR(_xlpm.ig=0, _xlpm.ig=""), "Regional Aggregate", _xlpm.ig))</f>
        <v>Upper middle income</v>
      </c>
      <c r="H3250" s="4">
        <f>Clean_Data[[#This Row],[Exports_TIV]] - Clean_Data[[#This Row],[Imports_TIV]]</f>
        <v>-115000000</v>
      </c>
      <c r="I3250" s="4">
        <f>Clean_Data[[#This Row],[Exports_TIV]] + Clean_Data[[#This Row],[Imports_TIV]]</f>
        <v>115000000</v>
      </c>
    </row>
    <row r="3251" spans="1:9">
      <c r="A3251" s="4" t="s">
        <v>495</v>
      </c>
      <c r="B3251" s="4" t="s">
        <v>496</v>
      </c>
      <c r="C3251" s="5">
        <v>2005</v>
      </c>
      <c r="D3251" s="4">
        <v>0</v>
      </c>
      <c r="E3251" s="4">
        <v>168000000</v>
      </c>
      <c r="F3251" s="4" t="str">
        <f>_xlfn.LET(_xlpm.r, _xlfn.XLOOKUP(Clean_Data[[#This Row],[Country_Code]], Metadata_Country!$A:$A, Metadata_Country!$B:$B, "Unknown"), IF(OR(_xlpm.r=0, _xlpm.r=""), "Regional Aggregate", _xlpm.r))</f>
        <v>Middle East &amp; North Africa</v>
      </c>
      <c r="G3251" s="4" t="str">
        <f>_xlfn.LET(_xlpm.ig, _xlfn.XLOOKUP(Clean_Data[[#This Row],[Country_Code]], Metadata_Country!$A:$A, Metadata_Country!$C:$C, "Unknown"), IF(OR(_xlpm.ig=0, _xlpm.ig=""), "Regional Aggregate", _xlpm.ig))</f>
        <v>Lower middle income</v>
      </c>
      <c r="H3251" s="4">
        <f>Clean_Data[[#This Row],[Exports_TIV]] - Clean_Data[[#This Row],[Imports_TIV]]</f>
        <v>-168000000</v>
      </c>
      <c r="I3251" s="4">
        <f>Clean_Data[[#This Row],[Exports_TIV]] + Clean_Data[[#This Row],[Imports_TIV]]</f>
        <v>168000000</v>
      </c>
    </row>
    <row r="3252" spans="1:9">
      <c r="A3252" s="4" t="s">
        <v>497</v>
      </c>
      <c r="B3252" s="4" t="s">
        <v>498</v>
      </c>
      <c r="C3252" s="5">
        <v>2005</v>
      </c>
      <c r="D3252" s="4">
        <v>26000000</v>
      </c>
      <c r="E3252" s="4">
        <v>1076000000</v>
      </c>
      <c r="F3252" s="4" t="str">
        <f>_xlfn.LET(_xlpm.r, _xlfn.XLOOKUP(Clean_Data[[#This Row],[Country_Code]], Metadata_Country!$A:$A, Metadata_Country!$B:$B, "Unknown"), IF(OR(_xlpm.r=0, _xlpm.r=""), "Regional Aggregate", _xlpm.r))</f>
        <v>Europe &amp; Central Asia</v>
      </c>
      <c r="G3252" s="4" t="str">
        <f>_xlfn.LET(_xlpm.ig, _xlfn.XLOOKUP(Clean_Data[[#This Row],[Country_Code]], Metadata_Country!$A:$A, Metadata_Country!$C:$C, "Unknown"), IF(OR(_xlpm.ig=0, _xlpm.ig=""), "Regional Aggregate", _xlpm.ig))</f>
        <v>Upper middle income</v>
      </c>
      <c r="H3252" s="4">
        <f>Clean_Data[[#This Row],[Exports_TIV]] - Clean_Data[[#This Row],[Imports_TIV]]</f>
        <v>-1050000000</v>
      </c>
      <c r="I3252" s="4">
        <f>Clean_Data[[#This Row],[Exports_TIV]] + Clean_Data[[#This Row],[Imports_TIV]]</f>
        <v>1102000000</v>
      </c>
    </row>
    <row r="3253" spans="1:9">
      <c r="A3253" s="4" t="s">
        <v>503</v>
      </c>
      <c r="B3253" s="4" t="s">
        <v>504</v>
      </c>
      <c r="C3253" s="5">
        <v>2005</v>
      </c>
      <c r="D3253" s="4">
        <v>0</v>
      </c>
      <c r="E3253" s="4">
        <v>10000000</v>
      </c>
      <c r="F3253" s="4" t="str">
        <f>_xlfn.LET(_xlpm.r, _xlfn.XLOOKUP(Clean_Data[[#This Row],[Country_Code]], Metadata_Country!$A:$A, Metadata_Country!$B:$B, "Unknown"), IF(OR(_xlpm.r=0, _xlpm.r=""), "Regional Aggregate", _xlpm.r))</f>
        <v>Sub-Saharan Africa</v>
      </c>
      <c r="G3253" s="4" t="str">
        <f>_xlfn.LET(_xlpm.ig, _xlfn.XLOOKUP(Clean_Data[[#This Row],[Country_Code]], Metadata_Country!$A:$A, Metadata_Country!$C:$C, "Unknown"), IF(OR(_xlpm.ig=0, _xlpm.ig=""), "Regional Aggregate", _xlpm.ig))</f>
        <v>Low income</v>
      </c>
      <c r="H3253" s="4">
        <f>Clean_Data[[#This Row],[Exports_TIV]] - Clean_Data[[#This Row],[Imports_TIV]]</f>
        <v>-10000000</v>
      </c>
      <c r="I3253" s="4">
        <f>Clean_Data[[#This Row],[Exports_TIV]] + Clean_Data[[#This Row],[Imports_TIV]]</f>
        <v>10000000</v>
      </c>
    </row>
    <row r="3254" spans="1:9">
      <c r="A3254" s="4" t="s">
        <v>505</v>
      </c>
      <c r="B3254" s="4" t="s">
        <v>506</v>
      </c>
      <c r="C3254" s="5">
        <v>2005</v>
      </c>
      <c r="D3254" s="4">
        <v>299000000</v>
      </c>
      <c r="E3254" s="4">
        <v>0</v>
      </c>
      <c r="F3254" s="4" t="str">
        <f>_xlfn.LET(_xlpm.r, _xlfn.XLOOKUP(Clean_Data[[#This Row],[Country_Code]], Metadata_Country!$A:$A, Metadata_Country!$B:$B, "Unknown"), IF(OR(_xlpm.r=0, _xlpm.r=""), "Regional Aggregate", _xlpm.r))</f>
        <v>Europe &amp; Central Asia</v>
      </c>
      <c r="G3254" s="4" t="str">
        <f>_xlfn.LET(_xlpm.ig, _xlfn.XLOOKUP(Clean_Data[[#This Row],[Country_Code]], Metadata_Country!$A:$A, Metadata_Country!$C:$C, "Unknown"), IF(OR(_xlpm.ig=0, _xlpm.ig=""), "Regional Aggregate", _xlpm.ig))</f>
        <v>Upper middle income</v>
      </c>
      <c r="H3254" s="4">
        <f>Clean_Data[[#This Row],[Exports_TIV]] - Clean_Data[[#This Row],[Imports_TIV]]</f>
        <v>299000000</v>
      </c>
      <c r="I3254" s="4">
        <f>Clean_Data[[#This Row],[Exports_TIV]] + Clean_Data[[#This Row],[Imports_TIV]]</f>
        <v>299000000</v>
      </c>
    </row>
    <row r="3255" spans="1:9">
      <c r="A3255" s="4" t="s">
        <v>25</v>
      </c>
      <c r="B3255" s="4" t="s">
        <v>26</v>
      </c>
      <c r="C3255" s="5">
        <v>2005</v>
      </c>
      <c r="D3255" s="4">
        <v>15000000</v>
      </c>
      <c r="E3255" s="4">
        <v>2072000000</v>
      </c>
      <c r="F3255" s="4" t="str">
        <f>_xlfn.LET(_xlpm.r, _xlfn.XLOOKUP(Clean_Data[[#This Row],[Country_Code]], Metadata_Country!$A:$A, Metadata_Country!$B:$B, "Unknown"), IF(OR(_xlpm.r=0, _xlpm.r=""), "Regional Aggregate", _xlpm.r))</f>
        <v>Middle East &amp; North Africa</v>
      </c>
      <c r="G3255" s="4" t="str">
        <f>_xlfn.LET(_xlpm.ig, _xlfn.XLOOKUP(Clean_Data[[#This Row],[Country_Code]], Metadata_Country!$A:$A, Metadata_Country!$C:$C, "Unknown"), IF(OR(_xlpm.ig=0, _xlpm.ig=""), "Regional Aggregate", _xlpm.ig))</f>
        <v>High income</v>
      </c>
      <c r="H3255" s="4">
        <f>Clean_Data[[#This Row],[Exports_TIV]] - Clean_Data[[#This Row],[Imports_TIV]]</f>
        <v>-2057000000</v>
      </c>
      <c r="I3255" s="4">
        <f>Clean_Data[[#This Row],[Exports_TIV]] + Clean_Data[[#This Row],[Imports_TIV]]</f>
        <v>2087000000</v>
      </c>
    </row>
    <row r="3256" spans="1:9">
      <c r="A3256" s="4" t="s">
        <v>171</v>
      </c>
      <c r="B3256" s="4" t="s">
        <v>172</v>
      </c>
      <c r="C3256" s="5">
        <v>2005</v>
      </c>
      <c r="D3256" s="4">
        <v>990000000</v>
      </c>
      <c r="E3256" s="4">
        <v>31000000</v>
      </c>
      <c r="F3256" s="4" t="str">
        <f>_xlfn.LET(_xlpm.r, _xlfn.XLOOKUP(Clean_Data[[#This Row],[Country_Code]], Metadata_Country!$A:$A, Metadata_Country!$B:$B, "Unknown"), IF(OR(_xlpm.r=0, _xlpm.r=""), "Regional Aggregate", _xlpm.r))</f>
        <v>Europe &amp; Central Asia</v>
      </c>
      <c r="G3256" s="4" t="str">
        <f>_xlfn.LET(_xlpm.ig, _xlfn.XLOOKUP(Clean_Data[[#This Row],[Country_Code]], Metadata_Country!$A:$A, Metadata_Country!$C:$C, "Unknown"), IF(OR(_xlpm.ig=0, _xlpm.ig=""), "Regional Aggregate", _xlpm.ig))</f>
        <v>High income</v>
      </c>
      <c r="H3256" s="4">
        <f>Clean_Data[[#This Row],[Exports_TIV]] - Clean_Data[[#This Row],[Imports_TIV]]</f>
        <v>959000000</v>
      </c>
      <c r="I3256" s="4">
        <f>Clean_Data[[#This Row],[Exports_TIV]] + Clean_Data[[#This Row],[Imports_TIV]]</f>
        <v>1021000000</v>
      </c>
    </row>
    <row r="3257" spans="1:9">
      <c r="A3257" s="4" t="s">
        <v>511</v>
      </c>
      <c r="B3257" s="4" t="s">
        <v>512</v>
      </c>
      <c r="C3257" s="5">
        <v>2005</v>
      </c>
      <c r="D3257" s="4">
        <v>6724000000</v>
      </c>
      <c r="E3257" s="4">
        <v>582000000</v>
      </c>
      <c r="F3257" s="4" t="str">
        <f>_xlfn.LET(_xlpm.r, _xlfn.XLOOKUP(Clean_Data[[#This Row],[Country_Code]], Metadata_Country!$A:$A, Metadata_Country!$B:$B, "Unknown"), IF(OR(_xlpm.r=0, _xlpm.r=""), "Regional Aggregate", _xlpm.r))</f>
        <v>North America</v>
      </c>
      <c r="G3257" s="4" t="str">
        <f>_xlfn.LET(_xlpm.ig, _xlfn.XLOOKUP(Clean_Data[[#This Row],[Country_Code]], Metadata_Country!$A:$A, Metadata_Country!$C:$C, "Unknown"), IF(OR(_xlpm.ig=0, _xlpm.ig=""), "Regional Aggregate", _xlpm.ig))</f>
        <v>High income</v>
      </c>
      <c r="H3257" s="4">
        <f>Clean_Data[[#This Row],[Exports_TIV]] - Clean_Data[[#This Row],[Imports_TIV]]</f>
        <v>6142000000</v>
      </c>
      <c r="I3257" s="4">
        <f>Clean_Data[[#This Row],[Exports_TIV]] + Clean_Data[[#This Row],[Imports_TIV]]</f>
        <v>7306000000</v>
      </c>
    </row>
    <row r="3258" spans="1:9">
      <c r="A3258" s="4" t="s">
        <v>507</v>
      </c>
      <c r="B3258" s="4" t="s">
        <v>508</v>
      </c>
      <c r="C3258" s="5">
        <v>2005</v>
      </c>
      <c r="D3258" s="4">
        <v>0</v>
      </c>
      <c r="E3258" s="4">
        <v>6723000000</v>
      </c>
      <c r="F3258" s="4" t="str">
        <f>_xlfn.LET(_xlpm.r, _xlfn.XLOOKUP(Clean_Data[[#This Row],[Country_Code]], Metadata_Country!$A:$A, Metadata_Country!$B:$B, "Unknown"), IF(OR(_xlpm.r=0, _xlpm.r=""), "Regional Aggregate", _xlpm.r))</f>
        <v>Regional Aggregate</v>
      </c>
      <c r="G3258" s="4" t="str">
        <f>_xlfn.LET(_xlpm.ig, _xlfn.XLOOKUP(Clean_Data[[#This Row],[Country_Code]], Metadata_Country!$A:$A, Metadata_Country!$C:$C, "Unknown"), IF(OR(_xlpm.ig=0, _xlpm.ig=""), "Regional Aggregate", _xlpm.ig))</f>
        <v>Regional Aggregate</v>
      </c>
      <c r="H3258" s="4">
        <f>Clean_Data[[#This Row],[Exports_TIV]] - Clean_Data[[#This Row],[Imports_TIV]]</f>
        <v>-6723000000</v>
      </c>
      <c r="I3258" s="4">
        <f>Clean_Data[[#This Row],[Exports_TIV]] + Clean_Data[[#This Row],[Imports_TIV]]</f>
        <v>6723000000</v>
      </c>
    </row>
    <row r="3259" spans="1:9">
      <c r="A3259" s="4" t="s">
        <v>509</v>
      </c>
      <c r="B3259" s="4" t="s">
        <v>510</v>
      </c>
      <c r="C3259" s="5">
        <v>2005</v>
      </c>
      <c r="D3259" s="4">
        <v>0</v>
      </c>
      <c r="E3259" s="4">
        <v>20000000</v>
      </c>
      <c r="F3259" s="4" t="str">
        <f>_xlfn.LET(_xlpm.r, _xlfn.XLOOKUP(Clean_Data[[#This Row],[Country_Code]], Metadata_Country!$A:$A, Metadata_Country!$B:$B, "Unknown"), IF(OR(_xlpm.r=0, _xlpm.r=""), "Regional Aggregate", _xlpm.r))</f>
        <v>Latin America &amp; Caribbean</v>
      </c>
      <c r="G3259" s="4" t="str">
        <f>_xlfn.LET(_xlpm.ig, _xlfn.XLOOKUP(Clean_Data[[#This Row],[Country_Code]], Metadata_Country!$A:$A, Metadata_Country!$C:$C, "Unknown"), IF(OR(_xlpm.ig=0, _xlpm.ig=""), "Regional Aggregate", _xlpm.ig))</f>
        <v>High income</v>
      </c>
      <c r="H3259" s="4">
        <f>Clean_Data[[#This Row],[Exports_TIV]] - Clean_Data[[#This Row],[Imports_TIV]]</f>
        <v>-20000000</v>
      </c>
      <c r="I3259" s="4">
        <f>Clean_Data[[#This Row],[Exports_TIV]] + Clean_Data[[#This Row],[Imports_TIV]]</f>
        <v>20000000</v>
      </c>
    </row>
    <row r="3260" spans="1:9">
      <c r="A3260" s="4" t="s">
        <v>513</v>
      </c>
      <c r="B3260" s="4" t="s">
        <v>514</v>
      </c>
      <c r="C3260" s="5">
        <v>2005</v>
      </c>
      <c r="D3260" s="4">
        <v>4000000</v>
      </c>
      <c r="E3260" s="4">
        <v>0</v>
      </c>
      <c r="F3260" s="4" t="str">
        <f>_xlfn.LET(_xlpm.r, _xlfn.XLOOKUP(Clean_Data[[#This Row],[Country_Code]], Metadata_Country!$A:$A, Metadata_Country!$B:$B, "Unknown"), IF(OR(_xlpm.r=0, _xlpm.r=""), "Regional Aggregate", _xlpm.r))</f>
        <v>Europe &amp; Central Asia</v>
      </c>
      <c r="G3260" s="4" t="str">
        <f>_xlfn.LET(_xlpm.ig, _xlfn.XLOOKUP(Clean_Data[[#This Row],[Country_Code]], Metadata_Country!$A:$A, Metadata_Country!$C:$C, "Unknown"), IF(OR(_xlpm.ig=0, _xlpm.ig=""), "Regional Aggregate", _xlpm.ig))</f>
        <v>Lower middle income</v>
      </c>
      <c r="H3260" s="4">
        <f>Clean_Data[[#This Row],[Exports_TIV]] - Clean_Data[[#This Row],[Imports_TIV]]</f>
        <v>4000000</v>
      </c>
      <c r="I3260" s="4">
        <f>Clean_Data[[#This Row],[Exports_TIV]] + Clean_Data[[#This Row],[Imports_TIV]]</f>
        <v>4000000</v>
      </c>
    </row>
    <row r="3261" spans="1:9">
      <c r="A3261" s="4" t="s">
        <v>517</v>
      </c>
      <c r="B3261" s="4" t="s">
        <v>518</v>
      </c>
      <c r="C3261" s="5">
        <v>2005</v>
      </c>
      <c r="D3261" s="4">
        <v>0</v>
      </c>
      <c r="E3261" s="4">
        <v>21000000</v>
      </c>
      <c r="F3261" s="4" t="str">
        <f>_xlfn.LET(_xlpm.r, _xlfn.XLOOKUP(Clean_Data[[#This Row],[Country_Code]], Metadata_Country!$A:$A, Metadata_Country!$B:$B, "Unknown"), IF(OR(_xlpm.r=0, _xlpm.r=""), "Regional Aggregate", _xlpm.r))</f>
        <v>Latin America &amp; Caribbean</v>
      </c>
      <c r="G3261" s="4" t="str">
        <f>_xlfn.LET(_xlpm.ig, _xlfn.XLOOKUP(Clean_Data[[#This Row],[Country_Code]], Metadata_Country!$A:$A, Metadata_Country!$C:$C, "Unknown"), IF(OR(_xlpm.ig=0, _xlpm.ig=""), "Regional Aggregate", _xlpm.ig))</f>
        <v>Lower middle income</v>
      </c>
      <c r="H3261" s="4">
        <f>Clean_Data[[#This Row],[Exports_TIV]] - Clean_Data[[#This Row],[Imports_TIV]]</f>
        <v>-21000000</v>
      </c>
      <c r="I3261" s="4">
        <f>Clean_Data[[#This Row],[Exports_TIV]] + Clean_Data[[#This Row],[Imports_TIV]]</f>
        <v>21000000</v>
      </c>
    </row>
    <row r="3262" spans="1:9">
      <c r="A3262" s="4" t="s">
        <v>523</v>
      </c>
      <c r="B3262" s="4" t="s">
        <v>524</v>
      </c>
      <c r="C3262" s="5">
        <v>2005</v>
      </c>
      <c r="D3262" s="4">
        <v>0</v>
      </c>
      <c r="E3262" s="4">
        <v>221000000</v>
      </c>
      <c r="F3262" s="4" t="str">
        <f>_xlfn.LET(_xlpm.r, _xlfn.XLOOKUP(Clean_Data[[#This Row],[Country_Code]], Metadata_Country!$A:$A, Metadata_Country!$B:$B, "Unknown"), IF(OR(_xlpm.r=0, _xlpm.r=""), "Regional Aggregate", _xlpm.r))</f>
        <v>East Asia &amp; Pacific</v>
      </c>
      <c r="G3262" s="4" t="str">
        <f>_xlfn.LET(_xlpm.ig, _xlfn.XLOOKUP(Clean_Data[[#This Row],[Country_Code]], Metadata_Country!$A:$A, Metadata_Country!$C:$C, "Unknown"), IF(OR(_xlpm.ig=0, _xlpm.ig=""), "Regional Aggregate", _xlpm.ig))</f>
        <v>Upper middle income</v>
      </c>
      <c r="H3262" s="4">
        <f>Clean_Data[[#This Row],[Exports_TIV]] - Clean_Data[[#This Row],[Imports_TIV]]</f>
        <v>-221000000</v>
      </c>
      <c r="I3262" s="4">
        <f>Clean_Data[[#This Row],[Exports_TIV]] + Clean_Data[[#This Row],[Imports_TIV]]</f>
        <v>221000000</v>
      </c>
    </row>
    <row r="3263" spans="1:9">
      <c r="A3263" s="4" t="s">
        <v>527</v>
      </c>
      <c r="B3263" s="4" t="s">
        <v>528</v>
      </c>
      <c r="C3263" s="5">
        <v>2005</v>
      </c>
      <c r="D3263" s="4">
        <v>21389000000</v>
      </c>
      <c r="E3263" s="4">
        <v>21333000000</v>
      </c>
      <c r="F3263" s="4" t="str">
        <f>_xlfn.LET(_xlpm.r, _xlfn.XLOOKUP(Clean_Data[[#This Row],[Country_Code]], Metadata_Country!$A:$A, Metadata_Country!$B:$B, "Unknown"), IF(OR(_xlpm.r=0, _xlpm.r=""), "Regional Aggregate", _xlpm.r))</f>
        <v>Regional Aggregate</v>
      </c>
      <c r="G3263" s="4" t="str">
        <f>_xlfn.LET(_xlpm.ig, _xlfn.XLOOKUP(Clean_Data[[#This Row],[Country_Code]], Metadata_Country!$A:$A, Metadata_Country!$C:$C, "Unknown"), IF(OR(_xlpm.ig=0, _xlpm.ig=""), "Regional Aggregate", _xlpm.ig))</f>
        <v>Regional Aggregate</v>
      </c>
      <c r="H3263" s="4">
        <f>Clean_Data[[#This Row],[Exports_TIV]] - Clean_Data[[#This Row],[Imports_TIV]]</f>
        <v>56000000</v>
      </c>
      <c r="I3263" s="4">
        <f>Clean_Data[[#This Row],[Exports_TIV]] + Clean_Data[[#This Row],[Imports_TIV]]</f>
        <v>42722000000</v>
      </c>
    </row>
    <row r="3264" spans="1:9">
      <c r="A3264" s="4" t="s">
        <v>533</v>
      </c>
      <c r="B3264" s="4" t="s">
        <v>534</v>
      </c>
      <c r="C3264" s="5">
        <v>2005</v>
      </c>
      <c r="D3264" s="4">
        <v>0</v>
      </c>
      <c r="E3264" s="4">
        <v>316000000</v>
      </c>
      <c r="F3264" s="4" t="str">
        <f>_xlfn.LET(_xlpm.r, _xlfn.XLOOKUP(Clean_Data[[#This Row],[Country_Code]], Metadata_Country!$A:$A, Metadata_Country!$B:$B, "Unknown"), IF(OR(_xlpm.r=0, _xlpm.r=""), "Regional Aggregate", _xlpm.r))</f>
        <v>Middle East &amp; North Africa</v>
      </c>
      <c r="G3264" s="4" t="str">
        <f>_xlfn.LET(_xlpm.ig, _xlfn.XLOOKUP(Clean_Data[[#This Row],[Country_Code]], Metadata_Country!$A:$A, Metadata_Country!$C:$C, "Unknown"), IF(OR(_xlpm.ig=0, _xlpm.ig=""), "Regional Aggregate", _xlpm.ig))</f>
        <v>Low income</v>
      </c>
      <c r="H3264" s="4">
        <f>Clean_Data[[#This Row],[Exports_TIV]] - Clean_Data[[#This Row],[Imports_TIV]]</f>
        <v>-316000000</v>
      </c>
      <c r="I3264" s="4">
        <f>Clean_Data[[#This Row],[Exports_TIV]] + Clean_Data[[#This Row],[Imports_TIV]]</f>
        <v>316000000</v>
      </c>
    </row>
    <row r="3265" spans="1:9">
      <c r="A3265" s="4" t="s">
        <v>537</v>
      </c>
      <c r="B3265" s="4" t="s">
        <v>538</v>
      </c>
      <c r="C3265" s="5">
        <v>2005</v>
      </c>
      <c r="D3265" s="4">
        <v>0</v>
      </c>
      <c r="E3265" s="4">
        <v>0</v>
      </c>
      <c r="F3265" s="4" t="str">
        <f>_xlfn.LET(_xlpm.r, _xlfn.XLOOKUP(Clean_Data[[#This Row],[Country_Code]], Metadata_Country!$A:$A, Metadata_Country!$B:$B, "Unknown"), IF(OR(_xlpm.r=0, _xlpm.r=""), "Regional Aggregate", _xlpm.r))</f>
        <v>Sub-Saharan Africa</v>
      </c>
      <c r="G3265" s="4" t="str">
        <f>_xlfn.LET(_xlpm.ig, _xlfn.XLOOKUP(Clean_Data[[#This Row],[Country_Code]], Metadata_Country!$A:$A, Metadata_Country!$C:$C, "Unknown"), IF(OR(_xlpm.ig=0, _xlpm.ig=""), "Regional Aggregate", _xlpm.ig))</f>
        <v>Lower middle income</v>
      </c>
      <c r="H3265" s="4">
        <f>Clean_Data[[#This Row],[Exports_TIV]] - Clean_Data[[#This Row],[Imports_TIV]]</f>
        <v>0</v>
      </c>
      <c r="I3265" s="4">
        <f>Clean_Data[[#This Row],[Exports_TIV]] + Clean_Data[[#This Row],[Imports_TIV]]</f>
        <v>0</v>
      </c>
    </row>
    <row r="3266" spans="1:9">
      <c r="A3266" s="4" t="s">
        <v>539</v>
      </c>
      <c r="B3266" s="4" t="s">
        <v>540</v>
      </c>
      <c r="C3266" s="5">
        <v>2005</v>
      </c>
      <c r="D3266" s="4">
        <v>0</v>
      </c>
      <c r="E3266" s="4">
        <v>25000000</v>
      </c>
      <c r="F3266" s="4" t="str">
        <f>_xlfn.LET(_xlpm.r, _xlfn.XLOOKUP(Clean_Data[[#This Row],[Country_Code]], Metadata_Country!$A:$A, Metadata_Country!$B:$B, "Unknown"), IF(OR(_xlpm.r=0, _xlpm.r=""), "Regional Aggregate", _xlpm.r))</f>
        <v>Sub-Saharan Africa</v>
      </c>
      <c r="G3266" s="4" t="str">
        <f>_xlfn.LET(_xlpm.ig, _xlfn.XLOOKUP(Clean_Data[[#This Row],[Country_Code]], Metadata_Country!$A:$A, Metadata_Country!$C:$C, "Unknown"), IF(OR(_xlpm.ig=0, _xlpm.ig=""), "Regional Aggregate", _xlpm.ig))</f>
        <v>Lower middle income</v>
      </c>
      <c r="H3266" s="4">
        <f>Clean_Data[[#This Row],[Exports_TIV]] - Clean_Data[[#This Row],[Imports_TIV]]</f>
        <v>-25000000</v>
      </c>
      <c r="I3266" s="4">
        <f>Clean_Data[[#This Row],[Exports_TIV]] + Clean_Data[[#This Row],[Imports_TIV]]</f>
        <v>25000000</v>
      </c>
    </row>
    <row r="3267" spans="1:9">
      <c r="A3267" s="4" t="s">
        <v>15</v>
      </c>
      <c r="B3267" s="4" t="s">
        <v>16</v>
      </c>
      <c r="C3267" s="5">
        <v>2004</v>
      </c>
      <c r="D3267" s="4">
        <v>0</v>
      </c>
      <c r="E3267" s="4">
        <v>83000000</v>
      </c>
      <c r="F3267" s="4" t="str">
        <f>_xlfn.LET(_xlpm.r, _xlfn.XLOOKUP(Clean_Data[[#This Row],[Country_Code]], Metadata_Country!$A:$A, Metadata_Country!$B:$B, "Unknown"), IF(OR(_xlpm.r=0, _xlpm.r=""), "Regional Aggregate", _xlpm.r))</f>
        <v>Regional Aggregate</v>
      </c>
      <c r="G3267" s="4" t="str">
        <f>_xlfn.LET(_xlpm.ig, _xlfn.XLOOKUP(Clean_Data[[#This Row],[Country_Code]], Metadata_Country!$A:$A, Metadata_Country!$C:$C, "Unknown"), IF(OR(_xlpm.ig=0, _xlpm.ig=""), "Regional Aggregate", _xlpm.ig))</f>
        <v>Regional Aggregate</v>
      </c>
      <c r="H3267" s="4">
        <f>Clean_Data[[#This Row],[Exports_TIV]] - Clean_Data[[#This Row],[Imports_TIV]]</f>
        <v>-83000000</v>
      </c>
      <c r="I3267" s="4">
        <f>Clean_Data[[#This Row],[Exports_TIV]] + Clean_Data[[#This Row],[Imports_TIV]]</f>
        <v>83000000</v>
      </c>
    </row>
    <row r="3268" spans="1:9">
      <c r="A3268" s="4" t="s">
        <v>129</v>
      </c>
      <c r="B3268" s="4" t="s">
        <v>130</v>
      </c>
      <c r="C3268" s="5">
        <v>2004</v>
      </c>
      <c r="D3268" s="4">
        <v>0</v>
      </c>
      <c r="E3268" s="4">
        <v>251000000</v>
      </c>
      <c r="F3268" s="4" t="str">
        <f>_xlfn.LET(_xlpm.r, _xlfn.XLOOKUP(Clean_Data[[#This Row],[Country_Code]], Metadata_Country!$A:$A, Metadata_Country!$B:$B, "Unknown"), IF(OR(_xlpm.r=0, _xlpm.r=""), "Regional Aggregate", _xlpm.r))</f>
        <v>Middle East &amp; North Africa</v>
      </c>
      <c r="G3268" s="4" t="str">
        <f>_xlfn.LET(_xlpm.ig, _xlfn.XLOOKUP(Clean_Data[[#This Row],[Country_Code]], Metadata_Country!$A:$A, Metadata_Country!$C:$C, "Unknown"), IF(OR(_xlpm.ig=0, _xlpm.ig=""), "Regional Aggregate", _xlpm.ig))</f>
        <v>Upper middle income</v>
      </c>
      <c r="H3268" s="4">
        <f>Clean_Data[[#This Row],[Exports_TIV]] - Clean_Data[[#This Row],[Imports_TIV]]</f>
        <v>-251000000</v>
      </c>
      <c r="I3268" s="4">
        <f>Clean_Data[[#This Row],[Exports_TIV]] + Clean_Data[[#This Row],[Imports_TIV]]</f>
        <v>251000000</v>
      </c>
    </row>
    <row r="3269" spans="1:9">
      <c r="A3269" s="4" t="s">
        <v>17</v>
      </c>
      <c r="B3269" s="4" t="s">
        <v>18</v>
      </c>
      <c r="C3269" s="5">
        <v>2004</v>
      </c>
      <c r="D3269" s="4">
        <v>0</v>
      </c>
      <c r="E3269" s="4">
        <v>8000000</v>
      </c>
      <c r="F3269" s="4" t="str">
        <f>_xlfn.LET(_xlpm.r, _xlfn.XLOOKUP(Clean_Data[[#This Row],[Country_Code]], Metadata_Country!$A:$A, Metadata_Country!$B:$B, "Unknown"), IF(OR(_xlpm.r=0, _xlpm.r=""), "Regional Aggregate", _xlpm.r))</f>
        <v>Sub-Saharan Africa</v>
      </c>
      <c r="G3269" s="4" t="str">
        <f>_xlfn.LET(_xlpm.ig, _xlfn.XLOOKUP(Clean_Data[[#This Row],[Country_Code]], Metadata_Country!$A:$A, Metadata_Country!$C:$C, "Unknown"), IF(OR(_xlpm.ig=0, _xlpm.ig=""), "Regional Aggregate", _xlpm.ig))</f>
        <v>Lower middle income</v>
      </c>
      <c r="H3269" s="4">
        <f>Clean_Data[[#This Row],[Exports_TIV]] - Clean_Data[[#This Row],[Imports_TIV]]</f>
        <v>-8000000</v>
      </c>
      <c r="I3269" s="4">
        <f>Clean_Data[[#This Row],[Exports_TIV]] + Clean_Data[[#This Row],[Imports_TIV]]</f>
        <v>8000000</v>
      </c>
    </row>
    <row r="3270" spans="1:9">
      <c r="A3270" s="4" t="s">
        <v>23</v>
      </c>
      <c r="B3270" s="4" t="s">
        <v>24</v>
      </c>
      <c r="C3270" s="5">
        <v>2004</v>
      </c>
      <c r="D3270" s="4">
        <v>0</v>
      </c>
      <c r="E3270" s="4">
        <v>4076000000</v>
      </c>
      <c r="F3270" s="4" t="str">
        <f>_xlfn.LET(_xlpm.r, _xlfn.XLOOKUP(Clean_Data[[#This Row],[Country_Code]], Metadata_Country!$A:$A, Metadata_Country!$B:$B, "Unknown"), IF(OR(_xlpm.r=0, _xlpm.r=""), "Regional Aggregate", _xlpm.r))</f>
        <v>Regional Aggregate</v>
      </c>
      <c r="G3270" s="4" t="str">
        <f>_xlfn.LET(_xlpm.ig, _xlfn.XLOOKUP(Clean_Data[[#This Row],[Country_Code]], Metadata_Country!$A:$A, Metadata_Country!$C:$C, "Unknown"), IF(OR(_xlpm.ig=0, _xlpm.ig=""), "Regional Aggregate", _xlpm.ig))</f>
        <v>Regional Aggregate</v>
      </c>
      <c r="H3270" s="4">
        <f>Clean_Data[[#This Row],[Exports_TIV]] - Clean_Data[[#This Row],[Imports_TIV]]</f>
        <v>-4076000000</v>
      </c>
      <c r="I3270" s="4">
        <f>Clean_Data[[#This Row],[Exports_TIV]] + Clean_Data[[#This Row],[Imports_TIV]]</f>
        <v>4076000000</v>
      </c>
    </row>
    <row r="3271" spans="1:9">
      <c r="A3271" s="4" t="s">
        <v>27</v>
      </c>
      <c r="B3271" s="4" t="s">
        <v>28</v>
      </c>
      <c r="C3271" s="5">
        <v>2004</v>
      </c>
      <c r="D3271" s="4">
        <v>0</v>
      </c>
      <c r="E3271" s="4">
        <v>161000000</v>
      </c>
      <c r="F3271" s="4" t="str">
        <f>_xlfn.LET(_xlpm.r, _xlfn.XLOOKUP(Clean_Data[[#This Row],[Country_Code]], Metadata_Country!$A:$A, Metadata_Country!$B:$B, "Unknown"), IF(OR(_xlpm.r=0, _xlpm.r=""), "Regional Aggregate", _xlpm.r))</f>
        <v>Latin America &amp; Caribbean</v>
      </c>
      <c r="G3271" s="4" t="str">
        <f>_xlfn.LET(_xlpm.ig, _xlfn.XLOOKUP(Clean_Data[[#This Row],[Country_Code]], Metadata_Country!$A:$A, Metadata_Country!$C:$C, "Unknown"), IF(OR(_xlpm.ig=0, _xlpm.ig=""), "Regional Aggregate", _xlpm.ig))</f>
        <v>Upper middle income</v>
      </c>
      <c r="H3271" s="4">
        <f>Clean_Data[[#This Row],[Exports_TIV]] - Clean_Data[[#This Row],[Imports_TIV]]</f>
        <v>-161000000</v>
      </c>
      <c r="I3271" s="4">
        <f>Clean_Data[[#This Row],[Exports_TIV]] + Clean_Data[[#This Row],[Imports_TIV]]</f>
        <v>161000000</v>
      </c>
    </row>
    <row r="3272" spans="1:9">
      <c r="A3272" s="4" t="s">
        <v>29</v>
      </c>
      <c r="B3272" s="4" t="s">
        <v>30</v>
      </c>
      <c r="C3272" s="5">
        <v>2004</v>
      </c>
      <c r="D3272" s="4">
        <v>0</v>
      </c>
      <c r="E3272" s="4">
        <v>118000000</v>
      </c>
      <c r="F3272" s="4" t="str">
        <f>_xlfn.LET(_xlpm.r, _xlfn.XLOOKUP(Clean_Data[[#This Row],[Country_Code]], Metadata_Country!$A:$A, Metadata_Country!$B:$B, "Unknown"), IF(OR(_xlpm.r=0, _xlpm.r=""), "Regional Aggregate", _xlpm.r))</f>
        <v>Europe &amp; Central Asia</v>
      </c>
      <c r="G3272" s="4" t="str">
        <f>_xlfn.LET(_xlpm.ig, _xlfn.XLOOKUP(Clean_Data[[#This Row],[Country_Code]], Metadata_Country!$A:$A, Metadata_Country!$C:$C, "Unknown"), IF(OR(_xlpm.ig=0, _xlpm.ig=""), "Regional Aggregate", _xlpm.ig))</f>
        <v>Upper middle income</v>
      </c>
      <c r="H3272" s="4">
        <f>Clean_Data[[#This Row],[Exports_TIV]] - Clean_Data[[#This Row],[Imports_TIV]]</f>
        <v>-118000000</v>
      </c>
      <c r="I3272" s="4">
        <f>Clean_Data[[#This Row],[Exports_TIV]] + Clean_Data[[#This Row],[Imports_TIV]]</f>
        <v>118000000</v>
      </c>
    </row>
    <row r="3273" spans="1:9">
      <c r="A3273" s="4" t="s">
        <v>35</v>
      </c>
      <c r="B3273" s="4" t="s">
        <v>36</v>
      </c>
      <c r="C3273" s="5">
        <v>2004</v>
      </c>
      <c r="D3273" s="4">
        <v>2000000</v>
      </c>
      <c r="E3273" s="4">
        <v>447000000</v>
      </c>
      <c r="F3273" s="4" t="str">
        <f>_xlfn.LET(_xlpm.r, _xlfn.XLOOKUP(Clean_Data[[#This Row],[Country_Code]], Metadata_Country!$A:$A, Metadata_Country!$B:$B, "Unknown"), IF(OR(_xlpm.r=0, _xlpm.r=""), "Regional Aggregate", _xlpm.r))</f>
        <v>East Asia &amp; Pacific</v>
      </c>
      <c r="G3273" s="4" t="str">
        <f>_xlfn.LET(_xlpm.ig, _xlfn.XLOOKUP(Clean_Data[[#This Row],[Country_Code]], Metadata_Country!$A:$A, Metadata_Country!$C:$C, "Unknown"), IF(OR(_xlpm.ig=0, _xlpm.ig=""), "Regional Aggregate", _xlpm.ig))</f>
        <v>High income</v>
      </c>
      <c r="H3273" s="4">
        <f>Clean_Data[[#This Row],[Exports_TIV]] - Clean_Data[[#This Row],[Imports_TIV]]</f>
        <v>-445000000</v>
      </c>
      <c r="I3273" s="4">
        <f>Clean_Data[[#This Row],[Exports_TIV]] + Clean_Data[[#This Row],[Imports_TIV]]</f>
        <v>449000000</v>
      </c>
    </row>
    <row r="3274" spans="1:9">
      <c r="A3274" s="4" t="s">
        <v>37</v>
      </c>
      <c r="B3274" s="4" t="s">
        <v>38</v>
      </c>
      <c r="C3274" s="5">
        <v>2004</v>
      </c>
      <c r="D3274" s="4">
        <v>3000000</v>
      </c>
      <c r="E3274" s="4">
        <v>56000000</v>
      </c>
      <c r="F3274" s="4" t="str">
        <f>_xlfn.LET(_xlpm.r, _xlfn.XLOOKUP(Clean_Data[[#This Row],[Country_Code]], Metadata_Country!$A:$A, Metadata_Country!$B:$B, "Unknown"), IF(OR(_xlpm.r=0, _xlpm.r=""), "Regional Aggregate", _xlpm.r))</f>
        <v>Europe &amp; Central Asia</v>
      </c>
      <c r="G3274" s="4" t="str">
        <f>_xlfn.LET(_xlpm.ig, _xlfn.XLOOKUP(Clean_Data[[#This Row],[Country_Code]], Metadata_Country!$A:$A, Metadata_Country!$C:$C, "Unknown"), IF(OR(_xlpm.ig=0, _xlpm.ig=""), "Regional Aggregate", _xlpm.ig))</f>
        <v>High income</v>
      </c>
      <c r="H3274" s="4">
        <f>Clean_Data[[#This Row],[Exports_TIV]] - Clean_Data[[#This Row],[Imports_TIV]]</f>
        <v>-53000000</v>
      </c>
      <c r="I3274" s="4">
        <f>Clean_Data[[#This Row],[Exports_TIV]] + Clean_Data[[#This Row],[Imports_TIV]]</f>
        <v>59000000</v>
      </c>
    </row>
    <row r="3275" spans="1:9">
      <c r="A3275" s="4" t="s">
        <v>39</v>
      </c>
      <c r="B3275" s="4" t="s">
        <v>40</v>
      </c>
      <c r="C3275" s="5">
        <v>2004</v>
      </c>
      <c r="D3275" s="4">
        <v>0</v>
      </c>
      <c r="E3275" s="4">
        <v>4000000</v>
      </c>
      <c r="F3275" s="4" t="str">
        <f>_xlfn.LET(_xlpm.r, _xlfn.XLOOKUP(Clean_Data[[#This Row],[Country_Code]], Metadata_Country!$A:$A, Metadata_Country!$B:$B, "Unknown"), IF(OR(_xlpm.r=0, _xlpm.r=""), "Regional Aggregate", _xlpm.r))</f>
        <v>Europe &amp; Central Asia</v>
      </c>
      <c r="G3275" s="4" t="str">
        <f>_xlfn.LET(_xlpm.ig, _xlfn.XLOOKUP(Clean_Data[[#This Row],[Country_Code]], Metadata_Country!$A:$A, Metadata_Country!$C:$C, "Unknown"), IF(OR(_xlpm.ig=0, _xlpm.ig=""), "Regional Aggregate", _xlpm.ig))</f>
        <v>Upper middle income</v>
      </c>
      <c r="H3275" s="4">
        <f>Clean_Data[[#This Row],[Exports_TIV]] - Clean_Data[[#This Row],[Imports_TIV]]</f>
        <v>-4000000</v>
      </c>
      <c r="I3275" s="4">
        <f>Clean_Data[[#This Row],[Exports_TIV]] + Clean_Data[[#This Row],[Imports_TIV]]</f>
        <v>4000000</v>
      </c>
    </row>
    <row r="3276" spans="1:9">
      <c r="A3276" s="4" t="s">
        <v>53</v>
      </c>
      <c r="B3276" s="4" t="s">
        <v>54</v>
      </c>
      <c r="C3276" s="5">
        <v>2004</v>
      </c>
      <c r="D3276" s="4">
        <v>0</v>
      </c>
      <c r="E3276" s="4">
        <v>10000000</v>
      </c>
      <c r="F3276" s="4" t="str">
        <f>_xlfn.LET(_xlpm.r, _xlfn.XLOOKUP(Clean_Data[[#This Row],[Country_Code]], Metadata_Country!$A:$A, Metadata_Country!$B:$B, "Unknown"), IF(OR(_xlpm.r=0, _xlpm.r=""), "Regional Aggregate", _xlpm.r))</f>
        <v>Middle East &amp; North Africa</v>
      </c>
      <c r="G3276" s="4" t="str">
        <f>_xlfn.LET(_xlpm.ig, _xlfn.XLOOKUP(Clean_Data[[#This Row],[Country_Code]], Metadata_Country!$A:$A, Metadata_Country!$C:$C, "Unknown"), IF(OR(_xlpm.ig=0, _xlpm.ig=""), "Regional Aggregate", _xlpm.ig))</f>
        <v>High income</v>
      </c>
      <c r="H3276" s="4">
        <f>Clean_Data[[#This Row],[Exports_TIV]] - Clean_Data[[#This Row],[Imports_TIV]]</f>
        <v>-10000000</v>
      </c>
      <c r="I3276" s="4">
        <f>Clean_Data[[#This Row],[Exports_TIV]] + Clean_Data[[#This Row],[Imports_TIV]]</f>
        <v>10000000</v>
      </c>
    </row>
    <row r="3277" spans="1:9">
      <c r="A3277" s="4" t="s">
        <v>49</v>
      </c>
      <c r="B3277" s="4" t="s">
        <v>50</v>
      </c>
      <c r="C3277" s="5">
        <v>2004</v>
      </c>
      <c r="D3277" s="4">
        <v>0</v>
      </c>
      <c r="E3277" s="4">
        <v>32000000</v>
      </c>
      <c r="F3277" s="4" t="str">
        <f>_xlfn.LET(_xlpm.r, _xlfn.XLOOKUP(Clean_Data[[#This Row],[Country_Code]], Metadata_Country!$A:$A, Metadata_Country!$B:$B, "Unknown"), IF(OR(_xlpm.r=0, _xlpm.r=""), "Regional Aggregate", _xlpm.r))</f>
        <v>South Asia</v>
      </c>
      <c r="G3277" s="4" t="str">
        <f>_xlfn.LET(_xlpm.ig, _xlfn.XLOOKUP(Clean_Data[[#This Row],[Country_Code]], Metadata_Country!$A:$A, Metadata_Country!$C:$C, "Unknown"), IF(OR(_xlpm.ig=0, _xlpm.ig=""), "Regional Aggregate", _xlpm.ig))</f>
        <v>Lower middle income</v>
      </c>
      <c r="H3277" s="4">
        <f>Clean_Data[[#This Row],[Exports_TIV]] - Clean_Data[[#This Row],[Imports_TIV]]</f>
        <v>-32000000</v>
      </c>
      <c r="I3277" s="4">
        <f>Clean_Data[[#This Row],[Exports_TIV]] + Clean_Data[[#This Row],[Imports_TIV]]</f>
        <v>32000000</v>
      </c>
    </row>
    <row r="3278" spans="1:9">
      <c r="A3278" s="4" t="s">
        <v>59</v>
      </c>
      <c r="B3278" s="4" t="s">
        <v>60</v>
      </c>
      <c r="C3278" s="5">
        <v>2004</v>
      </c>
      <c r="D3278" s="4">
        <v>19000000</v>
      </c>
      <c r="E3278" s="4">
        <v>0</v>
      </c>
      <c r="F3278" s="4" t="str">
        <f>_xlfn.LET(_xlpm.r, _xlfn.XLOOKUP(Clean_Data[[#This Row],[Country_Code]], Metadata_Country!$A:$A, Metadata_Country!$B:$B, "Unknown"), IF(OR(_xlpm.r=0, _xlpm.r=""), "Regional Aggregate", _xlpm.r))</f>
        <v>Europe &amp; Central Asia</v>
      </c>
      <c r="G3278" s="4" t="str">
        <f>_xlfn.LET(_xlpm.ig, _xlfn.XLOOKUP(Clean_Data[[#This Row],[Country_Code]], Metadata_Country!$A:$A, Metadata_Country!$C:$C, "Unknown"), IF(OR(_xlpm.ig=0, _xlpm.ig=""), "Regional Aggregate", _xlpm.ig))</f>
        <v>Upper middle income</v>
      </c>
      <c r="H3278" s="4">
        <f>Clean_Data[[#This Row],[Exports_TIV]] - Clean_Data[[#This Row],[Imports_TIV]]</f>
        <v>19000000</v>
      </c>
      <c r="I3278" s="4">
        <f>Clean_Data[[#This Row],[Exports_TIV]] + Clean_Data[[#This Row],[Imports_TIV]]</f>
        <v>19000000</v>
      </c>
    </row>
    <row r="3279" spans="1:9">
      <c r="A3279" s="4" t="s">
        <v>43</v>
      </c>
      <c r="B3279" s="4" t="s">
        <v>44</v>
      </c>
      <c r="C3279" s="5">
        <v>2004</v>
      </c>
      <c r="D3279" s="4">
        <v>47000000</v>
      </c>
      <c r="E3279" s="4">
        <v>15000000</v>
      </c>
      <c r="F3279" s="4" t="str">
        <f>_xlfn.LET(_xlpm.r, _xlfn.XLOOKUP(Clean_Data[[#This Row],[Country_Code]], Metadata_Country!$A:$A, Metadata_Country!$B:$B, "Unknown"), IF(OR(_xlpm.r=0, _xlpm.r=""), "Regional Aggregate", _xlpm.r))</f>
        <v>Europe &amp; Central Asia</v>
      </c>
      <c r="G3279" s="4" t="str">
        <f>_xlfn.LET(_xlpm.ig, _xlfn.XLOOKUP(Clean_Data[[#This Row],[Country_Code]], Metadata_Country!$A:$A, Metadata_Country!$C:$C, "Unknown"), IF(OR(_xlpm.ig=0, _xlpm.ig=""), "Regional Aggregate", _xlpm.ig))</f>
        <v>High income</v>
      </c>
      <c r="H3279" s="4">
        <f>Clean_Data[[#This Row],[Exports_TIV]] - Clean_Data[[#This Row],[Imports_TIV]]</f>
        <v>32000000</v>
      </c>
      <c r="I3279" s="4">
        <f>Clean_Data[[#This Row],[Exports_TIV]] + Clean_Data[[#This Row],[Imports_TIV]]</f>
        <v>62000000</v>
      </c>
    </row>
    <row r="3280" spans="1:9">
      <c r="A3280" s="4" t="s">
        <v>73</v>
      </c>
      <c r="B3280" s="4" t="s">
        <v>74</v>
      </c>
      <c r="C3280" s="5">
        <v>2004</v>
      </c>
      <c r="D3280" s="4">
        <v>0</v>
      </c>
      <c r="E3280" s="4">
        <v>0</v>
      </c>
      <c r="F3280" s="4" t="str">
        <f>_xlfn.LET(_xlpm.r, _xlfn.XLOOKUP(Clean_Data[[#This Row],[Country_Code]], Metadata_Country!$A:$A, Metadata_Country!$B:$B, "Unknown"), IF(OR(_xlpm.r=0, _xlpm.r=""), "Regional Aggregate", _xlpm.r))</f>
        <v>South Asia</v>
      </c>
      <c r="G3280" s="4" t="str">
        <f>_xlfn.LET(_xlpm.ig, _xlfn.XLOOKUP(Clean_Data[[#This Row],[Country_Code]], Metadata_Country!$A:$A, Metadata_Country!$C:$C, "Unknown"), IF(OR(_xlpm.ig=0, _xlpm.ig=""), "Regional Aggregate", _xlpm.ig))</f>
        <v>Lower middle income</v>
      </c>
      <c r="H3280" s="4">
        <f>Clean_Data[[#This Row],[Exports_TIV]] - Clean_Data[[#This Row],[Imports_TIV]]</f>
        <v>0</v>
      </c>
      <c r="I3280" s="4">
        <f>Clean_Data[[#This Row],[Exports_TIV]] + Clean_Data[[#This Row],[Imports_TIV]]</f>
        <v>0</v>
      </c>
    </row>
    <row r="3281" spans="1:9">
      <c r="A3281" s="4" t="s">
        <v>65</v>
      </c>
      <c r="B3281" s="4" t="s">
        <v>66</v>
      </c>
      <c r="C3281" s="5">
        <v>2004</v>
      </c>
      <c r="D3281" s="4">
        <v>0</v>
      </c>
      <c r="E3281" s="4">
        <v>1000000</v>
      </c>
      <c r="F3281" s="4" t="str">
        <f>_xlfn.LET(_xlpm.r, _xlfn.XLOOKUP(Clean_Data[[#This Row],[Country_Code]], Metadata_Country!$A:$A, Metadata_Country!$B:$B, "Unknown"), IF(OR(_xlpm.r=0, _xlpm.r=""), "Regional Aggregate", _xlpm.r))</f>
        <v>Latin America &amp; Caribbean</v>
      </c>
      <c r="G3281" s="4" t="str">
        <f>_xlfn.LET(_xlpm.ig, _xlfn.XLOOKUP(Clean_Data[[#This Row],[Country_Code]], Metadata_Country!$A:$A, Metadata_Country!$C:$C, "Unknown"), IF(OR(_xlpm.ig=0, _xlpm.ig=""), "Regional Aggregate", _xlpm.ig))</f>
        <v>Lower middle income</v>
      </c>
      <c r="H3281" s="4">
        <f>Clean_Data[[#This Row],[Exports_TIV]] - Clean_Data[[#This Row],[Imports_TIV]]</f>
        <v>-1000000</v>
      </c>
      <c r="I3281" s="4">
        <f>Clean_Data[[#This Row],[Exports_TIV]] + Clean_Data[[#This Row],[Imports_TIV]]</f>
        <v>1000000</v>
      </c>
    </row>
    <row r="3282" spans="1:9">
      <c r="A3282" s="4" t="s">
        <v>75</v>
      </c>
      <c r="B3282" s="4" t="s">
        <v>76</v>
      </c>
      <c r="C3282" s="5">
        <v>2004</v>
      </c>
      <c r="D3282" s="4">
        <v>0</v>
      </c>
      <c r="E3282" s="4">
        <v>10000000</v>
      </c>
      <c r="F3282" s="4" t="str">
        <f>_xlfn.LET(_xlpm.r, _xlfn.XLOOKUP(Clean_Data[[#This Row],[Country_Code]], Metadata_Country!$A:$A, Metadata_Country!$B:$B, "Unknown"), IF(OR(_xlpm.r=0, _xlpm.r=""), "Regional Aggregate", _xlpm.r))</f>
        <v>Sub-Saharan Africa</v>
      </c>
      <c r="G3282" s="4" t="str">
        <f>_xlfn.LET(_xlpm.ig, _xlfn.XLOOKUP(Clean_Data[[#This Row],[Country_Code]], Metadata_Country!$A:$A, Metadata_Country!$C:$C, "Unknown"), IF(OR(_xlpm.ig=0, _xlpm.ig=""), "Regional Aggregate", _xlpm.ig))</f>
        <v>Upper middle income</v>
      </c>
      <c r="H3282" s="4">
        <f>Clean_Data[[#This Row],[Exports_TIV]] - Clean_Data[[#This Row],[Imports_TIV]]</f>
        <v>-10000000</v>
      </c>
      <c r="I3282" s="4">
        <f>Clean_Data[[#This Row],[Exports_TIV]] + Clean_Data[[#This Row],[Imports_TIV]]</f>
        <v>10000000</v>
      </c>
    </row>
    <row r="3283" spans="1:9">
      <c r="A3283" s="4" t="s">
        <v>67</v>
      </c>
      <c r="B3283" s="4" t="s">
        <v>68</v>
      </c>
      <c r="C3283" s="5">
        <v>2004</v>
      </c>
      <c r="D3283" s="4">
        <v>46000000</v>
      </c>
      <c r="E3283" s="4">
        <v>85000000</v>
      </c>
      <c r="F3283" s="4" t="str">
        <f>_xlfn.LET(_xlpm.r, _xlfn.XLOOKUP(Clean_Data[[#This Row],[Country_Code]], Metadata_Country!$A:$A, Metadata_Country!$B:$B, "Unknown"), IF(OR(_xlpm.r=0, _xlpm.r=""), "Regional Aggregate", _xlpm.r))</f>
        <v>Latin America &amp; Caribbean</v>
      </c>
      <c r="G3283" s="4" t="str">
        <f>_xlfn.LET(_xlpm.ig, _xlfn.XLOOKUP(Clean_Data[[#This Row],[Country_Code]], Metadata_Country!$A:$A, Metadata_Country!$C:$C, "Unknown"), IF(OR(_xlpm.ig=0, _xlpm.ig=""), "Regional Aggregate", _xlpm.ig))</f>
        <v>Upper middle income</v>
      </c>
      <c r="H3283" s="4">
        <f>Clean_Data[[#This Row],[Exports_TIV]] - Clean_Data[[#This Row],[Imports_TIV]]</f>
        <v>-39000000</v>
      </c>
      <c r="I3283" s="4">
        <f>Clean_Data[[#This Row],[Exports_TIV]] + Clean_Data[[#This Row],[Imports_TIV]]</f>
        <v>131000000</v>
      </c>
    </row>
    <row r="3284" spans="1:9">
      <c r="A3284" s="4" t="s">
        <v>71</v>
      </c>
      <c r="B3284" s="4" t="s">
        <v>72</v>
      </c>
      <c r="C3284" s="5">
        <v>2004</v>
      </c>
      <c r="D3284" s="4">
        <v>0</v>
      </c>
      <c r="E3284" s="4">
        <v>0</v>
      </c>
      <c r="F3284" s="4" t="str">
        <f>_xlfn.LET(_xlpm.r, _xlfn.XLOOKUP(Clean_Data[[#This Row],[Country_Code]], Metadata_Country!$A:$A, Metadata_Country!$B:$B, "Unknown"), IF(OR(_xlpm.r=0, _xlpm.r=""), "Regional Aggregate", _xlpm.r))</f>
        <v>East Asia &amp; Pacific</v>
      </c>
      <c r="G3284" s="4" t="str">
        <f>_xlfn.LET(_xlpm.ig, _xlfn.XLOOKUP(Clean_Data[[#This Row],[Country_Code]], Metadata_Country!$A:$A, Metadata_Country!$C:$C, "Unknown"), IF(OR(_xlpm.ig=0, _xlpm.ig=""), "Regional Aggregate", _xlpm.ig))</f>
        <v>High income</v>
      </c>
      <c r="H3284" s="4">
        <f>Clean_Data[[#This Row],[Exports_TIV]] - Clean_Data[[#This Row],[Imports_TIV]]</f>
        <v>0</v>
      </c>
      <c r="I3284" s="4">
        <f>Clean_Data[[#This Row],[Exports_TIV]] + Clean_Data[[#This Row],[Imports_TIV]]</f>
        <v>0</v>
      </c>
    </row>
    <row r="3285" spans="1:9">
      <c r="A3285" s="4" t="s">
        <v>51</v>
      </c>
      <c r="B3285" s="4" t="s">
        <v>52</v>
      </c>
      <c r="C3285" s="5">
        <v>2004</v>
      </c>
      <c r="D3285" s="4">
        <v>20000000</v>
      </c>
      <c r="E3285" s="4">
        <v>13000000</v>
      </c>
      <c r="F3285" s="4" t="str">
        <f>_xlfn.LET(_xlpm.r, _xlfn.XLOOKUP(Clean_Data[[#This Row],[Country_Code]], Metadata_Country!$A:$A, Metadata_Country!$B:$B, "Unknown"), IF(OR(_xlpm.r=0, _xlpm.r=""), "Regional Aggregate", _xlpm.r))</f>
        <v>Europe &amp; Central Asia</v>
      </c>
      <c r="G3285" s="4" t="str">
        <f>_xlfn.LET(_xlpm.ig, _xlfn.XLOOKUP(Clean_Data[[#This Row],[Country_Code]], Metadata_Country!$A:$A, Metadata_Country!$C:$C, "Unknown"), IF(OR(_xlpm.ig=0, _xlpm.ig=""), "Regional Aggregate", _xlpm.ig))</f>
        <v>High income</v>
      </c>
      <c r="H3285" s="4">
        <f>Clean_Data[[#This Row],[Exports_TIV]] - Clean_Data[[#This Row],[Imports_TIV]]</f>
        <v>7000000</v>
      </c>
      <c r="I3285" s="4">
        <f>Clean_Data[[#This Row],[Exports_TIV]] + Clean_Data[[#This Row],[Imports_TIV]]</f>
        <v>33000000</v>
      </c>
    </row>
    <row r="3286" spans="1:9">
      <c r="A3286" s="4" t="s">
        <v>79</v>
      </c>
      <c r="B3286" s="4" t="s">
        <v>80</v>
      </c>
      <c r="C3286" s="5">
        <v>2004</v>
      </c>
      <c r="D3286" s="4">
        <v>289000000</v>
      </c>
      <c r="E3286" s="4">
        <v>341000000</v>
      </c>
      <c r="F3286" s="4" t="str">
        <f>_xlfn.LET(_xlpm.r, _xlfn.XLOOKUP(Clean_Data[[#This Row],[Country_Code]], Metadata_Country!$A:$A, Metadata_Country!$B:$B, "Unknown"), IF(OR(_xlpm.r=0, _xlpm.r=""), "Regional Aggregate", _xlpm.r))</f>
        <v>North America</v>
      </c>
      <c r="G3286" s="4" t="str">
        <f>_xlfn.LET(_xlpm.ig, _xlfn.XLOOKUP(Clean_Data[[#This Row],[Country_Code]], Metadata_Country!$A:$A, Metadata_Country!$C:$C, "Unknown"), IF(OR(_xlpm.ig=0, _xlpm.ig=""), "Regional Aggregate", _xlpm.ig))</f>
        <v>High income</v>
      </c>
      <c r="H3286" s="4">
        <f>Clean_Data[[#This Row],[Exports_TIV]] - Clean_Data[[#This Row],[Imports_TIV]]</f>
        <v>-52000000</v>
      </c>
      <c r="I3286" s="4">
        <f>Clean_Data[[#This Row],[Exports_TIV]] + Clean_Data[[#This Row],[Imports_TIV]]</f>
        <v>630000000</v>
      </c>
    </row>
    <row r="3287" spans="1:9">
      <c r="A3287" s="4" t="s">
        <v>81</v>
      </c>
      <c r="B3287" s="4" t="s">
        <v>82</v>
      </c>
      <c r="C3287" s="5">
        <v>2004</v>
      </c>
      <c r="D3287" s="4">
        <v>0</v>
      </c>
      <c r="E3287" s="4">
        <v>694000000</v>
      </c>
      <c r="F3287" s="4" t="str">
        <f>_xlfn.LET(_xlpm.r, _xlfn.XLOOKUP(Clean_Data[[#This Row],[Country_Code]], Metadata_Country!$A:$A, Metadata_Country!$B:$B, "Unknown"), IF(OR(_xlpm.r=0, _xlpm.r=""), "Regional Aggregate", _xlpm.r))</f>
        <v>Regional Aggregate</v>
      </c>
      <c r="G3287" s="4" t="str">
        <f>_xlfn.LET(_xlpm.ig, _xlfn.XLOOKUP(Clean_Data[[#This Row],[Country_Code]], Metadata_Country!$A:$A, Metadata_Country!$C:$C, "Unknown"), IF(OR(_xlpm.ig=0, _xlpm.ig=""), "Regional Aggregate", _xlpm.ig))</f>
        <v>Regional Aggregate</v>
      </c>
      <c r="H3287" s="4">
        <f>Clean_Data[[#This Row],[Exports_TIV]] - Clean_Data[[#This Row],[Imports_TIV]]</f>
        <v>-694000000</v>
      </c>
      <c r="I3287" s="4">
        <f>Clean_Data[[#This Row],[Exports_TIV]] + Clean_Data[[#This Row],[Imports_TIV]]</f>
        <v>694000000</v>
      </c>
    </row>
    <row r="3288" spans="1:9">
      <c r="A3288" s="4" t="s">
        <v>87</v>
      </c>
      <c r="B3288" s="4" t="s">
        <v>88</v>
      </c>
      <c r="C3288" s="5">
        <v>2004</v>
      </c>
      <c r="D3288" s="4">
        <v>0</v>
      </c>
      <c r="E3288" s="4">
        <v>64000000</v>
      </c>
      <c r="F3288" s="4" t="str">
        <f>_xlfn.LET(_xlpm.r, _xlfn.XLOOKUP(Clean_Data[[#This Row],[Country_Code]], Metadata_Country!$A:$A, Metadata_Country!$B:$B, "Unknown"), IF(OR(_xlpm.r=0, _xlpm.r=""), "Regional Aggregate", _xlpm.r))</f>
        <v>Latin America &amp; Caribbean</v>
      </c>
      <c r="G3288" s="4" t="str">
        <f>_xlfn.LET(_xlpm.ig, _xlfn.XLOOKUP(Clean_Data[[#This Row],[Country_Code]], Metadata_Country!$A:$A, Metadata_Country!$C:$C, "Unknown"), IF(OR(_xlpm.ig=0, _xlpm.ig=""), "Regional Aggregate", _xlpm.ig))</f>
        <v>High income</v>
      </c>
      <c r="H3288" s="4">
        <f>Clean_Data[[#This Row],[Exports_TIV]] - Clean_Data[[#This Row],[Imports_TIV]]</f>
        <v>-64000000</v>
      </c>
      <c r="I3288" s="4">
        <f>Clean_Data[[#This Row],[Exports_TIV]] + Clean_Data[[#This Row],[Imports_TIV]]</f>
        <v>64000000</v>
      </c>
    </row>
    <row r="3289" spans="1:9">
      <c r="A3289" s="4" t="s">
        <v>89</v>
      </c>
      <c r="B3289" s="4" t="s">
        <v>90</v>
      </c>
      <c r="C3289" s="5">
        <v>2004</v>
      </c>
      <c r="D3289" s="4">
        <v>408000000</v>
      </c>
      <c r="E3289" s="4">
        <v>3236000000</v>
      </c>
      <c r="F3289" s="4" t="str">
        <f>_xlfn.LET(_xlpm.r, _xlfn.XLOOKUP(Clean_Data[[#This Row],[Country_Code]], Metadata_Country!$A:$A, Metadata_Country!$B:$B, "Unknown"), IF(OR(_xlpm.r=0, _xlpm.r=""), "Regional Aggregate", _xlpm.r))</f>
        <v>East Asia &amp; Pacific</v>
      </c>
      <c r="G3289" s="4" t="str">
        <f>_xlfn.LET(_xlpm.ig, _xlfn.XLOOKUP(Clean_Data[[#This Row],[Country_Code]], Metadata_Country!$A:$A, Metadata_Country!$C:$C, "Unknown"), IF(OR(_xlpm.ig=0, _xlpm.ig=""), "Regional Aggregate", _xlpm.ig))</f>
        <v>Upper middle income</v>
      </c>
      <c r="H3289" s="4">
        <f>Clean_Data[[#This Row],[Exports_TIV]] - Clean_Data[[#This Row],[Imports_TIV]]</f>
        <v>-2828000000</v>
      </c>
      <c r="I3289" s="4">
        <f>Clean_Data[[#This Row],[Exports_TIV]] + Clean_Data[[#This Row],[Imports_TIV]]</f>
        <v>3644000000</v>
      </c>
    </row>
    <row r="3290" spans="1:9">
      <c r="A3290" s="4" t="s">
        <v>99</v>
      </c>
      <c r="B3290" s="4" t="s">
        <v>100</v>
      </c>
      <c r="C3290" s="5">
        <v>2004</v>
      </c>
      <c r="D3290" s="4">
        <v>0</v>
      </c>
      <c r="E3290" s="4">
        <v>18000000</v>
      </c>
      <c r="F3290" s="4" t="str">
        <f>_xlfn.LET(_xlpm.r, _xlfn.XLOOKUP(Clean_Data[[#This Row],[Country_Code]], Metadata_Country!$A:$A, Metadata_Country!$B:$B, "Unknown"), IF(OR(_xlpm.r=0, _xlpm.r=""), "Regional Aggregate", _xlpm.r))</f>
        <v>Latin America &amp; Caribbean</v>
      </c>
      <c r="G3290" s="4" t="str">
        <f>_xlfn.LET(_xlpm.ig, _xlfn.XLOOKUP(Clean_Data[[#This Row],[Country_Code]], Metadata_Country!$A:$A, Metadata_Country!$C:$C, "Unknown"), IF(OR(_xlpm.ig=0, _xlpm.ig=""), "Regional Aggregate", _xlpm.ig))</f>
        <v>Upper middle income</v>
      </c>
      <c r="H3290" s="4">
        <f>Clean_Data[[#This Row],[Exports_TIV]] - Clean_Data[[#This Row],[Imports_TIV]]</f>
        <v>-18000000</v>
      </c>
      <c r="I3290" s="4">
        <f>Clean_Data[[#This Row],[Exports_TIV]] + Clean_Data[[#This Row],[Imports_TIV]]</f>
        <v>18000000</v>
      </c>
    </row>
    <row r="3291" spans="1:9">
      <c r="A3291" s="4" t="s">
        <v>97</v>
      </c>
      <c r="B3291" s="4" t="s">
        <v>98</v>
      </c>
      <c r="C3291" s="5">
        <v>2004</v>
      </c>
      <c r="D3291" s="4">
        <v>0</v>
      </c>
      <c r="E3291" s="4">
        <v>7000000</v>
      </c>
      <c r="F3291" s="4" t="str">
        <f>_xlfn.LET(_xlpm.r, _xlfn.XLOOKUP(Clean_Data[[#This Row],[Country_Code]], Metadata_Country!$A:$A, Metadata_Country!$B:$B, "Unknown"), IF(OR(_xlpm.r=0, _xlpm.r=""), "Regional Aggregate", _xlpm.r))</f>
        <v>Sub-Saharan Africa</v>
      </c>
      <c r="G3291" s="4" t="str">
        <f>_xlfn.LET(_xlpm.ig, _xlfn.XLOOKUP(Clean_Data[[#This Row],[Country_Code]], Metadata_Country!$A:$A, Metadata_Country!$C:$C, "Unknown"), IF(OR(_xlpm.ig=0, _xlpm.ig=""), "Regional Aggregate", _xlpm.ig))</f>
        <v>Lower middle income</v>
      </c>
      <c r="H3291" s="4">
        <f>Clean_Data[[#This Row],[Exports_TIV]] - Clean_Data[[#This Row],[Imports_TIV]]</f>
        <v>-7000000</v>
      </c>
      <c r="I3291" s="4">
        <f>Clean_Data[[#This Row],[Exports_TIV]] + Clean_Data[[#This Row],[Imports_TIV]]</f>
        <v>7000000</v>
      </c>
    </row>
    <row r="3292" spans="1:9">
      <c r="A3292" s="4" t="s">
        <v>91</v>
      </c>
      <c r="B3292" s="4" t="s">
        <v>92</v>
      </c>
      <c r="C3292" s="5">
        <v>2004</v>
      </c>
      <c r="D3292" s="4">
        <v>0</v>
      </c>
      <c r="E3292" s="4">
        <v>9000000</v>
      </c>
      <c r="F3292" s="4" t="str">
        <f>_xlfn.LET(_xlpm.r, _xlfn.XLOOKUP(Clean_Data[[#This Row],[Country_Code]], Metadata_Country!$A:$A, Metadata_Country!$B:$B, "Unknown"), IF(OR(_xlpm.r=0, _xlpm.r=""), "Regional Aggregate", _xlpm.r))</f>
        <v>Sub-Saharan Africa</v>
      </c>
      <c r="G3292" s="4" t="str">
        <f>_xlfn.LET(_xlpm.ig, _xlfn.XLOOKUP(Clean_Data[[#This Row],[Country_Code]], Metadata_Country!$A:$A, Metadata_Country!$C:$C, "Unknown"), IF(OR(_xlpm.ig=0, _xlpm.ig=""), "Regional Aggregate", _xlpm.ig))</f>
        <v>Lower middle income</v>
      </c>
      <c r="H3292" s="4">
        <f>Clean_Data[[#This Row],[Exports_TIV]] - Clean_Data[[#This Row],[Imports_TIV]]</f>
        <v>-9000000</v>
      </c>
      <c r="I3292" s="4">
        <f>Clean_Data[[#This Row],[Exports_TIV]] + Clean_Data[[#This Row],[Imports_TIV]]</f>
        <v>9000000</v>
      </c>
    </row>
    <row r="3293" spans="1:9">
      <c r="A3293" s="4" t="s">
        <v>207</v>
      </c>
      <c r="B3293" s="4" t="s">
        <v>208</v>
      </c>
      <c r="C3293" s="5">
        <v>2004</v>
      </c>
      <c r="D3293" s="4">
        <v>0</v>
      </c>
      <c r="E3293" s="4">
        <v>8000000</v>
      </c>
      <c r="F3293" s="4" t="str">
        <f>_xlfn.LET(_xlpm.r, _xlfn.XLOOKUP(Clean_Data[[#This Row],[Country_Code]], Metadata_Country!$A:$A, Metadata_Country!$B:$B, "Unknown"), IF(OR(_xlpm.r=0, _xlpm.r=""), "Regional Aggregate", _xlpm.r))</f>
        <v>Europe &amp; Central Asia</v>
      </c>
      <c r="G3293" s="4" t="str">
        <f>_xlfn.LET(_xlpm.ig, _xlfn.XLOOKUP(Clean_Data[[#This Row],[Country_Code]], Metadata_Country!$A:$A, Metadata_Country!$C:$C, "Unknown"), IF(OR(_xlpm.ig=0, _xlpm.ig=""), "Regional Aggregate", _xlpm.ig))</f>
        <v>High income</v>
      </c>
      <c r="H3293" s="4">
        <f>Clean_Data[[#This Row],[Exports_TIV]] - Clean_Data[[#This Row],[Imports_TIV]]</f>
        <v>-8000000</v>
      </c>
      <c r="I3293" s="4">
        <f>Clean_Data[[#This Row],[Exports_TIV]] + Clean_Data[[#This Row],[Imports_TIV]]</f>
        <v>8000000</v>
      </c>
    </row>
    <row r="3294" spans="1:9">
      <c r="A3294" s="4" t="s">
        <v>109</v>
      </c>
      <c r="B3294" s="4" t="s">
        <v>110</v>
      </c>
      <c r="C3294" s="5">
        <v>2004</v>
      </c>
      <c r="D3294" s="4">
        <v>0</v>
      </c>
      <c r="E3294" s="4">
        <v>8000000</v>
      </c>
      <c r="F3294" s="4" t="str">
        <f>_xlfn.LET(_xlpm.r, _xlfn.XLOOKUP(Clean_Data[[#This Row],[Country_Code]], Metadata_Country!$A:$A, Metadata_Country!$B:$B, "Unknown"), IF(OR(_xlpm.r=0, _xlpm.r=""), "Regional Aggregate", _xlpm.r))</f>
        <v>Latin America &amp; Caribbean</v>
      </c>
      <c r="G3294" s="4" t="str">
        <f>_xlfn.LET(_xlpm.ig, _xlfn.XLOOKUP(Clean_Data[[#This Row],[Country_Code]], Metadata_Country!$A:$A, Metadata_Country!$C:$C, "Unknown"), IF(OR(_xlpm.ig=0, _xlpm.ig=""), "Regional Aggregate", _xlpm.ig))</f>
        <v>Upper middle income</v>
      </c>
      <c r="H3294" s="4">
        <f>Clean_Data[[#This Row],[Exports_TIV]] - Clean_Data[[#This Row],[Imports_TIV]]</f>
        <v>-8000000</v>
      </c>
      <c r="I3294" s="4">
        <f>Clean_Data[[#This Row],[Exports_TIV]] + Clean_Data[[#This Row],[Imports_TIV]]</f>
        <v>8000000</v>
      </c>
    </row>
    <row r="3295" spans="1:9">
      <c r="A3295" s="4" t="s">
        <v>115</v>
      </c>
      <c r="B3295" s="4" t="s">
        <v>116</v>
      </c>
      <c r="C3295" s="5">
        <v>2004</v>
      </c>
      <c r="D3295" s="4">
        <v>0</v>
      </c>
      <c r="E3295" s="4">
        <v>16000000</v>
      </c>
      <c r="F3295" s="4" t="str">
        <f>_xlfn.LET(_xlpm.r, _xlfn.XLOOKUP(Clean_Data[[#This Row],[Country_Code]], Metadata_Country!$A:$A, Metadata_Country!$B:$B, "Unknown"), IF(OR(_xlpm.r=0, _xlpm.r=""), "Regional Aggregate", _xlpm.r))</f>
        <v>Europe &amp; Central Asia</v>
      </c>
      <c r="G3295" s="4" t="str">
        <f>_xlfn.LET(_xlpm.ig, _xlfn.XLOOKUP(Clean_Data[[#This Row],[Country_Code]], Metadata_Country!$A:$A, Metadata_Country!$C:$C, "Unknown"), IF(OR(_xlpm.ig=0, _xlpm.ig=""), "Regional Aggregate", _xlpm.ig))</f>
        <v>High income</v>
      </c>
      <c r="H3295" s="4">
        <f>Clean_Data[[#This Row],[Exports_TIV]] - Clean_Data[[#This Row],[Imports_TIV]]</f>
        <v>-16000000</v>
      </c>
      <c r="I3295" s="4">
        <f>Clean_Data[[#This Row],[Exports_TIV]] + Clean_Data[[#This Row],[Imports_TIV]]</f>
        <v>16000000</v>
      </c>
    </row>
    <row r="3296" spans="1:9">
      <c r="A3296" s="4" t="s">
        <v>117</v>
      </c>
      <c r="B3296" s="4" t="s">
        <v>118</v>
      </c>
      <c r="C3296" s="5">
        <v>2004</v>
      </c>
      <c r="D3296" s="4">
        <v>2000000</v>
      </c>
      <c r="E3296" s="4">
        <v>6000000</v>
      </c>
      <c r="F3296" s="4" t="str">
        <f>_xlfn.LET(_xlpm.r, _xlfn.XLOOKUP(Clean_Data[[#This Row],[Country_Code]], Metadata_Country!$A:$A, Metadata_Country!$B:$B, "Unknown"), IF(OR(_xlpm.r=0, _xlpm.r=""), "Regional Aggregate", _xlpm.r))</f>
        <v>Europe &amp; Central Asia</v>
      </c>
      <c r="G3296" s="4" t="str">
        <f>_xlfn.LET(_xlpm.ig, _xlfn.XLOOKUP(Clean_Data[[#This Row],[Country_Code]], Metadata_Country!$A:$A, Metadata_Country!$C:$C, "Unknown"), IF(OR(_xlpm.ig=0, _xlpm.ig=""), "Regional Aggregate", _xlpm.ig))</f>
        <v>High income</v>
      </c>
      <c r="H3296" s="4">
        <f>Clean_Data[[#This Row],[Exports_TIV]] - Clean_Data[[#This Row],[Imports_TIV]]</f>
        <v>-4000000</v>
      </c>
      <c r="I3296" s="4">
        <f>Clean_Data[[#This Row],[Exports_TIV]] + Clean_Data[[#This Row],[Imports_TIV]]</f>
        <v>8000000</v>
      </c>
    </row>
    <row r="3297" spans="1:9">
      <c r="A3297" s="4" t="s">
        <v>125</v>
      </c>
      <c r="B3297" s="4" t="s">
        <v>126</v>
      </c>
      <c r="C3297" s="5">
        <v>2004</v>
      </c>
      <c r="D3297" s="4">
        <v>0</v>
      </c>
      <c r="E3297" s="4">
        <v>232000000</v>
      </c>
      <c r="F3297" s="4" t="str">
        <f>_xlfn.LET(_xlpm.r, _xlfn.XLOOKUP(Clean_Data[[#This Row],[Country_Code]], Metadata_Country!$A:$A, Metadata_Country!$B:$B, "Unknown"), IF(OR(_xlpm.r=0, _xlpm.r=""), "Regional Aggregate", _xlpm.r))</f>
        <v>Europe &amp; Central Asia</v>
      </c>
      <c r="G3297" s="4" t="str">
        <f>_xlfn.LET(_xlpm.ig, _xlfn.XLOOKUP(Clean_Data[[#This Row],[Country_Code]], Metadata_Country!$A:$A, Metadata_Country!$C:$C, "Unknown"), IF(OR(_xlpm.ig=0, _xlpm.ig=""), "Regional Aggregate", _xlpm.ig))</f>
        <v>High income</v>
      </c>
      <c r="H3297" s="4">
        <f>Clean_Data[[#This Row],[Exports_TIV]] - Clean_Data[[#This Row],[Imports_TIV]]</f>
        <v>-232000000</v>
      </c>
      <c r="I3297" s="4">
        <f>Clean_Data[[#This Row],[Exports_TIV]] + Clean_Data[[#This Row],[Imports_TIV]]</f>
        <v>232000000</v>
      </c>
    </row>
    <row r="3298" spans="1:9">
      <c r="A3298" s="4" t="s">
        <v>121</v>
      </c>
      <c r="B3298" s="4" t="s">
        <v>122</v>
      </c>
      <c r="C3298" s="5">
        <v>2004</v>
      </c>
      <c r="D3298" s="4">
        <v>0</v>
      </c>
      <c r="E3298" s="4">
        <v>4000000</v>
      </c>
      <c r="F3298" s="4" t="str">
        <f>_xlfn.LET(_xlpm.r, _xlfn.XLOOKUP(Clean_Data[[#This Row],[Country_Code]], Metadata_Country!$A:$A, Metadata_Country!$B:$B, "Unknown"), IF(OR(_xlpm.r=0, _xlpm.r=""), "Regional Aggregate", _xlpm.r))</f>
        <v>Middle East &amp; North Africa</v>
      </c>
      <c r="G3298" s="4" t="str">
        <f>_xlfn.LET(_xlpm.ig, _xlfn.XLOOKUP(Clean_Data[[#This Row],[Country_Code]], Metadata_Country!$A:$A, Metadata_Country!$C:$C, "Unknown"), IF(OR(_xlpm.ig=0, _xlpm.ig=""), "Regional Aggregate", _xlpm.ig))</f>
        <v>Lower middle income</v>
      </c>
      <c r="H3298" s="4">
        <f>Clean_Data[[#This Row],[Exports_TIV]] - Clean_Data[[#This Row],[Imports_TIV]]</f>
        <v>-4000000</v>
      </c>
      <c r="I3298" s="4">
        <f>Clean_Data[[#This Row],[Exports_TIV]] + Clean_Data[[#This Row],[Imports_TIV]]</f>
        <v>4000000</v>
      </c>
    </row>
    <row r="3299" spans="1:9">
      <c r="A3299" s="4" t="s">
        <v>127</v>
      </c>
      <c r="B3299" s="4" t="s">
        <v>128</v>
      </c>
      <c r="C3299" s="5">
        <v>2004</v>
      </c>
      <c r="D3299" s="4">
        <v>0</v>
      </c>
      <c r="E3299" s="4">
        <v>36000000</v>
      </c>
      <c r="F3299" s="4" t="str">
        <f>_xlfn.LET(_xlpm.r, _xlfn.XLOOKUP(Clean_Data[[#This Row],[Country_Code]], Metadata_Country!$A:$A, Metadata_Country!$B:$B, "Unknown"), IF(OR(_xlpm.r=0, _xlpm.r=""), "Regional Aggregate", _xlpm.r))</f>
        <v>Latin America &amp; Caribbean</v>
      </c>
      <c r="G3299" s="4" t="str">
        <f>_xlfn.LET(_xlpm.ig, _xlfn.XLOOKUP(Clean_Data[[#This Row],[Country_Code]], Metadata_Country!$A:$A, Metadata_Country!$C:$C, "Unknown"), IF(OR(_xlpm.ig=0, _xlpm.ig=""), "Regional Aggregate", _xlpm.ig))</f>
        <v>Upper middle income</v>
      </c>
      <c r="H3299" s="4">
        <f>Clean_Data[[#This Row],[Exports_TIV]] - Clean_Data[[#This Row],[Imports_TIV]]</f>
        <v>-36000000</v>
      </c>
      <c r="I3299" s="4">
        <f>Clean_Data[[#This Row],[Exports_TIV]] + Clean_Data[[#This Row],[Imports_TIV]]</f>
        <v>36000000</v>
      </c>
    </row>
    <row r="3300" spans="1:9">
      <c r="A3300" s="4" t="s">
        <v>133</v>
      </c>
      <c r="B3300" s="4" t="s">
        <v>134</v>
      </c>
      <c r="C3300" s="5">
        <v>2004</v>
      </c>
      <c r="D3300" s="4">
        <v>0</v>
      </c>
      <c r="E3300" s="4">
        <v>7750000000</v>
      </c>
      <c r="F3300" s="4" t="str">
        <f>_xlfn.LET(_xlpm.r, _xlfn.XLOOKUP(Clean_Data[[#This Row],[Country_Code]], Metadata_Country!$A:$A, Metadata_Country!$B:$B, "Unknown"), IF(OR(_xlpm.r=0, _xlpm.r=""), "Regional Aggregate", _xlpm.r))</f>
        <v>Regional Aggregate</v>
      </c>
      <c r="G3300" s="4" t="str">
        <f>_xlfn.LET(_xlpm.ig, _xlfn.XLOOKUP(Clean_Data[[#This Row],[Country_Code]], Metadata_Country!$A:$A, Metadata_Country!$C:$C, "Unknown"), IF(OR(_xlpm.ig=0, _xlpm.ig=""), "Regional Aggregate", _xlpm.ig))</f>
        <v>Regional Aggregate</v>
      </c>
      <c r="H3300" s="4">
        <f>Clean_Data[[#This Row],[Exports_TIV]] - Clean_Data[[#This Row],[Imports_TIV]]</f>
        <v>-7750000000</v>
      </c>
      <c r="I3300" s="4">
        <f>Clean_Data[[#This Row],[Exports_TIV]] + Clean_Data[[#This Row],[Imports_TIV]]</f>
        <v>7750000000</v>
      </c>
    </row>
    <row r="3301" spans="1:9">
      <c r="A3301" s="4" t="s">
        <v>135</v>
      </c>
      <c r="B3301" s="4" t="s">
        <v>136</v>
      </c>
      <c r="C3301" s="5">
        <v>2004</v>
      </c>
      <c r="D3301" s="4">
        <v>0</v>
      </c>
      <c r="E3301" s="4">
        <v>6744000000</v>
      </c>
      <c r="F3301" s="4" t="str">
        <f>_xlfn.LET(_xlpm.r, _xlfn.XLOOKUP(Clean_Data[[#This Row],[Country_Code]], Metadata_Country!$A:$A, Metadata_Country!$B:$B, "Unknown"), IF(OR(_xlpm.r=0, _xlpm.r=""), "Regional Aggregate", _xlpm.r))</f>
        <v>Regional Aggregate</v>
      </c>
      <c r="G3301" s="4" t="str">
        <f>_xlfn.LET(_xlpm.ig, _xlfn.XLOOKUP(Clean_Data[[#This Row],[Country_Code]], Metadata_Country!$A:$A, Metadata_Country!$C:$C, "Unknown"), IF(OR(_xlpm.ig=0, _xlpm.ig=""), "Regional Aggregate", _xlpm.ig))</f>
        <v>Regional Aggregate</v>
      </c>
      <c r="H3301" s="4">
        <f>Clean_Data[[#This Row],[Exports_TIV]] - Clean_Data[[#This Row],[Imports_TIV]]</f>
        <v>-6744000000</v>
      </c>
      <c r="I3301" s="4">
        <f>Clean_Data[[#This Row],[Exports_TIV]] + Clean_Data[[#This Row],[Imports_TIV]]</f>
        <v>6744000000</v>
      </c>
    </row>
    <row r="3302" spans="1:9">
      <c r="A3302" s="4" t="s">
        <v>131</v>
      </c>
      <c r="B3302" s="4" t="s">
        <v>132</v>
      </c>
      <c r="C3302" s="5">
        <v>2004</v>
      </c>
      <c r="D3302" s="4">
        <v>484000000</v>
      </c>
      <c r="E3302" s="4">
        <v>4052000000</v>
      </c>
      <c r="F3302" s="4" t="str">
        <f>_xlfn.LET(_xlpm.r, _xlfn.XLOOKUP(Clean_Data[[#This Row],[Country_Code]], Metadata_Country!$A:$A, Metadata_Country!$B:$B, "Unknown"), IF(OR(_xlpm.r=0, _xlpm.r=""), "Regional Aggregate", _xlpm.r))</f>
        <v>Regional Aggregate</v>
      </c>
      <c r="G3302" s="4" t="str">
        <f>_xlfn.LET(_xlpm.ig, _xlfn.XLOOKUP(Clean_Data[[#This Row],[Country_Code]], Metadata_Country!$A:$A, Metadata_Country!$C:$C, "Unknown"), IF(OR(_xlpm.ig=0, _xlpm.ig=""), "Regional Aggregate", _xlpm.ig))</f>
        <v>Regional Aggregate</v>
      </c>
      <c r="H3302" s="4">
        <f>Clean_Data[[#This Row],[Exports_TIV]] - Clean_Data[[#This Row],[Imports_TIV]]</f>
        <v>-3568000000</v>
      </c>
      <c r="I3302" s="4">
        <f>Clean_Data[[#This Row],[Exports_TIV]] + Clean_Data[[#This Row],[Imports_TIV]]</f>
        <v>4536000000</v>
      </c>
    </row>
    <row r="3303" spans="1:9">
      <c r="A3303" s="4" t="s">
        <v>469</v>
      </c>
      <c r="B3303" s="4" t="s">
        <v>470</v>
      </c>
      <c r="C3303" s="5">
        <v>2004</v>
      </c>
      <c r="D3303" s="4">
        <v>442000000</v>
      </c>
      <c r="E3303" s="4">
        <v>4044000000</v>
      </c>
      <c r="F3303" s="4" t="str">
        <f>_xlfn.LET(_xlpm.r, _xlfn.XLOOKUP(Clean_Data[[#This Row],[Country_Code]], Metadata_Country!$A:$A, Metadata_Country!$B:$B, "Unknown"), IF(OR(_xlpm.r=0, _xlpm.r=""), "Regional Aggregate", _xlpm.r))</f>
        <v>Regional Aggregate</v>
      </c>
      <c r="G3303" s="4" t="str">
        <f>_xlfn.LET(_xlpm.ig, _xlfn.XLOOKUP(Clean_Data[[#This Row],[Country_Code]], Metadata_Country!$A:$A, Metadata_Country!$C:$C, "Unknown"), IF(OR(_xlpm.ig=0, _xlpm.ig=""), "Regional Aggregate", _xlpm.ig))</f>
        <v>Regional Aggregate</v>
      </c>
      <c r="H3303" s="4">
        <f>Clean_Data[[#This Row],[Exports_TIV]] - Clean_Data[[#This Row],[Imports_TIV]]</f>
        <v>-3602000000</v>
      </c>
      <c r="I3303" s="4">
        <f>Clean_Data[[#This Row],[Exports_TIV]] + Clean_Data[[#This Row],[Imports_TIV]]</f>
        <v>4486000000</v>
      </c>
    </row>
    <row r="3304" spans="1:9">
      <c r="A3304" s="4" t="s">
        <v>143</v>
      </c>
      <c r="B3304" s="4" t="s">
        <v>144</v>
      </c>
      <c r="C3304" s="5">
        <v>2004</v>
      </c>
      <c r="D3304" s="4">
        <v>0</v>
      </c>
      <c r="E3304" s="4">
        <v>660000000</v>
      </c>
      <c r="F3304" s="4" t="str">
        <f>_xlfn.LET(_xlpm.r, _xlfn.XLOOKUP(Clean_Data[[#This Row],[Country_Code]], Metadata_Country!$A:$A, Metadata_Country!$B:$B, "Unknown"), IF(OR(_xlpm.r=0, _xlpm.r=""), "Regional Aggregate", _xlpm.r))</f>
        <v>Middle East &amp; North Africa</v>
      </c>
      <c r="G3304" s="4" t="str">
        <f>_xlfn.LET(_xlpm.ig, _xlfn.XLOOKUP(Clean_Data[[#This Row],[Country_Code]], Metadata_Country!$A:$A, Metadata_Country!$C:$C, "Unknown"), IF(OR(_xlpm.ig=0, _xlpm.ig=""), "Regional Aggregate", _xlpm.ig))</f>
        <v>Lower middle income</v>
      </c>
      <c r="H3304" s="4">
        <f>Clean_Data[[#This Row],[Exports_TIV]] - Clean_Data[[#This Row],[Imports_TIV]]</f>
        <v>-660000000</v>
      </c>
      <c r="I3304" s="4">
        <f>Clean_Data[[#This Row],[Exports_TIV]] + Clean_Data[[#This Row],[Imports_TIV]]</f>
        <v>660000000</v>
      </c>
    </row>
    <row r="3305" spans="1:9">
      <c r="A3305" s="4" t="s">
        <v>185</v>
      </c>
      <c r="B3305" s="4" t="s">
        <v>186</v>
      </c>
      <c r="C3305" s="5">
        <v>2004</v>
      </c>
      <c r="D3305" s="4">
        <v>0</v>
      </c>
      <c r="E3305" s="4">
        <v>7000000</v>
      </c>
      <c r="F3305" s="4" t="str">
        <f>_xlfn.LET(_xlpm.r, _xlfn.XLOOKUP(Clean_Data[[#This Row],[Country_Code]], Metadata_Country!$A:$A, Metadata_Country!$B:$B, "Unknown"), IF(OR(_xlpm.r=0, _xlpm.r=""), "Regional Aggregate", _xlpm.r))</f>
        <v>Sub-Saharan Africa</v>
      </c>
      <c r="G3305" s="4" t="str">
        <f>_xlfn.LET(_xlpm.ig, _xlfn.XLOOKUP(Clean_Data[[#This Row],[Country_Code]], Metadata_Country!$A:$A, Metadata_Country!$C:$C, "Unknown"), IF(OR(_xlpm.ig=0, _xlpm.ig=""), "Regional Aggregate", _xlpm.ig))</f>
        <v>Upper middle income</v>
      </c>
      <c r="H3305" s="4">
        <f>Clean_Data[[#This Row],[Exports_TIV]] - Clean_Data[[#This Row],[Imports_TIV]]</f>
        <v>-7000000</v>
      </c>
      <c r="I3305" s="4">
        <f>Clean_Data[[#This Row],[Exports_TIV]] + Clean_Data[[#This Row],[Imports_TIV]]</f>
        <v>7000000</v>
      </c>
    </row>
    <row r="3306" spans="1:9">
      <c r="A3306" s="4" t="s">
        <v>147</v>
      </c>
      <c r="B3306" s="4" t="s">
        <v>148</v>
      </c>
      <c r="C3306" s="5">
        <v>2004</v>
      </c>
      <c r="D3306" s="4">
        <v>0</v>
      </c>
      <c r="E3306" s="4">
        <v>80000000</v>
      </c>
      <c r="F3306" s="4" t="str">
        <f>_xlfn.LET(_xlpm.r, _xlfn.XLOOKUP(Clean_Data[[#This Row],[Country_Code]], Metadata_Country!$A:$A, Metadata_Country!$B:$B, "Unknown"), IF(OR(_xlpm.r=0, _xlpm.r=""), "Regional Aggregate", _xlpm.r))</f>
        <v>Sub-Saharan Africa</v>
      </c>
      <c r="G3306" s="4" t="str">
        <f>_xlfn.LET(_xlpm.ig, _xlfn.XLOOKUP(Clean_Data[[#This Row],[Country_Code]], Metadata_Country!$A:$A, Metadata_Country!$C:$C, "Unknown"), IF(OR(_xlpm.ig=0, _xlpm.ig=""), "Regional Aggregate", _xlpm.ig))</f>
        <v>Low income</v>
      </c>
      <c r="H3306" s="4">
        <f>Clean_Data[[#This Row],[Exports_TIV]] - Clean_Data[[#This Row],[Imports_TIV]]</f>
        <v>-80000000</v>
      </c>
      <c r="I3306" s="4">
        <f>Clean_Data[[#This Row],[Exports_TIV]] + Clean_Data[[#This Row],[Imports_TIV]]</f>
        <v>80000000</v>
      </c>
    </row>
    <row r="3307" spans="1:9">
      <c r="A3307" s="4" t="s">
        <v>151</v>
      </c>
      <c r="B3307" s="4" t="s">
        <v>152</v>
      </c>
      <c r="C3307" s="5">
        <v>2004</v>
      </c>
      <c r="D3307" s="4">
        <v>0</v>
      </c>
      <c r="E3307" s="4">
        <v>11000000</v>
      </c>
      <c r="F3307" s="4" t="str">
        <f>_xlfn.LET(_xlpm.r, _xlfn.XLOOKUP(Clean_Data[[#This Row],[Country_Code]], Metadata_Country!$A:$A, Metadata_Country!$B:$B, "Unknown"), IF(OR(_xlpm.r=0, _xlpm.r=""), "Regional Aggregate", _xlpm.r))</f>
        <v>Europe &amp; Central Asia</v>
      </c>
      <c r="G3307" s="4" t="str">
        <f>_xlfn.LET(_xlpm.ig, _xlfn.XLOOKUP(Clean_Data[[#This Row],[Country_Code]], Metadata_Country!$A:$A, Metadata_Country!$C:$C, "Unknown"), IF(OR(_xlpm.ig=0, _xlpm.ig=""), "Regional Aggregate", _xlpm.ig))</f>
        <v>High income</v>
      </c>
      <c r="H3307" s="4">
        <f>Clean_Data[[#This Row],[Exports_TIV]] - Clean_Data[[#This Row],[Imports_TIV]]</f>
        <v>-11000000</v>
      </c>
      <c r="I3307" s="4">
        <f>Clean_Data[[#This Row],[Exports_TIV]] + Clean_Data[[#This Row],[Imports_TIV]]</f>
        <v>11000000</v>
      </c>
    </row>
    <row r="3308" spans="1:9">
      <c r="A3308" s="4" t="s">
        <v>153</v>
      </c>
      <c r="B3308" s="4" t="s">
        <v>154</v>
      </c>
      <c r="C3308" s="5">
        <v>2004</v>
      </c>
      <c r="D3308" s="4">
        <v>0</v>
      </c>
      <c r="E3308" s="4">
        <v>239000000</v>
      </c>
      <c r="F3308" s="4" t="str">
        <f>_xlfn.LET(_xlpm.r, _xlfn.XLOOKUP(Clean_Data[[#This Row],[Country_Code]], Metadata_Country!$A:$A, Metadata_Country!$B:$B, "Unknown"), IF(OR(_xlpm.r=0, _xlpm.r=""), "Regional Aggregate", _xlpm.r))</f>
        <v>Sub-Saharan Africa</v>
      </c>
      <c r="G3308" s="4" t="str">
        <f>_xlfn.LET(_xlpm.ig, _xlfn.XLOOKUP(Clean_Data[[#This Row],[Country_Code]], Metadata_Country!$A:$A, Metadata_Country!$C:$C, "Unknown"), IF(OR(_xlpm.ig=0, _xlpm.ig=""), "Regional Aggregate", _xlpm.ig))</f>
        <v>Low income</v>
      </c>
      <c r="H3308" s="4">
        <f>Clean_Data[[#This Row],[Exports_TIV]] - Clean_Data[[#This Row],[Imports_TIV]]</f>
        <v>-239000000</v>
      </c>
      <c r="I3308" s="4">
        <f>Clean_Data[[#This Row],[Exports_TIV]] + Clean_Data[[#This Row],[Imports_TIV]]</f>
        <v>239000000</v>
      </c>
    </row>
    <row r="3309" spans="1:9">
      <c r="A3309" s="4" t="s">
        <v>145</v>
      </c>
      <c r="B3309" s="4" t="s">
        <v>146</v>
      </c>
      <c r="C3309" s="5">
        <v>2004</v>
      </c>
      <c r="D3309" s="4">
        <v>3900000000</v>
      </c>
      <c r="E3309" s="4">
        <v>2709000000</v>
      </c>
      <c r="F3309" s="4" t="str">
        <f>_xlfn.LET(_xlpm.r, _xlfn.XLOOKUP(Clean_Data[[#This Row],[Country_Code]], Metadata_Country!$A:$A, Metadata_Country!$B:$B, "Unknown"), IF(OR(_xlpm.r=0, _xlpm.r=""), "Regional Aggregate", _xlpm.r))</f>
        <v>Regional Aggregate</v>
      </c>
      <c r="G3309" s="4" t="str">
        <f>_xlfn.LET(_xlpm.ig, _xlfn.XLOOKUP(Clean_Data[[#This Row],[Country_Code]], Metadata_Country!$A:$A, Metadata_Country!$C:$C, "Unknown"), IF(OR(_xlpm.ig=0, _xlpm.ig=""), "Regional Aggregate", _xlpm.ig))</f>
        <v>Regional Aggregate</v>
      </c>
      <c r="H3309" s="4">
        <f>Clean_Data[[#This Row],[Exports_TIV]] - Clean_Data[[#This Row],[Imports_TIV]]</f>
        <v>1191000000</v>
      </c>
      <c r="I3309" s="4">
        <f>Clean_Data[[#This Row],[Exports_TIV]] + Clean_Data[[#This Row],[Imports_TIV]]</f>
        <v>6609000000</v>
      </c>
    </row>
    <row r="3310" spans="1:9">
      <c r="A3310" s="4" t="s">
        <v>139</v>
      </c>
      <c r="B3310" s="4" t="s">
        <v>140</v>
      </c>
      <c r="C3310" s="5">
        <v>2004</v>
      </c>
      <c r="D3310" s="4">
        <v>12565000000</v>
      </c>
      <c r="E3310" s="4">
        <v>4477000000</v>
      </c>
      <c r="F3310" s="4" t="str">
        <f>_xlfn.LET(_xlpm.r, _xlfn.XLOOKUP(Clean_Data[[#This Row],[Country_Code]], Metadata_Country!$A:$A, Metadata_Country!$B:$B, "Unknown"), IF(OR(_xlpm.r=0, _xlpm.r=""), "Regional Aggregate", _xlpm.r))</f>
        <v>Regional Aggregate</v>
      </c>
      <c r="G3310" s="4" t="str">
        <f>_xlfn.LET(_xlpm.ig, _xlfn.XLOOKUP(Clean_Data[[#This Row],[Country_Code]], Metadata_Country!$A:$A, Metadata_Country!$C:$C, "Unknown"), IF(OR(_xlpm.ig=0, _xlpm.ig=""), "Regional Aggregate", _xlpm.ig))</f>
        <v>Regional Aggregate</v>
      </c>
      <c r="H3310" s="4">
        <f>Clean_Data[[#This Row],[Exports_TIV]] - Clean_Data[[#This Row],[Imports_TIV]]</f>
        <v>8088000000</v>
      </c>
      <c r="I3310" s="4">
        <f>Clean_Data[[#This Row],[Exports_TIV]] + Clean_Data[[#This Row],[Imports_TIV]]</f>
        <v>17042000000</v>
      </c>
    </row>
    <row r="3311" spans="1:9">
      <c r="A3311" s="4" t="s">
        <v>137</v>
      </c>
      <c r="B3311" s="4" t="s">
        <v>138</v>
      </c>
      <c r="C3311" s="5">
        <v>2004</v>
      </c>
      <c r="D3311" s="4">
        <v>393000000</v>
      </c>
      <c r="E3311" s="4">
        <v>488000000</v>
      </c>
      <c r="F3311" s="4" t="str">
        <f>_xlfn.LET(_xlpm.r, _xlfn.XLOOKUP(Clean_Data[[#This Row],[Country_Code]], Metadata_Country!$A:$A, Metadata_Country!$B:$B, "Unknown"), IF(OR(_xlpm.r=0, _xlpm.r=""), "Regional Aggregate", _xlpm.r))</f>
        <v>Regional Aggregate</v>
      </c>
      <c r="G3311" s="4" t="str">
        <f>_xlfn.LET(_xlpm.ig, _xlfn.XLOOKUP(Clean_Data[[#This Row],[Country_Code]], Metadata_Country!$A:$A, Metadata_Country!$C:$C, "Unknown"), IF(OR(_xlpm.ig=0, _xlpm.ig=""), "Regional Aggregate", _xlpm.ig))</f>
        <v>Regional Aggregate</v>
      </c>
      <c r="H3311" s="4">
        <f>Clean_Data[[#This Row],[Exports_TIV]] - Clean_Data[[#This Row],[Imports_TIV]]</f>
        <v>-95000000</v>
      </c>
      <c r="I3311" s="4">
        <f>Clean_Data[[#This Row],[Exports_TIV]] + Clean_Data[[#This Row],[Imports_TIV]]</f>
        <v>881000000</v>
      </c>
    </row>
    <row r="3312" spans="1:9">
      <c r="A3312" s="4" t="s">
        <v>471</v>
      </c>
      <c r="B3312" s="4" t="s">
        <v>472</v>
      </c>
      <c r="C3312" s="5">
        <v>2004</v>
      </c>
      <c r="D3312" s="4">
        <v>6813000000</v>
      </c>
      <c r="E3312" s="4">
        <v>0</v>
      </c>
      <c r="F3312" s="4" t="str">
        <f>_xlfn.LET(_xlpm.r, _xlfn.XLOOKUP(Clean_Data[[#This Row],[Country_Code]], Metadata_Country!$A:$A, Metadata_Country!$B:$B, "Unknown"), IF(OR(_xlpm.r=0, _xlpm.r=""), "Regional Aggregate", _xlpm.r))</f>
        <v>Regional Aggregate</v>
      </c>
      <c r="G3312" s="4" t="str">
        <f>_xlfn.LET(_xlpm.ig, _xlfn.XLOOKUP(Clean_Data[[#This Row],[Country_Code]], Metadata_Country!$A:$A, Metadata_Country!$C:$C, "Unknown"), IF(OR(_xlpm.ig=0, _xlpm.ig=""), "Regional Aggregate", _xlpm.ig))</f>
        <v>Regional Aggregate</v>
      </c>
      <c r="H3312" s="4">
        <f>Clean_Data[[#This Row],[Exports_TIV]] - Clean_Data[[#This Row],[Imports_TIV]]</f>
        <v>6813000000</v>
      </c>
      <c r="I3312" s="4">
        <f>Clean_Data[[#This Row],[Exports_TIV]] + Clean_Data[[#This Row],[Imports_TIV]]</f>
        <v>6813000000</v>
      </c>
    </row>
    <row r="3313" spans="1:9">
      <c r="A3313" s="4" t="s">
        <v>155</v>
      </c>
      <c r="B3313" s="4" t="s">
        <v>156</v>
      </c>
      <c r="C3313" s="5">
        <v>2004</v>
      </c>
      <c r="D3313" s="4">
        <v>4246000000</v>
      </c>
      <c r="E3313" s="4">
        <v>3572000000</v>
      </c>
      <c r="F3313" s="4" t="str">
        <f>_xlfn.LET(_xlpm.r, _xlfn.XLOOKUP(Clean_Data[[#This Row],[Country_Code]], Metadata_Country!$A:$A, Metadata_Country!$B:$B, "Unknown"), IF(OR(_xlpm.r=0, _xlpm.r=""), "Regional Aggregate", _xlpm.r))</f>
        <v>Regional Aggregate</v>
      </c>
      <c r="G3313" s="4" t="str">
        <f>_xlfn.LET(_xlpm.ig, _xlfn.XLOOKUP(Clean_Data[[#This Row],[Country_Code]], Metadata_Country!$A:$A, Metadata_Country!$C:$C, "Unknown"), IF(OR(_xlpm.ig=0, _xlpm.ig=""), "Regional Aggregate", _xlpm.ig))</f>
        <v>Regional Aggregate</v>
      </c>
      <c r="H3313" s="4">
        <f>Clean_Data[[#This Row],[Exports_TIV]] - Clean_Data[[#This Row],[Imports_TIV]]</f>
        <v>674000000</v>
      </c>
      <c r="I3313" s="4">
        <f>Clean_Data[[#This Row],[Exports_TIV]] + Clean_Data[[#This Row],[Imports_TIV]]</f>
        <v>7818000000</v>
      </c>
    </row>
    <row r="3314" spans="1:9">
      <c r="A3314" s="4" t="s">
        <v>159</v>
      </c>
      <c r="B3314" s="4" t="s">
        <v>160</v>
      </c>
      <c r="C3314" s="5">
        <v>2004</v>
      </c>
      <c r="D3314" s="4">
        <v>28000000</v>
      </c>
      <c r="E3314" s="4">
        <v>67000000</v>
      </c>
      <c r="F3314" s="4" t="str">
        <f>_xlfn.LET(_xlpm.r, _xlfn.XLOOKUP(Clean_Data[[#This Row],[Country_Code]], Metadata_Country!$A:$A, Metadata_Country!$B:$B, "Unknown"), IF(OR(_xlpm.r=0, _xlpm.r=""), "Regional Aggregate", _xlpm.r))</f>
        <v>Europe &amp; Central Asia</v>
      </c>
      <c r="G3314" s="4" t="str">
        <f>_xlfn.LET(_xlpm.ig, _xlfn.XLOOKUP(Clean_Data[[#This Row],[Country_Code]], Metadata_Country!$A:$A, Metadata_Country!$C:$C, "Unknown"), IF(OR(_xlpm.ig=0, _xlpm.ig=""), "Regional Aggregate", _xlpm.ig))</f>
        <v>High income</v>
      </c>
      <c r="H3314" s="4">
        <f>Clean_Data[[#This Row],[Exports_TIV]] - Clean_Data[[#This Row],[Imports_TIV]]</f>
        <v>-39000000</v>
      </c>
      <c r="I3314" s="4">
        <f>Clean_Data[[#This Row],[Exports_TIV]] + Clean_Data[[#This Row],[Imports_TIV]]</f>
        <v>95000000</v>
      </c>
    </row>
    <row r="3315" spans="1:9">
      <c r="A3315" s="4" t="s">
        <v>163</v>
      </c>
      <c r="B3315" s="4" t="s">
        <v>164</v>
      </c>
      <c r="C3315" s="5">
        <v>2004</v>
      </c>
      <c r="D3315" s="4">
        <v>2117000000</v>
      </c>
      <c r="E3315" s="4">
        <v>93000000</v>
      </c>
      <c r="F3315" s="4" t="str">
        <f>_xlfn.LET(_xlpm.r, _xlfn.XLOOKUP(Clean_Data[[#This Row],[Country_Code]], Metadata_Country!$A:$A, Metadata_Country!$B:$B, "Unknown"), IF(OR(_xlpm.r=0, _xlpm.r=""), "Regional Aggregate", _xlpm.r))</f>
        <v>Europe &amp; Central Asia</v>
      </c>
      <c r="G3315" s="4" t="str">
        <f>_xlfn.LET(_xlpm.ig, _xlfn.XLOOKUP(Clean_Data[[#This Row],[Country_Code]], Metadata_Country!$A:$A, Metadata_Country!$C:$C, "Unknown"), IF(OR(_xlpm.ig=0, _xlpm.ig=""), "Regional Aggregate", _xlpm.ig))</f>
        <v>High income</v>
      </c>
      <c r="H3315" s="4">
        <f>Clean_Data[[#This Row],[Exports_TIV]] - Clean_Data[[#This Row],[Imports_TIV]]</f>
        <v>2024000000</v>
      </c>
      <c r="I3315" s="4">
        <f>Clean_Data[[#This Row],[Exports_TIV]] + Clean_Data[[#This Row],[Imports_TIV]]</f>
        <v>2210000000</v>
      </c>
    </row>
    <row r="3316" spans="1:9">
      <c r="A3316" s="4" t="s">
        <v>169</v>
      </c>
      <c r="B3316" s="4" t="s">
        <v>170</v>
      </c>
      <c r="C3316" s="5">
        <v>2004</v>
      </c>
      <c r="D3316" s="4">
        <v>0</v>
      </c>
      <c r="E3316" s="4">
        <v>7000000</v>
      </c>
      <c r="F3316" s="4" t="str">
        <f>_xlfn.LET(_xlpm.r, _xlfn.XLOOKUP(Clean_Data[[#This Row],[Country_Code]], Metadata_Country!$A:$A, Metadata_Country!$B:$B, "Unknown"), IF(OR(_xlpm.r=0, _xlpm.r=""), "Regional Aggregate", _xlpm.r))</f>
        <v>Sub-Saharan Africa</v>
      </c>
      <c r="G3316" s="4" t="str">
        <f>_xlfn.LET(_xlpm.ig, _xlfn.XLOOKUP(Clean_Data[[#This Row],[Country_Code]], Metadata_Country!$A:$A, Metadata_Country!$C:$C, "Unknown"), IF(OR(_xlpm.ig=0, _xlpm.ig=""), "Regional Aggregate", _xlpm.ig))</f>
        <v>Upper middle income</v>
      </c>
      <c r="H3316" s="4">
        <f>Clean_Data[[#This Row],[Exports_TIV]] - Clean_Data[[#This Row],[Imports_TIV]]</f>
        <v>-7000000</v>
      </c>
      <c r="I3316" s="4">
        <f>Clean_Data[[#This Row],[Exports_TIV]] + Clean_Data[[#This Row],[Imports_TIV]]</f>
        <v>7000000</v>
      </c>
    </row>
    <row r="3317" spans="1:9">
      <c r="A3317" s="4" t="s">
        <v>181</v>
      </c>
      <c r="B3317" s="4" t="s">
        <v>182</v>
      </c>
      <c r="C3317" s="5">
        <v>2004</v>
      </c>
      <c r="D3317" s="4">
        <v>0</v>
      </c>
      <c r="E3317" s="4">
        <v>5000000</v>
      </c>
      <c r="F3317" s="4" t="str">
        <f>_xlfn.LET(_xlpm.r, _xlfn.XLOOKUP(Clean_Data[[#This Row],[Country_Code]], Metadata_Country!$A:$A, Metadata_Country!$B:$B, "Unknown"), IF(OR(_xlpm.r=0, _xlpm.r=""), "Regional Aggregate", _xlpm.r))</f>
        <v>Sub-Saharan Africa</v>
      </c>
      <c r="G3317" s="4" t="str">
        <f>_xlfn.LET(_xlpm.ig, _xlfn.XLOOKUP(Clean_Data[[#This Row],[Country_Code]], Metadata_Country!$A:$A, Metadata_Country!$C:$C, "Unknown"), IF(OR(_xlpm.ig=0, _xlpm.ig=""), "Regional Aggregate", _xlpm.ig))</f>
        <v>Low income</v>
      </c>
      <c r="H3317" s="4">
        <f>Clean_Data[[#This Row],[Exports_TIV]] - Clean_Data[[#This Row],[Imports_TIV]]</f>
        <v>-5000000</v>
      </c>
      <c r="I3317" s="4">
        <f>Clean_Data[[#This Row],[Exports_TIV]] + Clean_Data[[#This Row],[Imports_TIV]]</f>
        <v>5000000</v>
      </c>
    </row>
    <row r="3318" spans="1:9">
      <c r="A3318" s="4" t="s">
        <v>173</v>
      </c>
      <c r="B3318" s="4" t="s">
        <v>174</v>
      </c>
      <c r="C3318" s="5">
        <v>2004</v>
      </c>
      <c r="D3318" s="4">
        <v>16000000</v>
      </c>
      <c r="E3318" s="4">
        <v>38000000</v>
      </c>
      <c r="F3318" s="4" t="str">
        <f>_xlfn.LET(_xlpm.r, _xlfn.XLOOKUP(Clean_Data[[#This Row],[Country_Code]], Metadata_Country!$A:$A, Metadata_Country!$B:$B, "Unknown"), IF(OR(_xlpm.r=0, _xlpm.r=""), "Regional Aggregate", _xlpm.r))</f>
        <v>Europe &amp; Central Asia</v>
      </c>
      <c r="G3318" s="4" t="str">
        <f>_xlfn.LET(_xlpm.ig, _xlfn.XLOOKUP(Clean_Data[[#This Row],[Country_Code]], Metadata_Country!$A:$A, Metadata_Country!$C:$C, "Unknown"), IF(OR(_xlpm.ig=0, _xlpm.ig=""), "Regional Aggregate", _xlpm.ig))</f>
        <v>Upper middle income</v>
      </c>
      <c r="H3318" s="4">
        <f>Clean_Data[[#This Row],[Exports_TIV]] - Clean_Data[[#This Row],[Imports_TIV]]</f>
        <v>-22000000</v>
      </c>
      <c r="I3318" s="4">
        <f>Clean_Data[[#This Row],[Exports_TIV]] + Clean_Data[[#This Row],[Imports_TIV]]</f>
        <v>54000000</v>
      </c>
    </row>
    <row r="3319" spans="1:9">
      <c r="A3319" s="4" t="s">
        <v>119</v>
      </c>
      <c r="B3319" s="4" t="s">
        <v>120</v>
      </c>
      <c r="C3319" s="5">
        <v>2004</v>
      </c>
      <c r="D3319" s="4">
        <v>1090000000</v>
      </c>
      <c r="E3319" s="4">
        <v>245000000</v>
      </c>
      <c r="F3319" s="4" t="str">
        <f>_xlfn.LET(_xlpm.r, _xlfn.XLOOKUP(Clean_Data[[#This Row],[Country_Code]], Metadata_Country!$A:$A, Metadata_Country!$B:$B, "Unknown"), IF(OR(_xlpm.r=0, _xlpm.r=""), "Regional Aggregate", _xlpm.r))</f>
        <v>Europe &amp; Central Asia</v>
      </c>
      <c r="G3319" s="4" t="str">
        <f>_xlfn.LET(_xlpm.ig, _xlfn.XLOOKUP(Clean_Data[[#This Row],[Country_Code]], Metadata_Country!$A:$A, Metadata_Country!$C:$C, "Unknown"), IF(OR(_xlpm.ig=0, _xlpm.ig=""), "Regional Aggregate", _xlpm.ig))</f>
        <v>High income</v>
      </c>
      <c r="H3319" s="4">
        <f>Clean_Data[[#This Row],[Exports_TIV]] - Clean_Data[[#This Row],[Imports_TIV]]</f>
        <v>845000000</v>
      </c>
      <c r="I3319" s="4">
        <f>Clean_Data[[#This Row],[Exports_TIV]] + Clean_Data[[#This Row],[Imports_TIV]]</f>
        <v>1335000000</v>
      </c>
    </row>
    <row r="3320" spans="1:9">
      <c r="A3320" s="4" t="s">
        <v>175</v>
      </c>
      <c r="B3320" s="4" t="s">
        <v>176</v>
      </c>
      <c r="C3320" s="5">
        <v>2004</v>
      </c>
      <c r="D3320" s="4">
        <v>0</v>
      </c>
      <c r="E3320" s="4">
        <v>37000000</v>
      </c>
      <c r="F3320" s="4" t="str">
        <f>_xlfn.LET(_xlpm.r, _xlfn.XLOOKUP(Clean_Data[[#This Row],[Country_Code]], Metadata_Country!$A:$A, Metadata_Country!$B:$B, "Unknown"), IF(OR(_xlpm.r=0, _xlpm.r=""), "Regional Aggregate", _xlpm.r))</f>
        <v>Sub-Saharan Africa</v>
      </c>
      <c r="G3320" s="4" t="str">
        <f>_xlfn.LET(_xlpm.ig, _xlfn.XLOOKUP(Clean_Data[[#This Row],[Country_Code]], Metadata_Country!$A:$A, Metadata_Country!$C:$C, "Unknown"), IF(OR(_xlpm.ig=0, _xlpm.ig=""), "Regional Aggregate", _xlpm.ig))</f>
        <v>Lower middle income</v>
      </c>
      <c r="H3320" s="4">
        <f>Clean_Data[[#This Row],[Exports_TIV]] - Clean_Data[[#This Row],[Imports_TIV]]</f>
        <v>-37000000</v>
      </c>
      <c r="I3320" s="4">
        <f>Clean_Data[[#This Row],[Exports_TIV]] + Clean_Data[[#This Row],[Imports_TIV]]</f>
        <v>37000000</v>
      </c>
    </row>
    <row r="3321" spans="1:9">
      <c r="A3321" s="4" t="s">
        <v>187</v>
      </c>
      <c r="B3321" s="4" t="s">
        <v>188</v>
      </c>
      <c r="C3321" s="5">
        <v>2004</v>
      </c>
      <c r="D3321" s="4">
        <v>22000000</v>
      </c>
      <c r="E3321" s="4">
        <v>1098000000</v>
      </c>
      <c r="F3321" s="4" t="str">
        <f>_xlfn.LET(_xlpm.r, _xlfn.XLOOKUP(Clean_Data[[#This Row],[Country_Code]], Metadata_Country!$A:$A, Metadata_Country!$B:$B, "Unknown"), IF(OR(_xlpm.r=0, _xlpm.r=""), "Regional Aggregate", _xlpm.r))</f>
        <v>Europe &amp; Central Asia</v>
      </c>
      <c r="G3321" s="4" t="str">
        <f>_xlfn.LET(_xlpm.ig, _xlfn.XLOOKUP(Clean_Data[[#This Row],[Country_Code]], Metadata_Country!$A:$A, Metadata_Country!$C:$C, "Unknown"), IF(OR(_xlpm.ig=0, _xlpm.ig=""), "Regional Aggregate", _xlpm.ig))</f>
        <v>High income</v>
      </c>
      <c r="H3321" s="4">
        <f>Clean_Data[[#This Row],[Exports_TIV]] - Clean_Data[[#This Row],[Imports_TIV]]</f>
        <v>-1076000000</v>
      </c>
      <c r="I3321" s="4">
        <f>Clean_Data[[#This Row],[Exports_TIV]] + Clean_Data[[#This Row],[Imports_TIV]]</f>
        <v>1120000000</v>
      </c>
    </row>
    <row r="3322" spans="1:9">
      <c r="A3322" s="4" t="s">
        <v>197</v>
      </c>
      <c r="B3322" s="4" t="s">
        <v>198</v>
      </c>
      <c r="C3322" s="5">
        <v>2004</v>
      </c>
      <c r="D3322" s="4">
        <v>0</v>
      </c>
      <c r="E3322" s="4">
        <v>0</v>
      </c>
      <c r="F3322" s="4" t="str">
        <f>_xlfn.LET(_xlpm.r, _xlfn.XLOOKUP(Clean_Data[[#This Row],[Country_Code]], Metadata_Country!$A:$A, Metadata_Country!$B:$B, "Unknown"), IF(OR(_xlpm.r=0, _xlpm.r=""), "Regional Aggregate", _xlpm.r))</f>
        <v>Latin America &amp; Caribbean</v>
      </c>
      <c r="G3322" s="4" t="str">
        <f>_xlfn.LET(_xlpm.ig, _xlfn.XLOOKUP(Clean_Data[[#This Row],[Country_Code]], Metadata_Country!$A:$A, Metadata_Country!$C:$C, "Unknown"), IF(OR(_xlpm.ig=0, _xlpm.ig=""), "Regional Aggregate", _xlpm.ig))</f>
        <v>High income</v>
      </c>
      <c r="H3322" s="4">
        <f>Clean_Data[[#This Row],[Exports_TIV]] - Clean_Data[[#This Row],[Imports_TIV]]</f>
        <v>0</v>
      </c>
      <c r="I3322" s="4">
        <f>Clean_Data[[#This Row],[Exports_TIV]] + Clean_Data[[#This Row],[Imports_TIV]]</f>
        <v>0</v>
      </c>
    </row>
    <row r="3323" spans="1:9">
      <c r="A3323" s="4" t="s">
        <v>199</v>
      </c>
      <c r="B3323" s="4" t="s">
        <v>200</v>
      </c>
      <c r="C3323" s="5">
        <v>2004</v>
      </c>
      <c r="D3323" s="4">
        <v>20084000000</v>
      </c>
      <c r="E3323" s="4">
        <v>10895000000</v>
      </c>
      <c r="F3323" s="4" t="str">
        <f>_xlfn.LET(_xlpm.r, _xlfn.XLOOKUP(Clean_Data[[#This Row],[Country_Code]], Metadata_Country!$A:$A, Metadata_Country!$B:$B, "Unknown"), IF(OR(_xlpm.r=0, _xlpm.r=""), "Regional Aggregate", _xlpm.r))</f>
        <v>Regional Aggregate</v>
      </c>
      <c r="G3323" s="4" t="str">
        <f>_xlfn.LET(_xlpm.ig, _xlfn.XLOOKUP(Clean_Data[[#This Row],[Country_Code]], Metadata_Country!$A:$A, Metadata_Country!$C:$C, "Unknown"), IF(OR(_xlpm.ig=0, _xlpm.ig=""), "Regional Aggregate", _xlpm.ig))</f>
        <v>Regional Aggregate</v>
      </c>
      <c r="H3323" s="4">
        <f>Clean_Data[[#This Row],[Exports_TIV]] - Clean_Data[[#This Row],[Imports_TIV]]</f>
        <v>9189000000</v>
      </c>
      <c r="I3323" s="4">
        <f>Clean_Data[[#This Row],[Exports_TIV]] + Clean_Data[[#This Row],[Imports_TIV]]</f>
        <v>30979000000</v>
      </c>
    </row>
    <row r="3324" spans="1:9">
      <c r="A3324" s="4" t="s">
        <v>211</v>
      </c>
      <c r="B3324" s="4" t="s">
        <v>212</v>
      </c>
      <c r="C3324" s="5">
        <v>2004</v>
      </c>
      <c r="D3324" s="4">
        <v>0</v>
      </c>
      <c r="E3324" s="4">
        <v>72000000</v>
      </c>
      <c r="F3324" s="4" t="str">
        <f>_xlfn.LET(_xlpm.r, _xlfn.XLOOKUP(Clean_Data[[#This Row],[Country_Code]], Metadata_Country!$A:$A, Metadata_Country!$B:$B, "Unknown"), IF(OR(_xlpm.r=0, _xlpm.r=""), "Regional Aggregate", _xlpm.r))</f>
        <v>Europe &amp; Central Asia</v>
      </c>
      <c r="G3324" s="4" t="str">
        <f>_xlfn.LET(_xlpm.ig, _xlfn.XLOOKUP(Clean_Data[[#This Row],[Country_Code]], Metadata_Country!$A:$A, Metadata_Country!$C:$C, "Unknown"), IF(OR(_xlpm.ig=0, _xlpm.ig=""), "Regional Aggregate", _xlpm.ig))</f>
        <v>High income</v>
      </c>
      <c r="H3324" s="4">
        <f>Clean_Data[[#This Row],[Exports_TIV]] - Clean_Data[[#This Row],[Imports_TIV]]</f>
        <v>-72000000</v>
      </c>
      <c r="I3324" s="4">
        <f>Clean_Data[[#This Row],[Exports_TIV]] + Clean_Data[[#This Row],[Imports_TIV]]</f>
        <v>72000000</v>
      </c>
    </row>
    <row r="3325" spans="1:9">
      <c r="A3325" s="4" t="s">
        <v>213</v>
      </c>
      <c r="B3325" s="4" t="s">
        <v>214</v>
      </c>
      <c r="C3325" s="5">
        <v>2004</v>
      </c>
      <c r="D3325" s="4">
        <v>7421000000</v>
      </c>
      <c r="E3325" s="4">
        <v>9170000000</v>
      </c>
      <c r="F3325" s="4" t="str">
        <f>_xlfn.LET(_xlpm.r, _xlfn.XLOOKUP(Clean_Data[[#This Row],[Country_Code]], Metadata_Country!$A:$A, Metadata_Country!$B:$B, "Unknown"), IF(OR(_xlpm.r=0, _xlpm.r=""), "Regional Aggregate", _xlpm.r))</f>
        <v>Regional Aggregate</v>
      </c>
      <c r="G3325" s="4" t="str">
        <f>_xlfn.LET(_xlpm.ig, _xlfn.XLOOKUP(Clean_Data[[#This Row],[Country_Code]], Metadata_Country!$A:$A, Metadata_Country!$C:$C, "Unknown"), IF(OR(_xlpm.ig=0, _xlpm.ig=""), "Regional Aggregate", _xlpm.ig))</f>
        <v>Regional Aggregate</v>
      </c>
      <c r="H3325" s="4">
        <f>Clean_Data[[#This Row],[Exports_TIV]] - Clean_Data[[#This Row],[Imports_TIV]]</f>
        <v>-1749000000</v>
      </c>
      <c r="I3325" s="4">
        <f>Clean_Data[[#This Row],[Exports_TIV]] + Clean_Data[[#This Row],[Imports_TIV]]</f>
        <v>16591000000</v>
      </c>
    </row>
    <row r="3326" spans="1:9">
      <c r="A3326" s="4" t="s">
        <v>215</v>
      </c>
      <c r="B3326" s="4" t="s">
        <v>216</v>
      </c>
      <c r="C3326" s="5">
        <v>2004</v>
      </c>
      <c r="D3326" s="4">
        <v>0</v>
      </c>
      <c r="E3326" s="4">
        <v>10955000000</v>
      </c>
      <c r="F3326" s="4" t="str">
        <f>_xlfn.LET(_xlpm.r, _xlfn.XLOOKUP(Clean_Data[[#This Row],[Country_Code]], Metadata_Country!$A:$A, Metadata_Country!$B:$B, "Unknown"), IF(OR(_xlpm.r=0, _xlpm.r=""), "Regional Aggregate", _xlpm.r))</f>
        <v>Regional Aggregate</v>
      </c>
      <c r="G3326" s="4" t="str">
        <f>_xlfn.LET(_xlpm.ig, _xlfn.XLOOKUP(Clean_Data[[#This Row],[Country_Code]], Metadata_Country!$A:$A, Metadata_Country!$C:$C, "Unknown"), IF(OR(_xlpm.ig=0, _xlpm.ig=""), "Regional Aggregate", _xlpm.ig))</f>
        <v>Regional Aggregate</v>
      </c>
      <c r="H3326" s="4">
        <f>Clean_Data[[#This Row],[Exports_TIV]] - Clean_Data[[#This Row],[Imports_TIV]]</f>
        <v>-10955000000</v>
      </c>
      <c r="I3326" s="4">
        <f>Clean_Data[[#This Row],[Exports_TIV]] + Clean_Data[[#This Row],[Imports_TIV]]</f>
        <v>10955000000</v>
      </c>
    </row>
    <row r="3327" spans="1:9">
      <c r="A3327" s="4" t="s">
        <v>219</v>
      </c>
      <c r="B3327" s="4" t="s">
        <v>220</v>
      </c>
      <c r="C3327" s="5">
        <v>2004</v>
      </c>
      <c r="D3327" s="4">
        <v>0</v>
      </c>
      <c r="E3327" s="4">
        <v>512000000</v>
      </c>
      <c r="F3327" s="4" t="str">
        <f>_xlfn.LET(_xlpm.r, _xlfn.XLOOKUP(Clean_Data[[#This Row],[Country_Code]], Metadata_Country!$A:$A, Metadata_Country!$B:$B, "Unknown"), IF(OR(_xlpm.r=0, _xlpm.r=""), "Regional Aggregate", _xlpm.r))</f>
        <v>Regional Aggregate</v>
      </c>
      <c r="G3327" s="4" t="str">
        <f>_xlfn.LET(_xlpm.ig, _xlfn.XLOOKUP(Clean_Data[[#This Row],[Country_Code]], Metadata_Country!$A:$A, Metadata_Country!$C:$C, "Unknown"), IF(OR(_xlpm.ig=0, _xlpm.ig=""), "Regional Aggregate", _xlpm.ig))</f>
        <v>Regional Aggregate</v>
      </c>
      <c r="H3327" s="4">
        <f>Clean_Data[[#This Row],[Exports_TIV]] - Clean_Data[[#This Row],[Imports_TIV]]</f>
        <v>-512000000</v>
      </c>
      <c r="I3327" s="4">
        <f>Clean_Data[[#This Row],[Exports_TIV]] + Clean_Data[[#This Row],[Imports_TIV]]</f>
        <v>512000000</v>
      </c>
    </row>
    <row r="3328" spans="1:9">
      <c r="A3328" s="4" t="s">
        <v>227</v>
      </c>
      <c r="B3328" s="4" t="s">
        <v>228</v>
      </c>
      <c r="C3328" s="5">
        <v>2004</v>
      </c>
      <c r="D3328" s="4">
        <v>31000000</v>
      </c>
      <c r="E3328" s="4">
        <v>2246000000</v>
      </c>
      <c r="F3328" s="4" t="str">
        <f>_xlfn.LET(_xlpm.r, _xlfn.XLOOKUP(Clean_Data[[#This Row],[Country_Code]], Metadata_Country!$A:$A, Metadata_Country!$B:$B, "Unknown"), IF(OR(_xlpm.r=0, _xlpm.r=""), "Regional Aggregate", _xlpm.r))</f>
        <v>South Asia</v>
      </c>
      <c r="G3328" s="4" t="str">
        <f>_xlfn.LET(_xlpm.ig, _xlfn.XLOOKUP(Clean_Data[[#This Row],[Country_Code]], Metadata_Country!$A:$A, Metadata_Country!$C:$C, "Unknown"), IF(OR(_xlpm.ig=0, _xlpm.ig=""), "Regional Aggregate", _xlpm.ig))</f>
        <v>Lower middle income</v>
      </c>
      <c r="H3328" s="4">
        <f>Clean_Data[[#This Row],[Exports_TIV]] - Clean_Data[[#This Row],[Imports_TIV]]</f>
        <v>-2215000000</v>
      </c>
      <c r="I3328" s="4">
        <f>Clean_Data[[#This Row],[Exports_TIV]] + Clean_Data[[#This Row],[Imports_TIV]]</f>
        <v>2277000000</v>
      </c>
    </row>
    <row r="3329" spans="1:9">
      <c r="A3329" s="4" t="s">
        <v>221</v>
      </c>
      <c r="B3329" s="4" t="s">
        <v>222</v>
      </c>
      <c r="C3329" s="5">
        <v>2004</v>
      </c>
      <c r="D3329" s="4">
        <v>27000000</v>
      </c>
      <c r="E3329" s="4">
        <v>77000000</v>
      </c>
      <c r="F3329" s="4" t="str">
        <f>_xlfn.LET(_xlpm.r, _xlfn.XLOOKUP(Clean_Data[[#This Row],[Country_Code]], Metadata_Country!$A:$A, Metadata_Country!$B:$B, "Unknown"), IF(OR(_xlpm.r=0, _xlpm.r=""), "Regional Aggregate", _xlpm.r))</f>
        <v>East Asia &amp; Pacific</v>
      </c>
      <c r="G3329" s="4" t="str">
        <f>_xlfn.LET(_xlpm.ig, _xlfn.XLOOKUP(Clean_Data[[#This Row],[Country_Code]], Metadata_Country!$A:$A, Metadata_Country!$C:$C, "Unknown"), IF(OR(_xlpm.ig=0, _xlpm.ig=""), "Regional Aggregate", _xlpm.ig))</f>
        <v>Upper middle income</v>
      </c>
      <c r="H3329" s="4">
        <f>Clean_Data[[#This Row],[Exports_TIV]] - Clean_Data[[#This Row],[Imports_TIV]]</f>
        <v>-50000000</v>
      </c>
      <c r="I3329" s="4">
        <f>Clean_Data[[#This Row],[Exports_TIV]] + Clean_Data[[#This Row],[Imports_TIV]]</f>
        <v>104000000</v>
      </c>
    </row>
    <row r="3330" spans="1:9">
      <c r="A3330" s="4" t="s">
        <v>233</v>
      </c>
      <c r="B3330" s="4" t="s">
        <v>234</v>
      </c>
      <c r="C3330" s="5">
        <v>2004</v>
      </c>
      <c r="D3330" s="4">
        <v>3000000</v>
      </c>
      <c r="E3330" s="4">
        <v>117000000</v>
      </c>
      <c r="F3330" s="4" t="str">
        <f>_xlfn.LET(_xlpm.r, _xlfn.XLOOKUP(Clean_Data[[#This Row],[Country_Code]], Metadata_Country!$A:$A, Metadata_Country!$B:$B, "Unknown"), IF(OR(_xlpm.r=0, _xlpm.r=""), "Regional Aggregate", _xlpm.r))</f>
        <v>Middle East &amp; North Africa</v>
      </c>
      <c r="G3330" s="4" t="str">
        <f>_xlfn.LET(_xlpm.ig, _xlfn.XLOOKUP(Clean_Data[[#This Row],[Country_Code]], Metadata_Country!$A:$A, Metadata_Country!$C:$C, "Unknown"), IF(OR(_xlpm.ig=0, _xlpm.ig=""), "Regional Aggregate", _xlpm.ig))</f>
        <v>Upper middle income</v>
      </c>
      <c r="H3330" s="4">
        <f>Clean_Data[[#This Row],[Exports_TIV]] - Clean_Data[[#This Row],[Imports_TIV]]</f>
        <v>-114000000</v>
      </c>
      <c r="I3330" s="4">
        <f>Clean_Data[[#This Row],[Exports_TIV]] + Clean_Data[[#This Row],[Imports_TIV]]</f>
        <v>120000000</v>
      </c>
    </row>
    <row r="3331" spans="1:9">
      <c r="A3331" s="4" t="s">
        <v>235</v>
      </c>
      <c r="B3331" s="4" t="s">
        <v>236</v>
      </c>
      <c r="C3331" s="5">
        <v>2004</v>
      </c>
      <c r="D3331" s="4">
        <v>0</v>
      </c>
      <c r="E3331" s="4">
        <v>49000000</v>
      </c>
      <c r="F3331" s="4" t="str">
        <f>_xlfn.LET(_xlpm.r, _xlfn.XLOOKUP(Clean_Data[[#This Row],[Country_Code]], Metadata_Country!$A:$A, Metadata_Country!$B:$B, "Unknown"), IF(OR(_xlpm.r=0, _xlpm.r=""), "Regional Aggregate", _xlpm.r))</f>
        <v>Middle East &amp; North Africa</v>
      </c>
      <c r="G3331" s="4" t="str">
        <f>_xlfn.LET(_xlpm.ig, _xlfn.XLOOKUP(Clean_Data[[#This Row],[Country_Code]], Metadata_Country!$A:$A, Metadata_Country!$C:$C, "Unknown"), IF(OR(_xlpm.ig=0, _xlpm.ig=""), "Regional Aggregate", _xlpm.ig))</f>
        <v>Upper middle income</v>
      </c>
      <c r="H3331" s="4">
        <f>Clean_Data[[#This Row],[Exports_TIV]] - Clean_Data[[#This Row],[Imports_TIV]]</f>
        <v>-49000000</v>
      </c>
      <c r="I3331" s="4">
        <f>Clean_Data[[#This Row],[Exports_TIV]] + Clean_Data[[#This Row],[Imports_TIV]]</f>
        <v>49000000</v>
      </c>
    </row>
    <row r="3332" spans="1:9">
      <c r="A3332" s="4" t="s">
        <v>231</v>
      </c>
      <c r="B3332" s="4" t="s">
        <v>232</v>
      </c>
      <c r="C3332" s="5">
        <v>2004</v>
      </c>
      <c r="D3332" s="4">
        <v>0</v>
      </c>
      <c r="E3332" s="4">
        <v>27000000</v>
      </c>
      <c r="F3332" s="4" t="str">
        <f>_xlfn.LET(_xlpm.r, _xlfn.XLOOKUP(Clean_Data[[#This Row],[Country_Code]], Metadata_Country!$A:$A, Metadata_Country!$B:$B, "Unknown"), IF(OR(_xlpm.r=0, _xlpm.r=""), "Regional Aggregate", _xlpm.r))</f>
        <v>Europe &amp; Central Asia</v>
      </c>
      <c r="G3332" s="4" t="str">
        <f>_xlfn.LET(_xlpm.ig, _xlfn.XLOOKUP(Clean_Data[[#This Row],[Country_Code]], Metadata_Country!$A:$A, Metadata_Country!$C:$C, "Unknown"), IF(OR(_xlpm.ig=0, _xlpm.ig=""), "Regional Aggregate", _xlpm.ig))</f>
        <v>High income</v>
      </c>
      <c r="H3332" s="4">
        <f>Clean_Data[[#This Row],[Exports_TIV]] - Clean_Data[[#This Row],[Imports_TIV]]</f>
        <v>-27000000</v>
      </c>
      <c r="I3332" s="4">
        <f>Clean_Data[[#This Row],[Exports_TIV]] + Clean_Data[[#This Row],[Imports_TIV]]</f>
        <v>27000000</v>
      </c>
    </row>
    <row r="3333" spans="1:9">
      <c r="A3333" s="4" t="s">
        <v>239</v>
      </c>
      <c r="B3333" s="4" t="s">
        <v>240</v>
      </c>
      <c r="C3333" s="5">
        <v>2004</v>
      </c>
      <c r="D3333" s="4">
        <v>599000000</v>
      </c>
      <c r="E3333" s="4">
        <v>846000000</v>
      </c>
      <c r="F3333" s="4" t="str">
        <f>_xlfn.LET(_xlpm.r, _xlfn.XLOOKUP(Clean_Data[[#This Row],[Country_Code]], Metadata_Country!$A:$A, Metadata_Country!$B:$B, "Unknown"), IF(OR(_xlpm.r=0, _xlpm.r=""), "Regional Aggregate", _xlpm.r))</f>
        <v>Middle East &amp; North Africa</v>
      </c>
      <c r="G3333" s="4" t="str">
        <f>_xlfn.LET(_xlpm.ig, _xlfn.XLOOKUP(Clean_Data[[#This Row],[Country_Code]], Metadata_Country!$A:$A, Metadata_Country!$C:$C, "Unknown"), IF(OR(_xlpm.ig=0, _xlpm.ig=""), "Regional Aggregate", _xlpm.ig))</f>
        <v>High income</v>
      </c>
      <c r="H3333" s="4">
        <f>Clean_Data[[#This Row],[Exports_TIV]] - Clean_Data[[#This Row],[Imports_TIV]]</f>
        <v>-247000000</v>
      </c>
      <c r="I3333" s="4">
        <f>Clean_Data[[#This Row],[Exports_TIV]] + Clean_Data[[#This Row],[Imports_TIV]]</f>
        <v>1445000000</v>
      </c>
    </row>
    <row r="3334" spans="1:9">
      <c r="A3334" s="4" t="s">
        <v>241</v>
      </c>
      <c r="B3334" s="4" t="s">
        <v>242</v>
      </c>
      <c r="C3334" s="5">
        <v>2004</v>
      </c>
      <c r="D3334" s="4">
        <v>261000000</v>
      </c>
      <c r="E3334" s="4">
        <v>490000000</v>
      </c>
      <c r="F3334" s="4" t="str">
        <f>_xlfn.LET(_xlpm.r, _xlfn.XLOOKUP(Clean_Data[[#This Row],[Country_Code]], Metadata_Country!$A:$A, Metadata_Country!$B:$B, "Unknown"), IF(OR(_xlpm.r=0, _xlpm.r=""), "Regional Aggregate", _xlpm.r))</f>
        <v>Europe &amp; Central Asia</v>
      </c>
      <c r="G3334" s="4" t="str">
        <f>_xlfn.LET(_xlpm.ig, _xlfn.XLOOKUP(Clean_Data[[#This Row],[Country_Code]], Metadata_Country!$A:$A, Metadata_Country!$C:$C, "Unknown"), IF(OR(_xlpm.ig=0, _xlpm.ig=""), "Regional Aggregate", _xlpm.ig))</f>
        <v>High income</v>
      </c>
      <c r="H3334" s="4">
        <f>Clean_Data[[#This Row],[Exports_TIV]] - Clean_Data[[#This Row],[Imports_TIV]]</f>
        <v>-229000000</v>
      </c>
      <c r="I3334" s="4">
        <f>Clean_Data[[#This Row],[Exports_TIV]] + Clean_Data[[#This Row],[Imports_TIV]]</f>
        <v>751000000</v>
      </c>
    </row>
    <row r="3335" spans="1:9">
      <c r="A3335" s="4" t="s">
        <v>247</v>
      </c>
      <c r="B3335" s="4" t="s">
        <v>248</v>
      </c>
      <c r="C3335" s="5">
        <v>2004</v>
      </c>
      <c r="D3335" s="4">
        <v>0</v>
      </c>
      <c r="E3335" s="4">
        <v>399000000</v>
      </c>
      <c r="F3335" s="4" t="str">
        <f>_xlfn.LET(_xlpm.r, _xlfn.XLOOKUP(Clean_Data[[#This Row],[Country_Code]], Metadata_Country!$A:$A, Metadata_Country!$B:$B, "Unknown"), IF(OR(_xlpm.r=0, _xlpm.r=""), "Regional Aggregate", _xlpm.r))</f>
        <v>East Asia &amp; Pacific</v>
      </c>
      <c r="G3335" s="4" t="str">
        <f>_xlfn.LET(_xlpm.ig, _xlfn.XLOOKUP(Clean_Data[[#This Row],[Country_Code]], Metadata_Country!$A:$A, Metadata_Country!$C:$C, "Unknown"), IF(OR(_xlpm.ig=0, _xlpm.ig=""), "Regional Aggregate", _xlpm.ig))</f>
        <v>High income</v>
      </c>
      <c r="H3335" s="4">
        <f>Clean_Data[[#This Row],[Exports_TIV]] - Clean_Data[[#This Row],[Imports_TIV]]</f>
        <v>-399000000</v>
      </c>
      <c r="I3335" s="4">
        <f>Clean_Data[[#This Row],[Exports_TIV]] + Clean_Data[[#This Row],[Imports_TIV]]</f>
        <v>399000000</v>
      </c>
    </row>
    <row r="3336" spans="1:9">
      <c r="A3336" s="4" t="s">
        <v>245</v>
      </c>
      <c r="B3336" s="4" t="s">
        <v>246</v>
      </c>
      <c r="C3336" s="5">
        <v>2004</v>
      </c>
      <c r="D3336" s="4">
        <v>19000000</v>
      </c>
      <c r="E3336" s="4">
        <v>168000000</v>
      </c>
      <c r="F3336" s="4" t="str">
        <f>_xlfn.LET(_xlpm.r, _xlfn.XLOOKUP(Clean_Data[[#This Row],[Country_Code]], Metadata_Country!$A:$A, Metadata_Country!$B:$B, "Unknown"), IF(OR(_xlpm.r=0, _xlpm.r=""), "Regional Aggregate", _xlpm.r))</f>
        <v>Middle East &amp; North Africa</v>
      </c>
      <c r="G3336" s="4" t="str">
        <f>_xlfn.LET(_xlpm.ig, _xlfn.XLOOKUP(Clean_Data[[#This Row],[Country_Code]], Metadata_Country!$A:$A, Metadata_Country!$C:$C, "Unknown"), IF(OR(_xlpm.ig=0, _xlpm.ig=""), "Regional Aggregate", _xlpm.ig))</f>
        <v>Upper middle income</v>
      </c>
      <c r="H3336" s="4">
        <f>Clean_Data[[#This Row],[Exports_TIV]] - Clean_Data[[#This Row],[Imports_TIV]]</f>
        <v>-149000000</v>
      </c>
      <c r="I3336" s="4">
        <f>Clean_Data[[#This Row],[Exports_TIV]] + Clean_Data[[#This Row],[Imports_TIV]]</f>
        <v>187000000</v>
      </c>
    </row>
    <row r="3337" spans="1:9">
      <c r="A3337" s="4" t="s">
        <v>249</v>
      </c>
      <c r="B3337" s="4" t="s">
        <v>250</v>
      </c>
      <c r="C3337" s="5">
        <v>2004</v>
      </c>
      <c r="D3337" s="4">
        <v>6000000</v>
      </c>
      <c r="E3337" s="4">
        <v>49000000</v>
      </c>
      <c r="F3337" s="4" t="str">
        <f>_xlfn.LET(_xlpm.r, _xlfn.XLOOKUP(Clean_Data[[#This Row],[Country_Code]], Metadata_Country!$A:$A, Metadata_Country!$B:$B, "Unknown"), IF(OR(_xlpm.r=0, _xlpm.r=""), "Regional Aggregate", _xlpm.r))</f>
        <v>Europe &amp; Central Asia</v>
      </c>
      <c r="G3337" s="4" t="str">
        <f>_xlfn.LET(_xlpm.ig, _xlfn.XLOOKUP(Clean_Data[[#This Row],[Country_Code]], Metadata_Country!$A:$A, Metadata_Country!$C:$C, "Unknown"), IF(OR(_xlpm.ig=0, _xlpm.ig=""), "Regional Aggregate", _xlpm.ig))</f>
        <v>Upper middle income</v>
      </c>
      <c r="H3337" s="4">
        <f>Clean_Data[[#This Row],[Exports_TIV]] - Clean_Data[[#This Row],[Imports_TIV]]</f>
        <v>-43000000</v>
      </c>
      <c r="I3337" s="4">
        <f>Clean_Data[[#This Row],[Exports_TIV]] + Clean_Data[[#This Row],[Imports_TIV]]</f>
        <v>55000000</v>
      </c>
    </row>
    <row r="3338" spans="1:9">
      <c r="A3338" s="4" t="s">
        <v>395</v>
      </c>
      <c r="B3338" s="4" t="s">
        <v>396</v>
      </c>
      <c r="C3338" s="5">
        <v>2004</v>
      </c>
      <c r="D3338" s="4">
        <v>42000000</v>
      </c>
      <c r="E3338" s="4">
        <v>8000000</v>
      </c>
      <c r="F3338" s="4" t="str">
        <f>_xlfn.LET(_xlpm.r, _xlfn.XLOOKUP(Clean_Data[[#This Row],[Country_Code]], Metadata_Country!$A:$A, Metadata_Country!$B:$B, "Unknown"), IF(OR(_xlpm.r=0, _xlpm.r=""), "Regional Aggregate", _xlpm.r))</f>
        <v>East Asia &amp; Pacific</v>
      </c>
      <c r="G3338" s="4" t="str">
        <f>_xlfn.LET(_xlpm.ig, _xlfn.XLOOKUP(Clean_Data[[#This Row],[Country_Code]], Metadata_Country!$A:$A, Metadata_Country!$C:$C, "Unknown"), IF(OR(_xlpm.ig=0, _xlpm.ig=""), "Regional Aggregate", _xlpm.ig))</f>
        <v>Low income</v>
      </c>
      <c r="H3338" s="4">
        <f>Clean_Data[[#This Row],[Exports_TIV]] - Clean_Data[[#This Row],[Imports_TIV]]</f>
        <v>34000000</v>
      </c>
      <c r="I3338" s="4">
        <f>Clean_Data[[#This Row],[Exports_TIV]] + Clean_Data[[#This Row],[Imports_TIV]]</f>
        <v>50000000</v>
      </c>
    </row>
    <row r="3339" spans="1:9">
      <c r="A3339" s="4" t="s">
        <v>261</v>
      </c>
      <c r="B3339" s="4" t="s">
        <v>262</v>
      </c>
      <c r="C3339" s="5">
        <v>2004</v>
      </c>
      <c r="D3339" s="4">
        <v>74000000</v>
      </c>
      <c r="E3339" s="4">
        <v>1061000000</v>
      </c>
      <c r="F3339" s="4" t="str">
        <f>_xlfn.LET(_xlpm.r, _xlfn.XLOOKUP(Clean_Data[[#This Row],[Country_Code]], Metadata_Country!$A:$A, Metadata_Country!$B:$B, "Unknown"), IF(OR(_xlpm.r=0, _xlpm.r=""), "Regional Aggregate", _xlpm.r))</f>
        <v>East Asia &amp; Pacific</v>
      </c>
      <c r="G3339" s="4" t="str">
        <f>_xlfn.LET(_xlpm.ig, _xlfn.XLOOKUP(Clean_Data[[#This Row],[Country_Code]], Metadata_Country!$A:$A, Metadata_Country!$C:$C, "Unknown"), IF(OR(_xlpm.ig=0, _xlpm.ig=""), "Regional Aggregate", _xlpm.ig))</f>
        <v>High income</v>
      </c>
      <c r="H3339" s="4">
        <f>Clean_Data[[#This Row],[Exports_TIV]] - Clean_Data[[#This Row],[Imports_TIV]]</f>
        <v>-987000000</v>
      </c>
      <c r="I3339" s="4">
        <f>Clean_Data[[#This Row],[Exports_TIV]] + Clean_Data[[#This Row],[Imports_TIV]]</f>
        <v>1135000000</v>
      </c>
    </row>
    <row r="3340" spans="1:9">
      <c r="A3340" s="4" t="s">
        <v>263</v>
      </c>
      <c r="B3340" s="4" t="s">
        <v>264</v>
      </c>
      <c r="C3340" s="5">
        <v>2004</v>
      </c>
      <c r="D3340" s="4">
        <v>0</v>
      </c>
      <c r="E3340" s="4">
        <v>2000000</v>
      </c>
      <c r="F3340" s="4" t="str">
        <f>_xlfn.LET(_xlpm.r, _xlfn.XLOOKUP(Clean_Data[[#This Row],[Country_Code]], Metadata_Country!$A:$A, Metadata_Country!$B:$B, "Unknown"), IF(OR(_xlpm.r=0, _xlpm.r=""), "Regional Aggregate", _xlpm.r))</f>
        <v>Middle East &amp; North Africa</v>
      </c>
      <c r="G3340" s="4" t="str">
        <f>_xlfn.LET(_xlpm.ig, _xlfn.XLOOKUP(Clean_Data[[#This Row],[Country_Code]], Metadata_Country!$A:$A, Metadata_Country!$C:$C, "Unknown"), IF(OR(_xlpm.ig=0, _xlpm.ig=""), "Regional Aggregate", _xlpm.ig))</f>
        <v>High income</v>
      </c>
      <c r="H3340" s="4">
        <f>Clean_Data[[#This Row],[Exports_TIV]] - Clean_Data[[#This Row],[Imports_TIV]]</f>
        <v>-2000000</v>
      </c>
      <c r="I3340" s="4">
        <f>Clean_Data[[#This Row],[Exports_TIV]] + Clean_Data[[#This Row],[Imports_TIV]]</f>
        <v>2000000</v>
      </c>
    </row>
    <row r="3341" spans="1:9">
      <c r="A3341" s="4" t="s">
        <v>253</v>
      </c>
      <c r="B3341" s="4" t="s">
        <v>254</v>
      </c>
      <c r="C3341" s="5">
        <v>2004</v>
      </c>
      <c r="D3341" s="4">
        <v>0</v>
      </c>
      <c r="E3341" s="4">
        <v>6000000</v>
      </c>
      <c r="F3341" s="4" t="str">
        <f>_xlfn.LET(_xlpm.r, _xlfn.XLOOKUP(Clean_Data[[#This Row],[Country_Code]], Metadata_Country!$A:$A, Metadata_Country!$B:$B, "Unknown"), IF(OR(_xlpm.r=0, _xlpm.r=""), "Regional Aggregate", _xlpm.r))</f>
        <v>Europe &amp; Central Asia</v>
      </c>
      <c r="G3341" s="4" t="str">
        <f>_xlfn.LET(_xlpm.ig, _xlfn.XLOOKUP(Clean_Data[[#This Row],[Country_Code]], Metadata_Country!$A:$A, Metadata_Country!$C:$C, "Unknown"), IF(OR(_xlpm.ig=0, _xlpm.ig=""), "Regional Aggregate", _xlpm.ig))</f>
        <v>Lower middle income</v>
      </c>
      <c r="H3341" s="4">
        <f>Clean_Data[[#This Row],[Exports_TIV]] - Clean_Data[[#This Row],[Imports_TIV]]</f>
        <v>-6000000</v>
      </c>
      <c r="I3341" s="4">
        <f>Clean_Data[[#This Row],[Exports_TIV]] + Clean_Data[[#This Row],[Imports_TIV]]</f>
        <v>6000000</v>
      </c>
    </row>
    <row r="3342" spans="1:9">
      <c r="A3342" s="4" t="s">
        <v>293</v>
      </c>
      <c r="B3342" s="4" t="s">
        <v>294</v>
      </c>
      <c r="C3342" s="5">
        <v>2004</v>
      </c>
      <c r="D3342" s="4">
        <v>6974000000</v>
      </c>
      <c r="E3342" s="4">
        <v>5963000000</v>
      </c>
      <c r="F3342" s="4" t="str">
        <f>_xlfn.LET(_xlpm.r, _xlfn.XLOOKUP(Clean_Data[[#This Row],[Country_Code]], Metadata_Country!$A:$A, Metadata_Country!$B:$B, "Unknown"), IF(OR(_xlpm.r=0, _xlpm.r=""), "Regional Aggregate", _xlpm.r))</f>
        <v>Regional Aggregate</v>
      </c>
      <c r="G3342" s="4" t="str">
        <f>_xlfn.LET(_xlpm.ig, _xlfn.XLOOKUP(Clean_Data[[#This Row],[Country_Code]], Metadata_Country!$A:$A, Metadata_Country!$C:$C, "Unknown"), IF(OR(_xlpm.ig=0, _xlpm.ig=""), "Regional Aggregate", _xlpm.ig))</f>
        <v>Regional Aggregate</v>
      </c>
      <c r="H3342" s="4">
        <f>Clean_Data[[#This Row],[Exports_TIV]] - Clean_Data[[#This Row],[Imports_TIV]]</f>
        <v>1011000000</v>
      </c>
      <c r="I3342" s="4">
        <f>Clean_Data[[#This Row],[Exports_TIV]] + Clean_Data[[#This Row],[Imports_TIV]]</f>
        <v>12937000000</v>
      </c>
    </row>
    <row r="3343" spans="1:9">
      <c r="A3343" s="4" t="s">
        <v>277</v>
      </c>
      <c r="B3343" s="4" t="s">
        <v>278</v>
      </c>
      <c r="C3343" s="5">
        <v>2004</v>
      </c>
      <c r="D3343" s="4">
        <v>0</v>
      </c>
      <c r="E3343" s="4">
        <v>754000000</v>
      </c>
      <c r="F3343" s="4" t="str">
        <f>_xlfn.LET(_xlpm.r, _xlfn.XLOOKUP(Clean_Data[[#This Row],[Country_Code]], Metadata_Country!$A:$A, Metadata_Country!$B:$B, "Unknown"), IF(OR(_xlpm.r=0, _xlpm.r=""), "Regional Aggregate", _xlpm.r))</f>
        <v>Regional Aggregate</v>
      </c>
      <c r="G3343" s="4" t="str">
        <f>_xlfn.LET(_xlpm.ig, _xlfn.XLOOKUP(Clean_Data[[#This Row],[Country_Code]], Metadata_Country!$A:$A, Metadata_Country!$C:$C, "Unknown"), IF(OR(_xlpm.ig=0, _xlpm.ig=""), "Regional Aggregate", _xlpm.ig))</f>
        <v>Regional Aggregate</v>
      </c>
      <c r="H3343" s="4">
        <f>Clean_Data[[#This Row],[Exports_TIV]] - Clean_Data[[#This Row],[Imports_TIV]]</f>
        <v>-754000000</v>
      </c>
      <c r="I3343" s="4">
        <f>Clean_Data[[#This Row],[Exports_TIV]] + Clean_Data[[#This Row],[Imports_TIV]]</f>
        <v>754000000</v>
      </c>
    </row>
    <row r="3344" spans="1:9">
      <c r="A3344" s="4" t="s">
        <v>265</v>
      </c>
      <c r="B3344" s="4" t="s">
        <v>266</v>
      </c>
      <c r="C3344" s="5">
        <v>2004</v>
      </c>
      <c r="D3344" s="4">
        <v>0</v>
      </c>
      <c r="E3344" s="4">
        <v>690000000</v>
      </c>
      <c r="F3344" s="4" t="str">
        <f>_xlfn.LET(_xlpm.r, _xlfn.XLOOKUP(Clean_Data[[#This Row],[Country_Code]], Metadata_Country!$A:$A, Metadata_Country!$B:$B, "Unknown"), IF(OR(_xlpm.r=0, _xlpm.r=""), "Regional Aggregate", _xlpm.r))</f>
        <v>Regional Aggregate</v>
      </c>
      <c r="G3344" s="4" t="str">
        <f>_xlfn.LET(_xlpm.ig, _xlfn.XLOOKUP(Clean_Data[[#This Row],[Country_Code]], Metadata_Country!$A:$A, Metadata_Country!$C:$C, "Unknown"), IF(OR(_xlpm.ig=0, _xlpm.ig=""), "Regional Aggregate", _xlpm.ig))</f>
        <v>Regional Aggregate</v>
      </c>
      <c r="H3344" s="4">
        <f>Clean_Data[[#This Row],[Exports_TIV]] - Clean_Data[[#This Row],[Imports_TIV]]</f>
        <v>-690000000</v>
      </c>
      <c r="I3344" s="4">
        <f>Clean_Data[[#This Row],[Exports_TIV]] + Clean_Data[[#This Row],[Imports_TIV]]</f>
        <v>690000000</v>
      </c>
    </row>
    <row r="3345" spans="1:9">
      <c r="A3345" s="4" t="s">
        <v>481</v>
      </c>
      <c r="B3345" s="4" t="s">
        <v>482</v>
      </c>
      <c r="C3345" s="5">
        <v>2004</v>
      </c>
      <c r="D3345" s="4">
        <v>0</v>
      </c>
      <c r="E3345" s="4">
        <v>746000000</v>
      </c>
      <c r="F3345" s="4" t="str">
        <f>_xlfn.LET(_xlpm.r, _xlfn.XLOOKUP(Clean_Data[[#This Row],[Country_Code]], Metadata_Country!$A:$A, Metadata_Country!$B:$B, "Unknown"), IF(OR(_xlpm.r=0, _xlpm.r=""), "Regional Aggregate", _xlpm.r))</f>
        <v>Regional Aggregate</v>
      </c>
      <c r="G3345" s="4" t="str">
        <f>_xlfn.LET(_xlpm.ig, _xlfn.XLOOKUP(Clean_Data[[#This Row],[Country_Code]], Metadata_Country!$A:$A, Metadata_Country!$C:$C, "Unknown"), IF(OR(_xlpm.ig=0, _xlpm.ig=""), "Regional Aggregate", _xlpm.ig))</f>
        <v>Regional Aggregate</v>
      </c>
      <c r="H3345" s="4">
        <f>Clean_Data[[#This Row],[Exports_TIV]] - Clean_Data[[#This Row],[Imports_TIV]]</f>
        <v>-746000000</v>
      </c>
      <c r="I3345" s="4">
        <f>Clean_Data[[#This Row],[Exports_TIV]] + Clean_Data[[#This Row],[Imports_TIV]]</f>
        <v>746000000</v>
      </c>
    </row>
    <row r="3346" spans="1:9">
      <c r="A3346" s="4" t="s">
        <v>299</v>
      </c>
      <c r="B3346" s="4" t="s">
        <v>300</v>
      </c>
      <c r="C3346" s="5">
        <v>2004</v>
      </c>
      <c r="D3346" s="4">
        <v>0</v>
      </c>
      <c r="E3346" s="4">
        <v>13000000</v>
      </c>
      <c r="F3346" s="4" t="str">
        <f>_xlfn.LET(_xlpm.r, _xlfn.XLOOKUP(Clean_Data[[#This Row],[Country_Code]], Metadata_Country!$A:$A, Metadata_Country!$B:$B, "Unknown"), IF(OR(_xlpm.r=0, _xlpm.r=""), "Regional Aggregate", _xlpm.r))</f>
        <v>Europe &amp; Central Asia</v>
      </c>
      <c r="G3346" s="4" t="str">
        <f>_xlfn.LET(_xlpm.ig, _xlfn.XLOOKUP(Clean_Data[[#This Row],[Country_Code]], Metadata_Country!$A:$A, Metadata_Country!$C:$C, "Unknown"), IF(OR(_xlpm.ig=0, _xlpm.ig=""), "Regional Aggregate", _xlpm.ig))</f>
        <v>High income</v>
      </c>
      <c r="H3346" s="4">
        <f>Clean_Data[[#This Row],[Exports_TIV]] - Clean_Data[[#This Row],[Imports_TIV]]</f>
        <v>-13000000</v>
      </c>
      <c r="I3346" s="4">
        <f>Clean_Data[[#This Row],[Exports_TIV]] + Clean_Data[[#This Row],[Imports_TIV]]</f>
        <v>13000000</v>
      </c>
    </row>
    <row r="3347" spans="1:9">
      <c r="A3347" s="4" t="s">
        <v>291</v>
      </c>
      <c r="B3347" s="4" t="s">
        <v>292</v>
      </c>
      <c r="C3347" s="5">
        <v>2004</v>
      </c>
      <c r="D3347" s="4">
        <v>0</v>
      </c>
      <c r="E3347" s="4">
        <v>1000000</v>
      </c>
      <c r="F3347" s="4" t="str">
        <f>_xlfn.LET(_xlpm.r, _xlfn.XLOOKUP(Clean_Data[[#This Row],[Country_Code]], Metadata_Country!$A:$A, Metadata_Country!$B:$B, "Unknown"), IF(OR(_xlpm.r=0, _xlpm.r=""), "Regional Aggregate", _xlpm.r))</f>
        <v>Sub-Saharan Africa</v>
      </c>
      <c r="G3347" s="4" t="str">
        <f>_xlfn.LET(_xlpm.ig, _xlfn.XLOOKUP(Clean_Data[[#This Row],[Country_Code]], Metadata_Country!$A:$A, Metadata_Country!$C:$C, "Unknown"), IF(OR(_xlpm.ig=0, _xlpm.ig=""), "Regional Aggregate", _xlpm.ig))</f>
        <v>Lower middle income</v>
      </c>
      <c r="H3347" s="4">
        <f>Clean_Data[[#This Row],[Exports_TIV]] - Clean_Data[[#This Row],[Imports_TIV]]</f>
        <v>-1000000</v>
      </c>
      <c r="I3347" s="4">
        <f>Clean_Data[[#This Row],[Exports_TIV]] + Clean_Data[[#This Row],[Imports_TIV]]</f>
        <v>1000000</v>
      </c>
    </row>
    <row r="3348" spans="1:9">
      <c r="A3348" s="4" t="s">
        <v>273</v>
      </c>
      <c r="B3348" s="4" t="s">
        <v>274</v>
      </c>
      <c r="C3348" s="5">
        <v>2004</v>
      </c>
      <c r="D3348" s="4">
        <v>113000000</v>
      </c>
      <c r="E3348" s="4">
        <v>0</v>
      </c>
      <c r="F3348" s="4" t="str">
        <f>_xlfn.LET(_xlpm.r, _xlfn.XLOOKUP(Clean_Data[[#This Row],[Country_Code]], Metadata_Country!$A:$A, Metadata_Country!$B:$B, "Unknown"), IF(OR(_xlpm.r=0, _xlpm.r=""), "Regional Aggregate", _xlpm.r))</f>
        <v>Middle East &amp; North Africa</v>
      </c>
      <c r="G3348" s="4" t="str">
        <f>_xlfn.LET(_xlpm.ig, _xlfn.XLOOKUP(Clean_Data[[#This Row],[Country_Code]], Metadata_Country!$A:$A, Metadata_Country!$C:$C, "Unknown"), IF(OR(_xlpm.ig=0, _xlpm.ig=""), "Regional Aggregate", _xlpm.ig))</f>
        <v>Upper middle income</v>
      </c>
      <c r="H3348" s="4">
        <f>Clean_Data[[#This Row],[Exports_TIV]] - Clean_Data[[#This Row],[Imports_TIV]]</f>
        <v>113000000</v>
      </c>
      <c r="I3348" s="4">
        <f>Clean_Data[[#This Row],[Exports_TIV]] + Clean_Data[[#This Row],[Imports_TIV]]</f>
        <v>113000000</v>
      </c>
    </row>
    <row r="3349" spans="1:9">
      <c r="A3349" s="4" t="s">
        <v>295</v>
      </c>
      <c r="B3349" s="4" t="s">
        <v>296</v>
      </c>
      <c r="C3349" s="5">
        <v>2004</v>
      </c>
      <c r="D3349" s="4">
        <v>0</v>
      </c>
      <c r="E3349" s="4">
        <v>47000000</v>
      </c>
      <c r="F3349" s="4" t="str">
        <f>_xlfn.LET(_xlpm.r, _xlfn.XLOOKUP(Clean_Data[[#This Row],[Country_Code]], Metadata_Country!$A:$A, Metadata_Country!$B:$B, "Unknown"), IF(OR(_xlpm.r=0, _xlpm.r=""), "Regional Aggregate", _xlpm.r))</f>
        <v>Europe &amp; Central Asia</v>
      </c>
      <c r="G3349" s="4" t="str">
        <f>_xlfn.LET(_xlpm.ig, _xlfn.XLOOKUP(Clean_Data[[#This Row],[Country_Code]], Metadata_Country!$A:$A, Metadata_Country!$C:$C, "Unknown"), IF(OR(_xlpm.ig=0, _xlpm.ig=""), "Regional Aggregate", _xlpm.ig))</f>
        <v>High income</v>
      </c>
      <c r="H3349" s="4">
        <f>Clean_Data[[#This Row],[Exports_TIV]] - Clean_Data[[#This Row],[Imports_TIV]]</f>
        <v>-47000000</v>
      </c>
      <c r="I3349" s="4">
        <f>Clean_Data[[#This Row],[Exports_TIV]] + Clean_Data[[#This Row],[Imports_TIV]]</f>
        <v>47000000</v>
      </c>
    </row>
    <row r="3350" spans="1:9">
      <c r="A3350" s="4" t="s">
        <v>289</v>
      </c>
      <c r="B3350" s="4" t="s">
        <v>290</v>
      </c>
      <c r="C3350" s="5">
        <v>2004</v>
      </c>
      <c r="D3350" s="4">
        <v>0</v>
      </c>
      <c r="E3350" s="4">
        <v>10380000000</v>
      </c>
      <c r="F3350" s="4" t="str">
        <f>_xlfn.LET(_xlpm.r, _xlfn.XLOOKUP(Clean_Data[[#This Row],[Country_Code]], Metadata_Country!$A:$A, Metadata_Country!$B:$B, "Unknown"), IF(OR(_xlpm.r=0, _xlpm.r=""), "Regional Aggregate", _xlpm.r))</f>
        <v>Regional Aggregate</v>
      </c>
      <c r="G3350" s="4" t="str">
        <f>_xlfn.LET(_xlpm.ig, _xlfn.XLOOKUP(Clean_Data[[#This Row],[Country_Code]], Metadata_Country!$A:$A, Metadata_Country!$C:$C, "Unknown"), IF(OR(_xlpm.ig=0, _xlpm.ig=""), "Regional Aggregate", _xlpm.ig))</f>
        <v>Regional Aggregate</v>
      </c>
      <c r="H3350" s="4">
        <f>Clean_Data[[#This Row],[Exports_TIV]] - Clean_Data[[#This Row],[Imports_TIV]]</f>
        <v>-10380000000</v>
      </c>
      <c r="I3350" s="4">
        <f>Clean_Data[[#This Row],[Exports_TIV]] + Clean_Data[[#This Row],[Imports_TIV]]</f>
        <v>10380000000</v>
      </c>
    </row>
    <row r="3351" spans="1:9">
      <c r="A3351" s="4" t="s">
        <v>281</v>
      </c>
      <c r="B3351" s="4" t="s">
        <v>282</v>
      </c>
      <c r="C3351" s="5">
        <v>2004</v>
      </c>
      <c r="D3351" s="4">
        <v>0</v>
      </c>
      <c r="E3351" s="4">
        <v>935000000</v>
      </c>
      <c r="F3351" s="4" t="str">
        <f>_xlfn.LET(_xlpm.r, _xlfn.XLOOKUP(Clean_Data[[#This Row],[Country_Code]], Metadata_Country!$A:$A, Metadata_Country!$B:$B, "Unknown"), IF(OR(_xlpm.r=0, _xlpm.r=""), "Regional Aggregate", _xlpm.r))</f>
        <v>Regional Aggregate</v>
      </c>
      <c r="G3351" s="4" t="str">
        <f>_xlfn.LET(_xlpm.ig, _xlfn.XLOOKUP(Clean_Data[[#This Row],[Country_Code]], Metadata_Country!$A:$A, Metadata_Country!$C:$C, "Unknown"), IF(OR(_xlpm.ig=0, _xlpm.ig=""), "Regional Aggregate", _xlpm.ig))</f>
        <v>Regional Aggregate</v>
      </c>
      <c r="H3351" s="4">
        <f>Clean_Data[[#This Row],[Exports_TIV]] - Clean_Data[[#This Row],[Imports_TIV]]</f>
        <v>-935000000</v>
      </c>
      <c r="I3351" s="4">
        <f>Clean_Data[[#This Row],[Exports_TIV]] + Clean_Data[[#This Row],[Imports_TIV]]</f>
        <v>935000000</v>
      </c>
    </row>
    <row r="3352" spans="1:9">
      <c r="A3352" s="4" t="s">
        <v>287</v>
      </c>
      <c r="B3352" s="4" t="s">
        <v>288</v>
      </c>
      <c r="C3352" s="5">
        <v>2004</v>
      </c>
      <c r="D3352" s="4">
        <v>0</v>
      </c>
      <c r="E3352" s="4">
        <v>3774000000</v>
      </c>
      <c r="F3352" s="4" t="str">
        <f>_xlfn.LET(_xlpm.r, _xlfn.XLOOKUP(Clean_Data[[#This Row],[Country_Code]], Metadata_Country!$A:$A, Metadata_Country!$B:$B, "Unknown"), IF(OR(_xlpm.r=0, _xlpm.r=""), "Regional Aggregate", _xlpm.r))</f>
        <v>Regional Aggregate</v>
      </c>
      <c r="G3352" s="4" t="str">
        <f>_xlfn.LET(_xlpm.ig, _xlfn.XLOOKUP(Clean_Data[[#This Row],[Country_Code]], Metadata_Country!$A:$A, Metadata_Country!$C:$C, "Unknown"), IF(OR(_xlpm.ig=0, _xlpm.ig=""), "Regional Aggregate", _xlpm.ig))</f>
        <v>Regional Aggregate</v>
      </c>
      <c r="H3352" s="4">
        <f>Clean_Data[[#This Row],[Exports_TIV]] - Clean_Data[[#This Row],[Imports_TIV]]</f>
        <v>-3774000000</v>
      </c>
      <c r="I3352" s="4">
        <f>Clean_Data[[#This Row],[Exports_TIV]] + Clean_Data[[#This Row],[Imports_TIV]]</f>
        <v>3774000000</v>
      </c>
    </row>
    <row r="3353" spans="1:9">
      <c r="A3353" s="4" t="s">
        <v>347</v>
      </c>
      <c r="B3353" s="4" t="s">
        <v>348</v>
      </c>
      <c r="C3353" s="5">
        <v>2004</v>
      </c>
      <c r="D3353" s="4">
        <v>0</v>
      </c>
      <c r="E3353" s="4">
        <v>68000000</v>
      </c>
      <c r="F3353" s="4" t="str">
        <f>_xlfn.LET(_xlpm.r, _xlfn.XLOOKUP(Clean_Data[[#This Row],[Country_Code]], Metadata_Country!$A:$A, Metadata_Country!$B:$B, "Unknown"), IF(OR(_xlpm.r=0, _xlpm.r=""), "Regional Aggregate", _xlpm.r))</f>
        <v>East Asia &amp; Pacific</v>
      </c>
      <c r="G3353" s="4" t="str">
        <f>_xlfn.LET(_xlpm.ig, _xlfn.XLOOKUP(Clean_Data[[#This Row],[Country_Code]], Metadata_Country!$A:$A, Metadata_Country!$C:$C, "Unknown"), IF(OR(_xlpm.ig=0, _xlpm.ig=""), "Regional Aggregate", _xlpm.ig))</f>
        <v>Upper middle income</v>
      </c>
      <c r="H3353" s="4">
        <f>Clean_Data[[#This Row],[Exports_TIV]] - Clean_Data[[#This Row],[Imports_TIV]]</f>
        <v>-68000000</v>
      </c>
      <c r="I3353" s="4">
        <f>Clean_Data[[#This Row],[Exports_TIV]] + Clean_Data[[#This Row],[Imports_TIV]]</f>
        <v>68000000</v>
      </c>
    </row>
    <row r="3354" spans="1:9">
      <c r="A3354" s="4" t="s">
        <v>327</v>
      </c>
      <c r="B3354" s="4" t="s">
        <v>328</v>
      </c>
      <c r="C3354" s="5">
        <v>2004</v>
      </c>
      <c r="D3354" s="4">
        <v>10000000</v>
      </c>
      <c r="E3354" s="4">
        <v>4000000</v>
      </c>
      <c r="F3354" s="4" t="str">
        <f>_xlfn.LET(_xlpm.r, _xlfn.XLOOKUP(Clean_Data[[#This Row],[Country_Code]], Metadata_Country!$A:$A, Metadata_Country!$B:$B, "Unknown"), IF(OR(_xlpm.r=0, _xlpm.r=""), "Regional Aggregate", _xlpm.r))</f>
        <v>Middle East &amp; North Africa</v>
      </c>
      <c r="G3354" s="4" t="str">
        <f>_xlfn.LET(_xlpm.ig, _xlfn.XLOOKUP(Clean_Data[[#This Row],[Country_Code]], Metadata_Country!$A:$A, Metadata_Country!$C:$C, "Unknown"), IF(OR(_xlpm.ig=0, _xlpm.ig=""), "Regional Aggregate", _xlpm.ig))</f>
        <v>High income</v>
      </c>
      <c r="H3354" s="4">
        <f>Clean_Data[[#This Row],[Exports_TIV]] - Clean_Data[[#This Row],[Imports_TIV]]</f>
        <v>6000000</v>
      </c>
      <c r="I3354" s="4">
        <f>Clean_Data[[#This Row],[Exports_TIV]] + Clean_Data[[#This Row],[Imports_TIV]]</f>
        <v>14000000</v>
      </c>
    </row>
    <row r="3355" spans="1:9">
      <c r="A3355" s="4" t="s">
        <v>343</v>
      </c>
      <c r="B3355" s="4" t="s">
        <v>344</v>
      </c>
      <c r="C3355" s="5">
        <v>2004</v>
      </c>
      <c r="D3355" s="4">
        <v>0</v>
      </c>
      <c r="E3355" s="4">
        <v>10000000</v>
      </c>
      <c r="F3355" s="4" t="str">
        <f>_xlfn.LET(_xlpm.r, _xlfn.XLOOKUP(Clean_Data[[#This Row],[Country_Code]], Metadata_Country!$A:$A, Metadata_Country!$B:$B, "Unknown"), IF(OR(_xlpm.r=0, _xlpm.r=""), "Regional Aggregate", _xlpm.r))</f>
        <v>Sub-Saharan Africa</v>
      </c>
      <c r="G3355" s="4" t="str">
        <f>_xlfn.LET(_xlpm.ig, _xlfn.XLOOKUP(Clean_Data[[#This Row],[Country_Code]], Metadata_Country!$A:$A, Metadata_Country!$C:$C, "Unknown"), IF(OR(_xlpm.ig=0, _xlpm.ig=""), "Regional Aggregate", _xlpm.ig))</f>
        <v>Upper middle income</v>
      </c>
      <c r="H3355" s="4">
        <f>Clean_Data[[#This Row],[Exports_TIV]] - Clean_Data[[#This Row],[Imports_TIV]]</f>
        <v>-10000000</v>
      </c>
      <c r="I3355" s="4">
        <f>Clean_Data[[#This Row],[Exports_TIV]] + Clean_Data[[#This Row],[Imports_TIV]]</f>
        <v>10000000</v>
      </c>
    </row>
    <row r="3356" spans="1:9">
      <c r="A3356" s="4" t="s">
        <v>317</v>
      </c>
      <c r="B3356" s="4" t="s">
        <v>318</v>
      </c>
      <c r="C3356" s="5">
        <v>2004</v>
      </c>
      <c r="D3356" s="4">
        <v>0</v>
      </c>
      <c r="E3356" s="4">
        <v>321000000</v>
      </c>
      <c r="F3356" s="4" t="str">
        <f>_xlfn.LET(_xlpm.r, _xlfn.XLOOKUP(Clean_Data[[#This Row],[Country_Code]], Metadata_Country!$A:$A, Metadata_Country!$B:$B, "Unknown"), IF(OR(_xlpm.r=0, _xlpm.r=""), "Regional Aggregate", _xlpm.r))</f>
        <v>Latin America &amp; Caribbean</v>
      </c>
      <c r="G3356" s="4" t="str">
        <f>_xlfn.LET(_xlpm.ig, _xlfn.XLOOKUP(Clean_Data[[#This Row],[Country_Code]], Metadata_Country!$A:$A, Metadata_Country!$C:$C, "Unknown"), IF(OR(_xlpm.ig=0, _xlpm.ig=""), "Regional Aggregate", _xlpm.ig))</f>
        <v>Upper middle income</v>
      </c>
      <c r="H3356" s="4">
        <f>Clean_Data[[#This Row],[Exports_TIV]] - Clean_Data[[#This Row],[Imports_TIV]]</f>
        <v>-321000000</v>
      </c>
      <c r="I3356" s="4">
        <f>Clean_Data[[#This Row],[Exports_TIV]] + Clean_Data[[#This Row],[Imports_TIV]]</f>
        <v>321000000</v>
      </c>
    </row>
    <row r="3357" spans="1:9">
      <c r="A3357" s="4" t="s">
        <v>315</v>
      </c>
      <c r="B3357" s="4" t="s">
        <v>316</v>
      </c>
      <c r="C3357" s="5">
        <v>2004</v>
      </c>
      <c r="D3357" s="4">
        <v>0</v>
      </c>
      <c r="E3357" s="4">
        <v>5220000000</v>
      </c>
      <c r="F3357" s="4" t="str">
        <f>_xlfn.LET(_xlpm.r, _xlfn.XLOOKUP(Clean_Data[[#This Row],[Country_Code]], Metadata_Country!$A:$A, Metadata_Country!$B:$B, "Unknown"), IF(OR(_xlpm.r=0, _xlpm.r=""), "Regional Aggregate", _xlpm.r))</f>
        <v>Regional Aggregate</v>
      </c>
      <c r="G3357" s="4" t="str">
        <f>_xlfn.LET(_xlpm.ig, _xlfn.XLOOKUP(Clean_Data[[#This Row],[Country_Code]], Metadata_Country!$A:$A, Metadata_Country!$C:$C, "Unknown"), IF(OR(_xlpm.ig=0, _xlpm.ig=""), "Regional Aggregate", _xlpm.ig))</f>
        <v>Regional Aggregate</v>
      </c>
      <c r="H3357" s="4">
        <f>Clean_Data[[#This Row],[Exports_TIV]] - Clean_Data[[#This Row],[Imports_TIV]]</f>
        <v>-5220000000</v>
      </c>
      <c r="I3357" s="4">
        <f>Clean_Data[[#This Row],[Exports_TIV]] + Clean_Data[[#This Row],[Imports_TIV]]</f>
        <v>5220000000</v>
      </c>
    </row>
    <row r="3358" spans="1:9">
      <c r="A3358" s="4" t="s">
        <v>321</v>
      </c>
      <c r="B3358" s="4" t="s">
        <v>322</v>
      </c>
      <c r="C3358" s="5">
        <v>2004</v>
      </c>
      <c r="D3358" s="4">
        <v>0</v>
      </c>
      <c r="E3358" s="4">
        <v>9445000000</v>
      </c>
      <c r="F3358" s="4" t="str">
        <f>_xlfn.LET(_xlpm.r, _xlfn.XLOOKUP(Clean_Data[[#This Row],[Country_Code]], Metadata_Country!$A:$A, Metadata_Country!$B:$B, "Unknown"), IF(OR(_xlpm.r=0, _xlpm.r=""), "Regional Aggregate", _xlpm.r))</f>
        <v>Regional Aggregate</v>
      </c>
      <c r="G3358" s="4" t="str">
        <f>_xlfn.LET(_xlpm.ig, _xlfn.XLOOKUP(Clean_Data[[#This Row],[Country_Code]], Metadata_Country!$A:$A, Metadata_Country!$C:$C, "Unknown"), IF(OR(_xlpm.ig=0, _xlpm.ig=""), "Regional Aggregate", _xlpm.ig))</f>
        <v>Regional Aggregate</v>
      </c>
      <c r="H3358" s="4">
        <f>Clean_Data[[#This Row],[Exports_TIV]] - Clean_Data[[#This Row],[Imports_TIV]]</f>
        <v>-9445000000</v>
      </c>
      <c r="I3358" s="4">
        <f>Clean_Data[[#This Row],[Exports_TIV]] + Clean_Data[[#This Row],[Imports_TIV]]</f>
        <v>9445000000</v>
      </c>
    </row>
    <row r="3359" spans="1:9">
      <c r="A3359" s="4" t="s">
        <v>305</v>
      </c>
      <c r="B3359" s="4" t="s">
        <v>306</v>
      </c>
      <c r="C3359" s="5">
        <v>2004</v>
      </c>
      <c r="D3359" s="4">
        <v>0</v>
      </c>
      <c r="E3359" s="4">
        <v>14000000</v>
      </c>
      <c r="F3359" s="4" t="str">
        <f>_xlfn.LET(_xlpm.r, _xlfn.XLOOKUP(Clean_Data[[#This Row],[Country_Code]], Metadata_Country!$A:$A, Metadata_Country!$B:$B, "Unknown"), IF(OR(_xlpm.r=0, _xlpm.r=""), "Regional Aggregate", _xlpm.r))</f>
        <v>Middle East &amp; North Africa</v>
      </c>
      <c r="G3359" s="4" t="str">
        <f>_xlfn.LET(_xlpm.ig, _xlfn.XLOOKUP(Clean_Data[[#This Row],[Country_Code]], Metadata_Country!$A:$A, Metadata_Country!$C:$C, "Unknown"), IF(OR(_xlpm.ig=0, _xlpm.ig=""), "Regional Aggregate", _xlpm.ig))</f>
        <v>Lower middle income</v>
      </c>
      <c r="H3359" s="4">
        <f>Clean_Data[[#This Row],[Exports_TIV]] - Clean_Data[[#This Row],[Imports_TIV]]</f>
        <v>-14000000</v>
      </c>
      <c r="I3359" s="4">
        <f>Clean_Data[[#This Row],[Exports_TIV]] + Clean_Data[[#This Row],[Imports_TIV]]</f>
        <v>14000000</v>
      </c>
    </row>
    <row r="3360" spans="1:9">
      <c r="A3360" s="4" t="s">
        <v>329</v>
      </c>
      <c r="B3360" s="4" t="s">
        <v>330</v>
      </c>
      <c r="C3360" s="5">
        <v>2004</v>
      </c>
      <c r="D3360" s="4">
        <v>0</v>
      </c>
      <c r="E3360" s="4">
        <v>192000000</v>
      </c>
      <c r="F3360" s="4" t="str">
        <f>_xlfn.LET(_xlpm.r, _xlfn.XLOOKUP(Clean_Data[[#This Row],[Country_Code]], Metadata_Country!$A:$A, Metadata_Country!$B:$B, "Unknown"), IF(OR(_xlpm.r=0, _xlpm.r=""), "Regional Aggregate", _xlpm.r))</f>
        <v>East Asia &amp; Pacific</v>
      </c>
      <c r="G3360" s="4" t="str">
        <f>_xlfn.LET(_xlpm.ig, _xlfn.XLOOKUP(Clean_Data[[#This Row],[Country_Code]], Metadata_Country!$A:$A, Metadata_Country!$C:$C, "Unknown"), IF(OR(_xlpm.ig=0, _xlpm.ig=""), "Regional Aggregate", _xlpm.ig))</f>
        <v>Lower middle income</v>
      </c>
      <c r="H3360" s="4">
        <f>Clean_Data[[#This Row],[Exports_TIV]] - Clean_Data[[#This Row],[Imports_TIV]]</f>
        <v>-192000000</v>
      </c>
      <c r="I3360" s="4">
        <f>Clean_Data[[#This Row],[Exports_TIV]] + Clean_Data[[#This Row],[Imports_TIV]]</f>
        <v>192000000</v>
      </c>
    </row>
    <row r="3361" spans="1:9">
      <c r="A3361" s="4" t="s">
        <v>351</v>
      </c>
      <c r="B3361" s="4" t="s">
        <v>352</v>
      </c>
      <c r="C3361" s="5">
        <v>2004</v>
      </c>
      <c r="D3361" s="4">
        <v>0</v>
      </c>
      <c r="E3361" s="4">
        <v>16000000</v>
      </c>
      <c r="F3361" s="4" t="str">
        <f>_xlfn.LET(_xlpm.r, _xlfn.XLOOKUP(Clean_Data[[#This Row],[Country_Code]], Metadata_Country!$A:$A, Metadata_Country!$B:$B, "Unknown"), IF(OR(_xlpm.r=0, _xlpm.r=""), "Regional Aggregate", _xlpm.r))</f>
        <v>Sub-Saharan Africa</v>
      </c>
      <c r="G3361" s="4" t="str">
        <f>_xlfn.LET(_xlpm.ig, _xlfn.XLOOKUP(Clean_Data[[#This Row],[Country_Code]], Metadata_Country!$A:$A, Metadata_Country!$C:$C, "Unknown"), IF(OR(_xlpm.ig=0, _xlpm.ig=""), "Regional Aggregate", _xlpm.ig))</f>
        <v>Lower middle income</v>
      </c>
      <c r="H3361" s="4">
        <f>Clean_Data[[#This Row],[Exports_TIV]] - Clean_Data[[#This Row],[Imports_TIV]]</f>
        <v>-16000000</v>
      </c>
      <c r="I3361" s="4">
        <f>Clean_Data[[#This Row],[Exports_TIV]] + Clean_Data[[#This Row],[Imports_TIV]]</f>
        <v>16000000</v>
      </c>
    </row>
    <row r="3362" spans="1:9">
      <c r="A3362" s="4" t="s">
        <v>365</v>
      </c>
      <c r="B3362" s="4" t="s">
        <v>366</v>
      </c>
      <c r="C3362" s="5">
        <v>2004</v>
      </c>
      <c r="D3362" s="4">
        <v>0</v>
      </c>
      <c r="E3362" s="4">
        <v>36000000</v>
      </c>
      <c r="F3362" s="4" t="str">
        <f>_xlfn.LET(_xlpm.r, _xlfn.XLOOKUP(Clean_Data[[#This Row],[Country_Code]], Metadata_Country!$A:$A, Metadata_Country!$B:$B, "Unknown"), IF(OR(_xlpm.r=0, _xlpm.r=""), "Regional Aggregate", _xlpm.r))</f>
        <v>South Asia</v>
      </c>
      <c r="G3362" s="4" t="str">
        <f>_xlfn.LET(_xlpm.ig, _xlfn.XLOOKUP(Clean_Data[[#This Row],[Country_Code]], Metadata_Country!$A:$A, Metadata_Country!$C:$C, "Unknown"), IF(OR(_xlpm.ig=0, _xlpm.ig=""), "Regional Aggregate", _xlpm.ig))</f>
        <v>Lower middle income</v>
      </c>
      <c r="H3362" s="4">
        <f>Clean_Data[[#This Row],[Exports_TIV]] - Clean_Data[[#This Row],[Imports_TIV]]</f>
        <v>-36000000</v>
      </c>
      <c r="I3362" s="4">
        <f>Clean_Data[[#This Row],[Exports_TIV]] + Clean_Data[[#This Row],[Imports_TIV]]</f>
        <v>36000000</v>
      </c>
    </row>
    <row r="3363" spans="1:9">
      <c r="A3363" s="4" t="s">
        <v>361</v>
      </c>
      <c r="B3363" s="4" t="s">
        <v>362</v>
      </c>
      <c r="C3363" s="5">
        <v>2004</v>
      </c>
      <c r="D3363" s="4">
        <v>202000000</v>
      </c>
      <c r="E3363" s="4">
        <v>130000000</v>
      </c>
      <c r="F3363" s="4" t="str">
        <f>_xlfn.LET(_xlpm.r, _xlfn.XLOOKUP(Clean_Data[[#This Row],[Country_Code]], Metadata_Country!$A:$A, Metadata_Country!$B:$B, "Unknown"), IF(OR(_xlpm.r=0, _xlpm.r=""), "Regional Aggregate", _xlpm.r))</f>
        <v>Europe &amp; Central Asia</v>
      </c>
      <c r="G3363" s="4" t="str">
        <f>_xlfn.LET(_xlpm.ig, _xlfn.XLOOKUP(Clean_Data[[#This Row],[Country_Code]], Metadata_Country!$A:$A, Metadata_Country!$C:$C, "Unknown"), IF(OR(_xlpm.ig=0, _xlpm.ig=""), "Regional Aggregate", _xlpm.ig))</f>
        <v>High income</v>
      </c>
      <c r="H3363" s="4">
        <f>Clean_Data[[#This Row],[Exports_TIV]] - Clean_Data[[#This Row],[Imports_TIV]]</f>
        <v>72000000</v>
      </c>
      <c r="I3363" s="4">
        <f>Clean_Data[[#This Row],[Exports_TIV]] + Clean_Data[[#This Row],[Imports_TIV]]</f>
        <v>332000000</v>
      </c>
    </row>
    <row r="3364" spans="1:9">
      <c r="A3364" s="4" t="s">
        <v>369</v>
      </c>
      <c r="B3364" s="4" t="s">
        <v>370</v>
      </c>
      <c r="C3364" s="5">
        <v>2004</v>
      </c>
      <c r="D3364" s="4">
        <v>1000000</v>
      </c>
      <c r="E3364" s="4">
        <v>95000000</v>
      </c>
      <c r="F3364" s="4" t="str">
        <f>_xlfn.LET(_xlpm.r, _xlfn.XLOOKUP(Clean_Data[[#This Row],[Country_Code]], Metadata_Country!$A:$A, Metadata_Country!$B:$B, "Unknown"), IF(OR(_xlpm.r=0, _xlpm.r=""), "Regional Aggregate", _xlpm.r))</f>
        <v>East Asia &amp; Pacific</v>
      </c>
      <c r="G3364" s="4" t="str">
        <f>_xlfn.LET(_xlpm.ig, _xlfn.XLOOKUP(Clean_Data[[#This Row],[Country_Code]], Metadata_Country!$A:$A, Metadata_Country!$C:$C, "Unknown"), IF(OR(_xlpm.ig=0, _xlpm.ig=""), "Regional Aggregate", _xlpm.ig))</f>
        <v>High income</v>
      </c>
      <c r="H3364" s="4">
        <f>Clean_Data[[#This Row],[Exports_TIV]] - Clean_Data[[#This Row],[Imports_TIV]]</f>
        <v>-94000000</v>
      </c>
      <c r="I3364" s="4">
        <f>Clean_Data[[#This Row],[Exports_TIV]] + Clean_Data[[#This Row],[Imports_TIV]]</f>
        <v>96000000</v>
      </c>
    </row>
    <row r="3365" spans="1:9">
      <c r="A3365" s="4" t="s">
        <v>357</v>
      </c>
      <c r="B3365" s="4" t="s">
        <v>358</v>
      </c>
      <c r="C3365" s="5">
        <v>2004</v>
      </c>
      <c r="D3365" s="4">
        <v>0</v>
      </c>
      <c r="E3365" s="4">
        <v>11000000</v>
      </c>
      <c r="F3365" s="4" t="str">
        <f>_xlfn.LET(_xlpm.r, _xlfn.XLOOKUP(Clean_Data[[#This Row],[Country_Code]], Metadata_Country!$A:$A, Metadata_Country!$B:$B, "Unknown"), IF(OR(_xlpm.r=0, _xlpm.r=""), "Regional Aggregate", _xlpm.r))</f>
        <v>Sub-Saharan Africa</v>
      </c>
      <c r="G3365" s="4" t="str">
        <f>_xlfn.LET(_xlpm.ig, _xlfn.XLOOKUP(Clean_Data[[#This Row],[Country_Code]], Metadata_Country!$A:$A, Metadata_Country!$C:$C, "Unknown"), IF(OR(_xlpm.ig=0, _xlpm.ig=""), "Regional Aggregate", _xlpm.ig))</f>
        <v>Lower middle income</v>
      </c>
      <c r="H3365" s="4">
        <f>Clean_Data[[#This Row],[Exports_TIV]] - Clean_Data[[#This Row],[Imports_TIV]]</f>
        <v>-11000000</v>
      </c>
      <c r="I3365" s="4">
        <f>Clean_Data[[#This Row],[Exports_TIV]] + Clean_Data[[#This Row],[Imports_TIV]]</f>
        <v>11000000</v>
      </c>
    </row>
    <row r="3366" spans="1:9">
      <c r="A3366" s="4" t="s">
        <v>349</v>
      </c>
      <c r="B3366" s="4" t="s">
        <v>350</v>
      </c>
      <c r="C3366" s="5">
        <v>2004</v>
      </c>
      <c r="D3366" s="4">
        <v>7158000000</v>
      </c>
      <c r="E3366" s="4">
        <v>937000000</v>
      </c>
      <c r="F3366" s="4" t="str">
        <f>_xlfn.LET(_xlpm.r, _xlfn.XLOOKUP(Clean_Data[[#This Row],[Country_Code]], Metadata_Country!$A:$A, Metadata_Country!$B:$B, "Unknown"), IF(OR(_xlpm.r=0, _xlpm.r=""), "Regional Aggregate", _xlpm.r))</f>
        <v>Regional Aggregate</v>
      </c>
      <c r="G3366" s="4" t="str">
        <f>_xlfn.LET(_xlpm.ig, _xlfn.XLOOKUP(Clean_Data[[#This Row],[Country_Code]], Metadata_Country!$A:$A, Metadata_Country!$C:$C, "Unknown"), IF(OR(_xlpm.ig=0, _xlpm.ig=""), "Regional Aggregate", _xlpm.ig))</f>
        <v>Regional Aggregate</v>
      </c>
      <c r="H3366" s="4">
        <f>Clean_Data[[#This Row],[Exports_TIV]] - Clean_Data[[#This Row],[Imports_TIV]]</f>
        <v>6221000000</v>
      </c>
      <c r="I3366" s="4">
        <f>Clean_Data[[#This Row],[Exports_TIV]] + Clean_Data[[#This Row],[Imports_TIV]]</f>
        <v>8095000000</v>
      </c>
    </row>
    <row r="3367" spans="1:9">
      <c r="A3367" s="4" t="s">
        <v>363</v>
      </c>
      <c r="B3367" s="4" t="s">
        <v>364</v>
      </c>
      <c r="C3367" s="5">
        <v>2004</v>
      </c>
      <c r="D3367" s="4">
        <v>59000000</v>
      </c>
      <c r="E3367" s="4">
        <v>6000000</v>
      </c>
      <c r="F3367" s="4" t="str">
        <f>_xlfn.LET(_xlpm.r, _xlfn.XLOOKUP(Clean_Data[[#This Row],[Country_Code]], Metadata_Country!$A:$A, Metadata_Country!$B:$B, "Unknown"), IF(OR(_xlpm.r=0, _xlpm.r=""), "Regional Aggregate", _xlpm.r))</f>
        <v>Europe &amp; Central Asia</v>
      </c>
      <c r="G3367" s="4" t="str">
        <f>_xlfn.LET(_xlpm.ig, _xlfn.XLOOKUP(Clean_Data[[#This Row],[Country_Code]], Metadata_Country!$A:$A, Metadata_Country!$C:$C, "Unknown"), IF(OR(_xlpm.ig=0, _xlpm.ig=""), "Regional Aggregate", _xlpm.ig))</f>
        <v>High income</v>
      </c>
      <c r="H3367" s="4">
        <f>Clean_Data[[#This Row],[Exports_TIV]] - Clean_Data[[#This Row],[Imports_TIV]]</f>
        <v>53000000</v>
      </c>
      <c r="I3367" s="4">
        <f>Clean_Data[[#This Row],[Exports_TIV]] + Clean_Data[[#This Row],[Imports_TIV]]</f>
        <v>65000000</v>
      </c>
    </row>
    <row r="3368" spans="1:9">
      <c r="A3368" s="4" t="s">
        <v>371</v>
      </c>
      <c r="B3368" s="4" t="s">
        <v>372</v>
      </c>
      <c r="C3368" s="5">
        <v>2004</v>
      </c>
      <c r="D3368" s="4">
        <v>13663000000</v>
      </c>
      <c r="E3368" s="4">
        <v>8109000000</v>
      </c>
      <c r="F3368" s="4" t="str">
        <f>_xlfn.LET(_xlpm.r, _xlfn.XLOOKUP(Clean_Data[[#This Row],[Country_Code]], Metadata_Country!$A:$A, Metadata_Country!$B:$B, "Unknown"), IF(OR(_xlpm.r=0, _xlpm.r=""), "Regional Aggregate", _xlpm.r))</f>
        <v>Regional Aggregate</v>
      </c>
      <c r="G3368" s="4" t="str">
        <f>_xlfn.LET(_xlpm.ig, _xlfn.XLOOKUP(Clean_Data[[#This Row],[Country_Code]], Metadata_Country!$A:$A, Metadata_Country!$C:$C, "Unknown"), IF(OR(_xlpm.ig=0, _xlpm.ig=""), "Regional Aggregate", _xlpm.ig))</f>
        <v>Regional Aggregate</v>
      </c>
      <c r="H3368" s="4">
        <f>Clean_Data[[#This Row],[Exports_TIV]] - Clean_Data[[#This Row],[Imports_TIV]]</f>
        <v>5554000000</v>
      </c>
      <c r="I3368" s="4">
        <f>Clean_Data[[#This Row],[Exports_TIV]] + Clean_Data[[#This Row],[Imports_TIV]]</f>
        <v>21772000000</v>
      </c>
    </row>
    <row r="3369" spans="1:9">
      <c r="A3369" s="4" t="s">
        <v>373</v>
      </c>
      <c r="B3369" s="4" t="s">
        <v>374</v>
      </c>
      <c r="C3369" s="5">
        <v>2004</v>
      </c>
      <c r="D3369" s="4">
        <v>0</v>
      </c>
      <c r="E3369" s="4">
        <v>49000000</v>
      </c>
      <c r="F3369" s="4" t="str">
        <f>_xlfn.LET(_xlpm.r, _xlfn.XLOOKUP(Clean_Data[[#This Row],[Country_Code]], Metadata_Country!$A:$A, Metadata_Country!$B:$B, "Unknown"), IF(OR(_xlpm.r=0, _xlpm.r=""), "Regional Aggregate", _xlpm.r))</f>
        <v>Middle East &amp; North Africa</v>
      </c>
      <c r="G3369" s="4" t="str">
        <f>_xlfn.LET(_xlpm.ig, _xlfn.XLOOKUP(Clean_Data[[#This Row],[Country_Code]], Metadata_Country!$A:$A, Metadata_Country!$C:$C, "Unknown"), IF(OR(_xlpm.ig=0, _xlpm.ig=""), "Regional Aggregate", _xlpm.ig))</f>
        <v>High income</v>
      </c>
      <c r="H3369" s="4">
        <f>Clean_Data[[#This Row],[Exports_TIV]] - Clean_Data[[#This Row],[Imports_TIV]]</f>
        <v>-49000000</v>
      </c>
      <c r="I3369" s="4">
        <f>Clean_Data[[#This Row],[Exports_TIV]] + Clean_Data[[#This Row],[Imports_TIV]]</f>
        <v>49000000</v>
      </c>
    </row>
    <row r="3370" spans="1:9">
      <c r="A3370" s="4" t="s">
        <v>375</v>
      </c>
      <c r="B3370" s="4" t="s">
        <v>376</v>
      </c>
      <c r="C3370" s="5">
        <v>2004</v>
      </c>
      <c r="D3370" s="4">
        <v>0</v>
      </c>
      <c r="E3370" s="4">
        <v>45000000</v>
      </c>
      <c r="F3370" s="4" t="str">
        <f>_xlfn.LET(_xlpm.r, _xlfn.XLOOKUP(Clean_Data[[#This Row],[Country_Code]], Metadata_Country!$A:$A, Metadata_Country!$B:$B, "Unknown"), IF(OR(_xlpm.r=0, _xlpm.r=""), "Regional Aggregate", _xlpm.r))</f>
        <v>Regional Aggregate</v>
      </c>
      <c r="G3370" s="4" t="str">
        <f>_xlfn.LET(_xlpm.ig, _xlfn.XLOOKUP(Clean_Data[[#This Row],[Country_Code]], Metadata_Country!$A:$A, Metadata_Country!$C:$C, "Unknown"), IF(OR(_xlpm.ig=0, _xlpm.ig=""), "Regional Aggregate", _xlpm.ig))</f>
        <v>Regional Aggregate</v>
      </c>
      <c r="H3370" s="4">
        <f>Clean_Data[[#This Row],[Exports_TIV]] - Clean_Data[[#This Row],[Imports_TIV]]</f>
        <v>-45000000</v>
      </c>
      <c r="I3370" s="4">
        <f>Clean_Data[[#This Row],[Exports_TIV]] + Clean_Data[[#This Row],[Imports_TIV]]</f>
        <v>45000000</v>
      </c>
    </row>
    <row r="3371" spans="1:9">
      <c r="A3371" s="4" t="s">
        <v>377</v>
      </c>
      <c r="B3371" s="4" t="s">
        <v>378</v>
      </c>
      <c r="C3371" s="5">
        <v>2004</v>
      </c>
      <c r="D3371" s="4">
        <v>9000000</v>
      </c>
      <c r="E3371" s="4">
        <v>471000000</v>
      </c>
      <c r="F3371" s="4" t="str">
        <f>_xlfn.LET(_xlpm.r, _xlfn.XLOOKUP(Clean_Data[[#This Row],[Country_Code]], Metadata_Country!$A:$A, Metadata_Country!$B:$B, "Unknown"), IF(OR(_xlpm.r=0, _xlpm.r=""), "Regional Aggregate", _xlpm.r))</f>
        <v>Middle East &amp; North Africa</v>
      </c>
      <c r="G3371" s="4" t="str">
        <f>_xlfn.LET(_xlpm.ig, _xlfn.XLOOKUP(Clean_Data[[#This Row],[Country_Code]], Metadata_Country!$A:$A, Metadata_Country!$C:$C, "Unknown"), IF(OR(_xlpm.ig=0, _xlpm.ig=""), "Regional Aggregate", _xlpm.ig))</f>
        <v>Lower middle income</v>
      </c>
      <c r="H3371" s="4">
        <f>Clean_Data[[#This Row],[Exports_TIV]] - Clean_Data[[#This Row],[Imports_TIV]]</f>
        <v>-462000000</v>
      </c>
      <c r="I3371" s="4">
        <f>Clean_Data[[#This Row],[Exports_TIV]] + Clean_Data[[#This Row],[Imports_TIV]]</f>
        <v>480000000</v>
      </c>
    </row>
    <row r="3372" spans="1:9">
      <c r="A3372" s="4" t="s">
        <v>399</v>
      </c>
      <c r="B3372" s="4" t="s">
        <v>400</v>
      </c>
      <c r="C3372" s="5">
        <v>2004</v>
      </c>
      <c r="D3372" s="4">
        <v>0</v>
      </c>
      <c r="E3372" s="4">
        <v>4000000</v>
      </c>
      <c r="F3372" s="4" t="str">
        <f>_xlfn.LET(_xlpm.r, _xlfn.XLOOKUP(Clean_Data[[#This Row],[Country_Code]], Metadata_Country!$A:$A, Metadata_Country!$B:$B, "Unknown"), IF(OR(_xlpm.r=0, _xlpm.r=""), "Regional Aggregate", _xlpm.r))</f>
        <v>Latin America &amp; Caribbean</v>
      </c>
      <c r="G3372" s="4" t="str">
        <f>_xlfn.LET(_xlpm.ig, _xlfn.XLOOKUP(Clean_Data[[#This Row],[Country_Code]], Metadata_Country!$A:$A, Metadata_Country!$C:$C, "Unknown"), IF(OR(_xlpm.ig=0, _xlpm.ig=""), "Regional Aggregate", _xlpm.ig))</f>
        <v>Upper middle income</v>
      </c>
      <c r="H3372" s="4">
        <f>Clean_Data[[#This Row],[Exports_TIV]] - Clean_Data[[#This Row],[Imports_TIV]]</f>
        <v>-4000000</v>
      </c>
      <c r="I3372" s="4">
        <f>Clean_Data[[#This Row],[Exports_TIV]] + Clean_Data[[#This Row],[Imports_TIV]]</f>
        <v>4000000</v>
      </c>
    </row>
    <row r="3373" spans="1:9">
      <c r="A3373" s="4" t="s">
        <v>381</v>
      </c>
      <c r="B3373" s="4" t="s">
        <v>382</v>
      </c>
      <c r="C3373" s="5">
        <v>2004</v>
      </c>
      <c r="D3373" s="4">
        <v>5000000</v>
      </c>
      <c r="E3373" s="4">
        <v>47000000</v>
      </c>
      <c r="F3373" s="4" t="str">
        <f>_xlfn.LET(_xlpm.r, _xlfn.XLOOKUP(Clean_Data[[#This Row],[Country_Code]], Metadata_Country!$A:$A, Metadata_Country!$B:$B, "Unknown"), IF(OR(_xlpm.r=0, _xlpm.r=""), "Regional Aggregate", _xlpm.r))</f>
        <v>Latin America &amp; Caribbean</v>
      </c>
      <c r="G3373" s="4" t="str">
        <f>_xlfn.LET(_xlpm.ig, _xlfn.XLOOKUP(Clean_Data[[#This Row],[Country_Code]], Metadata_Country!$A:$A, Metadata_Country!$C:$C, "Unknown"), IF(OR(_xlpm.ig=0, _xlpm.ig=""), "Regional Aggregate", _xlpm.ig))</f>
        <v>Upper middle income</v>
      </c>
      <c r="H3373" s="4">
        <f>Clean_Data[[#This Row],[Exports_TIV]] - Clean_Data[[#This Row],[Imports_TIV]]</f>
        <v>-42000000</v>
      </c>
      <c r="I3373" s="4">
        <f>Clean_Data[[#This Row],[Exports_TIV]] + Clean_Data[[#This Row],[Imports_TIV]]</f>
        <v>52000000</v>
      </c>
    </row>
    <row r="3374" spans="1:9">
      <c r="A3374" s="4" t="s">
        <v>383</v>
      </c>
      <c r="B3374" s="4" t="s">
        <v>384</v>
      </c>
      <c r="C3374" s="5">
        <v>2004</v>
      </c>
      <c r="D3374" s="4">
        <v>0</v>
      </c>
      <c r="E3374" s="4">
        <v>34000000</v>
      </c>
      <c r="F3374" s="4" t="str">
        <f>_xlfn.LET(_xlpm.r, _xlfn.XLOOKUP(Clean_Data[[#This Row],[Country_Code]], Metadata_Country!$A:$A, Metadata_Country!$B:$B, "Unknown"), IF(OR(_xlpm.r=0, _xlpm.r=""), "Regional Aggregate", _xlpm.r))</f>
        <v>East Asia &amp; Pacific</v>
      </c>
      <c r="G3374" s="4" t="str">
        <f>_xlfn.LET(_xlpm.ig, _xlfn.XLOOKUP(Clean_Data[[#This Row],[Country_Code]], Metadata_Country!$A:$A, Metadata_Country!$C:$C, "Unknown"), IF(OR(_xlpm.ig=0, _xlpm.ig=""), "Regional Aggregate", _xlpm.ig))</f>
        <v>Upper middle income</v>
      </c>
      <c r="H3374" s="4">
        <f>Clean_Data[[#This Row],[Exports_TIV]] - Clean_Data[[#This Row],[Imports_TIV]]</f>
        <v>-34000000</v>
      </c>
      <c r="I3374" s="4">
        <f>Clean_Data[[#This Row],[Exports_TIV]] + Clean_Data[[#This Row],[Imports_TIV]]</f>
        <v>34000000</v>
      </c>
    </row>
    <row r="3375" spans="1:9">
      <c r="A3375" s="4" t="s">
        <v>389</v>
      </c>
      <c r="B3375" s="4" t="s">
        <v>390</v>
      </c>
      <c r="C3375" s="5">
        <v>2004</v>
      </c>
      <c r="D3375" s="4">
        <v>47000000</v>
      </c>
      <c r="E3375" s="4">
        <v>223000000</v>
      </c>
      <c r="F3375" s="4" t="str">
        <f>_xlfn.LET(_xlpm.r, _xlfn.XLOOKUP(Clean_Data[[#This Row],[Country_Code]], Metadata_Country!$A:$A, Metadata_Country!$B:$B, "Unknown"), IF(OR(_xlpm.r=0, _xlpm.r=""), "Regional Aggregate", _xlpm.r))</f>
        <v>Europe &amp; Central Asia</v>
      </c>
      <c r="G3375" s="4" t="str">
        <f>_xlfn.LET(_xlpm.ig, _xlfn.XLOOKUP(Clean_Data[[#This Row],[Country_Code]], Metadata_Country!$A:$A, Metadata_Country!$C:$C, "Unknown"), IF(OR(_xlpm.ig=0, _xlpm.ig=""), "Regional Aggregate", _xlpm.ig))</f>
        <v>High income</v>
      </c>
      <c r="H3375" s="4">
        <f>Clean_Data[[#This Row],[Exports_TIV]] - Clean_Data[[#This Row],[Imports_TIV]]</f>
        <v>-176000000</v>
      </c>
      <c r="I3375" s="4">
        <f>Clean_Data[[#This Row],[Exports_TIV]] + Clean_Data[[#This Row],[Imports_TIV]]</f>
        <v>270000000</v>
      </c>
    </row>
    <row r="3376" spans="1:9">
      <c r="A3376" s="4" t="s">
        <v>397</v>
      </c>
      <c r="B3376" s="4" t="s">
        <v>398</v>
      </c>
      <c r="C3376" s="5">
        <v>2004</v>
      </c>
      <c r="D3376" s="4">
        <v>0</v>
      </c>
      <c r="E3376" s="4">
        <v>70000000</v>
      </c>
      <c r="F3376" s="4" t="str">
        <f>_xlfn.LET(_xlpm.r, _xlfn.XLOOKUP(Clean_Data[[#This Row],[Country_Code]], Metadata_Country!$A:$A, Metadata_Country!$B:$B, "Unknown"), IF(OR(_xlpm.r=0, _xlpm.r=""), "Regional Aggregate", _xlpm.r))</f>
        <v>Europe &amp; Central Asia</v>
      </c>
      <c r="G3376" s="4" t="str">
        <f>_xlfn.LET(_xlpm.ig, _xlfn.XLOOKUP(Clean_Data[[#This Row],[Country_Code]], Metadata_Country!$A:$A, Metadata_Country!$C:$C, "Unknown"), IF(OR(_xlpm.ig=0, _xlpm.ig=""), "Regional Aggregate", _xlpm.ig))</f>
        <v>High income</v>
      </c>
      <c r="H3376" s="4">
        <f>Clean_Data[[#This Row],[Exports_TIV]] - Clean_Data[[#This Row],[Imports_TIV]]</f>
        <v>-70000000</v>
      </c>
      <c r="I3376" s="4">
        <f>Clean_Data[[#This Row],[Exports_TIV]] + Clean_Data[[#This Row],[Imports_TIV]]</f>
        <v>70000000</v>
      </c>
    </row>
    <row r="3377" spans="1:9">
      <c r="A3377" s="4" t="s">
        <v>405</v>
      </c>
      <c r="B3377" s="4" t="s">
        <v>406</v>
      </c>
      <c r="C3377" s="5">
        <v>2004</v>
      </c>
      <c r="D3377" s="4">
        <v>13251000000</v>
      </c>
      <c r="E3377" s="4">
        <v>6740000000</v>
      </c>
      <c r="F3377" s="4" t="str">
        <f>_xlfn.LET(_xlpm.r, _xlfn.XLOOKUP(Clean_Data[[#This Row],[Country_Code]], Metadata_Country!$A:$A, Metadata_Country!$B:$B, "Unknown"), IF(OR(_xlpm.r=0, _xlpm.r=""), "Regional Aggregate", _xlpm.r))</f>
        <v>Regional Aggregate</v>
      </c>
      <c r="G3377" s="4" t="str">
        <f>_xlfn.LET(_xlpm.ig, _xlfn.XLOOKUP(Clean_Data[[#This Row],[Country_Code]], Metadata_Country!$A:$A, Metadata_Country!$C:$C, "Unknown"), IF(OR(_xlpm.ig=0, _xlpm.ig=""), "Regional Aggregate", _xlpm.ig))</f>
        <v>Regional Aggregate</v>
      </c>
      <c r="H3377" s="4">
        <f>Clean_Data[[#This Row],[Exports_TIV]] - Clean_Data[[#This Row],[Imports_TIV]]</f>
        <v>6511000000</v>
      </c>
      <c r="I3377" s="4">
        <f>Clean_Data[[#This Row],[Exports_TIV]] + Clean_Data[[#This Row],[Imports_TIV]]</f>
        <v>19991000000</v>
      </c>
    </row>
    <row r="3378" spans="1:9">
      <c r="A3378" s="4" t="s">
        <v>411</v>
      </c>
      <c r="B3378" s="4" t="s">
        <v>412</v>
      </c>
      <c r="C3378" s="5">
        <v>2004</v>
      </c>
      <c r="D3378" s="4">
        <v>0</v>
      </c>
      <c r="E3378" s="4">
        <v>283000000</v>
      </c>
      <c r="F3378" s="4" t="str">
        <f>_xlfn.LET(_xlpm.r, _xlfn.XLOOKUP(Clean_Data[[#This Row],[Country_Code]], Metadata_Country!$A:$A, Metadata_Country!$B:$B, "Unknown"), IF(OR(_xlpm.r=0, _xlpm.r=""), "Regional Aggregate", _xlpm.r))</f>
        <v>Europe &amp; Central Asia</v>
      </c>
      <c r="G3378" s="4" t="str">
        <f>_xlfn.LET(_xlpm.ig, _xlfn.XLOOKUP(Clean_Data[[#This Row],[Country_Code]], Metadata_Country!$A:$A, Metadata_Country!$C:$C, "Unknown"), IF(OR(_xlpm.ig=0, _xlpm.ig=""), "Regional Aggregate", _xlpm.ig))</f>
        <v>High income</v>
      </c>
      <c r="H3378" s="4">
        <f>Clean_Data[[#This Row],[Exports_TIV]] - Clean_Data[[#This Row],[Imports_TIV]]</f>
        <v>-283000000</v>
      </c>
      <c r="I3378" s="4">
        <f>Clean_Data[[#This Row],[Exports_TIV]] + Clean_Data[[#This Row],[Imports_TIV]]</f>
        <v>283000000</v>
      </c>
    </row>
    <row r="3379" spans="1:9">
      <c r="A3379" s="4" t="s">
        <v>413</v>
      </c>
      <c r="B3379" s="4" t="s">
        <v>414</v>
      </c>
      <c r="C3379" s="5">
        <v>2004</v>
      </c>
      <c r="D3379" s="4">
        <v>6353000000</v>
      </c>
      <c r="E3379" s="4">
        <v>0</v>
      </c>
      <c r="F3379" s="4" t="str">
        <f>_xlfn.LET(_xlpm.r, _xlfn.XLOOKUP(Clean_Data[[#This Row],[Country_Code]], Metadata_Country!$A:$A, Metadata_Country!$B:$B, "Unknown"), IF(OR(_xlpm.r=0, _xlpm.r=""), "Regional Aggregate", _xlpm.r))</f>
        <v>Europe &amp; Central Asia</v>
      </c>
      <c r="G3379" s="4" t="str">
        <f>_xlfn.LET(_xlpm.ig, _xlfn.XLOOKUP(Clean_Data[[#This Row],[Country_Code]], Metadata_Country!$A:$A, Metadata_Country!$C:$C, "Unknown"), IF(OR(_xlpm.ig=0, _xlpm.ig=""), "Regional Aggregate", _xlpm.ig))</f>
        <v>High income</v>
      </c>
      <c r="H3379" s="4">
        <f>Clean_Data[[#This Row],[Exports_TIV]] - Clean_Data[[#This Row],[Imports_TIV]]</f>
        <v>6353000000</v>
      </c>
      <c r="I3379" s="4">
        <f>Clean_Data[[#This Row],[Exports_TIV]] + Clean_Data[[#This Row],[Imports_TIV]]</f>
        <v>6353000000</v>
      </c>
    </row>
    <row r="3380" spans="1:9">
      <c r="A3380" s="4" t="s">
        <v>419</v>
      </c>
      <c r="B3380" s="4" t="s">
        <v>420</v>
      </c>
      <c r="C3380" s="5">
        <v>2004</v>
      </c>
      <c r="D3380" s="4">
        <v>0</v>
      </c>
      <c r="E3380" s="4">
        <v>1157000000</v>
      </c>
      <c r="F3380" s="4" t="str">
        <f>_xlfn.LET(_xlpm.r, _xlfn.XLOOKUP(Clean_Data[[#This Row],[Country_Code]], Metadata_Country!$A:$A, Metadata_Country!$B:$B, "Unknown"), IF(OR(_xlpm.r=0, _xlpm.r=""), "Regional Aggregate", _xlpm.r))</f>
        <v>Middle East &amp; North Africa</v>
      </c>
      <c r="G3380" s="4" t="str">
        <f>_xlfn.LET(_xlpm.ig, _xlfn.XLOOKUP(Clean_Data[[#This Row],[Country_Code]], Metadata_Country!$A:$A, Metadata_Country!$C:$C, "Unknown"), IF(OR(_xlpm.ig=0, _xlpm.ig=""), "Regional Aggregate", _xlpm.ig))</f>
        <v>High income</v>
      </c>
      <c r="H3380" s="4">
        <f>Clean_Data[[#This Row],[Exports_TIV]] - Clean_Data[[#This Row],[Imports_TIV]]</f>
        <v>-1157000000</v>
      </c>
      <c r="I3380" s="4">
        <f>Clean_Data[[#This Row],[Exports_TIV]] + Clean_Data[[#This Row],[Imports_TIV]]</f>
        <v>1157000000</v>
      </c>
    </row>
    <row r="3381" spans="1:9">
      <c r="A3381" s="4" t="s">
        <v>425</v>
      </c>
      <c r="B3381" s="4" t="s">
        <v>426</v>
      </c>
      <c r="C3381" s="5">
        <v>2004</v>
      </c>
      <c r="D3381" s="4">
        <v>65000000</v>
      </c>
      <c r="E3381" s="4">
        <v>374000000</v>
      </c>
      <c r="F3381" s="4" t="str">
        <f>_xlfn.LET(_xlpm.r, _xlfn.XLOOKUP(Clean_Data[[#This Row],[Country_Code]], Metadata_Country!$A:$A, Metadata_Country!$B:$B, "Unknown"), IF(OR(_xlpm.r=0, _xlpm.r=""), "Regional Aggregate", _xlpm.r))</f>
        <v>East Asia &amp; Pacific</v>
      </c>
      <c r="G3381" s="4" t="str">
        <f>_xlfn.LET(_xlpm.ig, _xlfn.XLOOKUP(Clean_Data[[#This Row],[Country_Code]], Metadata_Country!$A:$A, Metadata_Country!$C:$C, "Unknown"), IF(OR(_xlpm.ig=0, _xlpm.ig=""), "Regional Aggregate", _xlpm.ig))</f>
        <v>High income</v>
      </c>
      <c r="H3381" s="4">
        <f>Clean_Data[[#This Row],[Exports_TIV]] - Clean_Data[[#This Row],[Imports_TIV]]</f>
        <v>-309000000</v>
      </c>
      <c r="I3381" s="4">
        <f>Clean_Data[[#This Row],[Exports_TIV]] + Clean_Data[[#This Row],[Imports_TIV]]</f>
        <v>439000000</v>
      </c>
    </row>
    <row r="3382" spans="1:9">
      <c r="A3382" s="4" t="s">
        <v>451</v>
      </c>
      <c r="B3382" s="4" t="s">
        <v>452</v>
      </c>
      <c r="C3382" s="5">
        <v>2004</v>
      </c>
      <c r="D3382" s="4">
        <v>46000000</v>
      </c>
      <c r="E3382" s="4">
        <v>1000000</v>
      </c>
      <c r="F3382" s="4" t="str">
        <f>_xlfn.LET(_xlpm.r, _xlfn.XLOOKUP(Clean_Data[[#This Row],[Country_Code]], Metadata_Country!$A:$A, Metadata_Country!$B:$B, "Unknown"), IF(OR(_xlpm.r=0, _xlpm.r=""), "Regional Aggregate", _xlpm.r))</f>
        <v>Europe &amp; Central Asia</v>
      </c>
      <c r="G3382" s="4" t="str">
        <f>_xlfn.LET(_xlpm.ig, _xlfn.XLOOKUP(Clean_Data[[#This Row],[Country_Code]], Metadata_Country!$A:$A, Metadata_Country!$C:$C, "Unknown"), IF(OR(_xlpm.ig=0, _xlpm.ig=""), "Regional Aggregate", _xlpm.ig))</f>
        <v>High income</v>
      </c>
      <c r="H3382" s="4">
        <f>Clean_Data[[#This Row],[Exports_TIV]] - Clean_Data[[#This Row],[Imports_TIV]]</f>
        <v>45000000</v>
      </c>
      <c r="I3382" s="4">
        <f>Clean_Data[[#This Row],[Exports_TIV]] + Clean_Data[[#This Row],[Imports_TIV]]</f>
        <v>47000000</v>
      </c>
    </row>
    <row r="3383" spans="1:9">
      <c r="A3383" s="4" t="s">
        <v>453</v>
      </c>
      <c r="B3383" s="4" t="s">
        <v>454</v>
      </c>
      <c r="C3383" s="5">
        <v>2004</v>
      </c>
      <c r="D3383" s="4">
        <v>0</v>
      </c>
      <c r="E3383" s="4">
        <v>17000000</v>
      </c>
      <c r="F3383" s="4" t="str">
        <f>_xlfn.LET(_xlpm.r, _xlfn.XLOOKUP(Clean_Data[[#This Row],[Country_Code]], Metadata_Country!$A:$A, Metadata_Country!$B:$B, "Unknown"), IF(OR(_xlpm.r=0, _xlpm.r=""), "Regional Aggregate", _xlpm.r))</f>
        <v>Europe &amp; Central Asia</v>
      </c>
      <c r="G3383" s="4" t="str">
        <f>_xlfn.LET(_xlpm.ig, _xlfn.XLOOKUP(Clean_Data[[#This Row],[Country_Code]], Metadata_Country!$A:$A, Metadata_Country!$C:$C, "Unknown"), IF(OR(_xlpm.ig=0, _xlpm.ig=""), "Regional Aggregate", _xlpm.ig))</f>
        <v>High income</v>
      </c>
      <c r="H3383" s="4">
        <f>Clean_Data[[#This Row],[Exports_TIV]] - Clean_Data[[#This Row],[Imports_TIV]]</f>
        <v>-17000000</v>
      </c>
      <c r="I3383" s="4">
        <f>Clean_Data[[#This Row],[Exports_TIV]] + Clean_Data[[#This Row],[Imports_TIV]]</f>
        <v>17000000</v>
      </c>
    </row>
    <row r="3384" spans="1:9">
      <c r="A3384" s="4" t="s">
        <v>535</v>
      </c>
      <c r="B3384" s="4" t="s">
        <v>536</v>
      </c>
      <c r="C3384" s="5">
        <v>2004</v>
      </c>
      <c r="D3384" s="4">
        <v>74000000</v>
      </c>
      <c r="E3384" s="4">
        <v>0</v>
      </c>
      <c r="F3384" s="4" t="str">
        <f>_xlfn.LET(_xlpm.r, _xlfn.XLOOKUP(Clean_Data[[#This Row],[Country_Code]], Metadata_Country!$A:$A, Metadata_Country!$B:$B, "Unknown"), IF(OR(_xlpm.r=0, _xlpm.r=""), "Regional Aggregate", _xlpm.r))</f>
        <v>Sub-Saharan Africa</v>
      </c>
      <c r="G3384" s="4" t="str">
        <f>_xlfn.LET(_xlpm.ig, _xlfn.XLOOKUP(Clean_Data[[#This Row],[Country_Code]], Metadata_Country!$A:$A, Metadata_Country!$C:$C, "Unknown"), IF(OR(_xlpm.ig=0, _xlpm.ig=""), "Regional Aggregate", _xlpm.ig))</f>
        <v>Upper middle income</v>
      </c>
      <c r="H3384" s="4">
        <f>Clean_Data[[#This Row],[Exports_TIV]] - Clean_Data[[#This Row],[Imports_TIV]]</f>
        <v>74000000</v>
      </c>
      <c r="I3384" s="4">
        <f>Clean_Data[[#This Row],[Exports_TIV]] + Clean_Data[[#This Row],[Imports_TIV]]</f>
        <v>74000000</v>
      </c>
    </row>
    <row r="3385" spans="1:9">
      <c r="A3385" s="4" t="s">
        <v>417</v>
      </c>
      <c r="B3385" s="4" t="s">
        <v>418</v>
      </c>
      <c r="C3385" s="5">
        <v>2004</v>
      </c>
      <c r="D3385" s="4">
        <v>31000000</v>
      </c>
      <c r="E3385" s="4">
        <v>2352000000</v>
      </c>
      <c r="F3385" s="4" t="str">
        <f>_xlfn.LET(_xlpm.r, _xlfn.XLOOKUP(Clean_Data[[#This Row],[Country_Code]], Metadata_Country!$A:$A, Metadata_Country!$B:$B, "Unknown"), IF(OR(_xlpm.r=0, _xlpm.r=""), "Regional Aggregate", _xlpm.r))</f>
        <v>Regional Aggregate</v>
      </c>
      <c r="G3385" s="4" t="str">
        <f>_xlfn.LET(_xlpm.ig, _xlfn.XLOOKUP(Clean_Data[[#This Row],[Country_Code]], Metadata_Country!$A:$A, Metadata_Country!$C:$C, "Unknown"), IF(OR(_xlpm.ig=0, _xlpm.ig=""), "Regional Aggregate", _xlpm.ig))</f>
        <v>Regional Aggregate</v>
      </c>
      <c r="H3385" s="4">
        <f>Clean_Data[[#This Row],[Exports_TIV]] - Clean_Data[[#This Row],[Imports_TIV]]</f>
        <v>-2321000000</v>
      </c>
      <c r="I3385" s="4">
        <f>Clean_Data[[#This Row],[Exports_TIV]] + Clean_Data[[#This Row],[Imports_TIV]]</f>
        <v>2383000000</v>
      </c>
    </row>
    <row r="3386" spans="1:9">
      <c r="A3386" s="4" t="s">
        <v>489</v>
      </c>
      <c r="B3386" s="4" t="s">
        <v>490</v>
      </c>
      <c r="C3386" s="5">
        <v>2004</v>
      </c>
      <c r="D3386" s="4">
        <v>31000000</v>
      </c>
      <c r="E3386" s="4">
        <v>2352000000</v>
      </c>
      <c r="F3386" s="4" t="str">
        <f>_xlfn.LET(_xlpm.r, _xlfn.XLOOKUP(Clean_Data[[#This Row],[Country_Code]], Metadata_Country!$A:$A, Metadata_Country!$B:$B, "Unknown"), IF(OR(_xlpm.r=0, _xlpm.r=""), "Regional Aggregate", _xlpm.r))</f>
        <v>Regional Aggregate</v>
      </c>
      <c r="G3386" s="4" t="str">
        <f>_xlfn.LET(_xlpm.ig, _xlfn.XLOOKUP(Clean_Data[[#This Row],[Country_Code]], Metadata_Country!$A:$A, Metadata_Country!$C:$C, "Unknown"), IF(OR(_xlpm.ig=0, _xlpm.ig=""), "Regional Aggregate", _xlpm.ig))</f>
        <v>Regional Aggregate</v>
      </c>
      <c r="H3386" s="4">
        <f>Clean_Data[[#This Row],[Exports_TIV]] - Clean_Data[[#This Row],[Imports_TIV]]</f>
        <v>-2321000000</v>
      </c>
      <c r="I3386" s="4">
        <f>Clean_Data[[#This Row],[Exports_TIV]] + Clean_Data[[#This Row],[Imports_TIV]]</f>
        <v>2383000000</v>
      </c>
    </row>
    <row r="3387" spans="1:9">
      <c r="A3387" s="4" t="s">
        <v>149</v>
      </c>
      <c r="B3387" s="4" t="s">
        <v>150</v>
      </c>
      <c r="C3387" s="5">
        <v>2004</v>
      </c>
      <c r="D3387" s="4">
        <v>54000000</v>
      </c>
      <c r="E3387" s="4">
        <v>288000000</v>
      </c>
      <c r="F3387" s="4" t="str">
        <f>_xlfn.LET(_xlpm.r, _xlfn.XLOOKUP(Clean_Data[[#This Row],[Country_Code]], Metadata_Country!$A:$A, Metadata_Country!$B:$B, "Unknown"), IF(OR(_xlpm.r=0, _xlpm.r=""), "Regional Aggregate", _xlpm.r))</f>
        <v>Europe &amp; Central Asia</v>
      </c>
      <c r="G3387" s="4" t="str">
        <f>_xlfn.LET(_xlpm.ig, _xlfn.XLOOKUP(Clean_Data[[#This Row],[Country_Code]], Metadata_Country!$A:$A, Metadata_Country!$C:$C, "Unknown"), IF(OR(_xlpm.ig=0, _xlpm.ig=""), "Regional Aggregate", _xlpm.ig))</f>
        <v>High income</v>
      </c>
      <c r="H3387" s="4">
        <f>Clean_Data[[#This Row],[Exports_TIV]] - Clean_Data[[#This Row],[Imports_TIV]]</f>
        <v>-234000000</v>
      </c>
      <c r="I3387" s="4">
        <f>Clean_Data[[#This Row],[Exports_TIV]] + Clean_Data[[#This Row],[Imports_TIV]]</f>
        <v>342000000</v>
      </c>
    </row>
    <row r="3388" spans="1:9">
      <c r="A3388" s="4" t="s">
        <v>285</v>
      </c>
      <c r="B3388" s="4" t="s">
        <v>286</v>
      </c>
      <c r="C3388" s="5">
        <v>2004</v>
      </c>
      <c r="D3388" s="4">
        <v>0</v>
      </c>
      <c r="E3388" s="4">
        <v>38000000</v>
      </c>
      <c r="F3388" s="4" t="str">
        <f>_xlfn.LET(_xlpm.r, _xlfn.XLOOKUP(Clean_Data[[#This Row],[Country_Code]], Metadata_Country!$A:$A, Metadata_Country!$B:$B, "Unknown"), IF(OR(_xlpm.r=0, _xlpm.r=""), "Regional Aggregate", _xlpm.r))</f>
        <v>South Asia</v>
      </c>
      <c r="G3388" s="4" t="str">
        <f>_xlfn.LET(_xlpm.ig, _xlfn.XLOOKUP(Clean_Data[[#This Row],[Country_Code]], Metadata_Country!$A:$A, Metadata_Country!$C:$C, "Unknown"), IF(OR(_xlpm.ig=0, _xlpm.ig=""), "Regional Aggregate", _xlpm.ig))</f>
        <v>Upper middle income</v>
      </c>
      <c r="H3388" s="4">
        <f>Clean_Data[[#This Row],[Exports_TIV]] - Clean_Data[[#This Row],[Imports_TIV]]</f>
        <v>-38000000</v>
      </c>
      <c r="I3388" s="4">
        <f>Clean_Data[[#This Row],[Exports_TIV]] + Clean_Data[[#This Row],[Imports_TIV]]</f>
        <v>38000000</v>
      </c>
    </row>
    <row r="3389" spans="1:9">
      <c r="A3389" s="4" t="s">
        <v>421</v>
      </c>
      <c r="B3389" s="4" t="s">
        <v>422</v>
      </c>
      <c r="C3389" s="5">
        <v>2004</v>
      </c>
      <c r="D3389" s="4">
        <v>0</v>
      </c>
      <c r="E3389" s="4">
        <v>294000000</v>
      </c>
      <c r="F3389" s="4" t="str">
        <f>_xlfn.LET(_xlpm.r, _xlfn.XLOOKUP(Clean_Data[[#This Row],[Country_Code]], Metadata_Country!$A:$A, Metadata_Country!$B:$B, "Unknown"), IF(OR(_xlpm.r=0, _xlpm.r=""), "Regional Aggregate", _xlpm.r))</f>
        <v>Sub-Saharan Africa</v>
      </c>
      <c r="G3389" s="4" t="str">
        <f>_xlfn.LET(_xlpm.ig, _xlfn.XLOOKUP(Clean_Data[[#This Row],[Country_Code]], Metadata_Country!$A:$A, Metadata_Country!$C:$C, "Unknown"), IF(OR(_xlpm.ig=0, _xlpm.ig=""), "Regional Aggregate", _xlpm.ig))</f>
        <v>Low income</v>
      </c>
      <c r="H3389" s="4">
        <f>Clean_Data[[#This Row],[Exports_TIV]] - Clean_Data[[#This Row],[Imports_TIV]]</f>
        <v>-294000000</v>
      </c>
      <c r="I3389" s="4">
        <f>Clean_Data[[#This Row],[Exports_TIV]] + Clean_Data[[#This Row],[Imports_TIV]]</f>
        <v>294000000</v>
      </c>
    </row>
    <row r="3390" spans="1:9">
      <c r="A3390" s="4" t="s">
        <v>455</v>
      </c>
      <c r="B3390" s="4" t="s">
        <v>456</v>
      </c>
      <c r="C3390" s="5">
        <v>2004</v>
      </c>
      <c r="D3390" s="4">
        <v>297000000</v>
      </c>
      <c r="E3390" s="4">
        <v>47000000</v>
      </c>
      <c r="F3390" s="4" t="str">
        <f>_xlfn.LET(_xlpm.r, _xlfn.XLOOKUP(Clean_Data[[#This Row],[Country_Code]], Metadata_Country!$A:$A, Metadata_Country!$B:$B, "Unknown"), IF(OR(_xlpm.r=0, _xlpm.r=""), "Regional Aggregate", _xlpm.r))</f>
        <v>Europe &amp; Central Asia</v>
      </c>
      <c r="G3390" s="4" t="str">
        <f>_xlfn.LET(_xlpm.ig, _xlfn.XLOOKUP(Clean_Data[[#This Row],[Country_Code]], Metadata_Country!$A:$A, Metadata_Country!$C:$C, "Unknown"), IF(OR(_xlpm.ig=0, _xlpm.ig=""), "Regional Aggregate", _xlpm.ig))</f>
        <v>High income</v>
      </c>
      <c r="H3390" s="4">
        <f>Clean_Data[[#This Row],[Exports_TIV]] - Clean_Data[[#This Row],[Imports_TIV]]</f>
        <v>250000000</v>
      </c>
      <c r="I3390" s="4">
        <f>Clean_Data[[#This Row],[Exports_TIV]] + Clean_Data[[#This Row],[Imports_TIV]]</f>
        <v>344000000</v>
      </c>
    </row>
    <row r="3391" spans="1:9">
      <c r="A3391" s="4" t="s">
        <v>83</v>
      </c>
      <c r="B3391" s="4" t="s">
        <v>84</v>
      </c>
      <c r="C3391" s="5">
        <v>2004</v>
      </c>
      <c r="D3391" s="4">
        <v>293000000</v>
      </c>
      <c r="E3391" s="4">
        <v>203000000</v>
      </c>
      <c r="F3391" s="4" t="str">
        <f>_xlfn.LET(_xlpm.r, _xlfn.XLOOKUP(Clean_Data[[#This Row],[Country_Code]], Metadata_Country!$A:$A, Metadata_Country!$B:$B, "Unknown"), IF(OR(_xlpm.r=0, _xlpm.r=""), "Regional Aggregate", _xlpm.r))</f>
        <v>Europe &amp; Central Asia</v>
      </c>
      <c r="G3391" s="4" t="str">
        <f>_xlfn.LET(_xlpm.ig, _xlfn.XLOOKUP(Clean_Data[[#This Row],[Country_Code]], Metadata_Country!$A:$A, Metadata_Country!$C:$C, "Unknown"), IF(OR(_xlpm.ig=0, _xlpm.ig=""), "Regional Aggregate", _xlpm.ig))</f>
        <v>High income</v>
      </c>
      <c r="H3391" s="4">
        <f>Clean_Data[[#This Row],[Exports_TIV]] - Clean_Data[[#This Row],[Imports_TIV]]</f>
        <v>90000000</v>
      </c>
      <c r="I3391" s="4">
        <f>Clean_Data[[#This Row],[Exports_TIV]] + Clean_Data[[#This Row],[Imports_TIV]]</f>
        <v>496000000</v>
      </c>
    </row>
    <row r="3392" spans="1:9">
      <c r="A3392" s="4" t="s">
        <v>463</v>
      </c>
      <c r="B3392" s="4" t="s">
        <v>464</v>
      </c>
      <c r="C3392" s="5">
        <v>2004</v>
      </c>
      <c r="D3392" s="4">
        <v>0</v>
      </c>
      <c r="E3392" s="4">
        <v>20000000</v>
      </c>
      <c r="F3392" s="4" t="str">
        <f>_xlfn.LET(_xlpm.r, _xlfn.XLOOKUP(Clean_Data[[#This Row],[Country_Code]], Metadata_Country!$A:$A, Metadata_Country!$B:$B, "Unknown"), IF(OR(_xlpm.r=0, _xlpm.r=""), "Regional Aggregate", _xlpm.r))</f>
        <v>Middle East &amp; North Africa</v>
      </c>
      <c r="G3392" s="4" t="str">
        <f>_xlfn.LET(_xlpm.ig, _xlfn.XLOOKUP(Clean_Data[[#This Row],[Country_Code]], Metadata_Country!$A:$A, Metadata_Country!$C:$C, "Unknown"), IF(OR(_xlpm.ig=0, _xlpm.ig=""), "Regional Aggregate", _xlpm.ig))</f>
        <v>Low income</v>
      </c>
      <c r="H3392" s="4">
        <f>Clean_Data[[#This Row],[Exports_TIV]] - Clean_Data[[#This Row],[Imports_TIV]]</f>
        <v>-20000000</v>
      </c>
      <c r="I3392" s="4">
        <f>Clean_Data[[#This Row],[Exports_TIV]] + Clean_Data[[#This Row],[Imports_TIV]]</f>
        <v>20000000</v>
      </c>
    </row>
    <row r="3393" spans="1:9">
      <c r="A3393" s="4" t="s">
        <v>475</v>
      </c>
      <c r="B3393" s="4" t="s">
        <v>476</v>
      </c>
      <c r="C3393" s="5">
        <v>2004</v>
      </c>
      <c r="D3393" s="4">
        <v>7000000</v>
      </c>
      <c r="E3393" s="4">
        <v>138000000</v>
      </c>
      <c r="F3393" s="4" t="str">
        <f>_xlfn.LET(_xlpm.r, _xlfn.XLOOKUP(Clean_Data[[#This Row],[Country_Code]], Metadata_Country!$A:$A, Metadata_Country!$B:$B, "Unknown"), IF(OR(_xlpm.r=0, _xlpm.r=""), "Regional Aggregate", _xlpm.r))</f>
        <v>East Asia &amp; Pacific</v>
      </c>
      <c r="G3393" s="4" t="str">
        <f>_xlfn.LET(_xlpm.ig, _xlfn.XLOOKUP(Clean_Data[[#This Row],[Country_Code]], Metadata_Country!$A:$A, Metadata_Country!$C:$C, "Unknown"), IF(OR(_xlpm.ig=0, _xlpm.ig=""), "Regional Aggregate", _xlpm.ig))</f>
        <v>Upper middle income</v>
      </c>
      <c r="H3393" s="4">
        <f>Clean_Data[[#This Row],[Exports_TIV]] - Clean_Data[[#This Row],[Imports_TIV]]</f>
        <v>-131000000</v>
      </c>
      <c r="I3393" s="4">
        <f>Clean_Data[[#This Row],[Exports_TIV]] + Clean_Data[[#This Row],[Imports_TIV]]</f>
        <v>145000000</v>
      </c>
    </row>
    <row r="3394" spans="1:9">
      <c r="A3394" s="4" t="s">
        <v>497</v>
      </c>
      <c r="B3394" s="4" t="s">
        <v>498</v>
      </c>
      <c r="C3394" s="5">
        <v>2004</v>
      </c>
      <c r="D3394" s="4">
        <v>30000000</v>
      </c>
      <c r="E3394" s="4">
        <v>252000000</v>
      </c>
      <c r="F3394" s="4" t="str">
        <f>_xlfn.LET(_xlpm.r, _xlfn.XLOOKUP(Clean_Data[[#This Row],[Country_Code]], Metadata_Country!$A:$A, Metadata_Country!$B:$B, "Unknown"), IF(OR(_xlpm.r=0, _xlpm.r=""), "Regional Aggregate", _xlpm.r))</f>
        <v>Europe &amp; Central Asia</v>
      </c>
      <c r="G3394" s="4" t="str">
        <f>_xlfn.LET(_xlpm.ig, _xlfn.XLOOKUP(Clean_Data[[#This Row],[Country_Code]], Metadata_Country!$A:$A, Metadata_Country!$C:$C, "Unknown"), IF(OR(_xlpm.ig=0, _xlpm.ig=""), "Regional Aggregate", _xlpm.ig))</f>
        <v>Upper middle income</v>
      </c>
      <c r="H3394" s="4">
        <f>Clean_Data[[#This Row],[Exports_TIV]] - Clean_Data[[#This Row],[Imports_TIV]]</f>
        <v>-222000000</v>
      </c>
      <c r="I3394" s="4">
        <f>Clean_Data[[#This Row],[Exports_TIV]] + Clean_Data[[#This Row],[Imports_TIV]]</f>
        <v>282000000</v>
      </c>
    </row>
    <row r="3395" spans="1:9">
      <c r="A3395" s="4" t="s">
        <v>479</v>
      </c>
      <c r="B3395" s="4" t="s">
        <v>480</v>
      </c>
      <c r="C3395" s="5">
        <v>2004</v>
      </c>
      <c r="D3395" s="4">
        <v>0</v>
      </c>
      <c r="E3395" s="4">
        <v>21000000</v>
      </c>
      <c r="F3395" s="4" t="str">
        <f>_xlfn.LET(_xlpm.r, _xlfn.XLOOKUP(Clean_Data[[#This Row],[Country_Code]], Metadata_Country!$A:$A, Metadata_Country!$B:$B, "Unknown"), IF(OR(_xlpm.r=0, _xlpm.r=""), "Regional Aggregate", _xlpm.r))</f>
        <v>Europe &amp; Central Asia</v>
      </c>
      <c r="G3395" s="4" t="str">
        <f>_xlfn.LET(_xlpm.ig, _xlfn.XLOOKUP(Clean_Data[[#This Row],[Country_Code]], Metadata_Country!$A:$A, Metadata_Country!$C:$C, "Unknown"), IF(OR(_xlpm.ig=0, _xlpm.ig=""), "Regional Aggregate", _xlpm.ig))</f>
        <v>Upper middle income</v>
      </c>
      <c r="H3395" s="4">
        <f>Clean_Data[[#This Row],[Exports_TIV]] - Clean_Data[[#This Row],[Imports_TIV]]</f>
        <v>-21000000</v>
      </c>
      <c r="I3395" s="4">
        <f>Clean_Data[[#This Row],[Exports_TIV]] + Clean_Data[[#This Row],[Imports_TIV]]</f>
        <v>21000000</v>
      </c>
    </row>
    <row r="3396" spans="1:9">
      <c r="A3396" s="4" t="s">
        <v>503</v>
      </c>
      <c r="B3396" s="4" t="s">
        <v>504</v>
      </c>
      <c r="C3396" s="5">
        <v>2004</v>
      </c>
      <c r="D3396" s="4">
        <v>0</v>
      </c>
      <c r="E3396" s="4">
        <v>36000000</v>
      </c>
      <c r="F3396" s="4" t="str">
        <f>_xlfn.LET(_xlpm.r, _xlfn.XLOOKUP(Clean_Data[[#This Row],[Country_Code]], Metadata_Country!$A:$A, Metadata_Country!$B:$B, "Unknown"), IF(OR(_xlpm.r=0, _xlpm.r=""), "Regional Aggregate", _xlpm.r))</f>
        <v>Sub-Saharan Africa</v>
      </c>
      <c r="G3396" s="4" t="str">
        <f>_xlfn.LET(_xlpm.ig, _xlfn.XLOOKUP(Clean_Data[[#This Row],[Country_Code]], Metadata_Country!$A:$A, Metadata_Country!$C:$C, "Unknown"), IF(OR(_xlpm.ig=0, _xlpm.ig=""), "Regional Aggregate", _xlpm.ig))</f>
        <v>Low income</v>
      </c>
      <c r="H3396" s="4">
        <f>Clean_Data[[#This Row],[Exports_TIV]] - Clean_Data[[#This Row],[Imports_TIV]]</f>
        <v>-36000000</v>
      </c>
      <c r="I3396" s="4">
        <f>Clean_Data[[#This Row],[Exports_TIV]] + Clean_Data[[#This Row],[Imports_TIV]]</f>
        <v>36000000</v>
      </c>
    </row>
    <row r="3397" spans="1:9">
      <c r="A3397" s="4" t="s">
        <v>505</v>
      </c>
      <c r="B3397" s="4" t="s">
        <v>506</v>
      </c>
      <c r="C3397" s="5">
        <v>2004</v>
      </c>
      <c r="D3397" s="4">
        <v>196000000</v>
      </c>
      <c r="E3397" s="4">
        <v>0</v>
      </c>
      <c r="F3397" s="4" t="str">
        <f>_xlfn.LET(_xlpm.r, _xlfn.XLOOKUP(Clean_Data[[#This Row],[Country_Code]], Metadata_Country!$A:$A, Metadata_Country!$B:$B, "Unknown"), IF(OR(_xlpm.r=0, _xlpm.r=""), "Regional Aggregate", _xlpm.r))</f>
        <v>Europe &amp; Central Asia</v>
      </c>
      <c r="G3397" s="4" t="str">
        <f>_xlfn.LET(_xlpm.ig, _xlfn.XLOOKUP(Clean_Data[[#This Row],[Country_Code]], Metadata_Country!$A:$A, Metadata_Country!$C:$C, "Unknown"), IF(OR(_xlpm.ig=0, _xlpm.ig=""), "Regional Aggregate", _xlpm.ig))</f>
        <v>Upper middle income</v>
      </c>
      <c r="H3397" s="4">
        <f>Clean_Data[[#This Row],[Exports_TIV]] - Clean_Data[[#This Row],[Imports_TIV]]</f>
        <v>196000000</v>
      </c>
      <c r="I3397" s="4">
        <f>Clean_Data[[#This Row],[Exports_TIV]] + Clean_Data[[#This Row],[Imports_TIV]]</f>
        <v>196000000</v>
      </c>
    </row>
    <row r="3398" spans="1:9">
      <c r="A3398" s="4" t="s">
        <v>25</v>
      </c>
      <c r="B3398" s="4" t="s">
        <v>26</v>
      </c>
      <c r="C3398" s="5">
        <v>2004</v>
      </c>
      <c r="D3398" s="4">
        <v>3000000</v>
      </c>
      <c r="E3398" s="4">
        <v>1145000000</v>
      </c>
      <c r="F3398" s="4" t="str">
        <f>_xlfn.LET(_xlpm.r, _xlfn.XLOOKUP(Clean_Data[[#This Row],[Country_Code]], Metadata_Country!$A:$A, Metadata_Country!$B:$B, "Unknown"), IF(OR(_xlpm.r=0, _xlpm.r=""), "Regional Aggregate", _xlpm.r))</f>
        <v>Middle East &amp; North Africa</v>
      </c>
      <c r="G3398" s="4" t="str">
        <f>_xlfn.LET(_xlpm.ig, _xlfn.XLOOKUP(Clean_Data[[#This Row],[Country_Code]], Metadata_Country!$A:$A, Metadata_Country!$C:$C, "Unknown"), IF(OR(_xlpm.ig=0, _xlpm.ig=""), "Regional Aggregate", _xlpm.ig))</f>
        <v>High income</v>
      </c>
      <c r="H3398" s="4">
        <f>Clean_Data[[#This Row],[Exports_TIV]] - Clean_Data[[#This Row],[Imports_TIV]]</f>
        <v>-1142000000</v>
      </c>
      <c r="I3398" s="4">
        <f>Clean_Data[[#This Row],[Exports_TIV]] + Clean_Data[[#This Row],[Imports_TIV]]</f>
        <v>1148000000</v>
      </c>
    </row>
    <row r="3399" spans="1:9">
      <c r="A3399" s="4" t="s">
        <v>171</v>
      </c>
      <c r="B3399" s="4" t="s">
        <v>172</v>
      </c>
      <c r="C3399" s="5">
        <v>2004</v>
      </c>
      <c r="D3399" s="4">
        <v>1231000000</v>
      </c>
      <c r="E3399" s="4">
        <v>212000000</v>
      </c>
      <c r="F3399" s="4" t="str">
        <f>_xlfn.LET(_xlpm.r, _xlfn.XLOOKUP(Clean_Data[[#This Row],[Country_Code]], Metadata_Country!$A:$A, Metadata_Country!$B:$B, "Unknown"), IF(OR(_xlpm.r=0, _xlpm.r=""), "Regional Aggregate", _xlpm.r))</f>
        <v>Europe &amp; Central Asia</v>
      </c>
      <c r="G3399" s="4" t="str">
        <f>_xlfn.LET(_xlpm.ig, _xlfn.XLOOKUP(Clean_Data[[#This Row],[Country_Code]], Metadata_Country!$A:$A, Metadata_Country!$C:$C, "Unknown"), IF(OR(_xlpm.ig=0, _xlpm.ig=""), "Regional Aggregate", _xlpm.ig))</f>
        <v>High income</v>
      </c>
      <c r="H3399" s="4">
        <f>Clean_Data[[#This Row],[Exports_TIV]] - Clean_Data[[#This Row],[Imports_TIV]]</f>
        <v>1019000000</v>
      </c>
      <c r="I3399" s="4">
        <f>Clean_Data[[#This Row],[Exports_TIV]] + Clean_Data[[#This Row],[Imports_TIV]]</f>
        <v>1443000000</v>
      </c>
    </row>
    <row r="3400" spans="1:9">
      <c r="A3400" s="4" t="s">
        <v>511</v>
      </c>
      <c r="B3400" s="4" t="s">
        <v>512</v>
      </c>
      <c r="C3400" s="5">
        <v>2004</v>
      </c>
      <c r="D3400" s="4">
        <v>6869000000</v>
      </c>
      <c r="E3400" s="4">
        <v>596000000</v>
      </c>
      <c r="F3400" s="4" t="str">
        <f>_xlfn.LET(_xlpm.r, _xlfn.XLOOKUP(Clean_Data[[#This Row],[Country_Code]], Metadata_Country!$A:$A, Metadata_Country!$B:$B, "Unknown"), IF(OR(_xlpm.r=0, _xlpm.r=""), "Regional Aggregate", _xlpm.r))</f>
        <v>North America</v>
      </c>
      <c r="G3400" s="4" t="str">
        <f>_xlfn.LET(_xlpm.ig, _xlfn.XLOOKUP(Clean_Data[[#This Row],[Country_Code]], Metadata_Country!$A:$A, Metadata_Country!$C:$C, "Unknown"), IF(OR(_xlpm.ig=0, _xlpm.ig=""), "Regional Aggregate", _xlpm.ig))</f>
        <v>High income</v>
      </c>
      <c r="H3400" s="4">
        <f>Clean_Data[[#This Row],[Exports_TIV]] - Clean_Data[[#This Row],[Imports_TIV]]</f>
        <v>6273000000</v>
      </c>
      <c r="I3400" s="4">
        <f>Clean_Data[[#This Row],[Exports_TIV]] + Clean_Data[[#This Row],[Imports_TIV]]</f>
        <v>7465000000</v>
      </c>
    </row>
    <row r="3401" spans="1:9">
      <c r="A3401" s="4" t="s">
        <v>507</v>
      </c>
      <c r="B3401" s="4" t="s">
        <v>508</v>
      </c>
      <c r="C3401" s="5">
        <v>2004</v>
      </c>
      <c r="D3401" s="4">
        <v>969000000</v>
      </c>
      <c r="E3401" s="4">
        <v>5671000000</v>
      </c>
      <c r="F3401" s="4" t="str">
        <f>_xlfn.LET(_xlpm.r, _xlfn.XLOOKUP(Clean_Data[[#This Row],[Country_Code]], Metadata_Country!$A:$A, Metadata_Country!$B:$B, "Unknown"), IF(OR(_xlpm.r=0, _xlpm.r=""), "Regional Aggregate", _xlpm.r))</f>
        <v>Regional Aggregate</v>
      </c>
      <c r="G3401" s="4" t="str">
        <f>_xlfn.LET(_xlpm.ig, _xlfn.XLOOKUP(Clean_Data[[#This Row],[Country_Code]], Metadata_Country!$A:$A, Metadata_Country!$C:$C, "Unknown"), IF(OR(_xlpm.ig=0, _xlpm.ig=""), "Regional Aggregate", _xlpm.ig))</f>
        <v>Regional Aggregate</v>
      </c>
      <c r="H3401" s="4">
        <f>Clean_Data[[#This Row],[Exports_TIV]] - Clean_Data[[#This Row],[Imports_TIV]]</f>
        <v>-4702000000</v>
      </c>
      <c r="I3401" s="4">
        <f>Clean_Data[[#This Row],[Exports_TIV]] + Clean_Data[[#This Row],[Imports_TIV]]</f>
        <v>6640000000</v>
      </c>
    </row>
    <row r="3402" spans="1:9">
      <c r="A3402" s="4" t="s">
        <v>513</v>
      </c>
      <c r="B3402" s="4" t="s">
        <v>514</v>
      </c>
      <c r="C3402" s="5">
        <v>2004</v>
      </c>
      <c r="D3402" s="4">
        <v>126000000</v>
      </c>
      <c r="E3402" s="4">
        <v>0</v>
      </c>
      <c r="F3402" s="4" t="str">
        <f>_xlfn.LET(_xlpm.r, _xlfn.XLOOKUP(Clean_Data[[#This Row],[Country_Code]], Metadata_Country!$A:$A, Metadata_Country!$B:$B, "Unknown"), IF(OR(_xlpm.r=0, _xlpm.r=""), "Regional Aggregate", _xlpm.r))</f>
        <v>Europe &amp; Central Asia</v>
      </c>
      <c r="G3402" s="4" t="str">
        <f>_xlfn.LET(_xlpm.ig, _xlfn.XLOOKUP(Clean_Data[[#This Row],[Country_Code]], Metadata_Country!$A:$A, Metadata_Country!$C:$C, "Unknown"), IF(OR(_xlpm.ig=0, _xlpm.ig=""), "Regional Aggregate", _xlpm.ig))</f>
        <v>Lower middle income</v>
      </c>
      <c r="H3402" s="4">
        <f>Clean_Data[[#This Row],[Exports_TIV]] - Clean_Data[[#This Row],[Imports_TIV]]</f>
        <v>126000000</v>
      </c>
      <c r="I3402" s="4">
        <f>Clean_Data[[#This Row],[Exports_TIV]] + Clean_Data[[#This Row],[Imports_TIV]]</f>
        <v>126000000</v>
      </c>
    </row>
    <row r="3403" spans="1:9">
      <c r="A3403" s="4" t="s">
        <v>517</v>
      </c>
      <c r="B3403" s="4" t="s">
        <v>518</v>
      </c>
      <c r="C3403" s="5">
        <v>2004</v>
      </c>
      <c r="D3403" s="4">
        <v>1000000</v>
      </c>
      <c r="E3403" s="4">
        <v>9000000</v>
      </c>
      <c r="F3403" s="4" t="str">
        <f>_xlfn.LET(_xlpm.r, _xlfn.XLOOKUP(Clean_Data[[#This Row],[Country_Code]], Metadata_Country!$A:$A, Metadata_Country!$B:$B, "Unknown"), IF(OR(_xlpm.r=0, _xlpm.r=""), "Regional Aggregate", _xlpm.r))</f>
        <v>Latin America &amp; Caribbean</v>
      </c>
      <c r="G3403" s="4" t="str">
        <f>_xlfn.LET(_xlpm.ig, _xlfn.XLOOKUP(Clean_Data[[#This Row],[Country_Code]], Metadata_Country!$A:$A, Metadata_Country!$C:$C, "Unknown"), IF(OR(_xlpm.ig=0, _xlpm.ig=""), "Regional Aggregate", _xlpm.ig))</f>
        <v>Lower middle income</v>
      </c>
      <c r="H3403" s="4">
        <f>Clean_Data[[#This Row],[Exports_TIV]] - Clean_Data[[#This Row],[Imports_TIV]]</f>
        <v>-8000000</v>
      </c>
      <c r="I3403" s="4">
        <f>Clean_Data[[#This Row],[Exports_TIV]] + Clean_Data[[#This Row],[Imports_TIV]]</f>
        <v>10000000</v>
      </c>
    </row>
    <row r="3404" spans="1:9">
      <c r="A3404" s="4" t="s">
        <v>523</v>
      </c>
      <c r="B3404" s="4" t="s">
        <v>524</v>
      </c>
      <c r="C3404" s="5">
        <v>2004</v>
      </c>
      <c r="D3404" s="4">
        <v>0</v>
      </c>
      <c r="E3404" s="4">
        <v>299000000</v>
      </c>
      <c r="F3404" s="4" t="str">
        <f>_xlfn.LET(_xlpm.r, _xlfn.XLOOKUP(Clean_Data[[#This Row],[Country_Code]], Metadata_Country!$A:$A, Metadata_Country!$B:$B, "Unknown"), IF(OR(_xlpm.r=0, _xlpm.r=""), "Regional Aggregate", _xlpm.r))</f>
        <v>East Asia &amp; Pacific</v>
      </c>
      <c r="G3404" s="4" t="str">
        <f>_xlfn.LET(_xlpm.ig, _xlfn.XLOOKUP(Clean_Data[[#This Row],[Country_Code]], Metadata_Country!$A:$A, Metadata_Country!$C:$C, "Unknown"), IF(OR(_xlpm.ig=0, _xlpm.ig=""), "Regional Aggregate", _xlpm.ig))</f>
        <v>Upper middle income</v>
      </c>
      <c r="H3404" s="4">
        <f>Clean_Data[[#This Row],[Exports_TIV]] - Clean_Data[[#This Row],[Imports_TIV]]</f>
        <v>-299000000</v>
      </c>
      <c r="I3404" s="4">
        <f>Clean_Data[[#This Row],[Exports_TIV]] + Clean_Data[[#This Row],[Imports_TIV]]</f>
        <v>299000000</v>
      </c>
    </row>
    <row r="3405" spans="1:9">
      <c r="A3405" s="4" t="s">
        <v>527</v>
      </c>
      <c r="B3405" s="4" t="s">
        <v>528</v>
      </c>
      <c r="C3405" s="5">
        <v>2004</v>
      </c>
      <c r="D3405" s="4">
        <v>21275000000</v>
      </c>
      <c r="E3405" s="4">
        <v>21275000000</v>
      </c>
      <c r="F3405" s="4" t="str">
        <f>_xlfn.LET(_xlpm.r, _xlfn.XLOOKUP(Clean_Data[[#This Row],[Country_Code]], Metadata_Country!$A:$A, Metadata_Country!$B:$B, "Unknown"), IF(OR(_xlpm.r=0, _xlpm.r=""), "Regional Aggregate", _xlpm.r))</f>
        <v>Regional Aggregate</v>
      </c>
      <c r="G3405" s="4" t="str">
        <f>_xlfn.LET(_xlpm.ig, _xlfn.XLOOKUP(Clean_Data[[#This Row],[Country_Code]], Metadata_Country!$A:$A, Metadata_Country!$C:$C, "Unknown"), IF(OR(_xlpm.ig=0, _xlpm.ig=""), "Regional Aggregate", _xlpm.ig))</f>
        <v>Regional Aggregate</v>
      </c>
      <c r="H3405" s="4">
        <f>Clean_Data[[#This Row],[Exports_TIV]] - Clean_Data[[#This Row],[Imports_TIV]]</f>
        <v>0</v>
      </c>
      <c r="I3405" s="4">
        <f>Clean_Data[[#This Row],[Exports_TIV]] + Clean_Data[[#This Row],[Imports_TIV]]</f>
        <v>42550000000</v>
      </c>
    </row>
    <row r="3406" spans="1:9">
      <c r="A3406" s="4" t="s">
        <v>533</v>
      </c>
      <c r="B3406" s="4" t="s">
        <v>534</v>
      </c>
      <c r="C3406" s="5">
        <v>2004</v>
      </c>
      <c r="D3406" s="4">
        <v>0</v>
      </c>
      <c r="E3406" s="4">
        <v>253000000</v>
      </c>
      <c r="F3406" s="4" t="str">
        <f>_xlfn.LET(_xlpm.r, _xlfn.XLOOKUP(Clean_Data[[#This Row],[Country_Code]], Metadata_Country!$A:$A, Metadata_Country!$B:$B, "Unknown"), IF(OR(_xlpm.r=0, _xlpm.r=""), "Regional Aggregate", _xlpm.r))</f>
        <v>Middle East &amp; North Africa</v>
      </c>
      <c r="G3406" s="4" t="str">
        <f>_xlfn.LET(_xlpm.ig, _xlfn.XLOOKUP(Clean_Data[[#This Row],[Country_Code]], Metadata_Country!$A:$A, Metadata_Country!$C:$C, "Unknown"), IF(OR(_xlpm.ig=0, _xlpm.ig=""), "Regional Aggregate", _xlpm.ig))</f>
        <v>Low income</v>
      </c>
      <c r="H3406" s="4">
        <f>Clean_Data[[#This Row],[Exports_TIV]] - Clean_Data[[#This Row],[Imports_TIV]]</f>
        <v>-253000000</v>
      </c>
      <c r="I3406" s="4">
        <f>Clean_Data[[#This Row],[Exports_TIV]] + Clean_Data[[#This Row],[Imports_TIV]]</f>
        <v>253000000</v>
      </c>
    </row>
    <row r="3407" spans="1:9">
      <c r="A3407" s="4" t="s">
        <v>539</v>
      </c>
      <c r="B3407" s="4" t="s">
        <v>540</v>
      </c>
      <c r="C3407" s="5">
        <v>2004</v>
      </c>
      <c r="D3407" s="4">
        <v>0</v>
      </c>
      <c r="E3407" s="4">
        <v>14000000</v>
      </c>
      <c r="F3407" s="4" t="str">
        <f>_xlfn.LET(_xlpm.r, _xlfn.XLOOKUP(Clean_Data[[#This Row],[Country_Code]], Metadata_Country!$A:$A, Metadata_Country!$B:$B, "Unknown"), IF(OR(_xlpm.r=0, _xlpm.r=""), "Regional Aggregate", _xlpm.r))</f>
        <v>Sub-Saharan Africa</v>
      </c>
      <c r="G3407" s="4" t="str">
        <f>_xlfn.LET(_xlpm.ig, _xlfn.XLOOKUP(Clean_Data[[#This Row],[Country_Code]], Metadata_Country!$A:$A, Metadata_Country!$C:$C, "Unknown"), IF(OR(_xlpm.ig=0, _xlpm.ig=""), "Regional Aggregate", _xlpm.ig))</f>
        <v>Lower middle income</v>
      </c>
      <c r="H3407" s="4">
        <f>Clean_Data[[#This Row],[Exports_TIV]] - Clean_Data[[#This Row],[Imports_TIV]]</f>
        <v>-14000000</v>
      </c>
      <c r="I3407" s="4">
        <f>Clean_Data[[#This Row],[Exports_TIV]] + Clean_Data[[#This Row],[Imports_TIV]]</f>
        <v>14000000</v>
      </c>
    </row>
    <row r="3408" spans="1:9">
      <c r="A3408" s="4" t="s">
        <v>15</v>
      </c>
      <c r="B3408" s="4" t="s">
        <v>16</v>
      </c>
      <c r="C3408" s="5">
        <v>2003</v>
      </c>
      <c r="D3408" s="4">
        <v>0</v>
      </c>
      <c r="E3408" s="4">
        <v>159000000</v>
      </c>
      <c r="F3408" s="4" t="str">
        <f>_xlfn.LET(_xlpm.r, _xlfn.XLOOKUP(Clean_Data[[#This Row],[Country_Code]], Metadata_Country!$A:$A, Metadata_Country!$B:$B, "Unknown"), IF(OR(_xlpm.r=0, _xlpm.r=""), "Regional Aggregate", _xlpm.r))</f>
        <v>Regional Aggregate</v>
      </c>
      <c r="G3408" s="4" t="str">
        <f>_xlfn.LET(_xlpm.ig, _xlfn.XLOOKUP(Clean_Data[[#This Row],[Country_Code]], Metadata_Country!$A:$A, Metadata_Country!$C:$C, "Unknown"), IF(OR(_xlpm.ig=0, _xlpm.ig=""), "Regional Aggregate", _xlpm.ig))</f>
        <v>Regional Aggregate</v>
      </c>
      <c r="H3408" s="4">
        <f>Clean_Data[[#This Row],[Exports_TIV]] - Clean_Data[[#This Row],[Imports_TIV]]</f>
        <v>-159000000</v>
      </c>
      <c r="I3408" s="4">
        <f>Clean_Data[[#This Row],[Exports_TIV]] + Clean_Data[[#This Row],[Imports_TIV]]</f>
        <v>159000000</v>
      </c>
    </row>
    <row r="3409" spans="1:9">
      <c r="A3409" s="4" t="s">
        <v>19</v>
      </c>
      <c r="B3409" s="4" t="s">
        <v>20</v>
      </c>
      <c r="C3409" s="5">
        <v>2003</v>
      </c>
      <c r="D3409" s="4">
        <v>0</v>
      </c>
      <c r="E3409" s="4">
        <v>2000000</v>
      </c>
      <c r="F3409" s="4" t="str">
        <f>_xlfn.LET(_xlpm.r, _xlfn.XLOOKUP(Clean_Data[[#This Row],[Country_Code]], Metadata_Country!$A:$A, Metadata_Country!$B:$B, "Unknown"), IF(OR(_xlpm.r=0, _xlpm.r=""), "Regional Aggregate", _xlpm.r))</f>
        <v>Europe &amp; Central Asia</v>
      </c>
      <c r="G3409" s="4" t="str">
        <f>_xlfn.LET(_xlpm.ig, _xlfn.XLOOKUP(Clean_Data[[#This Row],[Country_Code]], Metadata_Country!$A:$A, Metadata_Country!$C:$C, "Unknown"), IF(OR(_xlpm.ig=0, _xlpm.ig=""), "Regional Aggregate", _xlpm.ig))</f>
        <v>Upper middle income</v>
      </c>
      <c r="H3409" s="4">
        <f>Clean_Data[[#This Row],[Exports_TIV]] - Clean_Data[[#This Row],[Imports_TIV]]</f>
        <v>-2000000</v>
      </c>
      <c r="I3409" s="4">
        <f>Clean_Data[[#This Row],[Exports_TIV]] + Clean_Data[[#This Row],[Imports_TIV]]</f>
        <v>2000000</v>
      </c>
    </row>
    <row r="3410" spans="1:9">
      <c r="A3410" s="4" t="s">
        <v>129</v>
      </c>
      <c r="B3410" s="4" t="s">
        <v>130</v>
      </c>
      <c r="C3410" s="5">
        <v>2003</v>
      </c>
      <c r="D3410" s="4">
        <v>0</v>
      </c>
      <c r="E3410" s="4">
        <v>204000000</v>
      </c>
      <c r="F3410" s="4" t="str">
        <f>_xlfn.LET(_xlpm.r, _xlfn.XLOOKUP(Clean_Data[[#This Row],[Country_Code]], Metadata_Country!$A:$A, Metadata_Country!$B:$B, "Unknown"), IF(OR(_xlpm.r=0, _xlpm.r=""), "Regional Aggregate", _xlpm.r))</f>
        <v>Middle East &amp; North Africa</v>
      </c>
      <c r="G3410" s="4" t="str">
        <f>_xlfn.LET(_xlpm.ig, _xlfn.XLOOKUP(Clean_Data[[#This Row],[Country_Code]], Metadata_Country!$A:$A, Metadata_Country!$C:$C, "Unknown"), IF(OR(_xlpm.ig=0, _xlpm.ig=""), "Regional Aggregate", _xlpm.ig))</f>
        <v>Upper middle income</v>
      </c>
      <c r="H3410" s="4">
        <f>Clean_Data[[#This Row],[Exports_TIV]] - Clean_Data[[#This Row],[Imports_TIV]]</f>
        <v>-204000000</v>
      </c>
      <c r="I3410" s="4">
        <f>Clean_Data[[#This Row],[Exports_TIV]] + Clean_Data[[#This Row],[Imports_TIV]]</f>
        <v>204000000</v>
      </c>
    </row>
    <row r="3411" spans="1:9">
      <c r="A3411" s="4" t="s">
        <v>17</v>
      </c>
      <c r="B3411" s="4" t="s">
        <v>18</v>
      </c>
      <c r="C3411" s="5">
        <v>2003</v>
      </c>
      <c r="D3411" s="4">
        <v>0</v>
      </c>
      <c r="E3411" s="4">
        <v>48000000</v>
      </c>
      <c r="F3411" s="4" t="str">
        <f>_xlfn.LET(_xlpm.r, _xlfn.XLOOKUP(Clean_Data[[#This Row],[Country_Code]], Metadata_Country!$A:$A, Metadata_Country!$B:$B, "Unknown"), IF(OR(_xlpm.r=0, _xlpm.r=""), "Regional Aggregate", _xlpm.r))</f>
        <v>Sub-Saharan Africa</v>
      </c>
      <c r="G3411" s="4" t="str">
        <f>_xlfn.LET(_xlpm.ig, _xlfn.XLOOKUP(Clean_Data[[#This Row],[Country_Code]], Metadata_Country!$A:$A, Metadata_Country!$C:$C, "Unknown"), IF(OR(_xlpm.ig=0, _xlpm.ig=""), "Regional Aggregate", _xlpm.ig))</f>
        <v>Lower middle income</v>
      </c>
      <c r="H3411" s="4">
        <f>Clean_Data[[#This Row],[Exports_TIV]] - Clean_Data[[#This Row],[Imports_TIV]]</f>
        <v>-48000000</v>
      </c>
      <c r="I3411" s="4">
        <f>Clean_Data[[#This Row],[Exports_TIV]] + Clean_Data[[#This Row],[Imports_TIV]]</f>
        <v>48000000</v>
      </c>
    </row>
    <row r="3412" spans="1:9">
      <c r="A3412" s="4" t="s">
        <v>23</v>
      </c>
      <c r="B3412" s="4" t="s">
        <v>24</v>
      </c>
      <c r="C3412" s="5">
        <v>2003</v>
      </c>
      <c r="D3412" s="4">
        <v>0</v>
      </c>
      <c r="E3412" s="4">
        <v>2379000000</v>
      </c>
      <c r="F3412" s="4" t="str">
        <f>_xlfn.LET(_xlpm.r, _xlfn.XLOOKUP(Clean_Data[[#This Row],[Country_Code]], Metadata_Country!$A:$A, Metadata_Country!$B:$B, "Unknown"), IF(OR(_xlpm.r=0, _xlpm.r=""), "Regional Aggregate", _xlpm.r))</f>
        <v>Regional Aggregate</v>
      </c>
      <c r="G3412" s="4" t="str">
        <f>_xlfn.LET(_xlpm.ig, _xlfn.XLOOKUP(Clean_Data[[#This Row],[Country_Code]], Metadata_Country!$A:$A, Metadata_Country!$C:$C, "Unknown"), IF(OR(_xlpm.ig=0, _xlpm.ig=""), "Regional Aggregate", _xlpm.ig))</f>
        <v>Regional Aggregate</v>
      </c>
      <c r="H3412" s="4">
        <f>Clean_Data[[#This Row],[Exports_TIV]] - Clean_Data[[#This Row],[Imports_TIV]]</f>
        <v>-2379000000</v>
      </c>
      <c r="I3412" s="4">
        <f>Clean_Data[[#This Row],[Exports_TIV]] + Clean_Data[[#This Row],[Imports_TIV]]</f>
        <v>2379000000</v>
      </c>
    </row>
    <row r="3413" spans="1:9">
      <c r="A3413" s="4" t="s">
        <v>27</v>
      </c>
      <c r="B3413" s="4" t="s">
        <v>28</v>
      </c>
      <c r="C3413" s="5">
        <v>2003</v>
      </c>
      <c r="D3413" s="4">
        <v>0</v>
      </c>
      <c r="E3413" s="4">
        <v>11000000</v>
      </c>
      <c r="F3413" s="4" t="str">
        <f>_xlfn.LET(_xlpm.r, _xlfn.XLOOKUP(Clean_Data[[#This Row],[Country_Code]], Metadata_Country!$A:$A, Metadata_Country!$B:$B, "Unknown"), IF(OR(_xlpm.r=0, _xlpm.r=""), "Regional Aggregate", _xlpm.r))</f>
        <v>Latin America &amp; Caribbean</v>
      </c>
      <c r="G3413" s="4" t="str">
        <f>_xlfn.LET(_xlpm.ig, _xlfn.XLOOKUP(Clean_Data[[#This Row],[Country_Code]], Metadata_Country!$A:$A, Metadata_Country!$C:$C, "Unknown"), IF(OR(_xlpm.ig=0, _xlpm.ig=""), "Regional Aggregate", _xlpm.ig))</f>
        <v>Upper middle income</v>
      </c>
      <c r="H3413" s="4">
        <f>Clean_Data[[#This Row],[Exports_TIV]] - Clean_Data[[#This Row],[Imports_TIV]]</f>
        <v>-11000000</v>
      </c>
      <c r="I3413" s="4">
        <f>Clean_Data[[#This Row],[Exports_TIV]] + Clean_Data[[#This Row],[Imports_TIV]]</f>
        <v>11000000</v>
      </c>
    </row>
    <row r="3414" spans="1:9">
      <c r="A3414" s="4" t="s">
        <v>35</v>
      </c>
      <c r="B3414" s="4" t="s">
        <v>36</v>
      </c>
      <c r="C3414" s="5">
        <v>2003</v>
      </c>
      <c r="D3414" s="4">
        <v>44000000</v>
      </c>
      <c r="E3414" s="4">
        <v>765000000</v>
      </c>
      <c r="F3414" s="4" t="str">
        <f>_xlfn.LET(_xlpm.r, _xlfn.XLOOKUP(Clean_Data[[#This Row],[Country_Code]], Metadata_Country!$A:$A, Metadata_Country!$B:$B, "Unknown"), IF(OR(_xlpm.r=0, _xlpm.r=""), "Regional Aggregate", _xlpm.r))</f>
        <v>East Asia &amp; Pacific</v>
      </c>
      <c r="G3414" s="4" t="str">
        <f>_xlfn.LET(_xlpm.ig, _xlfn.XLOOKUP(Clean_Data[[#This Row],[Country_Code]], Metadata_Country!$A:$A, Metadata_Country!$C:$C, "Unknown"), IF(OR(_xlpm.ig=0, _xlpm.ig=""), "Regional Aggregate", _xlpm.ig))</f>
        <v>High income</v>
      </c>
      <c r="H3414" s="4">
        <f>Clean_Data[[#This Row],[Exports_TIV]] - Clean_Data[[#This Row],[Imports_TIV]]</f>
        <v>-721000000</v>
      </c>
      <c r="I3414" s="4">
        <f>Clean_Data[[#This Row],[Exports_TIV]] + Clean_Data[[#This Row],[Imports_TIV]]</f>
        <v>809000000</v>
      </c>
    </row>
    <row r="3415" spans="1:9">
      <c r="A3415" s="4" t="s">
        <v>37</v>
      </c>
      <c r="B3415" s="4" t="s">
        <v>38</v>
      </c>
      <c r="C3415" s="5">
        <v>2003</v>
      </c>
      <c r="D3415" s="4">
        <v>2000000</v>
      </c>
      <c r="E3415" s="4">
        <v>41000000</v>
      </c>
      <c r="F3415" s="4" t="str">
        <f>_xlfn.LET(_xlpm.r, _xlfn.XLOOKUP(Clean_Data[[#This Row],[Country_Code]], Metadata_Country!$A:$A, Metadata_Country!$B:$B, "Unknown"), IF(OR(_xlpm.r=0, _xlpm.r=""), "Regional Aggregate", _xlpm.r))</f>
        <v>Europe &amp; Central Asia</v>
      </c>
      <c r="G3415" s="4" t="str">
        <f>_xlfn.LET(_xlpm.ig, _xlfn.XLOOKUP(Clean_Data[[#This Row],[Country_Code]], Metadata_Country!$A:$A, Metadata_Country!$C:$C, "Unknown"), IF(OR(_xlpm.ig=0, _xlpm.ig=""), "Regional Aggregate", _xlpm.ig))</f>
        <v>High income</v>
      </c>
      <c r="H3415" s="4">
        <f>Clean_Data[[#This Row],[Exports_TIV]] - Clean_Data[[#This Row],[Imports_TIV]]</f>
        <v>-39000000</v>
      </c>
      <c r="I3415" s="4">
        <f>Clean_Data[[#This Row],[Exports_TIV]] + Clean_Data[[#This Row],[Imports_TIV]]</f>
        <v>43000000</v>
      </c>
    </row>
    <row r="3416" spans="1:9">
      <c r="A3416" s="4" t="s">
        <v>53</v>
      </c>
      <c r="B3416" s="4" t="s">
        <v>54</v>
      </c>
      <c r="C3416" s="5">
        <v>2003</v>
      </c>
      <c r="D3416" s="4">
        <v>0</v>
      </c>
      <c r="E3416" s="4">
        <v>1000000</v>
      </c>
      <c r="F3416" s="4" t="str">
        <f>_xlfn.LET(_xlpm.r, _xlfn.XLOOKUP(Clean_Data[[#This Row],[Country_Code]], Metadata_Country!$A:$A, Metadata_Country!$B:$B, "Unknown"), IF(OR(_xlpm.r=0, _xlpm.r=""), "Regional Aggregate", _xlpm.r))</f>
        <v>Middle East &amp; North Africa</v>
      </c>
      <c r="G3416" s="4" t="str">
        <f>_xlfn.LET(_xlpm.ig, _xlfn.XLOOKUP(Clean_Data[[#This Row],[Country_Code]], Metadata_Country!$A:$A, Metadata_Country!$C:$C, "Unknown"), IF(OR(_xlpm.ig=0, _xlpm.ig=""), "Regional Aggregate", _xlpm.ig))</f>
        <v>High income</v>
      </c>
      <c r="H3416" s="4">
        <f>Clean_Data[[#This Row],[Exports_TIV]] - Clean_Data[[#This Row],[Imports_TIV]]</f>
        <v>-1000000</v>
      </c>
      <c r="I3416" s="4">
        <f>Clean_Data[[#This Row],[Exports_TIV]] + Clean_Data[[#This Row],[Imports_TIV]]</f>
        <v>1000000</v>
      </c>
    </row>
    <row r="3417" spans="1:9">
      <c r="A3417" s="4" t="s">
        <v>49</v>
      </c>
      <c r="B3417" s="4" t="s">
        <v>50</v>
      </c>
      <c r="C3417" s="5">
        <v>2003</v>
      </c>
      <c r="D3417" s="4">
        <v>0</v>
      </c>
      <c r="E3417" s="4">
        <v>8000000</v>
      </c>
      <c r="F3417" s="4" t="str">
        <f>_xlfn.LET(_xlpm.r, _xlfn.XLOOKUP(Clean_Data[[#This Row],[Country_Code]], Metadata_Country!$A:$A, Metadata_Country!$B:$B, "Unknown"), IF(OR(_xlpm.r=0, _xlpm.r=""), "Regional Aggregate", _xlpm.r))</f>
        <v>South Asia</v>
      </c>
      <c r="G3417" s="4" t="str">
        <f>_xlfn.LET(_xlpm.ig, _xlfn.XLOOKUP(Clean_Data[[#This Row],[Country_Code]], Metadata_Country!$A:$A, Metadata_Country!$C:$C, "Unknown"), IF(OR(_xlpm.ig=0, _xlpm.ig=""), "Regional Aggregate", _xlpm.ig))</f>
        <v>Lower middle income</v>
      </c>
      <c r="H3417" s="4">
        <f>Clean_Data[[#This Row],[Exports_TIV]] - Clean_Data[[#This Row],[Imports_TIV]]</f>
        <v>-8000000</v>
      </c>
      <c r="I3417" s="4">
        <f>Clean_Data[[#This Row],[Exports_TIV]] + Clean_Data[[#This Row],[Imports_TIV]]</f>
        <v>8000000</v>
      </c>
    </row>
    <row r="3418" spans="1:9">
      <c r="A3418" s="4" t="s">
        <v>59</v>
      </c>
      <c r="B3418" s="4" t="s">
        <v>60</v>
      </c>
      <c r="C3418" s="5">
        <v>2003</v>
      </c>
      <c r="D3418" s="4">
        <v>58000000</v>
      </c>
      <c r="E3418" s="4">
        <v>0</v>
      </c>
      <c r="F3418" s="4" t="str">
        <f>_xlfn.LET(_xlpm.r, _xlfn.XLOOKUP(Clean_Data[[#This Row],[Country_Code]], Metadata_Country!$A:$A, Metadata_Country!$B:$B, "Unknown"), IF(OR(_xlpm.r=0, _xlpm.r=""), "Regional Aggregate", _xlpm.r))</f>
        <v>Europe &amp; Central Asia</v>
      </c>
      <c r="G3418" s="4" t="str">
        <f>_xlfn.LET(_xlpm.ig, _xlfn.XLOOKUP(Clean_Data[[#This Row],[Country_Code]], Metadata_Country!$A:$A, Metadata_Country!$C:$C, "Unknown"), IF(OR(_xlpm.ig=0, _xlpm.ig=""), "Regional Aggregate", _xlpm.ig))</f>
        <v>Upper middle income</v>
      </c>
      <c r="H3418" s="4">
        <f>Clean_Data[[#This Row],[Exports_TIV]] - Clean_Data[[#This Row],[Imports_TIV]]</f>
        <v>58000000</v>
      </c>
      <c r="I3418" s="4">
        <f>Clean_Data[[#This Row],[Exports_TIV]] + Clean_Data[[#This Row],[Imports_TIV]]</f>
        <v>58000000</v>
      </c>
    </row>
    <row r="3419" spans="1:9">
      <c r="A3419" s="4" t="s">
        <v>43</v>
      </c>
      <c r="B3419" s="4" t="s">
        <v>44</v>
      </c>
      <c r="C3419" s="5">
        <v>2003</v>
      </c>
      <c r="D3419" s="4">
        <v>15000000</v>
      </c>
      <c r="E3419" s="4">
        <v>21000000</v>
      </c>
      <c r="F3419" s="4" t="str">
        <f>_xlfn.LET(_xlpm.r, _xlfn.XLOOKUP(Clean_Data[[#This Row],[Country_Code]], Metadata_Country!$A:$A, Metadata_Country!$B:$B, "Unknown"), IF(OR(_xlpm.r=0, _xlpm.r=""), "Regional Aggregate", _xlpm.r))</f>
        <v>Europe &amp; Central Asia</v>
      </c>
      <c r="G3419" s="4" t="str">
        <f>_xlfn.LET(_xlpm.ig, _xlfn.XLOOKUP(Clean_Data[[#This Row],[Country_Code]], Metadata_Country!$A:$A, Metadata_Country!$C:$C, "Unknown"), IF(OR(_xlpm.ig=0, _xlpm.ig=""), "Regional Aggregate", _xlpm.ig))</f>
        <v>High income</v>
      </c>
      <c r="H3419" s="4">
        <f>Clean_Data[[#This Row],[Exports_TIV]] - Clean_Data[[#This Row],[Imports_TIV]]</f>
        <v>-6000000</v>
      </c>
      <c r="I3419" s="4">
        <f>Clean_Data[[#This Row],[Exports_TIV]] + Clean_Data[[#This Row],[Imports_TIV]]</f>
        <v>36000000</v>
      </c>
    </row>
    <row r="3420" spans="1:9">
      <c r="A3420" s="4" t="s">
        <v>65</v>
      </c>
      <c r="B3420" s="4" t="s">
        <v>66</v>
      </c>
      <c r="C3420" s="5">
        <v>2003</v>
      </c>
      <c r="D3420" s="4">
        <v>0</v>
      </c>
      <c r="E3420" s="4">
        <v>5000000</v>
      </c>
      <c r="F3420" s="4" t="str">
        <f>_xlfn.LET(_xlpm.r, _xlfn.XLOOKUP(Clean_Data[[#This Row],[Country_Code]], Metadata_Country!$A:$A, Metadata_Country!$B:$B, "Unknown"), IF(OR(_xlpm.r=0, _xlpm.r=""), "Regional Aggregate", _xlpm.r))</f>
        <v>Latin America &amp; Caribbean</v>
      </c>
      <c r="G3420" s="4" t="str">
        <f>_xlfn.LET(_xlpm.ig, _xlfn.XLOOKUP(Clean_Data[[#This Row],[Country_Code]], Metadata_Country!$A:$A, Metadata_Country!$C:$C, "Unknown"), IF(OR(_xlpm.ig=0, _xlpm.ig=""), "Regional Aggregate", _xlpm.ig))</f>
        <v>Lower middle income</v>
      </c>
      <c r="H3420" s="4">
        <f>Clean_Data[[#This Row],[Exports_TIV]] - Clean_Data[[#This Row],[Imports_TIV]]</f>
        <v>-5000000</v>
      </c>
      <c r="I3420" s="4">
        <f>Clean_Data[[#This Row],[Exports_TIV]] + Clean_Data[[#This Row],[Imports_TIV]]</f>
        <v>5000000</v>
      </c>
    </row>
    <row r="3421" spans="1:9">
      <c r="A3421" s="4" t="s">
        <v>75</v>
      </c>
      <c r="B3421" s="4" t="s">
        <v>76</v>
      </c>
      <c r="C3421" s="5">
        <v>2003</v>
      </c>
      <c r="D3421" s="4">
        <v>0</v>
      </c>
      <c r="E3421" s="4">
        <v>11000000</v>
      </c>
      <c r="F3421" s="4" t="str">
        <f>_xlfn.LET(_xlpm.r, _xlfn.XLOOKUP(Clean_Data[[#This Row],[Country_Code]], Metadata_Country!$A:$A, Metadata_Country!$B:$B, "Unknown"), IF(OR(_xlpm.r=0, _xlpm.r=""), "Regional Aggregate", _xlpm.r))</f>
        <v>Sub-Saharan Africa</v>
      </c>
      <c r="G3421" s="4" t="str">
        <f>_xlfn.LET(_xlpm.ig, _xlfn.XLOOKUP(Clean_Data[[#This Row],[Country_Code]], Metadata_Country!$A:$A, Metadata_Country!$C:$C, "Unknown"), IF(OR(_xlpm.ig=0, _xlpm.ig=""), "Regional Aggregate", _xlpm.ig))</f>
        <v>Upper middle income</v>
      </c>
      <c r="H3421" s="4">
        <f>Clean_Data[[#This Row],[Exports_TIV]] - Clean_Data[[#This Row],[Imports_TIV]]</f>
        <v>-11000000</v>
      </c>
      <c r="I3421" s="4">
        <f>Clean_Data[[#This Row],[Exports_TIV]] + Clean_Data[[#This Row],[Imports_TIV]]</f>
        <v>11000000</v>
      </c>
    </row>
    <row r="3422" spans="1:9">
      <c r="A3422" s="4" t="s">
        <v>67</v>
      </c>
      <c r="B3422" s="4" t="s">
        <v>68</v>
      </c>
      <c r="C3422" s="5">
        <v>2003</v>
      </c>
      <c r="D3422" s="4">
        <v>0</v>
      </c>
      <c r="E3422" s="4">
        <v>110000000</v>
      </c>
      <c r="F3422" s="4" t="str">
        <f>_xlfn.LET(_xlpm.r, _xlfn.XLOOKUP(Clean_Data[[#This Row],[Country_Code]], Metadata_Country!$A:$A, Metadata_Country!$B:$B, "Unknown"), IF(OR(_xlpm.r=0, _xlpm.r=""), "Regional Aggregate", _xlpm.r))</f>
        <v>Latin America &amp; Caribbean</v>
      </c>
      <c r="G3422" s="4" t="str">
        <f>_xlfn.LET(_xlpm.ig, _xlfn.XLOOKUP(Clean_Data[[#This Row],[Country_Code]], Metadata_Country!$A:$A, Metadata_Country!$C:$C, "Unknown"), IF(OR(_xlpm.ig=0, _xlpm.ig=""), "Regional Aggregate", _xlpm.ig))</f>
        <v>Upper middle income</v>
      </c>
      <c r="H3422" s="4">
        <f>Clean_Data[[#This Row],[Exports_TIV]] - Clean_Data[[#This Row],[Imports_TIV]]</f>
        <v>-110000000</v>
      </c>
      <c r="I3422" s="4">
        <f>Clean_Data[[#This Row],[Exports_TIV]] + Clean_Data[[#This Row],[Imports_TIV]]</f>
        <v>110000000</v>
      </c>
    </row>
    <row r="3423" spans="1:9">
      <c r="A3423" s="4" t="s">
        <v>71</v>
      </c>
      <c r="B3423" s="4" t="s">
        <v>72</v>
      </c>
      <c r="C3423" s="5">
        <v>2003</v>
      </c>
      <c r="D3423" s="4">
        <v>0</v>
      </c>
      <c r="E3423" s="4">
        <v>0</v>
      </c>
      <c r="F3423" s="4" t="str">
        <f>_xlfn.LET(_xlpm.r, _xlfn.XLOOKUP(Clean_Data[[#This Row],[Country_Code]], Metadata_Country!$A:$A, Metadata_Country!$B:$B, "Unknown"), IF(OR(_xlpm.r=0, _xlpm.r=""), "Regional Aggregate", _xlpm.r))</f>
        <v>East Asia &amp; Pacific</v>
      </c>
      <c r="G3423" s="4" t="str">
        <f>_xlfn.LET(_xlpm.ig, _xlfn.XLOOKUP(Clean_Data[[#This Row],[Country_Code]], Metadata_Country!$A:$A, Metadata_Country!$C:$C, "Unknown"), IF(OR(_xlpm.ig=0, _xlpm.ig=""), "Regional Aggregate", _xlpm.ig))</f>
        <v>High income</v>
      </c>
      <c r="H3423" s="4">
        <f>Clean_Data[[#This Row],[Exports_TIV]] - Clean_Data[[#This Row],[Imports_TIV]]</f>
        <v>0</v>
      </c>
      <c r="I3423" s="4">
        <f>Clean_Data[[#This Row],[Exports_TIV]] + Clean_Data[[#This Row],[Imports_TIV]]</f>
        <v>0</v>
      </c>
    </row>
    <row r="3424" spans="1:9">
      <c r="A3424" s="4" t="s">
        <v>51</v>
      </c>
      <c r="B3424" s="4" t="s">
        <v>52</v>
      </c>
      <c r="C3424" s="5">
        <v>2003</v>
      </c>
      <c r="D3424" s="4">
        <v>45000000</v>
      </c>
      <c r="E3424" s="4">
        <v>2000000</v>
      </c>
      <c r="F3424" s="4" t="str">
        <f>_xlfn.LET(_xlpm.r, _xlfn.XLOOKUP(Clean_Data[[#This Row],[Country_Code]], Metadata_Country!$A:$A, Metadata_Country!$B:$B, "Unknown"), IF(OR(_xlpm.r=0, _xlpm.r=""), "Regional Aggregate", _xlpm.r))</f>
        <v>Europe &amp; Central Asia</v>
      </c>
      <c r="G3424" s="4" t="str">
        <f>_xlfn.LET(_xlpm.ig, _xlfn.XLOOKUP(Clean_Data[[#This Row],[Country_Code]], Metadata_Country!$A:$A, Metadata_Country!$C:$C, "Unknown"), IF(OR(_xlpm.ig=0, _xlpm.ig=""), "Regional Aggregate", _xlpm.ig))</f>
        <v>High income</v>
      </c>
      <c r="H3424" s="4">
        <f>Clean_Data[[#This Row],[Exports_TIV]] - Clean_Data[[#This Row],[Imports_TIV]]</f>
        <v>43000000</v>
      </c>
      <c r="I3424" s="4">
        <f>Clean_Data[[#This Row],[Exports_TIV]] + Clean_Data[[#This Row],[Imports_TIV]]</f>
        <v>47000000</v>
      </c>
    </row>
    <row r="3425" spans="1:9">
      <c r="A3425" s="4" t="s">
        <v>79</v>
      </c>
      <c r="B3425" s="4" t="s">
        <v>80</v>
      </c>
      <c r="C3425" s="5">
        <v>2003</v>
      </c>
      <c r="D3425" s="4">
        <v>302000000</v>
      </c>
      <c r="E3425" s="4">
        <v>140000000</v>
      </c>
      <c r="F3425" s="4" t="str">
        <f>_xlfn.LET(_xlpm.r, _xlfn.XLOOKUP(Clean_Data[[#This Row],[Country_Code]], Metadata_Country!$A:$A, Metadata_Country!$B:$B, "Unknown"), IF(OR(_xlpm.r=0, _xlpm.r=""), "Regional Aggregate", _xlpm.r))</f>
        <v>North America</v>
      </c>
      <c r="G3425" s="4" t="str">
        <f>_xlfn.LET(_xlpm.ig, _xlfn.XLOOKUP(Clean_Data[[#This Row],[Country_Code]], Metadata_Country!$A:$A, Metadata_Country!$C:$C, "Unknown"), IF(OR(_xlpm.ig=0, _xlpm.ig=""), "Regional Aggregate", _xlpm.ig))</f>
        <v>High income</v>
      </c>
      <c r="H3425" s="4">
        <f>Clean_Data[[#This Row],[Exports_TIV]] - Clean_Data[[#This Row],[Imports_TIV]]</f>
        <v>162000000</v>
      </c>
      <c r="I3425" s="4">
        <f>Clean_Data[[#This Row],[Exports_TIV]] + Clean_Data[[#This Row],[Imports_TIV]]</f>
        <v>442000000</v>
      </c>
    </row>
    <row r="3426" spans="1:9">
      <c r="A3426" s="4" t="s">
        <v>81</v>
      </c>
      <c r="B3426" s="4" t="s">
        <v>82</v>
      </c>
      <c r="C3426" s="5">
        <v>2003</v>
      </c>
      <c r="D3426" s="4">
        <v>0</v>
      </c>
      <c r="E3426" s="4">
        <v>541000000</v>
      </c>
      <c r="F3426" s="4" t="str">
        <f>_xlfn.LET(_xlpm.r, _xlfn.XLOOKUP(Clean_Data[[#This Row],[Country_Code]], Metadata_Country!$A:$A, Metadata_Country!$B:$B, "Unknown"), IF(OR(_xlpm.r=0, _xlpm.r=""), "Regional Aggregate", _xlpm.r))</f>
        <v>Regional Aggregate</v>
      </c>
      <c r="G3426" s="4" t="str">
        <f>_xlfn.LET(_xlpm.ig, _xlfn.XLOOKUP(Clean_Data[[#This Row],[Country_Code]], Metadata_Country!$A:$A, Metadata_Country!$C:$C, "Unknown"), IF(OR(_xlpm.ig=0, _xlpm.ig=""), "Regional Aggregate", _xlpm.ig))</f>
        <v>Regional Aggregate</v>
      </c>
      <c r="H3426" s="4">
        <f>Clean_Data[[#This Row],[Exports_TIV]] - Clean_Data[[#This Row],[Imports_TIV]]</f>
        <v>-541000000</v>
      </c>
      <c r="I3426" s="4">
        <f>Clean_Data[[#This Row],[Exports_TIV]] + Clean_Data[[#This Row],[Imports_TIV]]</f>
        <v>541000000</v>
      </c>
    </row>
    <row r="3427" spans="1:9">
      <c r="A3427" s="4" t="s">
        <v>87</v>
      </c>
      <c r="B3427" s="4" t="s">
        <v>88</v>
      </c>
      <c r="C3427" s="5">
        <v>2003</v>
      </c>
      <c r="D3427" s="4">
        <v>0</v>
      </c>
      <c r="E3427" s="4">
        <v>188000000</v>
      </c>
      <c r="F3427" s="4" t="str">
        <f>_xlfn.LET(_xlpm.r, _xlfn.XLOOKUP(Clean_Data[[#This Row],[Country_Code]], Metadata_Country!$A:$A, Metadata_Country!$B:$B, "Unknown"), IF(OR(_xlpm.r=0, _xlpm.r=""), "Regional Aggregate", _xlpm.r))</f>
        <v>Latin America &amp; Caribbean</v>
      </c>
      <c r="G3427" s="4" t="str">
        <f>_xlfn.LET(_xlpm.ig, _xlfn.XLOOKUP(Clean_Data[[#This Row],[Country_Code]], Metadata_Country!$A:$A, Metadata_Country!$C:$C, "Unknown"), IF(OR(_xlpm.ig=0, _xlpm.ig=""), "Regional Aggregate", _xlpm.ig))</f>
        <v>High income</v>
      </c>
      <c r="H3427" s="4">
        <f>Clean_Data[[#This Row],[Exports_TIV]] - Clean_Data[[#This Row],[Imports_TIV]]</f>
        <v>-188000000</v>
      </c>
      <c r="I3427" s="4">
        <f>Clean_Data[[#This Row],[Exports_TIV]] + Clean_Data[[#This Row],[Imports_TIV]]</f>
        <v>188000000</v>
      </c>
    </row>
    <row r="3428" spans="1:9">
      <c r="A3428" s="4" t="s">
        <v>89</v>
      </c>
      <c r="B3428" s="4" t="s">
        <v>90</v>
      </c>
      <c r="C3428" s="5">
        <v>2003</v>
      </c>
      <c r="D3428" s="4">
        <v>701000000</v>
      </c>
      <c r="E3428" s="4">
        <v>2326000000</v>
      </c>
      <c r="F3428" s="4" t="str">
        <f>_xlfn.LET(_xlpm.r, _xlfn.XLOOKUP(Clean_Data[[#This Row],[Country_Code]], Metadata_Country!$A:$A, Metadata_Country!$B:$B, "Unknown"), IF(OR(_xlpm.r=0, _xlpm.r=""), "Regional Aggregate", _xlpm.r))</f>
        <v>East Asia &amp; Pacific</v>
      </c>
      <c r="G3428" s="4" t="str">
        <f>_xlfn.LET(_xlpm.ig, _xlfn.XLOOKUP(Clean_Data[[#This Row],[Country_Code]], Metadata_Country!$A:$A, Metadata_Country!$C:$C, "Unknown"), IF(OR(_xlpm.ig=0, _xlpm.ig=""), "Regional Aggregate", _xlpm.ig))</f>
        <v>Upper middle income</v>
      </c>
      <c r="H3428" s="4">
        <f>Clean_Data[[#This Row],[Exports_TIV]] - Clean_Data[[#This Row],[Imports_TIV]]</f>
        <v>-1625000000</v>
      </c>
      <c r="I3428" s="4">
        <f>Clean_Data[[#This Row],[Exports_TIV]] + Clean_Data[[#This Row],[Imports_TIV]]</f>
        <v>3027000000</v>
      </c>
    </row>
    <row r="3429" spans="1:9">
      <c r="A3429" s="4" t="s">
        <v>99</v>
      </c>
      <c r="B3429" s="4" t="s">
        <v>100</v>
      </c>
      <c r="C3429" s="5">
        <v>2003</v>
      </c>
      <c r="D3429" s="4">
        <v>0</v>
      </c>
      <c r="E3429" s="4">
        <v>145000000</v>
      </c>
      <c r="F3429" s="4" t="str">
        <f>_xlfn.LET(_xlpm.r, _xlfn.XLOOKUP(Clean_Data[[#This Row],[Country_Code]], Metadata_Country!$A:$A, Metadata_Country!$B:$B, "Unknown"), IF(OR(_xlpm.r=0, _xlpm.r=""), "Regional Aggregate", _xlpm.r))</f>
        <v>Latin America &amp; Caribbean</v>
      </c>
      <c r="G3429" s="4" t="str">
        <f>_xlfn.LET(_xlpm.ig, _xlfn.XLOOKUP(Clean_Data[[#This Row],[Country_Code]], Metadata_Country!$A:$A, Metadata_Country!$C:$C, "Unknown"), IF(OR(_xlpm.ig=0, _xlpm.ig=""), "Regional Aggregate", _xlpm.ig))</f>
        <v>Upper middle income</v>
      </c>
      <c r="H3429" s="4">
        <f>Clean_Data[[#This Row],[Exports_TIV]] - Clean_Data[[#This Row],[Imports_TIV]]</f>
        <v>-145000000</v>
      </c>
      <c r="I3429" s="4">
        <f>Clean_Data[[#This Row],[Exports_TIV]] + Clean_Data[[#This Row],[Imports_TIV]]</f>
        <v>145000000</v>
      </c>
    </row>
    <row r="3430" spans="1:9">
      <c r="A3430" s="4" t="s">
        <v>97</v>
      </c>
      <c r="B3430" s="4" t="s">
        <v>98</v>
      </c>
      <c r="C3430" s="5">
        <v>2003</v>
      </c>
      <c r="D3430" s="4">
        <v>0</v>
      </c>
      <c r="E3430" s="4">
        <v>8000000</v>
      </c>
      <c r="F3430" s="4" t="str">
        <f>_xlfn.LET(_xlpm.r, _xlfn.XLOOKUP(Clean_Data[[#This Row],[Country_Code]], Metadata_Country!$A:$A, Metadata_Country!$B:$B, "Unknown"), IF(OR(_xlpm.r=0, _xlpm.r=""), "Regional Aggregate", _xlpm.r))</f>
        <v>Sub-Saharan Africa</v>
      </c>
      <c r="G3430" s="4" t="str">
        <f>_xlfn.LET(_xlpm.ig, _xlfn.XLOOKUP(Clean_Data[[#This Row],[Country_Code]], Metadata_Country!$A:$A, Metadata_Country!$C:$C, "Unknown"), IF(OR(_xlpm.ig=0, _xlpm.ig=""), "Regional Aggregate", _xlpm.ig))</f>
        <v>Lower middle income</v>
      </c>
      <c r="H3430" s="4">
        <f>Clean_Data[[#This Row],[Exports_TIV]] - Clean_Data[[#This Row],[Imports_TIV]]</f>
        <v>-8000000</v>
      </c>
      <c r="I3430" s="4">
        <f>Clean_Data[[#This Row],[Exports_TIV]] + Clean_Data[[#This Row],[Imports_TIV]]</f>
        <v>8000000</v>
      </c>
    </row>
    <row r="3431" spans="1:9">
      <c r="A3431" s="4" t="s">
        <v>91</v>
      </c>
      <c r="B3431" s="4" t="s">
        <v>92</v>
      </c>
      <c r="C3431" s="5">
        <v>2003</v>
      </c>
      <c r="D3431" s="4">
        <v>0</v>
      </c>
      <c r="E3431" s="4">
        <v>61000000</v>
      </c>
      <c r="F3431" s="4" t="str">
        <f>_xlfn.LET(_xlpm.r, _xlfn.XLOOKUP(Clean_Data[[#This Row],[Country_Code]], Metadata_Country!$A:$A, Metadata_Country!$B:$B, "Unknown"), IF(OR(_xlpm.r=0, _xlpm.r=""), "Regional Aggregate", _xlpm.r))</f>
        <v>Sub-Saharan Africa</v>
      </c>
      <c r="G3431" s="4" t="str">
        <f>_xlfn.LET(_xlpm.ig, _xlfn.XLOOKUP(Clean_Data[[#This Row],[Country_Code]], Metadata_Country!$A:$A, Metadata_Country!$C:$C, "Unknown"), IF(OR(_xlpm.ig=0, _xlpm.ig=""), "Regional Aggregate", _xlpm.ig))</f>
        <v>Lower middle income</v>
      </c>
      <c r="H3431" s="4">
        <f>Clean_Data[[#This Row],[Exports_TIV]] - Clean_Data[[#This Row],[Imports_TIV]]</f>
        <v>-61000000</v>
      </c>
      <c r="I3431" s="4">
        <f>Clean_Data[[#This Row],[Exports_TIV]] + Clean_Data[[#This Row],[Imports_TIV]]</f>
        <v>61000000</v>
      </c>
    </row>
    <row r="3432" spans="1:9">
      <c r="A3432" s="4" t="s">
        <v>207</v>
      </c>
      <c r="B3432" s="4" t="s">
        <v>208</v>
      </c>
      <c r="C3432" s="5">
        <v>2003</v>
      </c>
      <c r="D3432" s="4">
        <v>0</v>
      </c>
      <c r="E3432" s="4">
        <v>24000000</v>
      </c>
      <c r="F3432" s="4" t="str">
        <f>_xlfn.LET(_xlpm.r, _xlfn.XLOOKUP(Clean_Data[[#This Row],[Country_Code]], Metadata_Country!$A:$A, Metadata_Country!$B:$B, "Unknown"), IF(OR(_xlpm.r=0, _xlpm.r=""), "Regional Aggregate", _xlpm.r))</f>
        <v>Europe &amp; Central Asia</v>
      </c>
      <c r="G3432" s="4" t="str">
        <f>_xlfn.LET(_xlpm.ig, _xlfn.XLOOKUP(Clean_Data[[#This Row],[Country_Code]], Metadata_Country!$A:$A, Metadata_Country!$C:$C, "Unknown"), IF(OR(_xlpm.ig=0, _xlpm.ig=""), "Regional Aggregate", _xlpm.ig))</f>
        <v>High income</v>
      </c>
      <c r="H3432" s="4">
        <f>Clean_Data[[#This Row],[Exports_TIV]] - Clean_Data[[#This Row],[Imports_TIV]]</f>
        <v>-24000000</v>
      </c>
      <c r="I3432" s="4">
        <f>Clean_Data[[#This Row],[Exports_TIV]] + Clean_Data[[#This Row],[Imports_TIV]]</f>
        <v>24000000</v>
      </c>
    </row>
    <row r="3433" spans="1:9">
      <c r="A3433" s="4" t="s">
        <v>115</v>
      </c>
      <c r="B3433" s="4" t="s">
        <v>116</v>
      </c>
      <c r="C3433" s="5">
        <v>2003</v>
      </c>
      <c r="D3433" s="4">
        <v>0</v>
      </c>
      <c r="E3433" s="4">
        <v>6000000</v>
      </c>
      <c r="F3433" s="4" t="str">
        <f>_xlfn.LET(_xlpm.r, _xlfn.XLOOKUP(Clean_Data[[#This Row],[Country_Code]], Metadata_Country!$A:$A, Metadata_Country!$B:$B, "Unknown"), IF(OR(_xlpm.r=0, _xlpm.r=""), "Regional Aggregate", _xlpm.r))</f>
        <v>Europe &amp; Central Asia</v>
      </c>
      <c r="G3433" s="4" t="str">
        <f>_xlfn.LET(_xlpm.ig, _xlfn.XLOOKUP(Clean_Data[[#This Row],[Country_Code]], Metadata_Country!$A:$A, Metadata_Country!$C:$C, "Unknown"), IF(OR(_xlpm.ig=0, _xlpm.ig=""), "Regional Aggregate", _xlpm.ig))</f>
        <v>High income</v>
      </c>
      <c r="H3433" s="4">
        <f>Clean_Data[[#This Row],[Exports_TIV]] - Clean_Data[[#This Row],[Imports_TIV]]</f>
        <v>-6000000</v>
      </c>
      <c r="I3433" s="4">
        <f>Clean_Data[[#This Row],[Exports_TIV]] + Clean_Data[[#This Row],[Imports_TIV]]</f>
        <v>6000000</v>
      </c>
    </row>
    <row r="3434" spans="1:9">
      <c r="A3434" s="4" t="s">
        <v>117</v>
      </c>
      <c r="B3434" s="4" t="s">
        <v>118</v>
      </c>
      <c r="C3434" s="5">
        <v>2003</v>
      </c>
      <c r="D3434" s="4">
        <v>65000000</v>
      </c>
      <c r="E3434" s="4">
        <v>94000000</v>
      </c>
      <c r="F3434" s="4" t="str">
        <f>_xlfn.LET(_xlpm.r, _xlfn.XLOOKUP(Clean_Data[[#This Row],[Country_Code]], Metadata_Country!$A:$A, Metadata_Country!$B:$B, "Unknown"), IF(OR(_xlpm.r=0, _xlpm.r=""), "Regional Aggregate", _xlpm.r))</f>
        <v>Europe &amp; Central Asia</v>
      </c>
      <c r="G3434" s="4" t="str">
        <f>_xlfn.LET(_xlpm.ig, _xlfn.XLOOKUP(Clean_Data[[#This Row],[Country_Code]], Metadata_Country!$A:$A, Metadata_Country!$C:$C, "Unknown"), IF(OR(_xlpm.ig=0, _xlpm.ig=""), "Regional Aggregate", _xlpm.ig))</f>
        <v>High income</v>
      </c>
      <c r="H3434" s="4">
        <f>Clean_Data[[#This Row],[Exports_TIV]] - Clean_Data[[#This Row],[Imports_TIV]]</f>
        <v>-29000000</v>
      </c>
      <c r="I3434" s="4">
        <f>Clean_Data[[#This Row],[Exports_TIV]] + Clean_Data[[#This Row],[Imports_TIV]]</f>
        <v>159000000</v>
      </c>
    </row>
    <row r="3435" spans="1:9">
      <c r="A3435" s="4" t="s">
        <v>125</v>
      </c>
      <c r="B3435" s="4" t="s">
        <v>126</v>
      </c>
      <c r="C3435" s="5">
        <v>2003</v>
      </c>
      <c r="D3435" s="4">
        <v>2000000</v>
      </c>
      <c r="E3435" s="4">
        <v>48000000</v>
      </c>
      <c r="F3435" s="4" t="str">
        <f>_xlfn.LET(_xlpm.r, _xlfn.XLOOKUP(Clean_Data[[#This Row],[Country_Code]], Metadata_Country!$A:$A, Metadata_Country!$B:$B, "Unknown"), IF(OR(_xlpm.r=0, _xlpm.r=""), "Regional Aggregate", _xlpm.r))</f>
        <v>Europe &amp; Central Asia</v>
      </c>
      <c r="G3435" s="4" t="str">
        <f>_xlfn.LET(_xlpm.ig, _xlfn.XLOOKUP(Clean_Data[[#This Row],[Country_Code]], Metadata_Country!$A:$A, Metadata_Country!$C:$C, "Unknown"), IF(OR(_xlpm.ig=0, _xlpm.ig=""), "Regional Aggregate", _xlpm.ig))</f>
        <v>High income</v>
      </c>
      <c r="H3435" s="4">
        <f>Clean_Data[[#This Row],[Exports_TIV]] - Clean_Data[[#This Row],[Imports_TIV]]</f>
        <v>-46000000</v>
      </c>
      <c r="I3435" s="4">
        <f>Clean_Data[[#This Row],[Exports_TIV]] + Clean_Data[[#This Row],[Imports_TIV]]</f>
        <v>50000000</v>
      </c>
    </row>
    <row r="3436" spans="1:9">
      <c r="A3436" s="4" t="s">
        <v>127</v>
      </c>
      <c r="B3436" s="4" t="s">
        <v>128</v>
      </c>
      <c r="C3436" s="5">
        <v>2003</v>
      </c>
      <c r="D3436" s="4">
        <v>0</v>
      </c>
      <c r="E3436" s="4">
        <v>9000000</v>
      </c>
      <c r="F3436" s="4" t="str">
        <f>_xlfn.LET(_xlpm.r, _xlfn.XLOOKUP(Clean_Data[[#This Row],[Country_Code]], Metadata_Country!$A:$A, Metadata_Country!$B:$B, "Unknown"), IF(OR(_xlpm.r=0, _xlpm.r=""), "Regional Aggregate", _xlpm.r))</f>
        <v>Latin America &amp; Caribbean</v>
      </c>
      <c r="G3436" s="4" t="str">
        <f>_xlfn.LET(_xlpm.ig, _xlfn.XLOOKUP(Clean_Data[[#This Row],[Country_Code]], Metadata_Country!$A:$A, Metadata_Country!$C:$C, "Unknown"), IF(OR(_xlpm.ig=0, _xlpm.ig=""), "Regional Aggregate", _xlpm.ig))</f>
        <v>Upper middle income</v>
      </c>
      <c r="H3436" s="4">
        <f>Clean_Data[[#This Row],[Exports_TIV]] - Clean_Data[[#This Row],[Imports_TIV]]</f>
        <v>-9000000</v>
      </c>
      <c r="I3436" s="4">
        <f>Clean_Data[[#This Row],[Exports_TIV]] + Clean_Data[[#This Row],[Imports_TIV]]</f>
        <v>9000000</v>
      </c>
    </row>
    <row r="3437" spans="1:9">
      <c r="A3437" s="4" t="s">
        <v>133</v>
      </c>
      <c r="B3437" s="4" t="s">
        <v>134</v>
      </c>
      <c r="C3437" s="5">
        <v>2003</v>
      </c>
      <c r="D3437" s="4">
        <v>0</v>
      </c>
      <c r="E3437" s="4">
        <v>6439000000</v>
      </c>
      <c r="F3437" s="4" t="str">
        <f>_xlfn.LET(_xlpm.r, _xlfn.XLOOKUP(Clean_Data[[#This Row],[Country_Code]], Metadata_Country!$A:$A, Metadata_Country!$B:$B, "Unknown"), IF(OR(_xlpm.r=0, _xlpm.r=""), "Regional Aggregate", _xlpm.r))</f>
        <v>Regional Aggregate</v>
      </c>
      <c r="G3437" s="4" t="str">
        <f>_xlfn.LET(_xlpm.ig, _xlfn.XLOOKUP(Clean_Data[[#This Row],[Country_Code]], Metadata_Country!$A:$A, Metadata_Country!$C:$C, "Unknown"), IF(OR(_xlpm.ig=0, _xlpm.ig=""), "Regional Aggregate", _xlpm.ig))</f>
        <v>Regional Aggregate</v>
      </c>
      <c r="H3437" s="4">
        <f>Clean_Data[[#This Row],[Exports_TIV]] - Clean_Data[[#This Row],[Imports_TIV]]</f>
        <v>-6439000000</v>
      </c>
      <c r="I3437" s="4">
        <f>Clean_Data[[#This Row],[Exports_TIV]] + Clean_Data[[#This Row],[Imports_TIV]]</f>
        <v>6439000000</v>
      </c>
    </row>
    <row r="3438" spans="1:9">
      <c r="A3438" s="4" t="s">
        <v>135</v>
      </c>
      <c r="B3438" s="4" t="s">
        <v>136</v>
      </c>
      <c r="C3438" s="5">
        <v>2003</v>
      </c>
      <c r="D3438" s="4">
        <v>0</v>
      </c>
      <c r="E3438" s="4">
        <v>5502000000</v>
      </c>
      <c r="F3438" s="4" t="str">
        <f>_xlfn.LET(_xlpm.r, _xlfn.XLOOKUP(Clean_Data[[#This Row],[Country_Code]], Metadata_Country!$A:$A, Metadata_Country!$B:$B, "Unknown"), IF(OR(_xlpm.r=0, _xlpm.r=""), "Regional Aggregate", _xlpm.r))</f>
        <v>Regional Aggregate</v>
      </c>
      <c r="G3438" s="4" t="str">
        <f>_xlfn.LET(_xlpm.ig, _xlfn.XLOOKUP(Clean_Data[[#This Row],[Country_Code]], Metadata_Country!$A:$A, Metadata_Country!$C:$C, "Unknown"), IF(OR(_xlpm.ig=0, _xlpm.ig=""), "Regional Aggregate", _xlpm.ig))</f>
        <v>Regional Aggregate</v>
      </c>
      <c r="H3438" s="4">
        <f>Clean_Data[[#This Row],[Exports_TIV]] - Clean_Data[[#This Row],[Imports_TIV]]</f>
        <v>-5502000000</v>
      </c>
      <c r="I3438" s="4">
        <f>Clean_Data[[#This Row],[Exports_TIV]] + Clean_Data[[#This Row],[Imports_TIV]]</f>
        <v>5502000000</v>
      </c>
    </row>
    <row r="3439" spans="1:9">
      <c r="A3439" s="4" t="s">
        <v>131</v>
      </c>
      <c r="B3439" s="4" t="s">
        <v>132</v>
      </c>
      <c r="C3439" s="5">
        <v>2003</v>
      </c>
      <c r="D3439" s="4">
        <v>837000000</v>
      </c>
      <c r="E3439" s="4">
        <v>3167000000</v>
      </c>
      <c r="F3439" s="4" t="str">
        <f>_xlfn.LET(_xlpm.r, _xlfn.XLOOKUP(Clean_Data[[#This Row],[Country_Code]], Metadata_Country!$A:$A, Metadata_Country!$B:$B, "Unknown"), IF(OR(_xlpm.r=0, _xlpm.r=""), "Regional Aggregate", _xlpm.r))</f>
        <v>Regional Aggregate</v>
      </c>
      <c r="G3439" s="4" t="str">
        <f>_xlfn.LET(_xlpm.ig, _xlfn.XLOOKUP(Clean_Data[[#This Row],[Country_Code]], Metadata_Country!$A:$A, Metadata_Country!$C:$C, "Unknown"), IF(OR(_xlpm.ig=0, _xlpm.ig=""), "Regional Aggregate", _xlpm.ig))</f>
        <v>Regional Aggregate</v>
      </c>
      <c r="H3439" s="4">
        <f>Clean_Data[[#This Row],[Exports_TIV]] - Clean_Data[[#This Row],[Imports_TIV]]</f>
        <v>-2330000000</v>
      </c>
      <c r="I3439" s="4">
        <f>Clean_Data[[#This Row],[Exports_TIV]] + Clean_Data[[#This Row],[Imports_TIV]]</f>
        <v>4004000000</v>
      </c>
    </row>
    <row r="3440" spans="1:9">
      <c r="A3440" s="4" t="s">
        <v>469</v>
      </c>
      <c r="B3440" s="4" t="s">
        <v>470</v>
      </c>
      <c r="C3440" s="5">
        <v>2003</v>
      </c>
      <c r="D3440" s="4">
        <v>708000000</v>
      </c>
      <c r="E3440" s="4">
        <v>3132000000</v>
      </c>
      <c r="F3440" s="4" t="str">
        <f>_xlfn.LET(_xlpm.r, _xlfn.XLOOKUP(Clean_Data[[#This Row],[Country_Code]], Metadata_Country!$A:$A, Metadata_Country!$B:$B, "Unknown"), IF(OR(_xlpm.r=0, _xlpm.r=""), "Regional Aggregate", _xlpm.r))</f>
        <v>Regional Aggregate</v>
      </c>
      <c r="G3440" s="4" t="str">
        <f>_xlfn.LET(_xlpm.ig, _xlfn.XLOOKUP(Clean_Data[[#This Row],[Country_Code]], Metadata_Country!$A:$A, Metadata_Country!$C:$C, "Unknown"), IF(OR(_xlpm.ig=0, _xlpm.ig=""), "Regional Aggregate", _xlpm.ig))</f>
        <v>Regional Aggregate</v>
      </c>
      <c r="H3440" s="4">
        <f>Clean_Data[[#This Row],[Exports_TIV]] - Clean_Data[[#This Row],[Imports_TIV]]</f>
        <v>-2424000000</v>
      </c>
      <c r="I3440" s="4">
        <f>Clean_Data[[#This Row],[Exports_TIV]] + Clean_Data[[#This Row],[Imports_TIV]]</f>
        <v>3840000000</v>
      </c>
    </row>
    <row r="3441" spans="1:9">
      <c r="A3441" s="4" t="s">
        <v>143</v>
      </c>
      <c r="B3441" s="4" t="s">
        <v>144</v>
      </c>
      <c r="C3441" s="5">
        <v>2003</v>
      </c>
      <c r="D3441" s="4">
        <v>0</v>
      </c>
      <c r="E3441" s="4">
        <v>633000000</v>
      </c>
      <c r="F3441" s="4" t="str">
        <f>_xlfn.LET(_xlpm.r, _xlfn.XLOOKUP(Clean_Data[[#This Row],[Country_Code]], Metadata_Country!$A:$A, Metadata_Country!$B:$B, "Unknown"), IF(OR(_xlpm.r=0, _xlpm.r=""), "Regional Aggregate", _xlpm.r))</f>
        <v>Middle East &amp; North Africa</v>
      </c>
      <c r="G3441" s="4" t="str">
        <f>_xlfn.LET(_xlpm.ig, _xlfn.XLOOKUP(Clean_Data[[#This Row],[Country_Code]], Metadata_Country!$A:$A, Metadata_Country!$C:$C, "Unknown"), IF(OR(_xlpm.ig=0, _xlpm.ig=""), "Regional Aggregate", _xlpm.ig))</f>
        <v>Lower middle income</v>
      </c>
      <c r="H3441" s="4">
        <f>Clean_Data[[#This Row],[Exports_TIV]] - Clean_Data[[#This Row],[Imports_TIV]]</f>
        <v>-633000000</v>
      </c>
      <c r="I3441" s="4">
        <f>Clean_Data[[#This Row],[Exports_TIV]] + Clean_Data[[#This Row],[Imports_TIV]]</f>
        <v>633000000</v>
      </c>
    </row>
    <row r="3442" spans="1:9">
      <c r="A3442" s="4" t="s">
        <v>431</v>
      </c>
      <c r="B3442" s="4" t="s">
        <v>432</v>
      </c>
      <c r="C3442" s="5">
        <v>2003</v>
      </c>
      <c r="D3442" s="4">
        <v>0</v>
      </c>
      <c r="E3442" s="4">
        <v>10000000</v>
      </c>
      <c r="F3442" s="4" t="str">
        <f>_xlfn.LET(_xlpm.r, _xlfn.XLOOKUP(Clean_Data[[#This Row],[Country_Code]], Metadata_Country!$A:$A, Metadata_Country!$B:$B, "Unknown"), IF(OR(_xlpm.r=0, _xlpm.r=""), "Regional Aggregate", _xlpm.r))</f>
        <v>Latin America &amp; Caribbean</v>
      </c>
      <c r="G3442" s="4" t="str">
        <f>_xlfn.LET(_xlpm.ig, _xlfn.XLOOKUP(Clean_Data[[#This Row],[Country_Code]], Metadata_Country!$A:$A, Metadata_Country!$C:$C, "Unknown"), IF(OR(_xlpm.ig=0, _xlpm.ig=""), "Regional Aggregate", _xlpm.ig))</f>
        <v>Upper middle income</v>
      </c>
      <c r="H3442" s="4">
        <f>Clean_Data[[#This Row],[Exports_TIV]] - Clean_Data[[#This Row],[Imports_TIV]]</f>
        <v>-10000000</v>
      </c>
      <c r="I3442" s="4">
        <f>Clean_Data[[#This Row],[Exports_TIV]] + Clean_Data[[#This Row],[Imports_TIV]]</f>
        <v>10000000</v>
      </c>
    </row>
    <row r="3443" spans="1:9">
      <c r="A3443" s="4" t="s">
        <v>147</v>
      </c>
      <c r="B3443" s="4" t="s">
        <v>148</v>
      </c>
      <c r="C3443" s="5">
        <v>2003</v>
      </c>
      <c r="D3443" s="4">
        <v>0</v>
      </c>
      <c r="E3443" s="4">
        <v>17000000</v>
      </c>
      <c r="F3443" s="4" t="str">
        <f>_xlfn.LET(_xlpm.r, _xlfn.XLOOKUP(Clean_Data[[#This Row],[Country_Code]], Metadata_Country!$A:$A, Metadata_Country!$B:$B, "Unknown"), IF(OR(_xlpm.r=0, _xlpm.r=""), "Regional Aggregate", _xlpm.r))</f>
        <v>Sub-Saharan Africa</v>
      </c>
      <c r="G3443" s="4" t="str">
        <f>_xlfn.LET(_xlpm.ig, _xlfn.XLOOKUP(Clean_Data[[#This Row],[Country_Code]], Metadata_Country!$A:$A, Metadata_Country!$C:$C, "Unknown"), IF(OR(_xlpm.ig=0, _xlpm.ig=""), "Regional Aggregate", _xlpm.ig))</f>
        <v>Low income</v>
      </c>
      <c r="H3443" s="4">
        <f>Clean_Data[[#This Row],[Exports_TIV]] - Clean_Data[[#This Row],[Imports_TIV]]</f>
        <v>-17000000</v>
      </c>
      <c r="I3443" s="4">
        <f>Clean_Data[[#This Row],[Exports_TIV]] + Clean_Data[[#This Row],[Imports_TIV]]</f>
        <v>17000000</v>
      </c>
    </row>
    <row r="3444" spans="1:9">
      <c r="A3444" s="4" t="s">
        <v>151</v>
      </c>
      <c r="B3444" s="4" t="s">
        <v>152</v>
      </c>
      <c r="C3444" s="5">
        <v>2003</v>
      </c>
      <c r="D3444" s="4">
        <v>0</v>
      </c>
      <c r="E3444" s="4">
        <v>14000000</v>
      </c>
      <c r="F3444" s="4" t="str">
        <f>_xlfn.LET(_xlpm.r, _xlfn.XLOOKUP(Clean_Data[[#This Row],[Country_Code]], Metadata_Country!$A:$A, Metadata_Country!$B:$B, "Unknown"), IF(OR(_xlpm.r=0, _xlpm.r=""), "Regional Aggregate", _xlpm.r))</f>
        <v>Europe &amp; Central Asia</v>
      </c>
      <c r="G3444" s="4" t="str">
        <f>_xlfn.LET(_xlpm.ig, _xlfn.XLOOKUP(Clean_Data[[#This Row],[Country_Code]], Metadata_Country!$A:$A, Metadata_Country!$C:$C, "Unknown"), IF(OR(_xlpm.ig=0, _xlpm.ig=""), "Regional Aggregate", _xlpm.ig))</f>
        <v>High income</v>
      </c>
      <c r="H3444" s="4">
        <f>Clean_Data[[#This Row],[Exports_TIV]] - Clean_Data[[#This Row],[Imports_TIV]]</f>
        <v>-14000000</v>
      </c>
      <c r="I3444" s="4">
        <f>Clean_Data[[#This Row],[Exports_TIV]] + Clean_Data[[#This Row],[Imports_TIV]]</f>
        <v>14000000</v>
      </c>
    </row>
    <row r="3445" spans="1:9">
      <c r="A3445" s="4" t="s">
        <v>153</v>
      </c>
      <c r="B3445" s="4" t="s">
        <v>154</v>
      </c>
      <c r="C3445" s="5">
        <v>2003</v>
      </c>
      <c r="D3445" s="4">
        <v>0</v>
      </c>
      <c r="E3445" s="4">
        <v>174000000</v>
      </c>
      <c r="F3445" s="4" t="str">
        <f>_xlfn.LET(_xlpm.r, _xlfn.XLOOKUP(Clean_Data[[#This Row],[Country_Code]], Metadata_Country!$A:$A, Metadata_Country!$B:$B, "Unknown"), IF(OR(_xlpm.r=0, _xlpm.r=""), "Regional Aggregate", _xlpm.r))</f>
        <v>Sub-Saharan Africa</v>
      </c>
      <c r="G3445" s="4" t="str">
        <f>_xlfn.LET(_xlpm.ig, _xlfn.XLOOKUP(Clean_Data[[#This Row],[Country_Code]], Metadata_Country!$A:$A, Metadata_Country!$C:$C, "Unknown"), IF(OR(_xlpm.ig=0, _xlpm.ig=""), "Regional Aggregate", _xlpm.ig))</f>
        <v>Low income</v>
      </c>
      <c r="H3445" s="4">
        <f>Clean_Data[[#This Row],[Exports_TIV]] - Clean_Data[[#This Row],[Imports_TIV]]</f>
        <v>-174000000</v>
      </c>
      <c r="I3445" s="4">
        <f>Clean_Data[[#This Row],[Exports_TIV]] + Clean_Data[[#This Row],[Imports_TIV]]</f>
        <v>174000000</v>
      </c>
    </row>
    <row r="3446" spans="1:9">
      <c r="A3446" s="4" t="s">
        <v>145</v>
      </c>
      <c r="B3446" s="4" t="s">
        <v>146</v>
      </c>
      <c r="C3446" s="5">
        <v>2003</v>
      </c>
      <c r="D3446" s="4">
        <v>3872000000</v>
      </c>
      <c r="E3446" s="4">
        <v>3696000000</v>
      </c>
      <c r="F3446" s="4" t="str">
        <f>_xlfn.LET(_xlpm.r, _xlfn.XLOOKUP(Clean_Data[[#This Row],[Country_Code]], Metadata_Country!$A:$A, Metadata_Country!$B:$B, "Unknown"), IF(OR(_xlpm.r=0, _xlpm.r=""), "Regional Aggregate", _xlpm.r))</f>
        <v>Regional Aggregate</v>
      </c>
      <c r="G3446" s="4" t="str">
        <f>_xlfn.LET(_xlpm.ig, _xlfn.XLOOKUP(Clean_Data[[#This Row],[Country_Code]], Metadata_Country!$A:$A, Metadata_Country!$C:$C, "Unknown"), IF(OR(_xlpm.ig=0, _xlpm.ig=""), "Regional Aggregate", _xlpm.ig))</f>
        <v>Regional Aggregate</v>
      </c>
      <c r="H3446" s="4">
        <f>Clean_Data[[#This Row],[Exports_TIV]] - Clean_Data[[#This Row],[Imports_TIV]]</f>
        <v>176000000</v>
      </c>
      <c r="I3446" s="4">
        <f>Clean_Data[[#This Row],[Exports_TIV]] + Clean_Data[[#This Row],[Imports_TIV]]</f>
        <v>7568000000</v>
      </c>
    </row>
    <row r="3447" spans="1:9">
      <c r="A3447" s="4" t="s">
        <v>139</v>
      </c>
      <c r="B3447" s="4" t="s">
        <v>140</v>
      </c>
      <c r="C3447" s="5">
        <v>2003</v>
      </c>
      <c r="D3447" s="4">
        <v>11668000000</v>
      </c>
      <c r="E3447" s="4">
        <v>5522000000</v>
      </c>
      <c r="F3447" s="4" t="str">
        <f>_xlfn.LET(_xlpm.r, _xlfn.XLOOKUP(Clean_Data[[#This Row],[Country_Code]], Metadata_Country!$A:$A, Metadata_Country!$B:$B, "Unknown"), IF(OR(_xlpm.r=0, _xlpm.r=""), "Regional Aggregate", _xlpm.r))</f>
        <v>Regional Aggregate</v>
      </c>
      <c r="G3447" s="4" t="str">
        <f>_xlfn.LET(_xlpm.ig, _xlfn.XLOOKUP(Clean_Data[[#This Row],[Country_Code]], Metadata_Country!$A:$A, Metadata_Country!$C:$C, "Unknown"), IF(OR(_xlpm.ig=0, _xlpm.ig=""), "Regional Aggregate", _xlpm.ig))</f>
        <v>Regional Aggregate</v>
      </c>
      <c r="H3447" s="4">
        <f>Clean_Data[[#This Row],[Exports_TIV]] - Clean_Data[[#This Row],[Imports_TIV]]</f>
        <v>6146000000</v>
      </c>
      <c r="I3447" s="4">
        <f>Clean_Data[[#This Row],[Exports_TIV]] + Clean_Data[[#This Row],[Imports_TIV]]</f>
        <v>17190000000</v>
      </c>
    </row>
    <row r="3448" spans="1:9">
      <c r="A3448" s="4" t="s">
        <v>137</v>
      </c>
      <c r="B3448" s="4" t="s">
        <v>138</v>
      </c>
      <c r="C3448" s="5">
        <v>2003</v>
      </c>
      <c r="D3448" s="4">
        <v>773000000</v>
      </c>
      <c r="E3448" s="4">
        <v>0</v>
      </c>
      <c r="F3448" s="4" t="str">
        <f>_xlfn.LET(_xlpm.r, _xlfn.XLOOKUP(Clean_Data[[#This Row],[Country_Code]], Metadata_Country!$A:$A, Metadata_Country!$B:$B, "Unknown"), IF(OR(_xlpm.r=0, _xlpm.r=""), "Regional Aggregate", _xlpm.r))</f>
        <v>Regional Aggregate</v>
      </c>
      <c r="G3448" s="4" t="str">
        <f>_xlfn.LET(_xlpm.ig, _xlfn.XLOOKUP(Clean_Data[[#This Row],[Country_Code]], Metadata_Country!$A:$A, Metadata_Country!$C:$C, "Unknown"), IF(OR(_xlpm.ig=0, _xlpm.ig=""), "Regional Aggregate", _xlpm.ig))</f>
        <v>Regional Aggregate</v>
      </c>
      <c r="H3448" s="4">
        <f>Clean_Data[[#This Row],[Exports_TIV]] - Clean_Data[[#This Row],[Imports_TIV]]</f>
        <v>773000000</v>
      </c>
      <c r="I3448" s="4">
        <f>Clean_Data[[#This Row],[Exports_TIV]] + Clean_Data[[#This Row],[Imports_TIV]]</f>
        <v>773000000</v>
      </c>
    </row>
    <row r="3449" spans="1:9">
      <c r="A3449" s="4" t="s">
        <v>471</v>
      </c>
      <c r="B3449" s="4" t="s">
        <v>472</v>
      </c>
      <c r="C3449" s="5">
        <v>2003</v>
      </c>
      <c r="D3449" s="4">
        <v>6191000000</v>
      </c>
      <c r="E3449" s="4">
        <v>0</v>
      </c>
      <c r="F3449" s="4" t="str">
        <f>_xlfn.LET(_xlpm.r, _xlfn.XLOOKUP(Clean_Data[[#This Row],[Country_Code]], Metadata_Country!$A:$A, Metadata_Country!$B:$B, "Unknown"), IF(OR(_xlpm.r=0, _xlpm.r=""), "Regional Aggregate", _xlpm.r))</f>
        <v>Regional Aggregate</v>
      </c>
      <c r="G3449" s="4" t="str">
        <f>_xlfn.LET(_xlpm.ig, _xlfn.XLOOKUP(Clean_Data[[#This Row],[Country_Code]], Metadata_Country!$A:$A, Metadata_Country!$C:$C, "Unknown"), IF(OR(_xlpm.ig=0, _xlpm.ig=""), "Regional Aggregate", _xlpm.ig))</f>
        <v>Regional Aggregate</v>
      </c>
      <c r="H3449" s="4">
        <f>Clean_Data[[#This Row],[Exports_TIV]] - Clean_Data[[#This Row],[Imports_TIV]]</f>
        <v>6191000000</v>
      </c>
      <c r="I3449" s="4">
        <f>Clean_Data[[#This Row],[Exports_TIV]] + Clean_Data[[#This Row],[Imports_TIV]]</f>
        <v>6191000000</v>
      </c>
    </row>
    <row r="3450" spans="1:9">
      <c r="A3450" s="4" t="s">
        <v>155</v>
      </c>
      <c r="B3450" s="4" t="s">
        <v>156</v>
      </c>
      <c r="C3450" s="5">
        <v>2003</v>
      </c>
      <c r="D3450" s="4">
        <v>4562000000</v>
      </c>
      <c r="E3450" s="4">
        <v>4268000000</v>
      </c>
      <c r="F3450" s="4" t="str">
        <f>_xlfn.LET(_xlpm.r, _xlfn.XLOOKUP(Clean_Data[[#This Row],[Country_Code]], Metadata_Country!$A:$A, Metadata_Country!$B:$B, "Unknown"), IF(OR(_xlpm.r=0, _xlpm.r=""), "Regional Aggregate", _xlpm.r))</f>
        <v>Regional Aggregate</v>
      </c>
      <c r="G3450" s="4" t="str">
        <f>_xlfn.LET(_xlpm.ig, _xlfn.XLOOKUP(Clean_Data[[#This Row],[Country_Code]], Metadata_Country!$A:$A, Metadata_Country!$C:$C, "Unknown"), IF(OR(_xlpm.ig=0, _xlpm.ig=""), "Regional Aggregate", _xlpm.ig))</f>
        <v>Regional Aggregate</v>
      </c>
      <c r="H3450" s="4">
        <f>Clean_Data[[#This Row],[Exports_TIV]] - Clean_Data[[#This Row],[Imports_TIV]]</f>
        <v>294000000</v>
      </c>
      <c r="I3450" s="4">
        <f>Clean_Data[[#This Row],[Exports_TIV]] + Clean_Data[[#This Row],[Imports_TIV]]</f>
        <v>8830000000</v>
      </c>
    </row>
    <row r="3451" spans="1:9">
      <c r="A3451" s="4" t="s">
        <v>159</v>
      </c>
      <c r="B3451" s="4" t="s">
        <v>160</v>
      </c>
      <c r="C3451" s="5">
        <v>2003</v>
      </c>
      <c r="D3451" s="4">
        <v>35000000</v>
      </c>
      <c r="E3451" s="4">
        <v>242000000</v>
      </c>
      <c r="F3451" s="4" t="str">
        <f>_xlfn.LET(_xlpm.r, _xlfn.XLOOKUP(Clean_Data[[#This Row],[Country_Code]], Metadata_Country!$A:$A, Metadata_Country!$B:$B, "Unknown"), IF(OR(_xlpm.r=0, _xlpm.r=""), "Regional Aggregate", _xlpm.r))</f>
        <v>Europe &amp; Central Asia</v>
      </c>
      <c r="G3451" s="4" t="str">
        <f>_xlfn.LET(_xlpm.ig, _xlfn.XLOOKUP(Clean_Data[[#This Row],[Country_Code]], Metadata_Country!$A:$A, Metadata_Country!$C:$C, "Unknown"), IF(OR(_xlpm.ig=0, _xlpm.ig=""), "Regional Aggregate", _xlpm.ig))</f>
        <v>High income</v>
      </c>
      <c r="H3451" s="4">
        <f>Clean_Data[[#This Row],[Exports_TIV]] - Clean_Data[[#This Row],[Imports_TIV]]</f>
        <v>-207000000</v>
      </c>
      <c r="I3451" s="4">
        <f>Clean_Data[[#This Row],[Exports_TIV]] + Clean_Data[[#This Row],[Imports_TIV]]</f>
        <v>277000000</v>
      </c>
    </row>
    <row r="3452" spans="1:9">
      <c r="A3452" s="4" t="s">
        <v>163</v>
      </c>
      <c r="B3452" s="4" t="s">
        <v>164</v>
      </c>
      <c r="C3452" s="5">
        <v>2003</v>
      </c>
      <c r="D3452" s="4">
        <v>1348000000</v>
      </c>
      <c r="E3452" s="4">
        <v>55000000</v>
      </c>
      <c r="F3452" s="4" t="str">
        <f>_xlfn.LET(_xlpm.r, _xlfn.XLOOKUP(Clean_Data[[#This Row],[Country_Code]], Metadata_Country!$A:$A, Metadata_Country!$B:$B, "Unknown"), IF(OR(_xlpm.r=0, _xlpm.r=""), "Regional Aggregate", _xlpm.r))</f>
        <v>Europe &amp; Central Asia</v>
      </c>
      <c r="G3452" s="4" t="str">
        <f>_xlfn.LET(_xlpm.ig, _xlfn.XLOOKUP(Clean_Data[[#This Row],[Country_Code]], Metadata_Country!$A:$A, Metadata_Country!$C:$C, "Unknown"), IF(OR(_xlpm.ig=0, _xlpm.ig=""), "Regional Aggregate", _xlpm.ig))</f>
        <v>High income</v>
      </c>
      <c r="H3452" s="4">
        <f>Clean_Data[[#This Row],[Exports_TIV]] - Clean_Data[[#This Row],[Imports_TIV]]</f>
        <v>1293000000</v>
      </c>
      <c r="I3452" s="4">
        <f>Clean_Data[[#This Row],[Exports_TIV]] + Clean_Data[[#This Row],[Imports_TIV]]</f>
        <v>1403000000</v>
      </c>
    </row>
    <row r="3453" spans="1:9">
      <c r="A3453" s="4" t="s">
        <v>173</v>
      </c>
      <c r="B3453" s="4" t="s">
        <v>174</v>
      </c>
      <c r="C3453" s="5">
        <v>2003</v>
      </c>
      <c r="D3453" s="4">
        <v>0</v>
      </c>
      <c r="E3453" s="4">
        <v>1000000</v>
      </c>
      <c r="F3453" s="4" t="str">
        <f>_xlfn.LET(_xlpm.r, _xlfn.XLOOKUP(Clean_Data[[#This Row],[Country_Code]], Metadata_Country!$A:$A, Metadata_Country!$B:$B, "Unknown"), IF(OR(_xlpm.r=0, _xlpm.r=""), "Regional Aggregate", _xlpm.r))</f>
        <v>Europe &amp; Central Asia</v>
      </c>
      <c r="G3453" s="4" t="str">
        <f>_xlfn.LET(_xlpm.ig, _xlfn.XLOOKUP(Clean_Data[[#This Row],[Country_Code]], Metadata_Country!$A:$A, Metadata_Country!$C:$C, "Unknown"), IF(OR(_xlpm.ig=0, _xlpm.ig=""), "Regional Aggregate", _xlpm.ig))</f>
        <v>Upper middle income</v>
      </c>
      <c r="H3453" s="4">
        <f>Clean_Data[[#This Row],[Exports_TIV]] - Clean_Data[[#This Row],[Imports_TIV]]</f>
        <v>-1000000</v>
      </c>
      <c r="I3453" s="4">
        <f>Clean_Data[[#This Row],[Exports_TIV]] + Clean_Data[[#This Row],[Imports_TIV]]</f>
        <v>1000000</v>
      </c>
    </row>
    <row r="3454" spans="1:9">
      <c r="A3454" s="4" t="s">
        <v>119</v>
      </c>
      <c r="B3454" s="4" t="s">
        <v>120</v>
      </c>
      <c r="C3454" s="5">
        <v>2003</v>
      </c>
      <c r="D3454" s="4">
        <v>1632000000</v>
      </c>
      <c r="E3454" s="4">
        <v>70000000</v>
      </c>
      <c r="F3454" s="4" t="str">
        <f>_xlfn.LET(_xlpm.r, _xlfn.XLOOKUP(Clean_Data[[#This Row],[Country_Code]], Metadata_Country!$A:$A, Metadata_Country!$B:$B, "Unknown"), IF(OR(_xlpm.r=0, _xlpm.r=""), "Regional Aggregate", _xlpm.r))</f>
        <v>Europe &amp; Central Asia</v>
      </c>
      <c r="G3454" s="4" t="str">
        <f>_xlfn.LET(_xlpm.ig, _xlfn.XLOOKUP(Clean_Data[[#This Row],[Country_Code]], Metadata_Country!$A:$A, Metadata_Country!$C:$C, "Unknown"), IF(OR(_xlpm.ig=0, _xlpm.ig=""), "Regional Aggregate", _xlpm.ig))</f>
        <v>High income</v>
      </c>
      <c r="H3454" s="4">
        <f>Clean_Data[[#This Row],[Exports_TIV]] - Clean_Data[[#This Row],[Imports_TIV]]</f>
        <v>1562000000</v>
      </c>
      <c r="I3454" s="4">
        <f>Clean_Data[[#This Row],[Exports_TIV]] + Clean_Data[[#This Row],[Imports_TIV]]</f>
        <v>1702000000</v>
      </c>
    </row>
    <row r="3455" spans="1:9">
      <c r="A3455" s="4" t="s">
        <v>175</v>
      </c>
      <c r="B3455" s="4" t="s">
        <v>176</v>
      </c>
      <c r="C3455" s="5">
        <v>2003</v>
      </c>
      <c r="D3455" s="4">
        <v>0</v>
      </c>
      <c r="E3455" s="4">
        <v>6000000</v>
      </c>
      <c r="F3455" s="4" t="str">
        <f>_xlfn.LET(_xlpm.r, _xlfn.XLOOKUP(Clean_Data[[#This Row],[Country_Code]], Metadata_Country!$A:$A, Metadata_Country!$B:$B, "Unknown"), IF(OR(_xlpm.r=0, _xlpm.r=""), "Regional Aggregate", _xlpm.r))</f>
        <v>Sub-Saharan Africa</v>
      </c>
      <c r="G3455" s="4" t="str">
        <f>_xlfn.LET(_xlpm.ig, _xlfn.XLOOKUP(Clean_Data[[#This Row],[Country_Code]], Metadata_Country!$A:$A, Metadata_Country!$C:$C, "Unknown"), IF(OR(_xlpm.ig=0, _xlpm.ig=""), "Regional Aggregate", _xlpm.ig))</f>
        <v>Lower middle income</v>
      </c>
      <c r="H3455" s="4">
        <f>Clean_Data[[#This Row],[Exports_TIV]] - Clean_Data[[#This Row],[Imports_TIV]]</f>
        <v>-6000000</v>
      </c>
      <c r="I3455" s="4">
        <f>Clean_Data[[#This Row],[Exports_TIV]] + Clean_Data[[#This Row],[Imports_TIV]]</f>
        <v>6000000</v>
      </c>
    </row>
    <row r="3456" spans="1:9">
      <c r="A3456" s="4" t="s">
        <v>187</v>
      </c>
      <c r="B3456" s="4" t="s">
        <v>188</v>
      </c>
      <c r="C3456" s="5">
        <v>2003</v>
      </c>
      <c r="D3456" s="4">
        <v>6000000</v>
      </c>
      <c r="E3456" s="4">
        <v>2164000000</v>
      </c>
      <c r="F3456" s="4" t="str">
        <f>_xlfn.LET(_xlpm.r, _xlfn.XLOOKUP(Clean_Data[[#This Row],[Country_Code]], Metadata_Country!$A:$A, Metadata_Country!$B:$B, "Unknown"), IF(OR(_xlpm.r=0, _xlpm.r=""), "Regional Aggregate", _xlpm.r))</f>
        <v>Europe &amp; Central Asia</v>
      </c>
      <c r="G3456" s="4" t="str">
        <f>_xlfn.LET(_xlpm.ig, _xlfn.XLOOKUP(Clean_Data[[#This Row],[Country_Code]], Metadata_Country!$A:$A, Metadata_Country!$C:$C, "Unknown"), IF(OR(_xlpm.ig=0, _xlpm.ig=""), "Regional Aggregate", _xlpm.ig))</f>
        <v>High income</v>
      </c>
      <c r="H3456" s="4">
        <f>Clean_Data[[#This Row],[Exports_TIV]] - Clean_Data[[#This Row],[Imports_TIV]]</f>
        <v>-2158000000</v>
      </c>
      <c r="I3456" s="4">
        <f>Clean_Data[[#This Row],[Exports_TIV]] + Clean_Data[[#This Row],[Imports_TIV]]</f>
        <v>2170000000</v>
      </c>
    </row>
    <row r="3457" spans="1:9">
      <c r="A3457" s="4" t="s">
        <v>179</v>
      </c>
      <c r="B3457" s="4" t="s">
        <v>180</v>
      </c>
      <c r="C3457" s="5">
        <v>2003</v>
      </c>
      <c r="D3457" s="4">
        <v>0</v>
      </c>
      <c r="E3457" s="4">
        <v>2000000</v>
      </c>
      <c r="F3457" s="4" t="str">
        <f>_xlfn.LET(_xlpm.r, _xlfn.XLOOKUP(Clean_Data[[#This Row],[Country_Code]], Metadata_Country!$A:$A, Metadata_Country!$B:$B, "Unknown"), IF(OR(_xlpm.r=0, _xlpm.r=""), "Regional Aggregate", _xlpm.r))</f>
        <v>Sub-Saharan Africa</v>
      </c>
      <c r="G3457" s="4" t="str">
        <f>_xlfn.LET(_xlpm.ig, _xlfn.XLOOKUP(Clean_Data[[#This Row],[Country_Code]], Metadata_Country!$A:$A, Metadata_Country!$C:$C, "Unknown"), IF(OR(_xlpm.ig=0, _xlpm.ig=""), "Regional Aggregate", _xlpm.ig))</f>
        <v>Lower middle income</v>
      </c>
      <c r="H3457" s="4">
        <f>Clean_Data[[#This Row],[Exports_TIV]] - Clean_Data[[#This Row],[Imports_TIV]]</f>
        <v>-2000000</v>
      </c>
      <c r="I3457" s="4">
        <f>Clean_Data[[#This Row],[Exports_TIV]] + Clean_Data[[#This Row],[Imports_TIV]]</f>
        <v>2000000</v>
      </c>
    </row>
    <row r="3458" spans="1:9">
      <c r="A3458" s="4" t="s">
        <v>199</v>
      </c>
      <c r="B3458" s="4" t="s">
        <v>200</v>
      </c>
      <c r="C3458" s="5">
        <v>2003</v>
      </c>
      <c r="D3458" s="4">
        <v>17439000000</v>
      </c>
      <c r="E3458" s="4">
        <v>9560000000</v>
      </c>
      <c r="F3458" s="4" t="str">
        <f>_xlfn.LET(_xlpm.r, _xlfn.XLOOKUP(Clean_Data[[#This Row],[Country_Code]], Metadata_Country!$A:$A, Metadata_Country!$B:$B, "Unknown"), IF(OR(_xlpm.r=0, _xlpm.r=""), "Regional Aggregate", _xlpm.r))</f>
        <v>Regional Aggregate</v>
      </c>
      <c r="G3458" s="4" t="str">
        <f>_xlfn.LET(_xlpm.ig, _xlfn.XLOOKUP(Clean_Data[[#This Row],[Country_Code]], Metadata_Country!$A:$A, Metadata_Country!$C:$C, "Unknown"), IF(OR(_xlpm.ig=0, _xlpm.ig=""), "Regional Aggregate", _xlpm.ig))</f>
        <v>Regional Aggregate</v>
      </c>
      <c r="H3458" s="4">
        <f>Clean_Data[[#This Row],[Exports_TIV]] - Clean_Data[[#This Row],[Imports_TIV]]</f>
        <v>7879000000</v>
      </c>
      <c r="I3458" s="4">
        <f>Clean_Data[[#This Row],[Exports_TIV]] + Clean_Data[[#This Row],[Imports_TIV]]</f>
        <v>26999000000</v>
      </c>
    </row>
    <row r="3459" spans="1:9">
      <c r="A3459" s="4" t="s">
        <v>213</v>
      </c>
      <c r="B3459" s="4" t="s">
        <v>214</v>
      </c>
      <c r="C3459" s="5">
        <v>2003</v>
      </c>
      <c r="D3459" s="4">
        <v>0</v>
      </c>
      <c r="E3459" s="4">
        <v>8576000000</v>
      </c>
      <c r="F3459" s="4" t="str">
        <f>_xlfn.LET(_xlpm.r, _xlfn.XLOOKUP(Clean_Data[[#This Row],[Country_Code]], Metadata_Country!$A:$A, Metadata_Country!$B:$B, "Unknown"), IF(OR(_xlpm.r=0, _xlpm.r=""), "Regional Aggregate", _xlpm.r))</f>
        <v>Regional Aggregate</v>
      </c>
      <c r="G3459" s="4" t="str">
        <f>_xlfn.LET(_xlpm.ig, _xlfn.XLOOKUP(Clean_Data[[#This Row],[Country_Code]], Metadata_Country!$A:$A, Metadata_Country!$C:$C, "Unknown"), IF(OR(_xlpm.ig=0, _xlpm.ig=""), "Regional Aggregate", _xlpm.ig))</f>
        <v>Regional Aggregate</v>
      </c>
      <c r="H3459" s="4">
        <f>Clean_Data[[#This Row],[Exports_TIV]] - Clean_Data[[#This Row],[Imports_TIV]]</f>
        <v>-8576000000</v>
      </c>
      <c r="I3459" s="4">
        <f>Clean_Data[[#This Row],[Exports_TIV]] + Clean_Data[[#This Row],[Imports_TIV]]</f>
        <v>8576000000</v>
      </c>
    </row>
    <row r="3460" spans="1:9">
      <c r="A3460" s="4" t="s">
        <v>215</v>
      </c>
      <c r="B3460" s="4" t="s">
        <v>216</v>
      </c>
      <c r="C3460" s="5">
        <v>2003</v>
      </c>
      <c r="D3460" s="4">
        <v>0</v>
      </c>
      <c r="E3460" s="4">
        <v>10128000000</v>
      </c>
      <c r="F3460" s="4" t="str">
        <f>_xlfn.LET(_xlpm.r, _xlfn.XLOOKUP(Clean_Data[[#This Row],[Country_Code]], Metadata_Country!$A:$A, Metadata_Country!$B:$B, "Unknown"), IF(OR(_xlpm.r=0, _xlpm.r=""), "Regional Aggregate", _xlpm.r))</f>
        <v>Regional Aggregate</v>
      </c>
      <c r="G3460" s="4" t="str">
        <f>_xlfn.LET(_xlpm.ig, _xlfn.XLOOKUP(Clean_Data[[#This Row],[Country_Code]], Metadata_Country!$A:$A, Metadata_Country!$C:$C, "Unknown"), IF(OR(_xlpm.ig=0, _xlpm.ig=""), "Regional Aggregate", _xlpm.ig))</f>
        <v>Regional Aggregate</v>
      </c>
      <c r="H3460" s="4">
        <f>Clean_Data[[#This Row],[Exports_TIV]] - Clean_Data[[#This Row],[Imports_TIV]]</f>
        <v>-10128000000</v>
      </c>
      <c r="I3460" s="4">
        <f>Clean_Data[[#This Row],[Exports_TIV]] + Clean_Data[[#This Row],[Imports_TIV]]</f>
        <v>10128000000</v>
      </c>
    </row>
    <row r="3461" spans="1:9">
      <c r="A3461" s="4" t="s">
        <v>219</v>
      </c>
      <c r="B3461" s="4" t="s">
        <v>220</v>
      </c>
      <c r="C3461" s="5">
        <v>2003</v>
      </c>
      <c r="D3461" s="4">
        <v>0</v>
      </c>
      <c r="E3461" s="4">
        <v>796000000</v>
      </c>
      <c r="F3461" s="4" t="str">
        <f>_xlfn.LET(_xlpm.r, _xlfn.XLOOKUP(Clean_Data[[#This Row],[Country_Code]], Metadata_Country!$A:$A, Metadata_Country!$B:$B, "Unknown"), IF(OR(_xlpm.r=0, _xlpm.r=""), "Regional Aggregate", _xlpm.r))</f>
        <v>Regional Aggregate</v>
      </c>
      <c r="G3461" s="4" t="str">
        <f>_xlfn.LET(_xlpm.ig, _xlfn.XLOOKUP(Clean_Data[[#This Row],[Country_Code]], Metadata_Country!$A:$A, Metadata_Country!$C:$C, "Unknown"), IF(OR(_xlpm.ig=0, _xlpm.ig=""), "Regional Aggregate", _xlpm.ig))</f>
        <v>Regional Aggregate</v>
      </c>
      <c r="H3461" s="4">
        <f>Clean_Data[[#This Row],[Exports_TIV]] - Clean_Data[[#This Row],[Imports_TIV]]</f>
        <v>-796000000</v>
      </c>
      <c r="I3461" s="4">
        <f>Clean_Data[[#This Row],[Exports_TIV]] + Clean_Data[[#This Row],[Imports_TIV]]</f>
        <v>796000000</v>
      </c>
    </row>
    <row r="3462" spans="1:9">
      <c r="A3462" s="4" t="s">
        <v>217</v>
      </c>
      <c r="B3462" s="4" t="s">
        <v>218</v>
      </c>
      <c r="C3462" s="5">
        <v>2003</v>
      </c>
      <c r="D3462" s="4">
        <v>0</v>
      </c>
      <c r="E3462" s="4">
        <v>1552000000</v>
      </c>
      <c r="F3462" s="4" t="str">
        <f>_xlfn.LET(_xlpm.r, _xlfn.XLOOKUP(Clean_Data[[#This Row],[Country_Code]], Metadata_Country!$A:$A, Metadata_Country!$B:$B, "Unknown"), IF(OR(_xlpm.r=0, _xlpm.r=""), "Regional Aggregate", _xlpm.r))</f>
        <v>Regional Aggregate</v>
      </c>
      <c r="G3462" s="4" t="str">
        <f>_xlfn.LET(_xlpm.ig, _xlfn.XLOOKUP(Clean_Data[[#This Row],[Country_Code]], Metadata_Country!$A:$A, Metadata_Country!$C:$C, "Unknown"), IF(OR(_xlpm.ig=0, _xlpm.ig=""), "Regional Aggregate", _xlpm.ig))</f>
        <v>Regional Aggregate</v>
      </c>
      <c r="H3462" s="4">
        <f>Clean_Data[[#This Row],[Exports_TIV]] - Clean_Data[[#This Row],[Imports_TIV]]</f>
        <v>-1552000000</v>
      </c>
      <c r="I3462" s="4">
        <f>Clean_Data[[#This Row],[Exports_TIV]] + Clean_Data[[#This Row],[Imports_TIV]]</f>
        <v>1552000000</v>
      </c>
    </row>
    <row r="3463" spans="1:9">
      <c r="A3463" s="4" t="s">
        <v>227</v>
      </c>
      <c r="B3463" s="4" t="s">
        <v>228</v>
      </c>
      <c r="C3463" s="5">
        <v>2003</v>
      </c>
      <c r="D3463" s="4">
        <v>4000000</v>
      </c>
      <c r="E3463" s="4">
        <v>2798000000</v>
      </c>
      <c r="F3463" s="4" t="str">
        <f>_xlfn.LET(_xlpm.r, _xlfn.XLOOKUP(Clean_Data[[#This Row],[Country_Code]], Metadata_Country!$A:$A, Metadata_Country!$B:$B, "Unknown"), IF(OR(_xlpm.r=0, _xlpm.r=""), "Regional Aggregate", _xlpm.r))</f>
        <v>South Asia</v>
      </c>
      <c r="G3463" s="4" t="str">
        <f>_xlfn.LET(_xlpm.ig, _xlfn.XLOOKUP(Clean_Data[[#This Row],[Country_Code]], Metadata_Country!$A:$A, Metadata_Country!$C:$C, "Unknown"), IF(OR(_xlpm.ig=0, _xlpm.ig=""), "Regional Aggregate", _xlpm.ig))</f>
        <v>Lower middle income</v>
      </c>
      <c r="H3463" s="4">
        <f>Clean_Data[[#This Row],[Exports_TIV]] - Clean_Data[[#This Row],[Imports_TIV]]</f>
        <v>-2794000000</v>
      </c>
      <c r="I3463" s="4">
        <f>Clean_Data[[#This Row],[Exports_TIV]] + Clean_Data[[#This Row],[Imports_TIV]]</f>
        <v>2802000000</v>
      </c>
    </row>
    <row r="3464" spans="1:9">
      <c r="A3464" s="4" t="s">
        <v>221</v>
      </c>
      <c r="B3464" s="4" t="s">
        <v>222</v>
      </c>
      <c r="C3464" s="5">
        <v>2003</v>
      </c>
      <c r="D3464" s="4">
        <v>0</v>
      </c>
      <c r="E3464" s="4">
        <v>353000000</v>
      </c>
      <c r="F3464" s="4" t="str">
        <f>_xlfn.LET(_xlpm.r, _xlfn.XLOOKUP(Clean_Data[[#This Row],[Country_Code]], Metadata_Country!$A:$A, Metadata_Country!$B:$B, "Unknown"), IF(OR(_xlpm.r=0, _xlpm.r=""), "Regional Aggregate", _xlpm.r))</f>
        <v>East Asia &amp; Pacific</v>
      </c>
      <c r="G3464" s="4" t="str">
        <f>_xlfn.LET(_xlpm.ig, _xlfn.XLOOKUP(Clean_Data[[#This Row],[Country_Code]], Metadata_Country!$A:$A, Metadata_Country!$C:$C, "Unknown"), IF(OR(_xlpm.ig=0, _xlpm.ig=""), "Regional Aggregate", _xlpm.ig))</f>
        <v>Upper middle income</v>
      </c>
      <c r="H3464" s="4">
        <f>Clean_Data[[#This Row],[Exports_TIV]] - Clean_Data[[#This Row],[Imports_TIV]]</f>
        <v>-353000000</v>
      </c>
      <c r="I3464" s="4">
        <f>Clean_Data[[#This Row],[Exports_TIV]] + Clean_Data[[#This Row],[Imports_TIV]]</f>
        <v>353000000</v>
      </c>
    </row>
    <row r="3465" spans="1:9">
      <c r="A3465" s="4" t="s">
        <v>233</v>
      </c>
      <c r="B3465" s="4" t="s">
        <v>234</v>
      </c>
      <c r="C3465" s="5">
        <v>2003</v>
      </c>
      <c r="D3465" s="4">
        <v>12000000</v>
      </c>
      <c r="E3465" s="4">
        <v>283000000</v>
      </c>
      <c r="F3465" s="4" t="str">
        <f>_xlfn.LET(_xlpm.r, _xlfn.XLOOKUP(Clean_Data[[#This Row],[Country_Code]], Metadata_Country!$A:$A, Metadata_Country!$B:$B, "Unknown"), IF(OR(_xlpm.r=0, _xlpm.r=""), "Regional Aggregate", _xlpm.r))</f>
        <v>Middle East &amp; North Africa</v>
      </c>
      <c r="G3465" s="4" t="str">
        <f>_xlfn.LET(_xlpm.ig, _xlfn.XLOOKUP(Clean_Data[[#This Row],[Country_Code]], Metadata_Country!$A:$A, Metadata_Country!$C:$C, "Unknown"), IF(OR(_xlpm.ig=0, _xlpm.ig=""), "Regional Aggregate", _xlpm.ig))</f>
        <v>Upper middle income</v>
      </c>
      <c r="H3465" s="4">
        <f>Clean_Data[[#This Row],[Exports_TIV]] - Clean_Data[[#This Row],[Imports_TIV]]</f>
        <v>-271000000</v>
      </c>
      <c r="I3465" s="4">
        <f>Clean_Data[[#This Row],[Exports_TIV]] + Clean_Data[[#This Row],[Imports_TIV]]</f>
        <v>295000000</v>
      </c>
    </row>
    <row r="3466" spans="1:9">
      <c r="A3466" s="4" t="s">
        <v>239</v>
      </c>
      <c r="B3466" s="4" t="s">
        <v>240</v>
      </c>
      <c r="C3466" s="5">
        <v>2003</v>
      </c>
      <c r="D3466" s="4">
        <v>418000000</v>
      </c>
      <c r="E3466" s="4">
        <v>189000000</v>
      </c>
      <c r="F3466" s="4" t="str">
        <f>_xlfn.LET(_xlpm.r, _xlfn.XLOOKUP(Clean_Data[[#This Row],[Country_Code]], Metadata_Country!$A:$A, Metadata_Country!$B:$B, "Unknown"), IF(OR(_xlpm.r=0, _xlpm.r=""), "Regional Aggregate", _xlpm.r))</f>
        <v>Middle East &amp; North Africa</v>
      </c>
      <c r="G3466" s="4" t="str">
        <f>_xlfn.LET(_xlpm.ig, _xlfn.XLOOKUP(Clean_Data[[#This Row],[Country_Code]], Metadata_Country!$A:$A, Metadata_Country!$C:$C, "Unknown"), IF(OR(_xlpm.ig=0, _xlpm.ig=""), "Regional Aggregate", _xlpm.ig))</f>
        <v>High income</v>
      </c>
      <c r="H3466" s="4">
        <f>Clean_Data[[#This Row],[Exports_TIV]] - Clean_Data[[#This Row],[Imports_TIV]]</f>
        <v>229000000</v>
      </c>
      <c r="I3466" s="4">
        <f>Clean_Data[[#This Row],[Exports_TIV]] + Clean_Data[[#This Row],[Imports_TIV]]</f>
        <v>607000000</v>
      </c>
    </row>
    <row r="3467" spans="1:9">
      <c r="A3467" s="4" t="s">
        <v>241</v>
      </c>
      <c r="B3467" s="4" t="s">
        <v>242</v>
      </c>
      <c r="C3467" s="5">
        <v>2003</v>
      </c>
      <c r="D3467" s="4">
        <v>359000000</v>
      </c>
      <c r="E3467" s="4">
        <v>617000000</v>
      </c>
      <c r="F3467" s="4" t="str">
        <f>_xlfn.LET(_xlpm.r, _xlfn.XLOOKUP(Clean_Data[[#This Row],[Country_Code]], Metadata_Country!$A:$A, Metadata_Country!$B:$B, "Unknown"), IF(OR(_xlpm.r=0, _xlpm.r=""), "Regional Aggregate", _xlpm.r))</f>
        <v>Europe &amp; Central Asia</v>
      </c>
      <c r="G3467" s="4" t="str">
        <f>_xlfn.LET(_xlpm.ig, _xlfn.XLOOKUP(Clean_Data[[#This Row],[Country_Code]], Metadata_Country!$A:$A, Metadata_Country!$C:$C, "Unknown"), IF(OR(_xlpm.ig=0, _xlpm.ig=""), "Regional Aggregate", _xlpm.ig))</f>
        <v>High income</v>
      </c>
      <c r="H3467" s="4">
        <f>Clean_Data[[#This Row],[Exports_TIV]] - Clean_Data[[#This Row],[Imports_TIV]]</f>
        <v>-258000000</v>
      </c>
      <c r="I3467" s="4">
        <f>Clean_Data[[#This Row],[Exports_TIV]] + Clean_Data[[#This Row],[Imports_TIV]]</f>
        <v>976000000</v>
      </c>
    </row>
    <row r="3468" spans="1:9">
      <c r="A3468" s="4" t="s">
        <v>247</v>
      </c>
      <c r="B3468" s="4" t="s">
        <v>248</v>
      </c>
      <c r="C3468" s="5">
        <v>2003</v>
      </c>
      <c r="D3468" s="4">
        <v>0</v>
      </c>
      <c r="E3468" s="4">
        <v>458000000</v>
      </c>
      <c r="F3468" s="4" t="str">
        <f>_xlfn.LET(_xlpm.r, _xlfn.XLOOKUP(Clean_Data[[#This Row],[Country_Code]], Metadata_Country!$A:$A, Metadata_Country!$B:$B, "Unknown"), IF(OR(_xlpm.r=0, _xlpm.r=""), "Regional Aggregate", _xlpm.r))</f>
        <v>East Asia &amp; Pacific</v>
      </c>
      <c r="G3468" s="4" t="str">
        <f>_xlfn.LET(_xlpm.ig, _xlfn.XLOOKUP(Clean_Data[[#This Row],[Country_Code]], Metadata_Country!$A:$A, Metadata_Country!$C:$C, "Unknown"), IF(OR(_xlpm.ig=0, _xlpm.ig=""), "Regional Aggregate", _xlpm.ig))</f>
        <v>High income</v>
      </c>
      <c r="H3468" s="4">
        <f>Clean_Data[[#This Row],[Exports_TIV]] - Clean_Data[[#This Row],[Imports_TIV]]</f>
        <v>-458000000</v>
      </c>
      <c r="I3468" s="4">
        <f>Clean_Data[[#This Row],[Exports_TIV]] + Clean_Data[[#This Row],[Imports_TIV]]</f>
        <v>458000000</v>
      </c>
    </row>
    <row r="3469" spans="1:9">
      <c r="A3469" s="4" t="s">
        <v>245</v>
      </c>
      <c r="B3469" s="4" t="s">
        <v>246</v>
      </c>
      <c r="C3469" s="5">
        <v>2003</v>
      </c>
      <c r="D3469" s="4">
        <v>0</v>
      </c>
      <c r="E3469" s="4">
        <v>281000000</v>
      </c>
      <c r="F3469" s="4" t="str">
        <f>_xlfn.LET(_xlpm.r, _xlfn.XLOOKUP(Clean_Data[[#This Row],[Country_Code]], Metadata_Country!$A:$A, Metadata_Country!$B:$B, "Unknown"), IF(OR(_xlpm.r=0, _xlpm.r=""), "Regional Aggregate", _xlpm.r))</f>
        <v>Middle East &amp; North Africa</v>
      </c>
      <c r="G3469" s="4" t="str">
        <f>_xlfn.LET(_xlpm.ig, _xlfn.XLOOKUP(Clean_Data[[#This Row],[Country_Code]], Metadata_Country!$A:$A, Metadata_Country!$C:$C, "Unknown"), IF(OR(_xlpm.ig=0, _xlpm.ig=""), "Regional Aggregate", _xlpm.ig))</f>
        <v>Upper middle income</v>
      </c>
      <c r="H3469" s="4">
        <f>Clean_Data[[#This Row],[Exports_TIV]] - Clean_Data[[#This Row],[Imports_TIV]]</f>
        <v>-281000000</v>
      </c>
      <c r="I3469" s="4">
        <f>Clean_Data[[#This Row],[Exports_TIV]] + Clean_Data[[#This Row],[Imports_TIV]]</f>
        <v>281000000</v>
      </c>
    </row>
    <row r="3470" spans="1:9">
      <c r="A3470" s="4" t="s">
        <v>395</v>
      </c>
      <c r="B3470" s="4" t="s">
        <v>396</v>
      </c>
      <c r="C3470" s="5">
        <v>2003</v>
      </c>
      <c r="D3470" s="4">
        <v>129000000</v>
      </c>
      <c r="E3470" s="4">
        <v>35000000</v>
      </c>
      <c r="F3470" s="4" t="str">
        <f>_xlfn.LET(_xlpm.r, _xlfn.XLOOKUP(Clean_Data[[#This Row],[Country_Code]], Metadata_Country!$A:$A, Metadata_Country!$B:$B, "Unknown"), IF(OR(_xlpm.r=0, _xlpm.r=""), "Regional Aggregate", _xlpm.r))</f>
        <v>East Asia &amp; Pacific</v>
      </c>
      <c r="G3470" s="4" t="str">
        <f>_xlfn.LET(_xlpm.ig, _xlfn.XLOOKUP(Clean_Data[[#This Row],[Country_Code]], Metadata_Country!$A:$A, Metadata_Country!$C:$C, "Unknown"), IF(OR(_xlpm.ig=0, _xlpm.ig=""), "Regional Aggregate", _xlpm.ig))</f>
        <v>Low income</v>
      </c>
      <c r="H3470" s="4">
        <f>Clean_Data[[#This Row],[Exports_TIV]] - Clean_Data[[#This Row],[Imports_TIV]]</f>
        <v>94000000</v>
      </c>
      <c r="I3470" s="4">
        <f>Clean_Data[[#This Row],[Exports_TIV]] + Clean_Data[[#This Row],[Imports_TIV]]</f>
        <v>164000000</v>
      </c>
    </row>
    <row r="3471" spans="1:9">
      <c r="A3471" s="4" t="s">
        <v>261</v>
      </c>
      <c r="B3471" s="4" t="s">
        <v>262</v>
      </c>
      <c r="C3471" s="5">
        <v>2003</v>
      </c>
      <c r="D3471" s="4">
        <v>96000000</v>
      </c>
      <c r="E3471" s="4">
        <v>767000000</v>
      </c>
      <c r="F3471" s="4" t="str">
        <f>_xlfn.LET(_xlpm.r, _xlfn.XLOOKUP(Clean_Data[[#This Row],[Country_Code]], Metadata_Country!$A:$A, Metadata_Country!$B:$B, "Unknown"), IF(OR(_xlpm.r=0, _xlpm.r=""), "Regional Aggregate", _xlpm.r))</f>
        <v>East Asia &amp; Pacific</v>
      </c>
      <c r="G3471" s="4" t="str">
        <f>_xlfn.LET(_xlpm.ig, _xlfn.XLOOKUP(Clean_Data[[#This Row],[Country_Code]], Metadata_Country!$A:$A, Metadata_Country!$C:$C, "Unknown"), IF(OR(_xlpm.ig=0, _xlpm.ig=""), "Regional Aggregate", _xlpm.ig))</f>
        <v>High income</v>
      </c>
      <c r="H3471" s="4">
        <f>Clean_Data[[#This Row],[Exports_TIV]] - Clean_Data[[#This Row],[Imports_TIV]]</f>
        <v>-671000000</v>
      </c>
      <c r="I3471" s="4">
        <f>Clean_Data[[#This Row],[Exports_TIV]] + Clean_Data[[#This Row],[Imports_TIV]]</f>
        <v>863000000</v>
      </c>
    </row>
    <row r="3472" spans="1:9">
      <c r="A3472" s="4" t="s">
        <v>263</v>
      </c>
      <c r="B3472" s="4" t="s">
        <v>264</v>
      </c>
      <c r="C3472" s="5">
        <v>2003</v>
      </c>
      <c r="D3472" s="4">
        <v>0</v>
      </c>
      <c r="E3472" s="4">
        <v>42000000</v>
      </c>
      <c r="F3472" s="4" t="str">
        <f>_xlfn.LET(_xlpm.r, _xlfn.XLOOKUP(Clean_Data[[#This Row],[Country_Code]], Metadata_Country!$A:$A, Metadata_Country!$B:$B, "Unknown"), IF(OR(_xlpm.r=0, _xlpm.r=""), "Regional Aggregate", _xlpm.r))</f>
        <v>Middle East &amp; North Africa</v>
      </c>
      <c r="G3472" s="4" t="str">
        <f>_xlfn.LET(_xlpm.ig, _xlfn.XLOOKUP(Clean_Data[[#This Row],[Country_Code]], Metadata_Country!$A:$A, Metadata_Country!$C:$C, "Unknown"), IF(OR(_xlpm.ig=0, _xlpm.ig=""), "Regional Aggregate", _xlpm.ig))</f>
        <v>High income</v>
      </c>
      <c r="H3472" s="4">
        <f>Clean_Data[[#This Row],[Exports_TIV]] - Clean_Data[[#This Row],[Imports_TIV]]</f>
        <v>-42000000</v>
      </c>
      <c r="I3472" s="4">
        <f>Clean_Data[[#This Row],[Exports_TIV]] + Clean_Data[[#This Row],[Imports_TIV]]</f>
        <v>42000000</v>
      </c>
    </row>
    <row r="3473" spans="1:9">
      <c r="A3473" s="4" t="s">
        <v>253</v>
      </c>
      <c r="B3473" s="4" t="s">
        <v>254</v>
      </c>
      <c r="C3473" s="5">
        <v>2003</v>
      </c>
      <c r="D3473" s="4">
        <v>92000000</v>
      </c>
      <c r="E3473" s="4">
        <v>10000000</v>
      </c>
      <c r="F3473" s="4" t="str">
        <f>_xlfn.LET(_xlpm.r, _xlfn.XLOOKUP(Clean_Data[[#This Row],[Country_Code]], Metadata_Country!$A:$A, Metadata_Country!$B:$B, "Unknown"), IF(OR(_xlpm.r=0, _xlpm.r=""), "Regional Aggregate", _xlpm.r))</f>
        <v>Europe &amp; Central Asia</v>
      </c>
      <c r="G3473" s="4" t="str">
        <f>_xlfn.LET(_xlpm.ig, _xlfn.XLOOKUP(Clean_Data[[#This Row],[Country_Code]], Metadata_Country!$A:$A, Metadata_Country!$C:$C, "Unknown"), IF(OR(_xlpm.ig=0, _xlpm.ig=""), "Regional Aggregate", _xlpm.ig))</f>
        <v>Lower middle income</v>
      </c>
      <c r="H3473" s="4">
        <f>Clean_Data[[#This Row],[Exports_TIV]] - Clean_Data[[#This Row],[Imports_TIV]]</f>
        <v>82000000</v>
      </c>
      <c r="I3473" s="4">
        <f>Clean_Data[[#This Row],[Exports_TIV]] + Clean_Data[[#This Row],[Imports_TIV]]</f>
        <v>102000000</v>
      </c>
    </row>
    <row r="3474" spans="1:9">
      <c r="A3474" s="4" t="s">
        <v>267</v>
      </c>
      <c r="B3474" s="4" t="s">
        <v>268</v>
      </c>
      <c r="C3474" s="5">
        <v>2003</v>
      </c>
      <c r="D3474" s="4">
        <v>0</v>
      </c>
      <c r="E3474" s="4">
        <v>0</v>
      </c>
      <c r="F3474" s="4" t="str">
        <f>_xlfn.LET(_xlpm.r, _xlfn.XLOOKUP(Clean_Data[[#This Row],[Country_Code]], Metadata_Country!$A:$A, Metadata_Country!$B:$B, "Unknown"), IF(OR(_xlpm.r=0, _xlpm.r=""), "Regional Aggregate", _xlpm.r))</f>
        <v>East Asia &amp; Pacific</v>
      </c>
      <c r="G3474" s="4" t="str">
        <f>_xlfn.LET(_xlpm.ig, _xlfn.XLOOKUP(Clean_Data[[#This Row],[Country_Code]], Metadata_Country!$A:$A, Metadata_Country!$C:$C, "Unknown"), IF(OR(_xlpm.ig=0, _xlpm.ig=""), "Regional Aggregate", _xlpm.ig))</f>
        <v>Lower middle income</v>
      </c>
      <c r="H3474" s="4">
        <f>Clean_Data[[#This Row],[Exports_TIV]] - Clean_Data[[#This Row],[Imports_TIV]]</f>
        <v>0</v>
      </c>
      <c r="I3474" s="4">
        <f>Clean_Data[[#This Row],[Exports_TIV]] + Clean_Data[[#This Row],[Imports_TIV]]</f>
        <v>0</v>
      </c>
    </row>
    <row r="3475" spans="1:9">
      <c r="A3475" s="4" t="s">
        <v>293</v>
      </c>
      <c r="B3475" s="4" t="s">
        <v>294</v>
      </c>
      <c r="C3475" s="5">
        <v>2003</v>
      </c>
      <c r="D3475" s="4">
        <v>0</v>
      </c>
      <c r="E3475" s="4">
        <v>4371000000</v>
      </c>
      <c r="F3475" s="4" t="str">
        <f>_xlfn.LET(_xlpm.r, _xlfn.XLOOKUP(Clean_Data[[#This Row],[Country_Code]], Metadata_Country!$A:$A, Metadata_Country!$B:$B, "Unknown"), IF(OR(_xlpm.r=0, _xlpm.r=""), "Regional Aggregate", _xlpm.r))</f>
        <v>Regional Aggregate</v>
      </c>
      <c r="G3475" s="4" t="str">
        <f>_xlfn.LET(_xlpm.ig, _xlfn.XLOOKUP(Clean_Data[[#This Row],[Country_Code]], Metadata_Country!$A:$A, Metadata_Country!$C:$C, "Unknown"), IF(OR(_xlpm.ig=0, _xlpm.ig=""), "Regional Aggregate", _xlpm.ig))</f>
        <v>Regional Aggregate</v>
      </c>
      <c r="H3475" s="4">
        <f>Clean_Data[[#This Row],[Exports_TIV]] - Clean_Data[[#This Row],[Imports_TIV]]</f>
        <v>-4371000000</v>
      </c>
      <c r="I3475" s="4">
        <f>Clean_Data[[#This Row],[Exports_TIV]] + Clean_Data[[#This Row],[Imports_TIV]]</f>
        <v>4371000000</v>
      </c>
    </row>
    <row r="3476" spans="1:9">
      <c r="A3476" s="4" t="s">
        <v>277</v>
      </c>
      <c r="B3476" s="4" t="s">
        <v>278</v>
      </c>
      <c r="C3476" s="5">
        <v>2003</v>
      </c>
      <c r="D3476" s="4">
        <v>0</v>
      </c>
      <c r="E3476" s="4">
        <v>535000000</v>
      </c>
      <c r="F3476" s="4" t="str">
        <f>_xlfn.LET(_xlpm.r, _xlfn.XLOOKUP(Clean_Data[[#This Row],[Country_Code]], Metadata_Country!$A:$A, Metadata_Country!$B:$B, "Unknown"), IF(OR(_xlpm.r=0, _xlpm.r=""), "Regional Aggregate", _xlpm.r))</f>
        <v>Regional Aggregate</v>
      </c>
      <c r="G3476" s="4" t="str">
        <f>_xlfn.LET(_xlpm.ig, _xlfn.XLOOKUP(Clean_Data[[#This Row],[Country_Code]], Metadata_Country!$A:$A, Metadata_Country!$C:$C, "Unknown"), IF(OR(_xlpm.ig=0, _xlpm.ig=""), "Regional Aggregate", _xlpm.ig))</f>
        <v>Regional Aggregate</v>
      </c>
      <c r="H3476" s="4">
        <f>Clean_Data[[#This Row],[Exports_TIV]] - Clean_Data[[#This Row],[Imports_TIV]]</f>
        <v>-535000000</v>
      </c>
      <c r="I3476" s="4">
        <f>Clean_Data[[#This Row],[Exports_TIV]] + Clean_Data[[#This Row],[Imports_TIV]]</f>
        <v>535000000</v>
      </c>
    </row>
    <row r="3477" spans="1:9">
      <c r="A3477" s="4" t="s">
        <v>265</v>
      </c>
      <c r="B3477" s="4" t="s">
        <v>266</v>
      </c>
      <c r="C3477" s="5">
        <v>2003</v>
      </c>
      <c r="D3477" s="4">
        <v>0</v>
      </c>
      <c r="E3477" s="4">
        <v>347000000</v>
      </c>
      <c r="F3477" s="4" t="str">
        <f>_xlfn.LET(_xlpm.r, _xlfn.XLOOKUP(Clean_Data[[#This Row],[Country_Code]], Metadata_Country!$A:$A, Metadata_Country!$B:$B, "Unknown"), IF(OR(_xlpm.r=0, _xlpm.r=""), "Regional Aggregate", _xlpm.r))</f>
        <v>Regional Aggregate</v>
      </c>
      <c r="G3477" s="4" t="str">
        <f>_xlfn.LET(_xlpm.ig, _xlfn.XLOOKUP(Clean_Data[[#This Row],[Country_Code]], Metadata_Country!$A:$A, Metadata_Country!$C:$C, "Unknown"), IF(OR(_xlpm.ig=0, _xlpm.ig=""), "Regional Aggregate", _xlpm.ig))</f>
        <v>Regional Aggregate</v>
      </c>
      <c r="H3477" s="4">
        <f>Clean_Data[[#This Row],[Exports_TIV]] - Clean_Data[[#This Row],[Imports_TIV]]</f>
        <v>-347000000</v>
      </c>
      <c r="I3477" s="4">
        <f>Clean_Data[[#This Row],[Exports_TIV]] + Clean_Data[[#This Row],[Imports_TIV]]</f>
        <v>347000000</v>
      </c>
    </row>
    <row r="3478" spans="1:9">
      <c r="A3478" s="4" t="s">
        <v>481</v>
      </c>
      <c r="B3478" s="4" t="s">
        <v>482</v>
      </c>
      <c r="C3478" s="5">
        <v>2003</v>
      </c>
      <c r="D3478" s="4">
        <v>0</v>
      </c>
      <c r="E3478" s="4">
        <v>535000000</v>
      </c>
      <c r="F3478" s="4" t="str">
        <f>_xlfn.LET(_xlpm.r, _xlfn.XLOOKUP(Clean_Data[[#This Row],[Country_Code]], Metadata_Country!$A:$A, Metadata_Country!$B:$B, "Unknown"), IF(OR(_xlpm.r=0, _xlpm.r=""), "Regional Aggregate", _xlpm.r))</f>
        <v>Regional Aggregate</v>
      </c>
      <c r="G3478" s="4" t="str">
        <f>_xlfn.LET(_xlpm.ig, _xlfn.XLOOKUP(Clean_Data[[#This Row],[Country_Code]], Metadata_Country!$A:$A, Metadata_Country!$C:$C, "Unknown"), IF(OR(_xlpm.ig=0, _xlpm.ig=""), "Regional Aggregate", _xlpm.ig))</f>
        <v>Regional Aggregate</v>
      </c>
      <c r="H3478" s="4">
        <f>Clean_Data[[#This Row],[Exports_TIV]] - Clean_Data[[#This Row],[Imports_TIV]]</f>
        <v>-535000000</v>
      </c>
      <c r="I3478" s="4">
        <f>Clean_Data[[#This Row],[Exports_TIV]] + Clean_Data[[#This Row],[Imports_TIV]]</f>
        <v>535000000</v>
      </c>
    </row>
    <row r="3479" spans="1:9">
      <c r="A3479" s="4" t="s">
        <v>299</v>
      </c>
      <c r="B3479" s="4" t="s">
        <v>300</v>
      </c>
      <c r="C3479" s="5">
        <v>2003</v>
      </c>
      <c r="D3479" s="4">
        <v>0</v>
      </c>
      <c r="E3479" s="4">
        <v>25000000</v>
      </c>
      <c r="F3479" s="4" t="str">
        <f>_xlfn.LET(_xlpm.r, _xlfn.XLOOKUP(Clean_Data[[#This Row],[Country_Code]], Metadata_Country!$A:$A, Metadata_Country!$B:$B, "Unknown"), IF(OR(_xlpm.r=0, _xlpm.r=""), "Regional Aggregate", _xlpm.r))</f>
        <v>Europe &amp; Central Asia</v>
      </c>
      <c r="G3479" s="4" t="str">
        <f>_xlfn.LET(_xlpm.ig, _xlfn.XLOOKUP(Clean_Data[[#This Row],[Country_Code]], Metadata_Country!$A:$A, Metadata_Country!$C:$C, "Unknown"), IF(OR(_xlpm.ig=0, _xlpm.ig=""), "Regional Aggregate", _xlpm.ig))</f>
        <v>High income</v>
      </c>
      <c r="H3479" s="4">
        <f>Clean_Data[[#This Row],[Exports_TIV]] - Clean_Data[[#This Row],[Imports_TIV]]</f>
        <v>-25000000</v>
      </c>
      <c r="I3479" s="4">
        <f>Clean_Data[[#This Row],[Exports_TIV]] + Clean_Data[[#This Row],[Imports_TIV]]</f>
        <v>25000000</v>
      </c>
    </row>
    <row r="3480" spans="1:9">
      <c r="A3480" s="4" t="s">
        <v>279</v>
      </c>
      <c r="B3480" s="4" t="s">
        <v>280</v>
      </c>
      <c r="C3480" s="5">
        <v>2003</v>
      </c>
      <c r="D3480" s="4">
        <v>0</v>
      </c>
      <c r="E3480" s="4">
        <v>690000000</v>
      </c>
      <c r="F3480" s="4" t="str">
        <f>_xlfn.LET(_xlpm.r, _xlfn.XLOOKUP(Clean_Data[[#This Row],[Country_Code]], Metadata_Country!$A:$A, Metadata_Country!$B:$B, "Unknown"), IF(OR(_xlpm.r=0, _xlpm.r=""), "Regional Aggregate", _xlpm.r))</f>
        <v>Regional Aggregate</v>
      </c>
      <c r="G3480" s="4" t="str">
        <f>_xlfn.LET(_xlpm.ig, _xlfn.XLOOKUP(Clean_Data[[#This Row],[Country_Code]], Metadata_Country!$A:$A, Metadata_Country!$C:$C, "Unknown"), IF(OR(_xlpm.ig=0, _xlpm.ig=""), "Regional Aggregate", _xlpm.ig))</f>
        <v>Regional Aggregate</v>
      </c>
      <c r="H3480" s="4">
        <f>Clean_Data[[#This Row],[Exports_TIV]] - Clean_Data[[#This Row],[Imports_TIV]]</f>
        <v>-690000000</v>
      </c>
      <c r="I3480" s="4">
        <f>Clean_Data[[#This Row],[Exports_TIV]] + Clean_Data[[#This Row],[Imports_TIV]]</f>
        <v>690000000</v>
      </c>
    </row>
    <row r="3481" spans="1:9">
      <c r="A3481" s="4" t="s">
        <v>273</v>
      </c>
      <c r="B3481" s="4" t="s">
        <v>274</v>
      </c>
      <c r="C3481" s="5">
        <v>2003</v>
      </c>
      <c r="D3481" s="4">
        <v>16000000</v>
      </c>
      <c r="E3481" s="4">
        <v>0</v>
      </c>
      <c r="F3481" s="4" t="str">
        <f>_xlfn.LET(_xlpm.r, _xlfn.XLOOKUP(Clean_Data[[#This Row],[Country_Code]], Metadata_Country!$A:$A, Metadata_Country!$B:$B, "Unknown"), IF(OR(_xlpm.r=0, _xlpm.r=""), "Regional Aggregate", _xlpm.r))</f>
        <v>Middle East &amp; North Africa</v>
      </c>
      <c r="G3481" s="4" t="str">
        <f>_xlfn.LET(_xlpm.ig, _xlfn.XLOOKUP(Clean_Data[[#This Row],[Country_Code]], Metadata_Country!$A:$A, Metadata_Country!$C:$C, "Unknown"), IF(OR(_xlpm.ig=0, _xlpm.ig=""), "Regional Aggregate", _xlpm.ig))</f>
        <v>Upper middle income</v>
      </c>
      <c r="H3481" s="4">
        <f>Clean_Data[[#This Row],[Exports_TIV]] - Clean_Data[[#This Row],[Imports_TIV]]</f>
        <v>16000000</v>
      </c>
      <c r="I3481" s="4">
        <f>Clean_Data[[#This Row],[Exports_TIV]] + Clean_Data[[#This Row],[Imports_TIV]]</f>
        <v>16000000</v>
      </c>
    </row>
    <row r="3482" spans="1:9">
      <c r="A3482" s="4" t="s">
        <v>295</v>
      </c>
      <c r="B3482" s="4" t="s">
        <v>296</v>
      </c>
      <c r="C3482" s="5">
        <v>2003</v>
      </c>
      <c r="D3482" s="4">
        <v>0</v>
      </c>
      <c r="E3482" s="4">
        <v>1000000</v>
      </c>
      <c r="F3482" s="4" t="str">
        <f>_xlfn.LET(_xlpm.r, _xlfn.XLOOKUP(Clean_Data[[#This Row],[Country_Code]], Metadata_Country!$A:$A, Metadata_Country!$B:$B, "Unknown"), IF(OR(_xlpm.r=0, _xlpm.r=""), "Regional Aggregate", _xlpm.r))</f>
        <v>Europe &amp; Central Asia</v>
      </c>
      <c r="G3482" s="4" t="str">
        <f>_xlfn.LET(_xlpm.ig, _xlfn.XLOOKUP(Clean_Data[[#This Row],[Country_Code]], Metadata_Country!$A:$A, Metadata_Country!$C:$C, "Unknown"), IF(OR(_xlpm.ig=0, _xlpm.ig=""), "Regional Aggregate", _xlpm.ig))</f>
        <v>High income</v>
      </c>
      <c r="H3482" s="4">
        <f>Clean_Data[[#This Row],[Exports_TIV]] - Clean_Data[[#This Row],[Imports_TIV]]</f>
        <v>-1000000</v>
      </c>
      <c r="I3482" s="4">
        <f>Clean_Data[[#This Row],[Exports_TIV]] + Clean_Data[[#This Row],[Imports_TIV]]</f>
        <v>1000000</v>
      </c>
    </row>
    <row r="3483" spans="1:9">
      <c r="A3483" s="4" t="s">
        <v>289</v>
      </c>
      <c r="B3483" s="4" t="s">
        <v>290</v>
      </c>
      <c r="C3483" s="5">
        <v>2003</v>
      </c>
      <c r="D3483" s="4">
        <v>0</v>
      </c>
      <c r="E3483" s="4">
        <v>9585000000</v>
      </c>
      <c r="F3483" s="4" t="str">
        <f>_xlfn.LET(_xlpm.r, _xlfn.XLOOKUP(Clean_Data[[#This Row],[Country_Code]], Metadata_Country!$A:$A, Metadata_Country!$B:$B, "Unknown"), IF(OR(_xlpm.r=0, _xlpm.r=""), "Regional Aggregate", _xlpm.r))</f>
        <v>Regional Aggregate</v>
      </c>
      <c r="G3483" s="4" t="str">
        <f>_xlfn.LET(_xlpm.ig, _xlfn.XLOOKUP(Clean_Data[[#This Row],[Country_Code]], Metadata_Country!$A:$A, Metadata_Country!$C:$C, "Unknown"), IF(OR(_xlpm.ig=0, _xlpm.ig=""), "Regional Aggregate", _xlpm.ig))</f>
        <v>Regional Aggregate</v>
      </c>
      <c r="H3483" s="4">
        <f>Clean_Data[[#This Row],[Exports_TIV]] - Clean_Data[[#This Row],[Imports_TIV]]</f>
        <v>-9585000000</v>
      </c>
      <c r="I3483" s="4">
        <f>Clean_Data[[#This Row],[Exports_TIV]] + Clean_Data[[#This Row],[Imports_TIV]]</f>
        <v>9585000000</v>
      </c>
    </row>
    <row r="3484" spans="1:9">
      <c r="A3484" s="4" t="s">
        <v>281</v>
      </c>
      <c r="B3484" s="4" t="s">
        <v>282</v>
      </c>
      <c r="C3484" s="5">
        <v>2003</v>
      </c>
      <c r="D3484" s="4">
        <v>0</v>
      </c>
      <c r="E3484" s="4">
        <v>563000000</v>
      </c>
      <c r="F3484" s="4" t="str">
        <f>_xlfn.LET(_xlpm.r, _xlfn.XLOOKUP(Clean_Data[[#This Row],[Country_Code]], Metadata_Country!$A:$A, Metadata_Country!$B:$B, "Unknown"), IF(OR(_xlpm.r=0, _xlpm.r=""), "Regional Aggregate", _xlpm.r))</f>
        <v>Regional Aggregate</v>
      </c>
      <c r="G3484" s="4" t="str">
        <f>_xlfn.LET(_xlpm.ig, _xlfn.XLOOKUP(Clean_Data[[#This Row],[Country_Code]], Metadata_Country!$A:$A, Metadata_Country!$C:$C, "Unknown"), IF(OR(_xlpm.ig=0, _xlpm.ig=""), "Regional Aggregate", _xlpm.ig))</f>
        <v>Regional Aggregate</v>
      </c>
      <c r="H3484" s="4">
        <f>Clean_Data[[#This Row],[Exports_TIV]] - Clean_Data[[#This Row],[Imports_TIV]]</f>
        <v>-563000000</v>
      </c>
      <c r="I3484" s="4">
        <f>Clean_Data[[#This Row],[Exports_TIV]] + Clean_Data[[#This Row],[Imports_TIV]]</f>
        <v>563000000</v>
      </c>
    </row>
    <row r="3485" spans="1:9">
      <c r="A3485" s="4" t="s">
        <v>287</v>
      </c>
      <c r="B3485" s="4" t="s">
        <v>288</v>
      </c>
      <c r="C3485" s="5">
        <v>2003</v>
      </c>
      <c r="D3485" s="4">
        <v>0</v>
      </c>
      <c r="E3485" s="4">
        <v>4502000000</v>
      </c>
      <c r="F3485" s="4" t="str">
        <f>_xlfn.LET(_xlpm.r, _xlfn.XLOOKUP(Clean_Data[[#This Row],[Country_Code]], Metadata_Country!$A:$A, Metadata_Country!$B:$B, "Unknown"), IF(OR(_xlpm.r=0, _xlpm.r=""), "Regional Aggregate", _xlpm.r))</f>
        <v>Regional Aggregate</v>
      </c>
      <c r="G3485" s="4" t="str">
        <f>_xlfn.LET(_xlpm.ig, _xlfn.XLOOKUP(Clean_Data[[#This Row],[Country_Code]], Metadata_Country!$A:$A, Metadata_Country!$C:$C, "Unknown"), IF(OR(_xlpm.ig=0, _xlpm.ig=""), "Regional Aggregate", _xlpm.ig))</f>
        <v>Regional Aggregate</v>
      </c>
      <c r="H3485" s="4">
        <f>Clean_Data[[#This Row],[Exports_TIV]] - Clean_Data[[#This Row],[Imports_TIV]]</f>
        <v>-4502000000</v>
      </c>
      <c r="I3485" s="4">
        <f>Clean_Data[[#This Row],[Exports_TIV]] + Clean_Data[[#This Row],[Imports_TIV]]</f>
        <v>4502000000</v>
      </c>
    </row>
    <row r="3486" spans="1:9">
      <c r="A3486" s="4" t="s">
        <v>297</v>
      </c>
      <c r="B3486" s="4" t="s">
        <v>298</v>
      </c>
      <c r="C3486" s="5">
        <v>2003</v>
      </c>
      <c r="D3486" s="4">
        <v>0</v>
      </c>
      <c r="E3486" s="4">
        <v>1000000</v>
      </c>
      <c r="F3486" s="4" t="str">
        <f>_xlfn.LET(_xlpm.r, _xlfn.XLOOKUP(Clean_Data[[#This Row],[Country_Code]], Metadata_Country!$A:$A, Metadata_Country!$B:$B, "Unknown"), IF(OR(_xlpm.r=0, _xlpm.r=""), "Regional Aggregate", _xlpm.r))</f>
        <v>Europe &amp; Central Asia</v>
      </c>
      <c r="G3486" s="4" t="str">
        <f>_xlfn.LET(_xlpm.ig, _xlfn.XLOOKUP(Clean_Data[[#This Row],[Country_Code]], Metadata_Country!$A:$A, Metadata_Country!$C:$C, "Unknown"), IF(OR(_xlpm.ig=0, _xlpm.ig=""), "Regional Aggregate", _xlpm.ig))</f>
        <v>High income</v>
      </c>
      <c r="H3486" s="4">
        <f>Clean_Data[[#This Row],[Exports_TIV]] - Clean_Data[[#This Row],[Imports_TIV]]</f>
        <v>-1000000</v>
      </c>
      <c r="I3486" s="4">
        <f>Clean_Data[[#This Row],[Exports_TIV]] + Clean_Data[[#This Row],[Imports_TIV]]</f>
        <v>1000000</v>
      </c>
    </row>
    <row r="3487" spans="1:9">
      <c r="A3487" s="4" t="s">
        <v>347</v>
      </c>
      <c r="B3487" s="4" t="s">
        <v>348</v>
      </c>
      <c r="C3487" s="5">
        <v>2003</v>
      </c>
      <c r="D3487" s="4">
        <v>0</v>
      </c>
      <c r="E3487" s="4">
        <v>190000000</v>
      </c>
      <c r="F3487" s="4" t="str">
        <f>_xlfn.LET(_xlpm.r, _xlfn.XLOOKUP(Clean_Data[[#This Row],[Country_Code]], Metadata_Country!$A:$A, Metadata_Country!$B:$B, "Unknown"), IF(OR(_xlpm.r=0, _xlpm.r=""), "Regional Aggregate", _xlpm.r))</f>
        <v>East Asia &amp; Pacific</v>
      </c>
      <c r="G3487" s="4" t="str">
        <f>_xlfn.LET(_xlpm.ig, _xlfn.XLOOKUP(Clean_Data[[#This Row],[Country_Code]], Metadata_Country!$A:$A, Metadata_Country!$C:$C, "Unknown"), IF(OR(_xlpm.ig=0, _xlpm.ig=""), "Regional Aggregate", _xlpm.ig))</f>
        <v>Upper middle income</v>
      </c>
      <c r="H3487" s="4">
        <f>Clean_Data[[#This Row],[Exports_TIV]] - Clean_Data[[#This Row],[Imports_TIV]]</f>
        <v>-190000000</v>
      </c>
      <c r="I3487" s="4">
        <f>Clean_Data[[#This Row],[Exports_TIV]] + Clean_Data[[#This Row],[Imports_TIV]]</f>
        <v>190000000</v>
      </c>
    </row>
    <row r="3488" spans="1:9">
      <c r="A3488" s="4" t="s">
        <v>325</v>
      </c>
      <c r="B3488" s="4" t="s">
        <v>326</v>
      </c>
      <c r="C3488" s="5">
        <v>2003</v>
      </c>
      <c r="D3488" s="4">
        <v>0</v>
      </c>
      <c r="E3488" s="4">
        <v>3000000</v>
      </c>
      <c r="F3488" s="4" t="str">
        <f>_xlfn.LET(_xlpm.r, _xlfn.XLOOKUP(Clean_Data[[#This Row],[Country_Code]], Metadata_Country!$A:$A, Metadata_Country!$B:$B, "Unknown"), IF(OR(_xlpm.r=0, _xlpm.r=""), "Regional Aggregate", _xlpm.r))</f>
        <v>Sub-Saharan Africa</v>
      </c>
      <c r="G3488" s="4" t="str">
        <f>_xlfn.LET(_xlpm.ig, _xlfn.XLOOKUP(Clean_Data[[#This Row],[Country_Code]], Metadata_Country!$A:$A, Metadata_Country!$C:$C, "Unknown"), IF(OR(_xlpm.ig=0, _xlpm.ig=""), "Regional Aggregate", _xlpm.ig))</f>
        <v>Low income</v>
      </c>
      <c r="H3488" s="4">
        <f>Clean_Data[[#This Row],[Exports_TIV]] - Clean_Data[[#This Row],[Imports_TIV]]</f>
        <v>-3000000</v>
      </c>
      <c r="I3488" s="4">
        <f>Clean_Data[[#This Row],[Exports_TIV]] + Clean_Data[[#This Row],[Imports_TIV]]</f>
        <v>3000000</v>
      </c>
    </row>
    <row r="3489" spans="1:9">
      <c r="A3489" s="4" t="s">
        <v>341</v>
      </c>
      <c r="B3489" s="4" t="s">
        <v>342</v>
      </c>
      <c r="C3489" s="5">
        <v>2003</v>
      </c>
      <c r="D3489" s="4">
        <v>0</v>
      </c>
      <c r="E3489" s="4">
        <v>7000000</v>
      </c>
      <c r="F3489" s="4" t="str">
        <f>_xlfn.LET(_xlpm.r, _xlfn.XLOOKUP(Clean_Data[[#This Row],[Country_Code]], Metadata_Country!$A:$A, Metadata_Country!$B:$B, "Unknown"), IF(OR(_xlpm.r=0, _xlpm.r=""), "Regional Aggregate", _xlpm.r))</f>
        <v>Sub-Saharan Africa</v>
      </c>
      <c r="G3489" s="4" t="str">
        <f>_xlfn.LET(_xlpm.ig, _xlfn.XLOOKUP(Clean_Data[[#This Row],[Country_Code]], Metadata_Country!$A:$A, Metadata_Country!$C:$C, "Unknown"), IF(OR(_xlpm.ig=0, _xlpm.ig=""), "Regional Aggregate", _xlpm.ig))</f>
        <v>Lower middle income</v>
      </c>
      <c r="H3489" s="4">
        <f>Clean_Data[[#This Row],[Exports_TIV]] - Clean_Data[[#This Row],[Imports_TIV]]</f>
        <v>-7000000</v>
      </c>
      <c r="I3489" s="4">
        <f>Clean_Data[[#This Row],[Exports_TIV]] + Clean_Data[[#This Row],[Imports_TIV]]</f>
        <v>7000000</v>
      </c>
    </row>
    <row r="3490" spans="1:9">
      <c r="A3490" s="4" t="s">
        <v>317</v>
      </c>
      <c r="B3490" s="4" t="s">
        <v>318</v>
      </c>
      <c r="C3490" s="5">
        <v>2003</v>
      </c>
      <c r="D3490" s="4">
        <v>0</v>
      </c>
      <c r="E3490" s="4">
        <v>20000000</v>
      </c>
      <c r="F3490" s="4" t="str">
        <f>_xlfn.LET(_xlpm.r, _xlfn.XLOOKUP(Clean_Data[[#This Row],[Country_Code]], Metadata_Country!$A:$A, Metadata_Country!$B:$B, "Unknown"), IF(OR(_xlpm.r=0, _xlpm.r=""), "Regional Aggregate", _xlpm.r))</f>
        <v>Latin America &amp; Caribbean</v>
      </c>
      <c r="G3490" s="4" t="str">
        <f>_xlfn.LET(_xlpm.ig, _xlfn.XLOOKUP(Clean_Data[[#This Row],[Country_Code]], Metadata_Country!$A:$A, Metadata_Country!$C:$C, "Unknown"), IF(OR(_xlpm.ig=0, _xlpm.ig=""), "Regional Aggregate", _xlpm.ig))</f>
        <v>Upper middle income</v>
      </c>
      <c r="H3490" s="4">
        <f>Clean_Data[[#This Row],[Exports_TIV]] - Clean_Data[[#This Row],[Imports_TIV]]</f>
        <v>-20000000</v>
      </c>
      <c r="I3490" s="4">
        <f>Clean_Data[[#This Row],[Exports_TIV]] + Clean_Data[[#This Row],[Imports_TIV]]</f>
        <v>20000000</v>
      </c>
    </row>
    <row r="3491" spans="1:9">
      <c r="A3491" s="4" t="s">
        <v>315</v>
      </c>
      <c r="B3491" s="4" t="s">
        <v>316</v>
      </c>
      <c r="C3491" s="5">
        <v>2003</v>
      </c>
      <c r="D3491" s="4">
        <v>0</v>
      </c>
      <c r="E3491" s="4">
        <v>3284000000</v>
      </c>
      <c r="F3491" s="4" t="str">
        <f>_xlfn.LET(_xlpm.r, _xlfn.XLOOKUP(Clean_Data[[#This Row],[Country_Code]], Metadata_Country!$A:$A, Metadata_Country!$B:$B, "Unknown"), IF(OR(_xlpm.r=0, _xlpm.r=""), "Regional Aggregate", _xlpm.r))</f>
        <v>Regional Aggregate</v>
      </c>
      <c r="G3491" s="4" t="str">
        <f>_xlfn.LET(_xlpm.ig, _xlfn.XLOOKUP(Clean_Data[[#This Row],[Country_Code]], Metadata_Country!$A:$A, Metadata_Country!$C:$C, "Unknown"), IF(OR(_xlpm.ig=0, _xlpm.ig=""), "Regional Aggregate", _xlpm.ig))</f>
        <v>Regional Aggregate</v>
      </c>
      <c r="H3491" s="4">
        <f>Clean_Data[[#This Row],[Exports_TIV]] - Clean_Data[[#This Row],[Imports_TIV]]</f>
        <v>-3284000000</v>
      </c>
      <c r="I3491" s="4">
        <f>Clean_Data[[#This Row],[Exports_TIV]] + Clean_Data[[#This Row],[Imports_TIV]]</f>
        <v>3284000000</v>
      </c>
    </row>
    <row r="3492" spans="1:9">
      <c r="A3492" s="4" t="s">
        <v>331</v>
      </c>
      <c r="B3492" s="4" t="s">
        <v>332</v>
      </c>
      <c r="C3492" s="5">
        <v>2003</v>
      </c>
      <c r="D3492" s="4">
        <v>0</v>
      </c>
      <c r="E3492" s="4">
        <v>2181000000</v>
      </c>
      <c r="F3492" s="4" t="str">
        <f>_xlfn.LET(_xlpm.r, _xlfn.XLOOKUP(Clean_Data[[#This Row],[Country_Code]], Metadata_Country!$A:$A, Metadata_Country!$B:$B, "Unknown"), IF(OR(_xlpm.r=0, _xlpm.r=""), "Regional Aggregate", _xlpm.r))</f>
        <v>Regional Aggregate</v>
      </c>
      <c r="G3492" s="4" t="str">
        <f>_xlfn.LET(_xlpm.ig, _xlfn.XLOOKUP(Clean_Data[[#This Row],[Country_Code]], Metadata_Country!$A:$A, Metadata_Country!$C:$C, "Unknown"), IF(OR(_xlpm.ig=0, _xlpm.ig=""), "Regional Aggregate", _xlpm.ig))</f>
        <v>Regional Aggregate</v>
      </c>
      <c r="H3492" s="4">
        <f>Clean_Data[[#This Row],[Exports_TIV]] - Clean_Data[[#This Row],[Imports_TIV]]</f>
        <v>-2181000000</v>
      </c>
      <c r="I3492" s="4">
        <f>Clean_Data[[#This Row],[Exports_TIV]] + Clean_Data[[#This Row],[Imports_TIV]]</f>
        <v>2181000000</v>
      </c>
    </row>
    <row r="3493" spans="1:9">
      <c r="A3493" s="4" t="s">
        <v>485</v>
      </c>
      <c r="B3493" s="4" t="s">
        <v>486</v>
      </c>
      <c r="C3493" s="5">
        <v>2003</v>
      </c>
      <c r="D3493" s="4">
        <v>0</v>
      </c>
      <c r="E3493" s="4">
        <v>2181000000</v>
      </c>
      <c r="F3493" s="4" t="str">
        <f>_xlfn.LET(_xlpm.r, _xlfn.XLOOKUP(Clean_Data[[#This Row],[Country_Code]], Metadata_Country!$A:$A, Metadata_Country!$B:$B, "Unknown"), IF(OR(_xlpm.r=0, _xlpm.r=""), "Regional Aggregate", _xlpm.r))</f>
        <v>Regional Aggregate</v>
      </c>
      <c r="G3493" s="4" t="str">
        <f>_xlfn.LET(_xlpm.ig, _xlfn.XLOOKUP(Clean_Data[[#This Row],[Country_Code]], Metadata_Country!$A:$A, Metadata_Country!$C:$C, "Unknown"), IF(OR(_xlpm.ig=0, _xlpm.ig=""), "Regional Aggregate", _xlpm.ig))</f>
        <v>Regional Aggregate</v>
      </c>
      <c r="H3493" s="4">
        <f>Clean_Data[[#This Row],[Exports_TIV]] - Clean_Data[[#This Row],[Imports_TIV]]</f>
        <v>-2181000000</v>
      </c>
      <c r="I3493" s="4">
        <f>Clean_Data[[#This Row],[Exports_TIV]] + Clean_Data[[#This Row],[Imports_TIV]]</f>
        <v>2181000000</v>
      </c>
    </row>
    <row r="3494" spans="1:9">
      <c r="A3494" s="4" t="s">
        <v>321</v>
      </c>
      <c r="B3494" s="4" t="s">
        <v>322</v>
      </c>
      <c r="C3494" s="5">
        <v>2003</v>
      </c>
      <c r="D3494" s="4">
        <v>0</v>
      </c>
      <c r="E3494" s="4">
        <v>9022000000</v>
      </c>
      <c r="F3494" s="4" t="str">
        <f>_xlfn.LET(_xlpm.r, _xlfn.XLOOKUP(Clean_Data[[#This Row],[Country_Code]], Metadata_Country!$A:$A, Metadata_Country!$B:$B, "Unknown"), IF(OR(_xlpm.r=0, _xlpm.r=""), "Regional Aggregate", _xlpm.r))</f>
        <v>Regional Aggregate</v>
      </c>
      <c r="G3494" s="4" t="str">
        <f>_xlfn.LET(_xlpm.ig, _xlfn.XLOOKUP(Clean_Data[[#This Row],[Country_Code]], Metadata_Country!$A:$A, Metadata_Country!$C:$C, "Unknown"), IF(OR(_xlpm.ig=0, _xlpm.ig=""), "Regional Aggregate", _xlpm.ig))</f>
        <v>Regional Aggregate</v>
      </c>
      <c r="H3494" s="4">
        <f>Clean_Data[[#This Row],[Exports_TIV]] - Clean_Data[[#This Row],[Imports_TIV]]</f>
        <v>-9022000000</v>
      </c>
      <c r="I3494" s="4">
        <f>Clean_Data[[#This Row],[Exports_TIV]] + Clean_Data[[#This Row],[Imports_TIV]]</f>
        <v>9022000000</v>
      </c>
    </row>
    <row r="3495" spans="1:9">
      <c r="A3495" s="4" t="s">
        <v>309</v>
      </c>
      <c r="B3495" s="4" t="s">
        <v>310</v>
      </c>
      <c r="C3495" s="5">
        <v>2003</v>
      </c>
      <c r="D3495" s="4">
        <v>13000000</v>
      </c>
      <c r="E3495" s="4">
        <v>0</v>
      </c>
      <c r="F3495" s="4" t="str">
        <f>_xlfn.LET(_xlpm.r, _xlfn.XLOOKUP(Clean_Data[[#This Row],[Country_Code]], Metadata_Country!$A:$A, Metadata_Country!$B:$B, "Unknown"), IF(OR(_xlpm.r=0, _xlpm.r=""), "Regional Aggregate", _xlpm.r))</f>
        <v>Europe &amp; Central Asia</v>
      </c>
      <c r="G3495" s="4" t="str">
        <f>_xlfn.LET(_xlpm.ig, _xlfn.XLOOKUP(Clean_Data[[#This Row],[Country_Code]], Metadata_Country!$A:$A, Metadata_Country!$C:$C, "Unknown"), IF(OR(_xlpm.ig=0, _xlpm.ig=""), "Regional Aggregate", _xlpm.ig))</f>
        <v>Upper middle income</v>
      </c>
      <c r="H3495" s="4">
        <f>Clean_Data[[#This Row],[Exports_TIV]] - Clean_Data[[#This Row],[Imports_TIV]]</f>
        <v>13000000</v>
      </c>
      <c r="I3495" s="4">
        <f>Clean_Data[[#This Row],[Exports_TIV]] + Clean_Data[[#This Row],[Imports_TIV]]</f>
        <v>13000000</v>
      </c>
    </row>
    <row r="3496" spans="1:9">
      <c r="A3496" s="4" t="s">
        <v>305</v>
      </c>
      <c r="B3496" s="4" t="s">
        <v>306</v>
      </c>
      <c r="C3496" s="5">
        <v>2003</v>
      </c>
      <c r="D3496" s="4">
        <v>0</v>
      </c>
      <c r="E3496" s="4">
        <v>12000000</v>
      </c>
      <c r="F3496" s="4" t="str">
        <f>_xlfn.LET(_xlpm.r, _xlfn.XLOOKUP(Clean_Data[[#This Row],[Country_Code]], Metadata_Country!$A:$A, Metadata_Country!$B:$B, "Unknown"), IF(OR(_xlpm.r=0, _xlpm.r=""), "Regional Aggregate", _xlpm.r))</f>
        <v>Middle East &amp; North Africa</v>
      </c>
      <c r="G3496" s="4" t="str">
        <f>_xlfn.LET(_xlpm.ig, _xlfn.XLOOKUP(Clean_Data[[#This Row],[Country_Code]], Metadata_Country!$A:$A, Metadata_Country!$C:$C, "Unknown"), IF(OR(_xlpm.ig=0, _xlpm.ig=""), "Regional Aggregate", _xlpm.ig))</f>
        <v>Lower middle income</v>
      </c>
      <c r="H3496" s="4">
        <f>Clean_Data[[#This Row],[Exports_TIV]] - Clean_Data[[#This Row],[Imports_TIV]]</f>
        <v>-12000000</v>
      </c>
      <c r="I3496" s="4">
        <f>Clean_Data[[#This Row],[Exports_TIV]] + Clean_Data[[#This Row],[Imports_TIV]]</f>
        <v>12000000</v>
      </c>
    </row>
    <row r="3497" spans="1:9">
      <c r="A3497" s="4" t="s">
        <v>339</v>
      </c>
      <c r="B3497" s="4" t="s">
        <v>340</v>
      </c>
      <c r="C3497" s="5">
        <v>2003</v>
      </c>
      <c r="D3497" s="4">
        <v>0</v>
      </c>
      <c r="E3497" s="4">
        <v>1000000</v>
      </c>
      <c r="F3497" s="4" t="str">
        <f>_xlfn.LET(_xlpm.r, _xlfn.XLOOKUP(Clean_Data[[#This Row],[Country_Code]], Metadata_Country!$A:$A, Metadata_Country!$B:$B, "Unknown"), IF(OR(_xlpm.r=0, _xlpm.r=""), "Regional Aggregate", _xlpm.r))</f>
        <v>Sub-Saharan Africa</v>
      </c>
      <c r="G3497" s="4" t="str">
        <f>_xlfn.LET(_xlpm.ig, _xlfn.XLOOKUP(Clean_Data[[#This Row],[Country_Code]], Metadata_Country!$A:$A, Metadata_Country!$C:$C, "Unknown"), IF(OR(_xlpm.ig=0, _xlpm.ig=""), "Regional Aggregate", _xlpm.ig))</f>
        <v>Low income</v>
      </c>
      <c r="H3497" s="4">
        <f>Clean_Data[[#This Row],[Exports_TIV]] - Clean_Data[[#This Row],[Imports_TIV]]</f>
        <v>-1000000</v>
      </c>
      <c r="I3497" s="4">
        <f>Clean_Data[[#This Row],[Exports_TIV]] + Clean_Data[[#This Row],[Imports_TIV]]</f>
        <v>1000000</v>
      </c>
    </row>
    <row r="3498" spans="1:9">
      <c r="A3498" s="4" t="s">
        <v>329</v>
      </c>
      <c r="B3498" s="4" t="s">
        <v>330</v>
      </c>
      <c r="C3498" s="5">
        <v>2003</v>
      </c>
      <c r="D3498" s="4">
        <v>0</v>
      </c>
      <c r="E3498" s="4">
        <v>100000000</v>
      </c>
      <c r="F3498" s="4" t="str">
        <f>_xlfn.LET(_xlpm.r, _xlfn.XLOOKUP(Clean_Data[[#This Row],[Country_Code]], Metadata_Country!$A:$A, Metadata_Country!$B:$B, "Unknown"), IF(OR(_xlpm.r=0, _xlpm.r=""), "Regional Aggregate", _xlpm.r))</f>
        <v>East Asia &amp; Pacific</v>
      </c>
      <c r="G3498" s="4" t="str">
        <f>_xlfn.LET(_xlpm.ig, _xlfn.XLOOKUP(Clean_Data[[#This Row],[Country_Code]], Metadata_Country!$A:$A, Metadata_Country!$C:$C, "Unknown"), IF(OR(_xlpm.ig=0, _xlpm.ig=""), "Regional Aggregate", _xlpm.ig))</f>
        <v>Lower middle income</v>
      </c>
      <c r="H3498" s="4">
        <f>Clean_Data[[#This Row],[Exports_TIV]] - Clean_Data[[#This Row],[Imports_TIV]]</f>
        <v>-100000000</v>
      </c>
      <c r="I3498" s="4">
        <f>Clean_Data[[#This Row],[Exports_TIV]] + Clean_Data[[#This Row],[Imports_TIV]]</f>
        <v>100000000</v>
      </c>
    </row>
    <row r="3499" spans="1:9">
      <c r="A3499" s="4" t="s">
        <v>365</v>
      </c>
      <c r="B3499" s="4" t="s">
        <v>366</v>
      </c>
      <c r="C3499" s="5">
        <v>2003</v>
      </c>
      <c r="D3499" s="4">
        <v>0</v>
      </c>
      <c r="E3499" s="4">
        <v>10000000</v>
      </c>
      <c r="F3499" s="4" t="str">
        <f>_xlfn.LET(_xlpm.r, _xlfn.XLOOKUP(Clean_Data[[#This Row],[Country_Code]], Metadata_Country!$A:$A, Metadata_Country!$B:$B, "Unknown"), IF(OR(_xlpm.r=0, _xlpm.r=""), "Regional Aggregate", _xlpm.r))</f>
        <v>South Asia</v>
      </c>
      <c r="G3499" s="4" t="str">
        <f>_xlfn.LET(_xlpm.ig, _xlfn.XLOOKUP(Clean_Data[[#This Row],[Country_Code]], Metadata_Country!$A:$A, Metadata_Country!$C:$C, "Unknown"), IF(OR(_xlpm.ig=0, _xlpm.ig=""), "Regional Aggregate", _xlpm.ig))</f>
        <v>Lower middle income</v>
      </c>
      <c r="H3499" s="4">
        <f>Clean_Data[[#This Row],[Exports_TIV]] - Clean_Data[[#This Row],[Imports_TIV]]</f>
        <v>-10000000</v>
      </c>
      <c r="I3499" s="4">
        <f>Clean_Data[[#This Row],[Exports_TIV]] + Clean_Data[[#This Row],[Imports_TIV]]</f>
        <v>10000000</v>
      </c>
    </row>
    <row r="3500" spans="1:9">
      <c r="A3500" s="4" t="s">
        <v>361</v>
      </c>
      <c r="B3500" s="4" t="s">
        <v>362</v>
      </c>
      <c r="C3500" s="5">
        <v>2003</v>
      </c>
      <c r="D3500" s="4">
        <v>331000000</v>
      </c>
      <c r="E3500" s="4">
        <v>128000000</v>
      </c>
      <c r="F3500" s="4" t="str">
        <f>_xlfn.LET(_xlpm.r, _xlfn.XLOOKUP(Clean_Data[[#This Row],[Country_Code]], Metadata_Country!$A:$A, Metadata_Country!$B:$B, "Unknown"), IF(OR(_xlpm.r=0, _xlpm.r=""), "Regional Aggregate", _xlpm.r))</f>
        <v>Europe &amp; Central Asia</v>
      </c>
      <c r="G3500" s="4" t="str">
        <f>_xlfn.LET(_xlpm.ig, _xlfn.XLOOKUP(Clean_Data[[#This Row],[Country_Code]], Metadata_Country!$A:$A, Metadata_Country!$C:$C, "Unknown"), IF(OR(_xlpm.ig=0, _xlpm.ig=""), "Regional Aggregate", _xlpm.ig))</f>
        <v>High income</v>
      </c>
      <c r="H3500" s="4">
        <f>Clean_Data[[#This Row],[Exports_TIV]] - Clean_Data[[#This Row],[Imports_TIV]]</f>
        <v>203000000</v>
      </c>
      <c r="I3500" s="4">
        <f>Clean_Data[[#This Row],[Exports_TIV]] + Clean_Data[[#This Row],[Imports_TIV]]</f>
        <v>459000000</v>
      </c>
    </row>
    <row r="3501" spans="1:9">
      <c r="A3501" s="4" t="s">
        <v>369</v>
      </c>
      <c r="B3501" s="4" t="s">
        <v>370</v>
      </c>
      <c r="C3501" s="5">
        <v>2003</v>
      </c>
      <c r="D3501" s="4">
        <v>0</v>
      </c>
      <c r="E3501" s="4">
        <v>154000000</v>
      </c>
      <c r="F3501" s="4" t="str">
        <f>_xlfn.LET(_xlpm.r, _xlfn.XLOOKUP(Clean_Data[[#This Row],[Country_Code]], Metadata_Country!$A:$A, Metadata_Country!$B:$B, "Unknown"), IF(OR(_xlpm.r=0, _xlpm.r=""), "Regional Aggregate", _xlpm.r))</f>
        <v>East Asia &amp; Pacific</v>
      </c>
      <c r="G3501" s="4" t="str">
        <f>_xlfn.LET(_xlpm.ig, _xlfn.XLOOKUP(Clean_Data[[#This Row],[Country_Code]], Metadata_Country!$A:$A, Metadata_Country!$C:$C, "Unknown"), IF(OR(_xlpm.ig=0, _xlpm.ig=""), "Regional Aggregate", _xlpm.ig))</f>
        <v>High income</v>
      </c>
      <c r="H3501" s="4">
        <f>Clean_Data[[#This Row],[Exports_TIV]] - Clean_Data[[#This Row],[Imports_TIV]]</f>
        <v>-154000000</v>
      </c>
      <c r="I3501" s="4">
        <f>Clean_Data[[#This Row],[Exports_TIV]] + Clean_Data[[#This Row],[Imports_TIV]]</f>
        <v>154000000</v>
      </c>
    </row>
    <row r="3502" spans="1:9">
      <c r="A3502" s="4" t="s">
        <v>355</v>
      </c>
      <c r="B3502" s="4" t="s">
        <v>356</v>
      </c>
      <c r="C3502" s="5">
        <v>2003</v>
      </c>
      <c r="D3502" s="4">
        <v>0</v>
      </c>
      <c r="E3502" s="4">
        <v>6000000</v>
      </c>
      <c r="F3502" s="4" t="str">
        <f>_xlfn.LET(_xlpm.r, _xlfn.XLOOKUP(Clean_Data[[#This Row],[Country_Code]], Metadata_Country!$A:$A, Metadata_Country!$B:$B, "Unknown"), IF(OR(_xlpm.r=0, _xlpm.r=""), "Regional Aggregate", _xlpm.r))</f>
        <v>Sub-Saharan Africa</v>
      </c>
      <c r="G3502" s="4" t="str">
        <f>_xlfn.LET(_xlpm.ig, _xlfn.XLOOKUP(Clean_Data[[#This Row],[Country_Code]], Metadata_Country!$A:$A, Metadata_Country!$C:$C, "Unknown"), IF(OR(_xlpm.ig=0, _xlpm.ig=""), "Regional Aggregate", _xlpm.ig))</f>
        <v>Low income</v>
      </c>
      <c r="H3502" s="4">
        <f>Clean_Data[[#This Row],[Exports_TIV]] - Clean_Data[[#This Row],[Imports_TIV]]</f>
        <v>-6000000</v>
      </c>
      <c r="I3502" s="4">
        <f>Clean_Data[[#This Row],[Exports_TIV]] + Clean_Data[[#This Row],[Imports_TIV]]</f>
        <v>6000000</v>
      </c>
    </row>
    <row r="3503" spans="1:9">
      <c r="A3503" s="4" t="s">
        <v>357</v>
      </c>
      <c r="B3503" s="4" t="s">
        <v>358</v>
      </c>
      <c r="C3503" s="5">
        <v>2003</v>
      </c>
      <c r="D3503" s="4">
        <v>0</v>
      </c>
      <c r="E3503" s="4">
        <v>66000000</v>
      </c>
      <c r="F3503" s="4" t="str">
        <f>_xlfn.LET(_xlpm.r, _xlfn.XLOOKUP(Clean_Data[[#This Row],[Country_Code]], Metadata_Country!$A:$A, Metadata_Country!$B:$B, "Unknown"), IF(OR(_xlpm.r=0, _xlpm.r=""), "Regional Aggregate", _xlpm.r))</f>
        <v>Sub-Saharan Africa</v>
      </c>
      <c r="G3503" s="4" t="str">
        <f>_xlfn.LET(_xlpm.ig, _xlfn.XLOOKUP(Clean_Data[[#This Row],[Country_Code]], Metadata_Country!$A:$A, Metadata_Country!$C:$C, "Unknown"), IF(OR(_xlpm.ig=0, _xlpm.ig=""), "Regional Aggregate", _xlpm.ig))</f>
        <v>Lower middle income</v>
      </c>
      <c r="H3503" s="4">
        <f>Clean_Data[[#This Row],[Exports_TIV]] - Clean_Data[[#This Row],[Imports_TIV]]</f>
        <v>-66000000</v>
      </c>
      <c r="I3503" s="4">
        <f>Clean_Data[[#This Row],[Exports_TIV]] + Clean_Data[[#This Row],[Imports_TIV]]</f>
        <v>66000000</v>
      </c>
    </row>
    <row r="3504" spans="1:9">
      <c r="A3504" s="4" t="s">
        <v>349</v>
      </c>
      <c r="B3504" s="4" t="s">
        <v>350</v>
      </c>
      <c r="C3504" s="5">
        <v>2003</v>
      </c>
      <c r="D3504" s="4">
        <v>5986000000</v>
      </c>
      <c r="E3504" s="4">
        <v>770000000</v>
      </c>
      <c r="F3504" s="4" t="str">
        <f>_xlfn.LET(_xlpm.r, _xlfn.XLOOKUP(Clean_Data[[#This Row],[Country_Code]], Metadata_Country!$A:$A, Metadata_Country!$B:$B, "Unknown"), IF(OR(_xlpm.r=0, _xlpm.r=""), "Regional Aggregate", _xlpm.r))</f>
        <v>Regional Aggregate</v>
      </c>
      <c r="G3504" s="4" t="str">
        <f>_xlfn.LET(_xlpm.ig, _xlfn.XLOOKUP(Clean_Data[[#This Row],[Country_Code]], Metadata_Country!$A:$A, Metadata_Country!$C:$C, "Unknown"), IF(OR(_xlpm.ig=0, _xlpm.ig=""), "Regional Aggregate", _xlpm.ig))</f>
        <v>Regional Aggregate</v>
      </c>
      <c r="H3504" s="4">
        <f>Clean_Data[[#This Row],[Exports_TIV]] - Clean_Data[[#This Row],[Imports_TIV]]</f>
        <v>5216000000</v>
      </c>
      <c r="I3504" s="4">
        <f>Clean_Data[[#This Row],[Exports_TIV]] + Clean_Data[[#This Row],[Imports_TIV]]</f>
        <v>6756000000</v>
      </c>
    </row>
    <row r="3505" spans="1:9">
      <c r="A3505" s="4" t="s">
        <v>363</v>
      </c>
      <c r="B3505" s="4" t="s">
        <v>364</v>
      </c>
      <c r="C3505" s="5">
        <v>2003</v>
      </c>
      <c r="D3505" s="4">
        <v>91000000</v>
      </c>
      <c r="E3505" s="4">
        <v>9000000</v>
      </c>
      <c r="F3505" s="4" t="str">
        <f>_xlfn.LET(_xlpm.r, _xlfn.XLOOKUP(Clean_Data[[#This Row],[Country_Code]], Metadata_Country!$A:$A, Metadata_Country!$B:$B, "Unknown"), IF(OR(_xlpm.r=0, _xlpm.r=""), "Regional Aggregate", _xlpm.r))</f>
        <v>Europe &amp; Central Asia</v>
      </c>
      <c r="G3505" s="4" t="str">
        <f>_xlfn.LET(_xlpm.ig, _xlfn.XLOOKUP(Clean_Data[[#This Row],[Country_Code]], Metadata_Country!$A:$A, Metadata_Country!$C:$C, "Unknown"), IF(OR(_xlpm.ig=0, _xlpm.ig=""), "Regional Aggregate", _xlpm.ig))</f>
        <v>High income</v>
      </c>
      <c r="H3505" s="4">
        <f>Clean_Data[[#This Row],[Exports_TIV]] - Clean_Data[[#This Row],[Imports_TIV]]</f>
        <v>82000000</v>
      </c>
      <c r="I3505" s="4">
        <f>Clean_Data[[#This Row],[Exports_TIV]] + Clean_Data[[#This Row],[Imports_TIV]]</f>
        <v>100000000</v>
      </c>
    </row>
    <row r="3506" spans="1:9">
      <c r="A3506" s="4" t="s">
        <v>371</v>
      </c>
      <c r="B3506" s="4" t="s">
        <v>372</v>
      </c>
      <c r="C3506" s="5">
        <v>2003</v>
      </c>
      <c r="D3506" s="4">
        <v>12149000000</v>
      </c>
      <c r="E3506" s="4">
        <v>8898000000</v>
      </c>
      <c r="F3506" s="4" t="str">
        <f>_xlfn.LET(_xlpm.r, _xlfn.XLOOKUP(Clean_Data[[#This Row],[Country_Code]], Metadata_Country!$A:$A, Metadata_Country!$B:$B, "Unknown"), IF(OR(_xlpm.r=0, _xlpm.r=""), "Regional Aggregate", _xlpm.r))</f>
        <v>Regional Aggregate</v>
      </c>
      <c r="G3506" s="4" t="str">
        <f>_xlfn.LET(_xlpm.ig, _xlfn.XLOOKUP(Clean_Data[[#This Row],[Country_Code]], Metadata_Country!$A:$A, Metadata_Country!$C:$C, "Unknown"), IF(OR(_xlpm.ig=0, _xlpm.ig=""), "Regional Aggregate", _xlpm.ig))</f>
        <v>Regional Aggregate</v>
      </c>
      <c r="H3506" s="4">
        <f>Clean_Data[[#This Row],[Exports_TIV]] - Clean_Data[[#This Row],[Imports_TIV]]</f>
        <v>3251000000</v>
      </c>
      <c r="I3506" s="4">
        <f>Clean_Data[[#This Row],[Exports_TIV]] + Clean_Data[[#This Row],[Imports_TIV]]</f>
        <v>21047000000</v>
      </c>
    </row>
    <row r="3507" spans="1:9">
      <c r="A3507" s="4" t="s">
        <v>373</v>
      </c>
      <c r="B3507" s="4" t="s">
        <v>374</v>
      </c>
      <c r="C3507" s="5">
        <v>2003</v>
      </c>
      <c r="D3507" s="4">
        <v>0</v>
      </c>
      <c r="E3507" s="4">
        <v>37000000</v>
      </c>
      <c r="F3507" s="4" t="str">
        <f>_xlfn.LET(_xlpm.r, _xlfn.XLOOKUP(Clean_Data[[#This Row],[Country_Code]], Metadata_Country!$A:$A, Metadata_Country!$B:$B, "Unknown"), IF(OR(_xlpm.r=0, _xlpm.r=""), "Regional Aggregate", _xlpm.r))</f>
        <v>Middle East &amp; North Africa</v>
      </c>
      <c r="G3507" s="4" t="str">
        <f>_xlfn.LET(_xlpm.ig, _xlfn.XLOOKUP(Clean_Data[[#This Row],[Country_Code]], Metadata_Country!$A:$A, Metadata_Country!$C:$C, "Unknown"), IF(OR(_xlpm.ig=0, _xlpm.ig=""), "Regional Aggregate", _xlpm.ig))</f>
        <v>High income</v>
      </c>
      <c r="H3507" s="4">
        <f>Clean_Data[[#This Row],[Exports_TIV]] - Clean_Data[[#This Row],[Imports_TIV]]</f>
        <v>-37000000</v>
      </c>
      <c r="I3507" s="4">
        <f>Clean_Data[[#This Row],[Exports_TIV]] + Clean_Data[[#This Row],[Imports_TIV]]</f>
        <v>37000000</v>
      </c>
    </row>
    <row r="3508" spans="1:9">
      <c r="A3508" s="4" t="s">
        <v>377</v>
      </c>
      <c r="B3508" s="4" t="s">
        <v>378</v>
      </c>
      <c r="C3508" s="5">
        <v>2003</v>
      </c>
      <c r="D3508" s="4">
        <v>8000000</v>
      </c>
      <c r="E3508" s="4">
        <v>645000000</v>
      </c>
      <c r="F3508" s="4" t="str">
        <f>_xlfn.LET(_xlpm.r, _xlfn.XLOOKUP(Clean_Data[[#This Row],[Country_Code]], Metadata_Country!$A:$A, Metadata_Country!$B:$B, "Unknown"), IF(OR(_xlpm.r=0, _xlpm.r=""), "Regional Aggregate", _xlpm.r))</f>
        <v>Middle East &amp; North Africa</v>
      </c>
      <c r="G3508" s="4" t="str">
        <f>_xlfn.LET(_xlpm.ig, _xlfn.XLOOKUP(Clean_Data[[#This Row],[Country_Code]], Metadata_Country!$A:$A, Metadata_Country!$C:$C, "Unknown"), IF(OR(_xlpm.ig=0, _xlpm.ig=""), "Regional Aggregate", _xlpm.ig))</f>
        <v>Lower middle income</v>
      </c>
      <c r="H3508" s="4">
        <f>Clean_Data[[#This Row],[Exports_TIV]] - Clean_Data[[#This Row],[Imports_TIV]]</f>
        <v>-637000000</v>
      </c>
      <c r="I3508" s="4">
        <f>Clean_Data[[#This Row],[Exports_TIV]] + Clean_Data[[#This Row],[Imports_TIV]]</f>
        <v>653000000</v>
      </c>
    </row>
    <row r="3509" spans="1:9">
      <c r="A3509" s="4" t="s">
        <v>381</v>
      </c>
      <c r="B3509" s="4" t="s">
        <v>382</v>
      </c>
      <c r="C3509" s="5">
        <v>2003</v>
      </c>
      <c r="D3509" s="4">
        <v>0</v>
      </c>
      <c r="E3509" s="4">
        <v>22000000</v>
      </c>
      <c r="F3509" s="4" t="str">
        <f>_xlfn.LET(_xlpm.r, _xlfn.XLOOKUP(Clean_Data[[#This Row],[Country_Code]], Metadata_Country!$A:$A, Metadata_Country!$B:$B, "Unknown"), IF(OR(_xlpm.r=0, _xlpm.r=""), "Regional Aggregate", _xlpm.r))</f>
        <v>Latin America &amp; Caribbean</v>
      </c>
      <c r="G3509" s="4" t="str">
        <f>_xlfn.LET(_xlpm.ig, _xlfn.XLOOKUP(Clean_Data[[#This Row],[Country_Code]], Metadata_Country!$A:$A, Metadata_Country!$C:$C, "Unknown"), IF(OR(_xlpm.ig=0, _xlpm.ig=""), "Regional Aggregate", _xlpm.ig))</f>
        <v>Upper middle income</v>
      </c>
      <c r="H3509" s="4">
        <f>Clean_Data[[#This Row],[Exports_TIV]] - Clean_Data[[#This Row],[Imports_TIV]]</f>
        <v>-22000000</v>
      </c>
      <c r="I3509" s="4">
        <f>Clean_Data[[#This Row],[Exports_TIV]] + Clean_Data[[#This Row],[Imports_TIV]]</f>
        <v>22000000</v>
      </c>
    </row>
    <row r="3510" spans="1:9">
      <c r="A3510" s="4" t="s">
        <v>383</v>
      </c>
      <c r="B3510" s="4" t="s">
        <v>384</v>
      </c>
      <c r="C3510" s="5">
        <v>2003</v>
      </c>
      <c r="D3510" s="4">
        <v>0</v>
      </c>
      <c r="E3510" s="4">
        <v>10000000</v>
      </c>
      <c r="F3510" s="4" t="str">
        <f>_xlfn.LET(_xlpm.r, _xlfn.XLOOKUP(Clean_Data[[#This Row],[Country_Code]], Metadata_Country!$A:$A, Metadata_Country!$B:$B, "Unknown"), IF(OR(_xlpm.r=0, _xlpm.r=""), "Regional Aggregate", _xlpm.r))</f>
        <v>East Asia &amp; Pacific</v>
      </c>
      <c r="G3510" s="4" t="str">
        <f>_xlfn.LET(_xlpm.ig, _xlfn.XLOOKUP(Clean_Data[[#This Row],[Country_Code]], Metadata_Country!$A:$A, Metadata_Country!$C:$C, "Unknown"), IF(OR(_xlpm.ig=0, _xlpm.ig=""), "Regional Aggregate", _xlpm.ig))</f>
        <v>Upper middle income</v>
      </c>
      <c r="H3510" s="4">
        <f>Clean_Data[[#This Row],[Exports_TIV]] - Clean_Data[[#This Row],[Imports_TIV]]</f>
        <v>-10000000</v>
      </c>
      <c r="I3510" s="4">
        <f>Clean_Data[[#This Row],[Exports_TIV]] + Clean_Data[[#This Row],[Imports_TIV]]</f>
        <v>10000000</v>
      </c>
    </row>
    <row r="3511" spans="1:9">
      <c r="A3511" s="4" t="s">
        <v>389</v>
      </c>
      <c r="B3511" s="4" t="s">
        <v>390</v>
      </c>
      <c r="C3511" s="5">
        <v>2003</v>
      </c>
      <c r="D3511" s="4">
        <v>83000000</v>
      </c>
      <c r="E3511" s="4">
        <v>347000000</v>
      </c>
      <c r="F3511" s="4" t="str">
        <f>_xlfn.LET(_xlpm.r, _xlfn.XLOOKUP(Clean_Data[[#This Row],[Country_Code]], Metadata_Country!$A:$A, Metadata_Country!$B:$B, "Unknown"), IF(OR(_xlpm.r=0, _xlpm.r=""), "Regional Aggregate", _xlpm.r))</f>
        <v>Europe &amp; Central Asia</v>
      </c>
      <c r="G3511" s="4" t="str">
        <f>_xlfn.LET(_xlpm.ig, _xlfn.XLOOKUP(Clean_Data[[#This Row],[Country_Code]], Metadata_Country!$A:$A, Metadata_Country!$C:$C, "Unknown"), IF(OR(_xlpm.ig=0, _xlpm.ig=""), "Regional Aggregate", _xlpm.ig))</f>
        <v>High income</v>
      </c>
      <c r="H3511" s="4">
        <f>Clean_Data[[#This Row],[Exports_TIV]] - Clean_Data[[#This Row],[Imports_TIV]]</f>
        <v>-264000000</v>
      </c>
      <c r="I3511" s="4">
        <f>Clean_Data[[#This Row],[Exports_TIV]] + Clean_Data[[#This Row],[Imports_TIV]]</f>
        <v>430000000</v>
      </c>
    </row>
    <row r="3512" spans="1:9">
      <c r="A3512" s="4" t="s">
        <v>397</v>
      </c>
      <c r="B3512" s="4" t="s">
        <v>398</v>
      </c>
      <c r="C3512" s="5">
        <v>2003</v>
      </c>
      <c r="D3512" s="4">
        <v>0</v>
      </c>
      <c r="E3512" s="4">
        <v>29000000</v>
      </c>
      <c r="F3512" s="4" t="str">
        <f>_xlfn.LET(_xlpm.r, _xlfn.XLOOKUP(Clean_Data[[#This Row],[Country_Code]], Metadata_Country!$A:$A, Metadata_Country!$B:$B, "Unknown"), IF(OR(_xlpm.r=0, _xlpm.r=""), "Regional Aggregate", _xlpm.r))</f>
        <v>Europe &amp; Central Asia</v>
      </c>
      <c r="G3512" s="4" t="str">
        <f>_xlfn.LET(_xlpm.ig, _xlfn.XLOOKUP(Clean_Data[[#This Row],[Country_Code]], Metadata_Country!$A:$A, Metadata_Country!$C:$C, "Unknown"), IF(OR(_xlpm.ig=0, _xlpm.ig=""), "Regional Aggregate", _xlpm.ig))</f>
        <v>High income</v>
      </c>
      <c r="H3512" s="4">
        <f>Clean_Data[[#This Row],[Exports_TIV]] - Clean_Data[[#This Row],[Imports_TIV]]</f>
        <v>-29000000</v>
      </c>
      <c r="I3512" s="4">
        <f>Clean_Data[[#This Row],[Exports_TIV]] + Clean_Data[[#This Row],[Imports_TIV]]</f>
        <v>29000000</v>
      </c>
    </row>
    <row r="3513" spans="1:9">
      <c r="A3513" s="4" t="s">
        <v>405</v>
      </c>
      <c r="B3513" s="4" t="s">
        <v>406</v>
      </c>
      <c r="C3513" s="5">
        <v>2003</v>
      </c>
      <c r="D3513" s="4">
        <v>12019000000</v>
      </c>
      <c r="E3513" s="4">
        <v>7748000000</v>
      </c>
      <c r="F3513" s="4" t="str">
        <f>_xlfn.LET(_xlpm.r, _xlfn.XLOOKUP(Clean_Data[[#This Row],[Country_Code]], Metadata_Country!$A:$A, Metadata_Country!$B:$B, "Unknown"), IF(OR(_xlpm.r=0, _xlpm.r=""), "Regional Aggregate", _xlpm.r))</f>
        <v>Regional Aggregate</v>
      </c>
      <c r="G3513" s="4" t="str">
        <f>_xlfn.LET(_xlpm.ig, _xlfn.XLOOKUP(Clean_Data[[#This Row],[Country_Code]], Metadata_Country!$A:$A, Metadata_Country!$C:$C, "Unknown"), IF(OR(_xlpm.ig=0, _xlpm.ig=""), "Regional Aggregate", _xlpm.ig))</f>
        <v>Regional Aggregate</v>
      </c>
      <c r="H3513" s="4">
        <f>Clean_Data[[#This Row],[Exports_TIV]] - Clean_Data[[#This Row],[Imports_TIV]]</f>
        <v>4271000000</v>
      </c>
      <c r="I3513" s="4">
        <f>Clean_Data[[#This Row],[Exports_TIV]] + Clean_Data[[#This Row],[Imports_TIV]]</f>
        <v>19767000000</v>
      </c>
    </row>
    <row r="3514" spans="1:9">
      <c r="A3514" s="4" t="s">
        <v>391</v>
      </c>
      <c r="B3514" s="4" t="s">
        <v>392</v>
      </c>
      <c r="C3514" s="5">
        <v>2003</v>
      </c>
      <c r="D3514" s="4">
        <v>0</v>
      </c>
      <c r="E3514" s="4">
        <v>475000000</v>
      </c>
      <c r="F3514" s="4" t="str">
        <f>_xlfn.LET(_xlpm.r, _xlfn.XLOOKUP(Clean_Data[[#This Row],[Country_Code]], Metadata_Country!$A:$A, Metadata_Country!$B:$B, "Unknown"), IF(OR(_xlpm.r=0, _xlpm.r=""), "Regional Aggregate", _xlpm.r))</f>
        <v>Regional Aggregate</v>
      </c>
      <c r="G3514" s="4" t="str">
        <f>_xlfn.LET(_xlpm.ig, _xlfn.XLOOKUP(Clean_Data[[#This Row],[Country_Code]], Metadata_Country!$A:$A, Metadata_Country!$C:$C, "Unknown"), IF(OR(_xlpm.ig=0, _xlpm.ig=""), "Regional Aggregate", _xlpm.ig))</f>
        <v>Regional Aggregate</v>
      </c>
      <c r="H3514" s="4">
        <f>Clean_Data[[#This Row],[Exports_TIV]] - Clean_Data[[#This Row],[Imports_TIV]]</f>
        <v>-475000000</v>
      </c>
      <c r="I3514" s="4">
        <f>Clean_Data[[#This Row],[Exports_TIV]] + Clean_Data[[#This Row],[Imports_TIV]]</f>
        <v>475000000</v>
      </c>
    </row>
    <row r="3515" spans="1:9">
      <c r="A3515" s="4" t="s">
        <v>411</v>
      </c>
      <c r="B3515" s="4" t="s">
        <v>412</v>
      </c>
      <c r="C3515" s="5">
        <v>2003</v>
      </c>
      <c r="D3515" s="4">
        <v>24000000</v>
      </c>
      <c r="E3515" s="4">
        <v>17000000</v>
      </c>
      <c r="F3515" s="4" t="str">
        <f>_xlfn.LET(_xlpm.r, _xlfn.XLOOKUP(Clean_Data[[#This Row],[Country_Code]], Metadata_Country!$A:$A, Metadata_Country!$B:$B, "Unknown"), IF(OR(_xlpm.r=0, _xlpm.r=""), "Regional Aggregate", _xlpm.r))</f>
        <v>Europe &amp; Central Asia</v>
      </c>
      <c r="G3515" s="4" t="str">
        <f>_xlfn.LET(_xlpm.ig, _xlfn.XLOOKUP(Clean_Data[[#This Row],[Country_Code]], Metadata_Country!$A:$A, Metadata_Country!$C:$C, "Unknown"), IF(OR(_xlpm.ig=0, _xlpm.ig=""), "Regional Aggregate", _xlpm.ig))</f>
        <v>High income</v>
      </c>
      <c r="H3515" s="4">
        <f>Clean_Data[[#This Row],[Exports_TIV]] - Clean_Data[[#This Row],[Imports_TIV]]</f>
        <v>7000000</v>
      </c>
      <c r="I3515" s="4">
        <f>Clean_Data[[#This Row],[Exports_TIV]] + Clean_Data[[#This Row],[Imports_TIV]]</f>
        <v>41000000</v>
      </c>
    </row>
    <row r="3516" spans="1:9">
      <c r="A3516" s="4" t="s">
        <v>413</v>
      </c>
      <c r="B3516" s="4" t="s">
        <v>414</v>
      </c>
      <c r="C3516" s="5">
        <v>2003</v>
      </c>
      <c r="D3516" s="4">
        <v>5266000000</v>
      </c>
      <c r="E3516" s="4">
        <v>0</v>
      </c>
      <c r="F3516" s="4" t="str">
        <f>_xlfn.LET(_xlpm.r, _xlfn.XLOOKUP(Clean_Data[[#This Row],[Country_Code]], Metadata_Country!$A:$A, Metadata_Country!$B:$B, "Unknown"), IF(OR(_xlpm.r=0, _xlpm.r=""), "Regional Aggregate", _xlpm.r))</f>
        <v>Europe &amp; Central Asia</v>
      </c>
      <c r="G3516" s="4" t="str">
        <f>_xlfn.LET(_xlpm.ig, _xlfn.XLOOKUP(Clean_Data[[#This Row],[Country_Code]], Metadata_Country!$A:$A, Metadata_Country!$C:$C, "Unknown"), IF(OR(_xlpm.ig=0, _xlpm.ig=""), "Regional Aggregate", _xlpm.ig))</f>
        <v>High income</v>
      </c>
      <c r="H3516" s="4">
        <f>Clean_Data[[#This Row],[Exports_TIV]] - Clean_Data[[#This Row],[Imports_TIV]]</f>
        <v>5266000000</v>
      </c>
      <c r="I3516" s="4">
        <f>Clean_Data[[#This Row],[Exports_TIV]] + Clean_Data[[#This Row],[Imports_TIV]]</f>
        <v>5266000000</v>
      </c>
    </row>
    <row r="3517" spans="1:9">
      <c r="A3517" s="4" t="s">
        <v>419</v>
      </c>
      <c r="B3517" s="4" t="s">
        <v>420</v>
      </c>
      <c r="C3517" s="5">
        <v>2003</v>
      </c>
      <c r="D3517" s="4">
        <v>0</v>
      </c>
      <c r="E3517" s="4">
        <v>158000000</v>
      </c>
      <c r="F3517" s="4" t="str">
        <f>_xlfn.LET(_xlpm.r, _xlfn.XLOOKUP(Clean_Data[[#This Row],[Country_Code]], Metadata_Country!$A:$A, Metadata_Country!$B:$B, "Unknown"), IF(OR(_xlpm.r=0, _xlpm.r=""), "Regional Aggregate", _xlpm.r))</f>
        <v>Middle East &amp; North Africa</v>
      </c>
      <c r="G3517" s="4" t="str">
        <f>_xlfn.LET(_xlpm.ig, _xlfn.XLOOKUP(Clean_Data[[#This Row],[Country_Code]], Metadata_Country!$A:$A, Metadata_Country!$C:$C, "Unknown"), IF(OR(_xlpm.ig=0, _xlpm.ig=""), "Regional Aggregate", _xlpm.ig))</f>
        <v>High income</v>
      </c>
      <c r="H3517" s="4">
        <f>Clean_Data[[#This Row],[Exports_TIV]] - Clean_Data[[#This Row],[Imports_TIV]]</f>
        <v>-158000000</v>
      </c>
      <c r="I3517" s="4">
        <f>Clean_Data[[#This Row],[Exports_TIV]] + Clean_Data[[#This Row],[Imports_TIV]]</f>
        <v>158000000</v>
      </c>
    </row>
    <row r="3518" spans="1:9">
      <c r="A3518" s="4" t="s">
        <v>425</v>
      </c>
      <c r="B3518" s="4" t="s">
        <v>426</v>
      </c>
      <c r="C3518" s="5">
        <v>2003</v>
      </c>
      <c r="D3518" s="4">
        <v>0</v>
      </c>
      <c r="E3518" s="4">
        <v>79000000</v>
      </c>
      <c r="F3518" s="4" t="str">
        <f>_xlfn.LET(_xlpm.r, _xlfn.XLOOKUP(Clean_Data[[#This Row],[Country_Code]], Metadata_Country!$A:$A, Metadata_Country!$B:$B, "Unknown"), IF(OR(_xlpm.r=0, _xlpm.r=""), "Regional Aggregate", _xlpm.r))</f>
        <v>East Asia &amp; Pacific</v>
      </c>
      <c r="G3518" s="4" t="str">
        <f>_xlfn.LET(_xlpm.ig, _xlfn.XLOOKUP(Clean_Data[[#This Row],[Country_Code]], Metadata_Country!$A:$A, Metadata_Country!$C:$C, "Unknown"), IF(OR(_xlpm.ig=0, _xlpm.ig=""), "Regional Aggregate", _xlpm.ig))</f>
        <v>High income</v>
      </c>
      <c r="H3518" s="4">
        <f>Clean_Data[[#This Row],[Exports_TIV]] - Clean_Data[[#This Row],[Imports_TIV]]</f>
        <v>-79000000</v>
      </c>
      <c r="I3518" s="4">
        <f>Clean_Data[[#This Row],[Exports_TIV]] + Clean_Data[[#This Row],[Imports_TIV]]</f>
        <v>79000000</v>
      </c>
    </row>
    <row r="3519" spans="1:9">
      <c r="A3519" s="4" t="s">
        <v>453</v>
      </c>
      <c r="B3519" s="4" t="s">
        <v>454</v>
      </c>
      <c r="C3519" s="5">
        <v>2003</v>
      </c>
      <c r="D3519" s="4">
        <v>0</v>
      </c>
      <c r="E3519" s="4">
        <v>17000000</v>
      </c>
      <c r="F3519" s="4" t="str">
        <f>_xlfn.LET(_xlpm.r, _xlfn.XLOOKUP(Clean_Data[[#This Row],[Country_Code]], Metadata_Country!$A:$A, Metadata_Country!$B:$B, "Unknown"), IF(OR(_xlpm.r=0, _xlpm.r=""), "Regional Aggregate", _xlpm.r))</f>
        <v>Europe &amp; Central Asia</v>
      </c>
      <c r="G3519" s="4" t="str">
        <f>_xlfn.LET(_xlpm.ig, _xlfn.XLOOKUP(Clean_Data[[#This Row],[Country_Code]], Metadata_Country!$A:$A, Metadata_Country!$C:$C, "Unknown"), IF(OR(_xlpm.ig=0, _xlpm.ig=""), "Regional Aggregate", _xlpm.ig))</f>
        <v>High income</v>
      </c>
      <c r="H3519" s="4">
        <f>Clean_Data[[#This Row],[Exports_TIV]] - Clean_Data[[#This Row],[Imports_TIV]]</f>
        <v>-17000000</v>
      </c>
      <c r="I3519" s="4">
        <f>Clean_Data[[#This Row],[Exports_TIV]] + Clean_Data[[#This Row],[Imports_TIV]]</f>
        <v>17000000</v>
      </c>
    </row>
    <row r="3520" spans="1:9">
      <c r="A3520" s="4" t="s">
        <v>535</v>
      </c>
      <c r="B3520" s="4" t="s">
        <v>536</v>
      </c>
      <c r="C3520" s="5">
        <v>2003</v>
      </c>
      <c r="D3520" s="4">
        <v>47000000</v>
      </c>
      <c r="E3520" s="4">
        <v>0</v>
      </c>
      <c r="F3520" s="4" t="str">
        <f>_xlfn.LET(_xlpm.r, _xlfn.XLOOKUP(Clean_Data[[#This Row],[Country_Code]], Metadata_Country!$A:$A, Metadata_Country!$B:$B, "Unknown"), IF(OR(_xlpm.r=0, _xlpm.r=""), "Regional Aggregate", _xlpm.r))</f>
        <v>Sub-Saharan Africa</v>
      </c>
      <c r="G3520" s="4" t="str">
        <f>_xlfn.LET(_xlpm.ig, _xlfn.XLOOKUP(Clean_Data[[#This Row],[Country_Code]], Metadata_Country!$A:$A, Metadata_Country!$C:$C, "Unknown"), IF(OR(_xlpm.ig=0, _xlpm.ig=""), "Regional Aggregate", _xlpm.ig))</f>
        <v>Upper middle income</v>
      </c>
      <c r="H3520" s="4">
        <f>Clean_Data[[#This Row],[Exports_TIV]] - Clean_Data[[#This Row],[Imports_TIV]]</f>
        <v>47000000</v>
      </c>
      <c r="I3520" s="4">
        <f>Clean_Data[[#This Row],[Exports_TIV]] + Clean_Data[[#This Row],[Imports_TIV]]</f>
        <v>47000000</v>
      </c>
    </row>
    <row r="3521" spans="1:9">
      <c r="A3521" s="4" t="s">
        <v>417</v>
      </c>
      <c r="B3521" s="4" t="s">
        <v>418</v>
      </c>
      <c r="C3521" s="5">
        <v>2003</v>
      </c>
      <c r="D3521" s="4">
        <v>4000000</v>
      </c>
      <c r="E3521" s="4">
        <v>2850000000</v>
      </c>
      <c r="F3521" s="4" t="str">
        <f>_xlfn.LET(_xlpm.r, _xlfn.XLOOKUP(Clean_Data[[#This Row],[Country_Code]], Metadata_Country!$A:$A, Metadata_Country!$B:$B, "Unknown"), IF(OR(_xlpm.r=0, _xlpm.r=""), "Regional Aggregate", _xlpm.r))</f>
        <v>Regional Aggregate</v>
      </c>
      <c r="G3521" s="4" t="str">
        <f>_xlfn.LET(_xlpm.ig, _xlfn.XLOOKUP(Clean_Data[[#This Row],[Country_Code]], Metadata_Country!$A:$A, Metadata_Country!$C:$C, "Unknown"), IF(OR(_xlpm.ig=0, _xlpm.ig=""), "Regional Aggregate", _xlpm.ig))</f>
        <v>Regional Aggregate</v>
      </c>
      <c r="H3521" s="4">
        <f>Clean_Data[[#This Row],[Exports_TIV]] - Clean_Data[[#This Row],[Imports_TIV]]</f>
        <v>-2846000000</v>
      </c>
      <c r="I3521" s="4">
        <f>Clean_Data[[#This Row],[Exports_TIV]] + Clean_Data[[#This Row],[Imports_TIV]]</f>
        <v>2854000000</v>
      </c>
    </row>
    <row r="3522" spans="1:9">
      <c r="A3522" s="4" t="s">
        <v>489</v>
      </c>
      <c r="B3522" s="4" t="s">
        <v>490</v>
      </c>
      <c r="C3522" s="5">
        <v>2003</v>
      </c>
      <c r="D3522" s="4">
        <v>4000000</v>
      </c>
      <c r="E3522" s="4">
        <v>2850000000</v>
      </c>
      <c r="F3522" s="4" t="str">
        <f>_xlfn.LET(_xlpm.r, _xlfn.XLOOKUP(Clean_Data[[#This Row],[Country_Code]], Metadata_Country!$A:$A, Metadata_Country!$B:$B, "Unknown"), IF(OR(_xlpm.r=0, _xlpm.r=""), "Regional Aggregate", _xlpm.r))</f>
        <v>Regional Aggregate</v>
      </c>
      <c r="G3522" s="4" t="str">
        <f>_xlfn.LET(_xlpm.ig, _xlfn.XLOOKUP(Clean_Data[[#This Row],[Country_Code]], Metadata_Country!$A:$A, Metadata_Country!$C:$C, "Unknown"), IF(OR(_xlpm.ig=0, _xlpm.ig=""), "Regional Aggregate", _xlpm.ig))</f>
        <v>Regional Aggregate</v>
      </c>
      <c r="H3522" s="4">
        <f>Clean_Data[[#This Row],[Exports_TIV]] - Clean_Data[[#This Row],[Imports_TIV]]</f>
        <v>-2846000000</v>
      </c>
      <c r="I3522" s="4">
        <f>Clean_Data[[#This Row],[Exports_TIV]] + Clean_Data[[#This Row],[Imports_TIV]]</f>
        <v>2854000000</v>
      </c>
    </row>
    <row r="3523" spans="1:9">
      <c r="A3523" s="4" t="s">
        <v>149</v>
      </c>
      <c r="B3523" s="4" t="s">
        <v>150</v>
      </c>
      <c r="C3523" s="5">
        <v>2003</v>
      </c>
      <c r="D3523" s="4">
        <v>99000000</v>
      </c>
      <c r="E3523" s="4">
        <v>239000000</v>
      </c>
      <c r="F3523" s="4" t="str">
        <f>_xlfn.LET(_xlpm.r, _xlfn.XLOOKUP(Clean_Data[[#This Row],[Country_Code]], Metadata_Country!$A:$A, Metadata_Country!$B:$B, "Unknown"), IF(OR(_xlpm.r=0, _xlpm.r=""), "Regional Aggregate", _xlpm.r))</f>
        <v>Europe &amp; Central Asia</v>
      </c>
      <c r="G3523" s="4" t="str">
        <f>_xlfn.LET(_xlpm.ig, _xlfn.XLOOKUP(Clean_Data[[#This Row],[Country_Code]], Metadata_Country!$A:$A, Metadata_Country!$C:$C, "Unknown"), IF(OR(_xlpm.ig=0, _xlpm.ig=""), "Regional Aggregate", _xlpm.ig))</f>
        <v>High income</v>
      </c>
      <c r="H3523" s="4">
        <f>Clean_Data[[#This Row],[Exports_TIV]] - Clean_Data[[#This Row],[Imports_TIV]]</f>
        <v>-140000000</v>
      </c>
      <c r="I3523" s="4">
        <f>Clean_Data[[#This Row],[Exports_TIV]] + Clean_Data[[#This Row],[Imports_TIV]]</f>
        <v>338000000</v>
      </c>
    </row>
    <row r="3524" spans="1:9">
      <c r="A3524" s="4" t="s">
        <v>285</v>
      </c>
      <c r="B3524" s="4" t="s">
        <v>286</v>
      </c>
      <c r="C3524" s="5">
        <v>2003</v>
      </c>
      <c r="D3524" s="4">
        <v>0</v>
      </c>
      <c r="E3524" s="4">
        <v>34000000</v>
      </c>
      <c r="F3524" s="4" t="str">
        <f>_xlfn.LET(_xlpm.r, _xlfn.XLOOKUP(Clean_Data[[#This Row],[Country_Code]], Metadata_Country!$A:$A, Metadata_Country!$B:$B, "Unknown"), IF(OR(_xlpm.r=0, _xlpm.r=""), "Regional Aggregate", _xlpm.r))</f>
        <v>South Asia</v>
      </c>
      <c r="G3524" s="4" t="str">
        <f>_xlfn.LET(_xlpm.ig, _xlfn.XLOOKUP(Clean_Data[[#This Row],[Country_Code]], Metadata_Country!$A:$A, Metadata_Country!$C:$C, "Unknown"), IF(OR(_xlpm.ig=0, _xlpm.ig=""), "Regional Aggregate", _xlpm.ig))</f>
        <v>Upper middle income</v>
      </c>
      <c r="H3524" s="4">
        <f>Clean_Data[[#This Row],[Exports_TIV]] - Clean_Data[[#This Row],[Imports_TIV]]</f>
        <v>-34000000</v>
      </c>
      <c r="I3524" s="4">
        <f>Clean_Data[[#This Row],[Exports_TIV]] + Clean_Data[[#This Row],[Imports_TIV]]</f>
        <v>34000000</v>
      </c>
    </row>
    <row r="3525" spans="1:9">
      <c r="A3525" s="4" t="s">
        <v>421</v>
      </c>
      <c r="B3525" s="4" t="s">
        <v>422</v>
      </c>
      <c r="C3525" s="5">
        <v>2003</v>
      </c>
      <c r="D3525" s="4">
        <v>0</v>
      </c>
      <c r="E3525" s="4">
        <v>205000000</v>
      </c>
      <c r="F3525" s="4" t="str">
        <f>_xlfn.LET(_xlpm.r, _xlfn.XLOOKUP(Clean_Data[[#This Row],[Country_Code]], Metadata_Country!$A:$A, Metadata_Country!$B:$B, "Unknown"), IF(OR(_xlpm.r=0, _xlpm.r=""), "Regional Aggregate", _xlpm.r))</f>
        <v>Sub-Saharan Africa</v>
      </c>
      <c r="G3525" s="4" t="str">
        <f>_xlfn.LET(_xlpm.ig, _xlfn.XLOOKUP(Clean_Data[[#This Row],[Country_Code]], Metadata_Country!$A:$A, Metadata_Country!$C:$C, "Unknown"), IF(OR(_xlpm.ig=0, _xlpm.ig=""), "Regional Aggregate", _xlpm.ig))</f>
        <v>Low income</v>
      </c>
      <c r="H3525" s="4">
        <f>Clean_Data[[#This Row],[Exports_TIV]] - Clean_Data[[#This Row],[Imports_TIV]]</f>
        <v>-205000000</v>
      </c>
      <c r="I3525" s="4">
        <f>Clean_Data[[#This Row],[Exports_TIV]] + Clean_Data[[#This Row],[Imports_TIV]]</f>
        <v>205000000</v>
      </c>
    </row>
    <row r="3526" spans="1:9">
      <c r="A3526" s="4" t="s">
        <v>455</v>
      </c>
      <c r="B3526" s="4" t="s">
        <v>456</v>
      </c>
      <c r="C3526" s="5">
        <v>2003</v>
      </c>
      <c r="D3526" s="4">
        <v>516000000</v>
      </c>
      <c r="E3526" s="4">
        <v>66000000</v>
      </c>
      <c r="F3526" s="4" t="str">
        <f>_xlfn.LET(_xlpm.r, _xlfn.XLOOKUP(Clean_Data[[#This Row],[Country_Code]], Metadata_Country!$A:$A, Metadata_Country!$B:$B, "Unknown"), IF(OR(_xlpm.r=0, _xlpm.r=""), "Regional Aggregate", _xlpm.r))</f>
        <v>Europe &amp; Central Asia</v>
      </c>
      <c r="G3526" s="4" t="str">
        <f>_xlfn.LET(_xlpm.ig, _xlfn.XLOOKUP(Clean_Data[[#This Row],[Country_Code]], Metadata_Country!$A:$A, Metadata_Country!$C:$C, "Unknown"), IF(OR(_xlpm.ig=0, _xlpm.ig=""), "Regional Aggregate", _xlpm.ig))</f>
        <v>High income</v>
      </c>
      <c r="H3526" s="4">
        <f>Clean_Data[[#This Row],[Exports_TIV]] - Clean_Data[[#This Row],[Imports_TIV]]</f>
        <v>450000000</v>
      </c>
      <c r="I3526" s="4">
        <f>Clean_Data[[#This Row],[Exports_TIV]] + Clean_Data[[#This Row],[Imports_TIV]]</f>
        <v>582000000</v>
      </c>
    </row>
    <row r="3527" spans="1:9">
      <c r="A3527" s="4" t="s">
        <v>83</v>
      </c>
      <c r="B3527" s="4" t="s">
        <v>84</v>
      </c>
      <c r="C3527" s="5">
        <v>2003</v>
      </c>
      <c r="D3527" s="4">
        <v>207000000</v>
      </c>
      <c r="E3527" s="4">
        <v>117000000</v>
      </c>
      <c r="F3527" s="4" t="str">
        <f>_xlfn.LET(_xlpm.r, _xlfn.XLOOKUP(Clean_Data[[#This Row],[Country_Code]], Metadata_Country!$A:$A, Metadata_Country!$B:$B, "Unknown"), IF(OR(_xlpm.r=0, _xlpm.r=""), "Regional Aggregate", _xlpm.r))</f>
        <v>Europe &amp; Central Asia</v>
      </c>
      <c r="G3527" s="4" t="str">
        <f>_xlfn.LET(_xlpm.ig, _xlfn.XLOOKUP(Clean_Data[[#This Row],[Country_Code]], Metadata_Country!$A:$A, Metadata_Country!$C:$C, "Unknown"), IF(OR(_xlpm.ig=0, _xlpm.ig=""), "Regional Aggregate", _xlpm.ig))</f>
        <v>High income</v>
      </c>
      <c r="H3527" s="4">
        <f>Clean_Data[[#This Row],[Exports_TIV]] - Clean_Data[[#This Row],[Imports_TIV]]</f>
        <v>90000000</v>
      </c>
      <c r="I3527" s="4">
        <f>Clean_Data[[#This Row],[Exports_TIV]] + Clean_Data[[#This Row],[Imports_TIV]]</f>
        <v>324000000</v>
      </c>
    </row>
    <row r="3528" spans="1:9">
      <c r="A3528" s="4" t="s">
        <v>463</v>
      </c>
      <c r="B3528" s="4" t="s">
        <v>464</v>
      </c>
      <c r="C3528" s="5">
        <v>2003</v>
      </c>
      <c r="D3528" s="4">
        <v>0</v>
      </c>
      <c r="E3528" s="4">
        <v>64000000</v>
      </c>
      <c r="F3528" s="4" t="str">
        <f>_xlfn.LET(_xlpm.r, _xlfn.XLOOKUP(Clean_Data[[#This Row],[Country_Code]], Metadata_Country!$A:$A, Metadata_Country!$B:$B, "Unknown"), IF(OR(_xlpm.r=0, _xlpm.r=""), "Regional Aggregate", _xlpm.r))</f>
        <v>Middle East &amp; North Africa</v>
      </c>
      <c r="G3528" s="4" t="str">
        <f>_xlfn.LET(_xlpm.ig, _xlfn.XLOOKUP(Clean_Data[[#This Row],[Country_Code]], Metadata_Country!$A:$A, Metadata_Country!$C:$C, "Unknown"), IF(OR(_xlpm.ig=0, _xlpm.ig=""), "Regional Aggregate", _xlpm.ig))</f>
        <v>Low income</v>
      </c>
      <c r="H3528" s="4">
        <f>Clean_Data[[#This Row],[Exports_TIV]] - Clean_Data[[#This Row],[Imports_TIV]]</f>
        <v>-64000000</v>
      </c>
      <c r="I3528" s="4">
        <f>Clean_Data[[#This Row],[Exports_TIV]] + Clean_Data[[#This Row],[Imports_TIV]]</f>
        <v>64000000</v>
      </c>
    </row>
    <row r="3529" spans="1:9">
      <c r="A3529" s="4" t="s">
        <v>501</v>
      </c>
      <c r="B3529" s="4" t="s">
        <v>502</v>
      </c>
      <c r="C3529" s="5">
        <v>2003</v>
      </c>
      <c r="D3529" s="4">
        <v>0</v>
      </c>
      <c r="E3529" s="4">
        <v>51000000</v>
      </c>
      <c r="F3529" s="4" t="str">
        <f>_xlfn.LET(_xlpm.r, _xlfn.XLOOKUP(Clean_Data[[#This Row],[Country_Code]], Metadata_Country!$A:$A, Metadata_Country!$B:$B, "Unknown"), IF(OR(_xlpm.r=0, _xlpm.r=""), "Regional Aggregate", _xlpm.r))</f>
        <v>Sub-Saharan Africa</v>
      </c>
      <c r="G3529" s="4" t="str">
        <f>_xlfn.LET(_xlpm.ig, _xlfn.XLOOKUP(Clean_Data[[#This Row],[Country_Code]], Metadata_Country!$A:$A, Metadata_Country!$C:$C, "Unknown"), IF(OR(_xlpm.ig=0, _xlpm.ig=""), "Regional Aggregate", _xlpm.ig))</f>
        <v>Lower middle income</v>
      </c>
      <c r="H3529" s="4">
        <f>Clean_Data[[#This Row],[Exports_TIV]] - Clean_Data[[#This Row],[Imports_TIV]]</f>
        <v>-51000000</v>
      </c>
      <c r="I3529" s="4">
        <f>Clean_Data[[#This Row],[Exports_TIV]] + Clean_Data[[#This Row],[Imports_TIV]]</f>
        <v>51000000</v>
      </c>
    </row>
    <row r="3530" spans="1:9">
      <c r="A3530" s="4" t="s">
        <v>475</v>
      </c>
      <c r="B3530" s="4" t="s">
        <v>476</v>
      </c>
      <c r="C3530" s="5">
        <v>2003</v>
      </c>
      <c r="D3530" s="4">
        <v>7000000</v>
      </c>
      <c r="E3530" s="4">
        <v>131000000</v>
      </c>
      <c r="F3530" s="4" t="str">
        <f>_xlfn.LET(_xlpm.r, _xlfn.XLOOKUP(Clean_Data[[#This Row],[Country_Code]], Metadata_Country!$A:$A, Metadata_Country!$B:$B, "Unknown"), IF(OR(_xlpm.r=0, _xlpm.r=""), "Regional Aggregate", _xlpm.r))</f>
        <v>East Asia &amp; Pacific</v>
      </c>
      <c r="G3530" s="4" t="str">
        <f>_xlfn.LET(_xlpm.ig, _xlfn.XLOOKUP(Clean_Data[[#This Row],[Country_Code]], Metadata_Country!$A:$A, Metadata_Country!$C:$C, "Unknown"), IF(OR(_xlpm.ig=0, _xlpm.ig=""), "Regional Aggregate", _xlpm.ig))</f>
        <v>Upper middle income</v>
      </c>
      <c r="H3530" s="4">
        <f>Clean_Data[[#This Row],[Exports_TIV]] - Clean_Data[[#This Row],[Imports_TIV]]</f>
        <v>-124000000</v>
      </c>
      <c r="I3530" s="4">
        <f>Clean_Data[[#This Row],[Exports_TIV]] + Clean_Data[[#This Row],[Imports_TIV]]</f>
        <v>138000000</v>
      </c>
    </row>
    <row r="3531" spans="1:9">
      <c r="A3531" s="4" t="s">
        <v>495</v>
      </c>
      <c r="B3531" s="4" t="s">
        <v>496</v>
      </c>
      <c r="C3531" s="5">
        <v>2003</v>
      </c>
      <c r="D3531" s="4">
        <v>0</v>
      </c>
      <c r="E3531" s="4">
        <v>1000000</v>
      </c>
      <c r="F3531" s="4" t="str">
        <f>_xlfn.LET(_xlpm.r, _xlfn.XLOOKUP(Clean_Data[[#This Row],[Country_Code]], Metadata_Country!$A:$A, Metadata_Country!$B:$B, "Unknown"), IF(OR(_xlpm.r=0, _xlpm.r=""), "Regional Aggregate", _xlpm.r))</f>
        <v>Middle East &amp; North Africa</v>
      </c>
      <c r="G3531" s="4" t="str">
        <f>_xlfn.LET(_xlpm.ig, _xlfn.XLOOKUP(Clean_Data[[#This Row],[Country_Code]], Metadata_Country!$A:$A, Metadata_Country!$C:$C, "Unknown"), IF(OR(_xlpm.ig=0, _xlpm.ig=""), "Regional Aggregate", _xlpm.ig))</f>
        <v>Lower middle income</v>
      </c>
      <c r="H3531" s="4">
        <f>Clean_Data[[#This Row],[Exports_TIV]] - Clean_Data[[#This Row],[Imports_TIV]]</f>
        <v>-1000000</v>
      </c>
      <c r="I3531" s="4">
        <f>Clean_Data[[#This Row],[Exports_TIV]] + Clean_Data[[#This Row],[Imports_TIV]]</f>
        <v>1000000</v>
      </c>
    </row>
    <row r="3532" spans="1:9">
      <c r="A3532" s="4" t="s">
        <v>497</v>
      </c>
      <c r="B3532" s="4" t="s">
        <v>498</v>
      </c>
      <c r="C3532" s="5">
        <v>2003</v>
      </c>
      <c r="D3532" s="4">
        <v>45000000</v>
      </c>
      <c r="E3532" s="4">
        <v>327000000</v>
      </c>
      <c r="F3532" s="4" t="str">
        <f>_xlfn.LET(_xlpm.r, _xlfn.XLOOKUP(Clean_Data[[#This Row],[Country_Code]], Metadata_Country!$A:$A, Metadata_Country!$B:$B, "Unknown"), IF(OR(_xlpm.r=0, _xlpm.r=""), "Regional Aggregate", _xlpm.r))</f>
        <v>Europe &amp; Central Asia</v>
      </c>
      <c r="G3532" s="4" t="str">
        <f>_xlfn.LET(_xlpm.ig, _xlfn.XLOOKUP(Clean_Data[[#This Row],[Country_Code]], Metadata_Country!$A:$A, Metadata_Country!$C:$C, "Unknown"), IF(OR(_xlpm.ig=0, _xlpm.ig=""), "Regional Aggregate", _xlpm.ig))</f>
        <v>Upper middle income</v>
      </c>
      <c r="H3532" s="4">
        <f>Clean_Data[[#This Row],[Exports_TIV]] - Clean_Data[[#This Row],[Imports_TIV]]</f>
        <v>-282000000</v>
      </c>
      <c r="I3532" s="4">
        <f>Clean_Data[[#This Row],[Exports_TIV]] + Clean_Data[[#This Row],[Imports_TIV]]</f>
        <v>372000000</v>
      </c>
    </row>
    <row r="3533" spans="1:9">
      <c r="A3533" s="4" t="s">
        <v>479</v>
      </c>
      <c r="B3533" s="4" t="s">
        <v>480</v>
      </c>
      <c r="C3533" s="5">
        <v>2003</v>
      </c>
      <c r="D3533" s="4">
        <v>0</v>
      </c>
      <c r="E3533" s="4">
        <v>18000000</v>
      </c>
      <c r="F3533" s="4" t="str">
        <f>_xlfn.LET(_xlpm.r, _xlfn.XLOOKUP(Clean_Data[[#This Row],[Country_Code]], Metadata_Country!$A:$A, Metadata_Country!$B:$B, "Unknown"), IF(OR(_xlpm.r=0, _xlpm.r=""), "Regional Aggregate", _xlpm.r))</f>
        <v>Europe &amp; Central Asia</v>
      </c>
      <c r="G3533" s="4" t="str">
        <f>_xlfn.LET(_xlpm.ig, _xlfn.XLOOKUP(Clean_Data[[#This Row],[Country_Code]], Metadata_Country!$A:$A, Metadata_Country!$C:$C, "Unknown"), IF(OR(_xlpm.ig=0, _xlpm.ig=""), "Regional Aggregate", _xlpm.ig))</f>
        <v>Upper middle income</v>
      </c>
      <c r="H3533" s="4">
        <f>Clean_Data[[#This Row],[Exports_TIV]] - Clean_Data[[#This Row],[Imports_TIV]]</f>
        <v>-18000000</v>
      </c>
      <c r="I3533" s="4">
        <f>Clean_Data[[#This Row],[Exports_TIV]] + Clean_Data[[#This Row],[Imports_TIV]]</f>
        <v>18000000</v>
      </c>
    </row>
    <row r="3534" spans="1:9">
      <c r="A3534" s="4" t="s">
        <v>505</v>
      </c>
      <c r="B3534" s="4" t="s">
        <v>506</v>
      </c>
      <c r="C3534" s="5">
        <v>2003</v>
      </c>
      <c r="D3534" s="4">
        <v>313000000</v>
      </c>
      <c r="E3534" s="4">
        <v>0</v>
      </c>
      <c r="F3534" s="4" t="str">
        <f>_xlfn.LET(_xlpm.r, _xlfn.XLOOKUP(Clean_Data[[#This Row],[Country_Code]], Metadata_Country!$A:$A, Metadata_Country!$B:$B, "Unknown"), IF(OR(_xlpm.r=0, _xlpm.r=""), "Regional Aggregate", _xlpm.r))</f>
        <v>Europe &amp; Central Asia</v>
      </c>
      <c r="G3534" s="4" t="str">
        <f>_xlfn.LET(_xlpm.ig, _xlfn.XLOOKUP(Clean_Data[[#This Row],[Country_Code]], Metadata_Country!$A:$A, Metadata_Country!$C:$C, "Unknown"), IF(OR(_xlpm.ig=0, _xlpm.ig=""), "Regional Aggregate", _xlpm.ig))</f>
        <v>Upper middle income</v>
      </c>
      <c r="H3534" s="4">
        <f>Clean_Data[[#This Row],[Exports_TIV]] - Clean_Data[[#This Row],[Imports_TIV]]</f>
        <v>313000000</v>
      </c>
      <c r="I3534" s="4">
        <f>Clean_Data[[#This Row],[Exports_TIV]] + Clean_Data[[#This Row],[Imports_TIV]]</f>
        <v>313000000</v>
      </c>
    </row>
    <row r="3535" spans="1:9">
      <c r="A3535" s="4" t="s">
        <v>25</v>
      </c>
      <c r="B3535" s="4" t="s">
        <v>26</v>
      </c>
      <c r="C3535" s="5">
        <v>2003</v>
      </c>
      <c r="D3535" s="4">
        <v>0</v>
      </c>
      <c r="E3535" s="4">
        <v>676000000</v>
      </c>
      <c r="F3535" s="4" t="str">
        <f>_xlfn.LET(_xlpm.r, _xlfn.XLOOKUP(Clean_Data[[#This Row],[Country_Code]], Metadata_Country!$A:$A, Metadata_Country!$B:$B, "Unknown"), IF(OR(_xlpm.r=0, _xlpm.r=""), "Regional Aggregate", _xlpm.r))</f>
        <v>Middle East &amp; North Africa</v>
      </c>
      <c r="G3535" s="4" t="str">
        <f>_xlfn.LET(_xlpm.ig, _xlfn.XLOOKUP(Clean_Data[[#This Row],[Country_Code]], Metadata_Country!$A:$A, Metadata_Country!$C:$C, "Unknown"), IF(OR(_xlpm.ig=0, _xlpm.ig=""), "Regional Aggregate", _xlpm.ig))</f>
        <v>High income</v>
      </c>
      <c r="H3535" s="4">
        <f>Clean_Data[[#This Row],[Exports_TIV]] - Clean_Data[[#This Row],[Imports_TIV]]</f>
        <v>-676000000</v>
      </c>
      <c r="I3535" s="4">
        <f>Clean_Data[[#This Row],[Exports_TIV]] + Clean_Data[[#This Row],[Imports_TIV]]</f>
        <v>676000000</v>
      </c>
    </row>
    <row r="3536" spans="1:9">
      <c r="A3536" s="4" t="s">
        <v>171</v>
      </c>
      <c r="B3536" s="4" t="s">
        <v>172</v>
      </c>
      <c r="C3536" s="5">
        <v>2003</v>
      </c>
      <c r="D3536" s="4">
        <v>769000000</v>
      </c>
      <c r="E3536" s="4">
        <v>770000000</v>
      </c>
      <c r="F3536" s="4" t="str">
        <f>_xlfn.LET(_xlpm.r, _xlfn.XLOOKUP(Clean_Data[[#This Row],[Country_Code]], Metadata_Country!$A:$A, Metadata_Country!$B:$B, "Unknown"), IF(OR(_xlpm.r=0, _xlpm.r=""), "Regional Aggregate", _xlpm.r))</f>
        <v>Europe &amp; Central Asia</v>
      </c>
      <c r="G3536" s="4" t="str">
        <f>_xlfn.LET(_xlpm.ig, _xlfn.XLOOKUP(Clean_Data[[#This Row],[Country_Code]], Metadata_Country!$A:$A, Metadata_Country!$C:$C, "Unknown"), IF(OR(_xlpm.ig=0, _xlpm.ig=""), "Regional Aggregate", _xlpm.ig))</f>
        <v>High income</v>
      </c>
      <c r="H3536" s="4">
        <f>Clean_Data[[#This Row],[Exports_TIV]] - Clean_Data[[#This Row],[Imports_TIV]]</f>
        <v>-1000000</v>
      </c>
      <c r="I3536" s="4">
        <f>Clean_Data[[#This Row],[Exports_TIV]] + Clean_Data[[#This Row],[Imports_TIV]]</f>
        <v>1539000000</v>
      </c>
    </row>
    <row r="3537" spans="1:9">
      <c r="A3537" s="4" t="s">
        <v>511</v>
      </c>
      <c r="B3537" s="4" t="s">
        <v>512</v>
      </c>
      <c r="C3537" s="5">
        <v>2003</v>
      </c>
      <c r="D3537" s="4">
        <v>5684000000</v>
      </c>
      <c r="E3537" s="4">
        <v>630000000</v>
      </c>
      <c r="F3537" s="4" t="str">
        <f>_xlfn.LET(_xlpm.r, _xlfn.XLOOKUP(Clean_Data[[#This Row],[Country_Code]], Metadata_Country!$A:$A, Metadata_Country!$B:$B, "Unknown"), IF(OR(_xlpm.r=0, _xlpm.r=""), "Regional Aggregate", _xlpm.r))</f>
        <v>North America</v>
      </c>
      <c r="G3537" s="4" t="str">
        <f>_xlfn.LET(_xlpm.ig, _xlfn.XLOOKUP(Clean_Data[[#This Row],[Country_Code]], Metadata_Country!$A:$A, Metadata_Country!$C:$C, "Unknown"), IF(OR(_xlpm.ig=0, _xlpm.ig=""), "Regional Aggregate", _xlpm.ig))</f>
        <v>High income</v>
      </c>
      <c r="H3537" s="4">
        <f>Clean_Data[[#This Row],[Exports_TIV]] - Clean_Data[[#This Row],[Imports_TIV]]</f>
        <v>5054000000</v>
      </c>
      <c r="I3537" s="4">
        <f>Clean_Data[[#This Row],[Exports_TIV]] + Clean_Data[[#This Row],[Imports_TIV]]</f>
        <v>6314000000</v>
      </c>
    </row>
    <row r="3538" spans="1:9">
      <c r="A3538" s="4" t="s">
        <v>507</v>
      </c>
      <c r="B3538" s="4" t="s">
        <v>508</v>
      </c>
      <c r="C3538" s="5">
        <v>2003</v>
      </c>
      <c r="D3538" s="4">
        <v>0</v>
      </c>
      <c r="E3538" s="4">
        <v>4520000000</v>
      </c>
      <c r="F3538" s="4" t="str">
        <f>_xlfn.LET(_xlpm.r, _xlfn.XLOOKUP(Clean_Data[[#This Row],[Country_Code]], Metadata_Country!$A:$A, Metadata_Country!$B:$B, "Unknown"), IF(OR(_xlpm.r=0, _xlpm.r=""), "Regional Aggregate", _xlpm.r))</f>
        <v>Regional Aggregate</v>
      </c>
      <c r="G3538" s="4" t="str">
        <f>_xlfn.LET(_xlpm.ig, _xlfn.XLOOKUP(Clean_Data[[#This Row],[Country_Code]], Metadata_Country!$A:$A, Metadata_Country!$C:$C, "Unknown"), IF(OR(_xlpm.ig=0, _xlpm.ig=""), "Regional Aggregate", _xlpm.ig))</f>
        <v>Regional Aggregate</v>
      </c>
      <c r="H3538" s="4">
        <f>Clean_Data[[#This Row],[Exports_TIV]] - Clean_Data[[#This Row],[Imports_TIV]]</f>
        <v>-4520000000</v>
      </c>
      <c r="I3538" s="4">
        <f>Clean_Data[[#This Row],[Exports_TIV]] + Clean_Data[[#This Row],[Imports_TIV]]</f>
        <v>4520000000</v>
      </c>
    </row>
    <row r="3539" spans="1:9">
      <c r="A3539" s="4" t="s">
        <v>513</v>
      </c>
      <c r="B3539" s="4" t="s">
        <v>514</v>
      </c>
      <c r="C3539" s="5">
        <v>2003</v>
      </c>
      <c r="D3539" s="4">
        <v>252000000</v>
      </c>
      <c r="E3539" s="4">
        <v>0</v>
      </c>
      <c r="F3539" s="4" t="str">
        <f>_xlfn.LET(_xlpm.r, _xlfn.XLOOKUP(Clean_Data[[#This Row],[Country_Code]], Metadata_Country!$A:$A, Metadata_Country!$B:$B, "Unknown"), IF(OR(_xlpm.r=0, _xlpm.r=""), "Regional Aggregate", _xlpm.r))</f>
        <v>Europe &amp; Central Asia</v>
      </c>
      <c r="G3539" s="4" t="str">
        <f>_xlfn.LET(_xlpm.ig, _xlfn.XLOOKUP(Clean_Data[[#This Row],[Country_Code]], Metadata_Country!$A:$A, Metadata_Country!$C:$C, "Unknown"), IF(OR(_xlpm.ig=0, _xlpm.ig=""), "Regional Aggregate", _xlpm.ig))</f>
        <v>Lower middle income</v>
      </c>
      <c r="H3539" s="4">
        <f>Clean_Data[[#This Row],[Exports_TIV]] - Clean_Data[[#This Row],[Imports_TIV]]</f>
        <v>252000000</v>
      </c>
      <c r="I3539" s="4">
        <f>Clean_Data[[#This Row],[Exports_TIV]] + Clean_Data[[#This Row],[Imports_TIV]]</f>
        <v>252000000</v>
      </c>
    </row>
    <row r="3540" spans="1:9">
      <c r="A3540" s="4" t="s">
        <v>517</v>
      </c>
      <c r="B3540" s="4" t="s">
        <v>518</v>
      </c>
      <c r="C3540" s="5">
        <v>2003</v>
      </c>
      <c r="D3540" s="4">
        <v>0</v>
      </c>
      <c r="E3540" s="4">
        <v>15000000</v>
      </c>
      <c r="F3540" s="4" t="str">
        <f>_xlfn.LET(_xlpm.r, _xlfn.XLOOKUP(Clean_Data[[#This Row],[Country_Code]], Metadata_Country!$A:$A, Metadata_Country!$B:$B, "Unknown"), IF(OR(_xlpm.r=0, _xlpm.r=""), "Regional Aggregate", _xlpm.r))</f>
        <v>Latin America &amp; Caribbean</v>
      </c>
      <c r="G3540" s="4" t="str">
        <f>_xlfn.LET(_xlpm.ig, _xlfn.XLOOKUP(Clean_Data[[#This Row],[Country_Code]], Metadata_Country!$A:$A, Metadata_Country!$C:$C, "Unknown"), IF(OR(_xlpm.ig=0, _xlpm.ig=""), "Regional Aggregate", _xlpm.ig))</f>
        <v>Lower middle income</v>
      </c>
      <c r="H3540" s="4">
        <f>Clean_Data[[#This Row],[Exports_TIV]] - Clean_Data[[#This Row],[Imports_TIV]]</f>
        <v>-15000000</v>
      </c>
      <c r="I3540" s="4">
        <f>Clean_Data[[#This Row],[Exports_TIV]] + Clean_Data[[#This Row],[Imports_TIV]]</f>
        <v>15000000</v>
      </c>
    </row>
    <row r="3541" spans="1:9">
      <c r="A3541" s="4" t="s">
        <v>523</v>
      </c>
      <c r="B3541" s="4" t="s">
        <v>524</v>
      </c>
      <c r="C3541" s="5">
        <v>2003</v>
      </c>
      <c r="D3541" s="4">
        <v>0</v>
      </c>
      <c r="E3541" s="4">
        <v>22000000</v>
      </c>
      <c r="F3541" s="4" t="str">
        <f>_xlfn.LET(_xlpm.r, _xlfn.XLOOKUP(Clean_Data[[#This Row],[Country_Code]], Metadata_Country!$A:$A, Metadata_Country!$B:$B, "Unknown"), IF(OR(_xlpm.r=0, _xlpm.r=""), "Regional Aggregate", _xlpm.r))</f>
        <v>East Asia &amp; Pacific</v>
      </c>
      <c r="G3541" s="4" t="str">
        <f>_xlfn.LET(_xlpm.ig, _xlfn.XLOOKUP(Clean_Data[[#This Row],[Country_Code]], Metadata_Country!$A:$A, Metadata_Country!$C:$C, "Unknown"), IF(OR(_xlpm.ig=0, _xlpm.ig=""), "Regional Aggregate", _xlpm.ig))</f>
        <v>Upper middle income</v>
      </c>
      <c r="H3541" s="4">
        <f>Clean_Data[[#This Row],[Exports_TIV]] - Clean_Data[[#This Row],[Imports_TIV]]</f>
        <v>-22000000</v>
      </c>
      <c r="I3541" s="4">
        <f>Clean_Data[[#This Row],[Exports_TIV]] + Clean_Data[[#This Row],[Imports_TIV]]</f>
        <v>22000000</v>
      </c>
    </row>
    <row r="3542" spans="1:9">
      <c r="A3542" s="4" t="s">
        <v>527</v>
      </c>
      <c r="B3542" s="4" t="s">
        <v>528</v>
      </c>
      <c r="C3542" s="5">
        <v>2003</v>
      </c>
      <c r="D3542" s="4">
        <v>19146000000</v>
      </c>
      <c r="E3542" s="4">
        <v>19145000000</v>
      </c>
      <c r="F3542" s="4" t="str">
        <f>_xlfn.LET(_xlpm.r, _xlfn.XLOOKUP(Clean_Data[[#This Row],[Country_Code]], Metadata_Country!$A:$A, Metadata_Country!$B:$B, "Unknown"), IF(OR(_xlpm.r=0, _xlpm.r=""), "Regional Aggregate", _xlpm.r))</f>
        <v>Regional Aggregate</v>
      </c>
      <c r="G3542" s="4" t="str">
        <f>_xlfn.LET(_xlpm.ig, _xlfn.XLOOKUP(Clean_Data[[#This Row],[Country_Code]], Metadata_Country!$A:$A, Metadata_Country!$C:$C, "Unknown"), IF(OR(_xlpm.ig=0, _xlpm.ig=""), "Regional Aggregate", _xlpm.ig))</f>
        <v>Regional Aggregate</v>
      </c>
      <c r="H3542" s="4">
        <f>Clean_Data[[#This Row],[Exports_TIV]] - Clean_Data[[#This Row],[Imports_TIV]]</f>
        <v>1000000</v>
      </c>
      <c r="I3542" s="4">
        <f>Clean_Data[[#This Row],[Exports_TIV]] + Clean_Data[[#This Row],[Imports_TIV]]</f>
        <v>38291000000</v>
      </c>
    </row>
    <row r="3543" spans="1:9">
      <c r="A3543" s="4" t="s">
        <v>533</v>
      </c>
      <c r="B3543" s="4" t="s">
        <v>534</v>
      </c>
      <c r="C3543" s="5">
        <v>2003</v>
      </c>
      <c r="D3543" s="4">
        <v>0</v>
      </c>
      <c r="E3543" s="4">
        <v>58000000</v>
      </c>
      <c r="F3543" s="4" t="str">
        <f>_xlfn.LET(_xlpm.r, _xlfn.XLOOKUP(Clean_Data[[#This Row],[Country_Code]], Metadata_Country!$A:$A, Metadata_Country!$B:$B, "Unknown"), IF(OR(_xlpm.r=0, _xlpm.r=""), "Regional Aggregate", _xlpm.r))</f>
        <v>Middle East &amp; North Africa</v>
      </c>
      <c r="G3543" s="4" t="str">
        <f>_xlfn.LET(_xlpm.ig, _xlfn.XLOOKUP(Clean_Data[[#This Row],[Country_Code]], Metadata_Country!$A:$A, Metadata_Country!$C:$C, "Unknown"), IF(OR(_xlpm.ig=0, _xlpm.ig=""), "Regional Aggregate", _xlpm.ig))</f>
        <v>Low income</v>
      </c>
      <c r="H3543" s="4">
        <f>Clean_Data[[#This Row],[Exports_TIV]] - Clean_Data[[#This Row],[Imports_TIV]]</f>
        <v>-58000000</v>
      </c>
      <c r="I3543" s="4">
        <f>Clean_Data[[#This Row],[Exports_TIV]] + Clean_Data[[#This Row],[Imports_TIV]]</f>
        <v>58000000</v>
      </c>
    </row>
    <row r="3544" spans="1:9">
      <c r="A3544" s="4" t="s">
        <v>539</v>
      </c>
      <c r="B3544" s="4" t="s">
        <v>540</v>
      </c>
      <c r="C3544" s="5">
        <v>2003</v>
      </c>
      <c r="D3544" s="4">
        <v>0</v>
      </c>
      <c r="E3544" s="4">
        <v>16000000</v>
      </c>
      <c r="F3544" s="4" t="str">
        <f>_xlfn.LET(_xlpm.r, _xlfn.XLOOKUP(Clean_Data[[#This Row],[Country_Code]], Metadata_Country!$A:$A, Metadata_Country!$B:$B, "Unknown"), IF(OR(_xlpm.r=0, _xlpm.r=""), "Regional Aggregate", _xlpm.r))</f>
        <v>Sub-Saharan Africa</v>
      </c>
      <c r="G3544" s="4" t="str">
        <f>_xlfn.LET(_xlpm.ig, _xlfn.XLOOKUP(Clean_Data[[#This Row],[Country_Code]], Metadata_Country!$A:$A, Metadata_Country!$C:$C, "Unknown"), IF(OR(_xlpm.ig=0, _xlpm.ig=""), "Regional Aggregate", _xlpm.ig))</f>
        <v>Lower middle income</v>
      </c>
      <c r="H3544" s="4">
        <f>Clean_Data[[#This Row],[Exports_TIV]] - Clean_Data[[#This Row],[Imports_TIV]]</f>
        <v>-16000000</v>
      </c>
      <c r="I3544" s="4">
        <f>Clean_Data[[#This Row],[Exports_TIV]] + Clean_Data[[#This Row],[Imports_TIV]]</f>
        <v>16000000</v>
      </c>
    </row>
    <row r="3545" spans="1:9">
      <c r="A3545" s="4" t="s">
        <v>13</v>
      </c>
      <c r="B3545" s="4" t="s">
        <v>14</v>
      </c>
      <c r="C3545" s="5">
        <v>2002</v>
      </c>
      <c r="D3545" s="4">
        <v>0</v>
      </c>
      <c r="E3545" s="4">
        <v>34000000</v>
      </c>
      <c r="F3545" s="4" t="str">
        <f>_xlfn.LET(_xlpm.r, _xlfn.XLOOKUP(Clean_Data[[#This Row],[Country_Code]], Metadata_Country!$A:$A, Metadata_Country!$B:$B, "Unknown"), IF(OR(_xlpm.r=0, _xlpm.r=""), "Regional Aggregate", _xlpm.r))</f>
        <v>Middle East &amp; North Africa</v>
      </c>
      <c r="G3545" s="4" t="str">
        <f>_xlfn.LET(_xlpm.ig, _xlfn.XLOOKUP(Clean_Data[[#This Row],[Country_Code]], Metadata_Country!$A:$A, Metadata_Country!$C:$C, "Unknown"), IF(OR(_xlpm.ig=0, _xlpm.ig=""), "Regional Aggregate", _xlpm.ig))</f>
        <v>Low income</v>
      </c>
      <c r="H3545" s="4">
        <f>Clean_Data[[#This Row],[Exports_TIV]] - Clean_Data[[#This Row],[Imports_TIV]]</f>
        <v>-34000000</v>
      </c>
      <c r="I3545" s="4">
        <f>Clean_Data[[#This Row],[Exports_TIV]] + Clean_Data[[#This Row],[Imports_TIV]]</f>
        <v>34000000</v>
      </c>
    </row>
    <row r="3546" spans="1:9">
      <c r="A3546" s="4" t="s">
        <v>11</v>
      </c>
      <c r="B3546" s="4" t="s">
        <v>12</v>
      </c>
      <c r="C3546" s="5">
        <v>2002</v>
      </c>
      <c r="D3546" s="4">
        <v>24000000</v>
      </c>
      <c r="E3546" s="4">
        <v>0</v>
      </c>
      <c r="F3546" s="4" t="str">
        <f>_xlfn.LET(_xlpm.r, _xlfn.XLOOKUP(Clean_Data[[#This Row],[Country_Code]], Metadata_Country!$A:$A, Metadata_Country!$B:$B, "Unknown"), IF(OR(_xlpm.r=0, _xlpm.r=""), "Regional Aggregate", _xlpm.r))</f>
        <v>Regional Aggregate</v>
      </c>
      <c r="G3546" s="4" t="str">
        <f>_xlfn.LET(_xlpm.ig, _xlfn.XLOOKUP(Clean_Data[[#This Row],[Country_Code]], Metadata_Country!$A:$A, Metadata_Country!$C:$C, "Unknown"), IF(OR(_xlpm.ig=0, _xlpm.ig=""), "Regional Aggregate", _xlpm.ig))</f>
        <v>Regional Aggregate</v>
      </c>
      <c r="H3546" s="4">
        <f>Clean_Data[[#This Row],[Exports_TIV]] - Clean_Data[[#This Row],[Imports_TIV]]</f>
        <v>24000000</v>
      </c>
      <c r="I3546" s="4">
        <f>Clean_Data[[#This Row],[Exports_TIV]] + Clean_Data[[#This Row],[Imports_TIV]]</f>
        <v>24000000</v>
      </c>
    </row>
    <row r="3547" spans="1:9">
      <c r="A3547" s="4" t="s">
        <v>15</v>
      </c>
      <c r="B3547" s="4" t="s">
        <v>16</v>
      </c>
      <c r="C3547" s="5">
        <v>2002</v>
      </c>
      <c r="D3547" s="4">
        <v>0</v>
      </c>
      <c r="E3547" s="4">
        <v>84000000</v>
      </c>
      <c r="F3547" s="4" t="str">
        <f>_xlfn.LET(_xlpm.r, _xlfn.XLOOKUP(Clean_Data[[#This Row],[Country_Code]], Metadata_Country!$A:$A, Metadata_Country!$B:$B, "Unknown"), IF(OR(_xlpm.r=0, _xlpm.r=""), "Regional Aggregate", _xlpm.r))</f>
        <v>Regional Aggregate</v>
      </c>
      <c r="G3547" s="4" t="str">
        <f>_xlfn.LET(_xlpm.ig, _xlfn.XLOOKUP(Clean_Data[[#This Row],[Country_Code]], Metadata_Country!$A:$A, Metadata_Country!$C:$C, "Unknown"), IF(OR(_xlpm.ig=0, _xlpm.ig=""), "Regional Aggregate", _xlpm.ig))</f>
        <v>Regional Aggregate</v>
      </c>
      <c r="H3547" s="4">
        <f>Clean_Data[[#This Row],[Exports_TIV]] - Clean_Data[[#This Row],[Imports_TIV]]</f>
        <v>-84000000</v>
      </c>
      <c r="I3547" s="4">
        <f>Clean_Data[[#This Row],[Exports_TIV]] + Clean_Data[[#This Row],[Imports_TIV]]</f>
        <v>84000000</v>
      </c>
    </row>
    <row r="3548" spans="1:9">
      <c r="A3548" s="4" t="s">
        <v>129</v>
      </c>
      <c r="B3548" s="4" t="s">
        <v>130</v>
      </c>
      <c r="C3548" s="5">
        <v>2002</v>
      </c>
      <c r="D3548" s="4">
        <v>0</v>
      </c>
      <c r="E3548" s="4">
        <v>252000000</v>
      </c>
      <c r="F3548" s="4" t="str">
        <f>_xlfn.LET(_xlpm.r, _xlfn.XLOOKUP(Clean_Data[[#This Row],[Country_Code]], Metadata_Country!$A:$A, Metadata_Country!$B:$B, "Unknown"), IF(OR(_xlpm.r=0, _xlpm.r=""), "Regional Aggregate", _xlpm.r))</f>
        <v>Middle East &amp; North Africa</v>
      </c>
      <c r="G3548" s="4" t="str">
        <f>_xlfn.LET(_xlpm.ig, _xlfn.XLOOKUP(Clean_Data[[#This Row],[Country_Code]], Metadata_Country!$A:$A, Metadata_Country!$C:$C, "Unknown"), IF(OR(_xlpm.ig=0, _xlpm.ig=""), "Regional Aggregate", _xlpm.ig))</f>
        <v>Upper middle income</v>
      </c>
      <c r="H3548" s="4">
        <f>Clean_Data[[#This Row],[Exports_TIV]] - Clean_Data[[#This Row],[Imports_TIV]]</f>
        <v>-252000000</v>
      </c>
      <c r="I3548" s="4">
        <f>Clean_Data[[#This Row],[Exports_TIV]] + Clean_Data[[#This Row],[Imports_TIV]]</f>
        <v>252000000</v>
      </c>
    </row>
    <row r="3549" spans="1:9">
      <c r="A3549" s="4" t="s">
        <v>17</v>
      </c>
      <c r="B3549" s="4" t="s">
        <v>18</v>
      </c>
      <c r="C3549" s="5">
        <v>2002</v>
      </c>
      <c r="D3549" s="4">
        <v>2000000</v>
      </c>
      <c r="E3549" s="4">
        <v>148000000</v>
      </c>
      <c r="F3549" s="4" t="str">
        <f>_xlfn.LET(_xlpm.r, _xlfn.XLOOKUP(Clean_Data[[#This Row],[Country_Code]], Metadata_Country!$A:$A, Metadata_Country!$B:$B, "Unknown"), IF(OR(_xlpm.r=0, _xlpm.r=""), "Regional Aggregate", _xlpm.r))</f>
        <v>Sub-Saharan Africa</v>
      </c>
      <c r="G3549" s="4" t="str">
        <f>_xlfn.LET(_xlpm.ig, _xlfn.XLOOKUP(Clean_Data[[#This Row],[Country_Code]], Metadata_Country!$A:$A, Metadata_Country!$C:$C, "Unknown"), IF(OR(_xlpm.ig=0, _xlpm.ig=""), "Regional Aggregate", _xlpm.ig))</f>
        <v>Lower middle income</v>
      </c>
      <c r="H3549" s="4">
        <f>Clean_Data[[#This Row],[Exports_TIV]] - Clean_Data[[#This Row],[Imports_TIV]]</f>
        <v>-146000000</v>
      </c>
      <c r="I3549" s="4">
        <f>Clean_Data[[#This Row],[Exports_TIV]] + Clean_Data[[#This Row],[Imports_TIV]]</f>
        <v>150000000</v>
      </c>
    </row>
    <row r="3550" spans="1:9">
      <c r="A3550" s="4" t="s">
        <v>23</v>
      </c>
      <c r="B3550" s="4" t="s">
        <v>24</v>
      </c>
      <c r="C3550" s="5">
        <v>2002</v>
      </c>
      <c r="D3550" s="4">
        <v>0</v>
      </c>
      <c r="E3550" s="4">
        <v>2901000000</v>
      </c>
      <c r="F3550" s="4" t="str">
        <f>_xlfn.LET(_xlpm.r, _xlfn.XLOOKUP(Clean_Data[[#This Row],[Country_Code]], Metadata_Country!$A:$A, Metadata_Country!$B:$B, "Unknown"), IF(OR(_xlpm.r=0, _xlpm.r=""), "Regional Aggregate", _xlpm.r))</f>
        <v>Regional Aggregate</v>
      </c>
      <c r="G3550" s="4" t="str">
        <f>_xlfn.LET(_xlpm.ig, _xlfn.XLOOKUP(Clean_Data[[#This Row],[Country_Code]], Metadata_Country!$A:$A, Metadata_Country!$C:$C, "Unknown"), IF(OR(_xlpm.ig=0, _xlpm.ig=""), "Regional Aggregate", _xlpm.ig))</f>
        <v>Regional Aggregate</v>
      </c>
      <c r="H3550" s="4">
        <f>Clean_Data[[#This Row],[Exports_TIV]] - Clean_Data[[#This Row],[Imports_TIV]]</f>
        <v>-2901000000</v>
      </c>
      <c r="I3550" s="4">
        <f>Clean_Data[[#This Row],[Exports_TIV]] + Clean_Data[[#This Row],[Imports_TIV]]</f>
        <v>2901000000</v>
      </c>
    </row>
    <row r="3551" spans="1:9">
      <c r="A3551" s="4" t="s">
        <v>27</v>
      </c>
      <c r="B3551" s="4" t="s">
        <v>28</v>
      </c>
      <c r="C3551" s="5">
        <v>2002</v>
      </c>
      <c r="D3551" s="4">
        <v>2000000</v>
      </c>
      <c r="E3551" s="4">
        <v>15000000</v>
      </c>
      <c r="F3551" s="4" t="str">
        <f>_xlfn.LET(_xlpm.r, _xlfn.XLOOKUP(Clean_Data[[#This Row],[Country_Code]], Metadata_Country!$A:$A, Metadata_Country!$B:$B, "Unknown"), IF(OR(_xlpm.r=0, _xlpm.r=""), "Regional Aggregate", _xlpm.r))</f>
        <v>Latin America &amp; Caribbean</v>
      </c>
      <c r="G3551" s="4" t="str">
        <f>_xlfn.LET(_xlpm.ig, _xlfn.XLOOKUP(Clean_Data[[#This Row],[Country_Code]], Metadata_Country!$A:$A, Metadata_Country!$C:$C, "Unknown"), IF(OR(_xlpm.ig=0, _xlpm.ig=""), "Regional Aggregate", _xlpm.ig))</f>
        <v>Upper middle income</v>
      </c>
      <c r="H3551" s="4">
        <f>Clean_Data[[#This Row],[Exports_TIV]] - Clean_Data[[#This Row],[Imports_TIV]]</f>
        <v>-13000000</v>
      </c>
      <c r="I3551" s="4">
        <f>Clean_Data[[#This Row],[Exports_TIV]] + Clean_Data[[#This Row],[Imports_TIV]]</f>
        <v>17000000</v>
      </c>
    </row>
    <row r="3552" spans="1:9">
      <c r="A3552" s="4" t="s">
        <v>35</v>
      </c>
      <c r="B3552" s="4" t="s">
        <v>36</v>
      </c>
      <c r="C3552" s="5">
        <v>2002</v>
      </c>
      <c r="D3552" s="4">
        <v>47000000</v>
      </c>
      <c r="E3552" s="4">
        <v>638000000</v>
      </c>
      <c r="F3552" s="4" t="str">
        <f>_xlfn.LET(_xlpm.r, _xlfn.XLOOKUP(Clean_Data[[#This Row],[Country_Code]], Metadata_Country!$A:$A, Metadata_Country!$B:$B, "Unknown"), IF(OR(_xlpm.r=0, _xlpm.r=""), "Regional Aggregate", _xlpm.r))</f>
        <v>East Asia &amp; Pacific</v>
      </c>
      <c r="G3552" s="4" t="str">
        <f>_xlfn.LET(_xlpm.ig, _xlfn.XLOOKUP(Clean_Data[[#This Row],[Country_Code]], Metadata_Country!$A:$A, Metadata_Country!$C:$C, "Unknown"), IF(OR(_xlpm.ig=0, _xlpm.ig=""), "Regional Aggregate", _xlpm.ig))</f>
        <v>High income</v>
      </c>
      <c r="H3552" s="4">
        <f>Clean_Data[[#This Row],[Exports_TIV]] - Clean_Data[[#This Row],[Imports_TIV]]</f>
        <v>-591000000</v>
      </c>
      <c r="I3552" s="4">
        <f>Clean_Data[[#This Row],[Exports_TIV]] + Clean_Data[[#This Row],[Imports_TIV]]</f>
        <v>685000000</v>
      </c>
    </row>
    <row r="3553" spans="1:9">
      <c r="A3553" s="4" t="s">
        <v>37</v>
      </c>
      <c r="B3553" s="4" t="s">
        <v>38</v>
      </c>
      <c r="C3553" s="5">
        <v>2002</v>
      </c>
      <c r="D3553" s="4">
        <v>83000000</v>
      </c>
      <c r="E3553" s="4">
        <v>81000000</v>
      </c>
      <c r="F3553" s="4" t="str">
        <f>_xlfn.LET(_xlpm.r, _xlfn.XLOOKUP(Clean_Data[[#This Row],[Country_Code]], Metadata_Country!$A:$A, Metadata_Country!$B:$B, "Unknown"), IF(OR(_xlpm.r=0, _xlpm.r=""), "Regional Aggregate", _xlpm.r))</f>
        <v>Europe &amp; Central Asia</v>
      </c>
      <c r="G3553" s="4" t="str">
        <f>_xlfn.LET(_xlpm.ig, _xlfn.XLOOKUP(Clean_Data[[#This Row],[Country_Code]], Metadata_Country!$A:$A, Metadata_Country!$C:$C, "Unknown"), IF(OR(_xlpm.ig=0, _xlpm.ig=""), "Regional Aggregate", _xlpm.ig))</f>
        <v>High income</v>
      </c>
      <c r="H3553" s="4">
        <f>Clean_Data[[#This Row],[Exports_TIV]] - Clean_Data[[#This Row],[Imports_TIV]]</f>
        <v>2000000</v>
      </c>
      <c r="I3553" s="4">
        <f>Clean_Data[[#This Row],[Exports_TIV]] + Clean_Data[[#This Row],[Imports_TIV]]</f>
        <v>164000000</v>
      </c>
    </row>
    <row r="3554" spans="1:9">
      <c r="A3554" s="4" t="s">
        <v>39</v>
      </c>
      <c r="B3554" s="4" t="s">
        <v>40</v>
      </c>
      <c r="C3554" s="5">
        <v>2002</v>
      </c>
      <c r="D3554" s="4">
        <v>0</v>
      </c>
      <c r="E3554" s="4">
        <v>89000000</v>
      </c>
      <c r="F3554" s="4" t="str">
        <f>_xlfn.LET(_xlpm.r, _xlfn.XLOOKUP(Clean_Data[[#This Row],[Country_Code]], Metadata_Country!$A:$A, Metadata_Country!$B:$B, "Unknown"), IF(OR(_xlpm.r=0, _xlpm.r=""), "Regional Aggregate", _xlpm.r))</f>
        <v>Europe &amp; Central Asia</v>
      </c>
      <c r="G3554" s="4" t="str">
        <f>_xlfn.LET(_xlpm.ig, _xlfn.XLOOKUP(Clean_Data[[#This Row],[Country_Code]], Metadata_Country!$A:$A, Metadata_Country!$C:$C, "Unknown"), IF(OR(_xlpm.ig=0, _xlpm.ig=""), "Regional Aggregate", _xlpm.ig))</f>
        <v>Upper middle income</v>
      </c>
      <c r="H3554" s="4">
        <f>Clean_Data[[#This Row],[Exports_TIV]] - Clean_Data[[#This Row],[Imports_TIV]]</f>
        <v>-89000000</v>
      </c>
      <c r="I3554" s="4">
        <f>Clean_Data[[#This Row],[Exports_TIV]] + Clean_Data[[#This Row],[Imports_TIV]]</f>
        <v>89000000</v>
      </c>
    </row>
    <row r="3555" spans="1:9">
      <c r="A3555" s="4" t="s">
        <v>53</v>
      </c>
      <c r="B3555" s="4" t="s">
        <v>54</v>
      </c>
      <c r="C3555" s="5">
        <v>2002</v>
      </c>
      <c r="D3555" s="4">
        <v>0</v>
      </c>
      <c r="E3555" s="4">
        <v>52000000</v>
      </c>
      <c r="F3555" s="4" t="str">
        <f>_xlfn.LET(_xlpm.r, _xlfn.XLOOKUP(Clean_Data[[#This Row],[Country_Code]], Metadata_Country!$A:$A, Metadata_Country!$B:$B, "Unknown"), IF(OR(_xlpm.r=0, _xlpm.r=""), "Regional Aggregate", _xlpm.r))</f>
        <v>Middle East &amp; North Africa</v>
      </c>
      <c r="G3555" s="4" t="str">
        <f>_xlfn.LET(_xlpm.ig, _xlfn.XLOOKUP(Clean_Data[[#This Row],[Country_Code]], Metadata_Country!$A:$A, Metadata_Country!$C:$C, "Unknown"), IF(OR(_xlpm.ig=0, _xlpm.ig=""), "Regional Aggregate", _xlpm.ig))</f>
        <v>High income</v>
      </c>
      <c r="H3555" s="4">
        <f>Clean_Data[[#This Row],[Exports_TIV]] - Clean_Data[[#This Row],[Imports_TIV]]</f>
        <v>-52000000</v>
      </c>
      <c r="I3555" s="4">
        <f>Clean_Data[[#This Row],[Exports_TIV]] + Clean_Data[[#This Row],[Imports_TIV]]</f>
        <v>52000000</v>
      </c>
    </row>
    <row r="3556" spans="1:9">
      <c r="A3556" s="4" t="s">
        <v>49</v>
      </c>
      <c r="B3556" s="4" t="s">
        <v>50</v>
      </c>
      <c r="C3556" s="5">
        <v>2002</v>
      </c>
      <c r="D3556" s="4">
        <v>0</v>
      </c>
      <c r="E3556" s="4">
        <v>37000000</v>
      </c>
      <c r="F3556" s="4" t="str">
        <f>_xlfn.LET(_xlpm.r, _xlfn.XLOOKUP(Clean_Data[[#This Row],[Country_Code]], Metadata_Country!$A:$A, Metadata_Country!$B:$B, "Unknown"), IF(OR(_xlpm.r=0, _xlpm.r=""), "Regional Aggregate", _xlpm.r))</f>
        <v>South Asia</v>
      </c>
      <c r="G3556" s="4" t="str">
        <f>_xlfn.LET(_xlpm.ig, _xlfn.XLOOKUP(Clean_Data[[#This Row],[Country_Code]], Metadata_Country!$A:$A, Metadata_Country!$C:$C, "Unknown"), IF(OR(_xlpm.ig=0, _xlpm.ig=""), "Regional Aggregate", _xlpm.ig))</f>
        <v>Lower middle income</v>
      </c>
      <c r="H3556" s="4">
        <f>Clean_Data[[#This Row],[Exports_TIV]] - Clean_Data[[#This Row],[Imports_TIV]]</f>
        <v>-37000000</v>
      </c>
      <c r="I3556" s="4">
        <f>Clean_Data[[#This Row],[Exports_TIV]] + Clean_Data[[#This Row],[Imports_TIV]]</f>
        <v>37000000</v>
      </c>
    </row>
    <row r="3557" spans="1:9">
      <c r="A3557" s="4" t="s">
        <v>59</v>
      </c>
      <c r="B3557" s="4" t="s">
        <v>60</v>
      </c>
      <c r="C3557" s="5">
        <v>2002</v>
      </c>
      <c r="D3557" s="4">
        <v>64000000</v>
      </c>
      <c r="E3557" s="4">
        <v>0</v>
      </c>
      <c r="F3557" s="4" t="str">
        <f>_xlfn.LET(_xlpm.r, _xlfn.XLOOKUP(Clean_Data[[#This Row],[Country_Code]], Metadata_Country!$A:$A, Metadata_Country!$B:$B, "Unknown"), IF(OR(_xlpm.r=0, _xlpm.r=""), "Regional Aggregate", _xlpm.r))</f>
        <v>Europe &amp; Central Asia</v>
      </c>
      <c r="G3557" s="4" t="str">
        <f>_xlfn.LET(_xlpm.ig, _xlfn.XLOOKUP(Clean_Data[[#This Row],[Country_Code]], Metadata_Country!$A:$A, Metadata_Country!$C:$C, "Unknown"), IF(OR(_xlpm.ig=0, _xlpm.ig=""), "Regional Aggregate", _xlpm.ig))</f>
        <v>Upper middle income</v>
      </c>
      <c r="H3557" s="4">
        <f>Clean_Data[[#This Row],[Exports_TIV]] - Clean_Data[[#This Row],[Imports_TIV]]</f>
        <v>64000000</v>
      </c>
      <c r="I3557" s="4">
        <f>Clean_Data[[#This Row],[Exports_TIV]] + Clean_Data[[#This Row],[Imports_TIV]]</f>
        <v>64000000</v>
      </c>
    </row>
    <row r="3558" spans="1:9">
      <c r="A3558" s="4" t="s">
        <v>43</v>
      </c>
      <c r="B3558" s="4" t="s">
        <v>44</v>
      </c>
      <c r="C3558" s="5">
        <v>2002</v>
      </c>
      <c r="D3558" s="4">
        <v>32000000</v>
      </c>
      <c r="E3558" s="4">
        <v>48000000</v>
      </c>
      <c r="F3558" s="4" t="str">
        <f>_xlfn.LET(_xlpm.r, _xlfn.XLOOKUP(Clean_Data[[#This Row],[Country_Code]], Metadata_Country!$A:$A, Metadata_Country!$B:$B, "Unknown"), IF(OR(_xlpm.r=0, _xlpm.r=""), "Regional Aggregate", _xlpm.r))</f>
        <v>Europe &amp; Central Asia</v>
      </c>
      <c r="G3558" s="4" t="str">
        <f>_xlfn.LET(_xlpm.ig, _xlfn.XLOOKUP(Clean_Data[[#This Row],[Country_Code]], Metadata_Country!$A:$A, Metadata_Country!$C:$C, "Unknown"), IF(OR(_xlpm.ig=0, _xlpm.ig=""), "Regional Aggregate", _xlpm.ig))</f>
        <v>High income</v>
      </c>
      <c r="H3558" s="4">
        <f>Clean_Data[[#This Row],[Exports_TIV]] - Clean_Data[[#This Row],[Imports_TIV]]</f>
        <v>-16000000</v>
      </c>
      <c r="I3558" s="4">
        <f>Clean_Data[[#This Row],[Exports_TIV]] + Clean_Data[[#This Row],[Imports_TIV]]</f>
        <v>80000000</v>
      </c>
    </row>
    <row r="3559" spans="1:9">
      <c r="A3559" s="4" t="s">
        <v>45</v>
      </c>
      <c r="B3559" s="4" t="s">
        <v>46</v>
      </c>
      <c r="C3559" s="5">
        <v>2002</v>
      </c>
      <c r="D3559" s="4">
        <v>0</v>
      </c>
      <c r="E3559" s="4">
        <v>7000000</v>
      </c>
      <c r="F3559" s="4" t="str">
        <f>_xlfn.LET(_xlpm.r, _xlfn.XLOOKUP(Clean_Data[[#This Row],[Country_Code]], Metadata_Country!$A:$A, Metadata_Country!$B:$B, "Unknown"), IF(OR(_xlpm.r=0, _xlpm.r=""), "Regional Aggregate", _xlpm.r))</f>
        <v>Sub-Saharan Africa</v>
      </c>
      <c r="G3559" s="4" t="str">
        <f>_xlfn.LET(_xlpm.ig, _xlfn.XLOOKUP(Clean_Data[[#This Row],[Country_Code]], Metadata_Country!$A:$A, Metadata_Country!$C:$C, "Unknown"), IF(OR(_xlpm.ig=0, _xlpm.ig=""), "Regional Aggregate", _xlpm.ig))</f>
        <v>Lower middle income</v>
      </c>
      <c r="H3559" s="4">
        <f>Clean_Data[[#This Row],[Exports_TIV]] - Clean_Data[[#This Row],[Imports_TIV]]</f>
        <v>-7000000</v>
      </c>
      <c r="I3559" s="4">
        <f>Clean_Data[[#This Row],[Exports_TIV]] + Clean_Data[[#This Row],[Imports_TIV]]</f>
        <v>7000000</v>
      </c>
    </row>
    <row r="3560" spans="1:9">
      <c r="A3560" s="4" t="s">
        <v>57</v>
      </c>
      <c r="B3560" s="4" t="s">
        <v>58</v>
      </c>
      <c r="C3560" s="5">
        <v>2002</v>
      </c>
      <c r="D3560" s="4">
        <v>9000000</v>
      </c>
      <c r="E3560" s="4">
        <v>0</v>
      </c>
      <c r="F3560" s="4" t="str">
        <f>_xlfn.LET(_xlpm.r, _xlfn.XLOOKUP(Clean_Data[[#This Row],[Country_Code]], Metadata_Country!$A:$A, Metadata_Country!$B:$B, "Unknown"), IF(OR(_xlpm.r=0, _xlpm.r=""), "Regional Aggregate", _xlpm.r))</f>
        <v>Europe &amp; Central Asia</v>
      </c>
      <c r="G3560" s="4" t="str">
        <f>_xlfn.LET(_xlpm.ig, _xlfn.XLOOKUP(Clean_Data[[#This Row],[Country_Code]], Metadata_Country!$A:$A, Metadata_Country!$C:$C, "Unknown"), IF(OR(_xlpm.ig=0, _xlpm.ig=""), "Regional Aggregate", _xlpm.ig))</f>
        <v>Upper middle income</v>
      </c>
      <c r="H3560" s="4">
        <f>Clean_Data[[#This Row],[Exports_TIV]] - Clean_Data[[#This Row],[Imports_TIV]]</f>
        <v>9000000</v>
      </c>
      <c r="I3560" s="4">
        <f>Clean_Data[[#This Row],[Exports_TIV]] + Clean_Data[[#This Row],[Imports_TIV]]</f>
        <v>9000000</v>
      </c>
    </row>
    <row r="3561" spans="1:9">
      <c r="A3561" s="4" t="s">
        <v>75</v>
      </c>
      <c r="B3561" s="4" t="s">
        <v>76</v>
      </c>
      <c r="C3561" s="5">
        <v>2002</v>
      </c>
      <c r="D3561" s="4">
        <v>0</v>
      </c>
      <c r="E3561" s="4">
        <v>1000000</v>
      </c>
      <c r="F3561" s="4" t="str">
        <f>_xlfn.LET(_xlpm.r, _xlfn.XLOOKUP(Clean_Data[[#This Row],[Country_Code]], Metadata_Country!$A:$A, Metadata_Country!$B:$B, "Unknown"), IF(OR(_xlpm.r=0, _xlpm.r=""), "Regional Aggregate", _xlpm.r))</f>
        <v>Sub-Saharan Africa</v>
      </c>
      <c r="G3561" s="4" t="str">
        <f>_xlfn.LET(_xlpm.ig, _xlfn.XLOOKUP(Clean_Data[[#This Row],[Country_Code]], Metadata_Country!$A:$A, Metadata_Country!$C:$C, "Unknown"), IF(OR(_xlpm.ig=0, _xlpm.ig=""), "Regional Aggregate", _xlpm.ig))</f>
        <v>Upper middle income</v>
      </c>
      <c r="H3561" s="4">
        <f>Clean_Data[[#This Row],[Exports_TIV]] - Clean_Data[[#This Row],[Imports_TIV]]</f>
        <v>-1000000</v>
      </c>
      <c r="I3561" s="4">
        <f>Clean_Data[[#This Row],[Exports_TIV]] + Clean_Data[[#This Row],[Imports_TIV]]</f>
        <v>1000000</v>
      </c>
    </row>
    <row r="3562" spans="1:9">
      <c r="A3562" s="4" t="s">
        <v>67</v>
      </c>
      <c r="B3562" s="4" t="s">
        <v>68</v>
      </c>
      <c r="C3562" s="5">
        <v>2002</v>
      </c>
      <c r="D3562" s="4">
        <v>21000000</v>
      </c>
      <c r="E3562" s="4">
        <v>221000000</v>
      </c>
      <c r="F3562" s="4" t="str">
        <f>_xlfn.LET(_xlpm.r, _xlfn.XLOOKUP(Clean_Data[[#This Row],[Country_Code]], Metadata_Country!$A:$A, Metadata_Country!$B:$B, "Unknown"), IF(OR(_xlpm.r=0, _xlpm.r=""), "Regional Aggregate", _xlpm.r))</f>
        <v>Latin America &amp; Caribbean</v>
      </c>
      <c r="G3562" s="4" t="str">
        <f>_xlfn.LET(_xlpm.ig, _xlfn.XLOOKUP(Clean_Data[[#This Row],[Country_Code]], Metadata_Country!$A:$A, Metadata_Country!$C:$C, "Unknown"), IF(OR(_xlpm.ig=0, _xlpm.ig=""), "Regional Aggregate", _xlpm.ig))</f>
        <v>Upper middle income</v>
      </c>
      <c r="H3562" s="4">
        <f>Clean_Data[[#This Row],[Exports_TIV]] - Clean_Data[[#This Row],[Imports_TIV]]</f>
        <v>-200000000</v>
      </c>
      <c r="I3562" s="4">
        <f>Clean_Data[[#This Row],[Exports_TIV]] + Clean_Data[[#This Row],[Imports_TIV]]</f>
        <v>242000000</v>
      </c>
    </row>
    <row r="3563" spans="1:9">
      <c r="A3563" s="4" t="s">
        <v>71</v>
      </c>
      <c r="B3563" s="4" t="s">
        <v>72</v>
      </c>
      <c r="C3563" s="5">
        <v>2002</v>
      </c>
      <c r="D3563" s="4">
        <v>0</v>
      </c>
      <c r="E3563" s="4">
        <v>1000000</v>
      </c>
      <c r="F3563" s="4" t="str">
        <f>_xlfn.LET(_xlpm.r, _xlfn.XLOOKUP(Clean_Data[[#This Row],[Country_Code]], Metadata_Country!$A:$A, Metadata_Country!$B:$B, "Unknown"), IF(OR(_xlpm.r=0, _xlpm.r=""), "Regional Aggregate", _xlpm.r))</f>
        <v>East Asia &amp; Pacific</v>
      </c>
      <c r="G3563" s="4" t="str">
        <f>_xlfn.LET(_xlpm.ig, _xlfn.XLOOKUP(Clean_Data[[#This Row],[Country_Code]], Metadata_Country!$A:$A, Metadata_Country!$C:$C, "Unknown"), IF(OR(_xlpm.ig=0, _xlpm.ig=""), "Regional Aggregate", _xlpm.ig))</f>
        <v>High income</v>
      </c>
      <c r="H3563" s="4">
        <f>Clean_Data[[#This Row],[Exports_TIV]] - Clean_Data[[#This Row],[Imports_TIV]]</f>
        <v>-1000000</v>
      </c>
      <c r="I3563" s="4">
        <f>Clean_Data[[#This Row],[Exports_TIV]] + Clean_Data[[#This Row],[Imports_TIV]]</f>
        <v>1000000</v>
      </c>
    </row>
    <row r="3564" spans="1:9">
      <c r="A3564" s="4" t="s">
        <v>51</v>
      </c>
      <c r="B3564" s="4" t="s">
        <v>52</v>
      </c>
      <c r="C3564" s="5">
        <v>2002</v>
      </c>
      <c r="D3564" s="4">
        <v>37000000</v>
      </c>
      <c r="E3564" s="4">
        <v>0</v>
      </c>
      <c r="F3564" s="4" t="str">
        <f>_xlfn.LET(_xlpm.r, _xlfn.XLOOKUP(Clean_Data[[#This Row],[Country_Code]], Metadata_Country!$A:$A, Metadata_Country!$B:$B, "Unknown"), IF(OR(_xlpm.r=0, _xlpm.r=""), "Regional Aggregate", _xlpm.r))</f>
        <v>Europe &amp; Central Asia</v>
      </c>
      <c r="G3564" s="4" t="str">
        <f>_xlfn.LET(_xlpm.ig, _xlfn.XLOOKUP(Clean_Data[[#This Row],[Country_Code]], Metadata_Country!$A:$A, Metadata_Country!$C:$C, "Unknown"), IF(OR(_xlpm.ig=0, _xlpm.ig=""), "Regional Aggregate", _xlpm.ig))</f>
        <v>High income</v>
      </c>
      <c r="H3564" s="4">
        <f>Clean_Data[[#This Row],[Exports_TIV]] - Clean_Data[[#This Row],[Imports_TIV]]</f>
        <v>37000000</v>
      </c>
      <c r="I3564" s="4">
        <f>Clean_Data[[#This Row],[Exports_TIV]] + Clean_Data[[#This Row],[Imports_TIV]]</f>
        <v>37000000</v>
      </c>
    </row>
    <row r="3565" spans="1:9">
      <c r="A3565" s="4" t="s">
        <v>41</v>
      </c>
      <c r="B3565" s="4" t="s">
        <v>42</v>
      </c>
      <c r="C3565" s="5">
        <v>2002</v>
      </c>
      <c r="D3565" s="4">
        <v>0</v>
      </c>
      <c r="E3565" s="4">
        <v>3000000</v>
      </c>
      <c r="F3565" s="4" t="str">
        <f>_xlfn.LET(_xlpm.r, _xlfn.XLOOKUP(Clean_Data[[#This Row],[Country_Code]], Metadata_Country!$A:$A, Metadata_Country!$B:$B, "Unknown"), IF(OR(_xlpm.r=0, _xlpm.r=""), "Regional Aggregate", _xlpm.r))</f>
        <v>Sub-Saharan Africa</v>
      </c>
      <c r="G3565" s="4" t="str">
        <f>_xlfn.LET(_xlpm.ig, _xlfn.XLOOKUP(Clean_Data[[#This Row],[Country_Code]], Metadata_Country!$A:$A, Metadata_Country!$C:$C, "Unknown"), IF(OR(_xlpm.ig=0, _xlpm.ig=""), "Regional Aggregate", _xlpm.ig))</f>
        <v>Low income</v>
      </c>
      <c r="H3565" s="4">
        <f>Clean_Data[[#This Row],[Exports_TIV]] - Clean_Data[[#This Row],[Imports_TIV]]</f>
        <v>-3000000</v>
      </c>
      <c r="I3565" s="4">
        <f>Clean_Data[[#This Row],[Exports_TIV]] + Clean_Data[[#This Row],[Imports_TIV]]</f>
        <v>3000000</v>
      </c>
    </row>
    <row r="3566" spans="1:9">
      <c r="A3566" s="4" t="s">
        <v>93</v>
      </c>
      <c r="B3566" s="4" t="s">
        <v>94</v>
      </c>
      <c r="C3566" s="5">
        <v>2002</v>
      </c>
      <c r="D3566" s="4">
        <v>0</v>
      </c>
      <c r="E3566" s="4">
        <v>10000000</v>
      </c>
      <c r="F3566" s="4" t="str">
        <f>_xlfn.LET(_xlpm.r, _xlfn.XLOOKUP(Clean_Data[[#This Row],[Country_Code]], Metadata_Country!$A:$A, Metadata_Country!$B:$B, "Unknown"), IF(OR(_xlpm.r=0, _xlpm.r=""), "Regional Aggregate", _xlpm.r))</f>
        <v>Sub-Saharan Africa</v>
      </c>
      <c r="G3566" s="4" t="str">
        <f>_xlfn.LET(_xlpm.ig, _xlfn.XLOOKUP(Clean_Data[[#This Row],[Country_Code]], Metadata_Country!$A:$A, Metadata_Country!$C:$C, "Unknown"), IF(OR(_xlpm.ig=0, _xlpm.ig=""), "Regional Aggregate", _xlpm.ig))</f>
        <v>Lower middle income</v>
      </c>
      <c r="H3566" s="4">
        <f>Clean_Data[[#This Row],[Exports_TIV]] - Clean_Data[[#This Row],[Imports_TIV]]</f>
        <v>-10000000</v>
      </c>
      <c r="I3566" s="4">
        <f>Clean_Data[[#This Row],[Exports_TIV]] + Clean_Data[[#This Row],[Imports_TIV]]</f>
        <v>10000000</v>
      </c>
    </row>
    <row r="3567" spans="1:9">
      <c r="A3567" s="4" t="s">
        <v>79</v>
      </c>
      <c r="B3567" s="4" t="s">
        <v>80</v>
      </c>
      <c r="C3567" s="5">
        <v>2002</v>
      </c>
      <c r="D3567" s="4">
        <v>177000000</v>
      </c>
      <c r="E3567" s="4">
        <v>418000000</v>
      </c>
      <c r="F3567" s="4" t="str">
        <f>_xlfn.LET(_xlpm.r, _xlfn.XLOOKUP(Clean_Data[[#This Row],[Country_Code]], Metadata_Country!$A:$A, Metadata_Country!$B:$B, "Unknown"), IF(OR(_xlpm.r=0, _xlpm.r=""), "Regional Aggregate", _xlpm.r))</f>
        <v>North America</v>
      </c>
      <c r="G3567" s="4" t="str">
        <f>_xlfn.LET(_xlpm.ig, _xlfn.XLOOKUP(Clean_Data[[#This Row],[Country_Code]], Metadata_Country!$A:$A, Metadata_Country!$C:$C, "Unknown"), IF(OR(_xlpm.ig=0, _xlpm.ig=""), "Regional Aggregate", _xlpm.ig))</f>
        <v>High income</v>
      </c>
      <c r="H3567" s="4">
        <f>Clean_Data[[#This Row],[Exports_TIV]] - Clean_Data[[#This Row],[Imports_TIV]]</f>
        <v>-241000000</v>
      </c>
      <c r="I3567" s="4">
        <f>Clean_Data[[#This Row],[Exports_TIV]] + Clean_Data[[#This Row],[Imports_TIV]]</f>
        <v>595000000</v>
      </c>
    </row>
    <row r="3568" spans="1:9">
      <c r="A3568" s="4" t="s">
        <v>81</v>
      </c>
      <c r="B3568" s="4" t="s">
        <v>82</v>
      </c>
      <c r="C3568" s="5">
        <v>2002</v>
      </c>
      <c r="D3568" s="4">
        <v>223000000</v>
      </c>
      <c r="E3568" s="4">
        <v>369000000</v>
      </c>
      <c r="F3568" s="4" t="str">
        <f>_xlfn.LET(_xlpm.r, _xlfn.XLOOKUP(Clean_Data[[#This Row],[Country_Code]], Metadata_Country!$A:$A, Metadata_Country!$B:$B, "Unknown"), IF(OR(_xlpm.r=0, _xlpm.r=""), "Regional Aggregate", _xlpm.r))</f>
        <v>Regional Aggregate</v>
      </c>
      <c r="G3568" s="4" t="str">
        <f>_xlfn.LET(_xlpm.ig, _xlfn.XLOOKUP(Clean_Data[[#This Row],[Country_Code]], Metadata_Country!$A:$A, Metadata_Country!$C:$C, "Unknown"), IF(OR(_xlpm.ig=0, _xlpm.ig=""), "Regional Aggregate", _xlpm.ig))</f>
        <v>Regional Aggregate</v>
      </c>
      <c r="H3568" s="4">
        <f>Clean_Data[[#This Row],[Exports_TIV]] - Clean_Data[[#This Row],[Imports_TIV]]</f>
        <v>-146000000</v>
      </c>
      <c r="I3568" s="4">
        <f>Clean_Data[[#This Row],[Exports_TIV]] + Clean_Data[[#This Row],[Imports_TIV]]</f>
        <v>592000000</v>
      </c>
    </row>
    <row r="3569" spans="1:9">
      <c r="A3569" s="4" t="s">
        <v>87</v>
      </c>
      <c r="B3569" s="4" t="s">
        <v>88</v>
      </c>
      <c r="C3569" s="5">
        <v>2002</v>
      </c>
      <c r="D3569" s="4">
        <v>1000000</v>
      </c>
      <c r="E3569" s="4">
        <v>75000000</v>
      </c>
      <c r="F3569" s="4" t="str">
        <f>_xlfn.LET(_xlpm.r, _xlfn.XLOOKUP(Clean_Data[[#This Row],[Country_Code]], Metadata_Country!$A:$A, Metadata_Country!$B:$B, "Unknown"), IF(OR(_xlpm.r=0, _xlpm.r=""), "Regional Aggregate", _xlpm.r))</f>
        <v>Latin America &amp; Caribbean</v>
      </c>
      <c r="G3569" s="4" t="str">
        <f>_xlfn.LET(_xlpm.ig, _xlfn.XLOOKUP(Clean_Data[[#This Row],[Country_Code]], Metadata_Country!$A:$A, Metadata_Country!$C:$C, "Unknown"), IF(OR(_xlpm.ig=0, _xlpm.ig=""), "Regional Aggregate", _xlpm.ig))</f>
        <v>High income</v>
      </c>
      <c r="H3569" s="4">
        <f>Clean_Data[[#This Row],[Exports_TIV]] - Clean_Data[[#This Row],[Imports_TIV]]</f>
        <v>-74000000</v>
      </c>
      <c r="I3569" s="4">
        <f>Clean_Data[[#This Row],[Exports_TIV]] + Clean_Data[[#This Row],[Imports_TIV]]</f>
        <v>76000000</v>
      </c>
    </row>
    <row r="3570" spans="1:9">
      <c r="A3570" s="4" t="s">
        <v>89</v>
      </c>
      <c r="B3570" s="4" t="s">
        <v>90</v>
      </c>
      <c r="C3570" s="5">
        <v>2002</v>
      </c>
      <c r="D3570" s="4">
        <v>524000000</v>
      </c>
      <c r="E3570" s="4">
        <v>2830000000</v>
      </c>
      <c r="F3570" s="4" t="str">
        <f>_xlfn.LET(_xlpm.r, _xlfn.XLOOKUP(Clean_Data[[#This Row],[Country_Code]], Metadata_Country!$A:$A, Metadata_Country!$B:$B, "Unknown"), IF(OR(_xlpm.r=0, _xlpm.r=""), "Regional Aggregate", _xlpm.r))</f>
        <v>East Asia &amp; Pacific</v>
      </c>
      <c r="G3570" s="4" t="str">
        <f>_xlfn.LET(_xlpm.ig, _xlfn.XLOOKUP(Clean_Data[[#This Row],[Country_Code]], Metadata_Country!$A:$A, Metadata_Country!$C:$C, "Unknown"), IF(OR(_xlpm.ig=0, _xlpm.ig=""), "Regional Aggregate", _xlpm.ig))</f>
        <v>Upper middle income</v>
      </c>
      <c r="H3570" s="4">
        <f>Clean_Data[[#This Row],[Exports_TIV]] - Clean_Data[[#This Row],[Imports_TIV]]</f>
        <v>-2306000000</v>
      </c>
      <c r="I3570" s="4">
        <f>Clean_Data[[#This Row],[Exports_TIV]] + Clean_Data[[#This Row],[Imports_TIV]]</f>
        <v>3354000000</v>
      </c>
    </row>
    <row r="3571" spans="1:9">
      <c r="A3571" s="4" t="s">
        <v>99</v>
      </c>
      <c r="B3571" s="4" t="s">
        <v>100</v>
      </c>
      <c r="C3571" s="5">
        <v>2002</v>
      </c>
      <c r="D3571" s="4">
        <v>6000000</v>
      </c>
      <c r="E3571" s="4">
        <v>173000000</v>
      </c>
      <c r="F3571" s="4" t="str">
        <f>_xlfn.LET(_xlpm.r, _xlfn.XLOOKUP(Clean_Data[[#This Row],[Country_Code]], Metadata_Country!$A:$A, Metadata_Country!$B:$B, "Unknown"), IF(OR(_xlpm.r=0, _xlpm.r=""), "Regional Aggregate", _xlpm.r))</f>
        <v>Latin America &amp; Caribbean</v>
      </c>
      <c r="G3571" s="4" t="str">
        <f>_xlfn.LET(_xlpm.ig, _xlfn.XLOOKUP(Clean_Data[[#This Row],[Country_Code]], Metadata_Country!$A:$A, Metadata_Country!$C:$C, "Unknown"), IF(OR(_xlpm.ig=0, _xlpm.ig=""), "Regional Aggregate", _xlpm.ig))</f>
        <v>Upper middle income</v>
      </c>
      <c r="H3571" s="4">
        <f>Clean_Data[[#This Row],[Exports_TIV]] - Clean_Data[[#This Row],[Imports_TIV]]</f>
        <v>-167000000</v>
      </c>
      <c r="I3571" s="4">
        <f>Clean_Data[[#This Row],[Exports_TIV]] + Clean_Data[[#This Row],[Imports_TIV]]</f>
        <v>179000000</v>
      </c>
    </row>
    <row r="3572" spans="1:9">
      <c r="A3572" s="4" t="s">
        <v>95</v>
      </c>
      <c r="B3572" s="4" t="s">
        <v>96</v>
      </c>
      <c r="C3572" s="5">
        <v>2002</v>
      </c>
      <c r="D3572" s="4">
        <v>0</v>
      </c>
      <c r="E3572" s="4">
        <v>18000000</v>
      </c>
      <c r="F3572" s="4" t="str">
        <f>_xlfn.LET(_xlpm.r, _xlfn.XLOOKUP(Clean_Data[[#This Row],[Country_Code]], Metadata_Country!$A:$A, Metadata_Country!$B:$B, "Unknown"), IF(OR(_xlpm.r=0, _xlpm.r=""), "Regional Aggregate", _xlpm.r))</f>
        <v>Sub-Saharan Africa</v>
      </c>
      <c r="G3572" s="4" t="str">
        <f>_xlfn.LET(_xlpm.ig, _xlfn.XLOOKUP(Clean_Data[[#This Row],[Country_Code]], Metadata_Country!$A:$A, Metadata_Country!$C:$C, "Unknown"), IF(OR(_xlpm.ig=0, _xlpm.ig=""), "Regional Aggregate", _xlpm.ig))</f>
        <v>Low income</v>
      </c>
      <c r="H3572" s="4">
        <f>Clean_Data[[#This Row],[Exports_TIV]] - Clean_Data[[#This Row],[Imports_TIV]]</f>
        <v>-18000000</v>
      </c>
      <c r="I3572" s="4">
        <f>Clean_Data[[#This Row],[Exports_TIV]] + Clean_Data[[#This Row],[Imports_TIV]]</f>
        <v>18000000</v>
      </c>
    </row>
    <row r="3573" spans="1:9">
      <c r="A3573" s="4" t="s">
        <v>91</v>
      </c>
      <c r="B3573" s="4" t="s">
        <v>92</v>
      </c>
      <c r="C3573" s="5">
        <v>2002</v>
      </c>
      <c r="D3573" s="4">
        <v>0</v>
      </c>
      <c r="E3573" s="4">
        <v>32000000</v>
      </c>
      <c r="F3573" s="4" t="str">
        <f>_xlfn.LET(_xlpm.r, _xlfn.XLOOKUP(Clean_Data[[#This Row],[Country_Code]], Metadata_Country!$A:$A, Metadata_Country!$B:$B, "Unknown"), IF(OR(_xlpm.r=0, _xlpm.r=""), "Regional Aggregate", _xlpm.r))</f>
        <v>Sub-Saharan Africa</v>
      </c>
      <c r="G3573" s="4" t="str">
        <f>_xlfn.LET(_xlpm.ig, _xlfn.XLOOKUP(Clean_Data[[#This Row],[Country_Code]], Metadata_Country!$A:$A, Metadata_Country!$C:$C, "Unknown"), IF(OR(_xlpm.ig=0, _xlpm.ig=""), "Regional Aggregate", _xlpm.ig))</f>
        <v>Lower middle income</v>
      </c>
      <c r="H3573" s="4">
        <f>Clean_Data[[#This Row],[Exports_TIV]] - Clean_Data[[#This Row],[Imports_TIV]]</f>
        <v>-32000000</v>
      </c>
      <c r="I3573" s="4">
        <f>Clean_Data[[#This Row],[Exports_TIV]] + Clean_Data[[#This Row],[Imports_TIV]]</f>
        <v>32000000</v>
      </c>
    </row>
    <row r="3574" spans="1:9">
      <c r="A3574" s="4" t="s">
        <v>207</v>
      </c>
      <c r="B3574" s="4" t="s">
        <v>208</v>
      </c>
      <c r="C3574" s="5">
        <v>2002</v>
      </c>
      <c r="D3574" s="4">
        <v>0</v>
      </c>
      <c r="E3574" s="4">
        <v>2000000</v>
      </c>
      <c r="F3574" s="4" t="str">
        <f>_xlfn.LET(_xlpm.r, _xlfn.XLOOKUP(Clean_Data[[#This Row],[Country_Code]], Metadata_Country!$A:$A, Metadata_Country!$B:$B, "Unknown"), IF(OR(_xlpm.r=0, _xlpm.r=""), "Regional Aggregate", _xlpm.r))</f>
        <v>Europe &amp; Central Asia</v>
      </c>
      <c r="G3574" s="4" t="str">
        <f>_xlfn.LET(_xlpm.ig, _xlfn.XLOOKUP(Clean_Data[[#This Row],[Country_Code]], Metadata_Country!$A:$A, Metadata_Country!$C:$C, "Unknown"), IF(OR(_xlpm.ig=0, _xlpm.ig=""), "Regional Aggregate", _xlpm.ig))</f>
        <v>High income</v>
      </c>
      <c r="H3574" s="4">
        <f>Clean_Data[[#This Row],[Exports_TIV]] - Clean_Data[[#This Row],[Imports_TIV]]</f>
        <v>-2000000</v>
      </c>
      <c r="I3574" s="4">
        <f>Clean_Data[[#This Row],[Exports_TIV]] + Clean_Data[[#This Row],[Imports_TIV]]</f>
        <v>2000000</v>
      </c>
    </row>
    <row r="3575" spans="1:9">
      <c r="A3575" s="4" t="s">
        <v>115</v>
      </c>
      <c r="B3575" s="4" t="s">
        <v>116</v>
      </c>
      <c r="C3575" s="5">
        <v>2002</v>
      </c>
      <c r="D3575" s="4">
        <v>0</v>
      </c>
      <c r="E3575" s="4">
        <v>66000000</v>
      </c>
      <c r="F3575" s="4" t="str">
        <f>_xlfn.LET(_xlpm.r, _xlfn.XLOOKUP(Clean_Data[[#This Row],[Country_Code]], Metadata_Country!$A:$A, Metadata_Country!$B:$B, "Unknown"), IF(OR(_xlpm.r=0, _xlpm.r=""), "Regional Aggregate", _xlpm.r))</f>
        <v>Europe &amp; Central Asia</v>
      </c>
      <c r="G3575" s="4" t="str">
        <f>_xlfn.LET(_xlpm.ig, _xlfn.XLOOKUP(Clean_Data[[#This Row],[Country_Code]], Metadata_Country!$A:$A, Metadata_Country!$C:$C, "Unknown"), IF(OR(_xlpm.ig=0, _xlpm.ig=""), "Regional Aggregate", _xlpm.ig))</f>
        <v>High income</v>
      </c>
      <c r="H3575" s="4">
        <f>Clean_Data[[#This Row],[Exports_TIV]] - Clean_Data[[#This Row],[Imports_TIV]]</f>
        <v>-66000000</v>
      </c>
      <c r="I3575" s="4">
        <f>Clean_Data[[#This Row],[Exports_TIV]] + Clean_Data[[#This Row],[Imports_TIV]]</f>
        <v>66000000</v>
      </c>
    </row>
    <row r="3576" spans="1:9">
      <c r="A3576" s="4" t="s">
        <v>117</v>
      </c>
      <c r="B3576" s="4" t="s">
        <v>118</v>
      </c>
      <c r="C3576" s="5">
        <v>2002</v>
      </c>
      <c r="D3576" s="4">
        <v>60000000</v>
      </c>
      <c r="E3576" s="4">
        <v>42000000</v>
      </c>
      <c r="F3576" s="4" t="str">
        <f>_xlfn.LET(_xlpm.r, _xlfn.XLOOKUP(Clean_Data[[#This Row],[Country_Code]], Metadata_Country!$A:$A, Metadata_Country!$B:$B, "Unknown"), IF(OR(_xlpm.r=0, _xlpm.r=""), "Regional Aggregate", _xlpm.r))</f>
        <v>Europe &amp; Central Asia</v>
      </c>
      <c r="G3576" s="4" t="str">
        <f>_xlfn.LET(_xlpm.ig, _xlfn.XLOOKUP(Clean_Data[[#This Row],[Country_Code]], Metadata_Country!$A:$A, Metadata_Country!$C:$C, "Unknown"), IF(OR(_xlpm.ig=0, _xlpm.ig=""), "Regional Aggregate", _xlpm.ig))</f>
        <v>High income</v>
      </c>
      <c r="H3576" s="4">
        <f>Clean_Data[[#This Row],[Exports_TIV]] - Clean_Data[[#This Row],[Imports_TIV]]</f>
        <v>18000000</v>
      </c>
      <c r="I3576" s="4">
        <f>Clean_Data[[#This Row],[Exports_TIV]] + Clean_Data[[#This Row],[Imports_TIV]]</f>
        <v>102000000</v>
      </c>
    </row>
    <row r="3577" spans="1:9">
      <c r="A3577" s="4" t="s">
        <v>125</v>
      </c>
      <c r="B3577" s="4" t="s">
        <v>126</v>
      </c>
      <c r="C3577" s="5">
        <v>2002</v>
      </c>
      <c r="D3577" s="4">
        <v>10000000</v>
      </c>
      <c r="E3577" s="4">
        <v>39000000</v>
      </c>
      <c r="F3577" s="4" t="str">
        <f>_xlfn.LET(_xlpm.r, _xlfn.XLOOKUP(Clean_Data[[#This Row],[Country_Code]], Metadata_Country!$A:$A, Metadata_Country!$B:$B, "Unknown"), IF(OR(_xlpm.r=0, _xlpm.r=""), "Regional Aggregate", _xlpm.r))</f>
        <v>Europe &amp; Central Asia</v>
      </c>
      <c r="G3577" s="4" t="str">
        <f>_xlfn.LET(_xlpm.ig, _xlfn.XLOOKUP(Clean_Data[[#This Row],[Country_Code]], Metadata_Country!$A:$A, Metadata_Country!$C:$C, "Unknown"), IF(OR(_xlpm.ig=0, _xlpm.ig=""), "Regional Aggregate", _xlpm.ig))</f>
        <v>High income</v>
      </c>
      <c r="H3577" s="4">
        <f>Clean_Data[[#This Row],[Exports_TIV]] - Clean_Data[[#This Row],[Imports_TIV]]</f>
        <v>-29000000</v>
      </c>
      <c r="I3577" s="4">
        <f>Clean_Data[[#This Row],[Exports_TIV]] + Clean_Data[[#This Row],[Imports_TIV]]</f>
        <v>49000000</v>
      </c>
    </row>
    <row r="3578" spans="1:9">
      <c r="A3578" s="4" t="s">
        <v>121</v>
      </c>
      <c r="B3578" s="4" t="s">
        <v>122</v>
      </c>
      <c r="C3578" s="5">
        <v>2002</v>
      </c>
      <c r="D3578" s="4">
        <v>0</v>
      </c>
      <c r="E3578" s="4">
        <v>3000000</v>
      </c>
      <c r="F3578" s="4" t="str">
        <f>_xlfn.LET(_xlpm.r, _xlfn.XLOOKUP(Clean_Data[[#This Row],[Country_Code]], Metadata_Country!$A:$A, Metadata_Country!$B:$B, "Unknown"), IF(OR(_xlpm.r=0, _xlpm.r=""), "Regional Aggregate", _xlpm.r))</f>
        <v>Middle East &amp; North Africa</v>
      </c>
      <c r="G3578" s="4" t="str">
        <f>_xlfn.LET(_xlpm.ig, _xlfn.XLOOKUP(Clean_Data[[#This Row],[Country_Code]], Metadata_Country!$A:$A, Metadata_Country!$C:$C, "Unknown"), IF(OR(_xlpm.ig=0, _xlpm.ig=""), "Regional Aggregate", _xlpm.ig))</f>
        <v>Lower middle income</v>
      </c>
      <c r="H3578" s="4">
        <f>Clean_Data[[#This Row],[Exports_TIV]] - Clean_Data[[#This Row],[Imports_TIV]]</f>
        <v>-3000000</v>
      </c>
      <c r="I3578" s="4">
        <f>Clean_Data[[#This Row],[Exports_TIV]] + Clean_Data[[#This Row],[Imports_TIV]]</f>
        <v>3000000</v>
      </c>
    </row>
    <row r="3579" spans="1:9">
      <c r="A3579" s="4" t="s">
        <v>127</v>
      </c>
      <c r="B3579" s="4" t="s">
        <v>128</v>
      </c>
      <c r="C3579" s="5">
        <v>2002</v>
      </c>
      <c r="D3579" s="4">
        <v>0</v>
      </c>
      <c r="E3579" s="4">
        <v>0</v>
      </c>
      <c r="F3579" s="4" t="str">
        <f>_xlfn.LET(_xlpm.r, _xlfn.XLOOKUP(Clean_Data[[#This Row],[Country_Code]], Metadata_Country!$A:$A, Metadata_Country!$B:$B, "Unknown"), IF(OR(_xlpm.r=0, _xlpm.r=""), "Regional Aggregate", _xlpm.r))</f>
        <v>Latin America &amp; Caribbean</v>
      </c>
      <c r="G3579" s="4" t="str">
        <f>_xlfn.LET(_xlpm.ig, _xlfn.XLOOKUP(Clean_Data[[#This Row],[Country_Code]], Metadata_Country!$A:$A, Metadata_Country!$C:$C, "Unknown"), IF(OR(_xlpm.ig=0, _xlpm.ig=""), "Regional Aggregate", _xlpm.ig))</f>
        <v>Upper middle income</v>
      </c>
      <c r="H3579" s="4">
        <f>Clean_Data[[#This Row],[Exports_TIV]] - Clean_Data[[#This Row],[Imports_TIV]]</f>
        <v>0</v>
      </c>
      <c r="I3579" s="4">
        <f>Clean_Data[[#This Row],[Exports_TIV]] + Clean_Data[[#This Row],[Imports_TIV]]</f>
        <v>0</v>
      </c>
    </row>
    <row r="3580" spans="1:9">
      <c r="A3580" s="4" t="s">
        <v>133</v>
      </c>
      <c r="B3580" s="4" t="s">
        <v>134</v>
      </c>
      <c r="C3580" s="5">
        <v>2002</v>
      </c>
      <c r="D3580" s="4">
        <v>0</v>
      </c>
      <c r="E3580" s="4">
        <v>6980000000</v>
      </c>
      <c r="F3580" s="4" t="str">
        <f>_xlfn.LET(_xlpm.r, _xlfn.XLOOKUP(Clean_Data[[#This Row],[Country_Code]], Metadata_Country!$A:$A, Metadata_Country!$B:$B, "Unknown"), IF(OR(_xlpm.r=0, _xlpm.r=""), "Regional Aggregate", _xlpm.r))</f>
        <v>Regional Aggregate</v>
      </c>
      <c r="G3580" s="4" t="str">
        <f>_xlfn.LET(_xlpm.ig, _xlfn.XLOOKUP(Clean_Data[[#This Row],[Country_Code]], Metadata_Country!$A:$A, Metadata_Country!$C:$C, "Unknown"), IF(OR(_xlpm.ig=0, _xlpm.ig=""), "Regional Aggregate", _xlpm.ig))</f>
        <v>Regional Aggregate</v>
      </c>
      <c r="H3580" s="4">
        <f>Clean_Data[[#This Row],[Exports_TIV]] - Clean_Data[[#This Row],[Imports_TIV]]</f>
        <v>-6980000000</v>
      </c>
      <c r="I3580" s="4">
        <f>Clean_Data[[#This Row],[Exports_TIV]] + Clean_Data[[#This Row],[Imports_TIV]]</f>
        <v>6980000000</v>
      </c>
    </row>
    <row r="3581" spans="1:9">
      <c r="A3581" s="4" t="s">
        <v>135</v>
      </c>
      <c r="B3581" s="4" t="s">
        <v>136</v>
      </c>
      <c r="C3581" s="5">
        <v>2002</v>
      </c>
      <c r="D3581" s="4">
        <v>0</v>
      </c>
      <c r="E3581" s="4">
        <v>5613000000</v>
      </c>
      <c r="F3581" s="4" t="str">
        <f>_xlfn.LET(_xlpm.r, _xlfn.XLOOKUP(Clean_Data[[#This Row],[Country_Code]], Metadata_Country!$A:$A, Metadata_Country!$B:$B, "Unknown"), IF(OR(_xlpm.r=0, _xlpm.r=""), "Regional Aggregate", _xlpm.r))</f>
        <v>Regional Aggregate</v>
      </c>
      <c r="G3581" s="4" t="str">
        <f>_xlfn.LET(_xlpm.ig, _xlfn.XLOOKUP(Clean_Data[[#This Row],[Country_Code]], Metadata_Country!$A:$A, Metadata_Country!$C:$C, "Unknown"), IF(OR(_xlpm.ig=0, _xlpm.ig=""), "Regional Aggregate", _xlpm.ig))</f>
        <v>Regional Aggregate</v>
      </c>
      <c r="H3581" s="4">
        <f>Clean_Data[[#This Row],[Exports_TIV]] - Clean_Data[[#This Row],[Imports_TIV]]</f>
        <v>-5613000000</v>
      </c>
      <c r="I3581" s="4">
        <f>Clean_Data[[#This Row],[Exports_TIV]] + Clean_Data[[#This Row],[Imports_TIV]]</f>
        <v>5613000000</v>
      </c>
    </row>
    <row r="3582" spans="1:9">
      <c r="A3582" s="4" t="s">
        <v>131</v>
      </c>
      <c r="B3582" s="4" t="s">
        <v>132</v>
      </c>
      <c r="C3582" s="5">
        <v>2002</v>
      </c>
      <c r="D3582" s="4">
        <v>0</v>
      </c>
      <c r="E3582" s="4">
        <v>3476000000</v>
      </c>
      <c r="F3582" s="4" t="str">
        <f>_xlfn.LET(_xlpm.r, _xlfn.XLOOKUP(Clean_Data[[#This Row],[Country_Code]], Metadata_Country!$A:$A, Metadata_Country!$B:$B, "Unknown"), IF(OR(_xlpm.r=0, _xlpm.r=""), "Regional Aggregate", _xlpm.r))</f>
        <v>Regional Aggregate</v>
      </c>
      <c r="G3582" s="4" t="str">
        <f>_xlfn.LET(_xlpm.ig, _xlfn.XLOOKUP(Clean_Data[[#This Row],[Country_Code]], Metadata_Country!$A:$A, Metadata_Country!$C:$C, "Unknown"), IF(OR(_xlpm.ig=0, _xlpm.ig=""), "Regional Aggregate", _xlpm.ig))</f>
        <v>Regional Aggregate</v>
      </c>
      <c r="H3582" s="4">
        <f>Clean_Data[[#This Row],[Exports_TIV]] - Clean_Data[[#This Row],[Imports_TIV]]</f>
        <v>-3476000000</v>
      </c>
      <c r="I3582" s="4">
        <f>Clean_Data[[#This Row],[Exports_TIV]] + Clean_Data[[#This Row],[Imports_TIV]]</f>
        <v>3476000000</v>
      </c>
    </row>
    <row r="3583" spans="1:9">
      <c r="A3583" s="4" t="s">
        <v>469</v>
      </c>
      <c r="B3583" s="4" t="s">
        <v>470</v>
      </c>
      <c r="C3583" s="5">
        <v>2002</v>
      </c>
      <c r="D3583" s="4">
        <v>0</v>
      </c>
      <c r="E3583" s="4">
        <v>3422000000</v>
      </c>
      <c r="F3583" s="4" t="str">
        <f>_xlfn.LET(_xlpm.r, _xlfn.XLOOKUP(Clean_Data[[#This Row],[Country_Code]], Metadata_Country!$A:$A, Metadata_Country!$B:$B, "Unknown"), IF(OR(_xlpm.r=0, _xlpm.r=""), "Regional Aggregate", _xlpm.r))</f>
        <v>Regional Aggregate</v>
      </c>
      <c r="G3583" s="4" t="str">
        <f>_xlfn.LET(_xlpm.ig, _xlfn.XLOOKUP(Clean_Data[[#This Row],[Country_Code]], Metadata_Country!$A:$A, Metadata_Country!$C:$C, "Unknown"), IF(OR(_xlpm.ig=0, _xlpm.ig=""), "Regional Aggregate", _xlpm.ig))</f>
        <v>Regional Aggregate</v>
      </c>
      <c r="H3583" s="4">
        <f>Clean_Data[[#This Row],[Exports_TIV]] - Clean_Data[[#This Row],[Imports_TIV]]</f>
        <v>-3422000000</v>
      </c>
      <c r="I3583" s="4">
        <f>Clean_Data[[#This Row],[Exports_TIV]] + Clean_Data[[#This Row],[Imports_TIV]]</f>
        <v>3422000000</v>
      </c>
    </row>
    <row r="3584" spans="1:9">
      <c r="A3584" s="4" t="s">
        <v>141</v>
      </c>
      <c r="B3584" s="4" t="s">
        <v>142</v>
      </c>
      <c r="C3584" s="5">
        <v>2002</v>
      </c>
      <c r="D3584" s="4">
        <v>0</v>
      </c>
      <c r="E3584" s="4">
        <v>1000000</v>
      </c>
      <c r="F3584" s="4" t="str">
        <f>_xlfn.LET(_xlpm.r, _xlfn.XLOOKUP(Clean_Data[[#This Row],[Country_Code]], Metadata_Country!$A:$A, Metadata_Country!$B:$B, "Unknown"), IF(OR(_xlpm.r=0, _xlpm.r=""), "Regional Aggregate", _xlpm.r))</f>
        <v>Latin America &amp; Caribbean</v>
      </c>
      <c r="G3584" s="4" t="str">
        <f>_xlfn.LET(_xlpm.ig, _xlfn.XLOOKUP(Clean_Data[[#This Row],[Country_Code]], Metadata_Country!$A:$A, Metadata_Country!$C:$C, "Unknown"), IF(OR(_xlpm.ig=0, _xlpm.ig=""), "Regional Aggregate", _xlpm.ig))</f>
        <v>Upper middle income</v>
      </c>
      <c r="H3584" s="4">
        <f>Clean_Data[[#This Row],[Exports_TIV]] - Clean_Data[[#This Row],[Imports_TIV]]</f>
        <v>-1000000</v>
      </c>
      <c r="I3584" s="4">
        <f>Clean_Data[[#This Row],[Exports_TIV]] + Clean_Data[[#This Row],[Imports_TIV]]</f>
        <v>1000000</v>
      </c>
    </row>
    <row r="3585" spans="1:9">
      <c r="A3585" s="4" t="s">
        <v>143</v>
      </c>
      <c r="B3585" s="4" t="s">
        <v>144</v>
      </c>
      <c r="C3585" s="5">
        <v>2002</v>
      </c>
      <c r="D3585" s="4">
        <v>0</v>
      </c>
      <c r="E3585" s="4">
        <v>717000000</v>
      </c>
      <c r="F3585" s="4" t="str">
        <f>_xlfn.LET(_xlpm.r, _xlfn.XLOOKUP(Clean_Data[[#This Row],[Country_Code]], Metadata_Country!$A:$A, Metadata_Country!$B:$B, "Unknown"), IF(OR(_xlpm.r=0, _xlpm.r=""), "Regional Aggregate", _xlpm.r))</f>
        <v>Middle East &amp; North Africa</v>
      </c>
      <c r="G3585" s="4" t="str">
        <f>_xlfn.LET(_xlpm.ig, _xlfn.XLOOKUP(Clean_Data[[#This Row],[Country_Code]], Metadata_Country!$A:$A, Metadata_Country!$C:$C, "Unknown"), IF(OR(_xlpm.ig=0, _xlpm.ig=""), "Regional Aggregate", _xlpm.ig))</f>
        <v>Lower middle income</v>
      </c>
      <c r="H3585" s="4">
        <f>Clean_Data[[#This Row],[Exports_TIV]] - Clean_Data[[#This Row],[Imports_TIV]]</f>
        <v>-717000000</v>
      </c>
      <c r="I3585" s="4">
        <f>Clean_Data[[#This Row],[Exports_TIV]] + Clean_Data[[#This Row],[Imports_TIV]]</f>
        <v>717000000</v>
      </c>
    </row>
    <row r="3586" spans="1:9">
      <c r="A3586" s="4" t="s">
        <v>431</v>
      </c>
      <c r="B3586" s="4" t="s">
        <v>432</v>
      </c>
      <c r="C3586" s="5">
        <v>2002</v>
      </c>
      <c r="D3586" s="4">
        <v>0</v>
      </c>
      <c r="E3586" s="4">
        <v>19000000</v>
      </c>
      <c r="F3586" s="4" t="str">
        <f>_xlfn.LET(_xlpm.r, _xlfn.XLOOKUP(Clean_Data[[#This Row],[Country_Code]], Metadata_Country!$A:$A, Metadata_Country!$B:$B, "Unknown"), IF(OR(_xlpm.r=0, _xlpm.r=""), "Regional Aggregate", _xlpm.r))</f>
        <v>Latin America &amp; Caribbean</v>
      </c>
      <c r="G3586" s="4" t="str">
        <f>_xlfn.LET(_xlpm.ig, _xlfn.XLOOKUP(Clean_Data[[#This Row],[Country_Code]], Metadata_Country!$A:$A, Metadata_Country!$C:$C, "Unknown"), IF(OR(_xlpm.ig=0, _xlpm.ig=""), "Regional Aggregate", _xlpm.ig))</f>
        <v>Upper middle income</v>
      </c>
      <c r="H3586" s="4">
        <f>Clean_Data[[#This Row],[Exports_TIV]] - Clean_Data[[#This Row],[Imports_TIV]]</f>
        <v>-19000000</v>
      </c>
      <c r="I3586" s="4">
        <f>Clean_Data[[#This Row],[Exports_TIV]] + Clean_Data[[#This Row],[Imports_TIV]]</f>
        <v>19000000</v>
      </c>
    </row>
    <row r="3587" spans="1:9">
      <c r="A3587" s="4" t="s">
        <v>147</v>
      </c>
      <c r="B3587" s="4" t="s">
        <v>148</v>
      </c>
      <c r="C3587" s="5">
        <v>2002</v>
      </c>
      <c r="D3587" s="4">
        <v>0</v>
      </c>
      <c r="E3587" s="4">
        <v>18000000</v>
      </c>
      <c r="F3587" s="4" t="str">
        <f>_xlfn.LET(_xlpm.r, _xlfn.XLOOKUP(Clean_Data[[#This Row],[Country_Code]], Metadata_Country!$A:$A, Metadata_Country!$B:$B, "Unknown"), IF(OR(_xlpm.r=0, _xlpm.r=""), "Regional Aggregate", _xlpm.r))</f>
        <v>Sub-Saharan Africa</v>
      </c>
      <c r="G3587" s="4" t="str">
        <f>_xlfn.LET(_xlpm.ig, _xlfn.XLOOKUP(Clean_Data[[#This Row],[Country_Code]], Metadata_Country!$A:$A, Metadata_Country!$C:$C, "Unknown"), IF(OR(_xlpm.ig=0, _xlpm.ig=""), "Regional Aggregate", _xlpm.ig))</f>
        <v>Low income</v>
      </c>
      <c r="H3587" s="4">
        <f>Clean_Data[[#This Row],[Exports_TIV]] - Clean_Data[[#This Row],[Imports_TIV]]</f>
        <v>-18000000</v>
      </c>
      <c r="I3587" s="4">
        <f>Clean_Data[[#This Row],[Exports_TIV]] + Clean_Data[[#This Row],[Imports_TIV]]</f>
        <v>18000000</v>
      </c>
    </row>
    <row r="3588" spans="1:9">
      <c r="A3588" s="4" t="s">
        <v>151</v>
      </c>
      <c r="B3588" s="4" t="s">
        <v>152</v>
      </c>
      <c r="C3588" s="5">
        <v>2002</v>
      </c>
      <c r="D3588" s="4">
        <v>0</v>
      </c>
      <c r="E3588" s="4">
        <v>2000000</v>
      </c>
      <c r="F3588" s="4" t="str">
        <f>_xlfn.LET(_xlpm.r, _xlfn.XLOOKUP(Clean_Data[[#This Row],[Country_Code]], Metadata_Country!$A:$A, Metadata_Country!$B:$B, "Unknown"), IF(OR(_xlpm.r=0, _xlpm.r=""), "Regional Aggregate", _xlpm.r))</f>
        <v>Europe &amp; Central Asia</v>
      </c>
      <c r="G3588" s="4" t="str">
        <f>_xlfn.LET(_xlpm.ig, _xlfn.XLOOKUP(Clean_Data[[#This Row],[Country_Code]], Metadata_Country!$A:$A, Metadata_Country!$C:$C, "Unknown"), IF(OR(_xlpm.ig=0, _xlpm.ig=""), "Regional Aggregate", _xlpm.ig))</f>
        <v>High income</v>
      </c>
      <c r="H3588" s="4">
        <f>Clean_Data[[#This Row],[Exports_TIV]] - Clean_Data[[#This Row],[Imports_TIV]]</f>
        <v>-2000000</v>
      </c>
      <c r="I3588" s="4">
        <f>Clean_Data[[#This Row],[Exports_TIV]] + Clean_Data[[#This Row],[Imports_TIV]]</f>
        <v>2000000</v>
      </c>
    </row>
    <row r="3589" spans="1:9">
      <c r="A3589" s="4" t="s">
        <v>153</v>
      </c>
      <c r="B3589" s="4" t="s">
        <v>154</v>
      </c>
      <c r="C3589" s="5">
        <v>2002</v>
      </c>
      <c r="D3589" s="4">
        <v>0</v>
      </c>
      <c r="E3589" s="4">
        <v>20000000</v>
      </c>
      <c r="F3589" s="4" t="str">
        <f>_xlfn.LET(_xlpm.r, _xlfn.XLOOKUP(Clean_Data[[#This Row],[Country_Code]], Metadata_Country!$A:$A, Metadata_Country!$B:$B, "Unknown"), IF(OR(_xlpm.r=0, _xlpm.r=""), "Regional Aggregate", _xlpm.r))</f>
        <v>Sub-Saharan Africa</v>
      </c>
      <c r="G3589" s="4" t="str">
        <f>_xlfn.LET(_xlpm.ig, _xlfn.XLOOKUP(Clean_Data[[#This Row],[Country_Code]], Metadata_Country!$A:$A, Metadata_Country!$C:$C, "Unknown"), IF(OR(_xlpm.ig=0, _xlpm.ig=""), "Regional Aggregate", _xlpm.ig))</f>
        <v>Low income</v>
      </c>
      <c r="H3589" s="4">
        <f>Clean_Data[[#This Row],[Exports_TIV]] - Clean_Data[[#This Row],[Imports_TIV]]</f>
        <v>-20000000</v>
      </c>
      <c r="I3589" s="4">
        <f>Clean_Data[[#This Row],[Exports_TIV]] + Clean_Data[[#This Row],[Imports_TIV]]</f>
        <v>20000000</v>
      </c>
    </row>
    <row r="3590" spans="1:9">
      <c r="A3590" s="4" t="s">
        <v>145</v>
      </c>
      <c r="B3590" s="4" t="s">
        <v>146</v>
      </c>
      <c r="C3590" s="5">
        <v>2002</v>
      </c>
      <c r="D3590" s="4">
        <v>3212000000</v>
      </c>
      <c r="E3590" s="4">
        <v>1552000000</v>
      </c>
      <c r="F3590" s="4" t="str">
        <f>_xlfn.LET(_xlpm.r, _xlfn.XLOOKUP(Clean_Data[[#This Row],[Country_Code]], Metadata_Country!$A:$A, Metadata_Country!$B:$B, "Unknown"), IF(OR(_xlpm.r=0, _xlpm.r=""), "Regional Aggregate", _xlpm.r))</f>
        <v>Regional Aggregate</v>
      </c>
      <c r="G3590" s="4" t="str">
        <f>_xlfn.LET(_xlpm.ig, _xlfn.XLOOKUP(Clean_Data[[#This Row],[Country_Code]], Metadata_Country!$A:$A, Metadata_Country!$C:$C, "Unknown"), IF(OR(_xlpm.ig=0, _xlpm.ig=""), "Regional Aggregate", _xlpm.ig))</f>
        <v>Regional Aggregate</v>
      </c>
      <c r="H3590" s="4">
        <f>Clean_Data[[#This Row],[Exports_TIV]] - Clean_Data[[#This Row],[Imports_TIV]]</f>
        <v>1660000000</v>
      </c>
      <c r="I3590" s="4">
        <f>Clean_Data[[#This Row],[Exports_TIV]] + Clean_Data[[#This Row],[Imports_TIV]]</f>
        <v>4764000000</v>
      </c>
    </row>
    <row r="3591" spans="1:9">
      <c r="A3591" s="4" t="s">
        <v>139</v>
      </c>
      <c r="B3591" s="4" t="s">
        <v>140</v>
      </c>
      <c r="C3591" s="5">
        <v>2002</v>
      </c>
      <c r="D3591" s="4">
        <v>11162000000</v>
      </c>
      <c r="E3591" s="4">
        <v>3849000000</v>
      </c>
      <c r="F3591" s="4" t="str">
        <f>_xlfn.LET(_xlpm.r, _xlfn.XLOOKUP(Clean_Data[[#This Row],[Country_Code]], Metadata_Country!$A:$A, Metadata_Country!$B:$B, "Unknown"), IF(OR(_xlpm.r=0, _xlpm.r=""), "Regional Aggregate", _xlpm.r))</f>
        <v>Regional Aggregate</v>
      </c>
      <c r="G3591" s="4" t="str">
        <f>_xlfn.LET(_xlpm.ig, _xlfn.XLOOKUP(Clean_Data[[#This Row],[Country_Code]], Metadata_Country!$A:$A, Metadata_Country!$C:$C, "Unknown"), IF(OR(_xlpm.ig=0, _xlpm.ig=""), "Regional Aggregate", _xlpm.ig))</f>
        <v>Regional Aggregate</v>
      </c>
      <c r="H3591" s="4">
        <f>Clean_Data[[#This Row],[Exports_TIV]] - Clean_Data[[#This Row],[Imports_TIV]]</f>
        <v>7313000000</v>
      </c>
      <c r="I3591" s="4">
        <f>Clean_Data[[#This Row],[Exports_TIV]] + Clean_Data[[#This Row],[Imports_TIV]]</f>
        <v>15011000000</v>
      </c>
    </row>
    <row r="3592" spans="1:9">
      <c r="A3592" s="4" t="s">
        <v>137</v>
      </c>
      <c r="B3592" s="4" t="s">
        <v>138</v>
      </c>
      <c r="C3592" s="5">
        <v>2002</v>
      </c>
      <c r="D3592" s="4">
        <v>557000000</v>
      </c>
      <c r="E3592" s="4">
        <v>0</v>
      </c>
      <c r="F3592" s="4" t="str">
        <f>_xlfn.LET(_xlpm.r, _xlfn.XLOOKUP(Clean_Data[[#This Row],[Country_Code]], Metadata_Country!$A:$A, Metadata_Country!$B:$B, "Unknown"), IF(OR(_xlpm.r=0, _xlpm.r=""), "Regional Aggregate", _xlpm.r))</f>
        <v>Regional Aggregate</v>
      </c>
      <c r="G3592" s="4" t="str">
        <f>_xlfn.LET(_xlpm.ig, _xlfn.XLOOKUP(Clean_Data[[#This Row],[Country_Code]], Metadata_Country!$A:$A, Metadata_Country!$C:$C, "Unknown"), IF(OR(_xlpm.ig=0, _xlpm.ig=""), "Regional Aggregate", _xlpm.ig))</f>
        <v>Regional Aggregate</v>
      </c>
      <c r="H3592" s="4">
        <f>Clean_Data[[#This Row],[Exports_TIV]] - Clean_Data[[#This Row],[Imports_TIV]]</f>
        <v>557000000</v>
      </c>
      <c r="I3592" s="4">
        <f>Clean_Data[[#This Row],[Exports_TIV]] + Clean_Data[[#This Row],[Imports_TIV]]</f>
        <v>557000000</v>
      </c>
    </row>
    <row r="3593" spans="1:9">
      <c r="A3593" s="4" t="s">
        <v>471</v>
      </c>
      <c r="B3593" s="4" t="s">
        <v>472</v>
      </c>
      <c r="C3593" s="5">
        <v>2002</v>
      </c>
      <c r="D3593" s="4">
        <v>6385000000</v>
      </c>
      <c r="E3593" s="4">
        <v>0</v>
      </c>
      <c r="F3593" s="4" t="str">
        <f>_xlfn.LET(_xlpm.r, _xlfn.XLOOKUP(Clean_Data[[#This Row],[Country_Code]], Metadata_Country!$A:$A, Metadata_Country!$B:$B, "Unknown"), IF(OR(_xlpm.r=0, _xlpm.r=""), "Regional Aggregate", _xlpm.r))</f>
        <v>Regional Aggregate</v>
      </c>
      <c r="G3593" s="4" t="str">
        <f>_xlfn.LET(_xlpm.ig, _xlfn.XLOOKUP(Clean_Data[[#This Row],[Country_Code]], Metadata_Country!$A:$A, Metadata_Country!$C:$C, "Unknown"), IF(OR(_xlpm.ig=0, _xlpm.ig=""), "Regional Aggregate", _xlpm.ig))</f>
        <v>Regional Aggregate</v>
      </c>
      <c r="H3593" s="4">
        <f>Clean_Data[[#This Row],[Exports_TIV]] - Clean_Data[[#This Row],[Imports_TIV]]</f>
        <v>6385000000</v>
      </c>
      <c r="I3593" s="4">
        <f>Clean_Data[[#This Row],[Exports_TIV]] + Clean_Data[[#This Row],[Imports_TIV]]</f>
        <v>6385000000</v>
      </c>
    </row>
    <row r="3594" spans="1:9">
      <c r="A3594" s="4" t="s">
        <v>155</v>
      </c>
      <c r="B3594" s="4" t="s">
        <v>156</v>
      </c>
      <c r="C3594" s="5">
        <v>2002</v>
      </c>
      <c r="D3594" s="4">
        <v>3536000000</v>
      </c>
      <c r="E3594" s="4">
        <v>1981000000</v>
      </c>
      <c r="F3594" s="4" t="str">
        <f>_xlfn.LET(_xlpm.r, _xlfn.XLOOKUP(Clean_Data[[#This Row],[Country_Code]], Metadata_Country!$A:$A, Metadata_Country!$B:$B, "Unknown"), IF(OR(_xlpm.r=0, _xlpm.r=""), "Regional Aggregate", _xlpm.r))</f>
        <v>Regional Aggregate</v>
      </c>
      <c r="G3594" s="4" t="str">
        <f>_xlfn.LET(_xlpm.ig, _xlfn.XLOOKUP(Clean_Data[[#This Row],[Country_Code]], Metadata_Country!$A:$A, Metadata_Country!$C:$C, "Unknown"), IF(OR(_xlpm.ig=0, _xlpm.ig=""), "Regional Aggregate", _xlpm.ig))</f>
        <v>Regional Aggregate</v>
      </c>
      <c r="H3594" s="4">
        <f>Clean_Data[[#This Row],[Exports_TIV]] - Clean_Data[[#This Row],[Imports_TIV]]</f>
        <v>1555000000</v>
      </c>
      <c r="I3594" s="4">
        <f>Clean_Data[[#This Row],[Exports_TIV]] + Clean_Data[[#This Row],[Imports_TIV]]</f>
        <v>5517000000</v>
      </c>
    </row>
    <row r="3595" spans="1:9">
      <c r="A3595" s="4" t="s">
        <v>159</v>
      </c>
      <c r="B3595" s="4" t="s">
        <v>160</v>
      </c>
      <c r="C3595" s="5">
        <v>2002</v>
      </c>
      <c r="D3595" s="4">
        <v>35000000</v>
      </c>
      <c r="E3595" s="4">
        <v>15000000</v>
      </c>
      <c r="F3595" s="4" t="str">
        <f>_xlfn.LET(_xlpm.r, _xlfn.XLOOKUP(Clean_Data[[#This Row],[Country_Code]], Metadata_Country!$A:$A, Metadata_Country!$B:$B, "Unknown"), IF(OR(_xlpm.r=0, _xlpm.r=""), "Regional Aggregate", _xlpm.r))</f>
        <v>Europe &amp; Central Asia</v>
      </c>
      <c r="G3595" s="4" t="str">
        <f>_xlfn.LET(_xlpm.ig, _xlfn.XLOOKUP(Clean_Data[[#This Row],[Country_Code]], Metadata_Country!$A:$A, Metadata_Country!$C:$C, "Unknown"), IF(OR(_xlpm.ig=0, _xlpm.ig=""), "Regional Aggregate", _xlpm.ig))</f>
        <v>High income</v>
      </c>
      <c r="H3595" s="4">
        <f>Clean_Data[[#This Row],[Exports_TIV]] - Clean_Data[[#This Row],[Imports_TIV]]</f>
        <v>20000000</v>
      </c>
      <c r="I3595" s="4">
        <f>Clean_Data[[#This Row],[Exports_TIV]] + Clean_Data[[#This Row],[Imports_TIV]]</f>
        <v>50000000</v>
      </c>
    </row>
    <row r="3596" spans="1:9">
      <c r="A3596" s="4" t="s">
        <v>163</v>
      </c>
      <c r="B3596" s="4" t="s">
        <v>164</v>
      </c>
      <c r="C3596" s="5">
        <v>2002</v>
      </c>
      <c r="D3596" s="4">
        <v>1375000000</v>
      </c>
      <c r="E3596" s="4">
        <v>38000000</v>
      </c>
      <c r="F3596" s="4" t="str">
        <f>_xlfn.LET(_xlpm.r, _xlfn.XLOOKUP(Clean_Data[[#This Row],[Country_Code]], Metadata_Country!$A:$A, Metadata_Country!$B:$B, "Unknown"), IF(OR(_xlpm.r=0, _xlpm.r=""), "Regional Aggregate", _xlpm.r))</f>
        <v>Europe &amp; Central Asia</v>
      </c>
      <c r="G3596" s="4" t="str">
        <f>_xlfn.LET(_xlpm.ig, _xlfn.XLOOKUP(Clean_Data[[#This Row],[Country_Code]], Metadata_Country!$A:$A, Metadata_Country!$C:$C, "Unknown"), IF(OR(_xlpm.ig=0, _xlpm.ig=""), "Regional Aggregate", _xlpm.ig))</f>
        <v>High income</v>
      </c>
      <c r="H3596" s="4">
        <f>Clean_Data[[#This Row],[Exports_TIV]] - Clean_Data[[#This Row],[Imports_TIV]]</f>
        <v>1337000000</v>
      </c>
      <c r="I3596" s="4">
        <f>Clean_Data[[#This Row],[Exports_TIV]] + Clean_Data[[#This Row],[Imports_TIV]]</f>
        <v>1413000000</v>
      </c>
    </row>
    <row r="3597" spans="1:9">
      <c r="A3597" s="4" t="s">
        <v>173</v>
      </c>
      <c r="B3597" s="4" t="s">
        <v>174</v>
      </c>
      <c r="C3597" s="5">
        <v>2002</v>
      </c>
      <c r="D3597" s="4">
        <v>69000000</v>
      </c>
      <c r="E3597" s="4">
        <v>0</v>
      </c>
      <c r="F3597" s="4" t="str">
        <f>_xlfn.LET(_xlpm.r, _xlfn.XLOOKUP(Clean_Data[[#This Row],[Country_Code]], Metadata_Country!$A:$A, Metadata_Country!$B:$B, "Unknown"), IF(OR(_xlpm.r=0, _xlpm.r=""), "Regional Aggregate", _xlpm.r))</f>
        <v>Europe &amp; Central Asia</v>
      </c>
      <c r="G3597" s="4" t="str">
        <f>_xlfn.LET(_xlpm.ig, _xlfn.XLOOKUP(Clean_Data[[#This Row],[Country_Code]], Metadata_Country!$A:$A, Metadata_Country!$C:$C, "Unknown"), IF(OR(_xlpm.ig=0, _xlpm.ig=""), "Regional Aggregate", _xlpm.ig))</f>
        <v>Upper middle income</v>
      </c>
      <c r="H3597" s="4">
        <f>Clean_Data[[#This Row],[Exports_TIV]] - Clean_Data[[#This Row],[Imports_TIV]]</f>
        <v>69000000</v>
      </c>
      <c r="I3597" s="4">
        <f>Clean_Data[[#This Row],[Exports_TIV]] + Clean_Data[[#This Row],[Imports_TIV]]</f>
        <v>69000000</v>
      </c>
    </row>
    <row r="3598" spans="1:9">
      <c r="A3598" s="4" t="s">
        <v>119</v>
      </c>
      <c r="B3598" s="4" t="s">
        <v>120</v>
      </c>
      <c r="C3598" s="5">
        <v>2002</v>
      </c>
      <c r="D3598" s="4">
        <v>889000000</v>
      </c>
      <c r="E3598" s="4">
        <v>71000000</v>
      </c>
      <c r="F3598" s="4" t="str">
        <f>_xlfn.LET(_xlpm.r, _xlfn.XLOOKUP(Clean_Data[[#This Row],[Country_Code]], Metadata_Country!$A:$A, Metadata_Country!$B:$B, "Unknown"), IF(OR(_xlpm.r=0, _xlpm.r=""), "Regional Aggregate", _xlpm.r))</f>
        <v>Europe &amp; Central Asia</v>
      </c>
      <c r="G3598" s="4" t="str">
        <f>_xlfn.LET(_xlpm.ig, _xlfn.XLOOKUP(Clean_Data[[#This Row],[Country_Code]], Metadata_Country!$A:$A, Metadata_Country!$C:$C, "Unknown"), IF(OR(_xlpm.ig=0, _xlpm.ig=""), "Regional Aggregate", _xlpm.ig))</f>
        <v>High income</v>
      </c>
      <c r="H3598" s="4">
        <f>Clean_Data[[#This Row],[Exports_TIV]] - Clean_Data[[#This Row],[Imports_TIV]]</f>
        <v>818000000</v>
      </c>
      <c r="I3598" s="4">
        <f>Clean_Data[[#This Row],[Exports_TIV]] + Clean_Data[[#This Row],[Imports_TIV]]</f>
        <v>960000000</v>
      </c>
    </row>
    <row r="3599" spans="1:9">
      <c r="A3599" s="4" t="s">
        <v>175</v>
      </c>
      <c r="B3599" s="4" t="s">
        <v>176</v>
      </c>
      <c r="C3599" s="5">
        <v>2002</v>
      </c>
      <c r="D3599" s="4">
        <v>0</v>
      </c>
      <c r="E3599" s="4">
        <v>1000000</v>
      </c>
      <c r="F3599" s="4" t="str">
        <f>_xlfn.LET(_xlpm.r, _xlfn.XLOOKUP(Clean_Data[[#This Row],[Country_Code]], Metadata_Country!$A:$A, Metadata_Country!$B:$B, "Unknown"), IF(OR(_xlpm.r=0, _xlpm.r=""), "Regional Aggregate", _xlpm.r))</f>
        <v>Sub-Saharan Africa</v>
      </c>
      <c r="G3599" s="4" t="str">
        <f>_xlfn.LET(_xlpm.ig, _xlfn.XLOOKUP(Clean_Data[[#This Row],[Country_Code]], Metadata_Country!$A:$A, Metadata_Country!$C:$C, "Unknown"), IF(OR(_xlpm.ig=0, _xlpm.ig=""), "Regional Aggregate", _xlpm.ig))</f>
        <v>Lower middle income</v>
      </c>
      <c r="H3599" s="4">
        <f>Clean_Data[[#This Row],[Exports_TIV]] - Clean_Data[[#This Row],[Imports_TIV]]</f>
        <v>-1000000</v>
      </c>
      <c r="I3599" s="4">
        <f>Clean_Data[[#This Row],[Exports_TIV]] + Clean_Data[[#This Row],[Imports_TIV]]</f>
        <v>1000000</v>
      </c>
    </row>
    <row r="3600" spans="1:9">
      <c r="A3600" s="4" t="s">
        <v>187</v>
      </c>
      <c r="B3600" s="4" t="s">
        <v>188</v>
      </c>
      <c r="C3600" s="5">
        <v>2002</v>
      </c>
      <c r="D3600" s="4">
        <v>0</v>
      </c>
      <c r="E3600" s="4">
        <v>402000000</v>
      </c>
      <c r="F3600" s="4" t="str">
        <f>_xlfn.LET(_xlpm.r, _xlfn.XLOOKUP(Clean_Data[[#This Row],[Country_Code]], Metadata_Country!$A:$A, Metadata_Country!$B:$B, "Unknown"), IF(OR(_xlpm.r=0, _xlpm.r=""), "Regional Aggregate", _xlpm.r))</f>
        <v>Europe &amp; Central Asia</v>
      </c>
      <c r="G3600" s="4" t="str">
        <f>_xlfn.LET(_xlpm.ig, _xlfn.XLOOKUP(Clean_Data[[#This Row],[Country_Code]], Metadata_Country!$A:$A, Metadata_Country!$C:$C, "Unknown"), IF(OR(_xlpm.ig=0, _xlpm.ig=""), "Regional Aggregate", _xlpm.ig))</f>
        <v>High income</v>
      </c>
      <c r="H3600" s="4">
        <f>Clean_Data[[#This Row],[Exports_TIV]] - Clean_Data[[#This Row],[Imports_TIV]]</f>
        <v>-402000000</v>
      </c>
      <c r="I3600" s="4">
        <f>Clean_Data[[#This Row],[Exports_TIV]] + Clean_Data[[#This Row],[Imports_TIV]]</f>
        <v>402000000</v>
      </c>
    </row>
    <row r="3601" spans="1:9">
      <c r="A3601" s="4" t="s">
        <v>197</v>
      </c>
      <c r="B3601" s="4" t="s">
        <v>198</v>
      </c>
      <c r="C3601" s="5">
        <v>2002</v>
      </c>
      <c r="D3601" s="4">
        <v>0</v>
      </c>
      <c r="E3601" s="4">
        <v>3000000</v>
      </c>
      <c r="F3601" s="4" t="str">
        <f>_xlfn.LET(_xlpm.r, _xlfn.XLOOKUP(Clean_Data[[#This Row],[Country_Code]], Metadata_Country!$A:$A, Metadata_Country!$B:$B, "Unknown"), IF(OR(_xlpm.r=0, _xlpm.r=""), "Regional Aggregate", _xlpm.r))</f>
        <v>Latin America &amp; Caribbean</v>
      </c>
      <c r="G3601" s="4" t="str">
        <f>_xlfn.LET(_xlpm.ig, _xlfn.XLOOKUP(Clean_Data[[#This Row],[Country_Code]], Metadata_Country!$A:$A, Metadata_Country!$C:$C, "Unknown"), IF(OR(_xlpm.ig=0, _xlpm.ig=""), "Regional Aggregate", _xlpm.ig))</f>
        <v>High income</v>
      </c>
      <c r="H3601" s="4">
        <f>Clean_Data[[#This Row],[Exports_TIV]] - Clean_Data[[#This Row],[Imports_TIV]]</f>
        <v>-3000000</v>
      </c>
      <c r="I3601" s="4">
        <f>Clean_Data[[#This Row],[Exports_TIV]] + Clean_Data[[#This Row],[Imports_TIV]]</f>
        <v>3000000</v>
      </c>
    </row>
    <row r="3602" spans="1:9">
      <c r="A3602" s="4" t="s">
        <v>199</v>
      </c>
      <c r="B3602" s="4" t="s">
        <v>200</v>
      </c>
      <c r="C3602" s="5">
        <v>2002</v>
      </c>
      <c r="D3602" s="4">
        <v>16239000000</v>
      </c>
      <c r="E3602" s="4">
        <v>7264000000</v>
      </c>
      <c r="F3602" s="4" t="str">
        <f>_xlfn.LET(_xlpm.r, _xlfn.XLOOKUP(Clean_Data[[#This Row],[Country_Code]], Metadata_Country!$A:$A, Metadata_Country!$B:$B, "Unknown"), IF(OR(_xlpm.r=0, _xlpm.r=""), "Regional Aggregate", _xlpm.r))</f>
        <v>Regional Aggregate</v>
      </c>
      <c r="G3602" s="4" t="str">
        <f>_xlfn.LET(_xlpm.ig, _xlfn.XLOOKUP(Clean_Data[[#This Row],[Country_Code]], Metadata_Country!$A:$A, Metadata_Country!$C:$C, "Unknown"), IF(OR(_xlpm.ig=0, _xlpm.ig=""), "Regional Aggregate", _xlpm.ig))</f>
        <v>Regional Aggregate</v>
      </c>
      <c r="H3602" s="4">
        <f>Clean_Data[[#This Row],[Exports_TIV]] - Clean_Data[[#This Row],[Imports_TIV]]</f>
        <v>8975000000</v>
      </c>
      <c r="I3602" s="4">
        <f>Clean_Data[[#This Row],[Exports_TIV]] + Clean_Data[[#This Row],[Imports_TIV]]</f>
        <v>23503000000</v>
      </c>
    </row>
    <row r="3603" spans="1:9">
      <c r="A3603" s="4" t="s">
        <v>211</v>
      </c>
      <c r="B3603" s="4" t="s">
        <v>212</v>
      </c>
      <c r="C3603" s="5">
        <v>2002</v>
      </c>
      <c r="D3603" s="4">
        <v>34000000</v>
      </c>
      <c r="E3603" s="4">
        <v>0</v>
      </c>
      <c r="F3603" s="4" t="str">
        <f>_xlfn.LET(_xlpm.r, _xlfn.XLOOKUP(Clean_Data[[#This Row],[Country_Code]], Metadata_Country!$A:$A, Metadata_Country!$B:$B, "Unknown"), IF(OR(_xlpm.r=0, _xlpm.r=""), "Regional Aggregate", _xlpm.r))</f>
        <v>Europe &amp; Central Asia</v>
      </c>
      <c r="G3603" s="4" t="str">
        <f>_xlfn.LET(_xlpm.ig, _xlfn.XLOOKUP(Clean_Data[[#This Row],[Country_Code]], Metadata_Country!$A:$A, Metadata_Country!$C:$C, "Unknown"), IF(OR(_xlpm.ig=0, _xlpm.ig=""), "Regional Aggregate", _xlpm.ig))</f>
        <v>High income</v>
      </c>
      <c r="H3603" s="4">
        <f>Clean_Data[[#This Row],[Exports_TIV]] - Clean_Data[[#This Row],[Imports_TIV]]</f>
        <v>34000000</v>
      </c>
      <c r="I3603" s="4">
        <f>Clean_Data[[#This Row],[Exports_TIV]] + Clean_Data[[#This Row],[Imports_TIV]]</f>
        <v>34000000</v>
      </c>
    </row>
    <row r="3604" spans="1:9">
      <c r="A3604" s="4" t="s">
        <v>213</v>
      </c>
      <c r="B3604" s="4" t="s">
        <v>214</v>
      </c>
      <c r="C3604" s="5">
        <v>2002</v>
      </c>
      <c r="D3604" s="4">
        <v>0</v>
      </c>
      <c r="E3604" s="4">
        <v>9004000000</v>
      </c>
      <c r="F3604" s="4" t="str">
        <f>_xlfn.LET(_xlpm.r, _xlfn.XLOOKUP(Clean_Data[[#This Row],[Country_Code]], Metadata_Country!$A:$A, Metadata_Country!$B:$B, "Unknown"), IF(OR(_xlpm.r=0, _xlpm.r=""), "Regional Aggregate", _xlpm.r))</f>
        <v>Regional Aggregate</v>
      </c>
      <c r="G3604" s="4" t="str">
        <f>_xlfn.LET(_xlpm.ig, _xlfn.XLOOKUP(Clean_Data[[#This Row],[Country_Code]], Metadata_Country!$A:$A, Metadata_Country!$C:$C, "Unknown"), IF(OR(_xlpm.ig=0, _xlpm.ig=""), "Regional Aggregate", _xlpm.ig))</f>
        <v>Regional Aggregate</v>
      </c>
      <c r="H3604" s="4">
        <f>Clean_Data[[#This Row],[Exports_TIV]] - Clean_Data[[#This Row],[Imports_TIV]]</f>
        <v>-9004000000</v>
      </c>
      <c r="I3604" s="4">
        <f>Clean_Data[[#This Row],[Exports_TIV]] + Clean_Data[[#This Row],[Imports_TIV]]</f>
        <v>9004000000</v>
      </c>
    </row>
    <row r="3605" spans="1:9">
      <c r="A3605" s="4" t="s">
        <v>215</v>
      </c>
      <c r="B3605" s="4" t="s">
        <v>216</v>
      </c>
      <c r="C3605" s="5">
        <v>2002</v>
      </c>
      <c r="D3605" s="4">
        <v>0</v>
      </c>
      <c r="E3605" s="4">
        <v>10719000000</v>
      </c>
      <c r="F3605" s="4" t="str">
        <f>_xlfn.LET(_xlpm.r, _xlfn.XLOOKUP(Clean_Data[[#This Row],[Country_Code]], Metadata_Country!$A:$A, Metadata_Country!$B:$B, "Unknown"), IF(OR(_xlpm.r=0, _xlpm.r=""), "Regional Aggregate", _xlpm.r))</f>
        <v>Regional Aggregate</v>
      </c>
      <c r="G3605" s="4" t="str">
        <f>_xlfn.LET(_xlpm.ig, _xlfn.XLOOKUP(Clean_Data[[#This Row],[Country_Code]], Metadata_Country!$A:$A, Metadata_Country!$C:$C, "Unknown"), IF(OR(_xlpm.ig=0, _xlpm.ig=""), "Regional Aggregate", _xlpm.ig))</f>
        <v>Regional Aggregate</v>
      </c>
      <c r="H3605" s="4">
        <f>Clean_Data[[#This Row],[Exports_TIV]] - Clean_Data[[#This Row],[Imports_TIV]]</f>
        <v>-10719000000</v>
      </c>
      <c r="I3605" s="4">
        <f>Clean_Data[[#This Row],[Exports_TIV]] + Clean_Data[[#This Row],[Imports_TIV]]</f>
        <v>10719000000</v>
      </c>
    </row>
    <row r="3606" spans="1:9">
      <c r="A3606" s="4" t="s">
        <v>219</v>
      </c>
      <c r="B3606" s="4" t="s">
        <v>220</v>
      </c>
      <c r="C3606" s="5">
        <v>2002</v>
      </c>
      <c r="D3606" s="4">
        <v>0</v>
      </c>
      <c r="E3606" s="4">
        <v>623000000</v>
      </c>
      <c r="F3606" s="4" t="str">
        <f>_xlfn.LET(_xlpm.r, _xlfn.XLOOKUP(Clean_Data[[#This Row],[Country_Code]], Metadata_Country!$A:$A, Metadata_Country!$B:$B, "Unknown"), IF(OR(_xlpm.r=0, _xlpm.r=""), "Regional Aggregate", _xlpm.r))</f>
        <v>Regional Aggregate</v>
      </c>
      <c r="G3606" s="4" t="str">
        <f>_xlfn.LET(_xlpm.ig, _xlfn.XLOOKUP(Clean_Data[[#This Row],[Country_Code]], Metadata_Country!$A:$A, Metadata_Country!$C:$C, "Unknown"), IF(OR(_xlpm.ig=0, _xlpm.ig=""), "Regional Aggregate", _xlpm.ig))</f>
        <v>Regional Aggregate</v>
      </c>
      <c r="H3606" s="4">
        <f>Clean_Data[[#This Row],[Exports_TIV]] - Clean_Data[[#This Row],[Imports_TIV]]</f>
        <v>-623000000</v>
      </c>
      <c r="I3606" s="4">
        <f>Clean_Data[[#This Row],[Exports_TIV]] + Clean_Data[[#This Row],[Imports_TIV]]</f>
        <v>623000000</v>
      </c>
    </row>
    <row r="3607" spans="1:9">
      <c r="A3607" s="4" t="s">
        <v>223</v>
      </c>
      <c r="B3607" s="4" t="s">
        <v>224</v>
      </c>
      <c r="C3607" s="5">
        <v>2002</v>
      </c>
      <c r="D3607" s="4">
        <v>0</v>
      </c>
      <c r="E3607" s="4">
        <v>1092000000</v>
      </c>
      <c r="F3607" s="4" t="str">
        <f>_xlfn.LET(_xlpm.r, _xlfn.XLOOKUP(Clean_Data[[#This Row],[Country_Code]], Metadata_Country!$A:$A, Metadata_Country!$B:$B, "Unknown"), IF(OR(_xlpm.r=0, _xlpm.r=""), "Regional Aggregate", _xlpm.r))</f>
        <v>Regional Aggregate</v>
      </c>
      <c r="G3607" s="4" t="str">
        <f>_xlfn.LET(_xlpm.ig, _xlfn.XLOOKUP(Clean_Data[[#This Row],[Country_Code]], Metadata_Country!$A:$A, Metadata_Country!$C:$C, "Unknown"), IF(OR(_xlpm.ig=0, _xlpm.ig=""), "Regional Aggregate", _xlpm.ig))</f>
        <v>Regional Aggregate</v>
      </c>
      <c r="H3607" s="4">
        <f>Clean_Data[[#This Row],[Exports_TIV]] - Clean_Data[[#This Row],[Imports_TIV]]</f>
        <v>-1092000000</v>
      </c>
      <c r="I3607" s="4">
        <f>Clean_Data[[#This Row],[Exports_TIV]] + Clean_Data[[#This Row],[Imports_TIV]]</f>
        <v>1092000000</v>
      </c>
    </row>
    <row r="3608" spans="1:9">
      <c r="A3608" s="4" t="s">
        <v>217</v>
      </c>
      <c r="B3608" s="4" t="s">
        <v>218</v>
      </c>
      <c r="C3608" s="5">
        <v>2002</v>
      </c>
      <c r="D3608" s="4">
        <v>0</v>
      </c>
      <c r="E3608" s="4">
        <v>1715000000</v>
      </c>
      <c r="F3608" s="4" t="str">
        <f>_xlfn.LET(_xlpm.r, _xlfn.XLOOKUP(Clean_Data[[#This Row],[Country_Code]], Metadata_Country!$A:$A, Metadata_Country!$B:$B, "Unknown"), IF(OR(_xlpm.r=0, _xlpm.r=""), "Regional Aggregate", _xlpm.r))</f>
        <v>Regional Aggregate</v>
      </c>
      <c r="G3608" s="4" t="str">
        <f>_xlfn.LET(_xlpm.ig, _xlfn.XLOOKUP(Clean_Data[[#This Row],[Country_Code]], Metadata_Country!$A:$A, Metadata_Country!$C:$C, "Unknown"), IF(OR(_xlpm.ig=0, _xlpm.ig=""), "Regional Aggregate", _xlpm.ig))</f>
        <v>Regional Aggregate</v>
      </c>
      <c r="H3608" s="4">
        <f>Clean_Data[[#This Row],[Exports_TIV]] - Clean_Data[[#This Row],[Imports_TIV]]</f>
        <v>-1715000000</v>
      </c>
      <c r="I3608" s="4">
        <f>Clean_Data[[#This Row],[Exports_TIV]] + Clean_Data[[#This Row],[Imports_TIV]]</f>
        <v>1715000000</v>
      </c>
    </row>
    <row r="3609" spans="1:9">
      <c r="A3609" s="4" t="s">
        <v>227</v>
      </c>
      <c r="B3609" s="4" t="s">
        <v>228</v>
      </c>
      <c r="C3609" s="5">
        <v>2002</v>
      </c>
      <c r="D3609" s="4">
        <v>0</v>
      </c>
      <c r="E3609" s="4">
        <v>1902000000</v>
      </c>
      <c r="F3609" s="4" t="str">
        <f>_xlfn.LET(_xlpm.r, _xlfn.XLOOKUP(Clean_Data[[#This Row],[Country_Code]], Metadata_Country!$A:$A, Metadata_Country!$B:$B, "Unknown"), IF(OR(_xlpm.r=0, _xlpm.r=""), "Regional Aggregate", _xlpm.r))</f>
        <v>South Asia</v>
      </c>
      <c r="G3609" s="4" t="str">
        <f>_xlfn.LET(_xlpm.ig, _xlfn.XLOOKUP(Clean_Data[[#This Row],[Country_Code]], Metadata_Country!$A:$A, Metadata_Country!$C:$C, "Unknown"), IF(OR(_xlpm.ig=0, _xlpm.ig=""), "Regional Aggregate", _xlpm.ig))</f>
        <v>Lower middle income</v>
      </c>
      <c r="H3609" s="4">
        <f>Clean_Data[[#This Row],[Exports_TIV]] - Clean_Data[[#This Row],[Imports_TIV]]</f>
        <v>-1902000000</v>
      </c>
      <c r="I3609" s="4">
        <f>Clean_Data[[#This Row],[Exports_TIV]] + Clean_Data[[#This Row],[Imports_TIV]]</f>
        <v>1902000000</v>
      </c>
    </row>
    <row r="3610" spans="1:9">
      <c r="A3610" s="4" t="s">
        <v>221</v>
      </c>
      <c r="B3610" s="4" t="s">
        <v>222</v>
      </c>
      <c r="C3610" s="5">
        <v>2002</v>
      </c>
      <c r="D3610" s="4">
        <v>54000000</v>
      </c>
      <c r="E3610" s="4">
        <v>67000000</v>
      </c>
      <c r="F3610" s="4" t="str">
        <f>_xlfn.LET(_xlpm.r, _xlfn.XLOOKUP(Clean_Data[[#This Row],[Country_Code]], Metadata_Country!$A:$A, Metadata_Country!$B:$B, "Unknown"), IF(OR(_xlpm.r=0, _xlpm.r=""), "Regional Aggregate", _xlpm.r))</f>
        <v>East Asia &amp; Pacific</v>
      </c>
      <c r="G3610" s="4" t="str">
        <f>_xlfn.LET(_xlpm.ig, _xlfn.XLOOKUP(Clean_Data[[#This Row],[Country_Code]], Metadata_Country!$A:$A, Metadata_Country!$C:$C, "Unknown"), IF(OR(_xlpm.ig=0, _xlpm.ig=""), "Regional Aggregate", _xlpm.ig))</f>
        <v>Upper middle income</v>
      </c>
      <c r="H3610" s="4">
        <f>Clean_Data[[#This Row],[Exports_TIV]] - Clean_Data[[#This Row],[Imports_TIV]]</f>
        <v>-13000000</v>
      </c>
      <c r="I3610" s="4">
        <f>Clean_Data[[#This Row],[Exports_TIV]] + Clean_Data[[#This Row],[Imports_TIV]]</f>
        <v>121000000</v>
      </c>
    </row>
    <row r="3611" spans="1:9">
      <c r="A3611" s="4" t="s">
        <v>233</v>
      </c>
      <c r="B3611" s="4" t="s">
        <v>234</v>
      </c>
      <c r="C3611" s="5">
        <v>2002</v>
      </c>
      <c r="D3611" s="4">
        <v>9000000</v>
      </c>
      <c r="E3611" s="4">
        <v>435000000</v>
      </c>
      <c r="F3611" s="4" t="str">
        <f>_xlfn.LET(_xlpm.r, _xlfn.XLOOKUP(Clean_Data[[#This Row],[Country_Code]], Metadata_Country!$A:$A, Metadata_Country!$B:$B, "Unknown"), IF(OR(_xlpm.r=0, _xlpm.r=""), "Regional Aggregate", _xlpm.r))</f>
        <v>Middle East &amp; North Africa</v>
      </c>
      <c r="G3611" s="4" t="str">
        <f>_xlfn.LET(_xlpm.ig, _xlfn.XLOOKUP(Clean_Data[[#This Row],[Country_Code]], Metadata_Country!$A:$A, Metadata_Country!$C:$C, "Unknown"), IF(OR(_xlpm.ig=0, _xlpm.ig=""), "Regional Aggregate", _xlpm.ig))</f>
        <v>Upper middle income</v>
      </c>
      <c r="H3611" s="4">
        <f>Clean_Data[[#This Row],[Exports_TIV]] - Clean_Data[[#This Row],[Imports_TIV]]</f>
        <v>-426000000</v>
      </c>
      <c r="I3611" s="4">
        <f>Clean_Data[[#This Row],[Exports_TIV]] + Clean_Data[[#This Row],[Imports_TIV]]</f>
        <v>444000000</v>
      </c>
    </row>
    <row r="3612" spans="1:9">
      <c r="A3612" s="4" t="s">
        <v>231</v>
      </c>
      <c r="B3612" s="4" t="s">
        <v>232</v>
      </c>
      <c r="C3612" s="5">
        <v>2002</v>
      </c>
      <c r="D3612" s="4">
        <v>0</v>
      </c>
      <c r="E3612" s="4">
        <v>21000000</v>
      </c>
      <c r="F3612" s="4" t="str">
        <f>_xlfn.LET(_xlpm.r, _xlfn.XLOOKUP(Clean_Data[[#This Row],[Country_Code]], Metadata_Country!$A:$A, Metadata_Country!$B:$B, "Unknown"), IF(OR(_xlpm.r=0, _xlpm.r=""), "Regional Aggregate", _xlpm.r))</f>
        <v>Europe &amp; Central Asia</v>
      </c>
      <c r="G3612" s="4" t="str">
        <f>_xlfn.LET(_xlpm.ig, _xlfn.XLOOKUP(Clean_Data[[#This Row],[Country_Code]], Metadata_Country!$A:$A, Metadata_Country!$C:$C, "Unknown"), IF(OR(_xlpm.ig=0, _xlpm.ig=""), "Regional Aggregate", _xlpm.ig))</f>
        <v>High income</v>
      </c>
      <c r="H3612" s="4">
        <f>Clean_Data[[#This Row],[Exports_TIV]] - Clean_Data[[#This Row],[Imports_TIV]]</f>
        <v>-21000000</v>
      </c>
      <c r="I3612" s="4">
        <f>Clean_Data[[#This Row],[Exports_TIV]] + Clean_Data[[#This Row],[Imports_TIV]]</f>
        <v>21000000</v>
      </c>
    </row>
    <row r="3613" spans="1:9">
      <c r="A3613" s="4" t="s">
        <v>239</v>
      </c>
      <c r="B3613" s="4" t="s">
        <v>240</v>
      </c>
      <c r="C3613" s="5">
        <v>2002</v>
      </c>
      <c r="D3613" s="4">
        <v>532000000</v>
      </c>
      <c r="E3613" s="4">
        <v>350000000</v>
      </c>
      <c r="F3613" s="4" t="str">
        <f>_xlfn.LET(_xlpm.r, _xlfn.XLOOKUP(Clean_Data[[#This Row],[Country_Code]], Metadata_Country!$A:$A, Metadata_Country!$B:$B, "Unknown"), IF(OR(_xlpm.r=0, _xlpm.r=""), "Regional Aggregate", _xlpm.r))</f>
        <v>Middle East &amp; North Africa</v>
      </c>
      <c r="G3613" s="4" t="str">
        <f>_xlfn.LET(_xlpm.ig, _xlfn.XLOOKUP(Clean_Data[[#This Row],[Country_Code]], Metadata_Country!$A:$A, Metadata_Country!$C:$C, "Unknown"), IF(OR(_xlpm.ig=0, _xlpm.ig=""), "Regional Aggregate", _xlpm.ig))</f>
        <v>High income</v>
      </c>
      <c r="H3613" s="4">
        <f>Clean_Data[[#This Row],[Exports_TIV]] - Clean_Data[[#This Row],[Imports_TIV]]</f>
        <v>182000000</v>
      </c>
      <c r="I3613" s="4">
        <f>Clean_Data[[#This Row],[Exports_TIV]] + Clean_Data[[#This Row],[Imports_TIV]]</f>
        <v>882000000</v>
      </c>
    </row>
    <row r="3614" spans="1:9">
      <c r="A3614" s="4" t="s">
        <v>241</v>
      </c>
      <c r="B3614" s="4" t="s">
        <v>242</v>
      </c>
      <c r="C3614" s="5">
        <v>2002</v>
      </c>
      <c r="D3614" s="4">
        <v>474000000</v>
      </c>
      <c r="E3614" s="4">
        <v>240000000</v>
      </c>
      <c r="F3614" s="4" t="str">
        <f>_xlfn.LET(_xlpm.r, _xlfn.XLOOKUP(Clean_Data[[#This Row],[Country_Code]], Metadata_Country!$A:$A, Metadata_Country!$B:$B, "Unknown"), IF(OR(_xlpm.r=0, _xlpm.r=""), "Regional Aggregate", _xlpm.r))</f>
        <v>Europe &amp; Central Asia</v>
      </c>
      <c r="G3614" s="4" t="str">
        <f>_xlfn.LET(_xlpm.ig, _xlfn.XLOOKUP(Clean_Data[[#This Row],[Country_Code]], Metadata_Country!$A:$A, Metadata_Country!$C:$C, "Unknown"), IF(OR(_xlpm.ig=0, _xlpm.ig=""), "Regional Aggregate", _xlpm.ig))</f>
        <v>High income</v>
      </c>
      <c r="H3614" s="4">
        <f>Clean_Data[[#This Row],[Exports_TIV]] - Clean_Data[[#This Row],[Imports_TIV]]</f>
        <v>234000000</v>
      </c>
      <c r="I3614" s="4">
        <f>Clean_Data[[#This Row],[Exports_TIV]] + Clean_Data[[#This Row],[Imports_TIV]]</f>
        <v>714000000</v>
      </c>
    </row>
    <row r="3615" spans="1:9">
      <c r="A3615" s="4" t="s">
        <v>247</v>
      </c>
      <c r="B3615" s="4" t="s">
        <v>248</v>
      </c>
      <c r="C3615" s="5">
        <v>2002</v>
      </c>
      <c r="D3615" s="4">
        <v>0</v>
      </c>
      <c r="E3615" s="4">
        <v>442000000</v>
      </c>
      <c r="F3615" s="4" t="str">
        <f>_xlfn.LET(_xlpm.r, _xlfn.XLOOKUP(Clean_Data[[#This Row],[Country_Code]], Metadata_Country!$A:$A, Metadata_Country!$B:$B, "Unknown"), IF(OR(_xlpm.r=0, _xlpm.r=""), "Regional Aggregate", _xlpm.r))</f>
        <v>East Asia &amp; Pacific</v>
      </c>
      <c r="G3615" s="4" t="str">
        <f>_xlfn.LET(_xlpm.ig, _xlfn.XLOOKUP(Clean_Data[[#This Row],[Country_Code]], Metadata_Country!$A:$A, Metadata_Country!$C:$C, "Unknown"), IF(OR(_xlpm.ig=0, _xlpm.ig=""), "Regional Aggregate", _xlpm.ig))</f>
        <v>High income</v>
      </c>
      <c r="H3615" s="4">
        <f>Clean_Data[[#This Row],[Exports_TIV]] - Clean_Data[[#This Row],[Imports_TIV]]</f>
        <v>-442000000</v>
      </c>
      <c r="I3615" s="4">
        <f>Clean_Data[[#This Row],[Exports_TIV]] + Clean_Data[[#This Row],[Imports_TIV]]</f>
        <v>442000000</v>
      </c>
    </row>
    <row r="3616" spans="1:9">
      <c r="A3616" s="4" t="s">
        <v>245</v>
      </c>
      <c r="B3616" s="4" t="s">
        <v>246</v>
      </c>
      <c r="C3616" s="5">
        <v>2002</v>
      </c>
      <c r="D3616" s="4">
        <v>0</v>
      </c>
      <c r="E3616" s="4">
        <v>132000000</v>
      </c>
      <c r="F3616" s="4" t="str">
        <f>_xlfn.LET(_xlpm.r, _xlfn.XLOOKUP(Clean_Data[[#This Row],[Country_Code]], Metadata_Country!$A:$A, Metadata_Country!$B:$B, "Unknown"), IF(OR(_xlpm.r=0, _xlpm.r=""), "Regional Aggregate", _xlpm.r))</f>
        <v>Middle East &amp; North Africa</v>
      </c>
      <c r="G3616" s="4" t="str">
        <f>_xlfn.LET(_xlpm.ig, _xlfn.XLOOKUP(Clean_Data[[#This Row],[Country_Code]], Metadata_Country!$A:$A, Metadata_Country!$C:$C, "Unknown"), IF(OR(_xlpm.ig=0, _xlpm.ig=""), "Regional Aggregate", _xlpm.ig))</f>
        <v>Upper middle income</v>
      </c>
      <c r="H3616" s="4">
        <f>Clean_Data[[#This Row],[Exports_TIV]] - Clean_Data[[#This Row],[Imports_TIV]]</f>
        <v>-132000000</v>
      </c>
      <c r="I3616" s="4">
        <f>Clean_Data[[#This Row],[Exports_TIV]] + Clean_Data[[#This Row],[Imports_TIV]]</f>
        <v>132000000</v>
      </c>
    </row>
    <row r="3617" spans="1:9">
      <c r="A3617" s="4" t="s">
        <v>249</v>
      </c>
      <c r="B3617" s="4" t="s">
        <v>250</v>
      </c>
      <c r="C3617" s="5">
        <v>2002</v>
      </c>
      <c r="D3617" s="4">
        <v>0</v>
      </c>
      <c r="E3617" s="4">
        <v>22000000</v>
      </c>
      <c r="F3617" s="4" t="str">
        <f>_xlfn.LET(_xlpm.r, _xlfn.XLOOKUP(Clean_Data[[#This Row],[Country_Code]], Metadata_Country!$A:$A, Metadata_Country!$B:$B, "Unknown"), IF(OR(_xlpm.r=0, _xlpm.r=""), "Regional Aggregate", _xlpm.r))</f>
        <v>Europe &amp; Central Asia</v>
      </c>
      <c r="G3617" s="4" t="str">
        <f>_xlfn.LET(_xlpm.ig, _xlfn.XLOOKUP(Clean_Data[[#This Row],[Country_Code]], Metadata_Country!$A:$A, Metadata_Country!$C:$C, "Unknown"), IF(OR(_xlpm.ig=0, _xlpm.ig=""), "Regional Aggregate", _xlpm.ig))</f>
        <v>Upper middle income</v>
      </c>
      <c r="H3617" s="4">
        <f>Clean_Data[[#This Row],[Exports_TIV]] - Clean_Data[[#This Row],[Imports_TIV]]</f>
        <v>-22000000</v>
      </c>
      <c r="I3617" s="4">
        <f>Clean_Data[[#This Row],[Exports_TIV]] + Clean_Data[[#This Row],[Imports_TIV]]</f>
        <v>22000000</v>
      </c>
    </row>
    <row r="3618" spans="1:9">
      <c r="A3618" s="4" t="s">
        <v>395</v>
      </c>
      <c r="B3618" s="4" t="s">
        <v>396</v>
      </c>
      <c r="C3618" s="5">
        <v>2002</v>
      </c>
      <c r="D3618" s="4">
        <v>150000000</v>
      </c>
      <c r="E3618" s="4">
        <v>54000000</v>
      </c>
      <c r="F3618" s="4" t="str">
        <f>_xlfn.LET(_xlpm.r, _xlfn.XLOOKUP(Clean_Data[[#This Row],[Country_Code]], Metadata_Country!$A:$A, Metadata_Country!$B:$B, "Unknown"), IF(OR(_xlpm.r=0, _xlpm.r=""), "Regional Aggregate", _xlpm.r))</f>
        <v>East Asia &amp; Pacific</v>
      </c>
      <c r="G3618" s="4" t="str">
        <f>_xlfn.LET(_xlpm.ig, _xlfn.XLOOKUP(Clean_Data[[#This Row],[Country_Code]], Metadata_Country!$A:$A, Metadata_Country!$C:$C, "Unknown"), IF(OR(_xlpm.ig=0, _xlpm.ig=""), "Regional Aggregate", _xlpm.ig))</f>
        <v>Low income</v>
      </c>
      <c r="H3618" s="4">
        <f>Clean_Data[[#This Row],[Exports_TIV]] - Clean_Data[[#This Row],[Imports_TIV]]</f>
        <v>96000000</v>
      </c>
      <c r="I3618" s="4">
        <f>Clean_Data[[#This Row],[Exports_TIV]] + Clean_Data[[#This Row],[Imports_TIV]]</f>
        <v>204000000</v>
      </c>
    </row>
    <row r="3619" spans="1:9">
      <c r="A3619" s="4" t="s">
        <v>261</v>
      </c>
      <c r="B3619" s="4" t="s">
        <v>262</v>
      </c>
      <c r="C3619" s="5">
        <v>2002</v>
      </c>
      <c r="D3619" s="4">
        <v>0</v>
      </c>
      <c r="E3619" s="4">
        <v>519000000</v>
      </c>
      <c r="F3619" s="4" t="str">
        <f>_xlfn.LET(_xlpm.r, _xlfn.XLOOKUP(Clean_Data[[#This Row],[Country_Code]], Metadata_Country!$A:$A, Metadata_Country!$B:$B, "Unknown"), IF(OR(_xlpm.r=0, _xlpm.r=""), "Regional Aggregate", _xlpm.r))</f>
        <v>East Asia &amp; Pacific</v>
      </c>
      <c r="G3619" s="4" t="str">
        <f>_xlfn.LET(_xlpm.ig, _xlfn.XLOOKUP(Clean_Data[[#This Row],[Country_Code]], Metadata_Country!$A:$A, Metadata_Country!$C:$C, "Unknown"), IF(OR(_xlpm.ig=0, _xlpm.ig=""), "Regional Aggregate", _xlpm.ig))</f>
        <v>High income</v>
      </c>
      <c r="H3619" s="4">
        <f>Clean_Data[[#This Row],[Exports_TIV]] - Clean_Data[[#This Row],[Imports_TIV]]</f>
        <v>-519000000</v>
      </c>
      <c r="I3619" s="4">
        <f>Clean_Data[[#This Row],[Exports_TIV]] + Clean_Data[[#This Row],[Imports_TIV]]</f>
        <v>519000000</v>
      </c>
    </row>
    <row r="3620" spans="1:9">
      <c r="A3620" s="4" t="s">
        <v>263</v>
      </c>
      <c r="B3620" s="4" t="s">
        <v>264</v>
      </c>
      <c r="C3620" s="5">
        <v>2002</v>
      </c>
      <c r="D3620" s="4">
        <v>0</v>
      </c>
      <c r="E3620" s="4">
        <v>22000000</v>
      </c>
      <c r="F3620" s="4" t="str">
        <f>_xlfn.LET(_xlpm.r, _xlfn.XLOOKUP(Clean_Data[[#This Row],[Country_Code]], Metadata_Country!$A:$A, Metadata_Country!$B:$B, "Unknown"), IF(OR(_xlpm.r=0, _xlpm.r=""), "Regional Aggregate", _xlpm.r))</f>
        <v>Middle East &amp; North Africa</v>
      </c>
      <c r="G3620" s="4" t="str">
        <f>_xlfn.LET(_xlpm.ig, _xlfn.XLOOKUP(Clean_Data[[#This Row],[Country_Code]], Metadata_Country!$A:$A, Metadata_Country!$C:$C, "Unknown"), IF(OR(_xlpm.ig=0, _xlpm.ig=""), "Regional Aggregate", _xlpm.ig))</f>
        <v>High income</v>
      </c>
      <c r="H3620" s="4">
        <f>Clean_Data[[#This Row],[Exports_TIV]] - Clean_Data[[#This Row],[Imports_TIV]]</f>
        <v>-22000000</v>
      </c>
      <c r="I3620" s="4">
        <f>Clean_Data[[#This Row],[Exports_TIV]] + Clean_Data[[#This Row],[Imports_TIV]]</f>
        <v>22000000</v>
      </c>
    </row>
    <row r="3621" spans="1:9">
      <c r="A3621" s="4" t="s">
        <v>293</v>
      </c>
      <c r="B3621" s="4" t="s">
        <v>294</v>
      </c>
      <c r="C3621" s="5">
        <v>2002</v>
      </c>
      <c r="D3621" s="4">
        <v>0</v>
      </c>
      <c r="E3621" s="4">
        <v>4770000000</v>
      </c>
      <c r="F3621" s="4" t="str">
        <f>_xlfn.LET(_xlpm.r, _xlfn.XLOOKUP(Clean_Data[[#This Row],[Country_Code]], Metadata_Country!$A:$A, Metadata_Country!$B:$B, "Unknown"), IF(OR(_xlpm.r=0, _xlpm.r=""), "Regional Aggregate", _xlpm.r))</f>
        <v>Regional Aggregate</v>
      </c>
      <c r="G3621" s="4" t="str">
        <f>_xlfn.LET(_xlpm.ig, _xlfn.XLOOKUP(Clean_Data[[#This Row],[Country_Code]], Metadata_Country!$A:$A, Metadata_Country!$C:$C, "Unknown"), IF(OR(_xlpm.ig=0, _xlpm.ig=""), "Regional Aggregate", _xlpm.ig))</f>
        <v>Regional Aggregate</v>
      </c>
      <c r="H3621" s="4">
        <f>Clean_Data[[#This Row],[Exports_TIV]] - Clean_Data[[#This Row],[Imports_TIV]]</f>
        <v>-4770000000</v>
      </c>
      <c r="I3621" s="4">
        <f>Clean_Data[[#This Row],[Exports_TIV]] + Clean_Data[[#This Row],[Imports_TIV]]</f>
        <v>4770000000</v>
      </c>
    </row>
    <row r="3622" spans="1:9">
      <c r="A3622" s="4" t="s">
        <v>277</v>
      </c>
      <c r="B3622" s="4" t="s">
        <v>278</v>
      </c>
      <c r="C3622" s="5">
        <v>2002</v>
      </c>
      <c r="D3622" s="4">
        <v>0</v>
      </c>
      <c r="E3622" s="4">
        <v>679000000</v>
      </c>
      <c r="F3622" s="4" t="str">
        <f>_xlfn.LET(_xlpm.r, _xlfn.XLOOKUP(Clean_Data[[#This Row],[Country_Code]], Metadata_Country!$A:$A, Metadata_Country!$B:$B, "Unknown"), IF(OR(_xlpm.r=0, _xlpm.r=""), "Regional Aggregate", _xlpm.r))</f>
        <v>Regional Aggregate</v>
      </c>
      <c r="G3622" s="4" t="str">
        <f>_xlfn.LET(_xlpm.ig, _xlfn.XLOOKUP(Clean_Data[[#This Row],[Country_Code]], Metadata_Country!$A:$A, Metadata_Country!$C:$C, "Unknown"), IF(OR(_xlpm.ig=0, _xlpm.ig=""), "Regional Aggregate", _xlpm.ig))</f>
        <v>Regional Aggregate</v>
      </c>
      <c r="H3622" s="4">
        <f>Clean_Data[[#This Row],[Exports_TIV]] - Clean_Data[[#This Row],[Imports_TIV]]</f>
        <v>-679000000</v>
      </c>
      <c r="I3622" s="4">
        <f>Clean_Data[[#This Row],[Exports_TIV]] + Clean_Data[[#This Row],[Imports_TIV]]</f>
        <v>679000000</v>
      </c>
    </row>
    <row r="3623" spans="1:9">
      <c r="A3623" s="4" t="s">
        <v>265</v>
      </c>
      <c r="B3623" s="4" t="s">
        <v>266</v>
      </c>
      <c r="C3623" s="5">
        <v>2002</v>
      </c>
      <c r="D3623" s="4">
        <v>0</v>
      </c>
      <c r="E3623" s="4">
        <v>586000000</v>
      </c>
      <c r="F3623" s="4" t="str">
        <f>_xlfn.LET(_xlpm.r, _xlfn.XLOOKUP(Clean_Data[[#This Row],[Country_Code]], Metadata_Country!$A:$A, Metadata_Country!$B:$B, "Unknown"), IF(OR(_xlpm.r=0, _xlpm.r=""), "Regional Aggregate", _xlpm.r))</f>
        <v>Regional Aggregate</v>
      </c>
      <c r="G3623" s="4" t="str">
        <f>_xlfn.LET(_xlpm.ig, _xlfn.XLOOKUP(Clean_Data[[#This Row],[Country_Code]], Metadata_Country!$A:$A, Metadata_Country!$C:$C, "Unknown"), IF(OR(_xlpm.ig=0, _xlpm.ig=""), "Regional Aggregate", _xlpm.ig))</f>
        <v>Regional Aggregate</v>
      </c>
      <c r="H3623" s="4">
        <f>Clean_Data[[#This Row],[Exports_TIV]] - Clean_Data[[#This Row],[Imports_TIV]]</f>
        <v>-586000000</v>
      </c>
      <c r="I3623" s="4">
        <f>Clean_Data[[#This Row],[Exports_TIV]] + Clean_Data[[#This Row],[Imports_TIV]]</f>
        <v>586000000</v>
      </c>
    </row>
    <row r="3624" spans="1:9">
      <c r="A3624" s="4" t="s">
        <v>481</v>
      </c>
      <c r="B3624" s="4" t="s">
        <v>482</v>
      </c>
      <c r="C3624" s="5">
        <v>2002</v>
      </c>
      <c r="D3624" s="4">
        <v>0</v>
      </c>
      <c r="E3624" s="4">
        <v>679000000</v>
      </c>
      <c r="F3624" s="4" t="str">
        <f>_xlfn.LET(_xlpm.r, _xlfn.XLOOKUP(Clean_Data[[#This Row],[Country_Code]], Metadata_Country!$A:$A, Metadata_Country!$B:$B, "Unknown"), IF(OR(_xlpm.r=0, _xlpm.r=""), "Regional Aggregate", _xlpm.r))</f>
        <v>Regional Aggregate</v>
      </c>
      <c r="G3624" s="4" t="str">
        <f>_xlfn.LET(_xlpm.ig, _xlfn.XLOOKUP(Clean_Data[[#This Row],[Country_Code]], Metadata_Country!$A:$A, Metadata_Country!$C:$C, "Unknown"), IF(OR(_xlpm.ig=0, _xlpm.ig=""), "Regional Aggregate", _xlpm.ig))</f>
        <v>Regional Aggregate</v>
      </c>
      <c r="H3624" s="4">
        <f>Clean_Data[[#This Row],[Exports_TIV]] - Clean_Data[[#This Row],[Imports_TIV]]</f>
        <v>-679000000</v>
      </c>
      <c r="I3624" s="4">
        <f>Clean_Data[[#This Row],[Exports_TIV]] + Clean_Data[[#This Row],[Imports_TIV]]</f>
        <v>679000000</v>
      </c>
    </row>
    <row r="3625" spans="1:9">
      <c r="A3625" s="4" t="s">
        <v>299</v>
      </c>
      <c r="B3625" s="4" t="s">
        <v>300</v>
      </c>
      <c r="C3625" s="5">
        <v>2002</v>
      </c>
      <c r="D3625" s="4">
        <v>0</v>
      </c>
      <c r="E3625" s="4">
        <v>4000000</v>
      </c>
      <c r="F3625" s="4" t="str">
        <f>_xlfn.LET(_xlpm.r, _xlfn.XLOOKUP(Clean_Data[[#This Row],[Country_Code]], Metadata_Country!$A:$A, Metadata_Country!$B:$B, "Unknown"), IF(OR(_xlpm.r=0, _xlpm.r=""), "Regional Aggregate", _xlpm.r))</f>
        <v>Europe &amp; Central Asia</v>
      </c>
      <c r="G3625" s="4" t="str">
        <f>_xlfn.LET(_xlpm.ig, _xlfn.XLOOKUP(Clean_Data[[#This Row],[Country_Code]], Metadata_Country!$A:$A, Metadata_Country!$C:$C, "Unknown"), IF(OR(_xlpm.ig=0, _xlpm.ig=""), "Regional Aggregate", _xlpm.ig))</f>
        <v>High income</v>
      </c>
      <c r="H3625" s="4">
        <f>Clean_Data[[#This Row],[Exports_TIV]] - Clean_Data[[#This Row],[Imports_TIV]]</f>
        <v>-4000000</v>
      </c>
      <c r="I3625" s="4">
        <f>Clean_Data[[#This Row],[Exports_TIV]] + Clean_Data[[#This Row],[Imports_TIV]]</f>
        <v>4000000</v>
      </c>
    </row>
    <row r="3626" spans="1:9">
      <c r="A3626" s="4" t="s">
        <v>279</v>
      </c>
      <c r="B3626" s="4" t="s">
        <v>280</v>
      </c>
      <c r="C3626" s="5">
        <v>2002</v>
      </c>
      <c r="D3626" s="4">
        <v>0</v>
      </c>
      <c r="E3626" s="4">
        <v>1153000000</v>
      </c>
      <c r="F3626" s="4" t="str">
        <f>_xlfn.LET(_xlpm.r, _xlfn.XLOOKUP(Clean_Data[[#This Row],[Country_Code]], Metadata_Country!$A:$A, Metadata_Country!$B:$B, "Unknown"), IF(OR(_xlpm.r=0, _xlpm.r=""), "Regional Aggregate", _xlpm.r))</f>
        <v>Regional Aggregate</v>
      </c>
      <c r="G3626" s="4" t="str">
        <f>_xlfn.LET(_xlpm.ig, _xlfn.XLOOKUP(Clean_Data[[#This Row],[Country_Code]], Metadata_Country!$A:$A, Metadata_Country!$C:$C, "Unknown"), IF(OR(_xlpm.ig=0, _xlpm.ig=""), "Regional Aggregate", _xlpm.ig))</f>
        <v>Regional Aggregate</v>
      </c>
      <c r="H3626" s="4">
        <f>Clean_Data[[#This Row],[Exports_TIV]] - Clean_Data[[#This Row],[Imports_TIV]]</f>
        <v>-1153000000</v>
      </c>
      <c r="I3626" s="4">
        <f>Clean_Data[[#This Row],[Exports_TIV]] + Clean_Data[[#This Row],[Imports_TIV]]</f>
        <v>1153000000</v>
      </c>
    </row>
    <row r="3627" spans="1:9">
      <c r="A3627" s="4" t="s">
        <v>269</v>
      </c>
      <c r="B3627" s="4" t="s">
        <v>270</v>
      </c>
      <c r="C3627" s="5">
        <v>2002</v>
      </c>
      <c r="D3627" s="4">
        <v>48000000</v>
      </c>
      <c r="E3627" s="4">
        <v>0</v>
      </c>
      <c r="F3627" s="4" t="str">
        <f>_xlfn.LET(_xlpm.r, _xlfn.XLOOKUP(Clean_Data[[#This Row],[Country_Code]], Metadata_Country!$A:$A, Metadata_Country!$B:$B, "Unknown"), IF(OR(_xlpm.r=0, _xlpm.r=""), "Regional Aggregate", _xlpm.r))</f>
        <v>Middle East &amp; North Africa</v>
      </c>
      <c r="G3627" s="4" t="str">
        <f>_xlfn.LET(_xlpm.ig, _xlfn.XLOOKUP(Clean_Data[[#This Row],[Country_Code]], Metadata_Country!$A:$A, Metadata_Country!$C:$C, "Unknown"), IF(OR(_xlpm.ig=0, _xlpm.ig=""), "Regional Aggregate", _xlpm.ig))</f>
        <v>Lower middle income</v>
      </c>
      <c r="H3627" s="4">
        <f>Clean_Data[[#This Row],[Exports_TIV]] - Clean_Data[[#This Row],[Imports_TIV]]</f>
        <v>48000000</v>
      </c>
      <c r="I3627" s="4">
        <f>Clean_Data[[#This Row],[Exports_TIV]] + Clean_Data[[#This Row],[Imports_TIV]]</f>
        <v>48000000</v>
      </c>
    </row>
    <row r="3628" spans="1:9">
      <c r="A3628" s="4" t="s">
        <v>273</v>
      </c>
      <c r="B3628" s="4" t="s">
        <v>274</v>
      </c>
      <c r="C3628" s="5">
        <v>2002</v>
      </c>
      <c r="D3628" s="4">
        <v>21000000</v>
      </c>
      <c r="E3628" s="4">
        <v>0</v>
      </c>
      <c r="F3628" s="4" t="str">
        <f>_xlfn.LET(_xlpm.r, _xlfn.XLOOKUP(Clean_Data[[#This Row],[Country_Code]], Metadata_Country!$A:$A, Metadata_Country!$B:$B, "Unknown"), IF(OR(_xlpm.r=0, _xlpm.r=""), "Regional Aggregate", _xlpm.r))</f>
        <v>Middle East &amp; North Africa</v>
      </c>
      <c r="G3628" s="4" t="str">
        <f>_xlfn.LET(_xlpm.ig, _xlfn.XLOOKUP(Clean_Data[[#This Row],[Country_Code]], Metadata_Country!$A:$A, Metadata_Country!$C:$C, "Unknown"), IF(OR(_xlpm.ig=0, _xlpm.ig=""), "Regional Aggregate", _xlpm.ig))</f>
        <v>Upper middle income</v>
      </c>
      <c r="H3628" s="4">
        <f>Clean_Data[[#This Row],[Exports_TIV]] - Clean_Data[[#This Row],[Imports_TIV]]</f>
        <v>21000000</v>
      </c>
      <c r="I3628" s="4">
        <f>Clean_Data[[#This Row],[Exports_TIV]] + Clean_Data[[#This Row],[Imports_TIV]]</f>
        <v>21000000</v>
      </c>
    </row>
    <row r="3629" spans="1:9">
      <c r="A3629" s="4" t="s">
        <v>295</v>
      </c>
      <c r="B3629" s="4" t="s">
        <v>296</v>
      </c>
      <c r="C3629" s="5">
        <v>2002</v>
      </c>
      <c r="D3629" s="4">
        <v>3000000</v>
      </c>
      <c r="E3629" s="4">
        <v>14000000</v>
      </c>
      <c r="F3629" s="4" t="str">
        <f>_xlfn.LET(_xlpm.r, _xlfn.XLOOKUP(Clean_Data[[#This Row],[Country_Code]], Metadata_Country!$A:$A, Metadata_Country!$B:$B, "Unknown"), IF(OR(_xlpm.r=0, _xlpm.r=""), "Regional Aggregate", _xlpm.r))</f>
        <v>Europe &amp; Central Asia</v>
      </c>
      <c r="G3629" s="4" t="str">
        <f>_xlfn.LET(_xlpm.ig, _xlfn.XLOOKUP(Clean_Data[[#This Row],[Country_Code]], Metadata_Country!$A:$A, Metadata_Country!$C:$C, "Unknown"), IF(OR(_xlpm.ig=0, _xlpm.ig=""), "Regional Aggregate", _xlpm.ig))</f>
        <v>High income</v>
      </c>
      <c r="H3629" s="4">
        <f>Clean_Data[[#This Row],[Exports_TIV]] - Clean_Data[[#This Row],[Imports_TIV]]</f>
        <v>-11000000</v>
      </c>
      <c r="I3629" s="4">
        <f>Clean_Data[[#This Row],[Exports_TIV]] + Clean_Data[[#This Row],[Imports_TIV]]</f>
        <v>17000000</v>
      </c>
    </row>
    <row r="3630" spans="1:9">
      <c r="A3630" s="4" t="s">
        <v>289</v>
      </c>
      <c r="B3630" s="4" t="s">
        <v>290</v>
      </c>
      <c r="C3630" s="5">
        <v>2002</v>
      </c>
      <c r="D3630" s="4">
        <v>0</v>
      </c>
      <c r="E3630" s="4">
        <v>10404000000</v>
      </c>
      <c r="F3630" s="4" t="str">
        <f>_xlfn.LET(_xlpm.r, _xlfn.XLOOKUP(Clean_Data[[#This Row],[Country_Code]], Metadata_Country!$A:$A, Metadata_Country!$B:$B, "Unknown"), IF(OR(_xlpm.r=0, _xlpm.r=""), "Regional Aggregate", _xlpm.r))</f>
        <v>Regional Aggregate</v>
      </c>
      <c r="G3630" s="4" t="str">
        <f>_xlfn.LET(_xlpm.ig, _xlfn.XLOOKUP(Clean_Data[[#This Row],[Country_Code]], Metadata_Country!$A:$A, Metadata_Country!$C:$C, "Unknown"), IF(OR(_xlpm.ig=0, _xlpm.ig=""), "Regional Aggregate", _xlpm.ig))</f>
        <v>Regional Aggregate</v>
      </c>
      <c r="H3630" s="4">
        <f>Clean_Data[[#This Row],[Exports_TIV]] - Clean_Data[[#This Row],[Imports_TIV]]</f>
        <v>-10404000000</v>
      </c>
      <c r="I3630" s="4">
        <f>Clean_Data[[#This Row],[Exports_TIV]] + Clean_Data[[#This Row],[Imports_TIV]]</f>
        <v>10404000000</v>
      </c>
    </row>
    <row r="3631" spans="1:9">
      <c r="A3631" s="4" t="s">
        <v>281</v>
      </c>
      <c r="B3631" s="4" t="s">
        <v>282</v>
      </c>
      <c r="C3631" s="5">
        <v>2002</v>
      </c>
      <c r="D3631" s="4">
        <v>0</v>
      </c>
      <c r="E3631" s="4">
        <v>856000000</v>
      </c>
      <c r="F3631" s="4" t="str">
        <f>_xlfn.LET(_xlpm.r, _xlfn.XLOOKUP(Clean_Data[[#This Row],[Country_Code]], Metadata_Country!$A:$A, Metadata_Country!$B:$B, "Unknown"), IF(OR(_xlpm.r=0, _xlpm.r=""), "Regional Aggregate", _xlpm.r))</f>
        <v>Regional Aggregate</v>
      </c>
      <c r="G3631" s="4" t="str">
        <f>_xlfn.LET(_xlpm.ig, _xlfn.XLOOKUP(Clean_Data[[#This Row],[Country_Code]], Metadata_Country!$A:$A, Metadata_Country!$C:$C, "Unknown"), IF(OR(_xlpm.ig=0, _xlpm.ig=""), "Regional Aggregate", _xlpm.ig))</f>
        <v>Regional Aggregate</v>
      </c>
      <c r="H3631" s="4">
        <f>Clean_Data[[#This Row],[Exports_TIV]] - Clean_Data[[#This Row],[Imports_TIV]]</f>
        <v>-856000000</v>
      </c>
      <c r="I3631" s="4">
        <f>Clean_Data[[#This Row],[Exports_TIV]] + Clean_Data[[#This Row],[Imports_TIV]]</f>
        <v>856000000</v>
      </c>
    </row>
    <row r="3632" spans="1:9">
      <c r="A3632" s="4" t="s">
        <v>287</v>
      </c>
      <c r="B3632" s="4" t="s">
        <v>288</v>
      </c>
      <c r="C3632" s="5">
        <v>2002</v>
      </c>
      <c r="D3632" s="4">
        <v>0</v>
      </c>
      <c r="E3632" s="4">
        <v>3888000000</v>
      </c>
      <c r="F3632" s="4" t="str">
        <f>_xlfn.LET(_xlpm.r, _xlfn.XLOOKUP(Clean_Data[[#This Row],[Country_Code]], Metadata_Country!$A:$A, Metadata_Country!$B:$B, "Unknown"), IF(OR(_xlpm.r=0, _xlpm.r=""), "Regional Aggregate", _xlpm.r))</f>
        <v>Regional Aggregate</v>
      </c>
      <c r="G3632" s="4" t="str">
        <f>_xlfn.LET(_xlpm.ig, _xlfn.XLOOKUP(Clean_Data[[#This Row],[Country_Code]], Metadata_Country!$A:$A, Metadata_Country!$C:$C, "Unknown"), IF(OR(_xlpm.ig=0, _xlpm.ig=""), "Regional Aggregate", _xlpm.ig))</f>
        <v>Regional Aggregate</v>
      </c>
      <c r="H3632" s="4">
        <f>Clean_Data[[#This Row],[Exports_TIV]] - Clean_Data[[#This Row],[Imports_TIV]]</f>
        <v>-3888000000</v>
      </c>
      <c r="I3632" s="4">
        <f>Clean_Data[[#This Row],[Exports_TIV]] + Clean_Data[[#This Row],[Imports_TIV]]</f>
        <v>3888000000</v>
      </c>
    </row>
    <row r="3633" spans="1:9">
      <c r="A3633" s="4" t="s">
        <v>347</v>
      </c>
      <c r="B3633" s="4" t="s">
        <v>348</v>
      </c>
      <c r="C3633" s="5">
        <v>2002</v>
      </c>
      <c r="D3633" s="4">
        <v>0</v>
      </c>
      <c r="E3633" s="4">
        <v>154000000</v>
      </c>
      <c r="F3633" s="4" t="str">
        <f>_xlfn.LET(_xlpm.r, _xlfn.XLOOKUP(Clean_Data[[#This Row],[Country_Code]], Metadata_Country!$A:$A, Metadata_Country!$B:$B, "Unknown"), IF(OR(_xlpm.r=0, _xlpm.r=""), "Regional Aggregate", _xlpm.r))</f>
        <v>East Asia &amp; Pacific</v>
      </c>
      <c r="G3633" s="4" t="str">
        <f>_xlfn.LET(_xlpm.ig, _xlfn.XLOOKUP(Clean_Data[[#This Row],[Country_Code]], Metadata_Country!$A:$A, Metadata_Country!$C:$C, "Unknown"), IF(OR(_xlpm.ig=0, _xlpm.ig=""), "Regional Aggregate", _xlpm.ig))</f>
        <v>Upper middle income</v>
      </c>
      <c r="H3633" s="4">
        <f>Clean_Data[[#This Row],[Exports_TIV]] - Clean_Data[[#This Row],[Imports_TIV]]</f>
        <v>-154000000</v>
      </c>
      <c r="I3633" s="4">
        <f>Clean_Data[[#This Row],[Exports_TIV]] + Clean_Data[[#This Row],[Imports_TIV]]</f>
        <v>154000000</v>
      </c>
    </row>
    <row r="3634" spans="1:9">
      <c r="A3634" s="4" t="s">
        <v>325</v>
      </c>
      <c r="B3634" s="4" t="s">
        <v>326</v>
      </c>
      <c r="C3634" s="5">
        <v>2002</v>
      </c>
      <c r="D3634" s="4">
        <v>0</v>
      </c>
      <c r="E3634" s="4">
        <v>1000000</v>
      </c>
      <c r="F3634" s="4" t="str">
        <f>_xlfn.LET(_xlpm.r, _xlfn.XLOOKUP(Clean_Data[[#This Row],[Country_Code]], Metadata_Country!$A:$A, Metadata_Country!$B:$B, "Unknown"), IF(OR(_xlpm.r=0, _xlpm.r=""), "Regional Aggregate", _xlpm.r))</f>
        <v>Sub-Saharan Africa</v>
      </c>
      <c r="G3634" s="4" t="str">
        <f>_xlfn.LET(_xlpm.ig, _xlfn.XLOOKUP(Clean_Data[[#This Row],[Country_Code]], Metadata_Country!$A:$A, Metadata_Country!$C:$C, "Unknown"), IF(OR(_xlpm.ig=0, _xlpm.ig=""), "Regional Aggregate", _xlpm.ig))</f>
        <v>Low income</v>
      </c>
      <c r="H3634" s="4">
        <f>Clean_Data[[#This Row],[Exports_TIV]] - Clean_Data[[#This Row],[Imports_TIV]]</f>
        <v>-1000000</v>
      </c>
      <c r="I3634" s="4">
        <f>Clean_Data[[#This Row],[Exports_TIV]] + Clean_Data[[#This Row],[Imports_TIV]]</f>
        <v>1000000</v>
      </c>
    </row>
    <row r="3635" spans="1:9">
      <c r="A3635" s="4" t="s">
        <v>327</v>
      </c>
      <c r="B3635" s="4" t="s">
        <v>328</v>
      </c>
      <c r="C3635" s="5">
        <v>2002</v>
      </c>
      <c r="D3635" s="4">
        <v>0</v>
      </c>
      <c r="E3635" s="4">
        <v>4000000</v>
      </c>
      <c r="F3635" s="4" t="str">
        <f>_xlfn.LET(_xlpm.r, _xlfn.XLOOKUP(Clean_Data[[#This Row],[Country_Code]], Metadata_Country!$A:$A, Metadata_Country!$B:$B, "Unknown"), IF(OR(_xlpm.r=0, _xlpm.r=""), "Regional Aggregate", _xlpm.r))</f>
        <v>Middle East &amp; North Africa</v>
      </c>
      <c r="G3635" s="4" t="str">
        <f>_xlfn.LET(_xlpm.ig, _xlfn.XLOOKUP(Clean_Data[[#This Row],[Country_Code]], Metadata_Country!$A:$A, Metadata_Country!$C:$C, "Unknown"), IF(OR(_xlpm.ig=0, _xlpm.ig=""), "Regional Aggregate", _xlpm.ig))</f>
        <v>High income</v>
      </c>
      <c r="H3635" s="4">
        <f>Clean_Data[[#This Row],[Exports_TIV]] - Clean_Data[[#This Row],[Imports_TIV]]</f>
        <v>-4000000</v>
      </c>
      <c r="I3635" s="4">
        <f>Clean_Data[[#This Row],[Exports_TIV]] + Clean_Data[[#This Row],[Imports_TIV]]</f>
        <v>4000000</v>
      </c>
    </row>
    <row r="3636" spans="1:9">
      <c r="A3636" s="4" t="s">
        <v>341</v>
      </c>
      <c r="B3636" s="4" t="s">
        <v>342</v>
      </c>
      <c r="C3636" s="5">
        <v>2002</v>
      </c>
      <c r="D3636" s="4">
        <v>0</v>
      </c>
      <c r="E3636" s="4">
        <v>27000000</v>
      </c>
      <c r="F3636" s="4" t="str">
        <f>_xlfn.LET(_xlpm.r, _xlfn.XLOOKUP(Clean_Data[[#This Row],[Country_Code]], Metadata_Country!$A:$A, Metadata_Country!$B:$B, "Unknown"), IF(OR(_xlpm.r=0, _xlpm.r=""), "Regional Aggregate", _xlpm.r))</f>
        <v>Sub-Saharan Africa</v>
      </c>
      <c r="G3636" s="4" t="str">
        <f>_xlfn.LET(_xlpm.ig, _xlfn.XLOOKUP(Clean_Data[[#This Row],[Country_Code]], Metadata_Country!$A:$A, Metadata_Country!$C:$C, "Unknown"), IF(OR(_xlpm.ig=0, _xlpm.ig=""), "Regional Aggregate", _xlpm.ig))</f>
        <v>Lower middle income</v>
      </c>
      <c r="H3636" s="4">
        <f>Clean_Data[[#This Row],[Exports_TIV]] - Clean_Data[[#This Row],[Imports_TIV]]</f>
        <v>-27000000</v>
      </c>
      <c r="I3636" s="4">
        <f>Clean_Data[[#This Row],[Exports_TIV]] + Clean_Data[[#This Row],[Imports_TIV]]</f>
        <v>27000000</v>
      </c>
    </row>
    <row r="3637" spans="1:9">
      <c r="A3637" s="4" t="s">
        <v>317</v>
      </c>
      <c r="B3637" s="4" t="s">
        <v>318</v>
      </c>
      <c r="C3637" s="5">
        <v>2002</v>
      </c>
      <c r="D3637" s="4">
        <v>0</v>
      </c>
      <c r="E3637" s="4">
        <v>97000000</v>
      </c>
      <c r="F3637" s="4" t="str">
        <f>_xlfn.LET(_xlpm.r, _xlfn.XLOOKUP(Clean_Data[[#This Row],[Country_Code]], Metadata_Country!$A:$A, Metadata_Country!$B:$B, "Unknown"), IF(OR(_xlpm.r=0, _xlpm.r=""), "Regional Aggregate", _xlpm.r))</f>
        <v>Latin America &amp; Caribbean</v>
      </c>
      <c r="G3637" s="4" t="str">
        <f>_xlfn.LET(_xlpm.ig, _xlfn.XLOOKUP(Clean_Data[[#This Row],[Country_Code]], Metadata_Country!$A:$A, Metadata_Country!$C:$C, "Unknown"), IF(OR(_xlpm.ig=0, _xlpm.ig=""), "Regional Aggregate", _xlpm.ig))</f>
        <v>Upper middle income</v>
      </c>
      <c r="H3637" s="4">
        <f>Clean_Data[[#This Row],[Exports_TIV]] - Clean_Data[[#This Row],[Imports_TIV]]</f>
        <v>-97000000</v>
      </c>
      <c r="I3637" s="4">
        <f>Clean_Data[[#This Row],[Exports_TIV]] + Clean_Data[[#This Row],[Imports_TIV]]</f>
        <v>97000000</v>
      </c>
    </row>
    <row r="3638" spans="1:9">
      <c r="A3638" s="4" t="s">
        <v>315</v>
      </c>
      <c r="B3638" s="4" t="s">
        <v>316</v>
      </c>
      <c r="C3638" s="5">
        <v>2002</v>
      </c>
      <c r="D3638" s="4">
        <v>0</v>
      </c>
      <c r="E3638" s="4">
        <v>4213000000</v>
      </c>
      <c r="F3638" s="4" t="str">
        <f>_xlfn.LET(_xlpm.r, _xlfn.XLOOKUP(Clean_Data[[#This Row],[Country_Code]], Metadata_Country!$A:$A, Metadata_Country!$B:$B, "Unknown"), IF(OR(_xlpm.r=0, _xlpm.r=""), "Regional Aggregate", _xlpm.r))</f>
        <v>Regional Aggregate</v>
      </c>
      <c r="G3638" s="4" t="str">
        <f>_xlfn.LET(_xlpm.ig, _xlfn.XLOOKUP(Clean_Data[[#This Row],[Country_Code]], Metadata_Country!$A:$A, Metadata_Country!$C:$C, "Unknown"), IF(OR(_xlpm.ig=0, _xlpm.ig=""), "Regional Aggregate", _xlpm.ig))</f>
        <v>Regional Aggregate</v>
      </c>
      <c r="H3638" s="4">
        <f>Clean_Data[[#This Row],[Exports_TIV]] - Clean_Data[[#This Row],[Imports_TIV]]</f>
        <v>-4213000000</v>
      </c>
      <c r="I3638" s="4">
        <f>Clean_Data[[#This Row],[Exports_TIV]] + Clean_Data[[#This Row],[Imports_TIV]]</f>
        <v>4213000000</v>
      </c>
    </row>
    <row r="3639" spans="1:9">
      <c r="A3639" s="4" t="s">
        <v>331</v>
      </c>
      <c r="B3639" s="4" t="s">
        <v>332</v>
      </c>
      <c r="C3639" s="5">
        <v>2002</v>
      </c>
      <c r="D3639" s="4">
        <v>0</v>
      </c>
      <c r="E3639" s="4">
        <v>2963000000</v>
      </c>
      <c r="F3639" s="4" t="str">
        <f>_xlfn.LET(_xlpm.r, _xlfn.XLOOKUP(Clean_Data[[#This Row],[Country_Code]], Metadata_Country!$A:$A, Metadata_Country!$B:$B, "Unknown"), IF(OR(_xlpm.r=0, _xlpm.r=""), "Regional Aggregate", _xlpm.r))</f>
        <v>Regional Aggregate</v>
      </c>
      <c r="G3639" s="4" t="str">
        <f>_xlfn.LET(_xlpm.ig, _xlfn.XLOOKUP(Clean_Data[[#This Row],[Country_Code]], Metadata_Country!$A:$A, Metadata_Country!$C:$C, "Unknown"), IF(OR(_xlpm.ig=0, _xlpm.ig=""), "Regional Aggregate", _xlpm.ig))</f>
        <v>Regional Aggregate</v>
      </c>
      <c r="H3639" s="4">
        <f>Clean_Data[[#This Row],[Exports_TIV]] - Clean_Data[[#This Row],[Imports_TIV]]</f>
        <v>-2963000000</v>
      </c>
      <c r="I3639" s="4">
        <f>Clean_Data[[#This Row],[Exports_TIV]] + Clean_Data[[#This Row],[Imports_TIV]]</f>
        <v>2963000000</v>
      </c>
    </row>
    <row r="3640" spans="1:9">
      <c r="A3640" s="4" t="s">
        <v>485</v>
      </c>
      <c r="B3640" s="4" t="s">
        <v>486</v>
      </c>
      <c r="C3640" s="5">
        <v>2002</v>
      </c>
      <c r="D3640" s="4">
        <v>0</v>
      </c>
      <c r="E3640" s="4">
        <v>2963000000</v>
      </c>
      <c r="F3640" s="4" t="str">
        <f>_xlfn.LET(_xlpm.r, _xlfn.XLOOKUP(Clean_Data[[#This Row],[Country_Code]], Metadata_Country!$A:$A, Metadata_Country!$B:$B, "Unknown"), IF(OR(_xlpm.r=0, _xlpm.r=""), "Regional Aggregate", _xlpm.r))</f>
        <v>Regional Aggregate</v>
      </c>
      <c r="G3640" s="4" t="str">
        <f>_xlfn.LET(_xlpm.ig, _xlfn.XLOOKUP(Clean_Data[[#This Row],[Country_Code]], Metadata_Country!$A:$A, Metadata_Country!$C:$C, "Unknown"), IF(OR(_xlpm.ig=0, _xlpm.ig=""), "Regional Aggregate", _xlpm.ig))</f>
        <v>Regional Aggregate</v>
      </c>
      <c r="H3640" s="4">
        <f>Clean_Data[[#This Row],[Exports_TIV]] - Clean_Data[[#This Row],[Imports_TIV]]</f>
        <v>-2963000000</v>
      </c>
      <c r="I3640" s="4">
        <f>Clean_Data[[#This Row],[Exports_TIV]] + Clean_Data[[#This Row],[Imports_TIV]]</f>
        <v>2963000000</v>
      </c>
    </row>
    <row r="3641" spans="1:9">
      <c r="A3641" s="4" t="s">
        <v>321</v>
      </c>
      <c r="B3641" s="4" t="s">
        <v>322</v>
      </c>
      <c r="C3641" s="5">
        <v>2002</v>
      </c>
      <c r="D3641" s="4">
        <v>0</v>
      </c>
      <c r="E3641" s="4">
        <v>9548000000</v>
      </c>
      <c r="F3641" s="4" t="str">
        <f>_xlfn.LET(_xlpm.r, _xlfn.XLOOKUP(Clean_Data[[#This Row],[Country_Code]], Metadata_Country!$A:$A, Metadata_Country!$B:$B, "Unknown"), IF(OR(_xlpm.r=0, _xlpm.r=""), "Regional Aggregate", _xlpm.r))</f>
        <v>Regional Aggregate</v>
      </c>
      <c r="G3641" s="4" t="str">
        <f>_xlfn.LET(_xlpm.ig, _xlfn.XLOOKUP(Clean_Data[[#This Row],[Country_Code]], Metadata_Country!$A:$A, Metadata_Country!$C:$C, "Unknown"), IF(OR(_xlpm.ig=0, _xlpm.ig=""), "Regional Aggregate", _xlpm.ig))</f>
        <v>Regional Aggregate</v>
      </c>
      <c r="H3641" s="4">
        <f>Clean_Data[[#This Row],[Exports_TIV]] - Clean_Data[[#This Row],[Imports_TIV]]</f>
        <v>-9548000000</v>
      </c>
      <c r="I3641" s="4">
        <f>Clean_Data[[#This Row],[Exports_TIV]] + Clean_Data[[#This Row],[Imports_TIV]]</f>
        <v>9548000000</v>
      </c>
    </row>
    <row r="3642" spans="1:9">
      <c r="A3642" s="4" t="s">
        <v>309</v>
      </c>
      <c r="B3642" s="4" t="s">
        <v>310</v>
      </c>
      <c r="C3642" s="5">
        <v>2002</v>
      </c>
      <c r="D3642" s="4">
        <v>60000000</v>
      </c>
      <c r="E3642" s="4">
        <v>0</v>
      </c>
      <c r="F3642" s="4" t="str">
        <f>_xlfn.LET(_xlpm.r, _xlfn.XLOOKUP(Clean_Data[[#This Row],[Country_Code]], Metadata_Country!$A:$A, Metadata_Country!$B:$B, "Unknown"), IF(OR(_xlpm.r=0, _xlpm.r=""), "Regional Aggregate", _xlpm.r))</f>
        <v>Europe &amp; Central Asia</v>
      </c>
      <c r="G3642" s="4" t="str">
        <f>_xlfn.LET(_xlpm.ig, _xlfn.XLOOKUP(Clean_Data[[#This Row],[Country_Code]], Metadata_Country!$A:$A, Metadata_Country!$C:$C, "Unknown"), IF(OR(_xlpm.ig=0, _xlpm.ig=""), "Regional Aggregate", _xlpm.ig))</f>
        <v>Upper middle income</v>
      </c>
      <c r="H3642" s="4">
        <f>Clean_Data[[#This Row],[Exports_TIV]] - Clean_Data[[#This Row],[Imports_TIV]]</f>
        <v>60000000</v>
      </c>
      <c r="I3642" s="4">
        <f>Clean_Data[[#This Row],[Exports_TIV]] + Clean_Data[[#This Row],[Imports_TIV]]</f>
        <v>60000000</v>
      </c>
    </row>
    <row r="3643" spans="1:9">
      <c r="A3643" s="4" t="s">
        <v>305</v>
      </c>
      <c r="B3643" s="4" t="s">
        <v>306</v>
      </c>
      <c r="C3643" s="5">
        <v>2002</v>
      </c>
      <c r="D3643" s="4">
        <v>0</v>
      </c>
      <c r="E3643" s="4">
        <v>155000000</v>
      </c>
      <c r="F3643" s="4" t="str">
        <f>_xlfn.LET(_xlpm.r, _xlfn.XLOOKUP(Clean_Data[[#This Row],[Country_Code]], Metadata_Country!$A:$A, Metadata_Country!$B:$B, "Unknown"), IF(OR(_xlpm.r=0, _xlpm.r=""), "Regional Aggregate", _xlpm.r))</f>
        <v>Middle East &amp; North Africa</v>
      </c>
      <c r="G3643" s="4" t="str">
        <f>_xlfn.LET(_xlpm.ig, _xlfn.XLOOKUP(Clean_Data[[#This Row],[Country_Code]], Metadata_Country!$A:$A, Metadata_Country!$C:$C, "Unknown"), IF(OR(_xlpm.ig=0, _xlpm.ig=""), "Regional Aggregate", _xlpm.ig))</f>
        <v>Lower middle income</v>
      </c>
      <c r="H3643" s="4">
        <f>Clean_Data[[#This Row],[Exports_TIV]] - Clean_Data[[#This Row],[Imports_TIV]]</f>
        <v>-155000000</v>
      </c>
      <c r="I3643" s="4">
        <f>Clean_Data[[#This Row],[Exports_TIV]] + Clean_Data[[#This Row],[Imports_TIV]]</f>
        <v>155000000</v>
      </c>
    </row>
    <row r="3644" spans="1:9">
      <c r="A3644" s="4" t="s">
        <v>329</v>
      </c>
      <c r="B3644" s="4" t="s">
        <v>330</v>
      </c>
      <c r="C3644" s="5">
        <v>2002</v>
      </c>
      <c r="D3644" s="4">
        <v>0</v>
      </c>
      <c r="E3644" s="4">
        <v>156000000</v>
      </c>
      <c r="F3644" s="4" t="str">
        <f>_xlfn.LET(_xlpm.r, _xlfn.XLOOKUP(Clean_Data[[#This Row],[Country_Code]], Metadata_Country!$A:$A, Metadata_Country!$B:$B, "Unknown"), IF(OR(_xlpm.r=0, _xlpm.r=""), "Regional Aggregate", _xlpm.r))</f>
        <v>East Asia &amp; Pacific</v>
      </c>
      <c r="G3644" s="4" t="str">
        <f>_xlfn.LET(_xlpm.ig, _xlfn.XLOOKUP(Clean_Data[[#This Row],[Country_Code]], Metadata_Country!$A:$A, Metadata_Country!$C:$C, "Unknown"), IF(OR(_xlpm.ig=0, _xlpm.ig=""), "Regional Aggregate", _xlpm.ig))</f>
        <v>Lower middle income</v>
      </c>
      <c r="H3644" s="4">
        <f>Clean_Data[[#This Row],[Exports_TIV]] - Clean_Data[[#This Row],[Imports_TIV]]</f>
        <v>-156000000</v>
      </c>
      <c r="I3644" s="4">
        <f>Clean_Data[[#This Row],[Exports_TIV]] + Clean_Data[[#This Row],[Imports_TIV]]</f>
        <v>156000000</v>
      </c>
    </row>
    <row r="3645" spans="1:9">
      <c r="A3645" s="4" t="s">
        <v>351</v>
      </c>
      <c r="B3645" s="4" t="s">
        <v>352</v>
      </c>
      <c r="C3645" s="5">
        <v>2002</v>
      </c>
      <c r="D3645" s="4">
        <v>0</v>
      </c>
      <c r="E3645" s="4">
        <v>11000000</v>
      </c>
      <c r="F3645" s="4" t="str">
        <f>_xlfn.LET(_xlpm.r, _xlfn.XLOOKUP(Clean_Data[[#This Row],[Country_Code]], Metadata_Country!$A:$A, Metadata_Country!$B:$B, "Unknown"), IF(OR(_xlpm.r=0, _xlpm.r=""), "Regional Aggregate", _xlpm.r))</f>
        <v>Sub-Saharan Africa</v>
      </c>
      <c r="G3645" s="4" t="str">
        <f>_xlfn.LET(_xlpm.ig, _xlfn.XLOOKUP(Clean_Data[[#This Row],[Country_Code]], Metadata_Country!$A:$A, Metadata_Country!$C:$C, "Unknown"), IF(OR(_xlpm.ig=0, _xlpm.ig=""), "Regional Aggregate", _xlpm.ig))</f>
        <v>Lower middle income</v>
      </c>
      <c r="H3645" s="4">
        <f>Clean_Data[[#This Row],[Exports_TIV]] - Clean_Data[[#This Row],[Imports_TIV]]</f>
        <v>-11000000</v>
      </c>
      <c r="I3645" s="4">
        <f>Clean_Data[[#This Row],[Exports_TIV]] + Clean_Data[[#This Row],[Imports_TIV]]</f>
        <v>11000000</v>
      </c>
    </row>
    <row r="3646" spans="1:9">
      <c r="A3646" s="4" t="s">
        <v>365</v>
      </c>
      <c r="B3646" s="4" t="s">
        <v>366</v>
      </c>
      <c r="C3646" s="5">
        <v>2002</v>
      </c>
      <c r="D3646" s="4">
        <v>0</v>
      </c>
      <c r="E3646" s="4">
        <v>10000000</v>
      </c>
      <c r="F3646" s="4" t="str">
        <f>_xlfn.LET(_xlpm.r, _xlfn.XLOOKUP(Clean_Data[[#This Row],[Country_Code]], Metadata_Country!$A:$A, Metadata_Country!$B:$B, "Unknown"), IF(OR(_xlpm.r=0, _xlpm.r=""), "Regional Aggregate", _xlpm.r))</f>
        <v>South Asia</v>
      </c>
      <c r="G3646" s="4" t="str">
        <f>_xlfn.LET(_xlpm.ig, _xlfn.XLOOKUP(Clean_Data[[#This Row],[Country_Code]], Metadata_Country!$A:$A, Metadata_Country!$C:$C, "Unknown"), IF(OR(_xlpm.ig=0, _xlpm.ig=""), "Regional Aggregate", _xlpm.ig))</f>
        <v>Lower middle income</v>
      </c>
      <c r="H3646" s="4">
        <f>Clean_Data[[#This Row],[Exports_TIV]] - Clean_Data[[#This Row],[Imports_TIV]]</f>
        <v>-10000000</v>
      </c>
      <c r="I3646" s="4">
        <f>Clean_Data[[#This Row],[Exports_TIV]] + Clean_Data[[#This Row],[Imports_TIV]]</f>
        <v>10000000</v>
      </c>
    </row>
    <row r="3647" spans="1:9">
      <c r="A3647" s="4" t="s">
        <v>361</v>
      </c>
      <c r="B3647" s="4" t="s">
        <v>362</v>
      </c>
      <c r="C3647" s="5">
        <v>2002</v>
      </c>
      <c r="D3647" s="4">
        <v>233000000</v>
      </c>
      <c r="E3647" s="4">
        <v>247000000</v>
      </c>
      <c r="F3647" s="4" t="str">
        <f>_xlfn.LET(_xlpm.r, _xlfn.XLOOKUP(Clean_Data[[#This Row],[Country_Code]], Metadata_Country!$A:$A, Metadata_Country!$B:$B, "Unknown"), IF(OR(_xlpm.r=0, _xlpm.r=""), "Regional Aggregate", _xlpm.r))</f>
        <v>Europe &amp; Central Asia</v>
      </c>
      <c r="G3647" s="4" t="str">
        <f>_xlfn.LET(_xlpm.ig, _xlfn.XLOOKUP(Clean_Data[[#This Row],[Country_Code]], Metadata_Country!$A:$A, Metadata_Country!$C:$C, "Unknown"), IF(OR(_xlpm.ig=0, _xlpm.ig=""), "Regional Aggregate", _xlpm.ig))</f>
        <v>High income</v>
      </c>
      <c r="H3647" s="4">
        <f>Clean_Data[[#This Row],[Exports_TIV]] - Clean_Data[[#This Row],[Imports_TIV]]</f>
        <v>-14000000</v>
      </c>
      <c r="I3647" s="4">
        <f>Clean_Data[[#This Row],[Exports_TIV]] + Clean_Data[[#This Row],[Imports_TIV]]</f>
        <v>480000000</v>
      </c>
    </row>
    <row r="3648" spans="1:9">
      <c r="A3648" s="4" t="s">
        <v>369</v>
      </c>
      <c r="B3648" s="4" t="s">
        <v>370</v>
      </c>
      <c r="C3648" s="5">
        <v>2002</v>
      </c>
      <c r="D3648" s="4">
        <v>1000000</v>
      </c>
      <c r="E3648" s="4">
        <v>17000000</v>
      </c>
      <c r="F3648" s="4" t="str">
        <f>_xlfn.LET(_xlpm.r, _xlfn.XLOOKUP(Clean_Data[[#This Row],[Country_Code]], Metadata_Country!$A:$A, Metadata_Country!$B:$B, "Unknown"), IF(OR(_xlpm.r=0, _xlpm.r=""), "Regional Aggregate", _xlpm.r))</f>
        <v>East Asia &amp; Pacific</v>
      </c>
      <c r="G3648" s="4" t="str">
        <f>_xlfn.LET(_xlpm.ig, _xlfn.XLOOKUP(Clean_Data[[#This Row],[Country_Code]], Metadata_Country!$A:$A, Metadata_Country!$C:$C, "Unknown"), IF(OR(_xlpm.ig=0, _xlpm.ig=""), "Regional Aggregate", _xlpm.ig))</f>
        <v>High income</v>
      </c>
      <c r="H3648" s="4">
        <f>Clean_Data[[#This Row],[Exports_TIV]] - Clean_Data[[#This Row],[Imports_TIV]]</f>
        <v>-16000000</v>
      </c>
      <c r="I3648" s="4">
        <f>Clean_Data[[#This Row],[Exports_TIV]] + Clean_Data[[#This Row],[Imports_TIV]]</f>
        <v>18000000</v>
      </c>
    </row>
    <row r="3649" spans="1:9">
      <c r="A3649" s="4" t="s">
        <v>357</v>
      </c>
      <c r="B3649" s="4" t="s">
        <v>358</v>
      </c>
      <c r="C3649" s="5">
        <v>2002</v>
      </c>
      <c r="D3649" s="4">
        <v>0</v>
      </c>
      <c r="E3649" s="4">
        <v>6000000</v>
      </c>
      <c r="F3649" s="4" t="str">
        <f>_xlfn.LET(_xlpm.r, _xlfn.XLOOKUP(Clean_Data[[#This Row],[Country_Code]], Metadata_Country!$A:$A, Metadata_Country!$B:$B, "Unknown"), IF(OR(_xlpm.r=0, _xlpm.r=""), "Regional Aggregate", _xlpm.r))</f>
        <v>Sub-Saharan Africa</v>
      </c>
      <c r="G3649" s="4" t="str">
        <f>_xlfn.LET(_xlpm.ig, _xlfn.XLOOKUP(Clean_Data[[#This Row],[Country_Code]], Metadata_Country!$A:$A, Metadata_Country!$C:$C, "Unknown"), IF(OR(_xlpm.ig=0, _xlpm.ig=""), "Regional Aggregate", _xlpm.ig))</f>
        <v>Lower middle income</v>
      </c>
      <c r="H3649" s="4">
        <f>Clean_Data[[#This Row],[Exports_TIV]] - Clean_Data[[#This Row],[Imports_TIV]]</f>
        <v>-6000000</v>
      </c>
      <c r="I3649" s="4">
        <f>Clean_Data[[#This Row],[Exports_TIV]] + Clean_Data[[#This Row],[Imports_TIV]]</f>
        <v>6000000</v>
      </c>
    </row>
    <row r="3650" spans="1:9">
      <c r="A3650" s="4" t="s">
        <v>349</v>
      </c>
      <c r="B3650" s="4" t="s">
        <v>350</v>
      </c>
      <c r="C3650" s="5">
        <v>2002</v>
      </c>
      <c r="D3650" s="4">
        <v>5049000000</v>
      </c>
      <c r="E3650" s="4">
        <v>933000000</v>
      </c>
      <c r="F3650" s="4" t="str">
        <f>_xlfn.LET(_xlpm.r, _xlfn.XLOOKUP(Clean_Data[[#This Row],[Country_Code]], Metadata_Country!$A:$A, Metadata_Country!$B:$B, "Unknown"), IF(OR(_xlpm.r=0, _xlpm.r=""), "Regional Aggregate", _xlpm.r))</f>
        <v>Regional Aggregate</v>
      </c>
      <c r="G3650" s="4" t="str">
        <f>_xlfn.LET(_xlpm.ig, _xlfn.XLOOKUP(Clean_Data[[#This Row],[Country_Code]], Metadata_Country!$A:$A, Metadata_Country!$C:$C, "Unknown"), IF(OR(_xlpm.ig=0, _xlpm.ig=""), "Regional Aggregate", _xlpm.ig))</f>
        <v>Regional Aggregate</v>
      </c>
      <c r="H3650" s="4">
        <f>Clean_Data[[#This Row],[Exports_TIV]] - Clean_Data[[#This Row],[Imports_TIV]]</f>
        <v>4116000000</v>
      </c>
      <c r="I3650" s="4">
        <f>Clean_Data[[#This Row],[Exports_TIV]] + Clean_Data[[#This Row],[Imports_TIV]]</f>
        <v>5982000000</v>
      </c>
    </row>
    <row r="3651" spans="1:9">
      <c r="A3651" s="4" t="s">
        <v>363</v>
      </c>
      <c r="B3651" s="4" t="s">
        <v>364</v>
      </c>
      <c r="C3651" s="5">
        <v>2002</v>
      </c>
      <c r="D3651" s="4">
        <v>78000000</v>
      </c>
      <c r="E3651" s="4">
        <v>95000000</v>
      </c>
      <c r="F3651" s="4" t="str">
        <f>_xlfn.LET(_xlpm.r, _xlfn.XLOOKUP(Clean_Data[[#This Row],[Country_Code]], Metadata_Country!$A:$A, Metadata_Country!$B:$B, "Unknown"), IF(OR(_xlpm.r=0, _xlpm.r=""), "Regional Aggregate", _xlpm.r))</f>
        <v>Europe &amp; Central Asia</v>
      </c>
      <c r="G3651" s="4" t="str">
        <f>_xlfn.LET(_xlpm.ig, _xlfn.XLOOKUP(Clean_Data[[#This Row],[Country_Code]], Metadata_Country!$A:$A, Metadata_Country!$C:$C, "Unknown"), IF(OR(_xlpm.ig=0, _xlpm.ig=""), "Regional Aggregate", _xlpm.ig))</f>
        <v>High income</v>
      </c>
      <c r="H3651" s="4">
        <f>Clean_Data[[#This Row],[Exports_TIV]] - Clean_Data[[#This Row],[Imports_TIV]]</f>
        <v>-17000000</v>
      </c>
      <c r="I3651" s="4">
        <f>Clean_Data[[#This Row],[Exports_TIV]] + Clean_Data[[#This Row],[Imports_TIV]]</f>
        <v>173000000</v>
      </c>
    </row>
    <row r="3652" spans="1:9">
      <c r="A3652" s="4" t="s">
        <v>371</v>
      </c>
      <c r="B3652" s="4" t="s">
        <v>372</v>
      </c>
      <c r="C3652" s="5">
        <v>2002</v>
      </c>
      <c r="D3652" s="4">
        <v>10497000000</v>
      </c>
      <c r="E3652" s="4">
        <v>6884000000</v>
      </c>
      <c r="F3652" s="4" t="str">
        <f>_xlfn.LET(_xlpm.r, _xlfn.XLOOKUP(Clean_Data[[#This Row],[Country_Code]], Metadata_Country!$A:$A, Metadata_Country!$B:$B, "Unknown"), IF(OR(_xlpm.r=0, _xlpm.r=""), "Regional Aggregate", _xlpm.r))</f>
        <v>Regional Aggregate</v>
      </c>
      <c r="G3652" s="4" t="str">
        <f>_xlfn.LET(_xlpm.ig, _xlfn.XLOOKUP(Clean_Data[[#This Row],[Country_Code]], Metadata_Country!$A:$A, Metadata_Country!$C:$C, "Unknown"), IF(OR(_xlpm.ig=0, _xlpm.ig=""), "Regional Aggregate", _xlpm.ig))</f>
        <v>Regional Aggregate</v>
      </c>
      <c r="H3652" s="4">
        <f>Clean_Data[[#This Row],[Exports_TIV]] - Clean_Data[[#This Row],[Imports_TIV]]</f>
        <v>3613000000</v>
      </c>
      <c r="I3652" s="4">
        <f>Clean_Data[[#This Row],[Exports_TIV]] + Clean_Data[[#This Row],[Imports_TIV]]</f>
        <v>17381000000</v>
      </c>
    </row>
    <row r="3653" spans="1:9">
      <c r="A3653" s="4" t="s">
        <v>373</v>
      </c>
      <c r="B3653" s="4" t="s">
        <v>374</v>
      </c>
      <c r="C3653" s="5">
        <v>2002</v>
      </c>
      <c r="D3653" s="4">
        <v>0</v>
      </c>
      <c r="E3653" s="4">
        <v>40000000</v>
      </c>
      <c r="F3653" s="4" t="str">
        <f>_xlfn.LET(_xlpm.r, _xlfn.XLOOKUP(Clean_Data[[#This Row],[Country_Code]], Metadata_Country!$A:$A, Metadata_Country!$B:$B, "Unknown"), IF(OR(_xlpm.r=0, _xlpm.r=""), "Regional Aggregate", _xlpm.r))</f>
        <v>Middle East &amp; North Africa</v>
      </c>
      <c r="G3653" s="4" t="str">
        <f>_xlfn.LET(_xlpm.ig, _xlfn.XLOOKUP(Clean_Data[[#This Row],[Country_Code]], Metadata_Country!$A:$A, Metadata_Country!$C:$C, "Unknown"), IF(OR(_xlpm.ig=0, _xlpm.ig=""), "Regional Aggregate", _xlpm.ig))</f>
        <v>High income</v>
      </c>
      <c r="H3653" s="4">
        <f>Clean_Data[[#This Row],[Exports_TIV]] - Clean_Data[[#This Row],[Imports_TIV]]</f>
        <v>-40000000</v>
      </c>
      <c r="I3653" s="4">
        <f>Clean_Data[[#This Row],[Exports_TIV]] + Clean_Data[[#This Row],[Imports_TIV]]</f>
        <v>40000000</v>
      </c>
    </row>
    <row r="3654" spans="1:9">
      <c r="A3654" s="4" t="s">
        <v>375</v>
      </c>
      <c r="B3654" s="4" t="s">
        <v>376</v>
      </c>
      <c r="C3654" s="5">
        <v>2002</v>
      </c>
      <c r="D3654" s="4">
        <v>0</v>
      </c>
      <c r="E3654" s="4">
        <v>76000000</v>
      </c>
      <c r="F3654" s="4" t="str">
        <f>_xlfn.LET(_xlpm.r, _xlfn.XLOOKUP(Clean_Data[[#This Row],[Country_Code]], Metadata_Country!$A:$A, Metadata_Country!$B:$B, "Unknown"), IF(OR(_xlpm.r=0, _xlpm.r=""), "Regional Aggregate", _xlpm.r))</f>
        <v>Regional Aggregate</v>
      </c>
      <c r="G3654" s="4" t="str">
        <f>_xlfn.LET(_xlpm.ig, _xlfn.XLOOKUP(Clean_Data[[#This Row],[Country_Code]], Metadata_Country!$A:$A, Metadata_Country!$C:$C, "Unknown"), IF(OR(_xlpm.ig=0, _xlpm.ig=""), "Regional Aggregate", _xlpm.ig))</f>
        <v>Regional Aggregate</v>
      </c>
      <c r="H3654" s="4">
        <f>Clean_Data[[#This Row],[Exports_TIV]] - Clean_Data[[#This Row],[Imports_TIV]]</f>
        <v>-76000000</v>
      </c>
      <c r="I3654" s="4">
        <f>Clean_Data[[#This Row],[Exports_TIV]] + Clean_Data[[#This Row],[Imports_TIV]]</f>
        <v>76000000</v>
      </c>
    </row>
    <row r="3655" spans="1:9">
      <c r="A3655" s="4" t="s">
        <v>377</v>
      </c>
      <c r="B3655" s="4" t="s">
        <v>378</v>
      </c>
      <c r="C3655" s="5">
        <v>2002</v>
      </c>
      <c r="D3655" s="4">
        <v>9000000</v>
      </c>
      <c r="E3655" s="4">
        <v>566000000</v>
      </c>
      <c r="F3655" s="4" t="str">
        <f>_xlfn.LET(_xlpm.r, _xlfn.XLOOKUP(Clean_Data[[#This Row],[Country_Code]], Metadata_Country!$A:$A, Metadata_Country!$B:$B, "Unknown"), IF(OR(_xlpm.r=0, _xlpm.r=""), "Regional Aggregate", _xlpm.r))</f>
        <v>Middle East &amp; North Africa</v>
      </c>
      <c r="G3655" s="4" t="str">
        <f>_xlfn.LET(_xlpm.ig, _xlfn.XLOOKUP(Clean_Data[[#This Row],[Country_Code]], Metadata_Country!$A:$A, Metadata_Country!$C:$C, "Unknown"), IF(OR(_xlpm.ig=0, _xlpm.ig=""), "Regional Aggregate", _xlpm.ig))</f>
        <v>Lower middle income</v>
      </c>
      <c r="H3655" s="4">
        <f>Clean_Data[[#This Row],[Exports_TIV]] - Clean_Data[[#This Row],[Imports_TIV]]</f>
        <v>-557000000</v>
      </c>
      <c r="I3655" s="4">
        <f>Clean_Data[[#This Row],[Exports_TIV]] + Clean_Data[[#This Row],[Imports_TIV]]</f>
        <v>575000000</v>
      </c>
    </row>
    <row r="3656" spans="1:9">
      <c r="A3656" s="4" t="s">
        <v>381</v>
      </c>
      <c r="B3656" s="4" t="s">
        <v>382</v>
      </c>
      <c r="C3656" s="5">
        <v>2002</v>
      </c>
      <c r="D3656" s="4">
        <v>0</v>
      </c>
      <c r="E3656" s="4">
        <v>16000000</v>
      </c>
      <c r="F3656" s="4" t="str">
        <f>_xlfn.LET(_xlpm.r, _xlfn.XLOOKUP(Clean_Data[[#This Row],[Country_Code]], Metadata_Country!$A:$A, Metadata_Country!$B:$B, "Unknown"), IF(OR(_xlpm.r=0, _xlpm.r=""), "Regional Aggregate", _xlpm.r))</f>
        <v>Latin America &amp; Caribbean</v>
      </c>
      <c r="G3656" s="4" t="str">
        <f>_xlfn.LET(_xlpm.ig, _xlfn.XLOOKUP(Clean_Data[[#This Row],[Country_Code]], Metadata_Country!$A:$A, Metadata_Country!$C:$C, "Unknown"), IF(OR(_xlpm.ig=0, _xlpm.ig=""), "Regional Aggregate", _xlpm.ig))</f>
        <v>Upper middle income</v>
      </c>
      <c r="H3656" s="4">
        <f>Clean_Data[[#This Row],[Exports_TIV]] - Clean_Data[[#This Row],[Imports_TIV]]</f>
        <v>-16000000</v>
      </c>
      <c r="I3656" s="4">
        <f>Clean_Data[[#This Row],[Exports_TIV]] + Clean_Data[[#This Row],[Imports_TIV]]</f>
        <v>16000000</v>
      </c>
    </row>
    <row r="3657" spans="1:9">
      <c r="A3657" s="4" t="s">
        <v>383</v>
      </c>
      <c r="B3657" s="4" t="s">
        <v>384</v>
      </c>
      <c r="C3657" s="5">
        <v>2002</v>
      </c>
      <c r="D3657" s="4">
        <v>0</v>
      </c>
      <c r="E3657" s="4">
        <v>5000000</v>
      </c>
      <c r="F3657" s="4" t="str">
        <f>_xlfn.LET(_xlpm.r, _xlfn.XLOOKUP(Clean_Data[[#This Row],[Country_Code]], Metadata_Country!$A:$A, Metadata_Country!$B:$B, "Unknown"), IF(OR(_xlpm.r=0, _xlpm.r=""), "Regional Aggregate", _xlpm.r))</f>
        <v>East Asia &amp; Pacific</v>
      </c>
      <c r="G3657" s="4" t="str">
        <f>_xlfn.LET(_xlpm.ig, _xlfn.XLOOKUP(Clean_Data[[#This Row],[Country_Code]], Metadata_Country!$A:$A, Metadata_Country!$C:$C, "Unknown"), IF(OR(_xlpm.ig=0, _xlpm.ig=""), "Regional Aggregate", _xlpm.ig))</f>
        <v>Upper middle income</v>
      </c>
      <c r="H3657" s="4">
        <f>Clean_Data[[#This Row],[Exports_TIV]] - Clean_Data[[#This Row],[Imports_TIV]]</f>
        <v>-5000000</v>
      </c>
      <c r="I3657" s="4">
        <f>Clean_Data[[#This Row],[Exports_TIV]] + Clean_Data[[#This Row],[Imports_TIV]]</f>
        <v>5000000</v>
      </c>
    </row>
    <row r="3658" spans="1:9">
      <c r="A3658" s="4" t="s">
        <v>389</v>
      </c>
      <c r="B3658" s="4" t="s">
        <v>390</v>
      </c>
      <c r="C3658" s="5">
        <v>2002</v>
      </c>
      <c r="D3658" s="4">
        <v>56000000</v>
      </c>
      <c r="E3658" s="4">
        <v>253000000</v>
      </c>
      <c r="F3658" s="4" t="str">
        <f>_xlfn.LET(_xlpm.r, _xlfn.XLOOKUP(Clean_Data[[#This Row],[Country_Code]], Metadata_Country!$A:$A, Metadata_Country!$B:$B, "Unknown"), IF(OR(_xlpm.r=0, _xlpm.r=""), "Regional Aggregate", _xlpm.r))</f>
        <v>Europe &amp; Central Asia</v>
      </c>
      <c r="G3658" s="4" t="str">
        <f>_xlfn.LET(_xlpm.ig, _xlfn.XLOOKUP(Clean_Data[[#This Row],[Country_Code]], Metadata_Country!$A:$A, Metadata_Country!$C:$C, "Unknown"), IF(OR(_xlpm.ig=0, _xlpm.ig=""), "Regional Aggregate", _xlpm.ig))</f>
        <v>High income</v>
      </c>
      <c r="H3658" s="4">
        <f>Clean_Data[[#This Row],[Exports_TIV]] - Clean_Data[[#This Row],[Imports_TIV]]</f>
        <v>-197000000</v>
      </c>
      <c r="I3658" s="4">
        <f>Clean_Data[[#This Row],[Exports_TIV]] + Clean_Data[[#This Row],[Imports_TIV]]</f>
        <v>309000000</v>
      </c>
    </row>
    <row r="3659" spans="1:9">
      <c r="A3659" s="4" t="s">
        <v>405</v>
      </c>
      <c r="B3659" s="4" t="s">
        <v>406</v>
      </c>
      <c r="C3659" s="5">
        <v>2002</v>
      </c>
      <c r="D3659" s="4">
        <v>10282000000</v>
      </c>
      <c r="E3659" s="4">
        <v>5237000000</v>
      </c>
      <c r="F3659" s="4" t="str">
        <f>_xlfn.LET(_xlpm.r, _xlfn.XLOOKUP(Clean_Data[[#This Row],[Country_Code]], Metadata_Country!$A:$A, Metadata_Country!$B:$B, "Unknown"), IF(OR(_xlpm.r=0, _xlpm.r=""), "Regional Aggregate", _xlpm.r))</f>
        <v>Regional Aggregate</v>
      </c>
      <c r="G3659" s="4" t="str">
        <f>_xlfn.LET(_xlpm.ig, _xlfn.XLOOKUP(Clean_Data[[#This Row],[Country_Code]], Metadata_Country!$A:$A, Metadata_Country!$C:$C, "Unknown"), IF(OR(_xlpm.ig=0, _xlpm.ig=""), "Regional Aggregate", _xlpm.ig))</f>
        <v>Regional Aggregate</v>
      </c>
      <c r="H3659" s="4">
        <f>Clean_Data[[#This Row],[Exports_TIV]] - Clean_Data[[#This Row],[Imports_TIV]]</f>
        <v>5045000000</v>
      </c>
      <c r="I3659" s="4">
        <f>Clean_Data[[#This Row],[Exports_TIV]] + Clean_Data[[#This Row],[Imports_TIV]]</f>
        <v>15519000000</v>
      </c>
    </row>
    <row r="3660" spans="1:9">
      <c r="A3660" s="4" t="s">
        <v>391</v>
      </c>
      <c r="B3660" s="4" t="s">
        <v>392</v>
      </c>
      <c r="C3660" s="5">
        <v>2002</v>
      </c>
      <c r="D3660" s="4">
        <v>0</v>
      </c>
      <c r="E3660" s="4">
        <v>390000000</v>
      </c>
      <c r="F3660" s="4" t="str">
        <f>_xlfn.LET(_xlpm.r, _xlfn.XLOOKUP(Clean_Data[[#This Row],[Country_Code]], Metadata_Country!$A:$A, Metadata_Country!$B:$B, "Unknown"), IF(OR(_xlpm.r=0, _xlpm.r=""), "Regional Aggregate", _xlpm.r))</f>
        <v>Regional Aggregate</v>
      </c>
      <c r="G3660" s="4" t="str">
        <f>_xlfn.LET(_xlpm.ig, _xlfn.XLOOKUP(Clean_Data[[#This Row],[Country_Code]], Metadata_Country!$A:$A, Metadata_Country!$C:$C, "Unknown"), IF(OR(_xlpm.ig=0, _xlpm.ig=""), "Regional Aggregate", _xlpm.ig))</f>
        <v>Regional Aggregate</v>
      </c>
      <c r="H3660" s="4">
        <f>Clean_Data[[#This Row],[Exports_TIV]] - Clean_Data[[#This Row],[Imports_TIV]]</f>
        <v>-390000000</v>
      </c>
      <c r="I3660" s="4">
        <f>Clean_Data[[#This Row],[Exports_TIV]] + Clean_Data[[#This Row],[Imports_TIV]]</f>
        <v>390000000</v>
      </c>
    </row>
    <row r="3661" spans="1:9">
      <c r="A3661" s="4" t="s">
        <v>411</v>
      </c>
      <c r="B3661" s="4" t="s">
        <v>412</v>
      </c>
      <c r="C3661" s="5">
        <v>2002</v>
      </c>
      <c r="D3661" s="4">
        <v>0</v>
      </c>
      <c r="E3661" s="4">
        <v>21000000</v>
      </c>
      <c r="F3661" s="4" t="str">
        <f>_xlfn.LET(_xlpm.r, _xlfn.XLOOKUP(Clean_Data[[#This Row],[Country_Code]], Metadata_Country!$A:$A, Metadata_Country!$B:$B, "Unknown"), IF(OR(_xlpm.r=0, _xlpm.r=""), "Regional Aggregate", _xlpm.r))</f>
        <v>Europe &amp; Central Asia</v>
      </c>
      <c r="G3661" s="4" t="str">
        <f>_xlfn.LET(_xlpm.ig, _xlfn.XLOOKUP(Clean_Data[[#This Row],[Country_Code]], Metadata_Country!$A:$A, Metadata_Country!$C:$C, "Unknown"), IF(OR(_xlpm.ig=0, _xlpm.ig=""), "Regional Aggregate", _xlpm.ig))</f>
        <v>High income</v>
      </c>
      <c r="H3661" s="4">
        <f>Clean_Data[[#This Row],[Exports_TIV]] - Clean_Data[[#This Row],[Imports_TIV]]</f>
        <v>-21000000</v>
      </c>
      <c r="I3661" s="4">
        <f>Clean_Data[[#This Row],[Exports_TIV]] + Clean_Data[[#This Row],[Imports_TIV]]</f>
        <v>21000000</v>
      </c>
    </row>
    <row r="3662" spans="1:9">
      <c r="A3662" s="4" t="s">
        <v>413</v>
      </c>
      <c r="B3662" s="4" t="s">
        <v>414</v>
      </c>
      <c r="C3662" s="5">
        <v>2002</v>
      </c>
      <c r="D3662" s="4">
        <v>5735000000</v>
      </c>
      <c r="E3662" s="4">
        <v>0</v>
      </c>
      <c r="F3662" s="4" t="str">
        <f>_xlfn.LET(_xlpm.r, _xlfn.XLOOKUP(Clean_Data[[#This Row],[Country_Code]], Metadata_Country!$A:$A, Metadata_Country!$B:$B, "Unknown"), IF(OR(_xlpm.r=0, _xlpm.r=""), "Regional Aggregate", _xlpm.r))</f>
        <v>Europe &amp; Central Asia</v>
      </c>
      <c r="G3662" s="4" t="str">
        <f>_xlfn.LET(_xlpm.ig, _xlfn.XLOOKUP(Clean_Data[[#This Row],[Country_Code]], Metadata_Country!$A:$A, Metadata_Country!$C:$C, "Unknown"), IF(OR(_xlpm.ig=0, _xlpm.ig=""), "Regional Aggregate", _xlpm.ig))</f>
        <v>High income</v>
      </c>
      <c r="H3662" s="4">
        <f>Clean_Data[[#This Row],[Exports_TIV]] - Clean_Data[[#This Row],[Imports_TIV]]</f>
        <v>5735000000</v>
      </c>
      <c r="I3662" s="4">
        <f>Clean_Data[[#This Row],[Exports_TIV]] + Clean_Data[[#This Row],[Imports_TIV]]</f>
        <v>5735000000</v>
      </c>
    </row>
    <row r="3663" spans="1:9">
      <c r="A3663" s="4" t="s">
        <v>419</v>
      </c>
      <c r="B3663" s="4" t="s">
        <v>420</v>
      </c>
      <c r="C3663" s="5">
        <v>2002</v>
      </c>
      <c r="D3663" s="4">
        <v>0</v>
      </c>
      <c r="E3663" s="4">
        <v>559000000</v>
      </c>
      <c r="F3663" s="4" t="str">
        <f>_xlfn.LET(_xlpm.r, _xlfn.XLOOKUP(Clean_Data[[#This Row],[Country_Code]], Metadata_Country!$A:$A, Metadata_Country!$B:$B, "Unknown"), IF(OR(_xlpm.r=0, _xlpm.r=""), "Regional Aggregate", _xlpm.r))</f>
        <v>Middle East &amp; North Africa</v>
      </c>
      <c r="G3663" s="4" t="str">
        <f>_xlfn.LET(_xlpm.ig, _xlfn.XLOOKUP(Clean_Data[[#This Row],[Country_Code]], Metadata_Country!$A:$A, Metadata_Country!$C:$C, "Unknown"), IF(OR(_xlpm.ig=0, _xlpm.ig=""), "Regional Aggregate", _xlpm.ig))</f>
        <v>High income</v>
      </c>
      <c r="H3663" s="4">
        <f>Clean_Data[[#This Row],[Exports_TIV]] - Clean_Data[[#This Row],[Imports_TIV]]</f>
        <v>-559000000</v>
      </c>
      <c r="I3663" s="4">
        <f>Clean_Data[[#This Row],[Exports_TIV]] + Clean_Data[[#This Row],[Imports_TIV]]</f>
        <v>559000000</v>
      </c>
    </row>
    <row r="3664" spans="1:9">
      <c r="A3664" s="4" t="s">
        <v>425</v>
      </c>
      <c r="B3664" s="4" t="s">
        <v>426</v>
      </c>
      <c r="C3664" s="5">
        <v>2002</v>
      </c>
      <c r="D3664" s="4">
        <v>4000000</v>
      </c>
      <c r="E3664" s="4">
        <v>229000000</v>
      </c>
      <c r="F3664" s="4" t="str">
        <f>_xlfn.LET(_xlpm.r, _xlfn.XLOOKUP(Clean_Data[[#This Row],[Country_Code]], Metadata_Country!$A:$A, Metadata_Country!$B:$B, "Unknown"), IF(OR(_xlpm.r=0, _xlpm.r=""), "Regional Aggregate", _xlpm.r))</f>
        <v>East Asia &amp; Pacific</v>
      </c>
      <c r="G3664" s="4" t="str">
        <f>_xlfn.LET(_xlpm.ig, _xlfn.XLOOKUP(Clean_Data[[#This Row],[Country_Code]], Metadata_Country!$A:$A, Metadata_Country!$C:$C, "Unknown"), IF(OR(_xlpm.ig=0, _xlpm.ig=""), "Regional Aggregate", _xlpm.ig))</f>
        <v>High income</v>
      </c>
      <c r="H3664" s="4">
        <f>Clean_Data[[#This Row],[Exports_TIV]] - Clean_Data[[#This Row],[Imports_TIV]]</f>
        <v>-225000000</v>
      </c>
      <c r="I3664" s="4">
        <f>Clean_Data[[#This Row],[Exports_TIV]] + Clean_Data[[#This Row],[Imports_TIV]]</f>
        <v>233000000</v>
      </c>
    </row>
    <row r="3665" spans="1:9">
      <c r="A3665" s="4" t="s">
        <v>451</v>
      </c>
      <c r="B3665" s="4" t="s">
        <v>452</v>
      </c>
      <c r="C3665" s="5">
        <v>2002</v>
      </c>
      <c r="D3665" s="4">
        <v>33000000</v>
      </c>
      <c r="E3665" s="4">
        <v>29000000</v>
      </c>
      <c r="F3665" s="4" t="str">
        <f>_xlfn.LET(_xlpm.r, _xlfn.XLOOKUP(Clean_Data[[#This Row],[Country_Code]], Metadata_Country!$A:$A, Metadata_Country!$B:$B, "Unknown"), IF(OR(_xlpm.r=0, _xlpm.r=""), "Regional Aggregate", _xlpm.r))</f>
        <v>Europe &amp; Central Asia</v>
      </c>
      <c r="G3665" s="4" t="str">
        <f>_xlfn.LET(_xlpm.ig, _xlfn.XLOOKUP(Clean_Data[[#This Row],[Country_Code]], Metadata_Country!$A:$A, Metadata_Country!$C:$C, "Unknown"), IF(OR(_xlpm.ig=0, _xlpm.ig=""), "Regional Aggregate", _xlpm.ig))</f>
        <v>High income</v>
      </c>
      <c r="H3665" s="4">
        <f>Clean_Data[[#This Row],[Exports_TIV]] - Clean_Data[[#This Row],[Imports_TIV]]</f>
        <v>4000000</v>
      </c>
      <c r="I3665" s="4">
        <f>Clean_Data[[#This Row],[Exports_TIV]] + Clean_Data[[#This Row],[Imports_TIV]]</f>
        <v>62000000</v>
      </c>
    </row>
    <row r="3666" spans="1:9">
      <c r="A3666" s="4" t="s">
        <v>453</v>
      </c>
      <c r="B3666" s="4" t="s">
        <v>454</v>
      </c>
      <c r="C3666" s="5">
        <v>2002</v>
      </c>
      <c r="D3666" s="4">
        <v>0</v>
      </c>
      <c r="E3666" s="4">
        <v>2000000</v>
      </c>
      <c r="F3666" s="4" t="str">
        <f>_xlfn.LET(_xlpm.r, _xlfn.XLOOKUP(Clean_Data[[#This Row],[Country_Code]], Metadata_Country!$A:$A, Metadata_Country!$B:$B, "Unknown"), IF(OR(_xlpm.r=0, _xlpm.r=""), "Regional Aggregate", _xlpm.r))</f>
        <v>Europe &amp; Central Asia</v>
      </c>
      <c r="G3666" s="4" t="str">
        <f>_xlfn.LET(_xlpm.ig, _xlfn.XLOOKUP(Clean_Data[[#This Row],[Country_Code]], Metadata_Country!$A:$A, Metadata_Country!$C:$C, "Unknown"), IF(OR(_xlpm.ig=0, _xlpm.ig=""), "Regional Aggregate", _xlpm.ig))</f>
        <v>High income</v>
      </c>
      <c r="H3666" s="4">
        <f>Clean_Data[[#This Row],[Exports_TIV]] - Clean_Data[[#This Row],[Imports_TIV]]</f>
        <v>-2000000</v>
      </c>
      <c r="I3666" s="4">
        <f>Clean_Data[[#This Row],[Exports_TIV]] + Clean_Data[[#This Row],[Imports_TIV]]</f>
        <v>2000000</v>
      </c>
    </row>
    <row r="3667" spans="1:9">
      <c r="A3667" s="4" t="s">
        <v>535</v>
      </c>
      <c r="B3667" s="4" t="s">
        <v>536</v>
      </c>
      <c r="C3667" s="5">
        <v>2002</v>
      </c>
      <c r="D3667" s="4">
        <v>22000000</v>
      </c>
      <c r="E3667" s="4">
        <v>0</v>
      </c>
      <c r="F3667" s="4" t="str">
        <f>_xlfn.LET(_xlpm.r, _xlfn.XLOOKUP(Clean_Data[[#This Row],[Country_Code]], Metadata_Country!$A:$A, Metadata_Country!$B:$B, "Unknown"), IF(OR(_xlpm.r=0, _xlpm.r=""), "Regional Aggregate", _xlpm.r))</f>
        <v>Sub-Saharan Africa</v>
      </c>
      <c r="G3667" s="4" t="str">
        <f>_xlfn.LET(_xlpm.ig, _xlfn.XLOOKUP(Clean_Data[[#This Row],[Country_Code]], Metadata_Country!$A:$A, Metadata_Country!$C:$C, "Unknown"), IF(OR(_xlpm.ig=0, _xlpm.ig=""), "Regional Aggregate", _xlpm.ig))</f>
        <v>Upper middle income</v>
      </c>
      <c r="H3667" s="4">
        <f>Clean_Data[[#This Row],[Exports_TIV]] - Clean_Data[[#This Row],[Imports_TIV]]</f>
        <v>22000000</v>
      </c>
      <c r="I3667" s="4">
        <f>Clean_Data[[#This Row],[Exports_TIV]] + Clean_Data[[#This Row],[Imports_TIV]]</f>
        <v>22000000</v>
      </c>
    </row>
    <row r="3668" spans="1:9">
      <c r="A3668" s="4" t="s">
        <v>417</v>
      </c>
      <c r="B3668" s="4" t="s">
        <v>418</v>
      </c>
      <c r="C3668" s="5">
        <v>2002</v>
      </c>
      <c r="D3668" s="4">
        <v>0</v>
      </c>
      <c r="E3668" s="4">
        <v>1992000000</v>
      </c>
      <c r="F3668" s="4" t="str">
        <f>_xlfn.LET(_xlpm.r, _xlfn.XLOOKUP(Clean_Data[[#This Row],[Country_Code]], Metadata_Country!$A:$A, Metadata_Country!$B:$B, "Unknown"), IF(OR(_xlpm.r=0, _xlpm.r=""), "Regional Aggregate", _xlpm.r))</f>
        <v>Regional Aggregate</v>
      </c>
      <c r="G3668" s="4" t="str">
        <f>_xlfn.LET(_xlpm.ig, _xlfn.XLOOKUP(Clean_Data[[#This Row],[Country_Code]], Metadata_Country!$A:$A, Metadata_Country!$C:$C, "Unknown"), IF(OR(_xlpm.ig=0, _xlpm.ig=""), "Regional Aggregate", _xlpm.ig))</f>
        <v>Regional Aggregate</v>
      </c>
      <c r="H3668" s="4">
        <f>Clean_Data[[#This Row],[Exports_TIV]] - Clean_Data[[#This Row],[Imports_TIV]]</f>
        <v>-1992000000</v>
      </c>
      <c r="I3668" s="4">
        <f>Clean_Data[[#This Row],[Exports_TIV]] + Clean_Data[[#This Row],[Imports_TIV]]</f>
        <v>1992000000</v>
      </c>
    </row>
    <row r="3669" spans="1:9">
      <c r="A3669" s="4" t="s">
        <v>489</v>
      </c>
      <c r="B3669" s="4" t="s">
        <v>490</v>
      </c>
      <c r="C3669" s="5">
        <v>2002</v>
      </c>
      <c r="D3669" s="4">
        <v>0</v>
      </c>
      <c r="E3669" s="4">
        <v>1992000000</v>
      </c>
      <c r="F3669" s="4" t="str">
        <f>_xlfn.LET(_xlpm.r, _xlfn.XLOOKUP(Clean_Data[[#This Row],[Country_Code]], Metadata_Country!$A:$A, Metadata_Country!$B:$B, "Unknown"), IF(OR(_xlpm.r=0, _xlpm.r=""), "Regional Aggregate", _xlpm.r))</f>
        <v>Regional Aggregate</v>
      </c>
      <c r="G3669" s="4" t="str">
        <f>_xlfn.LET(_xlpm.ig, _xlfn.XLOOKUP(Clean_Data[[#This Row],[Country_Code]], Metadata_Country!$A:$A, Metadata_Country!$C:$C, "Unknown"), IF(OR(_xlpm.ig=0, _xlpm.ig=""), "Regional Aggregate", _xlpm.ig))</f>
        <v>Regional Aggregate</v>
      </c>
      <c r="H3669" s="4">
        <f>Clean_Data[[#This Row],[Exports_TIV]] - Clean_Data[[#This Row],[Imports_TIV]]</f>
        <v>-1992000000</v>
      </c>
      <c r="I3669" s="4">
        <f>Clean_Data[[#This Row],[Exports_TIV]] + Clean_Data[[#This Row],[Imports_TIV]]</f>
        <v>1992000000</v>
      </c>
    </row>
    <row r="3670" spans="1:9">
      <c r="A3670" s="4" t="s">
        <v>149</v>
      </c>
      <c r="B3670" s="4" t="s">
        <v>150</v>
      </c>
      <c r="C3670" s="5">
        <v>2002</v>
      </c>
      <c r="D3670" s="4">
        <v>18000000</v>
      </c>
      <c r="E3670" s="4">
        <v>266000000</v>
      </c>
      <c r="F3670" s="4" t="str">
        <f>_xlfn.LET(_xlpm.r, _xlfn.XLOOKUP(Clean_Data[[#This Row],[Country_Code]], Metadata_Country!$A:$A, Metadata_Country!$B:$B, "Unknown"), IF(OR(_xlpm.r=0, _xlpm.r=""), "Regional Aggregate", _xlpm.r))</f>
        <v>Europe &amp; Central Asia</v>
      </c>
      <c r="G3670" s="4" t="str">
        <f>_xlfn.LET(_xlpm.ig, _xlfn.XLOOKUP(Clean_Data[[#This Row],[Country_Code]], Metadata_Country!$A:$A, Metadata_Country!$C:$C, "Unknown"), IF(OR(_xlpm.ig=0, _xlpm.ig=""), "Regional Aggregate", _xlpm.ig))</f>
        <v>High income</v>
      </c>
      <c r="H3670" s="4">
        <f>Clean_Data[[#This Row],[Exports_TIV]] - Clean_Data[[#This Row],[Imports_TIV]]</f>
        <v>-248000000</v>
      </c>
      <c r="I3670" s="4">
        <f>Clean_Data[[#This Row],[Exports_TIV]] + Clean_Data[[#This Row],[Imports_TIV]]</f>
        <v>284000000</v>
      </c>
    </row>
    <row r="3671" spans="1:9">
      <c r="A3671" s="4" t="s">
        <v>285</v>
      </c>
      <c r="B3671" s="4" t="s">
        <v>286</v>
      </c>
      <c r="C3671" s="5">
        <v>2002</v>
      </c>
      <c r="D3671" s="4">
        <v>0</v>
      </c>
      <c r="E3671" s="4">
        <v>43000000</v>
      </c>
      <c r="F3671" s="4" t="str">
        <f>_xlfn.LET(_xlpm.r, _xlfn.XLOOKUP(Clean_Data[[#This Row],[Country_Code]], Metadata_Country!$A:$A, Metadata_Country!$B:$B, "Unknown"), IF(OR(_xlpm.r=0, _xlpm.r=""), "Regional Aggregate", _xlpm.r))</f>
        <v>South Asia</v>
      </c>
      <c r="G3671" s="4" t="str">
        <f>_xlfn.LET(_xlpm.ig, _xlfn.XLOOKUP(Clean_Data[[#This Row],[Country_Code]], Metadata_Country!$A:$A, Metadata_Country!$C:$C, "Unknown"), IF(OR(_xlpm.ig=0, _xlpm.ig=""), "Regional Aggregate", _xlpm.ig))</f>
        <v>Upper middle income</v>
      </c>
      <c r="H3671" s="4">
        <f>Clean_Data[[#This Row],[Exports_TIV]] - Clean_Data[[#This Row],[Imports_TIV]]</f>
        <v>-43000000</v>
      </c>
      <c r="I3671" s="4">
        <f>Clean_Data[[#This Row],[Exports_TIV]] + Clean_Data[[#This Row],[Imports_TIV]]</f>
        <v>43000000</v>
      </c>
    </row>
    <row r="3672" spans="1:9">
      <c r="A3672" s="4" t="s">
        <v>421</v>
      </c>
      <c r="B3672" s="4" t="s">
        <v>422</v>
      </c>
      <c r="C3672" s="5">
        <v>2002</v>
      </c>
      <c r="D3672" s="4">
        <v>0</v>
      </c>
      <c r="E3672" s="4">
        <v>50000000</v>
      </c>
      <c r="F3672" s="4" t="str">
        <f>_xlfn.LET(_xlpm.r, _xlfn.XLOOKUP(Clean_Data[[#This Row],[Country_Code]], Metadata_Country!$A:$A, Metadata_Country!$B:$B, "Unknown"), IF(OR(_xlpm.r=0, _xlpm.r=""), "Regional Aggregate", _xlpm.r))</f>
        <v>Sub-Saharan Africa</v>
      </c>
      <c r="G3672" s="4" t="str">
        <f>_xlfn.LET(_xlpm.ig, _xlfn.XLOOKUP(Clean_Data[[#This Row],[Country_Code]], Metadata_Country!$A:$A, Metadata_Country!$C:$C, "Unknown"), IF(OR(_xlpm.ig=0, _xlpm.ig=""), "Regional Aggregate", _xlpm.ig))</f>
        <v>Low income</v>
      </c>
      <c r="H3672" s="4">
        <f>Clean_Data[[#This Row],[Exports_TIV]] - Clean_Data[[#This Row],[Imports_TIV]]</f>
        <v>-50000000</v>
      </c>
      <c r="I3672" s="4">
        <f>Clean_Data[[#This Row],[Exports_TIV]] + Clean_Data[[#This Row],[Imports_TIV]]</f>
        <v>50000000</v>
      </c>
    </row>
    <row r="3673" spans="1:9">
      <c r="A3673" s="4" t="s">
        <v>455</v>
      </c>
      <c r="B3673" s="4" t="s">
        <v>456</v>
      </c>
      <c r="C3673" s="5">
        <v>2002</v>
      </c>
      <c r="D3673" s="4">
        <v>164000000</v>
      </c>
      <c r="E3673" s="4">
        <v>74000000</v>
      </c>
      <c r="F3673" s="4" t="str">
        <f>_xlfn.LET(_xlpm.r, _xlfn.XLOOKUP(Clean_Data[[#This Row],[Country_Code]], Metadata_Country!$A:$A, Metadata_Country!$B:$B, "Unknown"), IF(OR(_xlpm.r=0, _xlpm.r=""), "Regional Aggregate", _xlpm.r))</f>
        <v>Europe &amp; Central Asia</v>
      </c>
      <c r="G3673" s="4" t="str">
        <f>_xlfn.LET(_xlpm.ig, _xlfn.XLOOKUP(Clean_Data[[#This Row],[Country_Code]], Metadata_Country!$A:$A, Metadata_Country!$C:$C, "Unknown"), IF(OR(_xlpm.ig=0, _xlpm.ig=""), "Regional Aggregate", _xlpm.ig))</f>
        <v>High income</v>
      </c>
      <c r="H3673" s="4">
        <f>Clean_Data[[#This Row],[Exports_TIV]] - Clean_Data[[#This Row],[Imports_TIV]]</f>
        <v>90000000</v>
      </c>
      <c r="I3673" s="4">
        <f>Clean_Data[[#This Row],[Exports_TIV]] + Clean_Data[[#This Row],[Imports_TIV]]</f>
        <v>238000000</v>
      </c>
    </row>
    <row r="3674" spans="1:9">
      <c r="A3674" s="4" t="s">
        <v>83</v>
      </c>
      <c r="B3674" s="4" t="s">
        <v>84</v>
      </c>
      <c r="C3674" s="5">
        <v>2002</v>
      </c>
      <c r="D3674" s="4">
        <v>178000000</v>
      </c>
      <c r="E3674" s="4">
        <v>58000000</v>
      </c>
      <c r="F3674" s="4" t="str">
        <f>_xlfn.LET(_xlpm.r, _xlfn.XLOOKUP(Clean_Data[[#This Row],[Country_Code]], Metadata_Country!$A:$A, Metadata_Country!$B:$B, "Unknown"), IF(OR(_xlpm.r=0, _xlpm.r=""), "Regional Aggregate", _xlpm.r))</f>
        <v>Europe &amp; Central Asia</v>
      </c>
      <c r="G3674" s="4" t="str">
        <f>_xlfn.LET(_xlpm.ig, _xlfn.XLOOKUP(Clean_Data[[#This Row],[Country_Code]], Metadata_Country!$A:$A, Metadata_Country!$C:$C, "Unknown"), IF(OR(_xlpm.ig=0, _xlpm.ig=""), "Regional Aggregate", _xlpm.ig))</f>
        <v>High income</v>
      </c>
      <c r="H3674" s="4">
        <f>Clean_Data[[#This Row],[Exports_TIV]] - Clean_Data[[#This Row],[Imports_TIV]]</f>
        <v>120000000</v>
      </c>
      <c r="I3674" s="4">
        <f>Clean_Data[[#This Row],[Exports_TIV]] + Clean_Data[[#This Row],[Imports_TIV]]</f>
        <v>236000000</v>
      </c>
    </row>
    <row r="3675" spans="1:9">
      <c r="A3675" s="4" t="s">
        <v>463</v>
      </c>
      <c r="B3675" s="4" t="s">
        <v>464</v>
      </c>
      <c r="C3675" s="5">
        <v>2002</v>
      </c>
      <c r="D3675" s="4">
        <v>0</v>
      </c>
      <c r="E3675" s="4">
        <v>40000000</v>
      </c>
      <c r="F3675" s="4" t="str">
        <f>_xlfn.LET(_xlpm.r, _xlfn.XLOOKUP(Clean_Data[[#This Row],[Country_Code]], Metadata_Country!$A:$A, Metadata_Country!$B:$B, "Unknown"), IF(OR(_xlpm.r=0, _xlpm.r=""), "Regional Aggregate", _xlpm.r))</f>
        <v>Middle East &amp; North Africa</v>
      </c>
      <c r="G3675" s="4" t="str">
        <f>_xlfn.LET(_xlpm.ig, _xlfn.XLOOKUP(Clean_Data[[#This Row],[Country_Code]], Metadata_Country!$A:$A, Metadata_Country!$C:$C, "Unknown"), IF(OR(_xlpm.ig=0, _xlpm.ig=""), "Regional Aggregate", _xlpm.ig))</f>
        <v>Low income</v>
      </c>
      <c r="H3675" s="4">
        <f>Clean_Data[[#This Row],[Exports_TIV]] - Clean_Data[[#This Row],[Imports_TIV]]</f>
        <v>-40000000</v>
      </c>
      <c r="I3675" s="4">
        <f>Clean_Data[[#This Row],[Exports_TIV]] + Clean_Data[[#This Row],[Imports_TIV]]</f>
        <v>40000000</v>
      </c>
    </row>
    <row r="3676" spans="1:9">
      <c r="A3676" s="4" t="s">
        <v>501</v>
      </c>
      <c r="B3676" s="4" t="s">
        <v>502</v>
      </c>
      <c r="C3676" s="5">
        <v>2002</v>
      </c>
      <c r="D3676" s="4">
        <v>0</v>
      </c>
      <c r="E3676" s="4">
        <v>1000000</v>
      </c>
      <c r="F3676" s="4" t="str">
        <f>_xlfn.LET(_xlpm.r, _xlfn.XLOOKUP(Clean_Data[[#This Row],[Country_Code]], Metadata_Country!$A:$A, Metadata_Country!$B:$B, "Unknown"), IF(OR(_xlpm.r=0, _xlpm.r=""), "Regional Aggregate", _xlpm.r))</f>
        <v>Sub-Saharan Africa</v>
      </c>
      <c r="G3676" s="4" t="str">
        <f>_xlfn.LET(_xlpm.ig, _xlfn.XLOOKUP(Clean_Data[[#This Row],[Country_Code]], Metadata_Country!$A:$A, Metadata_Country!$C:$C, "Unknown"), IF(OR(_xlpm.ig=0, _xlpm.ig=""), "Regional Aggregate", _xlpm.ig))</f>
        <v>Lower middle income</v>
      </c>
      <c r="H3676" s="4">
        <f>Clean_Data[[#This Row],[Exports_TIV]] - Clean_Data[[#This Row],[Imports_TIV]]</f>
        <v>-1000000</v>
      </c>
      <c r="I3676" s="4">
        <f>Clean_Data[[#This Row],[Exports_TIV]] + Clean_Data[[#This Row],[Imports_TIV]]</f>
        <v>1000000</v>
      </c>
    </row>
    <row r="3677" spans="1:9">
      <c r="A3677" s="4" t="s">
        <v>475</v>
      </c>
      <c r="B3677" s="4" t="s">
        <v>476</v>
      </c>
      <c r="C3677" s="5">
        <v>2002</v>
      </c>
      <c r="D3677" s="4">
        <v>0</v>
      </c>
      <c r="E3677" s="4">
        <v>152000000</v>
      </c>
      <c r="F3677" s="4" t="str">
        <f>_xlfn.LET(_xlpm.r, _xlfn.XLOOKUP(Clean_Data[[#This Row],[Country_Code]], Metadata_Country!$A:$A, Metadata_Country!$B:$B, "Unknown"), IF(OR(_xlpm.r=0, _xlpm.r=""), "Regional Aggregate", _xlpm.r))</f>
        <v>East Asia &amp; Pacific</v>
      </c>
      <c r="G3677" s="4" t="str">
        <f>_xlfn.LET(_xlpm.ig, _xlfn.XLOOKUP(Clean_Data[[#This Row],[Country_Code]], Metadata_Country!$A:$A, Metadata_Country!$C:$C, "Unknown"), IF(OR(_xlpm.ig=0, _xlpm.ig=""), "Regional Aggregate", _xlpm.ig))</f>
        <v>Upper middle income</v>
      </c>
      <c r="H3677" s="4">
        <f>Clean_Data[[#This Row],[Exports_TIV]] - Clean_Data[[#This Row],[Imports_TIV]]</f>
        <v>-152000000</v>
      </c>
      <c r="I3677" s="4">
        <f>Clean_Data[[#This Row],[Exports_TIV]] + Clean_Data[[#This Row],[Imports_TIV]]</f>
        <v>152000000</v>
      </c>
    </row>
    <row r="3678" spans="1:9">
      <c r="A3678" s="4" t="s">
        <v>493</v>
      </c>
      <c r="B3678" s="4" t="s">
        <v>494</v>
      </c>
      <c r="C3678" s="5">
        <v>2002</v>
      </c>
      <c r="D3678" s="4">
        <v>0</v>
      </c>
      <c r="E3678" s="4">
        <v>2000000</v>
      </c>
      <c r="F3678" s="4" t="str">
        <f>_xlfn.LET(_xlpm.r, _xlfn.XLOOKUP(Clean_Data[[#This Row],[Country_Code]], Metadata_Country!$A:$A, Metadata_Country!$B:$B, "Unknown"), IF(OR(_xlpm.r=0, _xlpm.r=""), "Regional Aggregate", _xlpm.r))</f>
        <v>Latin America &amp; Caribbean</v>
      </c>
      <c r="G3678" s="4" t="str">
        <f>_xlfn.LET(_xlpm.ig, _xlfn.XLOOKUP(Clean_Data[[#This Row],[Country_Code]], Metadata_Country!$A:$A, Metadata_Country!$C:$C, "Unknown"), IF(OR(_xlpm.ig=0, _xlpm.ig=""), "Regional Aggregate", _xlpm.ig))</f>
        <v>High income</v>
      </c>
      <c r="H3678" s="4">
        <f>Clean_Data[[#This Row],[Exports_TIV]] - Clean_Data[[#This Row],[Imports_TIV]]</f>
        <v>-2000000</v>
      </c>
      <c r="I3678" s="4">
        <f>Clean_Data[[#This Row],[Exports_TIV]] + Clean_Data[[#This Row],[Imports_TIV]]</f>
        <v>2000000</v>
      </c>
    </row>
    <row r="3679" spans="1:9">
      <c r="A3679" s="4" t="s">
        <v>495</v>
      </c>
      <c r="B3679" s="4" t="s">
        <v>496</v>
      </c>
      <c r="C3679" s="5">
        <v>2002</v>
      </c>
      <c r="D3679" s="4">
        <v>0</v>
      </c>
      <c r="E3679" s="4">
        <v>44000000</v>
      </c>
      <c r="F3679" s="4" t="str">
        <f>_xlfn.LET(_xlpm.r, _xlfn.XLOOKUP(Clean_Data[[#This Row],[Country_Code]], Metadata_Country!$A:$A, Metadata_Country!$B:$B, "Unknown"), IF(OR(_xlpm.r=0, _xlpm.r=""), "Regional Aggregate", _xlpm.r))</f>
        <v>Middle East &amp; North Africa</v>
      </c>
      <c r="G3679" s="4" t="str">
        <f>_xlfn.LET(_xlpm.ig, _xlfn.XLOOKUP(Clean_Data[[#This Row],[Country_Code]], Metadata_Country!$A:$A, Metadata_Country!$C:$C, "Unknown"), IF(OR(_xlpm.ig=0, _xlpm.ig=""), "Regional Aggregate", _xlpm.ig))</f>
        <v>Lower middle income</v>
      </c>
      <c r="H3679" s="4">
        <f>Clean_Data[[#This Row],[Exports_TIV]] - Clean_Data[[#This Row],[Imports_TIV]]</f>
        <v>-44000000</v>
      </c>
      <c r="I3679" s="4">
        <f>Clean_Data[[#This Row],[Exports_TIV]] + Clean_Data[[#This Row],[Imports_TIV]]</f>
        <v>44000000</v>
      </c>
    </row>
    <row r="3680" spans="1:9">
      <c r="A3680" s="4" t="s">
        <v>497</v>
      </c>
      <c r="B3680" s="4" t="s">
        <v>498</v>
      </c>
      <c r="C3680" s="5">
        <v>2002</v>
      </c>
      <c r="D3680" s="4">
        <v>28000000</v>
      </c>
      <c r="E3680" s="4">
        <v>878000000</v>
      </c>
      <c r="F3680" s="4" t="str">
        <f>_xlfn.LET(_xlpm.r, _xlfn.XLOOKUP(Clean_Data[[#This Row],[Country_Code]], Metadata_Country!$A:$A, Metadata_Country!$B:$B, "Unknown"), IF(OR(_xlpm.r=0, _xlpm.r=""), "Regional Aggregate", _xlpm.r))</f>
        <v>Europe &amp; Central Asia</v>
      </c>
      <c r="G3680" s="4" t="str">
        <f>_xlfn.LET(_xlpm.ig, _xlfn.XLOOKUP(Clean_Data[[#This Row],[Country_Code]], Metadata_Country!$A:$A, Metadata_Country!$C:$C, "Unknown"), IF(OR(_xlpm.ig=0, _xlpm.ig=""), "Regional Aggregate", _xlpm.ig))</f>
        <v>Upper middle income</v>
      </c>
      <c r="H3680" s="4">
        <f>Clean_Data[[#This Row],[Exports_TIV]] - Clean_Data[[#This Row],[Imports_TIV]]</f>
        <v>-850000000</v>
      </c>
      <c r="I3680" s="4">
        <f>Clean_Data[[#This Row],[Exports_TIV]] + Clean_Data[[#This Row],[Imports_TIV]]</f>
        <v>906000000</v>
      </c>
    </row>
    <row r="3681" spans="1:9">
      <c r="A3681" s="4" t="s">
        <v>503</v>
      </c>
      <c r="B3681" s="4" t="s">
        <v>504</v>
      </c>
      <c r="C3681" s="5">
        <v>2002</v>
      </c>
      <c r="D3681" s="4">
        <v>0</v>
      </c>
      <c r="E3681" s="4">
        <v>33000000</v>
      </c>
      <c r="F3681" s="4" t="str">
        <f>_xlfn.LET(_xlpm.r, _xlfn.XLOOKUP(Clean_Data[[#This Row],[Country_Code]], Metadata_Country!$A:$A, Metadata_Country!$B:$B, "Unknown"), IF(OR(_xlpm.r=0, _xlpm.r=""), "Regional Aggregate", _xlpm.r))</f>
        <v>Sub-Saharan Africa</v>
      </c>
      <c r="G3681" s="4" t="str">
        <f>_xlfn.LET(_xlpm.ig, _xlfn.XLOOKUP(Clean_Data[[#This Row],[Country_Code]], Metadata_Country!$A:$A, Metadata_Country!$C:$C, "Unknown"), IF(OR(_xlpm.ig=0, _xlpm.ig=""), "Regional Aggregate", _xlpm.ig))</f>
        <v>Low income</v>
      </c>
      <c r="H3681" s="4">
        <f>Clean_Data[[#This Row],[Exports_TIV]] - Clean_Data[[#This Row],[Imports_TIV]]</f>
        <v>-33000000</v>
      </c>
      <c r="I3681" s="4">
        <f>Clean_Data[[#This Row],[Exports_TIV]] + Clean_Data[[#This Row],[Imports_TIV]]</f>
        <v>33000000</v>
      </c>
    </row>
    <row r="3682" spans="1:9">
      <c r="A3682" s="4" t="s">
        <v>505</v>
      </c>
      <c r="B3682" s="4" t="s">
        <v>506</v>
      </c>
      <c r="C3682" s="5">
        <v>2002</v>
      </c>
      <c r="D3682" s="4">
        <v>327000000</v>
      </c>
      <c r="E3682" s="4">
        <v>0</v>
      </c>
      <c r="F3682" s="4" t="str">
        <f>_xlfn.LET(_xlpm.r, _xlfn.XLOOKUP(Clean_Data[[#This Row],[Country_Code]], Metadata_Country!$A:$A, Metadata_Country!$B:$B, "Unknown"), IF(OR(_xlpm.r=0, _xlpm.r=""), "Regional Aggregate", _xlpm.r))</f>
        <v>Europe &amp; Central Asia</v>
      </c>
      <c r="G3682" s="4" t="str">
        <f>_xlfn.LET(_xlpm.ig, _xlfn.XLOOKUP(Clean_Data[[#This Row],[Country_Code]], Metadata_Country!$A:$A, Metadata_Country!$C:$C, "Unknown"), IF(OR(_xlpm.ig=0, _xlpm.ig=""), "Regional Aggregate", _xlpm.ig))</f>
        <v>Upper middle income</v>
      </c>
      <c r="H3682" s="4">
        <f>Clean_Data[[#This Row],[Exports_TIV]] - Clean_Data[[#This Row],[Imports_TIV]]</f>
        <v>327000000</v>
      </c>
      <c r="I3682" s="4">
        <f>Clean_Data[[#This Row],[Exports_TIV]] + Clean_Data[[#This Row],[Imports_TIV]]</f>
        <v>327000000</v>
      </c>
    </row>
    <row r="3683" spans="1:9">
      <c r="A3683" s="4" t="s">
        <v>25</v>
      </c>
      <c r="B3683" s="4" t="s">
        <v>26</v>
      </c>
      <c r="C3683" s="5">
        <v>2002</v>
      </c>
      <c r="D3683" s="4">
        <v>0</v>
      </c>
      <c r="E3683" s="4">
        <v>223000000</v>
      </c>
      <c r="F3683" s="4" t="str">
        <f>_xlfn.LET(_xlpm.r, _xlfn.XLOOKUP(Clean_Data[[#This Row],[Country_Code]], Metadata_Country!$A:$A, Metadata_Country!$B:$B, "Unknown"), IF(OR(_xlpm.r=0, _xlpm.r=""), "Regional Aggregate", _xlpm.r))</f>
        <v>Middle East &amp; North Africa</v>
      </c>
      <c r="G3683" s="4" t="str">
        <f>_xlfn.LET(_xlpm.ig, _xlfn.XLOOKUP(Clean_Data[[#This Row],[Country_Code]], Metadata_Country!$A:$A, Metadata_Country!$C:$C, "Unknown"), IF(OR(_xlpm.ig=0, _xlpm.ig=""), "Regional Aggregate", _xlpm.ig))</f>
        <v>High income</v>
      </c>
      <c r="H3683" s="4">
        <f>Clean_Data[[#This Row],[Exports_TIV]] - Clean_Data[[#This Row],[Imports_TIV]]</f>
        <v>-223000000</v>
      </c>
      <c r="I3683" s="4">
        <f>Clean_Data[[#This Row],[Exports_TIV]] + Clean_Data[[#This Row],[Imports_TIV]]</f>
        <v>223000000</v>
      </c>
    </row>
    <row r="3684" spans="1:9">
      <c r="A3684" s="4" t="s">
        <v>171</v>
      </c>
      <c r="B3684" s="4" t="s">
        <v>172</v>
      </c>
      <c r="C3684" s="5">
        <v>2002</v>
      </c>
      <c r="D3684" s="4">
        <v>1078000000</v>
      </c>
      <c r="E3684" s="4">
        <v>721000000</v>
      </c>
      <c r="F3684" s="4" t="str">
        <f>_xlfn.LET(_xlpm.r, _xlfn.XLOOKUP(Clean_Data[[#This Row],[Country_Code]], Metadata_Country!$A:$A, Metadata_Country!$B:$B, "Unknown"), IF(OR(_xlpm.r=0, _xlpm.r=""), "Regional Aggregate", _xlpm.r))</f>
        <v>Europe &amp; Central Asia</v>
      </c>
      <c r="G3684" s="4" t="str">
        <f>_xlfn.LET(_xlpm.ig, _xlfn.XLOOKUP(Clean_Data[[#This Row],[Country_Code]], Metadata_Country!$A:$A, Metadata_Country!$C:$C, "Unknown"), IF(OR(_xlpm.ig=0, _xlpm.ig=""), "Regional Aggregate", _xlpm.ig))</f>
        <v>High income</v>
      </c>
      <c r="H3684" s="4">
        <f>Clean_Data[[#This Row],[Exports_TIV]] - Clean_Data[[#This Row],[Imports_TIV]]</f>
        <v>357000000</v>
      </c>
      <c r="I3684" s="4">
        <f>Clean_Data[[#This Row],[Exports_TIV]] + Clean_Data[[#This Row],[Imports_TIV]]</f>
        <v>1799000000</v>
      </c>
    </row>
    <row r="3685" spans="1:9">
      <c r="A3685" s="4" t="s">
        <v>511</v>
      </c>
      <c r="B3685" s="4" t="s">
        <v>512</v>
      </c>
      <c r="C3685" s="5">
        <v>2002</v>
      </c>
      <c r="D3685" s="4">
        <v>4872000000</v>
      </c>
      <c r="E3685" s="4">
        <v>515000000</v>
      </c>
      <c r="F3685" s="4" t="str">
        <f>_xlfn.LET(_xlpm.r, _xlfn.XLOOKUP(Clean_Data[[#This Row],[Country_Code]], Metadata_Country!$A:$A, Metadata_Country!$B:$B, "Unknown"), IF(OR(_xlpm.r=0, _xlpm.r=""), "Regional Aggregate", _xlpm.r))</f>
        <v>North America</v>
      </c>
      <c r="G3685" s="4" t="str">
        <f>_xlfn.LET(_xlpm.ig, _xlfn.XLOOKUP(Clean_Data[[#This Row],[Country_Code]], Metadata_Country!$A:$A, Metadata_Country!$C:$C, "Unknown"), IF(OR(_xlpm.ig=0, _xlpm.ig=""), "Regional Aggregate", _xlpm.ig))</f>
        <v>High income</v>
      </c>
      <c r="H3685" s="4">
        <f>Clean_Data[[#This Row],[Exports_TIV]] - Clean_Data[[#This Row],[Imports_TIV]]</f>
        <v>4357000000</v>
      </c>
      <c r="I3685" s="4">
        <f>Clean_Data[[#This Row],[Exports_TIV]] + Clean_Data[[#This Row],[Imports_TIV]]</f>
        <v>5387000000</v>
      </c>
    </row>
    <row r="3686" spans="1:9">
      <c r="A3686" s="4" t="s">
        <v>507</v>
      </c>
      <c r="B3686" s="4" t="s">
        <v>508</v>
      </c>
      <c r="C3686" s="5">
        <v>2002</v>
      </c>
      <c r="D3686" s="4">
        <v>0</v>
      </c>
      <c r="E3686" s="4">
        <v>5660000000</v>
      </c>
      <c r="F3686" s="4" t="str">
        <f>_xlfn.LET(_xlpm.r, _xlfn.XLOOKUP(Clean_Data[[#This Row],[Country_Code]], Metadata_Country!$A:$A, Metadata_Country!$B:$B, "Unknown"), IF(OR(_xlpm.r=0, _xlpm.r=""), "Regional Aggregate", _xlpm.r))</f>
        <v>Regional Aggregate</v>
      </c>
      <c r="G3686" s="4" t="str">
        <f>_xlfn.LET(_xlpm.ig, _xlfn.XLOOKUP(Clean_Data[[#This Row],[Country_Code]], Metadata_Country!$A:$A, Metadata_Country!$C:$C, "Unknown"), IF(OR(_xlpm.ig=0, _xlpm.ig=""), "Regional Aggregate", _xlpm.ig))</f>
        <v>Regional Aggregate</v>
      </c>
      <c r="H3686" s="4">
        <f>Clean_Data[[#This Row],[Exports_TIV]] - Clean_Data[[#This Row],[Imports_TIV]]</f>
        <v>-5660000000</v>
      </c>
      <c r="I3686" s="4">
        <f>Clean_Data[[#This Row],[Exports_TIV]] + Clean_Data[[#This Row],[Imports_TIV]]</f>
        <v>5660000000</v>
      </c>
    </row>
    <row r="3687" spans="1:9">
      <c r="A3687" s="4" t="s">
        <v>509</v>
      </c>
      <c r="B3687" s="4" t="s">
        <v>510</v>
      </c>
      <c r="C3687" s="5">
        <v>2002</v>
      </c>
      <c r="D3687" s="4">
        <v>0</v>
      </c>
      <c r="E3687" s="4">
        <v>13000000</v>
      </c>
      <c r="F3687" s="4" t="str">
        <f>_xlfn.LET(_xlpm.r, _xlfn.XLOOKUP(Clean_Data[[#This Row],[Country_Code]], Metadata_Country!$A:$A, Metadata_Country!$B:$B, "Unknown"), IF(OR(_xlpm.r=0, _xlpm.r=""), "Regional Aggregate", _xlpm.r))</f>
        <v>Latin America &amp; Caribbean</v>
      </c>
      <c r="G3687" s="4" t="str">
        <f>_xlfn.LET(_xlpm.ig, _xlfn.XLOOKUP(Clean_Data[[#This Row],[Country_Code]], Metadata_Country!$A:$A, Metadata_Country!$C:$C, "Unknown"), IF(OR(_xlpm.ig=0, _xlpm.ig=""), "Regional Aggregate", _xlpm.ig))</f>
        <v>High income</v>
      </c>
      <c r="H3687" s="4">
        <f>Clean_Data[[#This Row],[Exports_TIV]] - Clean_Data[[#This Row],[Imports_TIV]]</f>
        <v>-13000000</v>
      </c>
      <c r="I3687" s="4">
        <f>Clean_Data[[#This Row],[Exports_TIV]] + Clean_Data[[#This Row],[Imports_TIV]]</f>
        <v>13000000</v>
      </c>
    </row>
    <row r="3688" spans="1:9">
      <c r="A3688" s="4" t="s">
        <v>513</v>
      </c>
      <c r="B3688" s="4" t="s">
        <v>514</v>
      </c>
      <c r="C3688" s="5">
        <v>2002</v>
      </c>
      <c r="D3688" s="4">
        <v>0</v>
      </c>
      <c r="E3688" s="4">
        <v>9000000</v>
      </c>
      <c r="F3688" s="4" t="str">
        <f>_xlfn.LET(_xlpm.r, _xlfn.XLOOKUP(Clean_Data[[#This Row],[Country_Code]], Metadata_Country!$A:$A, Metadata_Country!$B:$B, "Unknown"), IF(OR(_xlpm.r=0, _xlpm.r=""), "Regional Aggregate", _xlpm.r))</f>
        <v>Europe &amp; Central Asia</v>
      </c>
      <c r="G3688" s="4" t="str">
        <f>_xlfn.LET(_xlpm.ig, _xlfn.XLOOKUP(Clean_Data[[#This Row],[Country_Code]], Metadata_Country!$A:$A, Metadata_Country!$C:$C, "Unknown"), IF(OR(_xlpm.ig=0, _xlpm.ig=""), "Regional Aggregate", _xlpm.ig))</f>
        <v>Lower middle income</v>
      </c>
      <c r="H3688" s="4">
        <f>Clean_Data[[#This Row],[Exports_TIV]] - Clean_Data[[#This Row],[Imports_TIV]]</f>
        <v>-9000000</v>
      </c>
      <c r="I3688" s="4">
        <f>Clean_Data[[#This Row],[Exports_TIV]] + Clean_Data[[#This Row],[Imports_TIV]]</f>
        <v>9000000</v>
      </c>
    </row>
    <row r="3689" spans="1:9">
      <c r="A3689" s="4" t="s">
        <v>517</v>
      </c>
      <c r="B3689" s="4" t="s">
        <v>518</v>
      </c>
      <c r="C3689" s="5">
        <v>2002</v>
      </c>
      <c r="D3689" s="4">
        <v>0</v>
      </c>
      <c r="E3689" s="4">
        <v>44000000</v>
      </c>
      <c r="F3689" s="4" t="str">
        <f>_xlfn.LET(_xlpm.r, _xlfn.XLOOKUP(Clean_Data[[#This Row],[Country_Code]], Metadata_Country!$A:$A, Metadata_Country!$B:$B, "Unknown"), IF(OR(_xlpm.r=0, _xlpm.r=""), "Regional Aggregate", _xlpm.r))</f>
        <v>Latin America &amp; Caribbean</v>
      </c>
      <c r="G3689" s="4" t="str">
        <f>_xlfn.LET(_xlpm.ig, _xlfn.XLOOKUP(Clean_Data[[#This Row],[Country_Code]], Metadata_Country!$A:$A, Metadata_Country!$C:$C, "Unknown"), IF(OR(_xlpm.ig=0, _xlpm.ig=""), "Regional Aggregate", _xlpm.ig))</f>
        <v>Lower middle income</v>
      </c>
      <c r="H3689" s="4">
        <f>Clean_Data[[#This Row],[Exports_TIV]] - Clean_Data[[#This Row],[Imports_TIV]]</f>
        <v>-44000000</v>
      </c>
      <c r="I3689" s="4">
        <f>Clean_Data[[#This Row],[Exports_TIV]] + Clean_Data[[#This Row],[Imports_TIV]]</f>
        <v>44000000</v>
      </c>
    </row>
    <row r="3690" spans="1:9">
      <c r="A3690" s="4" t="s">
        <v>523</v>
      </c>
      <c r="B3690" s="4" t="s">
        <v>524</v>
      </c>
      <c r="C3690" s="5">
        <v>2002</v>
      </c>
      <c r="D3690" s="4">
        <v>0</v>
      </c>
      <c r="E3690" s="4">
        <v>58000000</v>
      </c>
      <c r="F3690" s="4" t="str">
        <f>_xlfn.LET(_xlpm.r, _xlfn.XLOOKUP(Clean_Data[[#This Row],[Country_Code]], Metadata_Country!$A:$A, Metadata_Country!$B:$B, "Unknown"), IF(OR(_xlpm.r=0, _xlpm.r=""), "Regional Aggregate", _xlpm.r))</f>
        <v>East Asia &amp; Pacific</v>
      </c>
      <c r="G3690" s="4" t="str">
        <f>_xlfn.LET(_xlpm.ig, _xlfn.XLOOKUP(Clean_Data[[#This Row],[Country_Code]], Metadata_Country!$A:$A, Metadata_Country!$C:$C, "Unknown"), IF(OR(_xlpm.ig=0, _xlpm.ig=""), "Regional Aggregate", _xlpm.ig))</f>
        <v>Upper middle income</v>
      </c>
      <c r="H3690" s="4">
        <f>Clean_Data[[#This Row],[Exports_TIV]] - Clean_Data[[#This Row],[Imports_TIV]]</f>
        <v>-58000000</v>
      </c>
      <c r="I3690" s="4">
        <f>Clean_Data[[#This Row],[Exports_TIV]] + Clean_Data[[#This Row],[Imports_TIV]]</f>
        <v>58000000</v>
      </c>
    </row>
    <row r="3691" spans="1:9">
      <c r="A3691" s="4" t="s">
        <v>527</v>
      </c>
      <c r="B3691" s="4" t="s">
        <v>528</v>
      </c>
      <c r="C3691" s="5">
        <v>2002</v>
      </c>
      <c r="D3691" s="4">
        <v>17681000000</v>
      </c>
      <c r="E3691" s="4">
        <v>17668000000</v>
      </c>
      <c r="F3691" s="4" t="str">
        <f>_xlfn.LET(_xlpm.r, _xlfn.XLOOKUP(Clean_Data[[#This Row],[Country_Code]], Metadata_Country!$A:$A, Metadata_Country!$B:$B, "Unknown"), IF(OR(_xlpm.r=0, _xlpm.r=""), "Regional Aggregate", _xlpm.r))</f>
        <v>Regional Aggregate</v>
      </c>
      <c r="G3691" s="4" t="str">
        <f>_xlfn.LET(_xlpm.ig, _xlfn.XLOOKUP(Clean_Data[[#This Row],[Country_Code]], Metadata_Country!$A:$A, Metadata_Country!$C:$C, "Unknown"), IF(OR(_xlpm.ig=0, _xlpm.ig=""), "Regional Aggregate", _xlpm.ig))</f>
        <v>Regional Aggregate</v>
      </c>
      <c r="H3691" s="4">
        <f>Clean_Data[[#This Row],[Exports_TIV]] - Clean_Data[[#This Row],[Imports_TIV]]</f>
        <v>13000000</v>
      </c>
      <c r="I3691" s="4">
        <f>Clean_Data[[#This Row],[Exports_TIV]] + Clean_Data[[#This Row],[Imports_TIV]]</f>
        <v>35349000000</v>
      </c>
    </row>
    <row r="3692" spans="1:9">
      <c r="A3692" s="4" t="s">
        <v>533</v>
      </c>
      <c r="B3692" s="4" t="s">
        <v>534</v>
      </c>
      <c r="C3692" s="5">
        <v>2002</v>
      </c>
      <c r="D3692" s="4">
        <v>0</v>
      </c>
      <c r="E3692" s="4">
        <v>585000000</v>
      </c>
      <c r="F3692" s="4" t="str">
        <f>_xlfn.LET(_xlpm.r, _xlfn.XLOOKUP(Clean_Data[[#This Row],[Country_Code]], Metadata_Country!$A:$A, Metadata_Country!$B:$B, "Unknown"), IF(OR(_xlpm.r=0, _xlpm.r=""), "Regional Aggregate", _xlpm.r))</f>
        <v>Middle East &amp; North Africa</v>
      </c>
      <c r="G3692" s="4" t="str">
        <f>_xlfn.LET(_xlpm.ig, _xlfn.XLOOKUP(Clean_Data[[#This Row],[Country_Code]], Metadata_Country!$A:$A, Metadata_Country!$C:$C, "Unknown"), IF(OR(_xlpm.ig=0, _xlpm.ig=""), "Regional Aggregate", _xlpm.ig))</f>
        <v>Low income</v>
      </c>
      <c r="H3692" s="4">
        <f>Clean_Data[[#This Row],[Exports_TIV]] - Clean_Data[[#This Row],[Imports_TIV]]</f>
        <v>-585000000</v>
      </c>
      <c r="I3692" s="4">
        <f>Clean_Data[[#This Row],[Exports_TIV]] + Clean_Data[[#This Row],[Imports_TIV]]</f>
        <v>585000000</v>
      </c>
    </row>
    <row r="3693" spans="1:9">
      <c r="A3693" s="4" t="s">
        <v>537</v>
      </c>
      <c r="B3693" s="4" t="s">
        <v>538</v>
      </c>
      <c r="C3693" s="5">
        <v>2002</v>
      </c>
      <c r="D3693" s="4">
        <v>0</v>
      </c>
      <c r="E3693" s="4">
        <v>2000000</v>
      </c>
      <c r="F3693" s="4" t="str">
        <f>_xlfn.LET(_xlpm.r, _xlfn.XLOOKUP(Clean_Data[[#This Row],[Country_Code]], Metadata_Country!$A:$A, Metadata_Country!$B:$B, "Unknown"), IF(OR(_xlpm.r=0, _xlpm.r=""), "Regional Aggregate", _xlpm.r))</f>
        <v>Sub-Saharan Africa</v>
      </c>
      <c r="G3693" s="4" t="str">
        <f>_xlfn.LET(_xlpm.ig, _xlfn.XLOOKUP(Clean_Data[[#This Row],[Country_Code]], Metadata_Country!$A:$A, Metadata_Country!$C:$C, "Unknown"), IF(OR(_xlpm.ig=0, _xlpm.ig=""), "Regional Aggregate", _xlpm.ig))</f>
        <v>Lower middle income</v>
      </c>
      <c r="H3693" s="4">
        <f>Clean_Data[[#This Row],[Exports_TIV]] - Clean_Data[[#This Row],[Imports_TIV]]</f>
        <v>-2000000</v>
      </c>
      <c r="I3693" s="4">
        <f>Clean_Data[[#This Row],[Exports_TIV]] + Clean_Data[[#This Row],[Imports_TIV]]</f>
        <v>2000000</v>
      </c>
    </row>
    <row r="3694" spans="1:9">
      <c r="A3694" s="4" t="s">
        <v>11</v>
      </c>
      <c r="B3694" s="4" t="s">
        <v>12</v>
      </c>
      <c r="C3694" s="5">
        <v>2001</v>
      </c>
      <c r="D3694" s="4">
        <v>0</v>
      </c>
      <c r="E3694" s="4">
        <v>403000000</v>
      </c>
      <c r="F3694" s="4" t="str">
        <f>_xlfn.LET(_xlpm.r, _xlfn.XLOOKUP(Clean_Data[[#This Row],[Country_Code]], Metadata_Country!$A:$A, Metadata_Country!$B:$B, "Unknown"), IF(OR(_xlpm.r=0, _xlpm.r=""), "Regional Aggregate", _xlpm.r))</f>
        <v>Regional Aggregate</v>
      </c>
      <c r="G3694" s="4" t="str">
        <f>_xlfn.LET(_xlpm.ig, _xlfn.XLOOKUP(Clean_Data[[#This Row],[Country_Code]], Metadata_Country!$A:$A, Metadata_Country!$C:$C, "Unknown"), IF(OR(_xlpm.ig=0, _xlpm.ig=""), "Regional Aggregate", _xlpm.ig))</f>
        <v>Regional Aggregate</v>
      </c>
      <c r="H3694" s="4">
        <f>Clean_Data[[#This Row],[Exports_TIV]] - Clean_Data[[#This Row],[Imports_TIV]]</f>
        <v>-403000000</v>
      </c>
      <c r="I3694" s="4">
        <f>Clean_Data[[#This Row],[Exports_TIV]] + Clean_Data[[#This Row],[Imports_TIV]]</f>
        <v>403000000</v>
      </c>
    </row>
    <row r="3695" spans="1:9">
      <c r="A3695" s="4" t="s">
        <v>15</v>
      </c>
      <c r="B3695" s="4" t="s">
        <v>16</v>
      </c>
      <c r="C3695" s="5">
        <v>2001</v>
      </c>
      <c r="D3695" s="4">
        <v>0</v>
      </c>
      <c r="E3695" s="4">
        <v>56000000</v>
      </c>
      <c r="F3695" s="4" t="str">
        <f>_xlfn.LET(_xlpm.r, _xlfn.XLOOKUP(Clean_Data[[#This Row],[Country_Code]], Metadata_Country!$A:$A, Metadata_Country!$B:$B, "Unknown"), IF(OR(_xlpm.r=0, _xlpm.r=""), "Regional Aggregate", _xlpm.r))</f>
        <v>Regional Aggregate</v>
      </c>
      <c r="G3695" s="4" t="str">
        <f>_xlfn.LET(_xlpm.ig, _xlfn.XLOOKUP(Clean_Data[[#This Row],[Country_Code]], Metadata_Country!$A:$A, Metadata_Country!$C:$C, "Unknown"), IF(OR(_xlpm.ig=0, _xlpm.ig=""), "Regional Aggregate", _xlpm.ig))</f>
        <v>Regional Aggregate</v>
      </c>
      <c r="H3695" s="4">
        <f>Clean_Data[[#This Row],[Exports_TIV]] - Clean_Data[[#This Row],[Imports_TIV]]</f>
        <v>-56000000</v>
      </c>
      <c r="I3695" s="4">
        <f>Clean_Data[[#This Row],[Exports_TIV]] + Clean_Data[[#This Row],[Imports_TIV]]</f>
        <v>56000000</v>
      </c>
    </row>
    <row r="3696" spans="1:9">
      <c r="A3696" s="4" t="s">
        <v>129</v>
      </c>
      <c r="B3696" s="4" t="s">
        <v>130</v>
      </c>
      <c r="C3696" s="5">
        <v>2001</v>
      </c>
      <c r="D3696" s="4">
        <v>0</v>
      </c>
      <c r="E3696" s="4">
        <v>539000000</v>
      </c>
      <c r="F3696" s="4" t="str">
        <f>_xlfn.LET(_xlpm.r, _xlfn.XLOOKUP(Clean_Data[[#This Row],[Country_Code]], Metadata_Country!$A:$A, Metadata_Country!$B:$B, "Unknown"), IF(OR(_xlpm.r=0, _xlpm.r=""), "Regional Aggregate", _xlpm.r))</f>
        <v>Middle East &amp; North Africa</v>
      </c>
      <c r="G3696" s="4" t="str">
        <f>_xlfn.LET(_xlpm.ig, _xlfn.XLOOKUP(Clean_Data[[#This Row],[Country_Code]], Metadata_Country!$A:$A, Metadata_Country!$C:$C, "Unknown"), IF(OR(_xlpm.ig=0, _xlpm.ig=""), "Regional Aggregate", _xlpm.ig))</f>
        <v>Upper middle income</v>
      </c>
      <c r="H3696" s="4">
        <f>Clean_Data[[#This Row],[Exports_TIV]] - Clean_Data[[#This Row],[Imports_TIV]]</f>
        <v>-539000000</v>
      </c>
      <c r="I3696" s="4">
        <f>Clean_Data[[#This Row],[Exports_TIV]] + Clean_Data[[#This Row],[Imports_TIV]]</f>
        <v>539000000</v>
      </c>
    </row>
    <row r="3697" spans="1:9">
      <c r="A3697" s="4" t="s">
        <v>17</v>
      </c>
      <c r="B3697" s="4" t="s">
        <v>18</v>
      </c>
      <c r="C3697" s="5">
        <v>2001</v>
      </c>
      <c r="D3697" s="4">
        <v>0</v>
      </c>
      <c r="E3697" s="4">
        <v>157000000</v>
      </c>
      <c r="F3697" s="4" t="str">
        <f>_xlfn.LET(_xlpm.r, _xlfn.XLOOKUP(Clean_Data[[#This Row],[Country_Code]], Metadata_Country!$A:$A, Metadata_Country!$B:$B, "Unknown"), IF(OR(_xlpm.r=0, _xlpm.r=""), "Regional Aggregate", _xlpm.r))</f>
        <v>Sub-Saharan Africa</v>
      </c>
      <c r="G3697" s="4" t="str">
        <f>_xlfn.LET(_xlpm.ig, _xlfn.XLOOKUP(Clean_Data[[#This Row],[Country_Code]], Metadata_Country!$A:$A, Metadata_Country!$C:$C, "Unknown"), IF(OR(_xlpm.ig=0, _xlpm.ig=""), "Regional Aggregate", _xlpm.ig))</f>
        <v>Lower middle income</v>
      </c>
      <c r="H3697" s="4">
        <f>Clean_Data[[#This Row],[Exports_TIV]] - Clean_Data[[#This Row],[Imports_TIV]]</f>
        <v>-157000000</v>
      </c>
      <c r="I3697" s="4">
        <f>Clean_Data[[#This Row],[Exports_TIV]] + Clean_Data[[#This Row],[Imports_TIV]]</f>
        <v>157000000</v>
      </c>
    </row>
    <row r="3698" spans="1:9">
      <c r="A3698" s="4" t="s">
        <v>23</v>
      </c>
      <c r="B3698" s="4" t="s">
        <v>24</v>
      </c>
      <c r="C3698" s="5">
        <v>2001</v>
      </c>
      <c r="D3698" s="4">
        <v>0</v>
      </c>
      <c r="E3698" s="4">
        <v>2105000000</v>
      </c>
      <c r="F3698" s="4" t="str">
        <f>_xlfn.LET(_xlpm.r, _xlfn.XLOOKUP(Clean_Data[[#This Row],[Country_Code]], Metadata_Country!$A:$A, Metadata_Country!$B:$B, "Unknown"), IF(OR(_xlpm.r=0, _xlpm.r=""), "Regional Aggregate", _xlpm.r))</f>
        <v>Regional Aggregate</v>
      </c>
      <c r="G3698" s="4" t="str">
        <f>_xlfn.LET(_xlpm.ig, _xlfn.XLOOKUP(Clean_Data[[#This Row],[Country_Code]], Metadata_Country!$A:$A, Metadata_Country!$C:$C, "Unknown"), IF(OR(_xlpm.ig=0, _xlpm.ig=""), "Regional Aggregate", _xlpm.ig))</f>
        <v>Regional Aggregate</v>
      </c>
      <c r="H3698" s="4">
        <f>Clean_Data[[#This Row],[Exports_TIV]] - Clean_Data[[#This Row],[Imports_TIV]]</f>
        <v>-2105000000</v>
      </c>
      <c r="I3698" s="4">
        <f>Clean_Data[[#This Row],[Exports_TIV]] + Clean_Data[[#This Row],[Imports_TIV]]</f>
        <v>2105000000</v>
      </c>
    </row>
    <row r="3699" spans="1:9">
      <c r="A3699" s="4" t="s">
        <v>27</v>
      </c>
      <c r="B3699" s="4" t="s">
        <v>28</v>
      </c>
      <c r="C3699" s="5">
        <v>2001</v>
      </c>
      <c r="D3699" s="4">
        <v>0</v>
      </c>
      <c r="E3699" s="4">
        <v>6000000</v>
      </c>
      <c r="F3699" s="4" t="str">
        <f>_xlfn.LET(_xlpm.r, _xlfn.XLOOKUP(Clean_Data[[#This Row],[Country_Code]], Metadata_Country!$A:$A, Metadata_Country!$B:$B, "Unknown"), IF(OR(_xlpm.r=0, _xlpm.r=""), "Regional Aggregate", _xlpm.r))</f>
        <v>Latin America &amp; Caribbean</v>
      </c>
      <c r="G3699" s="4" t="str">
        <f>_xlfn.LET(_xlpm.ig, _xlfn.XLOOKUP(Clean_Data[[#This Row],[Country_Code]], Metadata_Country!$A:$A, Metadata_Country!$C:$C, "Unknown"), IF(OR(_xlpm.ig=0, _xlpm.ig=""), "Regional Aggregate", _xlpm.ig))</f>
        <v>Upper middle income</v>
      </c>
      <c r="H3699" s="4">
        <f>Clean_Data[[#This Row],[Exports_TIV]] - Clean_Data[[#This Row],[Imports_TIV]]</f>
        <v>-6000000</v>
      </c>
      <c r="I3699" s="4">
        <f>Clean_Data[[#This Row],[Exports_TIV]] + Clean_Data[[#This Row],[Imports_TIV]]</f>
        <v>6000000</v>
      </c>
    </row>
    <row r="3700" spans="1:9">
      <c r="A3700" s="4" t="s">
        <v>35</v>
      </c>
      <c r="B3700" s="4" t="s">
        <v>36</v>
      </c>
      <c r="C3700" s="5">
        <v>2001</v>
      </c>
      <c r="D3700" s="4">
        <v>43000000</v>
      </c>
      <c r="E3700" s="4">
        <v>1215000000</v>
      </c>
      <c r="F3700" s="4" t="str">
        <f>_xlfn.LET(_xlpm.r, _xlfn.XLOOKUP(Clean_Data[[#This Row],[Country_Code]], Metadata_Country!$A:$A, Metadata_Country!$B:$B, "Unknown"), IF(OR(_xlpm.r=0, _xlpm.r=""), "Regional Aggregate", _xlpm.r))</f>
        <v>East Asia &amp; Pacific</v>
      </c>
      <c r="G3700" s="4" t="str">
        <f>_xlfn.LET(_xlpm.ig, _xlfn.XLOOKUP(Clean_Data[[#This Row],[Country_Code]], Metadata_Country!$A:$A, Metadata_Country!$C:$C, "Unknown"), IF(OR(_xlpm.ig=0, _xlpm.ig=""), "Regional Aggregate", _xlpm.ig))</f>
        <v>High income</v>
      </c>
      <c r="H3700" s="4">
        <f>Clean_Data[[#This Row],[Exports_TIV]] - Clean_Data[[#This Row],[Imports_TIV]]</f>
        <v>-1172000000</v>
      </c>
      <c r="I3700" s="4">
        <f>Clean_Data[[#This Row],[Exports_TIV]] + Clean_Data[[#This Row],[Imports_TIV]]</f>
        <v>1258000000</v>
      </c>
    </row>
    <row r="3701" spans="1:9">
      <c r="A3701" s="4" t="s">
        <v>37</v>
      </c>
      <c r="B3701" s="4" t="s">
        <v>38</v>
      </c>
      <c r="C3701" s="5">
        <v>2001</v>
      </c>
      <c r="D3701" s="4">
        <v>17000000</v>
      </c>
      <c r="E3701" s="4">
        <v>15000000</v>
      </c>
      <c r="F3701" s="4" t="str">
        <f>_xlfn.LET(_xlpm.r, _xlfn.XLOOKUP(Clean_Data[[#This Row],[Country_Code]], Metadata_Country!$A:$A, Metadata_Country!$B:$B, "Unknown"), IF(OR(_xlpm.r=0, _xlpm.r=""), "Regional Aggregate", _xlpm.r))</f>
        <v>Europe &amp; Central Asia</v>
      </c>
      <c r="G3701" s="4" t="str">
        <f>_xlfn.LET(_xlpm.ig, _xlfn.XLOOKUP(Clean_Data[[#This Row],[Country_Code]], Metadata_Country!$A:$A, Metadata_Country!$C:$C, "Unknown"), IF(OR(_xlpm.ig=0, _xlpm.ig=""), "Regional Aggregate", _xlpm.ig))</f>
        <v>High income</v>
      </c>
      <c r="H3701" s="4">
        <f>Clean_Data[[#This Row],[Exports_TIV]] - Clean_Data[[#This Row],[Imports_TIV]]</f>
        <v>2000000</v>
      </c>
      <c r="I3701" s="4">
        <f>Clean_Data[[#This Row],[Exports_TIV]] + Clean_Data[[#This Row],[Imports_TIV]]</f>
        <v>32000000</v>
      </c>
    </row>
    <row r="3702" spans="1:9">
      <c r="A3702" s="4" t="s">
        <v>53</v>
      </c>
      <c r="B3702" s="4" t="s">
        <v>54</v>
      </c>
      <c r="C3702" s="5">
        <v>2001</v>
      </c>
      <c r="D3702" s="4">
        <v>2000000</v>
      </c>
      <c r="E3702" s="4">
        <v>28000000</v>
      </c>
      <c r="F3702" s="4" t="str">
        <f>_xlfn.LET(_xlpm.r, _xlfn.XLOOKUP(Clean_Data[[#This Row],[Country_Code]], Metadata_Country!$A:$A, Metadata_Country!$B:$B, "Unknown"), IF(OR(_xlpm.r=0, _xlpm.r=""), "Regional Aggregate", _xlpm.r))</f>
        <v>Middle East &amp; North Africa</v>
      </c>
      <c r="G3702" s="4" t="str">
        <f>_xlfn.LET(_xlpm.ig, _xlfn.XLOOKUP(Clean_Data[[#This Row],[Country_Code]], Metadata_Country!$A:$A, Metadata_Country!$C:$C, "Unknown"), IF(OR(_xlpm.ig=0, _xlpm.ig=""), "Regional Aggregate", _xlpm.ig))</f>
        <v>High income</v>
      </c>
      <c r="H3702" s="4">
        <f>Clean_Data[[#This Row],[Exports_TIV]] - Clean_Data[[#This Row],[Imports_TIV]]</f>
        <v>-26000000</v>
      </c>
      <c r="I3702" s="4">
        <f>Clean_Data[[#This Row],[Exports_TIV]] + Clean_Data[[#This Row],[Imports_TIV]]</f>
        <v>30000000</v>
      </c>
    </row>
    <row r="3703" spans="1:9">
      <c r="A3703" s="4" t="s">
        <v>49</v>
      </c>
      <c r="B3703" s="4" t="s">
        <v>50</v>
      </c>
      <c r="C3703" s="5">
        <v>2001</v>
      </c>
      <c r="D3703" s="4">
        <v>0</v>
      </c>
      <c r="E3703" s="4">
        <v>274000000</v>
      </c>
      <c r="F3703" s="4" t="str">
        <f>_xlfn.LET(_xlpm.r, _xlfn.XLOOKUP(Clean_Data[[#This Row],[Country_Code]], Metadata_Country!$A:$A, Metadata_Country!$B:$B, "Unknown"), IF(OR(_xlpm.r=0, _xlpm.r=""), "Regional Aggregate", _xlpm.r))</f>
        <v>South Asia</v>
      </c>
      <c r="G3703" s="4" t="str">
        <f>_xlfn.LET(_xlpm.ig, _xlfn.XLOOKUP(Clean_Data[[#This Row],[Country_Code]], Metadata_Country!$A:$A, Metadata_Country!$C:$C, "Unknown"), IF(OR(_xlpm.ig=0, _xlpm.ig=""), "Regional Aggregate", _xlpm.ig))</f>
        <v>Lower middle income</v>
      </c>
      <c r="H3703" s="4">
        <f>Clean_Data[[#This Row],[Exports_TIV]] - Clean_Data[[#This Row],[Imports_TIV]]</f>
        <v>-274000000</v>
      </c>
      <c r="I3703" s="4">
        <f>Clean_Data[[#This Row],[Exports_TIV]] + Clean_Data[[#This Row],[Imports_TIV]]</f>
        <v>274000000</v>
      </c>
    </row>
    <row r="3704" spans="1:9">
      <c r="A3704" s="4" t="s">
        <v>59</v>
      </c>
      <c r="B3704" s="4" t="s">
        <v>60</v>
      </c>
      <c r="C3704" s="5">
        <v>2001</v>
      </c>
      <c r="D3704" s="4">
        <v>49000000</v>
      </c>
      <c r="E3704" s="4">
        <v>0</v>
      </c>
      <c r="F3704" s="4" t="str">
        <f>_xlfn.LET(_xlpm.r, _xlfn.XLOOKUP(Clean_Data[[#This Row],[Country_Code]], Metadata_Country!$A:$A, Metadata_Country!$B:$B, "Unknown"), IF(OR(_xlpm.r=0, _xlpm.r=""), "Regional Aggregate", _xlpm.r))</f>
        <v>Europe &amp; Central Asia</v>
      </c>
      <c r="G3704" s="4" t="str">
        <f>_xlfn.LET(_xlpm.ig, _xlfn.XLOOKUP(Clean_Data[[#This Row],[Country_Code]], Metadata_Country!$A:$A, Metadata_Country!$C:$C, "Unknown"), IF(OR(_xlpm.ig=0, _xlpm.ig=""), "Regional Aggregate", _xlpm.ig))</f>
        <v>Upper middle income</v>
      </c>
      <c r="H3704" s="4">
        <f>Clean_Data[[#This Row],[Exports_TIV]] - Clean_Data[[#This Row],[Imports_TIV]]</f>
        <v>49000000</v>
      </c>
      <c r="I3704" s="4">
        <f>Clean_Data[[#This Row],[Exports_TIV]] + Clean_Data[[#This Row],[Imports_TIV]]</f>
        <v>49000000</v>
      </c>
    </row>
    <row r="3705" spans="1:9">
      <c r="A3705" s="4" t="s">
        <v>43</v>
      </c>
      <c r="B3705" s="4" t="s">
        <v>44</v>
      </c>
      <c r="C3705" s="5">
        <v>2001</v>
      </c>
      <c r="D3705" s="4">
        <v>37000000</v>
      </c>
      <c r="E3705" s="4">
        <v>30000000</v>
      </c>
      <c r="F3705" s="4" t="str">
        <f>_xlfn.LET(_xlpm.r, _xlfn.XLOOKUP(Clean_Data[[#This Row],[Country_Code]], Metadata_Country!$A:$A, Metadata_Country!$B:$B, "Unknown"), IF(OR(_xlpm.r=0, _xlpm.r=""), "Regional Aggregate", _xlpm.r))</f>
        <v>Europe &amp; Central Asia</v>
      </c>
      <c r="G3705" s="4" t="str">
        <f>_xlfn.LET(_xlpm.ig, _xlfn.XLOOKUP(Clean_Data[[#This Row],[Country_Code]], Metadata_Country!$A:$A, Metadata_Country!$C:$C, "Unknown"), IF(OR(_xlpm.ig=0, _xlpm.ig=""), "Regional Aggregate", _xlpm.ig))</f>
        <v>High income</v>
      </c>
      <c r="H3705" s="4">
        <f>Clean_Data[[#This Row],[Exports_TIV]] - Clean_Data[[#This Row],[Imports_TIV]]</f>
        <v>7000000</v>
      </c>
      <c r="I3705" s="4">
        <f>Clean_Data[[#This Row],[Exports_TIV]] + Clean_Data[[#This Row],[Imports_TIV]]</f>
        <v>67000000</v>
      </c>
    </row>
    <row r="3706" spans="1:9">
      <c r="A3706" s="4" t="s">
        <v>75</v>
      </c>
      <c r="B3706" s="4" t="s">
        <v>76</v>
      </c>
      <c r="C3706" s="5">
        <v>2001</v>
      </c>
      <c r="D3706" s="4">
        <v>0</v>
      </c>
      <c r="E3706" s="4">
        <v>15000000</v>
      </c>
      <c r="F3706" s="4" t="str">
        <f>_xlfn.LET(_xlpm.r, _xlfn.XLOOKUP(Clean_Data[[#This Row],[Country_Code]], Metadata_Country!$A:$A, Metadata_Country!$B:$B, "Unknown"), IF(OR(_xlpm.r=0, _xlpm.r=""), "Regional Aggregate", _xlpm.r))</f>
        <v>Sub-Saharan Africa</v>
      </c>
      <c r="G3706" s="4" t="str">
        <f>_xlfn.LET(_xlpm.ig, _xlfn.XLOOKUP(Clean_Data[[#This Row],[Country_Code]], Metadata_Country!$A:$A, Metadata_Country!$C:$C, "Unknown"), IF(OR(_xlpm.ig=0, _xlpm.ig=""), "Regional Aggregate", _xlpm.ig))</f>
        <v>Upper middle income</v>
      </c>
      <c r="H3706" s="4">
        <f>Clean_Data[[#This Row],[Exports_TIV]] - Clean_Data[[#This Row],[Imports_TIV]]</f>
        <v>-15000000</v>
      </c>
      <c r="I3706" s="4">
        <f>Clean_Data[[#This Row],[Exports_TIV]] + Clean_Data[[#This Row],[Imports_TIV]]</f>
        <v>15000000</v>
      </c>
    </row>
    <row r="3707" spans="1:9">
      <c r="A3707" s="4" t="s">
        <v>67</v>
      </c>
      <c r="B3707" s="4" t="s">
        <v>68</v>
      </c>
      <c r="C3707" s="5">
        <v>2001</v>
      </c>
      <c r="D3707" s="4">
        <v>0</v>
      </c>
      <c r="E3707" s="4">
        <v>573000000</v>
      </c>
      <c r="F3707" s="4" t="str">
        <f>_xlfn.LET(_xlpm.r, _xlfn.XLOOKUP(Clean_Data[[#This Row],[Country_Code]], Metadata_Country!$A:$A, Metadata_Country!$B:$B, "Unknown"), IF(OR(_xlpm.r=0, _xlpm.r=""), "Regional Aggregate", _xlpm.r))</f>
        <v>Latin America &amp; Caribbean</v>
      </c>
      <c r="G3707" s="4" t="str">
        <f>_xlfn.LET(_xlpm.ig, _xlfn.XLOOKUP(Clean_Data[[#This Row],[Country_Code]], Metadata_Country!$A:$A, Metadata_Country!$C:$C, "Unknown"), IF(OR(_xlpm.ig=0, _xlpm.ig=""), "Regional Aggregate", _xlpm.ig))</f>
        <v>Upper middle income</v>
      </c>
      <c r="H3707" s="4">
        <f>Clean_Data[[#This Row],[Exports_TIV]] - Clean_Data[[#This Row],[Imports_TIV]]</f>
        <v>-573000000</v>
      </c>
      <c r="I3707" s="4">
        <f>Clean_Data[[#This Row],[Exports_TIV]] + Clean_Data[[#This Row],[Imports_TIV]]</f>
        <v>573000000</v>
      </c>
    </row>
    <row r="3708" spans="1:9">
      <c r="A3708" s="4" t="s">
        <v>71</v>
      </c>
      <c r="B3708" s="4" t="s">
        <v>72</v>
      </c>
      <c r="C3708" s="5">
        <v>2001</v>
      </c>
      <c r="D3708" s="4">
        <v>0</v>
      </c>
      <c r="E3708" s="4">
        <v>5000000</v>
      </c>
      <c r="F3708" s="4" t="str">
        <f>_xlfn.LET(_xlpm.r, _xlfn.XLOOKUP(Clean_Data[[#This Row],[Country_Code]], Metadata_Country!$A:$A, Metadata_Country!$B:$B, "Unknown"), IF(OR(_xlpm.r=0, _xlpm.r=""), "Regional Aggregate", _xlpm.r))</f>
        <v>East Asia &amp; Pacific</v>
      </c>
      <c r="G3708" s="4" t="str">
        <f>_xlfn.LET(_xlpm.ig, _xlfn.XLOOKUP(Clean_Data[[#This Row],[Country_Code]], Metadata_Country!$A:$A, Metadata_Country!$C:$C, "Unknown"), IF(OR(_xlpm.ig=0, _xlpm.ig=""), "Regional Aggregate", _xlpm.ig))</f>
        <v>High income</v>
      </c>
      <c r="H3708" s="4">
        <f>Clean_Data[[#This Row],[Exports_TIV]] - Clean_Data[[#This Row],[Imports_TIV]]</f>
        <v>-5000000</v>
      </c>
      <c r="I3708" s="4">
        <f>Clean_Data[[#This Row],[Exports_TIV]] + Clean_Data[[#This Row],[Imports_TIV]]</f>
        <v>5000000</v>
      </c>
    </row>
    <row r="3709" spans="1:9">
      <c r="A3709" s="4" t="s">
        <v>51</v>
      </c>
      <c r="B3709" s="4" t="s">
        <v>52</v>
      </c>
      <c r="C3709" s="5">
        <v>2001</v>
      </c>
      <c r="D3709" s="4">
        <v>10000000</v>
      </c>
      <c r="E3709" s="4">
        <v>0</v>
      </c>
      <c r="F3709" s="4" t="str">
        <f>_xlfn.LET(_xlpm.r, _xlfn.XLOOKUP(Clean_Data[[#This Row],[Country_Code]], Metadata_Country!$A:$A, Metadata_Country!$B:$B, "Unknown"), IF(OR(_xlpm.r=0, _xlpm.r=""), "Regional Aggregate", _xlpm.r))</f>
        <v>Europe &amp; Central Asia</v>
      </c>
      <c r="G3709" s="4" t="str">
        <f>_xlfn.LET(_xlpm.ig, _xlfn.XLOOKUP(Clean_Data[[#This Row],[Country_Code]], Metadata_Country!$A:$A, Metadata_Country!$C:$C, "Unknown"), IF(OR(_xlpm.ig=0, _xlpm.ig=""), "Regional Aggregate", _xlpm.ig))</f>
        <v>High income</v>
      </c>
      <c r="H3709" s="4">
        <f>Clean_Data[[#This Row],[Exports_TIV]] - Clean_Data[[#This Row],[Imports_TIV]]</f>
        <v>10000000</v>
      </c>
      <c r="I3709" s="4">
        <f>Clean_Data[[#This Row],[Exports_TIV]] + Clean_Data[[#This Row],[Imports_TIV]]</f>
        <v>10000000</v>
      </c>
    </row>
    <row r="3710" spans="1:9">
      <c r="A3710" s="4" t="s">
        <v>41</v>
      </c>
      <c r="B3710" s="4" t="s">
        <v>42</v>
      </c>
      <c r="C3710" s="5">
        <v>2001</v>
      </c>
      <c r="D3710" s="4">
        <v>0</v>
      </c>
      <c r="E3710" s="4">
        <v>1000000</v>
      </c>
      <c r="F3710" s="4" t="str">
        <f>_xlfn.LET(_xlpm.r, _xlfn.XLOOKUP(Clean_Data[[#This Row],[Country_Code]], Metadata_Country!$A:$A, Metadata_Country!$B:$B, "Unknown"), IF(OR(_xlpm.r=0, _xlpm.r=""), "Regional Aggregate", _xlpm.r))</f>
        <v>Sub-Saharan Africa</v>
      </c>
      <c r="G3710" s="4" t="str">
        <f>_xlfn.LET(_xlpm.ig, _xlfn.XLOOKUP(Clean_Data[[#This Row],[Country_Code]], Metadata_Country!$A:$A, Metadata_Country!$C:$C, "Unknown"), IF(OR(_xlpm.ig=0, _xlpm.ig=""), "Regional Aggregate", _xlpm.ig))</f>
        <v>Low income</v>
      </c>
      <c r="H3710" s="4">
        <f>Clean_Data[[#This Row],[Exports_TIV]] - Clean_Data[[#This Row],[Imports_TIV]]</f>
        <v>-1000000</v>
      </c>
      <c r="I3710" s="4">
        <f>Clean_Data[[#This Row],[Exports_TIV]] + Clean_Data[[#This Row],[Imports_TIV]]</f>
        <v>1000000</v>
      </c>
    </row>
    <row r="3711" spans="1:9">
      <c r="A3711" s="4" t="s">
        <v>93</v>
      </c>
      <c r="B3711" s="4" t="s">
        <v>94</v>
      </c>
      <c r="C3711" s="5">
        <v>2001</v>
      </c>
      <c r="D3711" s="4">
        <v>0</v>
      </c>
      <c r="E3711" s="4">
        <v>6000000</v>
      </c>
      <c r="F3711" s="4" t="str">
        <f>_xlfn.LET(_xlpm.r, _xlfn.XLOOKUP(Clean_Data[[#This Row],[Country_Code]], Metadata_Country!$A:$A, Metadata_Country!$B:$B, "Unknown"), IF(OR(_xlpm.r=0, _xlpm.r=""), "Regional Aggregate", _xlpm.r))</f>
        <v>Sub-Saharan Africa</v>
      </c>
      <c r="G3711" s="4" t="str">
        <f>_xlfn.LET(_xlpm.ig, _xlfn.XLOOKUP(Clean_Data[[#This Row],[Country_Code]], Metadata_Country!$A:$A, Metadata_Country!$C:$C, "Unknown"), IF(OR(_xlpm.ig=0, _xlpm.ig=""), "Regional Aggregate", _xlpm.ig))</f>
        <v>Lower middle income</v>
      </c>
      <c r="H3711" s="4">
        <f>Clean_Data[[#This Row],[Exports_TIV]] - Clean_Data[[#This Row],[Imports_TIV]]</f>
        <v>-6000000</v>
      </c>
      <c r="I3711" s="4">
        <f>Clean_Data[[#This Row],[Exports_TIV]] + Clean_Data[[#This Row],[Imports_TIV]]</f>
        <v>6000000</v>
      </c>
    </row>
    <row r="3712" spans="1:9">
      <c r="A3712" s="4" t="s">
        <v>79</v>
      </c>
      <c r="B3712" s="4" t="s">
        <v>80</v>
      </c>
      <c r="C3712" s="5">
        <v>2001</v>
      </c>
      <c r="D3712" s="4">
        <v>124000000</v>
      </c>
      <c r="E3712" s="4">
        <v>520000000</v>
      </c>
      <c r="F3712" s="4" t="str">
        <f>_xlfn.LET(_xlpm.r, _xlfn.XLOOKUP(Clean_Data[[#This Row],[Country_Code]], Metadata_Country!$A:$A, Metadata_Country!$B:$B, "Unknown"), IF(OR(_xlpm.r=0, _xlpm.r=""), "Regional Aggregate", _xlpm.r))</f>
        <v>North America</v>
      </c>
      <c r="G3712" s="4" t="str">
        <f>_xlfn.LET(_xlpm.ig, _xlfn.XLOOKUP(Clean_Data[[#This Row],[Country_Code]], Metadata_Country!$A:$A, Metadata_Country!$C:$C, "Unknown"), IF(OR(_xlpm.ig=0, _xlpm.ig=""), "Regional Aggregate", _xlpm.ig))</f>
        <v>High income</v>
      </c>
      <c r="H3712" s="4">
        <f>Clean_Data[[#This Row],[Exports_TIV]] - Clean_Data[[#This Row],[Imports_TIV]]</f>
        <v>-396000000</v>
      </c>
      <c r="I3712" s="4">
        <f>Clean_Data[[#This Row],[Exports_TIV]] + Clean_Data[[#This Row],[Imports_TIV]]</f>
        <v>644000000</v>
      </c>
    </row>
    <row r="3713" spans="1:9">
      <c r="A3713" s="4" t="s">
        <v>81</v>
      </c>
      <c r="B3713" s="4" t="s">
        <v>82</v>
      </c>
      <c r="C3713" s="5">
        <v>2001</v>
      </c>
      <c r="D3713" s="4">
        <v>0</v>
      </c>
      <c r="E3713" s="4">
        <v>254000000</v>
      </c>
      <c r="F3713" s="4" t="str">
        <f>_xlfn.LET(_xlpm.r, _xlfn.XLOOKUP(Clean_Data[[#This Row],[Country_Code]], Metadata_Country!$A:$A, Metadata_Country!$B:$B, "Unknown"), IF(OR(_xlpm.r=0, _xlpm.r=""), "Regional Aggregate", _xlpm.r))</f>
        <v>Regional Aggregate</v>
      </c>
      <c r="G3713" s="4" t="str">
        <f>_xlfn.LET(_xlpm.ig, _xlfn.XLOOKUP(Clean_Data[[#This Row],[Country_Code]], Metadata_Country!$A:$A, Metadata_Country!$C:$C, "Unknown"), IF(OR(_xlpm.ig=0, _xlpm.ig=""), "Regional Aggregate", _xlpm.ig))</f>
        <v>Regional Aggregate</v>
      </c>
      <c r="H3713" s="4">
        <f>Clean_Data[[#This Row],[Exports_TIV]] - Clean_Data[[#This Row],[Imports_TIV]]</f>
        <v>-254000000</v>
      </c>
      <c r="I3713" s="4">
        <f>Clean_Data[[#This Row],[Exports_TIV]] + Clean_Data[[#This Row],[Imports_TIV]]</f>
        <v>254000000</v>
      </c>
    </row>
    <row r="3714" spans="1:9">
      <c r="A3714" s="4" t="s">
        <v>467</v>
      </c>
      <c r="B3714" s="4" t="s">
        <v>468</v>
      </c>
      <c r="C3714" s="5">
        <v>2001</v>
      </c>
      <c r="D3714" s="4">
        <v>0</v>
      </c>
      <c r="E3714" s="4">
        <v>16000000</v>
      </c>
      <c r="F3714" s="4" t="str">
        <f>_xlfn.LET(_xlpm.r, _xlfn.XLOOKUP(Clean_Data[[#This Row],[Country_Code]], Metadata_Country!$A:$A, Metadata_Country!$B:$B, "Unknown"), IF(OR(_xlpm.r=0, _xlpm.r=""), "Regional Aggregate", _xlpm.r))</f>
        <v>Sub-Saharan Africa</v>
      </c>
      <c r="G3714" s="4" t="str">
        <f>_xlfn.LET(_xlpm.ig, _xlfn.XLOOKUP(Clean_Data[[#This Row],[Country_Code]], Metadata_Country!$A:$A, Metadata_Country!$C:$C, "Unknown"), IF(OR(_xlpm.ig=0, _xlpm.ig=""), "Regional Aggregate", _xlpm.ig))</f>
        <v>Low income</v>
      </c>
      <c r="H3714" s="4">
        <f>Clean_Data[[#This Row],[Exports_TIV]] - Clean_Data[[#This Row],[Imports_TIV]]</f>
        <v>-16000000</v>
      </c>
      <c r="I3714" s="4">
        <f>Clean_Data[[#This Row],[Exports_TIV]] + Clean_Data[[#This Row],[Imports_TIV]]</f>
        <v>16000000</v>
      </c>
    </row>
    <row r="3715" spans="1:9">
      <c r="A3715" s="4" t="s">
        <v>87</v>
      </c>
      <c r="B3715" s="4" t="s">
        <v>88</v>
      </c>
      <c r="C3715" s="5">
        <v>2001</v>
      </c>
      <c r="D3715" s="4">
        <v>0</v>
      </c>
      <c r="E3715" s="4">
        <v>60000000</v>
      </c>
      <c r="F3715" s="4" t="str">
        <f>_xlfn.LET(_xlpm.r, _xlfn.XLOOKUP(Clean_Data[[#This Row],[Country_Code]], Metadata_Country!$A:$A, Metadata_Country!$B:$B, "Unknown"), IF(OR(_xlpm.r=0, _xlpm.r=""), "Regional Aggregate", _xlpm.r))</f>
        <v>Latin America &amp; Caribbean</v>
      </c>
      <c r="G3715" s="4" t="str">
        <f>_xlfn.LET(_xlpm.ig, _xlfn.XLOOKUP(Clean_Data[[#This Row],[Country_Code]], Metadata_Country!$A:$A, Metadata_Country!$C:$C, "Unknown"), IF(OR(_xlpm.ig=0, _xlpm.ig=""), "Regional Aggregate", _xlpm.ig))</f>
        <v>High income</v>
      </c>
      <c r="H3715" s="4">
        <f>Clean_Data[[#This Row],[Exports_TIV]] - Clean_Data[[#This Row],[Imports_TIV]]</f>
        <v>-60000000</v>
      </c>
      <c r="I3715" s="4">
        <f>Clean_Data[[#This Row],[Exports_TIV]] + Clean_Data[[#This Row],[Imports_TIV]]</f>
        <v>60000000</v>
      </c>
    </row>
    <row r="3716" spans="1:9">
      <c r="A3716" s="4" t="s">
        <v>89</v>
      </c>
      <c r="B3716" s="4" t="s">
        <v>90</v>
      </c>
      <c r="C3716" s="5">
        <v>2001</v>
      </c>
      <c r="D3716" s="4">
        <v>510000000</v>
      </c>
      <c r="E3716" s="4">
        <v>2755000000</v>
      </c>
      <c r="F3716" s="4" t="str">
        <f>_xlfn.LET(_xlpm.r, _xlfn.XLOOKUP(Clean_Data[[#This Row],[Country_Code]], Metadata_Country!$A:$A, Metadata_Country!$B:$B, "Unknown"), IF(OR(_xlpm.r=0, _xlpm.r=""), "Regional Aggregate", _xlpm.r))</f>
        <v>East Asia &amp; Pacific</v>
      </c>
      <c r="G3716" s="4" t="str">
        <f>_xlfn.LET(_xlpm.ig, _xlfn.XLOOKUP(Clean_Data[[#This Row],[Country_Code]], Metadata_Country!$A:$A, Metadata_Country!$C:$C, "Unknown"), IF(OR(_xlpm.ig=0, _xlpm.ig=""), "Regional Aggregate", _xlpm.ig))</f>
        <v>Upper middle income</v>
      </c>
      <c r="H3716" s="4">
        <f>Clean_Data[[#This Row],[Exports_TIV]] - Clean_Data[[#This Row],[Imports_TIV]]</f>
        <v>-2245000000</v>
      </c>
      <c r="I3716" s="4">
        <f>Clean_Data[[#This Row],[Exports_TIV]] + Clean_Data[[#This Row],[Imports_TIV]]</f>
        <v>3265000000</v>
      </c>
    </row>
    <row r="3717" spans="1:9">
      <c r="A3717" s="4" t="s">
        <v>99</v>
      </c>
      <c r="B3717" s="4" t="s">
        <v>100</v>
      </c>
      <c r="C3717" s="5">
        <v>2001</v>
      </c>
      <c r="D3717" s="4">
        <v>0</v>
      </c>
      <c r="E3717" s="4">
        <v>268000000</v>
      </c>
      <c r="F3717" s="4" t="str">
        <f>_xlfn.LET(_xlpm.r, _xlfn.XLOOKUP(Clean_Data[[#This Row],[Country_Code]], Metadata_Country!$A:$A, Metadata_Country!$B:$B, "Unknown"), IF(OR(_xlpm.r=0, _xlpm.r=""), "Regional Aggregate", _xlpm.r))</f>
        <v>Latin America &amp; Caribbean</v>
      </c>
      <c r="G3717" s="4" t="str">
        <f>_xlfn.LET(_xlpm.ig, _xlfn.XLOOKUP(Clean_Data[[#This Row],[Country_Code]], Metadata_Country!$A:$A, Metadata_Country!$C:$C, "Unknown"), IF(OR(_xlpm.ig=0, _xlpm.ig=""), "Regional Aggregate", _xlpm.ig))</f>
        <v>Upper middle income</v>
      </c>
      <c r="H3717" s="4">
        <f>Clean_Data[[#This Row],[Exports_TIV]] - Clean_Data[[#This Row],[Imports_TIV]]</f>
        <v>-268000000</v>
      </c>
      <c r="I3717" s="4">
        <f>Clean_Data[[#This Row],[Exports_TIV]] + Clean_Data[[#This Row],[Imports_TIV]]</f>
        <v>268000000</v>
      </c>
    </row>
    <row r="3718" spans="1:9">
      <c r="A3718" s="4" t="s">
        <v>95</v>
      </c>
      <c r="B3718" s="4" t="s">
        <v>96</v>
      </c>
      <c r="C3718" s="5">
        <v>2001</v>
      </c>
      <c r="D3718" s="4">
        <v>0</v>
      </c>
      <c r="E3718" s="4">
        <v>11000000</v>
      </c>
      <c r="F3718" s="4" t="str">
        <f>_xlfn.LET(_xlpm.r, _xlfn.XLOOKUP(Clean_Data[[#This Row],[Country_Code]], Metadata_Country!$A:$A, Metadata_Country!$B:$B, "Unknown"), IF(OR(_xlpm.r=0, _xlpm.r=""), "Regional Aggregate", _xlpm.r))</f>
        <v>Sub-Saharan Africa</v>
      </c>
      <c r="G3718" s="4" t="str">
        <f>_xlfn.LET(_xlpm.ig, _xlfn.XLOOKUP(Clean_Data[[#This Row],[Country_Code]], Metadata_Country!$A:$A, Metadata_Country!$C:$C, "Unknown"), IF(OR(_xlpm.ig=0, _xlpm.ig=""), "Regional Aggregate", _xlpm.ig))</f>
        <v>Low income</v>
      </c>
      <c r="H3718" s="4">
        <f>Clean_Data[[#This Row],[Exports_TIV]] - Clean_Data[[#This Row],[Imports_TIV]]</f>
        <v>-11000000</v>
      </c>
      <c r="I3718" s="4">
        <f>Clean_Data[[#This Row],[Exports_TIV]] + Clean_Data[[#This Row],[Imports_TIV]]</f>
        <v>11000000</v>
      </c>
    </row>
    <row r="3719" spans="1:9">
      <c r="A3719" s="4" t="s">
        <v>207</v>
      </c>
      <c r="B3719" s="4" t="s">
        <v>208</v>
      </c>
      <c r="C3719" s="5">
        <v>2001</v>
      </c>
      <c r="D3719" s="4">
        <v>0</v>
      </c>
      <c r="E3719" s="4">
        <v>57000000</v>
      </c>
      <c r="F3719" s="4" t="str">
        <f>_xlfn.LET(_xlpm.r, _xlfn.XLOOKUP(Clean_Data[[#This Row],[Country_Code]], Metadata_Country!$A:$A, Metadata_Country!$B:$B, "Unknown"), IF(OR(_xlpm.r=0, _xlpm.r=""), "Regional Aggregate", _xlpm.r))</f>
        <v>Europe &amp; Central Asia</v>
      </c>
      <c r="G3719" s="4" t="str">
        <f>_xlfn.LET(_xlpm.ig, _xlfn.XLOOKUP(Clean_Data[[#This Row],[Country_Code]], Metadata_Country!$A:$A, Metadata_Country!$C:$C, "Unknown"), IF(OR(_xlpm.ig=0, _xlpm.ig=""), "Regional Aggregate", _xlpm.ig))</f>
        <v>High income</v>
      </c>
      <c r="H3719" s="4">
        <f>Clean_Data[[#This Row],[Exports_TIV]] - Clean_Data[[#This Row],[Imports_TIV]]</f>
        <v>-57000000</v>
      </c>
      <c r="I3719" s="4">
        <f>Clean_Data[[#This Row],[Exports_TIV]] + Clean_Data[[#This Row],[Imports_TIV]]</f>
        <v>57000000</v>
      </c>
    </row>
    <row r="3720" spans="1:9">
      <c r="A3720" s="4" t="s">
        <v>115</v>
      </c>
      <c r="B3720" s="4" t="s">
        <v>116</v>
      </c>
      <c r="C3720" s="5">
        <v>2001</v>
      </c>
      <c r="D3720" s="4">
        <v>0</v>
      </c>
      <c r="E3720" s="4">
        <v>180000000</v>
      </c>
      <c r="F3720" s="4" t="str">
        <f>_xlfn.LET(_xlpm.r, _xlfn.XLOOKUP(Clean_Data[[#This Row],[Country_Code]], Metadata_Country!$A:$A, Metadata_Country!$B:$B, "Unknown"), IF(OR(_xlpm.r=0, _xlpm.r=""), "Regional Aggregate", _xlpm.r))</f>
        <v>Europe &amp; Central Asia</v>
      </c>
      <c r="G3720" s="4" t="str">
        <f>_xlfn.LET(_xlpm.ig, _xlfn.XLOOKUP(Clean_Data[[#This Row],[Country_Code]], Metadata_Country!$A:$A, Metadata_Country!$C:$C, "Unknown"), IF(OR(_xlpm.ig=0, _xlpm.ig=""), "Regional Aggregate", _xlpm.ig))</f>
        <v>High income</v>
      </c>
      <c r="H3720" s="4">
        <f>Clean_Data[[#This Row],[Exports_TIV]] - Clean_Data[[#This Row],[Imports_TIV]]</f>
        <v>-180000000</v>
      </c>
      <c r="I3720" s="4">
        <f>Clean_Data[[#This Row],[Exports_TIV]] + Clean_Data[[#This Row],[Imports_TIV]]</f>
        <v>180000000</v>
      </c>
    </row>
    <row r="3721" spans="1:9">
      <c r="A3721" s="4" t="s">
        <v>117</v>
      </c>
      <c r="B3721" s="4" t="s">
        <v>118</v>
      </c>
      <c r="C3721" s="5">
        <v>2001</v>
      </c>
      <c r="D3721" s="4">
        <v>89000000</v>
      </c>
      <c r="E3721" s="4">
        <v>57000000</v>
      </c>
      <c r="F3721" s="4" t="str">
        <f>_xlfn.LET(_xlpm.r, _xlfn.XLOOKUP(Clean_Data[[#This Row],[Country_Code]], Metadata_Country!$A:$A, Metadata_Country!$B:$B, "Unknown"), IF(OR(_xlpm.r=0, _xlpm.r=""), "Regional Aggregate", _xlpm.r))</f>
        <v>Europe &amp; Central Asia</v>
      </c>
      <c r="G3721" s="4" t="str">
        <f>_xlfn.LET(_xlpm.ig, _xlfn.XLOOKUP(Clean_Data[[#This Row],[Country_Code]], Metadata_Country!$A:$A, Metadata_Country!$C:$C, "Unknown"), IF(OR(_xlpm.ig=0, _xlpm.ig=""), "Regional Aggregate", _xlpm.ig))</f>
        <v>High income</v>
      </c>
      <c r="H3721" s="4">
        <f>Clean_Data[[#This Row],[Exports_TIV]] - Clean_Data[[#This Row],[Imports_TIV]]</f>
        <v>32000000</v>
      </c>
      <c r="I3721" s="4">
        <f>Clean_Data[[#This Row],[Exports_TIV]] + Clean_Data[[#This Row],[Imports_TIV]]</f>
        <v>146000000</v>
      </c>
    </row>
    <row r="3722" spans="1:9">
      <c r="A3722" s="4" t="s">
        <v>125</v>
      </c>
      <c r="B3722" s="4" t="s">
        <v>126</v>
      </c>
      <c r="C3722" s="5">
        <v>2001</v>
      </c>
      <c r="D3722" s="4">
        <v>0</v>
      </c>
      <c r="E3722" s="4">
        <v>148000000</v>
      </c>
      <c r="F3722" s="4" t="str">
        <f>_xlfn.LET(_xlpm.r, _xlfn.XLOOKUP(Clean_Data[[#This Row],[Country_Code]], Metadata_Country!$A:$A, Metadata_Country!$B:$B, "Unknown"), IF(OR(_xlpm.r=0, _xlpm.r=""), "Regional Aggregate", _xlpm.r))</f>
        <v>Europe &amp; Central Asia</v>
      </c>
      <c r="G3722" s="4" t="str">
        <f>_xlfn.LET(_xlpm.ig, _xlfn.XLOOKUP(Clean_Data[[#This Row],[Country_Code]], Metadata_Country!$A:$A, Metadata_Country!$C:$C, "Unknown"), IF(OR(_xlpm.ig=0, _xlpm.ig=""), "Regional Aggregate", _xlpm.ig))</f>
        <v>High income</v>
      </c>
      <c r="H3722" s="4">
        <f>Clean_Data[[#This Row],[Exports_TIV]] - Clean_Data[[#This Row],[Imports_TIV]]</f>
        <v>-148000000</v>
      </c>
      <c r="I3722" s="4">
        <f>Clean_Data[[#This Row],[Exports_TIV]] + Clean_Data[[#This Row],[Imports_TIV]]</f>
        <v>148000000</v>
      </c>
    </row>
    <row r="3723" spans="1:9">
      <c r="A3723" s="4" t="s">
        <v>127</v>
      </c>
      <c r="B3723" s="4" t="s">
        <v>128</v>
      </c>
      <c r="C3723" s="5">
        <v>2001</v>
      </c>
      <c r="D3723" s="4">
        <v>0</v>
      </c>
      <c r="E3723" s="4">
        <v>5000000</v>
      </c>
      <c r="F3723" s="4" t="str">
        <f>_xlfn.LET(_xlpm.r, _xlfn.XLOOKUP(Clean_Data[[#This Row],[Country_Code]], Metadata_Country!$A:$A, Metadata_Country!$B:$B, "Unknown"), IF(OR(_xlpm.r=0, _xlpm.r=""), "Regional Aggregate", _xlpm.r))</f>
        <v>Latin America &amp; Caribbean</v>
      </c>
      <c r="G3723" s="4" t="str">
        <f>_xlfn.LET(_xlpm.ig, _xlfn.XLOOKUP(Clean_Data[[#This Row],[Country_Code]], Metadata_Country!$A:$A, Metadata_Country!$C:$C, "Unknown"), IF(OR(_xlpm.ig=0, _xlpm.ig=""), "Regional Aggregate", _xlpm.ig))</f>
        <v>Upper middle income</v>
      </c>
      <c r="H3723" s="4">
        <f>Clean_Data[[#This Row],[Exports_TIV]] - Clean_Data[[#This Row],[Imports_TIV]]</f>
        <v>-5000000</v>
      </c>
      <c r="I3723" s="4">
        <f>Clean_Data[[#This Row],[Exports_TIV]] + Clean_Data[[#This Row],[Imports_TIV]]</f>
        <v>5000000</v>
      </c>
    </row>
    <row r="3724" spans="1:9">
      <c r="A3724" s="4" t="s">
        <v>133</v>
      </c>
      <c r="B3724" s="4" t="s">
        <v>134</v>
      </c>
      <c r="C3724" s="5">
        <v>2001</v>
      </c>
      <c r="D3724" s="4">
        <v>0</v>
      </c>
      <c r="E3724" s="4">
        <v>5193000000</v>
      </c>
      <c r="F3724" s="4" t="str">
        <f>_xlfn.LET(_xlpm.r, _xlfn.XLOOKUP(Clean_Data[[#This Row],[Country_Code]], Metadata_Country!$A:$A, Metadata_Country!$B:$B, "Unknown"), IF(OR(_xlpm.r=0, _xlpm.r=""), "Regional Aggregate", _xlpm.r))</f>
        <v>Regional Aggregate</v>
      </c>
      <c r="G3724" s="4" t="str">
        <f>_xlfn.LET(_xlpm.ig, _xlfn.XLOOKUP(Clean_Data[[#This Row],[Country_Code]], Metadata_Country!$A:$A, Metadata_Country!$C:$C, "Unknown"), IF(OR(_xlpm.ig=0, _xlpm.ig=""), "Regional Aggregate", _xlpm.ig))</f>
        <v>Regional Aggregate</v>
      </c>
      <c r="H3724" s="4">
        <f>Clean_Data[[#This Row],[Exports_TIV]] - Clean_Data[[#This Row],[Imports_TIV]]</f>
        <v>-5193000000</v>
      </c>
      <c r="I3724" s="4">
        <f>Clean_Data[[#This Row],[Exports_TIV]] + Clean_Data[[#This Row],[Imports_TIV]]</f>
        <v>5193000000</v>
      </c>
    </row>
    <row r="3725" spans="1:9">
      <c r="A3725" s="4" t="s">
        <v>135</v>
      </c>
      <c r="B3725" s="4" t="s">
        <v>136</v>
      </c>
      <c r="C3725" s="5">
        <v>2001</v>
      </c>
      <c r="D3725" s="4">
        <v>0</v>
      </c>
      <c r="E3725" s="4">
        <v>6293000000</v>
      </c>
      <c r="F3725" s="4" t="str">
        <f>_xlfn.LET(_xlpm.r, _xlfn.XLOOKUP(Clean_Data[[#This Row],[Country_Code]], Metadata_Country!$A:$A, Metadata_Country!$B:$B, "Unknown"), IF(OR(_xlpm.r=0, _xlpm.r=""), "Regional Aggregate", _xlpm.r))</f>
        <v>Regional Aggregate</v>
      </c>
      <c r="G3725" s="4" t="str">
        <f>_xlfn.LET(_xlpm.ig, _xlfn.XLOOKUP(Clean_Data[[#This Row],[Country_Code]], Metadata_Country!$A:$A, Metadata_Country!$C:$C, "Unknown"), IF(OR(_xlpm.ig=0, _xlpm.ig=""), "Regional Aggregate", _xlpm.ig))</f>
        <v>Regional Aggregate</v>
      </c>
      <c r="H3725" s="4">
        <f>Clean_Data[[#This Row],[Exports_TIV]] - Clean_Data[[#This Row],[Imports_TIV]]</f>
        <v>-6293000000</v>
      </c>
      <c r="I3725" s="4">
        <f>Clean_Data[[#This Row],[Exports_TIV]] + Clean_Data[[#This Row],[Imports_TIV]]</f>
        <v>6293000000</v>
      </c>
    </row>
    <row r="3726" spans="1:9">
      <c r="A3726" s="4" t="s">
        <v>131</v>
      </c>
      <c r="B3726" s="4" t="s">
        <v>132</v>
      </c>
      <c r="C3726" s="5">
        <v>2001</v>
      </c>
      <c r="D3726" s="4">
        <v>0</v>
      </c>
      <c r="E3726" s="4">
        <v>3245000000</v>
      </c>
      <c r="F3726" s="4" t="str">
        <f>_xlfn.LET(_xlpm.r, _xlfn.XLOOKUP(Clean_Data[[#This Row],[Country_Code]], Metadata_Country!$A:$A, Metadata_Country!$B:$B, "Unknown"), IF(OR(_xlpm.r=0, _xlpm.r=""), "Regional Aggregate", _xlpm.r))</f>
        <v>Regional Aggregate</v>
      </c>
      <c r="G3726" s="4" t="str">
        <f>_xlfn.LET(_xlpm.ig, _xlfn.XLOOKUP(Clean_Data[[#This Row],[Country_Code]], Metadata_Country!$A:$A, Metadata_Country!$C:$C, "Unknown"), IF(OR(_xlpm.ig=0, _xlpm.ig=""), "Regional Aggregate", _xlpm.ig))</f>
        <v>Regional Aggregate</v>
      </c>
      <c r="H3726" s="4">
        <f>Clean_Data[[#This Row],[Exports_TIV]] - Clean_Data[[#This Row],[Imports_TIV]]</f>
        <v>-3245000000</v>
      </c>
      <c r="I3726" s="4">
        <f>Clean_Data[[#This Row],[Exports_TIV]] + Clean_Data[[#This Row],[Imports_TIV]]</f>
        <v>3245000000</v>
      </c>
    </row>
    <row r="3727" spans="1:9">
      <c r="A3727" s="4" t="s">
        <v>469</v>
      </c>
      <c r="B3727" s="4" t="s">
        <v>470</v>
      </c>
      <c r="C3727" s="5">
        <v>2001</v>
      </c>
      <c r="D3727" s="4">
        <v>0</v>
      </c>
      <c r="E3727" s="4">
        <v>3172000000</v>
      </c>
      <c r="F3727" s="4" t="str">
        <f>_xlfn.LET(_xlpm.r, _xlfn.XLOOKUP(Clean_Data[[#This Row],[Country_Code]], Metadata_Country!$A:$A, Metadata_Country!$B:$B, "Unknown"), IF(OR(_xlpm.r=0, _xlpm.r=""), "Regional Aggregate", _xlpm.r))</f>
        <v>Regional Aggregate</v>
      </c>
      <c r="G3727" s="4" t="str">
        <f>_xlfn.LET(_xlpm.ig, _xlfn.XLOOKUP(Clean_Data[[#This Row],[Country_Code]], Metadata_Country!$A:$A, Metadata_Country!$C:$C, "Unknown"), IF(OR(_xlpm.ig=0, _xlpm.ig=""), "Regional Aggregate", _xlpm.ig))</f>
        <v>Regional Aggregate</v>
      </c>
      <c r="H3727" s="4">
        <f>Clean_Data[[#This Row],[Exports_TIV]] - Clean_Data[[#This Row],[Imports_TIV]]</f>
        <v>-3172000000</v>
      </c>
      <c r="I3727" s="4">
        <f>Clean_Data[[#This Row],[Exports_TIV]] + Clean_Data[[#This Row],[Imports_TIV]]</f>
        <v>3172000000</v>
      </c>
    </row>
    <row r="3728" spans="1:9">
      <c r="A3728" s="4" t="s">
        <v>141</v>
      </c>
      <c r="B3728" s="4" t="s">
        <v>142</v>
      </c>
      <c r="C3728" s="5">
        <v>2001</v>
      </c>
      <c r="D3728" s="4">
        <v>0</v>
      </c>
      <c r="E3728" s="4">
        <v>41000000</v>
      </c>
      <c r="F3728" s="4" t="str">
        <f>_xlfn.LET(_xlpm.r, _xlfn.XLOOKUP(Clean_Data[[#This Row],[Country_Code]], Metadata_Country!$A:$A, Metadata_Country!$B:$B, "Unknown"), IF(OR(_xlpm.r=0, _xlpm.r=""), "Regional Aggregate", _xlpm.r))</f>
        <v>Latin America &amp; Caribbean</v>
      </c>
      <c r="G3728" s="4" t="str">
        <f>_xlfn.LET(_xlpm.ig, _xlfn.XLOOKUP(Clean_Data[[#This Row],[Country_Code]], Metadata_Country!$A:$A, Metadata_Country!$C:$C, "Unknown"), IF(OR(_xlpm.ig=0, _xlpm.ig=""), "Regional Aggregate", _xlpm.ig))</f>
        <v>Upper middle income</v>
      </c>
      <c r="H3728" s="4">
        <f>Clean_Data[[#This Row],[Exports_TIV]] - Clean_Data[[#This Row],[Imports_TIV]]</f>
        <v>-41000000</v>
      </c>
      <c r="I3728" s="4">
        <f>Clean_Data[[#This Row],[Exports_TIV]] + Clean_Data[[#This Row],[Imports_TIV]]</f>
        <v>41000000</v>
      </c>
    </row>
    <row r="3729" spans="1:9">
      <c r="A3729" s="4" t="s">
        <v>143</v>
      </c>
      <c r="B3729" s="4" t="s">
        <v>144</v>
      </c>
      <c r="C3729" s="5">
        <v>2001</v>
      </c>
      <c r="D3729" s="4">
        <v>0</v>
      </c>
      <c r="E3729" s="4">
        <v>824000000</v>
      </c>
      <c r="F3729" s="4" t="str">
        <f>_xlfn.LET(_xlpm.r, _xlfn.XLOOKUP(Clean_Data[[#This Row],[Country_Code]], Metadata_Country!$A:$A, Metadata_Country!$B:$B, "Unknown"), IF(OR(_xlpm.r=0, _xlpm.r=""), "Regional Aggregate", _xlpm.r))</f>
        <v>Middle East &amp; North Africa</v>
      </c>
      <c r="G3729" s="4" t="str">
        <f>_xlfn.LET(_xlpm.ig, _xlfn.XLOOKUP(Clean_Data[[#This Row],[Country_Code]], Metadata_Country!$A:$A, Metadata_Country!$C:$C, "Unknown"), IF(OR(_xlpm.ig=0, _xlpm.ig=""), "Regional Aggregate", _xlpm.ig))</f>
        <v>Lower middle income</v>
      </c>
      <c r="H3729" s="4">
        <f>Clean_Data[[#This Row],[Exports_TIV]] - Clean_Data[[#This Row],[Imports_TIV]]</f>
        <v>-824000000</v>
      </c>
      <c r="I3729" s="4">
        <f>Clean_Data[[#This Row],[Exports_TIV]] + Clean_Data[[#This Row],[Imports_TIV]]</f>
        <v>824000000</v>
      </c>
    </row>
    <row r="3730" spans="1:9">
      <c r="A3730" s="4" t="s">
        <v>185</v>
      </c>
      <c r="B3730" s="4" t="s">
        <v>186</v>
      </c>
      <c r="C3730" s="5">
        <v>2001</v>
      </c>
      <c r="D3730" s="4">
        <v>0</v>
      </c>
      <c r="E3730" s="4">
        <v>7000000</v>
      </c>
      <c r="F3730" s="4" t="str">
        <f>_xlfn.LET(_xlpm.r, _xlfn.XLOOKUP(Clean_Data[[#This Row],[Country_Code]], Metadata_Country!$A:$A, Metadata_Country!$B:$B, "Unknown"), IF(OR(_xlpm.r=0, _xlpm.r=""), "Regional Aggregate", _xlpm.r))</f>
        <v>Sub-Saharan Africa</v>
      </c>
      <c r="G3730" s="4" t="str">
        <f>_xlfn.LET(_xlpm.ig, _xlfn.XLOOKUP(Clean_Data[[#This Row],[Country_Code]], Metadata_Country!$A:$A, Metadata_Country!$C:$C, "Unknown"), IF(OR(_xlpm.ig=0, _xlpm.ig=""), "Regional Aggregate", _xlpm.ig))</f>
        <v>Upper middle income</v>
      </c>
      <c r="H3730" s="4">
        <f>Clean_Data[[#This Row],[Exports_TIV]] - Clean_Data[[#This Row],[Imports_TIV]]</f>
        <v>-7000000</v>
      </c>
      <c r="I3730" s="4">
        <f>Clean_Data[[#This Row],[Exports_TIV]] + Clean_Data[[#This Row],[Imports_TIV]]</f>
        <v>7000000</v>
      </c>
    </row>
    <row r="3731" spans="1:9">
      <c r="A3731" s="4" t="s">
        <v>147</v>
      </c>
      <c r="B3731" s="4" t="s">
        <v>148</v>
      </c>
      <c r="C3731" s="5">
        <v>2001</v>
      </c>
      <c r="D3731" s="4">
        <v>0</v>
      </c>
      <c r="E3731" s="4">
        <v>57000000</v>
      </c>
      <c r="F3731" s="4" t="str">
        <f>_xlfn.LET(_xlpm.r, _xlfn.XLOOKUP(Clean_Data[[#This Row],[Country_Code]], Metadata_Country!$A:$A, Metadata_Country!$B:$B, "Unknown"), IF(OR(_xlpm.r=0, _xlpm.r=""), "Regional Aggregate", _xlpm.r))</f>
        <v>Sub-Saharan Africa</v>
      </c>
      <c r="G3731" s="4" t="str">
        <f>_xlfn.LET(_xlpm.ig, _xlfn.XLOOKUP(Clean_Data[[#This Row],[Country_Code]], Metadata_Country!$A:$A, Metadata_Country!$C:$C, "Unknown"), IF(OR(_xlpm.ig=0, _xlpm.ig=""), "Regional Aggregate", _xlpm.ig))</f>
        <v>Low income</v>
      </c>
      <c r="H3731" s="4">
        <f>Clean_Data[[#This Row],[Exports_TIV]] - Clean_Data[[#This Row],[Imports_TIV]]</f>
        <v>-57000000</v>
      </c>
      <c r="I3731" s="4">
        <f>Clean_Data[[#This Row],[Exports_TIV]] + Clean_Data[[#This Row],[Imports_TIV]]</f>
        <v>57000000</v>
      </c>
    </row>
    <row r="3732" spans="1:9">
      <c r="A3732" s="4" t="s">
        <v>457</v>
      </c>
      <c r="B3732" s="4" t="s">
        <v>458</v>
      </c>
      <c r="C3732" s="5">
        <v>2001</v>
      </c>
      <c r="D3732" s="4">
        <v>0</v>
      </c>
      <c r="E3732" s="4">
        <v>1000000</v>
      </c>
      <c r="F3732" s="4" t="str">
        <f>_xlfn.LET(_xlpm.r, _xlfn.XLOOKUP(Clean_Data[[#This Row],[Country_Code]], Metadata_Country!$A:$A, Metadata_Country!$B:$B, "Unknown"), IF(OR(_xlpm.r=0, _xlpm.r=""), "Regional Aggregate", _xlpm.r))</f>
        <v>Sub-Saharan Africa</v>
      </c>
      <c r="G3732" s="4" t="str">
        <f>_xlfn.LET(_xlpm.ig, _xlfn.XLOOKUP(Clean_Data[[#This Row],[Country_Code]], Metadata_Country!$A:$A, Metadata_Country!$C:$C, "Unknown"), IF(OR(_xlpm.ig=0, _xlpm.ig=""), "Regional Aggregate", _xlpm.ig))</f>
        <v>Lower middle income</v>
      </c>
      <c r="H3732" s="4">
        <f>Clean_Data[[#This Row],[Exports_TIV]] - Clean_Data[[#This Row],[Imports_TIV]]</f>
        <v>-1000000</v>
      </c>
      <c r="I3732" s="4">
        <f>Clean_Data[[#This Row],[Exports_TIV]] + Clean_Data[[#This Row],[Imports_TIV]]</f>
        <v>1000000</v>
      </c>
    </row>
    <row r="3733" spans="1:9">
      <c r="A3733" s="4" t="s">
        <v>145</v>
      </c>
      <c r="B3733" s="4" t="s">
        <v>146</v>
      </c>
      <c r="C3733" s="5">
        <v>2001</v>
      </c>
      <c r="D3733" s="4">
        <v>2785000000</v>
      </c>
      <c r="E3733" s="4">
        <v>1947000000</v>
      </c>
      <c r="F3733" s="4" t="str">
        <f>_xlfn.LET(_xlpm.r, _xlfn.XLOOKUP(Clean_Data[[#This Row],[Country_Code]], Metadata_Country!$A:$A, Metadata_Country!$B:$B, "Unknown"), IF(OR(_xlpm.r=0, _xlpm.r=""), "Regional Aggregate", _xlpm.r))</f>
        <v>Regional Aggregate</v>
      </c>
      <c r="G3733" s="4" t="str">
        <f>_xlfn.LET(_xlpm.ig, _xlfn.XLOOKUP(Clean_Data[[#This Row],[Country_Code]], Metadata_Country!$A:$A, Metadata_Country!$C:$C, "Unknown"), IF(OR(_xlpm.ig=0, _xlpm.ig=""), "Regional Aggregate", _xlpm.ig))</f>
        <v>Regional Aggregate</v>
      </c>
      <c r="H3733" s="4">
        <f>Clean_Data[[#This Row],[Exports_TIV]] - Clean_Data[[#This Row],[Imports_TIV]]</f>
        <v>838000000</v>
      </c>
      <c r="I3733" s="4">
        <f>Clean_Data[[#This Row],[Exports_TIV]] + Clean_Data[[#This Row],[Imports_TIV]]</f>
        <v>4732000000</v>
      </c>
    </row>
    <row r="3734" spans="1:9">
      <c r="A3734" s="4" t="s">
        <v>139</v>
      </c>
      <c r="B3734" s="4" t="s">
        <v>140</v>
      </c>
      <c r="C3734" s="5">
        <v>2001</v>
      </c>
      <c r="D3734" s="4">
        <v>11383000000</v>
      </c>
      <c r="E3734" s="4">
        <v>4712000000</v>
      </c>
      <c r="F3734" s="4" t="str">
        <f>_xlfn.LET(_xlpm.r, _xlfn.XLOOKUP(Clean_Data[[#This Row],[Country_Code]], Metadata_Country!$A:$A, Metadata_Country!$B:$B, "Unknown"), IF(OR(_xlpm.r=0, _xlpm.r=""), "Regional Aggregate", _xlpm.r))</f>
        <v>Regional Aggregate</v>
      </c>
      <c r="G3734" s="4" t="str">
        <f>_xlfn.LET(_xlpm.ig, _xlfn.XLOOKUP(Clean_Data[[#This Row],[Country_Code]], Metadata_Country!$A:$A, Metadata_Country!$C:$C, "Unknown"), IF(OR(_xlpm.ig=0, _xlpm.ig=""), "Regional Aggregate", _xlpm.ig))</f>
        <v>Regional Aggregate</v>
      </c>
      <c r="H3734" s="4">
        <f>Clean_Data[[#This Row],[Exports_TIV]] - Clean_Data[[#This Row],[Imports_TIV]]</f>
        <v>6671000000</v>
      </c>
      <c r="I3734" s="4">
        <f>Clean_Data[[#This Row],[Exports_TIV]] + Clean_Data[[#This Row],[Imports_TIV]]</f>
        <v>16095000000</v>
      </c>
    </row>
    <row r="3735" spans="1:9">
      <c r="A3735" s="4" t="s">
        <v>137</v>
      </c>
      <c r="B3735" s="4" t="s">
        <v>138</v>
      </c>
      <c r="C3735" s="5">
        <v>2001</v>
      </c>
      <c r="D3735" s="4">
        <v>684000000</v>
      </c>
      <c r="E3735" s="4">
        <v>0</v>
      </c>
      <c r="F3735" s="4" t="str">
        <f>_xlfn.LET(_xlpm.r, _xlfn.XLOOKUP(Clean_Data[[#This Row],[Country_Code]], Metadata_Country!$A:$A, Metadata_Country!$B:$B, "Unknown"), IF(OR(_xlpm.r=0, _xlpm.r=""), "Regional Aggregate", _xlpm.r))</f>
        <v>Regional Aggregate</v>
      </c>
      <c r="G3735" s="4" t="str">
        <f>_xlfn.LET(_xlpm.ig, _xlfn.XLOOKUP(Clean_Data[[#This Row],[Country_Code]], Metadata_Country!$A:$A, Metadata_Country!$C:$C, "Unknown"), IF(OR(_xlpm.ig=0, _xlpm.ig=""), "Regional Aggregate", _xlpm.ig))</f>
        <v>Regional Aggregate</v>
      </c>
      <c r="H3735" s="4">
        <f>Clean_Data[[#This Row],[Exports_TIV]] - Clean_Data[[#This Row],[Imports_TIV]]</f>
        <v>684000000</v>
      </c>
      <c r="I3735" s="4">
        <f>Clean_Data[[#This Row],[Exports_TIV]] + Clean_Data[[#This Row],[Imports_TIV]]</f>
        <v>684000000</v>
      </c>
    </row>
    <row r="3736" spans="1:9">
      <c r="A3736" s="4" t="s">
        <v>471</v>
      </c>
      <c r="B3736" s="4" t="s">
        <v>472</v>
      </c>
      <c r="C3736" s="5">
        <v>2001</v>
      </c>
      <c r="D3736" s="4">
        <v>6025000000</v>
      </c>
      <c r="E3736" s="4">
        <v>992000000</v>
      </c>
      <c r="F3736" s="4" t="str">
        <f>_xlfn.LET(_xlpm.r, _xlfn.XLOOKUP(Clean_Data[[#This Row],[Country_Code]], Metadata_Country!$A:$A, Metadata_Country!$B:$B, "Unknown"), IF(OR(_xlpm.r=0, _xlpm.r=""), "Regional Aggregate", _xlpm.r))</f>
        <v>Regional Aggregate</v>
      </c>
      <c r="G3736" s="4" t="str">
        <f>_xlfn.LET(_xlpm.ig, _xlfn.XLOOKUP(Clean_Data[[#This Row],[Country_Code]], Metadata_Country!$A:$A, Metadata_Country!$C:$C, "Unknown"), IF(OR(_xlpm.ig=0, _xlpm.ig=""), "Regional Aggregate", _xlpm.ig))</f>
        <v>Regional Aggregate</v>
      </c>
      <c r="H3736" s="4">
        <f>Clean_Data[[#This Row],[Exports_TIV]] - Clean_Data[[#This Row],[Imports_TIV]]</f>
        <v>5033000000</v>
      </c>
      <c r="I3736" s="4">
        <f>Clean_Data[[#This Row],[Exports_TIV]] + Clean_Data[[#This Row],[Imports_TIV]]</f>
        <v>7017000000</v>
      </c>
    </row>
    <row r="3737" spans="1:9">
      <c r="A3737" s="4" t="s">
        <v>155</v>
      </c>
      <c r="B3737" s="4" t="s">
        <v>156</v>
      </c>
      <c r="C3737" s="5">
        <v>2001</v>
      </c>
      <c r="D3737" s="4">
        <v>3847000000</v>
      </c>
      <c r="E3737" s="4">
        <v>2386000000</v>
      </c>
      <c r="F3737" s="4" t="str">
        <f>_xlfn.LET(_xlpm.r, _xlfn.XLOOKUP(Clean_Data[[#This Row],[Country_Code]], Metadata_Country!$A:$A, Metadata_Country!$B:$B, "Unknown"), IF(OR(_xlpm.r=0, _xlpm.r=""), "Regional Aggregate", _xlpm.r))</f>
        <v>Regional Aggregate</v>
      </c>
      <c r="G3737" s="4" t="str">
        <f>_xlfn.LET(_xlpm.ig, _xlfn.XLOOKUP(Clean_Data[[#This Row],[Country_Code]], Metadata_Country!$A:$A, Metadata_Country!$C:$C, "Unknown"), IF(OR(_xlpm.ig=0, _xlpm.ig=""), "Regional Aggregate", _xlpm.ig))</f>
        <v>Regional Aggregate</v>
      </c>
      <c r="H3737" s="4">
        <f>Clean_Data[[#This Row],[Exports_TIV]] - Clean_Data[[#This Row],[Imports_TIV]]</f>
        <v>1461000000</v>
      </c>
      <c r="I3737" s="4">
        <f>Clean_Data[[#This Row],[Exports_TIV]] + Clean_Data[[#This Row],[Imports_TIV]]</f>
        <v>6233000000</v>
      </c>
    </row>
    <row r="3738" spans="1:9">
      <c r="A3738" s="4" t="s">
        <v>159</v>
      </c>
      <c r="B3738" s="4" t="s">
        <v>160</v>
      </c>
      <c r="C3738" s="5">
        <v>2001</v>
      </c>
      <c r="D3738" s="4">
        <v>29000000</v>
      </c>
      <c r="E3738" s="4">
        <v>7000000</v>
      </c>
      <c r="F3738" s="4" t="str">
        <f>_xlfn.LET(_xlpm.r, _xlfn.XLOOKUP(Clean_Data[[#This Row],[Country_Code]], Metadata_Country!$A:$A, Metadata_Country!$B:$B, "Unknown"), IF(OR(_xlpm.r=0, _xlpm.r=""), "Regional Aggregate", _xlpm.r))</f>
        <v>Europe &amp; Central Asia</v>
      </c>
      <c r="G3738" s="4" t="str">
        <f>_xlfn.LET(_xlpm.ig, _xlfn.XLOOKUP(Clean_Data[[#This Row],[Country_Code]], Metadata_Country!$A:$A, Metadata_Country!$C:$C, "Unknown"), IF(OR(_xlpm.ig=0, _xlpm.ig=""), "Regional Aggregate", _xlpm.ig))</f>
        <v>High income</v>
      </c>
      <c r="H3738" s="4">
        <f>Clean_Data[[#This Row],[Exports_TIV]] - Clean_Data[[#This Row],[Imports_TIV]]</f>
        <v>22000000</v>
      </c>
      <c r="I3738" s="4">
        <f>Clean_Data[[#This Row],[Exports_TIV]] + Clean_Data[[#This Row],[Imports_TIV]]</f>
        <v>36000000</v>
      </c>
    </row>
    <row r="3739" spans="1:9">
      <c r="A3739" s="4" t="s">
        <v>163</v>
      </c>
      <c r="B3739" s="4" t="s">
        <v>164</v>
      </c>
      <c r="C3739" s="5">
        <v>2001</v>
      </c>
      <c r="D3739" s="4">
        <v>1311000000</v>
      </c>
      <c r="E3739" s="4">
        <v>61000000</v>
      </c>
      <c r="F3739" s="4" t="str">
        <f>_xlfn.LET(_xlpm.r, _xlfn.XLOOKUP(Clean_Data[[#This Row],[Country_Code]], Metadata_Country!$A:$A, Metadata_Country!$B:$B, "Unknown"), IF(OR(_xlpm.r=0, _xlpm.r=""), "Regional Aggregate", _xlpm.r))</f>
        <v>Europe &amp; Central Asia</v>
      </c>
      <c r="G3739" s="4" t="str">
        <f>_xlfn.LET(_xlpm.ig, _xlfn.XLOOKUP(Clean_Data[[#This Row],[Country_Code]], Metadata_Country!$A:$A, Metadata_Country!$C:$C, "Unknown"), IF(OR(_xlpm.ig=0, _xlpm.ig=""), "Regional Aggregate", _xlpm.ig))</f>
        <v>High income</v>
      </c>
      <c r="H3739" s="4">
        <f>Clean_Data[[#This Row],[Exports_TIV]] - Clean_Data[[#This Row],[Imports_TIV]]</f>
        <v>1250000000</v>
      </c>
      <c r="I3739" s="4">
        <f>Clean_Data[[#This Row],[Exports_TIV]] + Clean_Data[[#This Row],[Imports_TIV]]</f>
        <v>1372000000</v>
      </c>
    </row>
    <row r="3740" spans="1:9">
      <c r="A3740" s="4" t="s">
        <v>173</v>
      </c>
      <c r="B3740" s="4" t="s">
        <v>174</v>
      </c>
      <c r="C3740" s="5">
        <v>2001</v>
      </c>
      <c r="D3740" s="4">
        <v>0</v>
      </c>
      <c r="E3740" s="4">
        <v>85000000</v>
      </c>
      <c r="F3740" s="4" t="str">
        <f>_xlfn.LET(_xlpm.r, _xlfn.XLOOKUP(Clean_Data[[#This Row],[Country_Code]], Metadata_Country!$A:$A, Metadata_Country!$B:$B, "Unknown"), IF(OR(_xlpm.r=0, _xlpm.r=""), "Regional Aggregate", _xlpm.r))</f>
        <v>Europe &amp; Central Asia</v>
      </c>
      <c r="G3740" s="4" t="str">
        <f>_xlfn.LET(_xlpm.ig, _xlfn.XLOOKUP(Clean_Data[[#This Row],[Country_Code]], Metadata_Country!$A:$A, Metadata_Country!$C:$C, "Unknown"), IF(OR(_xlpm.ig=0, _xlpm.ig=""), "Regional Aggregate", _xlpm.ig))</f>
        <v>Upper middle income</v>
      </c>
      <c r="H3740" s="4">
        <f>Clean_Data[[#This Row],[Exports_TIV]] - Clean_Data[[#This Row],[Imports_TIV]]</f>
        <v>-85000000</v>
      </c>
      <c r="I3740" s="4">
        <f>Clean_Data[[#This Row],[Exports_TIV]] + Clean_Data[[#This Row],[Imports_TIV]]</f>
        <v>85000000</v>
      </c>
    </row>
    <row r="3741" spans="1:9">
      <c r="A3741" s="4" t="s">
        <v>119</v>
      </c>
      <c r="B3741" s="4" t="s">
        <v>120</v>
      </c>
      <c r="C3741" s="5">
        <v>2001</v>
      </c>
      <c r="D3741" s="4">
        <v>851000000</v>
      </c>
      <c r="E3741" s="4">
        <v>133000000</v>
      </c>
      <c r="F3741" s="4" t="str">
        <f>_xlfn.LET(_xlpm.r, _xlfn.XLOOKUP(Clean_Data[[#This Row],[Country_Code]], Metadata_Country!$A:$A, Metadata_Country!$B:$B, "Unknown"), IF(OR(_xlpm.r=0, _xlpm.r=""), "Regional Aggregate", _xlpm.r))</f>
        <v>Europe &amp; Central Asia</v>
      </c>
      <c r="G3741" s="4" t="str">
        <f>_xlfn.LET(_xlpm.ig, _xlfn.XLOOKUP(Clean_Data[[#This Row],[Country_Code]], Metadata_Country!$A:$A, Metadata_Country!$C:$C, "Unknown"), IF(OR(_xlpm.ig=0, _xlpm.ig=""), "Regional Aggregate", _xlpm.ig))</f>
        <v>High income</v>
      </c>
      <c r="H3741" s="4">
        <f>Clean_Data[[#This Row],[Exports_TIV]] - Clean_Data[[#This Row],[Imports_TIV]]</f>
        <v>718000000</v>
      </c>
      <c r="I3741" s="4">
        <f>Clean_Data[[#This Row],[Exports_TIV]] + Clean_Data[[#This Row],[Imports_TIV]]</f>
        <v>984000000</v>
      </c>
    </row>
    <row r="3742" spans="1:9">
      <c r="A3742" s="4" t="s">
        <v>175</v>
      </c>
      <c r="B3742" s="4" t="s">
        <v>176</v>
      </c>
      <c r="C3742" s="5">
        <v>2001</v>
      </c>
      <c r="D3742" s="4">
        <v>0</v>
      </c>
      <c r="E3742" s="4">
        <v>12000000</v>
      </c>
      <c r="F3742" s="4" t="str">
        <f>_xlfn.LET(_xlpm.r, _xlfn.XLOOKUP(Clean_Data[[#This Row],[Country_Code]], Metadata_Country!$A:$A, Metadata_Country!$B:$B, "Unknown"), IF(OR(_xlpm.r=0, _xlpm.r=""), "Regional Aggregate", _xlpm.r))</f>
        <v>Sub-Saharan Africa</v>
      </c>
      <c r="G3742" s="4" t="str">
        <f>_xlfn.LET(_xlpm.ig, _xlfn.XLOOKUP(Clean_Data[[#This Row],[Country_Code]], Metadata_Country!$A:$A, Metadata_Country!$C:$C, "Unknown"), IF(OR(_xlpm.ig=0, _xlpm.ig=""), "Regional Aggregate", _xlpm.ig))</f>
        <v>Lower middle income</v>
      </c>
      <c r="H3742" s="4">
        <f>Clean_Data[[#This Row],[Exports_TIV]] - Clean_Data[[#This Row],[Imports_TIV]]</f>
        <v>-12000000</v>
      </c>
      <c r="I3742" s="4">
        <f>Clean_Data[[#This Row],[Exports_TIV]] + Clean_Data[[#This Row],[Imports_TIV]]</f>
        <v>12000000</v>
      </c>
    </row>
    <row r="3743" spans="1:9">
      <c r="A3743" s="4" t="s">
        <v>187</v>
      </c>
      <c r="B3743" s="4" t="s">
        <v>188</v>
      </c>
      <c r="C3743" s="5">
        <v>2001</v>
      </c>
      <c r="D3743" s="4">
        <v>2000000</v>
      </c>
      <c r="E3743" s="4">
        <v>793000000</v>
      </c>
      <c r="F3743" s="4" t="str">
        <f>_xlfn.LET(_xlpm.r, _xlfn.XLOOKUP(Clean_Data[[#This Row],[Country_Code]], Metadata_Country!$A:$A, Metadata_Country!$B:$B, "Unknown"), IF(OR(_xlpm.r=0, _xlpm.r=""), "Regional Aggregate", _xlpm.r))</f>
        <v>Europe &amp; Central Asia</v>
      </c>
      <c r="G3743" s="4" t="str">
        <f>_xlfn.LET(_xlpm.ig, _xlfn.XLOOKUP(Clean_Data[[#This Row],[Country_Code]], Metadata_Country!$A:$A, Metadata_Country!$C:$C, "Unknown"), IF(OR(_xlpm.ig=0, _xlpm.ig=""), "Regional Aggregate", _xlpm.ig))</f>
        <v>High income</v>
      </c>
      <c r="H3743" s="4">
        <f>Clean_Data[[#This Row],[Exports_TIV]] - Clean_Data[[#This Row],[Imports_TIV]]</f>
        <v>-791000000</v>
      </c>
      <c r="I3743" s="4">
        <f>Clean_Data[[#This Row],[Exports_TIV]] + Clean_Data[[#This Row],[Imports_TIV]]</f>
        <v>795000000</v>
      </c>
    </row>
    <row r="3744" spans="1:9">
      <c r="A3744" s="4" t="s">
        <v>179</v>
      </c>
      <c r="B3744" s="4" t="s">
        <v>180</v>
      </c>
      <c r="C3744" s="5">
        <v>2001</v>
      </c>
      <c r="D3744" s="4">
        <v>0</v>
      </c>
      <c r="E3744" s="4">
        <v>6000000</v>
      </c>
      <c r="F3744" s="4" t="str">
        <f>_xlfn.LET(_xlpm.r, _xlfn.XLOOKUP(Clean_Data[[#This Row],[Country_Code]], Metadata_Country!$A:$A, Metadata_Country!$B:$B, "Unknown"), IF(OR(_xlpm.r=0, _xlpm.r=""), "Regional Aggregate", _xlpm.r))</f>
        <v>Sub-Saharan Africa</v>
      </c>
      <c r="G3744" s="4" t="str">
        <f>_xlfn.LET(_xlpm.ig, _xlfn.XLOOKUP(Clean_Data[[#This Row],[Country_Code]], Metadata_Country!$A:$A, Metadata_Country!$C:$C, "Unknown"), IF(OR(_xlpm.ig=0, _xlpm.ig=""), "Regional Aggregate", _xlpm.ig))</f>
        <v>Lower middle income</v>
      </c>
      <c r="H3744" s="4">
        <f>Clean_Data[[#This Row],[Exports_TIV]] - Clean_Data[[#This Row],[Imports_TIV]]</f>
        <v>-6000000</v>
      </c>
      <c r="I3744" s="4">
        <f>Clean_Data[[#This Row],[Exports_TIV]] + Clean_Data[[#This Row],[Imports_TIV]]</f>
        <v>6000000</v>
      </c>
    </row>
    <row r="3745" spans="1:9">
      <c r="A3745" s="4" t="s">
        <v>197</v>
      </c>
      <c r="B3745" s="4" t="s">
        <v>198</v>
      </c>
      <c r="C3745" s="5">
        <v>2001</v>
      </c>
      <c r="D3745" s="4">
        <v>0</v>
      </c>
      <c r="E3745" s="4">
        <v>7000000</v>
      </c>
      <c r="F3745" s="4" t="str">
        <f>_xlfn.LET(_xlpm.r, _xlfn.XLOOKUP(Clean_Data[[#This Row],[Country_Code]], Metadata_Country!$A:$A, Metadata_Country!$B:$B, "Unknown"), IF(OR(_xlpm.r=0, _xlpm.r=""), "Regional Aggregate", _xlpm.r))</f>
        <v>Latin America &amp; Caribbean</v>
      </c>
      <c r="G3745" s="4" t="str">
        <f>_xlfn.LET(_xlpm.ig, _xlfn.XLOOKUP(Clean_Data[[#This Row],[Country_Code]], Metadata_Country!$A:$A, Metadata_Country!$C:$C, "Unknown"), IF(OR(_xlpm.ig=0, _xlpm.ig=""), "Regional Aggregate", _xlpm.ig))</f>
        <v>High income</v>
      </c>
      <c r="H3745" s="4">
        <f>Clean_Data[[#This Row],[Exports_TIV]] - Clean_Data[[#This Row],[Imports_TIV]]</f>
        <v>-7000000</v>
      </c>
      <c r="I3745" s="4">
        <f>Clean_Data[[#This Row],[Exports_TIV]] + Clean_Data[[#This Row],[Imports_TIV]]</f>
        <v>7000000</v>
      </c>
    </row>
    <row r="3746" spans="1:9">
      <c r="A3746" s="4" t="s">
        <v>199</v>
      </c>
      <c r="B3746" s="4" t="s">
        <v>200</v>
      </c>
      <c r="C3746" s="5">
        <v>2001</v>
      </c>
      <c r="D3746" s="4">
        <v>17162000000</v>
      </c>
      <c r="E3746" s="4">
        <v>8465000000</v>
      </c>
      <c r="F3746" s="4" t="str">
        <f>_xlfn.LET(_xlpm.r, _xlfn.XLOOKUP(Clean_Data[[#This Row],[Country_Code]], Metadata_Country!$A:$A, Metadata_Country!$B:$B, "Unknown"), IF(OR(_xlpm.r=0, _xlpm.r=""), "Regional Aggregate", _xlpm.r))</f>
        <v>Regional Aggregate</v>
      </c>
      <c r="G3746" s="4" t="str">
        <f>_xlfn.LET(_xlpm.ig, _xlfn.XLOOKUP(Clean_Data[[#This Row],[Country_Code]], Metadata_Country!$A:$A, Metadata_Country!$C:$C, "Unknown"), IF(OR(_xlpm.ig=0, _xlpm.ig=""), "Regional Aggregate", _xlpm.ig))</f>
        <v>Regional Aggregate</v>
      </c>
      <c r="H3746" s="4">
        <f>Clean_Data[[#This Row],[Exports_TIV]] - Clean_Data[[#This Row],[Imports_TIV]]</f>
        <v>8697000000</v>
      </c>
      <c r="I3746" s="4">
        <f>Clean_Data[[#This Row],[Exports_TIV]] + Clean_Data[[#This Row],[Imports_TIV]]</f>
        <v>25627000000</v>
      </c>
    </row>
    <row r="3747" spans="1:9">
      <c r="A3747" s="4" t="s">
        <v>211</v>
      </c>
      <c r="B3747" s="4" t="s">
        <v>212</v>
      </c>
      <c r="C3747" s="5">
        <v>2001</v>
      </c>
      <c r="D3747" s="4">
        <v>0</v>
      </c>
      <c r="E3747" s="4">
        <v>14000000</v>
      </c>
      <c r="F3747" s="4" t="str">
        <f>_xlfn.LET(_xlpm.r, _xlfn.XLOOKUP(Clean_Data[[#This Row],[Country_Code]], Metadata_Country!$A:$A, Metadata_Country!$B:$B, "Unknown"), IF(OR(_xlpm.r=0, _xlpm.r=""), "Regional Aggregate", _xlpm.r))</f>
        <v>Europe &amp; Central Asia</v>
      </c>
      <c r="G3747" s="4" t="str">
        <f>_xlfn.LET(_xlpm.ig, _xlfn.XLOOKUP(Clean_Data[[#This Row],[Country_Code]], Metadata_Country!$A:$A, Metadata_Country!$C:$C, "Unknown"), IF(OR(_xlpm.ig=0, _xlpm.ig=""), "Regional Aggregate", _xlpm.ig))</f>
        <v>High income</v>
      </c>
      <c r="H3747" s="4">
        <f>Clean_Data[[#This Row],[Exports_TIV]] - Clean_Data[[#This Row],[Imports_TIV]]</f>
        <v>-14000000</v>
      </c>
      <c r="I3747" s="4">
        <f>Clean_Data[[#This Row],[Exports_TIV]] + Clean_Data[[#This Row],[Imports_TIV]]</f>
        <v>14000000</v>
      </c>
    </row>
    <row r="3748" spans="1:9">
      <c r="A3748" s="4" t="s">
        <v>213</v>
      </c>
      <c r="B3748" s="4" t="s">
        <v>214</v>
      </c>
      <c r="C3748" s="5">
        <v>2001</v>
      </c>
      <c r="D3748" s="4">
        <v>0</v>
      </c>
      <c r="E3748" s="4">
        <v>8555000000</v>
      </c>
      <c r="F3748" s="4" t="str">
        <f>_xlfn.LET(_xlpm.r, _xlfn.XLOOKUP(Clean_Data[[#This Row],[Country_Code]], Metadata_Country!$A:$A, Metadata_Country!$B:$B, "Unknown"), IF(OR(_xlpm.r=0, _xlpm.r=""), "Regional Aggregate", _xlpm.r))</f>
        <v>Regional Aggregate</v>
      </c>
      <c r="G3748" s="4" t="str">
        <f>_xlfn.LET(_xlpm.ig, _xlfn.XLOOKUP(Clean_Data[[#This Row],[Country_Code]], Metadata_Country!$A:$A, Metadata_Country!$C:$C, "Unknown"), IF(OR(_xlpm.ig=0, _xlpm.ig=""), "Regional Aggregate", _xlpm.ig))</f>
        <v>Regional Aggregate</v>
      </c>
      <c r="H3748" s="4">
        <f>Clean_Data[[#This Row],[Exports_TIV]] - Clean_Data[[#This Row],[Imports_TIV]]</f>
        <v>-8555000000</v>
      </c>
      <c r="I3748" s="4">
        <f>Clean_Data[[#This Row],[Exports_TIV]] + Clean_Data[[#This Row],[Imports_TIV]]</f>
        <v>8555000000</v>
      </c>
    </row>
    <row r="3749" spans="1:9">
      <c r="A3749" s="4" t="s">
        <v>215</v>
      </c>
      <c r="B3749" s="4" t="s">
        <v>216</v>
      </c>
      <c r="C3749" s="5">
        <v>2001</v>
      </c>
      <c r="D3749" s="4">
        <v>0</v>
      </c>
      <c r="E3749" s="4">
        <v>9909000000</v>
      </c>
      <c r="F3749" s="4" t="str">
        <f>_xlfn.LET(_xlpm.r, _xlfn.XLOOKUP(Clean_Data[[#This Row],[Country_Code]], Metadata_Country!$A:$A, Metadata_Country!$B:$B, "Unknown"), IF(OR(_xlpm.r=0, _xlpm.r=""), "Regional Aggregate", _xlpm.r))</f>
        <v>Regional Aggregate</v>
      </c>
      <c r="G3749" s="4" t="str">
        <f>_xlfn.LET(_xlpm.ig, _xlfn.XLOOKUP(Clean_Data[[#This Row],[Country_Code]], Metadata_Country!$A:$A, Metadata_Country!$C:$C, "Unknown"), IF(OR(_xlpm.ig=0, _xlpm.ig=""), "Regional Aggregate", _xlpm.ig))</f>
        <v>Regional Aggregate</v>
      </c>
      <c r="H3749" s="4">
        <f>Clean_Data[[#This Row],[Exports_TIV]] - Clean_Data[[#This Row],[Imports_TIV]]</f>
        <v>-9909000000</v>
      </c>
      <c r="I3749" s="4">
        <f>Clean_Data[[#This Row],[Exports_TIV]] + Clean_Data[[#This Row],[Imports_TIV]]</f>
        <v>9909000000</v>
      </c>
    </row>
    <row r="3750" spans="1:9">
      <c r="A3750" s="4" t="s">
        <v>219</v>
      </c>
      <c r="B3750" s="4" t="s">
        <v>220</v>
      </c>
      <c r="C3750" s="5">
        <v>2001</v>
      </c>
      <c r="D3750" s="4">
        <v>0</v>
      </c>
      <c r="E3750" s="4">
        <v>446000000</v>
      </c>
      <c r="F3750" s="4" t="str">
        <f>_xlfn.LET(_xlpm.r, _xlfn.XLOOKUP(Clean_Data[[#This Row],[Country_Code]], Metadata_Country!$A:$A, Metadata_Country!$B:$B, "Unknown"), IF(OR(_xlpm.r=0, _xlpm.r=""), "Regional Aggregate", _xlpm.r))</f>
        <v>Regional Aggregate</v>
      </c>
      <c r="G3750" s="4" t="str">
        <f>_xlfn.LET(_xlpm.ig, _xlfn.XLOOKUP(Clean_Data[[#This Row],[Country_Code]], Metadata_Country!$A:$A, Metadata_Country!$C:$C, "Unknown"), IF(OR(_xlpm.ig=0, _xlpm.ig=""), "Regional Aggregate", _xlpm.ig))</f>
        <v>Regional Aggregate</v>
      </c>
      <c r="H3750" s="4">
        <f>Clean_Data[[#This Row],[Exports_TIV]] - Clean_Data[[#This Row],[Imports_TIV]]</f>
        <v>-446000000</v>
      </c>
      <c r="I3750" s="4">
        <f>Clean_Data[[#This Row],[Exports_TIV]] + Clean_Data[[#This Row],[Imports_TIV]]</f>
        <v>446000000</v>
      </c>
    </row>
    <row r="3751" spans="1:9">
      <c r="A3751" s="4" t="s">
        <v>227</v>
      </c>
      <c r="B3751" s="4" t="s">
        <v>228</v>
      </c>
      <c r="C3751" s="5">
        <v>2001</v>
      </c>
      <c r="D3751" s="4">
        <v>2000000</v>
      </c>
      <c r="E3751" s="4">
        <v>1050000000</v>
      </c>
      <c r="F3751" s="4" t="str">
        <f>_xlfn.LET(_xlpm.r, _xlfn.XLOOKUP(Clean_Data[[#This Row],[Country_Code]], Metadata_Country!$A:$A, Metadata_Country!$B:$B, "Unknown"), IF(OR(_xlpm.r=0, _xlpm.r=""), "Regional Aggregate", _xlpm.r))</f>
        <v>South Asia</v>
      </c>
      <c r="G3751" s="4" t="str">
        <f>_xlfn.LET(_xlpm.ig, _xlfn.XLOOKUP(Clean_Data[[#This Row],[Country_Code]], Metadata_Country!$A:$A, Metadata_Country!$C:$C, "Unknown"), IF(OR(_xlpm.ig=0, _xlpm.ig=""), "Regional Aggregate", _xlpm.ig))</f>
        <v>Lower middle income</v>
      </c>
      <c r="H3751" s="4">
        <f>Clean_Data[[#This Row],[Exports_TIV]] - Clean_Data[[#This Row],[Imports_TIV]]</f>
        <v>-1048000000</v>
      </c>
      <c r="I3751" s="4">
        <f>Clean_Data[[#This Row],[Exports_TIV]] + Clean_Data[[#This Row],[Imports_TIV]]</f>
        <v>1052000000</v>
      </c>
    </row>
    <row r="3752" spans="1:9">
      <c r="A3752" s="4" t="s">
        <v>221</v>
      </c>
      <c r="B3752" s="4" t="s">
        <v>222</v>
      </c>
      <c r="C3752" s="5">
        <v>2001</v>
      </c>
      <c r="D3752" s="4">
        <v>18000000</v>
      </c>
      <c r="E3752" s="4">
        <v>22000000</v>
      </c>
      <c r="F3752" s="4" t="str">
        <f>_xlfn.LET(_xlpm.r, _xlfn.XLOOKUP(Clean_Data[[#This Row],[Country_Code]], Metadata_Country!$A:$A, Metadata_Country!$B:$B, "Unknown"), IF(OR(_xlpm.r=0, _xlpm.r=""), "Regional Aggregate", _xlpm.r))</f>
        <v>East Asia &amp; Pacific</v>
      </c>
      <c r="G3752" s="4" t="str">
        <f>_xlfn.LET(_xlpm.ig, _xlfn.XLOOKUP(Clean_Data[[#This Row],[Country_Code]], Metadata_Country!$A:$A, Metadata_Country!$C:$C, "Unknown"), IF(OR(_xlpm.ig=0, _xlpm.ig=""), "Regional Aggregate", _xlpm.ig))</f>
        <v>Upper middle income</v>
      </c>
      <c r="H3752" s="4">
        <f>Clean_Data[[#This Row],[Exports_TIV]] - Clean_Data[[#This Row],[Imports_TIV]]</f>
        <v>-4000000</v>
      </c>
      <c r="I3752" s="4">
        <f>Clean_Data[[#This Row],[Exports_TIV]] + Clean_Data[[#This Row],[Imports_TIV]]</f>
        <v>40000000</v>
      </c>
    </row>
    <row r="3753" spans="1:9">
      <c r="A3753" s="4" t="s">
        <v>233</v>
      </c>
      <c r="B3753" s="4" t="s">
        <v>234</v>
      </c>
      <c r="C3753" s="5">
        <v>2001</v>
      </c>
      <c r="D3753" s="4">
        <v>0</v>
      </c>
      <c r="E3753" s="4">
        <v>526000000</v>
      </c>
      <c r="F3753" s="4" t="str">
        <f>_xlfn.LET(_xlpm.r, _xlfn.XLOOKUP(Clean_Data[[#This Row],[Country_Code]], Metadata_Country!$A:$A, Metadata_Country!$B:$B, "Unknown"), IF(OR(_xlpm.r=0, _xlpm.r=""), "Regional Aggregate", _xlpm.r))</f>
        <v>Middle East &amp; North Africa</v>
      </c>
      <c r="G3753" s="4" t="str">
        <f>_xlfn.LET(_xlpm.ig, _xlfn.XLOOKUP(Clean_Data[[#This Row],[Country_Code]], Metadata_Country!$A:$A, Metadata_Country!$C:$C, "Unknown"), IF(OR(_xlpm.ig=0, _xlpm.ig=""), "Regional Aggregate", _xlpm.ig))</f>
        <v>Upper middle income</v>
      </c>
      <c r="H3753" s="4">
        <f>Clean_Data[[#This Row],[Exports_TIV]] - Clean_Data[[#This Row],[Imports_TIV]]</f>
        <v>-526000000</v>
      </c>
      <c r="I3753" s="4">
        <f>Clean_Data[[#This Row],[Exports_TIV]] + Clean_Data[[#This Row],[Imports_TIV]]</f>
        <v>526000000</v>
      </c>
    </row>
    <row r="3754" spans="1:9">
      <c r="A3754" s="4" t="s">
        <v>231</v>
      </c>
      <c r="B3754" s="4" t="s">
        <v>232</v>
      </c>
      <c r="C3754" s="5">
        <v>2001</v>
      </c>
      <c r="D3754" s="4">
        <v>0</v>
      </c>
      <c r="E3754" s="4">
        <v>44000000</v>
      </c>
      <c r="F3754" s="4" t="str">
        <f>_xlfn.LET(_xlpm.r, _xlfn.XLOOKUP(Clean_Data[[#This Row],[Country_Code]], Metadata_Country!$A:$A, Metadata_Country!$B:$B, "Unknown"), IF(OR(_xlpm.r=0, _xlpm.r=""), "Regional Aggregate", _xlpm.r))</f>
        <v>Europe &amp; Central Asia</v>
      </c>
      <c r="G3754" s="4" t="str">
        <f>_xlfn.LET(_xlpm.ig, _xlfn.XLOOKUP(Clean_Data[[#This Row],[Country_Code]], Metadata_Country!$A:$A, Metadata_Country!$C:$C, "Unknown"), IF(OR(_xlpm.ig=0, _xlpm.ig=""), "Regional Aggregate", _xlpm.ig))</f>
        <v>High income</v>
      </c>
      <c r="H3754" s="4">
        <f>Clean_Data[[#This Row],[Exports_TIV]] - Clean_Data[[#This Row],[Imports_TIV]]</f>
        <v>-44000000</v>
      </c>
      <c r="I3754" s="4">
        <f>Clean_Data[[#This Row],[Exports_TIV]] + Clean_Data[[#This Row],[Imports_TIV]]</f>
        <v>44000000</v>
      </c>
    </row>
    <row r="3755" spans="1:9">
      <c r="A3755" s="4" t="s">
        <v>239</v>
      </c>
      <c r="B3755" s="4" t="s">
        <v>240</v>
      </c>
      <c r="C3755" s="5">
        <v>2001</v>
      </c>
      <c r="D3755" s="4">
        <v>467000000</v>
      </c>
      <c r="E3755" s="4">
        <v>116000000</v>
      </c>
      <c r="F3755" s="4" t="str">
        <f>_xlfn.LET(_xlpm.r, _xlfn.XLOOKUP(Clean_Data[[#This Row],[Country_Code]], Metadata_Country!$A:$A, Metadata_Country!$B:$B, "Unknown"), IF(OR(_xlpm.r=0, _xlpm.r=""), "Regional Aggregate", _xlpm.r))</f>
        <v>Middle East &amp; North Africa</v>
      </c>
      <c r="G3755" s="4" t="str">
        <f>_xlfn.LET(_xlpm.ig, _xlfn.XLOOKUP(Clean_Data[[#This Row],[Country_Code]], Metadata_Country!$A:$A, Metadata_Country!$C:$C, "Unknown"), IF(OR(_xlpm.ig=0, _xlpm.ig=""), "Regional Aggregate", _xlpm.ig))</f>
        <v>High income</v>
      </c>
      <c r="H3755" s="4">
        <f>Clean_Data[[#This Row],[Exports_TIV]] - Clean_Data[[#This Row],[Imports_TIV]]</f>
        <v>351000000</v>
      </c>
      <c r="I3755" s="4">
        <f>Clean_Data[[#This Row],[Exports_TIV]] + Clean_Data[[#This Row],[Imports_TIV]]</f>
        <v>583000000</v>
      </c>
    </row>
    <row r="3756" spans="1:9">
      <c r="A3756" s="4" t="s">
        <v>241</v>
      </c>
      <c r="B3756" s="4" t="s">
        <v>242</v>
      </c>
      <c r="C3756" s="5">
        <v>2001</v>
      </c>
      <c r="D3756" s="4">
        <v>267000000</v>
      </c>
      <c r="E3756" s="4">
        <v>234000000</v>
      </c>
      <c r="F3756" s="4" t="str">
        <f>_xlfn.LET(_xlpm.r, _xlfn.XLOOKUP(Clean_Data[[#This Row],[Country_Code]], Metadata_Country!$A:$A, Metadata_Country!$B:$B, "Unknown"), IF(OR(_xlpm.r=0, _xlpm.r=""), "Regional Aggregate", _xlpm.r))</f>
        <v>Europe &amp; Central Asia</v>
      </c>
      <c r="G3756" s="4" t="str">
        <f>_xlfn.LET(_xlpm.ig, _xlfn.XLOOKUP(Clean_Data[[#This Row],[Country_Code]], Metadata_Country!$A:$A, Metadata_Country!$C:$C, "Unknown"), IF(OR(_xlpm.ig=0, _xlpm.ig=""), "Regional Aggregate", _xlpm.ig))</f>
        <v>High income</v>
      </c>
      <c r="H3756" s="4">
        <f>Clean_Data[[#This Row],[Exports_TIV]] - Clean_Data[[#This Row],[Imports_TIV]]</f>
        <v>33000000</v>
      </c>
      <c r="I3756" s="4">
        <f>Clean_Data[[#This Row],[Exports_TIV]] + Clean_Data[[#This Row],[Imports_TIV]]</f>
        <v>501000000</v>
      </c>
    </row>
    <row r="3757" spans="1:9">
      <c r="A3757" s="4" t="s">
        <v>247</v>
      </c>
      <c r="B3757" s="4" t="s">
        <v>248</v>
      </c>
      <c r="C3757" s="5">
        <v>2001</v>
      </c>
      <c r="D3757" s="4">
        <v>0</v>
      </c>
      <c r="E3757" s="4">
        <v>427000000</v>
      </c>
      <c r="F3757" s="4" t="str">
        <f>_xlfn.LET(_xlpm.r, _xlfn.XLOOKUP(Clean_Data[[#This Row],[Country_Code]], Metadata_Country!$A:$A, Metadata_Country!$B:$B, "Unknown"), IF(OR(_xlpm.r=0, _xlpm.r=""), "Regional Aggregate", _xlpm.r))</f>
        <v>East Asia &amp; Pacific</v>
      </c>
      <c r="G3757" s="4" t="str">
        <f>_xlfn.LET(_xlpm.ig, _xlfn.XLOOKUP(Clean_Data[[#This Row],[Country_Code]], Metadata_Country!$A:$A, Metadata_Country!$C:$C, "Unknown"), IF(OR(_xlpm.ig=0, _xlpm.ig=""), "Regional Aggregate", _xlpm.ig))</f>
        <v>High income</v>
      </c>
      <c r="H3757" s="4">
        <f>Clean_Data[[#This Row],[Exports_TIV]] - Clean_Data[[#This Row],[Imports_TIV]]</f>
        <v>-427000000</v>
      </c>
      <c r="I3757" s="4">
        <f>Clean_Data[[#This Row],[Exports_TIV]] + Clean_Data[[#This Row],[Imports_TIV]]</f>
        <v>427000000</v>
      </c>
    </row>
    <row r="3758" spans="1:9">
      <c r="A3758" s="4" t="s">
        <v>245</v>
      </c>
      <c r="B3758" s="4" t="s">
        <v>246</v>
      </c>
      <c r="C3758" s="5">
        <v>2001</v>
      </c>
      <c r="D3758" s="4">
        <v>0</v>
      </c>
      <c r="E3758" s="4">
        <v>160000000</v>
      </c>
      <c r="F3758" s="4" t="str">
        <f>_xlfn.LET(_xlpm.r, _xlfn.XLOOKUP(Clean_Data[[#This Row],[Country_Code]], Metadata_Country!$A:$A, Metadata_Country!$B:$B, "Unknown"), IF(OR(_xlpm.r=0, _xlpm.r=""), "Regional Aggregate", _xlpm.r))</f>
        <v>Middle East &amp; North Africa</v>
      </c>
      <c r="G3758" s="4" t="str">
        <f>_xlfn.LET(_xlpm.ig, _xlfn.XLOOKUP(Clean_Data[[#This Row],[Country_Code]], Metadata_Country!$A:$A, Metadata_Country!$C:$C, "Unknown"), IF(OR(_xlpm.ig=0, _xlpm.ig=""), "Regional Aggregate", _xlpm.ig))</f>
        <v>Upper middle income</v>
      </c>
      <c r="H3758" s="4">
        <f>Clean_Data[[#This Row],[Exports_TIV]] - Clean_Data[[#This Row],[Imports_TIV]]</f>
        <v>-160000000</v>
      </c>
      <c r="I3758" s="4">
        <f>Clean_Data[[#This Row],[Exports_TIV]] + Clean_Data[[#This Row],[Imports_TIV]]</f>
        <v>160000000</v>
      </c>
    </row>
    <row r="3759" spans="1:9">
      <c r="A3759" s="4" t="s">
        <v>249</v>
      </c>
      <c r="B3759" s="4" t="s">
        <v>250</v>
      </c>
      <c r="C3759" s="5">
        <v>2001</v>
      </c>
      <c r="D3759" s="4">
        <v>13000000</v>
      </c>
      <c r="E3759" s="4">
        <v>139000000</v>
      </c>
      <c r="F3759" s="4" t="str">
        <f>_xlfn.LET(_xlpm.r, _xlfn.XLOOKUP(Clean_Data[[#This Row],[Country_Code]], Metadata_Country!$A:$A, Metadata_Country!$B:$B, "Unknown"), IF(OR(_xlpm.r=0, _xlpm.r=""), "Regional Aggregate", _xlpm.r))</f>
        <v>Europe &amp; Central Asia</v>
      </c>
      <c r="G3759" s="4" t="str">
        <f>_xlfn.LET(_xlpm.ig, _xlfn.XLOOKUP(Clean_Data[[#This Row],[Country_Code]], Metadata_Country!$A:$A, Metadata_Country!$C:$C, "Unknown"), IF(OR(_xlpm.ig=0, _xlpm.ig=""), "Regional Aggregate", _xlpm.ig))</f>
        <v>Upper middle income</v>
      </c>
      <c r="H3759" s="4">
        <f>Clean_Data[[#This Row],[Exports_TIV]] - Clean_Data[[#This Row],[Imports_TIV]]</f>
        <v>-126000000</v>
      </c>
      <c r="I3759" s="4">
        <f>Clean_Data[[#This Row],[Exports_TIV]] + Clean_Data[[#This Row],[Imports_TIV]]</f>
        <v>152000000</v>
      </c>
    </row>
    <row r="3760" spans="1:9">
      <c r="A3760" s="4" t="s">
        <v>395</v>
      </c>
      <c r="B3760" s="4" t="s">
        <v>396</v>
      </c>
      <c r="C3760" s="5">
        <v>2001</v>
      </c>
      <c r="D3760" s="4">
        <v>53000000</v>
      </c>
      <c r="E3760" s="4">
        <v>73000000</v>
      </c>
      <c r="F3760" s="4" t="str">
        <f>_xlfn.LET(_xlpm.r, _xlfn.XLOOKUP(Clean_Data[[#This Row],[Country_Code]], Metadata_Country!$A:$A, Metadata_Country!$B:$B, "Unknown"), IF(OR(_xlpm.r=0, _xlpm.r=""), "Regional Aggregate", _xlpm.r))</f>
        <v>East Asia &amp; Pacific</v>
      </c>
      <c r="G3760" s="4" t="str">
        <f>_xlfn.LET(_xlpm.ig, _xlfn.XLOOKUP(Clean_Data[[#This Row],[Country_Code]], Metadata_Country!$A:$A, Metadata_Country!$C:$C, "Unknown"), IF(OR(_xlpm.ig=0, _xlpm.ig=""), "Regional Aggregate", _xlpm.ig))</f>
        <v>Low income</v>
      </c>
      <c r="H3760" s="4">
        <f>Clean_Data[[#This Row],[Exports_TIV]] - Clean_Data[[#This Row],[Imports_TIV]]</f>
        <v>-20000000</v>
      </c>
      <c r="I3760" s="4">
        <f>Clean_Data[[#This Row],[Exports_TIV]] + Clean_Data[[#This Row],[Imports_TIV]]</f>
        <v>126000000</v>
      </c>
    </row>
    <row r="3761" spans="1:9">
      <c r="A3761" s="4" t="s">
        <v>261</v>
      </c>
      <c r="B3761" s="4" t="s">
        <v>262</v>
      </c>
      <c r="C3761" s="5">
        <v>2001</v>
      </c>
      <c r="D3761" s="4">
        <v>230000000</v>
      </c>
      <c r="E3761" s="4">
        <v>768000000</v>
      </c>
      <c r="F3761" s="4" t="str">
        <f>_xlfn.LET(_xlpm.r, _xlfn.XLOOKUP(Clean_Data[[#This Row],[Country_Code]], Metadata_Country!$A:$A, Metadata_Country!$B:$B, "Unknown"), IF(OR(_xlpm.r=0, _xlpm.r=""), "Regional Aggregate", _xlpm.r))</f>
        <v>East Asia &amp; Pacific</v>
      </c>
      <c r="G3761" s="4" t="str">
        <f>_xlfn.LET(_xlpm.ig, _xlfn.XLOOKUP(Clean_Data[[#This Row],[Country_Code]], Metadata_Country!$A:$A, Metadata_Country!$C:$C, "Unknown"), IF(OR(_xlpm.ig=0, _xlpm.ig=""), "Regional Aggregate", _xlpm.ig))</f>
        <v>High income</v>
      </c>
      <c r="H3761" s="4">
        <f>Clean_Data[[#This Row],[Exports_TIV]] - Clean_Data[[#This Row],[Imports_TIV]]</f>
        <v>-538000000</v>
      </c>
      <c r="I3761" s="4">
        <f>Clean_Data[[#This Row],[Exports_TIV]] + Clean_Data[[#This Row],[Imports_TIV]]</f>
        <v>998000000</v>
      </c>
    </row>
    <row r="3762" spans="1:9">
      <c r="A3762" s="4" t="s">
        <v>263</v>
      </c>
      <c r="B3762" s="4" t="s">
        <v>264</v>
      </c>
      <c r="C3762" s="5">
        <v>2001</v>
      </c>
      <c r="D3762" s="4">
        <v>0</v>
      </c>
      <c r="E3762" s="4">
        <v>67000000</v>
      </c>
      <c r="F3762" s="4" t="str">
        <f>_xlfn.LET(_xlpm.r, _xlfn.XLOOKUP(Clean_Data[[#This Row],[Country_Code]], Metadata_Country!$A:$A, Metadata_Country!$B:$B, "Unknown"), IF(OR(_xlpm.r=0, _xlpm.r=""), "Regional Aggregate", _xlpm.r))</f>
        <v>Middle East &amp; North Africa</v>
      </c>
      <c r="G3762" s="4" t="str">
        <f>_xlfn.LET(_xlpm.ig, _xlfn.XLOOKUP(Clean_Data[[#This Row],[Country_Code]], Metadata_Country!$A:$A, Metadata_Country!$C:$C, "Unknown"), IF(OR(_xlpm.ig=0, _xlpm.ig=""), "Regional Aggregate", _xlpm.ig))</f>
        <v>High income</v>
      </c>
      <c r="H3762" s="4">
        <f>Clean_Data[[#This Row],[Exports_TIV]] - Clean_Data[[#This Row],[Imports_TIV]]</f>
        <v>-67000000</v>
      </c>
      <c r="I3762" s="4">
        <f>Clean_Data[[#This Row],[Exports_TIV]] + Clean_Data[[#This Row],[Imports_TIV]]</f>
        <v>67000000</v>
      </c>
    </row>
    <row r="3763" spans="1:9">
      <c r="A3763" s="4" t="s">
        <v>293</v>
      </c>
      <c r="B3763" s="4" t="s">
        <v>294</v>
      </c>
      <c r="C3763" s="5">
        <v>2001</v>
      </c>
      <c r="D3763" s="4">
        <v>0</v>
      </c>
      <c r="E3763" s="4">
        <v>5087000000</v>
      </c>
      <c r="F3763" s="4" t="str">
        <f>_xlfn.LET(_xlpm.r, _xlfn.XLOOKUP(Clean_Data[[#This Row],[Country_Code]], Metadata_Country!$A:$A, Metadata_Country!$B:$B, "Unknown"), IF(OR(_xlpm.r=0, _xlpm.r=""), "Regional Aggregate", _xlpm.r))</f>
        <v>Regional Aggregate</v>
      </c>
      <c r="G3763" s="4" t="str">
        <f>_xlfn.LET(_xlpm.ig, _xlfn.XLOOKUP(Clean_Data[[#This Row],[Country_Code]], Metadata_Country!$A:$A, Metadata_Country!$C:$C, "Unknown"), IF(OR(_xlpm.ig=0, _xlpm.ig=""), "Regional Aggregate", _xlpm.ig))</f>
        <v>Regional Aggregate</v>
      </c>
      <c r="H3763" s="4">
        <f>Clean_Data[[#This Row],[Exports_TIV]] - Clean_Data[[#This Row],[Imports_TIV]]</f>
        <v>-5087000000</v>
      </c>
      <c r="I3763" s="4">
        <f>Clean_Data[[#This Row],[Exports_TIV]] + Clean_Data[[#This Row],[Imports_TIV]]</f>
        <v>5087000000</v>
      </c>
    </row>
    <row r="3764" spans="1:9">
      <c r="A3764" s="4" t="s">
        <v>277</v>
      </c>
      <c r="B3764" s="4" t="s">
        <v>278</v>
      </c>
      <c r="C3764" s="5">
        <v>2001</v>
      </c>
      <c r="D3764" s="4">
        <v>0</v>
      </c>
      <c r="E3764" s="4">
        <v>1231000000</v>
      </c>
      <c r="F3764" s="4" t="str">
        <f>_xlfn.LET(_xlpm.r, _xlfn.XLOOKUP(Clean_Data[[#This Row],[Country_Code]], Metadata_Country!$A:$A, Metadata_Country!$B:$B, "Unknown"), IF(OR(_xlpm.r=0, _xlpm.r=""), "Regional Aggregate", _xlpm.r))</f>
        <v>Regional Aggregate</v>
      </c>
      <c r="G3764" s="4" t="str">
        <f>_xlfn.LET(_xlpm.ig, _xlfn.XLOOKUP(Clean_Data[[#This Row],[Country_Code]], Metadata_Country!$A:$A, Metadata_Country!$C:$C, "Unknown"), IF(OR(_xlpm.ig=0, _xlpm.ig=""), "Regional Aggregate", _xlpm.ig))</f>
        <v>Regional Aggregate</v>
      </c>
      <c r="H3764" s="4">
        <f>Clean_Data[[#This Row],[Exports_TIV]] - Clean_Data[[#This Row],[Imports_TIV]]</f>
        <v>-1231000000</v>
      </c>
      <c r="I3764" s="4">
        <f>Clean_Data[[#This Row],[Exports_TIV]] + Clean_Data[[#This Row],[Imports_TIV]]</f>
        <v>1231000000</v>
      </c>
    </row>
    <row r="3765" spans="1:9">
      <c r="A3765" s="4" t="s">
        <v>265</v>
      </c>
      <c r="B3765" s="4" t="s">
        <v>266</v>
      </c>
      <c r="C3765" s="5">
        <v>2001</v>
      </c>
      <c r="D3765" s="4">
        <v>0</v>
      </c>
      <c r="E3765" s="4">
        <v>1164000000</v>
      </c>
      <c r="F3765" s="4" t="str">
        <f>_xlfn.LET(_xlpm.r, _xlfn.XLOOKUP(Clean_Data[[#This Row],[Country_Code]], Metadata_Country!$A:$A, Metadata_Country!$B:$B, "Unknown"), IF(OR(_xlpm.r=0, _xlpm.r=""), "Regional Aggregate", _xlpm.r))</f>
        <v>Regional Aggregate</v>
      </c>
      <c r="G3765" s="4" t="str">
        <f>_xlfn.LET(_xlpm.ig, _xlfn.XLOOKUP(Clean_Data[[#This Row],[Country_Code]], Metadata_Country!$A:$A, Metadata_Country!$C:$C, "Unknown"), IF(OR(_xlpm.ig=0, _xlpm.ig=""), "Regional Aggregate", _xlpm.ig))</f>
        <v>Regional Aggregate</v>
      </c>
      <c r="H3765" s="4">
        <f>Clean_Data[[#This Row],[Exports_TIV]] - Clean_Data[[#This Row],[Imports_TIV]]</f>
        <v>-1164000000</v>
      </c>
      <c r="I3765" s="4">
        <f>Clean_Data[[#This Row],[Exports_TIV]] + Clean_Data[[#This Row],[Imports_TIV]]</f>
        <v>1164000000</v>
      </c>
    </row>
    <row r="3766" spans="1:9">
      <c r="A3766" s="4" t="s">
        <v>481</v>
      </c>
      <c r="B3766" s="4" t="s">
        <v>482</v>
      </c>
      <c r="C3766" s="5">
        <v>2001</v>
      </c>
      <c r="D3766" s="4">
        <v>0</v>
      </c>
      <c r="E3766" s="4">
        <v>1231000000</v>
      </c>
      <c r="F3766" s="4" t="str">
        <f>_xlfn.LET(_xlpm.r, _xlfn.XLOOKUP(Clean_Data[[#This Row],[Country_Code]], Metadata_Country!$A:$A, Metadata_Country!$B:$B, "Unknown"), IF(OR(_xlpm.r=0, _xlpm.r=""), "Regional Aggregate", _xlpm.r))</f>
        <v>Regional Aggregate</v>
      </c>
      <c r="G3766" s="4" t="str">
        <f>_xlfn.LET(_xlpm.ig, _xlfn.XLOOKUP(Clean_Data[[#This Row],[Country_Code]], Metadata_Country!$A:$A, Metadata_Country!$C:$C, "Unknown"), IF(OR(_xlpm.ig=0, _xlpm.ig=""), "Regional Aggregate", _xlpm.ig))</f>
        <v>Regional Aggregate</v>
      </c>
      <c r="H3766" s="4">
        <f>Clean_Data[[#This Row],[Exports_TIV]] - Clean_Data[[#This Row],[Imports_TIV]]</f>
        <v>-1231000000</v>
      </c>
      <c r="I3766" s="4">
        <f>Clean_Data[[#This Row],[Exports_TIV]] + Clean_Data[[#This Row],[Imports_TIV]]</f>
        <v>1231000000</v>
      </c>
    </row>
    <row r="3767" spans="1:9">
      <c r="A3767" s="4" t="s">
        <v>299</v>
      </c>
      <c r="B3767" s="4" t="s">
        <v>300</v>
      </c>
      <c r="C3767" s="5">
        <v>2001</v>
      </c>
      <c r="D3767" s="4">
        <v>0</v>
      </c>
      <c r="E3767" s="4">
        <v>14000000</v>
      </c>
      <c r="F3767" s="4" t="str">
        <f>_xlfn.LET(_xlpm.r, _xlfn.XLOOKUP(Clean_Data[[#This Row],[Country_Code]], Metadata_Country!$A:$A, Metadata_Country!$B:$B, "Unknown"), IF(OR(_xlpm.r=0, _xlpm.r=""), "Regional Aggregate", _xlpm.r))</f>
        <v>Europe &amp; Central Asia</v>
      </c>
      <c r="G3767" s="4" t="str">
        <f>_xlfn.LET(_xlpm.ig, _xlfn.XLOOKUP(Clean_Data[[#This Row],[Country_Code]], Metadata_Country!$A:$A, Metadata_Country!$C:$C, "Unknown"), IF(OR(_xlpm.ig=0, _xlpm.ig=""), "Regional Aggregate", _xlpm.ig))</f>
        <v>High income</v>
      </c>
      <c r="H3767" s="4">
        <f>Clean_Data[[#This Row],[Exports_TIV]] - Clean_Data[[#This Row],[Imports_TIV]]</f>
        <v>-14000000</v>
      </c>
      <c r="I3767" s="4">
        <f>Clean_Data[[#This Row],[Exports_TIV]] + Clean_Data[[#This Row],[Imports_TIV]]</f>
        <v>14000000</v>
      </c>
    </row>
    <row r="3768" spans="1:9">
      <c r="A3768" s="4" t="s">
        <v>291</v>
      </c>
      <c r="B3768" s="4" t="s">
        <v>292</v>
      </c>
      <c r="C3768" s="5">
        <v>2001</v>
      </c>
      <c r="D3768" s="4">
        <v>0</v>
      </c>
      <c r="E3768" s="4">
        <v>6000000</v>
      </c>
      <c r="F3768" s="4" t="str">
        <f>_xlfn.LET(_xlpm.r, _xlfn.XLOOKUP(Clean_Data[[#This Row],[Country_Code]], Metadata_Country!$A:$A, Metadata_Country!$B:$B, "Unknown"), IF(OR(_xlpm.r=0, _xlpm.r=""), "Regional Aggregate", _xlpm.r))</f>
        <v>Sub-Saharan Africa</v>
      </c>
      <c r="G3768" s="4" t="str">
        <f>_xlfn.LET(_xlpm.ig, _xlfn.XLOOKUP(Clean_Data[[#This Row],[Country_Code]], Metadata_Country!$A:$A, Metadata_Country!$C:$C, "Unknown"), IF(OR(_xlpm.ig=0, _xlpm.ig=""), "Regional Aggregate", _xlpm.ig))</f>
        <v>Lower middle income</v>
      </c>
      <c r="H3768" s="4">
        <f>Clean_Data[[#This Row],[Exports_TIV]] - Clean_Data[[#This Row],[Imports_TIV]]</f>
        <v>-6000000</v>
      </c>
      <c r="I3768" s="4">
        <f>Clean_Data[[#This Row],[Exports_TIV]] + Clean_Data[[#This Row],[Imports_TIV]]</f>
        <v>6000000</v>
      </c>
    </row>
    <row r="3769" spans="1:9">
      <c r="A3769" s="4" t="s">
        <v>295</v>
      </c>
      <c r="B3769" s="4" t="s">
        <v>296</v>
      </c>
      <c r="C3769" s="5">
        <v>2001</v>
      </c>
      <c r="D3769" s="4">
        <v>0</v>
      </c>
      <c r="E3769" s="4">
        <v>16000000</v>
      </c>
      <c r="F3769" s="4" t="str">
        <f>_xlfn.LET(_xlpm.r, _xlfn.XLOOKUP(Clean_Data[[#This Row],[Country_Code]], Metadata_Country!$A:$A, Metadata_Country!$B:$B, "Unknown"), IF(OR(_xlpm.r=0, _xlpm.r=""), "Regional Aggregate", _xlpm.r))</f>
        <v>Europe &amp; Central Asia</v>
      </c>
      <c r="G3769" s="4" t="str">
        <f>_xlfn.LET(_xlpm.ig, _xlfn.XLOOKUP(Clean_Data[[#This Row],[Country_Code]], Metadata_Country!$A:$A, Metadata_Country!$C:$C, "Unknown"), IF(OR(_xlpm.ig=0, _xlpm.ig=""), "Regional Aggregate", _xlpm.ig))</f>
        <v>High income</v>
      </c>
      <c r="H3769" s="4">
        <f>Clean_Data[[#This Row],[Exports_TIV]] - Clean_Data[[#This Row],[Imports_TIV]]</f>
        <v>-16000000</v>
      </c>
      <c r="I3769" s="4">
        <f>Clean_Data[[#This Row],[Exports_TIV]] + Clean_Data[[#This Row],[Imports_TIV]]</f>
        <v>16000000</v>
      </c>
    </row>
    <row r="3770" spans="1:9">
      <c r="A3770" s="4" t="s">
        <v>289</v>
      </c>
      <c r="B3770" s="4" t="s">
        <v>290</v>
      </c>
      <c r="C3770" s="5">
        <v>2001</v>
      </c>
      <c r="D3770" s="4">
        <v>0</v>
      </c>
      <c r="E3770" s="4">
        <v>9801000000</v>
      </c>
      <c r="F3770" s="4" t="str">
        <f>_xlfn.LET(_xlpm.r, _xlfn.XLOOKUP(Clean_Data[[#This Row],[Country_Code]], Metadata_Country!$A:$A, Metadata_Country!$B:$B, "Unknown"), IF(OR(_xlpm.r=0, _xlpm.r=""), "Regional Aggregate", _xlpm.r))</f>
        <v>Regional Aggregate</v>
      </c>
      <c r="G3770" s="4" t="str">
        <f>_xlfn.LET(_xlpm.ig, _xlfn.XLOOKUP(Clean_Data[[#This Row],[Country_Code]], Metadata_Country!$A:$A, Metadata_Country!$C:$C, "Unknown"), IF(OR(_xlpm.ig=0, _xlpm.ig=""), "Regional Aggregate", _xlpm.ig))</f>
        <v>Regional Aggregate</v>
      </c>
      <c r="H3770" s="4">
        <f>Clean_Data[[#This Row],[Exports_TIV]] - Clean_Data[[#This Row],[Imports_TIV]]</f>
        <v>-9801000000</v>
      </c>
      <c r="I3770" s="4">
        <f>Clean_Data[[#This Row],[Exports_TIV]] + Clean_Data[[#This Row],[Imports_TIV]]</f>
        <v>9801000000</v>
      </c>
    </row>
    <row r="3771" spans="1:9">
      <c r="A3771" s="4" t="s">
        <v>287</v>
      </c>
      <c r="B3771" s="4" t="s">
        <v>288</v>
      </c>
      <c r="C3771" s="5">
        <v>2001</v>
      </c>
      <c r="D3771" s="4">
        <v>0</v>
      </c>
      <c r="E3771" s="4">
        <v>3078000000</v>
      </c>
      <c r="F3771" s="4" t="str">
        <f>_xlfn.LET(_xlpm.r, _xlfn.XLOOKUP(Clean_Data[[#This Row],[Country_Code]], Metadata_Country!$A:$A, Metadata_Country!$B:$B, "Unknown"), IF(OR(_xlpm.r=0, _xlpm.r=""), "Regional Aggregate", _xlpm.r))</f>
        <v>Regional Aggregate</v>
      </c>
      <c r="G3771" s="4" t="str">
        <f>_xlfn.LET(_xlpm.ig, _xlfn.XLOOKUP(Clean_Data[[#This Row],[Country_Code]], Metadata_Country!$A:$A, Metadata_Country!$C:$C, "Unknown"), IF(OR(_xlpm.ig=0, _xlpm.ig=""), "Regional Aggregate", _xlpm.ig))</f>
        <v>Regional Aggregate</v>
      </c>
      <c r="H3771" s="4">
        <f>Clean_Data[[#This Row],[Exports_TIV]] - Clean_Data[[#This Row],[Imports_TIV]]</f>
        <v>-3078000000</v>
      </c>
      <c r="I3771" s="4">
        <f>Clean_Data[[#This Row],[Exports_TIV]] + Clean_Data[[#This Row],[Imports_TIV]]</f>
        <v>3078000000</v>
      </c>
    </row>
    <row r="3772" spans="1:9">
      <c r="A3772" s="4" t="s">
        <v>347</v>
      </c>
      <c r="B3772" s="4" t="s">
        <v>348</v>
      </c>
      <c r="C3772" s="5">
        <v>2001</v>
      </c>
      <c r="D3772" s="4">
        <v>0</v>
      </c>
      <c r="E3772" s="4">
        <v>26000000</v>
      </c>
      <c r="F3772" s="4" t="str">
        <f>_xlfn.LET(_xlpm.r, _xlfn.XLOOKUP(Clean_Data[[#This Row],[Country_Code]], Metadata_Country!$A:$A, Metadata_Country!$B:$B, "Unknown"), IF(OR(_xlpm.r=0, _xlpm.r=""), "Regional Aggregate", _xlpm.r))</f>
        <v>East Asia &amp; Pacific</v>
      </c>
      <c r="G3772" s="4" t="str">
        <f>_xlfn.LET(_xlpm.ig, _xlfn.XLOOKUP(Clean_Data[[#This Row],[Country_Code]], Metadata_Country!$A:$A, Metadata_Country!$C:$C, "Unknown"), IF(OR(_xlpm.ig=0, _xlpm.ig=""), "Regional Aggregate", _xlpm.ig))</f>
        <v>Upper middle income</v>
      </c>
      <c r="H3772" s="4">
        <f>Clean_Data[[#This Row],[Exports_TIV]] - Clean_Data[[#This Row],[Imports_TIV]]</f>
        <v>-26000000</v>
      </c>
      <c r="I3772" s="4">
        <f>Clean_Data[[#This Row],[Exports_TIV]] + Clean_Data[[#This Row],[Imports_TIV]]</f>
        <v>26000000</v>
      </c>
    </row>
    <row r="3773" spans="1:9">
      <c r="A3773" s="4" t="s">
        <v>327</v>
      </c>
      <c r="B3773" s="4" t="s">
        <v>328</v>
      </c>
      <c r="C3773" s="5">
        <v>2001</v>
      </c>
      <c r="D3773" s="4">
        <v>0</v>
      </c>
      <c r="E3773" s="4">
        <v>0</v>
      </c>
      <c r="F3773" s="4" t="str">
        <f>_xlfn.LET(_xlpm.r, _xlfn.XLOOKUP(Clean_Data[[#This Row],[Country_Code]], Metadata_Country!$A:$A, Metadata_Country!$B:$B, "Unknown"), IF(OR(_xlpm.r=0, _xlpm.r=""), "Regional Aggregate", _xlpm.r))</f>
        <v>Middle East &amp; North Africa</v>
      </c>
      <c r="G3773" s="4" t="str">
        <f>_xlfn.LET(_xlpm.ig, _xlfn.XLOOKUP(Clean_Data[[#This Row],[Country_Code]], Metadata_Country!$A:$A, Metadata_Country!$C:$C, "Unknown"), IF(OR(_xlpm.ig=0, _xlpm.ig=""), "Regional Aggregate", _xlpm.ig))</f>
        <v>High income</v>
      </c>
      <c r="H3773" s="4">
        <f>Clean_Data[[#This Row],[Exports_TIV]] - Clean_Data[[#This Row],[Imports_TIV]]</f>
        <v>0</v>
      </c>
      <c r="I3773" s="4">
        <f>Clean_Data[[#This Row],[Exports_TIV]] + Clean_Data[[#This Row],[Imports_TIV]]</f>
        <v>0</v>
      </c>
    </row>
    <row r="3774" spans="1:9">
      <c r="A3774" s="4" t="s">
        <v>317</v>
      </c>
      <c r="B3774" s="4" t="s">
        <v>318</v>
      </c>
      <c r="C3774" s="5">
        <v>2001</v>
      </c>
      <c r="D3774" s="4">
        <v>0</v>
      </c>
      <c r="E3774" s="4">
        <v>149000000</v>
      </c>
      <c r="F3774" s="4" t="str">
        <f>_xlfn.LET(_xlpm.r, _xlfn.XLOOKUP(Clean_Data[[#This Row],[Country_Code]], Metadata_Country!$A:$A, Metadata_Country!$B:$B, "Unknown"), IF(OR(_xlpm.r=0, _xlpm.r=""), "Regional Aggregate", _xlpm.r))</f>
        <v>Latin America &amp; Caribbean</v>
      </c>
      <c r="G3774" s="4" t="str">
        <f>_xlfn.LET(_xlpm.ig, _xlfn.XLOOKUP(Clean_Data[[#This Row],[Country_Code]], Metadata_Country!$A:$A, Metadata_Country!$C:$C, "Unknown"), IF(OR(_xlpm.ig=0, _xlpm.ig=""), "Regional Aggregate", _xlpm.ig))</f>
        <v>Upper middle income</v>
      </c>
      <c r="H3774" s="4">
        <f>Clean_Data[[#This Row],[Exports_TIV]] - Clean_Data[[#This Row],[Imports_TIV]]</f>
        <v>-149000000</v>
      </c>
      <c r="I3774" s="4">
        <f>Clean_Data[[#This Row],[Exports_TIV]] + Clean_Data[[#This Row],[Imports_TIV]]</f>
        <v>149000000</v>
      </c>
    </row>
    <row r="3775" spans="1:9">
      <c r="A3775" s="4" t="s">
        <v>315</v>
      </c>
      <c r="B3775" s="4" t="s">
        <v>316</v>
      </c>
      <c r="C3775" s="5">
        <v>2001</v>
      </c>
      <c r="D3775" s="4">
        <v>0</v>
      </c>
      <c r="E3775" s="4">
        <v>3053000000</v>
      </c>
      <c r="F3775" s="4" t="str">
        <f>_xlfn.LET(_xlpm.r, _xlfn.XLOOKUP(Clean_Data[[#This Row],[Country_Code]], Metadata_Country!$A:$A, Metadata_Country!$B:$B, "Unknown"), IF(OR(_xlpm.r=0, _xlpm.r=""), "Regional Aggregate", _xlpm.r))</f>
        <v>Regional Aggregate</v>
      </c>
      <c r="G3775" s="4" t="str">
        <f>_xlfn.LET(_xlpm.ig, _xlfn.XLOOKUP(Clean_Data[[#This Row],[Country_Code]], Metadata_Country!$A:$A, Metadata_Country!$C:$C, "Unknown"), IF(OR(_xlpm.ig=0, _xlpm.ig=""), "Regional Aggregate", _xlpm.ig))</f>
        <v>Regional Aggregate</v>
      </c>
      <c r="H3775" s="4">
        <f>Clean_Data[[#This Row],[Exports_TIV]] - Clean_Data[[#This Row],[Imports_TIV]]</f>
        <v>-3053000000</v>
      </c>
      <c r="I3775" s="4">
        <f>Clean_Data[[#This Row],[Exports_TIV]] + Clean_Data[[#This Row],[Imports_TIV]]</f>
        <v>3053000000</v>
      </c>
    </row>
    <row r="3776" spans="1:9">
      <c r="A3776" s="4" t="s">
        <v>331</v>
      </c>
      <c r="B3776" s="4" t="s">
        <v>332</v>
      </c>
      <c r="C3776" s="5">
        <v>2001</v>
      </c>
      <c r="D3776" s="4">
        <v>0</v>
      </c>
      <c r="E3776" s="4">
        <v>2565000000</v>
      </c>
      <c r="F3776" s="4" t="str">
        <f>_xlfn.LET(_xlpm.r, _xlfn.XLOOKUP(Clean_Data[[#This Row],[Country_Code]], Metadata_Country!$A:$A, Metadata_Country!$B:$B, "Unknown"), IF(OR(_xlpm.r=0, _xlpm.r=""), "Regional Aggregate", _xlpm.r))</f>
        <v>Regional Aggregate</v>
      </c>
      <c r="G3776" s="4" t="str">
        <f>_xlfn.LET(_xlpm.ig, _xlfn.XLOOKUP(Clean_Data[[#This Row],[Country_Code]], Metadata_Country!$A:$A, Metadata_Country!$C:$C, "Unknown"), IF(OR(_xlpm.ig=0, _xlpm.ig=""), "Regional Aggregate", _xlpm.ig))</f>
        <v>Regional Aggregate</v>
      </c>
      <c r="H3776" s="4">
        <f>Clean_Data[[#This Row],[Exports_TIV]] - Clean_Data[[#This Row],[Imports_TIV]]</f>
        <v>-2565000000</v>
      </c>
      <c r="I3776" s="4">
        <f>Clean_Data[[#This Row],[Exports_TIV]] + Clean_Data[[#This Row],[Imports_TIV]]</f>
        <v>2565000000</v>
      </c>
    </row>
    <row r="3777" spans="1:9">
      <c r="A3777" s="4" t="s">
        <v>485</v>
      </c>
      <c r="B3777" s="4" t="s">
        <v>486</v>
      </c>
      <c r="C3777" s="5">
        <v>2001</v>
      </c>
      <c r="D3777" s="4">
        <v>0</v>
      </c>
      <c r="E3777" s="4">
        <v>2565000000</v>
      </c>
      <c r="F3777" s="4" t="str">
        <f>_xlfn.LET(_xlpm.r, _xlfn.XLOOKUP(Clean_Data[[#This Row],[Country_Code]], Metadata_Country!$A:$A, Metadata_Country!$B:$B, "Unknown"), IF(OR(_xlpm.r=0, _xlpm.r=""), "Regional Aggregate", _xlpm.r))</f>
        <v>Regional Aggregate</v>
      </c>
      <c r="G3777" s="4" t="str">
        <f>_xlfn.LET(_xlpm.ig, _xlfn.XLOOKUP(Clean_Data[[#This Row],[Country_Code]], Metadata_Country!$A:$A, Metadata_Country!$C:$C, "Unknown"), IF(OR(_xlpm.ig=0, _xlpm.ig=""), "Regional Aggregate", _xlpm.ig))</f>
        <v>Regional Aggregate</v>
      </c>
      <c r="H3777" s="4">
        <f>Clean_Data[[#This Row],[Exports_TIV]] - Clean_Data[[#This Row],[Imports_TIV]]</f>
        <v>-2565000000</v>
      </c>
      <c r="I3777" s="4">
        <f>Clean_Data[[#This Row],[Exports_TIV]] + Clean_Data[[#This Row],[Imports_TIV]]</f>
        <v>2565000000</v>
      </c>
    </row>
    <row r="3778" spans="1:9">
      <c r="A3778" s="4" t="s">
        <v>321</v>
      </c>
      <c r="B3778" s="4" t="s">
        <v>322</v>
      </c>
      <c r="C3778" s="5">
        <v>2001</v>
      </c>
      <c r="D3778" s="4">
        <v>0</v>
      </c>
      <c r="E3778" s="4">
        <v>9444000000</v>
      </c>
      <c r="F3778" s="4" t="str">
        <f>_xlfn.LET(_xlpm.r, _xlfn.XLOOKUP(Clean_Data[[#This Row],[Country_Code]], Metadata_Country!$A:$A, Metadata_Country!$B:$B, "Unknown"), IF(OR(_xlpm.r=0, _xlpm.r=""), "Regional Aggregate", _xlpm.r))</f>
        <v>Regional Aggregate</v>
      </c>
      <c r="G3778" s="4" t="str">
        <f>_xlfn.LET(_xlpm.ig, _xlfn.XLOOKUP(Clean_Data[[#This Row],[Country_Code]], Metadata_Country!$A:$A, Metadata_Country!$C:$C, "Unknown"), IF(OR(_xlpm.ig=0, _xlpm.ig=""), "Regional Aggregate", _xlpm.ig))</f>
        <v>Regional Aggregate</v>
      </c>
      <c r="H3778" s="4">
        <f>Clean_Data[[#This Row],[Exports_TIV]] - Clean_Data[[#This Row],[Imports_TIV]]</f>
        <v>-9444000000</v>
      </c>
      <c r="I3778" s="4">
        <f>Clean_Data[[#This Row],[Exports_TIV]] + Clean_Data[[#This Row],[Imports_TIV]]</f>
        <v>9444000000</v>
      </c>
    </row>
    <row r="3779" spans="1:9">
      <c r="A3779" s="4" t="s">
        <v>309</v>
      </c>
      <c r="B3779" s="4" t="s">
        <v>310</v>
      </c>
      <c r="C3779" s="5">
        <v>2001</v>
      </c>
      <c r="D3779" s="4">
        <v>42000000</v>
      </c>
      <c r="E3779" s="4">
        <v>0</v>
      </c>
      <c r="F3779" s="4" t="str">
        <f>_xlfn.LET(_xlpm.r, _xlfn.XLOOKUP(Clean_Data[[#This Row],[Country_Code]], Metadata_Country!$A:$A, Metadata_Country!$B:$B, "Unknown"), IF(OR(_xlpm.r=0, _xlpm.r=""), "Regional Aggregate", _xlpm.r))</f>
        <v>Europe &amp; Central Asia</v>
      </c>
      <c r="G3779" s="4" t="str">
        <f>_xlfn.LET(_xlpm.ig, _xlfn.XLOOKUP(Clean_Data[[#This Row],[Country_Code]], Metadata_Country!$A:$A, Metadata_Country!$C:$C, "Unknown"), IF(OR(_xlpm.ig=0, _xlpm.ig=""), "Regional Aggregate", _xlpm.ig))</f>
        <v>Upper middle income</v>
      </c>
      <c r="H3779" s="4">
        <f>Clean_Data[[#This Row],[Exports_TIV]] - Clean_Data[[#This Row],[Imports_TIV]]</f>
        <v>42000000</v>
      </c>
      <c r="I3779" s="4">
        <f>Clean_Data[[#This Row],[Exports_TIV]] + Clean_Data[[#This Row],[Imports_TIV]]</f>
        <v>42000000</v>
      </c>
    </row>
    <row r="3780" spans="1:9">
      <c r="A3780" s="4" t="s">
        <v>305</v>
      </c>
      <c r="B3780" s="4" t="s">
        <v>306</v>
      </c>
      <c r="C3780" s="5">
        <v>2001</v>
      </c>
      <c r="D3780" s="4">
        <v>0</v>
      </c>
      <c r="E3780" s="4">
        <v>11000000</v>
      </c>
      <c r="F3780" s="4" t="str">
        <f>_xlfn.LET(_xlpm.r, _xlfn.XLOOKUP(Clean_Data[[#This Row],[Country_Code]], Metadata_Country!$A:$A, Metadata_Country!$B:$B, "Unknown"), IF(OR(_xlpm.r=0, _xlpm.r=""), "Regional Aggregate", _xlpm.r))</f>
        <v>Middle East &amp; North Africa</v>
      </c>
      <c r="G3780" s="4" t="str">
        <f>_xlfn.LET(_xlpm.ig, _xlfn.XLOOKUP(Clean_Data[[#This Row],[Country_Code]], Metadata_Country!$A:$A, Metadata_Country!$C:$C, "Unknown"), IF(OR(_xlpm.ig=0, _xlpm.ig=""), "Regional Aggregate", _xlpm.ig))</f>
        <v>Lower middle income</v>
      </c>
      <c r="H3780" s="4">
        <f>Clean_Data[[#This Row],[Exports_TIV]] - Clean_Data[[#This Row],[Imports_TIV]]</f>
        <v>-11000000</v>
      </c>
      <c r="I3780" s="4">
        <f>Clean_Data[[#This Row],[Exports_TIV]] + Clean_Data[[#This Row],[Imports_TIV]]</f>
        <v>11000000</v>
      </c>
    </row>
    <row r="3781" spans="1:9">
      <c r="A3781" s="4" t="s">
        <v>329</v>
      </c>
      <c r="B3781" s="4" t="s">
        <v>330</v>
      </c>
      <c r="C3781" s="5">
        <v>2001</v>
      </c>
      <c r="D3781" s="4">
        <v>0</v>
      </c>
      <c r="E3781" s="4">
        <v>153000000</v>
      </c>
      <c r="F3781" s="4" t="str">
        <f>_xlfn.LET(_xlpm.r, _xlfn.XLOOKUP(Clean_Data[[#This Row],[Country_Code]], Metadata_Country!$A:$A, Metadata_Country!$B:$B, "Unknown"), IF(OR(_xlpm.r=0, _xlpm.r=""), "Regional Aggregate", _xlpm.r))</f>
        <v>East Asia &amp; Pacific</v>
      </c>
      <c r="G3781" s="4" t="str">
        <f>_xlfn.LET(_xlpm.ig, _xlfn.XLOOKUP(Clean_Data[[#This Row],[Country_Code]], Metadata_Country!$A:$A, Metadata_Country!$C:$C, "Unknown"), IF(OR(_xlpm.ig=0, _xlpm.ig=""), "Regional Aggregate", _xlpm.ig))</f>
        <v>Lower middle income</v>
      </c>
      <c r="H3781" s="4">
        <f>Clean_Data[[#This Row],[Exports_TIV]] - Clean_Data[[#This Row],[Imports_TIV]]</f>
        <v>-153000000</v>
      </c>
      <c r="I3781" s="4">
        <f>Clean_Data[[#This Row],[Exports_TIV]] + Clean_Data[[#This Row],[Imports_TIV]]</f>
        <v>153000000</v>
      </c>
    </row>
    <row r="3782" spans="1:9">
      <c r="A3782" s="4" t="s">
        <v>351</v>
      </c>
      <c r="B3782" s="4" t="s">
        <v>352</v>
      </c>
      <c r="C3782" s="5">
        <v>2001</v>
      </c>
      <c r="D3782" s="4">
        <v>0</v>
      </c>
      <c r="E3782" s="4">
        <v>21000000</v>
      </c>
      <c r="F3782" s="4" t="str">
        <f>_xlfn.LET(_xlpm.r, _xlfn.XLOOKUP(Clean_Data[[#This Row],[Country_Code]], Metadata_Country!$A:$A, Metadata_Country!$B:$B, "Unknown"), IF(OR(_xlpm.r=0, _xlpm.r=""), "Regional Aggregate", _xlpm.r))</f>
        <v>Sub-Saharan Africa</v>
      </c>
      <c r="G3782" s="4" t="str">
        <f>_xlfn.LET(_xlpm.ig, _xlfn.XLOOKUP(Clean_Data[[#This Row],[Country_Code]], Metadata_Country!$A:$A, Metadata_Country!$C:$C, "Unknown"), IF(OR(_xlpm.ig=0, _xlpm.ig=""), "Regional Aggregate", _xlpm.ig))</f>
        <v>Lower middle income</v>
      </c>
      <c r="H3782" s="4">
        <f>Clean_Data[[#This Row],[Exports_TIV]] - Clean_Data[[#This Row],[Imports_TIV]]</f>
        <v>-21000000</v>
      </c>
      <c r="I3782" s="4">
        <f>Clean_Data[[#This Row],[Exports_TIV]] + Clean_Data[[#This Row],[Imports_TIV]]</f>
        <v>21000000</v>
      </c>
    </row>
    <row r="3783" spans="1:9">
      <c r="A3783" s="4" t="s">
        <v>365</v>
      </c>
      <c r="B3783" s="4" t="s">
        <v>366</v>
      </c>
      <c r="C3783" s="5">
        <v>2001</v>
      </c>
      <c r="D3783" s="4">
        <v>0</v>
      </c>
      <c r="E3783" s="4">
        <v>12000000</v>
      </c>
      <c r="F3783" s="4" t="str">
        <f>_xlfn.LET(_xlpm.r, _xlfn.XLOOKUP(Clean_Data[[#This Row],[Country_Code]], Metadata_Country!$A:$A, Metadata_Country!$B:$B, "Unknown"), IF(OR(_xlpm.r=0, _xlpm.r=""), "Regional Aggregate", _xlpm.r))</f>
        <v>South Asia</v>
      </c>
      <c r="G3783" s="4" t="str">
        <f>_xlfn.LET(_xlpm.ig, _xlfn.XLOOKUP(Clean_Data[[#This Row],[Country_Code]], Metadata_Country!$A:$A, Metadata_Country!$C:$C, "Unknown"), IF(OR(_xlpm.ig=0, _xlpm.ig=""), "Regional Aggregate", _xlpm.ig))</f>
        <v>Lower middle income</v>
      </c>
      <c r="H3783" s="4">
        <f>Clean_Data[[#This Row],[Exports_TIV]] - Clean_Data[[#This Row],[Imports_TIV]]</f>
        <v>-12000000</v>
      </c>
      <c r="I3783" s="4">
        <f>Clean_Data[[#This Row],[Exports_TIV]] + Clean_Data[[#This Row],[Imports_TIV]]</f>
        <v>12000000</v>
      </c>
    </row>
    <row r="3784" spans="1:9">
      <c r="A3784" s="4" t="s">
        <v>361</v>
      </c>
      <c r="B3784" s="4" t="s">
        <v>362</v>
      </c>
      <c r="C3784" s="5">
        <v>2001</v>
      </c>
      <c r="D3784" s="4">
        <v>199000000</v>
      </c>
      <c r="E3784" s="4">
        <v>164000000</v>
      </c>
      <c r="F3784" s="4" t="str">
        <f>_xlfn.LET(_xlpm.r, _xlfn.XLOOKUP(Clean_Data[[#This Row],[Country_Code]], Metadata_Country!$A:$A, Metadata_Country!$B:$B, "Unknown"), IF(OR(_xlpm.r=0, _xlpm.r=""), "Regional Aggregate", _xlpm.r))</f>
        <v>Europe &amp; Central Asia</v>
      </c>
      <c r="G3784" s="4" t="str">
        <f>_xlfn.LET(_xlpm.ig, _xlfn.XLOOKUP(Clean_Data[[#This Row],[Country_Code]], Metadata_Country!$A:$A, Metadata_Country!$C:$C, "Unknown"), IF(OR(_xlpm.ig=0, _xlpm.ig=""), "Regional Aggregate", _xlpm.ig))</f>
        <v>High income</v>
      </c>
      <c r="H3784" s="4">
        <f>Clean_Data[[#This Row],[Exports_TIV]] - Clean_Data[[#This Row],[Imports_TIV]]</f>
        <v>35000000</v>
      </c>
      <c r="I3784" s="4">
        <f>Clean_Data[[#This Row],[Exports_TIV]] + Clean_Data[[#This Row],[Imports_TIV]]</f>
        <v>363000000</v>
      </c>
    </row>
    <row r="3785" spans="1:9">
      <c r="A3785" s="4" t="s">
        <v>369</v>
      </c>
      <c r="B3785" s="4" t="s">
        <v>370</v>
      </c>
      <c r="C3785" s="5">
        <v>2001</v>
      </c>
      <c r="D3785" s="4">
        <v>0</v>
      </c>
      <c r="E3785" s="4">
        <v>45000000</v>
      </c>
      <c r="F3785" s="4" t="str">
        <f>_xlfn.LET(_xlpm.r, _xlfn.XLOOKUP(Clean_Data[[#This Row],[Country_Code]], Metadata_Country!$A:$A, Metadata_Country!$B:$B, "Unknown"), IF(OR(_xlpm.r=0, _xlpm.r=""), "Regional Aggregate", _xlpm.r))</f>
        <v>East Asia &amp; Pacific</v>
      </c>
      <c r="G3785" s="4" t="str">
        <f>_xlfn.LET(_xlpm.ig, _xlfn.XLOOKUP(Clean_Data[[#This Row],[Country_Code]], Metadata_Country!$A:$A, Metadata_Country!$C:$C, "Unknown"), IF(OR(_xlpm.ig=0, _xlpm.ig=""), "Regional Aggregate", _xlpm.ig))</f>
        <v>High income</v>
      </c>
      <c r="H3785" s="4">
        <f>Clean_Data[[#This Row],[Exports_TIV]] - Clean_Data[[#This Row],[Imports_TIV]]</f>
        <v>-45000000</v>
      </c>
      <c r="I3785" s="4">
        <f>Clean_Data[[#This Row],[Exports_TIV]] + Clean_Data[[#This Row],[Imports_TIV]]</f>
        <v>45000000</v>
      </c>
    </row>
    <row r="3786" spans="1:9">
      <c r="A3786" s="4" t="s">
        <v>357</v>
      </c>
      <c r="B3786" s="4" t="s">
        <v>358</v>
      </c>
      <c r="C3786" s="5">
        <v>2001</v>
      </c>
      <c r="D3786" s="4">
        <v>0</v>
      </c>
      <c r="E3786" s="4">
        <v>9000000</v>
      </c>
      <c r="F3786" s="4" t="str">
        <f>_xlfn.LET(_xlpm.r, _xlfn.XLOOKUP(Clean_Data[[#This Row],[Country_Code]], Metadata_Country!$A:$A, Metadata_Country!$B:$B, "Unknown"), IF(OR(_xlpm.r=0, _xlpm.r=""), "Regional Aggregate", _xlpm.r))</f>
        <v>Sub-Saharan Africa</v>
      </c>
      <c r="G3786" s="4" t="str">
        <f>_xlfn.LET(_xlpm.ig, _xlfn.XLOOKUP(Clean_Data[[#This Row],[Country_Code]], Metadata_Country!$A:$A, Metadata_Country!$C:$C, "Unknown"), IF(OR(_xlpm.ig=0, _xlpm.ig=""), "Regional Aggregate", _xlpm.ig))</f>
        <v>Lower middle income</v>
      </c>
      <c r="H3786" s="4">
        <f>Clean_Data[[#This Row],[Exports_TIV]] - Clean_Data[[#This Row],[Imports_TIV]]</f>
        <v>-9000000</v>
      </c>
      <c r="I3786" s="4">
        <f>Clean_Data[[#This Row],[Exports_TIV]] + Clean_Data[[#This Row],[Imports_TIV]]</f>
        <v>9000000</v>
      </c>
    </row>
    <row r="3787" spans="1:9">
      <c r="A3787" s="4" t="s">
        <v>349</v>
      </c>
      <c r="B3787" s="4" t="s">
        <v>350</v>
      </c>
      <c r="C3787" s="5">
        <v>2001</v>
      </c>
      <c r="D3787" s="4">
        <v>5715000000</v>
      </c>
      <c r="E3787" s="4">
        <v>1028000000</v>
      </c>
      <c r="F3787" s="4" t="str">
        <f>_xlfn.LET(_xlpm.r, _xlfn.XLOOKUP(Clean_Data[[#This Row],[Country_Code]], Metadata_Country!$A:$A, Metadata_Country!$B:$B, "Unknown"), IF(OR(_xlpm.r=0, _xlpm.r=""), "Regional Aggregate", _xlpm.r))</f>
        <v>Regional Aggregate</v>
      </c>
      <c r="G3787" s="4" t="str">
        <f>_xlfn.LET(_xlpm.ig, _xlfn.XLOOKUP(Clean_Data[[#This Row],[Country_Code]], Metadata_Country!$A:$A, Metadata_Country!$C:$C, "Unknown"), IF(OR(_xlpm.ig=0, _xlpm.ig=""), "Regional Aggregate", _xlpm.ig))</f>
        <v>Regional Aggregate</v>
      </c>
      <c r="H3787" s="4">
        <f>Clean_Data[[#This Row],[Exports_TIV]] - Clean_Data[[#This Row],[Imports_TIV]]</f>
        <v>4687000000</v>
      </c>
      <c r="I3787" s="4">
        <f>Clean_Data[[#This Row],[Exports_TIV]] + Clean_Data[[#This Row],[Imports_TIV]]</f>
        <v>6743000000</v>
      </c>
    </row>
    <row r="3788" spans="1:9">
      <c r="A3788" s="4" t="s">
        <v>323</v>
      </c>
      <c r="B3788" s="4" t="s">
        <v>324</v>
      </c>
      <c r="C3788" s="5">
        <v>2001</v>
      </c>
      <c r="D3788" s="4">
        <v>0</v>
      </c>
      <c r="E3788" s="4">
        <v>118000000</v>
      </c>
      <c r="F3788" s="4" t="str">
        <f>_xlfn.LET(_xlpm.r, _xlfn.XLOOKUP(Clean_Data[[#This Row],[Country_Code]], Metadata_Country!$A:$A, Metadata_Country!$B:$B, "Unknown"), IF(OR(_xlpm.r=0, _xlpm.r=""), "Regional Aggregate", _xlpm.r))</f>
        <v>Europe &amp; Central Asia</v>
      </c>
      <c r="G3788" s="4" t="str">
        <f>_xlfn.LET(_xlpm.ig, _xlfn.XLOOKUP(Clean_Data[[#This Row],[Country_Code]], Metadata_Country!$A:$A, Metadata_Country!$C:$C, "Unknown"), IF(OR(_xlpm.ig=0, _xlpm.ig=""), "Regional Aggregate", _xlpm.ig))</f>
        <v>Upper middle income</v>
      </c>
      <c r="H3788" s="4">
        <f>Clean_Data[[#This Row],[Exports_TIV]] - Clean_Data[[#This Row],[Imports_TIV]]</f>
        <v>-118000000</v>
      </c>
      <c r="I3788" s="4">
        <f>Clean_Data[[#This Row],[Exports_TIV]] + Clean_Data[[#This Row],[Imports_TIV]]</f>
        <v>118000000</v>
      </c>
    </row>
    <row r="3789" spans="1:9">
      <c r="A3789" s="4" t="s">
        <v>363</v>
      </c>
      <c r="B3789" s="4" t="s">
        <v>364</v>
      </c>
      <c r="C3789" s="5">
        <v>2001</v>
      </c>
      <c r="D3789" s="4">
        <v>31000000</v>
      </c>
      <c r="E3789" s="4">
        <v>99000000</v>
      </c>
      <c r="F3789" s="4" t="str">
        <f>_xlfn.LET(_xlpm.r, _xlfn.XLOOKUP(Clean_Data[[#This Row],[Country_Code]], Metadata_Country!$A:$A, Metadata_Country!$B:$B, "Unknown"), IF(OR(_xlpm.r=0, _xlpm.r=""), "Regional Aggregate", _xlpm.r))</f>
        <v>Europe &amp; Central Asia</v>
      </c>
      <c r="G3789" s="4" t="str">
        <f>_xlfn.LET(_xlpm.ig, _xlfn.XLOOKUP(Clean_Data[[#This Row],[Country_Code]], Metadata_Country!$A:$A, Metadata_Country!$C:$C, "Unknown"), IF(OR(_xlpm.ig=0, _xlpm.ig=""), "Regional Aggregate", _xlpm.ig))</f>
        <v>High income</v>
      </c>
      <c r="H3789" s="4">
        <f>Clean_Data[[#This Row],[Exports_TIV]] - Clean_Data[[#This Row],[Imports_TIV]]</f>
        <v>-68000000</v>
      </c>
      <c r="I3789" s="4">
        <f>Clean_Data[[#This Row],[Exports_TIV]] + Clean_Data[[#This Row],[Imports_TIV]]</f>
        <v>130000000</v>
      </c>
    </row>
    <row r="3790" spans="1:9">
      <c r="A3790" s="4" t="s">
        <v>371</v>
      </c>
      <c r="B3790" s="4" t="s">
        <v>372</v>
      </c>
      <c r="C3790" s="5">
        <v>2001</v>
      </c>
      <c r="D3790" s="4">
        <v>11899000000</v>
      </c>
      <c r="E3790" s="4">
        <v>8148000000</v>
      </c>
      <c r="F3790" s="4" t="str">
        <f>_xlfn.LET(_xlpm.r, _xlfn.XLOOKUP(Clean_Data[[#This Row],[Country_Code]], Metadata_Country!$A:$A, Metadata_Country!$B:$B, "Unknown"), IF(OR(_xlpm.r=0, _xlpm.r=""), "Regional Aggregate", _xlpm.r))</f>
        <v>Regional Aggregate</v>
      </c>
      <c r="G3790" s="4" t="str">
        <f>_xlfn.LET(_xlpm.ig, _xlfn.XLOOKUP(Clean_Data[[#This Row],[Country_Code]], Metadata_Country!$A:$A, Metadata_Country!$C:$C, "Unknown"), IF(OR(_xlpm.ig=0, _xlpm.ig=""), "Regional Aggregate", _xlpm.ig))</f>
        <v>Regional Aggregate</v>
      </c>
      <c r="H3790" s="4">
        <f>Clean_Data[[#This Row],[Exports_TIV]] - Clean_Data[[#This Row],[Imports_TIV]]</f>
        <v>3751000000</v>
      </c>
      <c r="I3790" s="4">
        <f>Clean_Data[[#This Row],[Exports_TIV]] + Clean_Data[[#This Row],[Imports_TIV]]</f>
        <v>20047000000</v>
      </c>
    </row>
    <row r="3791" spans="1:9">
      <c r="A3791" s="4" t="s">
        <v>373</v>
      </c>
      <c r="B3791" s="4" t="s">
        <v>374</v>
      </c>
      <c r="C3791" s="5">
        <v>2001</v>
      </c>
      <c r="D3791" s="4">
        <v>0</v>
      </c>
      <c r="E3791" s="4">
        <v>32000000</v>
      </c>
      <c r="F3791" s="4" t="str">
        <f>_xlfn.LET(_xlpm.r, _xlfn.XLOOKUP(Clean_Data[[#This Row],[Country_Code]], Metadata_Country!$A:$A, Metadata_Country!$B:$B, "Unknown"), IF(OR(_xlpm.r=0, _xlpm.r=""), "Regional Aggregate", _xlpm.r))</f>
        <v>Middle East &amp; North Africa</v>
      </c>
      <c r="G3791" s="4" t="str">
        <f>_xlfn.LET(_xlpm.ig, _xlfn.XLOOKUP(Clean_Data[[#This Row],[Country_Code]], Metadata_Country!$A:$A, Metadata_Country!$C:$C, "Unknown"), IF(OR(_xlpm.ig=0, _xlpm.ig=""), "Regional Aggregate", _xlpm.ig))</f>
        <v>High income</v>
      </c>
      <c r="H3791" s="4">
        <f>Clean_Data[[#This Row],[Exports_TIV]] - Clean_Data[[#This Row],[Imports_TIV]]</f>
        <v>-32000000</v>
      </c>
      <c r="I3791" s="4">
        <f>Clean_Data[[#This Row],[Exports_TIV]] + Clean_Data[[#This Row],[Imports_TIV]]</f>
        <v>32000000</v>
      </c>
    </row>
    <row r="3792" spans="1:9">
      <c r="A3792" s="4" t="s">
        <v>377</v>
      </c>
      <c r="B3792" s="4" t="s">
        <v>378</v>
      </c>
      <c r="C3792" s="5">
        <v>2001</v>
      </c>
      <c r="D3792" s="4">
        <v>0</v>
      </c>
      <c r="E3792" s="4">
        <v>412000000</v>
      </c>
      <c r="F3792" s="4" t="str">
        <f>_xlfn.LET(_xlpm.r, _xlfn.XLOOKUP(Clean_Data[[#This Row],[Country_Code]], Metadata_Country!$A:$A, Metadata_Country!$B:$B, "Unknown"), IF(OR(_xlpm.r=0, _xlpm.r=""), "Regional Aggregate", _xlpm.r))</f>
        <v>Middle East &amp; North Africa</v>
      </c>
      <c r="G3792" s="4" t="str">
        <f>_xlfn.LET(_xlpm.ig, _xlfn.XLOOKUP(Clean_Data[[#This Row],[Country_Code]], Metadata_Country!$A:$A, Metadata_Country!$C:$C, "Unknown"), IF(OR(_xlpm.ig=0, _xlpm.ig=""), "Regional Aggregate", _xlpm.ig))</f>
        <v>Lower middle income</v>
      </c>
      <c r="H3792" s="4">
        <f>Clean_Data[[#This Row],[Exports_TIV]] - Clean_Data[[#This Row],[Imports_TIV]]</f>
        <v>-412000000</v>
      </c>
      <c r="I3792" s="4">
        <f>Clean_Data[[#This Row],[Exports_TIV]] + Clean_Data[[#This Row],[Imports_TIV]]</f>
        <v>412000000</v>
      </c>
    </row>
    <row r="3793" spans="1:9">
      <c r="A3793" s="4" t="s">
        <v>399</v>
      </c>
      <c r="B3793" s="4" t="s">
        <v>400</v>
      </c>
      <c r="C3793" s="5">
        <v>2001</v>
      </c>
      <c r="D3793" s="4">
        <v>0</v>
      </c>
      <c r="E3793" s="4">
        <v>6000000</v>
      </c>
      <c r="F3793" s="4" t="str">
        <f>_xlfn.LET(_xlpm.r, _xlfn.XLOOKUP(Clean_Data[[#This Row],[Country_Code]], Metadata_Country!$A:$A, Metadata_Country!$B:$B, "Unknown"), IF(OR(_xlpm.r=0, _xlpm.r=""), "Regional Aggregate", _xlpm.r))</f>
        <v>Latin America &amp; Caribbean</v>
      </c>
      <c r="G3793" s="4" t="str">
        <f>_xlfn.LET(_xlpm.ig, _xlfn.XLOOKUP(Clean_Data[[#This Row],[Country_Code]], Metadata_Country!$A:$A, Metadata_Country!$C:$C, "Unknown"), IF(OR(_xlpm.ig=0, _xlpm.ig=""), "Regional Aggregate", _xlpm.ig))</f>
        <v>Upper middle income</v>
      </c>
      <c r="H3793" s="4">
        <f>Clean_Data[[#This Row],[Exports_TIV]] - Clean_Data[[#This Row],[Imports_TIV]]</f>
        <v>-6000000</v>
      </c>
      <c r="I3793" s="4">
        <f>Clean_Data[[#This Row],[Exports_TIV]] + Clean_Data[[#This Row],[Imports_TIV]]</f>
        <v>6000000</v>
      </c>
    </row>
    <row r="3794" spans="1:9">
      <c r="A3794" s="4" t="s">
        <v>381</v>
      </c>
      <c r="B3794" s="4" t="s">
        <v>382</v>
      </c>
      <c r="C3794" s="5">
        <v>2001</v>
      </c>
      <c r="D3794" s="4">
        <v>14000000</v>
      </c>
      <c r="E3794" s="4">
        <v>10000000</v>
      </c>
      <c r="F3794" s="4" t="str">
        <f>_xlfn.LET(_xlpm.r, _xlfn.XLOOKUP(Clean_Data[[#This Row],[Country_Code]], Metadata_Country!$A:$A, Metadata_Country!$B:$B, "Unknown"), IF(OR(_xlpm.r=0, _xlpm.r=""), "Regional Aggregate", _xlpm.r))</f>
        <v>Latin America &amp; Caribbean</v>
      </c>
      <c r="G3794" s="4" t="str">
        <f>_xlfn.LET(_xlpm.ig, _xlfn.XLOOKUP(Clean_Data[[#This Row],[Country_Code]], Metadata_Country!$A:$A, Metadata_Country!$C:$C, "Unknown"), IF(OR(_xlpm.ig=0, _xlpm.ig=""), "Regional Aggregate", _xlpm.ig))</f>
        <v>Upper middle income</v>
      </c>
      <c r="H3794" s="4">
        <f>Clean_Data[[#This Row],[Exports_TIV]] - Clean_Data[[#This Row],[Imports_TIV]]</f>
        <v>4000000</v>
      </c>
      <c r="I3794" s="4">
        <f>Clean_Data[[#This Row],[Exports_TIV]] + Clean_Data[[#This Row],[Imports_TIV]]</f>
        <v>24000000</v>
      </c>
    </row>
    <row r="3795" spans="1:9">
      <c r="A3795" s="4" t="s">
        <v>383</v>
      </c>
      <c r="B3795" s="4" t="s">
        <v>384</v>
      </c>
      <c r="C3795" s="5">
        <v>2001</v>
      </c>
      <c r="D3795" s="4">
        <v>0</v>
      </c>
      <c r="E3795" s="4">
        <v>10000000</v>
      </c>
      <c r="F3795" s="4" t="str">
        <f>_xlfn.LET(_xlpm.r, _xlfn.XLOOKUP(Clean_Data[[#This Row],[Country_Code]], Metadata_Country!$A:$A, Metadata_Country!$B:$B, "Unknown"), IF(OR(_xlpm.r=0, _xlpm.r=""), "Regional Aggregate", _xlpm.r))</f>
        <v>East Asia &amp; Pacific</v>
      </c>
      <c r="G3795" s="4" t="str">
        <f>_xlfn.LET(_xlpm.ig, _xlfn.XLOOKUP(Clean_Data[[#This Row],[Country_Code]], Metadata_Country!$A:$A, Metadata_Country!$C:$C, "Unknown"), IF(OR(_xlpm.ig=0, _xlpm.ig=""), "Regional Aggregate", _xlpm.ig))</f>
        <v>Upper middle income</v>
      </c>
      <c r="H3795" s="4">
        <f>Clean_Data[[#This Row],[Exports_TIV]] - Clean_Data[[#This Row],[Imports_TIV]]</f>
        <v>-10000000</v>
      </c>
      <c r="I3795" s="4">
        <f>Clean_Data[[#This Row],[Exports_TIV]] + Clean_Data[[#This Row],[Imports_TIV]]</f>
        <v>10000000</v>
      </c>
    </row>
    <row r="3796" spans="1:9">
      <c r="A3796" s="4" t="s">
        <v>389</v>
      </c>
      <c r="B3796" s="4" t="s">
        <v>390</v>
      </c>
      <c r="C3796" s="5">
        <v>2001</v>
      </c>
      <c r="D3796" s="4">
        <v>81000000</v>
      </c>
      <c r="E3796" s="4">
        <v>31000000</v>
      </c>
      <c r="F3796" s="4" t="str">
        <f>_xlfn.LET(_xlpm.r, _xlfn.XLOOKUP(Clean_Data[[#This Row],[Country_Code]], Metadata_Country!$A:$A, Metadata_Country!$B:$B, "Unknown"), IF(OR(_xlpm.r=0, _xlpm.r=""), "Regional Aggregate", _xlpm.r))</f>
        <v>Europe &amp; Central Asia</v>
      </c>
      <c r="G3796" s="4" t="str">
        <f>_xlfn.LET(_xlpm.ig, _xlfn.XLOOKUP(Clean_Data[[#This Row],[Country_Code]], Metadata_Country!$A:$A, Metadata_Country!$C:$C, "Unknown"), IF(OR(_xlpm.ig=0, _xlpm.ig=""), "Regional Aggregate", _xlpm.ig))</f>
        <v>High income</v>
      </c>
      <c r="H3796" s="4">
        <f>Clean_Data[[#This Row],[Exports_TIV]] - Clean_Data[[#This Row],[Imports_TIV]]</f>
        <v>50000000</v>
      </c>
      <c r="I3796" s="4">
        <f>Clean_Data[[#This Row],[Exports_TIV]] + Clean_Data[[#This Row],[Imports_TIV]]</f>
        <v>112000000</v>
      </c>
    </row>
    <row r="3797" spans="1:9">
      <c r="A3797" s="4" t="s">
        <v>397</v>
      </c>
      <c r="B3797" s="4" t="s">
        <v>398</v>
      </c>
      <c r="C3797" s="5">
        <v>2001</v>
      </c>
      <c r="D3797" s="4">
        <v>0</v>
      </c>
      <c r="E3797" s="4">
        <v>18000000</v>
      </c>
      <c r="F3797" s="4" t="str">
        <f>_xlfn.LET(_xlpm.r, _xlfn.XLOOKUP(Clean_Data[[#This Row],[Country_Code]], Metadata_Country!$A:$A, Metadata_Country!$B:$B, "Unknown"), IF(OR(_xlpm.r=0, _xlpm.r=""), "Regional Aggregate", _xlpm.r))</f>
        <v>Europe &amp; Central Asia</v>
      </c>
      <c r="G3797" s="4" t="str">
        <f>_xlfn.LET(_xlpm.ig, _xlfn.XLOOKUP(Clean_Data[[#This Row],[Country_Code]], Metadata_Country!$A:$A, Metadata_Country!$C:$C, "Unknown"), IF(OR(_xlpm.ig=0, _xlpm.ig=""), "Regional Aggregate", _xlpm.ig))</f>
        <v>High income</v>
      </c>
      <c r="H3797" s="4">
        <f>Clean_Data[[#This Row],[Exports_TIV]] - Clean_Data[[#This Row],[Imports_TIV]]</f>
        <v>-18000000</v>
      </c>
      <c r="I3797" s="4">
        <f>Clean_Data[[#This Row],[Exports_TIV]] + Clean_Data[[#This Row],[Imports_TIV]]</f>
        <v>18000000</v>
      </c>
    </row>
    <row r="3798" spans="1:9">
      <c r="A3798" s="4" t="s">
        <v>405</v>
      </c>
      <c r="B3798" s="4" t="s">
        <v>406</v>
      </c>
      <c r="C3798" s="5">
        <v>2001</v>
      </c>
      <c r="D3798" s="4">
        <v>11906000000</v>
      </c>
      <c r="E3798" s="4">
        <v>7268000000</v>
      </c>
      <c r="F3798" s="4" t="str">
        <f>_xlfn.LET(_xlpm.r, _xlfn.XLOOKUP(Clean_Data[[#This Row],[Country_Code]], Metadata_Country!$A:$A, Metadata_Country!$B:$B, "Unknown"), IF(OR(_xlpm.r=0, _xlpm.r=""), "Regional Aggregate", _xlpm.r))</f>
        <v>Regional Aggregate</v>
      </c>
      <c r="G3798" s="4" t="str">
        <f>_xlfn.LET(_xlpm.ig, _xlfn.XLOOKUP(Clean_Data[[#This Row],[Country_Code]], Metadata_Country!$A:$A, Metadata_Country!$C:$C, "Unknown"), IF(OR(_xlpm.ig=0, _xlpm.ig=""), "Regional Aggregate", _xlpm.ig))</f>
        <v>Regional Aggregate</v>
      </c>
      <c r="H3798" s="4">
        <f>Clean_Data[[#This Row],[Exports_TIV]] - Clean_Data[[#This Row],[Imports_TIV]]</f>
        <v>4638000000</v>
      </c>
      <c r="I3798" s="4">
        <f>Clean_Data[[#This Row],[Exports_TIV]] + Clean_Data[[#This Row],[Imports_TIV]]</f>
        <v>19174000000</v>
      </c>
    </row>
    <row r="3799" spans="1:9">
      <c r="A3799" s="4" t="s">
        <v>411</v>
      </c>
      <c r="B3799" s="4" t="s">
        <v>412</v>
      </c>
      <c r="C3799" s="5">
        <v>2001</v>
      </c>
      <c r="D3799" s="4">
        <v>0</v>
      </c>
      <c r="E3799" s="4">
        <v>24000000</v>
      </c>
      <c r="F3799" s="4" t="str">
        <f>_xlfn.LET(_xlpm.r, _xlfn.XLOOKUP(Clean_Data[[#This Row],[Country_Code]], Metadata_Country!$A:$A, Metadata_Country!$B:$B, "Unknown"), IF(OR(_xlpm.r=0, _xlpm.r=""), "Regional Aggregate", _xlpm.r))</f>
        <v>Europe &amp; Central Asia</v>
      </c>
      <c r="G3799" s="4" t="str">
        <f>_xlfn.LET(_xlpm.ig, _xlfn.XLOOKUP(Clean_Data[[#This Row],[Country_Code]], Metadata_Country!$A:$A, Metadata_Country!$C:$C, "Unknown"), IF(OR(_xlpm.ig=0, _xlpm.ig=""), "Regional Aggregate", _xlpm.ig))</f>
        <v>High income</v>
      </c>
      <c r="H3799" s="4">
        <f>Clean_Data[[#This Row],[Exports_TIV]] - Clean_Data[[#This Row],[Imports_TIV]]</f>
        <v>-24000000</v>
      </c>
      <c r="I3799" s="4">
        <f>Clean_Data[[#This Row],[Exports_TIV]] + Clean_Data[[#This Row],[Imports_TIV]]</f>
        <v>24000000</v>
      </c>
    </row>
    <row r="3800" spans="1:9">
      <c r="A3800" s="4" t="s">
        <v>413</v>
      </c>
      <c r="B3800" s="4" t="s">
        <v>414</v>
      </c>
      <c r="C3800" s="5">
        <v>2001</v>
      </c>
      <c r="D3800" s="4">
        <v>5250000000</v>
      </c>
      <c r="E3800" s="4">
        <v>2000000</v>
      </c>
      <c r="F3800" s="4" t="str">
        <f>_xlfn.LET(_xlpm.r, _xlfn.XLOOKUP(Clean_Data[[#This Row],[Country_Code]], Metadata_Country!$A:$A, Metadata_Country!$B:$B, "Unknown"), IF(OR(_xlpm.r=0, _xlpm.r=""), "Regional Aggregate", _xlpm.r))</f>
        <v>Europe &amp; Central Asia</v>
      </c>
      <c r="G3800" s="4" t="str">
        <f>_xlfn.LET(_xlpm.ig, _xlfn.XLOOKUP(Clean_Data[[#This Row],[Country_Code]], Metadata_Country!$A:$A, Metadata_Country!$C:$C, "Unknown"), IF(OR(_xlpm.ig=0, _xlpm.ig=""), "Regional Aggregate", _xlpm.ig))</f>
        <v>High income</v>
      </c>
      <c r="H3800" s="4">
        <f>Clean_Data[[#This Row],[Exports_TIV]] - Clean_Data[[#This Row],[Imports_TIV]]</f>
        <v>5248000000</v>
      </c>
      <c r="I3800" s="4">
        <f>Clean_Data[[#This Row],[Exports_TIV]] + Clean_Data[[#This Row],[Imports_TIV]]</f>
        <v>5252000000</v>
      </c>
    </row>
    <row r="3801" spans="1:9">
      <c r="A3801" s="4" t="s">
        <v>419</v>
      </c>
      <c r="B3801" s="4" t="s">
        <v>420</v>
      </c>
      <c r="C3801" s="5">
        <v>2001</v>
      </c>
      <c r="D3801" s="4">
        <v>0</v>
      </c>
      <c r="E3801" s="4">
        <v>59000000</v>
      </c>
      <c r="F3801" s="4" t="str">
        <f>_xlfn.LET(_xlpm.r, _xlfn.XLOOKUP(Clean_Data[[#This Row],[Country_Code]], Metadata_Country!$A:$A, Metadata_Country!$B:$B, "Unknown"), IF(OR(_xlpm.r=0, _xlpm.r=""), "Regional Aggregate", _xlpm.r))</f>
        <v>Middle East &amp; North Africa</v>
      </c>
      <c r="G3801" s="4" t="str">
        <f>_xlfn.LET(_xlpm.ig, _xlfn.XLOOKUP(Clean_Data[[#This Row],[Country_Code]], Metadata_Country!$A:$A, Metadata_Country!$C:$C, "Unknown"), IF(OR(_xlpm.ig=0, _xlpm.ig=""), "Regional Aggregate", _xlpm.ig))</f>
        <v>High income</v>
      </c>
      <c r="H3801" s="4">
        <f>Clean_Data[[#This Row],[Exports_TIV]] - Clean_Data[[#This Row],[Imports_TIV]]</f>
        <v>-59000000</v>
      </c>
      <c r="I3801" s="4">
        <f>Clean_Data[[#This Row],[Exports_TIV]] + Clean_Data[[#This Row],[Imports_TIV]]</f>
        <v>59000000</v>
      </c>
    </row>
    <row r="3802" spans="1:9">
      <c r="A3802" s="4" t="s">
        <v>437</v>
      </c>
      <c r="B3802" s="4" t="s">
        <v>438</v>
      </c>
      <c r="C3802" s="5">
        <v>2001</v>
      </c>
      <c r="D3802" s="4">
        <v>20000000</v>
      </c>
      <c r="E3802" s="4">
        <v>27000000</v>
      </c>
      <c r="F3802" s="4" t="str">
        <f>_xlfn.LET(_xlpm.r, _xlfn.XLOOKUP(Clean_Data[[#This Row],[Country_Code]], Metadata_Country!$A:$A, Metadata_Country!$B:$B, "Unknown"), IF(OR(_xlpm.r=0, _xlpm.r=""), "Regional Aggregate", _xlpm.r))</f>
        <v>Europe &amp; Central Asia</v>
      </c>
      <c r="G3802" s="4" t="str">
        <f>_xlfn.LET(_xlpm.ig, _xlfn.XLOOKUP(Clean_Data[[#This Row],[Country_Code]], Metadata_Country!$A:$A, Metadata_Country!$C:$C, "Unknown"), IF(OR(_xlpm.ig=0, _xlpm.ig=""), "Regional Aggregate", _xlpm.ig))</f>
        <v>Upper middle income</v>
      </c>
      <c r="H3802" s="4">
        <f>Clean_Data[[#This Row],[Exports_TIV]] - Clean_Data[[#This Row],[Imports_TIV]]</f>
        <v>-7000000</v>
      </c>
      <c r="I3802" s="4">
        <f>Clean_Data[[#This Row],[Exports_TIV]] + Clean_Data[[#This Row],[Imports_TIV]]</f>
        <v>47000000</v>
      </c>
    </row>
    <row r="3803" spans="1:9">
      <c r="A3803" s="4" t="s">
        <v>425</v>
      </c>
      <c r="B3803" s="4" t="s">
        <v>426</v>
      </c>
      <c r="C3803" s="5">
        <v>2001</v>
      </c>
      <c r="D3803" s="4">
        <v>0</v>
      </c>
      <c r="E3803" s="4">
        <v>246000000</v>
      </c>
      <c r="F3803" s="4" t="str">
        <f>_xlfn.LET(_xlpm.r, _xlfn.XLOOKUP(Clean_Data[[#This Row],[Country_Code]], Metadata_Country!$A:$A, Metadata_Country!$B:$B, "Unknown"), IF(OR(_xlpm.r=0, _xlpm.r=""), "Regional Aggregate", _xlpm.r))</f>
        <v>East Asia &amp; Pacific</v>
      </c>
      <c r="G3803" s="4" t="str">
        <f>_xlfn.LET(_xlpm.ig, _xlfn.XLOOKUP(Clean_Data[[#This Row],[Country_Code]], Metadata_Country!$A:$A, Metadata_Country!$C:$C, "Unknown"), IF(OR(_xlpm.ig=0, _xlpm.ig=""), "Regional Aggregate", _xlpm.ig))</f>
        <v>High income</v>
      </c>
      <c r="H3803" s="4">
        <f>Clean_Data[[#This Row],[Exports_TIV]] - Clean_Data[[#This Row],[Imports_TIV]]</f>
        <v>-246000000</v>
      </c>
      <c r="I3803" s="4">
        <f>Clean_Data[[#This Row],[Exports_TIV]] + Clean_Data[[#This Row],[Imports_TIV]]</f>
        <v>246000000</v>
      </c>
    </row>
    <row r="3804" spans="1:9">
      <c r="A3804" s="4" t="s">
        <v>451</v>
      </c>
      <c r="B3804" s="4" t="s">
        <v>452</v>
      </c>
      <c r="C3804" s="5">
        <v>2001</v>
      </c>
      <c r="D3804" s="4">
        <v>54000000</v>
      </c>
      <c r="E3804" s="4">
        <v>0</v>
      </c>
      <c r="F3804" s="4" t="str">
        <f>_xlfn.LET(_xlpm.r, _xlfn.XLOOKUP(Clean_Data[[#This Row],[Country_Code]], Metadata_Country!$A:$A, Metadata_Country!$B:$B, "Unknown"), IF(OR(_xlpm.r=0, _xlpm.r=""), "Regional Aggregate", _xlpm.r))</f>
        <v>Europe &amp; Central Asia</v>
      </c>
      <c r="G3804" s="4" t="str">
        <f>_xlfn.LET(_xlpm.ig, _xlfn.XLOOKUP(Clean_Data[[#This Row],[Country_Code]], Metadata_Country!$A:$A, Metadata_Country!$C:$C, "Unknown"), IF(OR(_xlpm.ig=0, _xlpm.ig=""), "Regional Aggregate", _xlpm.ig))</f>
        <v>High income</v>
      </c>
      <c r="H3804" s="4">
        <f>Clean_Data[[#This Row],[Exports_TIV]] - Clean_Data[[#This Row],[Imports_TIV]]</f>
        <v>54000000</v>
      </c>
      <c r="I3804" s="4">
        <f>Clean_Data[[#This Row],[Exports_TIV]] + Clean_Data[[#This Row],[Imports_TIV]]</f>
        <v>54000000</v>
      </c>
    </row>
    <row r="3805" spans="1:9">
      <c r="A3805" s="4" t="s">
        <v>453</v>
      </c>
      <c r="B3805" s="4" t="s">
        <v>454</v>
      </c>
      <c r="C3805" s="5">
        <v>2001</v>
      </c>
      <c r="D3805" s="4">
        <v>0</v>
      </c>
      <c r="E3805" s="4">
        <v>41000000</v>
      </c>
      <c r="F3805" s="4" t="str">
        <f>_xlfn.LET(_xlpm.r, _xlfn.XLOOKUP(Clean_Data[[#This Row],[Country_Code]], Metadata_Country!$A:$A, Metadata_Country!$B:$B, "Unknown"), IF(OR(_xlpm.r=0, _xlpm.r=""), "Regional Aggregate", _xlpm.r))</f>
        <v>Europe &amp; Central Asia</v>
      </c>
      <c r="G3805" s="4" t="str">
        <f>_xlfn.LET(_xlpm.ig, _xlfn.XLOOKUP(Clean_Data[[#This Row],[Country_Code]], Metadata_Country!$A:$A, Metadata_Country!$C:$C, "Unknown"), IF(OR(_xlpm.ig=0, _xlpm.ig=""), "Regional Aggregate", _xlpm.ig))</f>
        <v>High income</v>
      </c>
      <c r="H3805" s="4">
        <f>Clean_Data[[#This Row],[Exports_TIV]] - Clean_Data[[#This Row],[Imports_TIV]]</f>
        <v>-41000000</v>
      </c>
      <c r="I3805" s="4">
        <f>Clean_Data[[#This Row],[Exports_TIV]] + Clean_Data[[#This Row],[Imports_TIV]]</f>
        <v>41000000</v>
      </c>
    </row>
    <row r="3806" spans="1:9">
      <c r="A3806" s="4" t="s">
        <v>535</v>
      </c>
      <c r="B3806" s="4" t="s">
        <v>536</v>
      </c>
      <c r="C3806" s="5">
        <v>2001</v>
      </c>
      <c r="D3806" s="4">
        <v>32000000</v>
      </c>
      <c r="E3806" s="4">
        <v>18000000</v>
      </c>
      <c r="F3806" s="4" t="str">
        <f>_xlfn.LET(_xlpm.r, _xlfn.XLOOKUP(Clean_Data[[#This Row],[Country_Code]], Metadata_Country!$A:$A, Metadata_Country!$B:$B, "Unknown"), IF(OR(_xlpm.r=0, _xlpm.r=""), "Regional Aggregate", _xlpm.r))</f>
        <v>Sub-Saharan Africa</v>
      </c>
      <c r="G3806" s="4" t="str">
        <f>_xlfn.LET(_xlpm.ig, _xlfn.XLOOKUP(Clean_Data[[#This Row],[Country_Code]], Metadata_Country!$A:$A, Metadata_Country!$C:$C, "Unknown"), IF(OR(_xlpm.ig=0, _xlpm.ig=""), "Regional Aggregate", _xlpm.ig))</f>
        <v>Upper middle income</v>
      </c>
      <c r="H3806" s="4">
        <f>Clean_Data[[#This Row],[Exports_TIV]] - Clean_Data[[#This Row],[Imports_TIV]]</f>
        <v>14000000</v>
      </c>
      <c r="I3806" s="4">
        <f>Clean_Data[[#This Row],[Exports_TIV]] + Clean_Data[[#This Row],[Imports_TIV]]</f>
        <v>50000000</v>
      </c>
    </row>
    <row r="3807" spans="1:9">
      <c r="A3807" s="4" t="s">
        <v>417</v>
      </c>
      <c r="B3807" s="4" t="s">
        <v>418</v>
      </c>
      <c r="C3807" s="5">
        <v>2001</v>
      </c>
      <c r="D3807" s="4">
        <v>2000000</v>
      </c>
      <c r="E3807" s="4">
        <v>1490000000</v>
      </c>
      <c r="F3807" s="4" t="str">
        <f>_xlfn.LET(_xlpm.r, _xlfn.XLOOKUP(Clean_Data[[#This Row],[Country_Code]], Metadata_Country!$A:$A, Metadata_Country!$B:$B, "Unknown"), IF(OR(_xlpm.r=0, _xlpm.r=""), "Regional Aggregate", _xlpm.r))</f>
        <v>Regional Aggregate</v>
      </c>
      <c r="G3807" s="4" t="str">
        <f>_xlfn.LET(_xlpm.ig, _xlfn.XLOOKUP(Clean_Data[[#This Row],[Country_Code]], Metadata_Country!$A:$A, Metadata_Country!$C:$C, "Unknown"), IF(OR(_xlpm.ig=0, _xlpm.ig=""), "Regional Aggregate", _xlpm.ig))</f>
        <v>Regional Aggregate</v>
      </c>
      <c r="H3807" s="4">
        <f>Clean_Data[[#This Row],[Exports_TIV]] - Clean_Data[[#This Row],[Imports_TIV]]</f>
        <v>-1488000000</v>
      </c>
      <c r="I3807" s="4">
        <f>Clean_Data[[#This Row],[Exports_TIV]] + Clean_Data[[#This Row],[Imports_TIV]]</f>
        <v>1492000000</v>
      </c>
    </row>
    <row r="3808" spans="1:9">
      <c r="A3808" s="4" t="s">
        <v>489</v>
      </c>
      <c r="B3808" s="4" t="s">
        <v>490</v>
      </c>
      <c r="C3808" s="5">
        <v>2001</v>
      </c>
      <c r="D3808" s="4">
        <v>2000000</v>
      </c>
      <c r="E3808" s="4">
        <v>1490000000</v>
      </c>
      <c r="F3808" s="4" t="str">
        <f>_xlfn.LET(_xlpm.r, _xlfn.XLOOKUP(Clean_Data[[#This Row],[Country_Code]], Metadata_Country!$A:$A, Metadata_Country!$B:$B, "Unknown"), IF(OR(_xlpm.r=0, _xlpm.r=""), "Regional Aggregate", _xlpm.r))</f>
        <v>Regional Aggregate</v>
      </c>
      <c r="G3808" s="4" t="str">
        <f>_xlfn.LET(_xlpm.ig, _xlfn.XLOOKUP(Clean_Data[[#This Row],[Country_Code]], Metadata_Country!$A:$A, Metadata_Country!$C:$C, "Unknown"), IF(OR(_xlpm.ig=0, _xlpm.ig=""), "Regional Aggregate", _xlpm.ig))</f>
        <v>Regional Aggregate</v>
      </c>
      <c r="H3808" s="4">
        <f>Clean_Data[[#This Row],[Exports_TIV]] - Clean_Data[[#This Row],[Imports_TIV]]</f>
        <v>-1488000000</v>
      </c>
      <c r="I3808" s="4">
        <f>Clean_Data[[#This Row],[Exports_TIV]] + Clean_Data[[#This Row],[Imports_TIV]]</f>
        <v>1492000000</v>
      </c>
    </row>
    <row r="3809" spans="1:9">
      <c r="A3809" s="4" t="s">
        <v>149</v>
      </c>
      <c r="B3809" s="4" t="s">
        <v>150</v>
      </c>
      <c r="C3809" s="5">
        <v>2001</v>
      </c>
      <c r="D3809" s="4">
        <v>8000000</v>
      </c>
      <c r="E3809" s="4">
        <v>140000000</v>
      </c>
      <c r="F3809" s="4" t="str">
        <f>_xlfn.LET(_xlpm.r, _xlfn.XLOOKUP(Clean_Data[[#This Row],[Country_Code]], Metadata_Country!$A:$A, Metadata_Country!$B:$B, "Unknown"), IF(OR(_xlpm.r=0, _xlpm.r=""), "Regional Aggregate", _xlpm.r))</f>
        <v>Europe &amp; Central Asia</v>
      </c>
      <c r="G3809" s="4" t="str">
        <f>_xlfn.LET(_xlpm.ig, _xlfn.XLOOKUP(Clean_Data[[#This Row],[Country_Code]], Metadata_Country!$A:$A, Metadata_Country!$C:$C, "Unknown"), IF(OR(_xlpm.ig=0, _xlpm.ig=""), "Regional Aggregate", _xlpm.ig))</f>
        <v>High income</v>
      </c>
      <c r="H3809" s="4">
        <f>Clean_Data[[#This Row],[Exports_TIV]] - Clean_Data[[#This Row],[Imports_TIV]]</f>
        <v>-132000000</v>
      </c>
      <c r="I3809" s="4">
        <f>Clean_Data[[#This Row],[Exports_TIV]] + Clean_Data[[#This Row],[Imports_TIV]]</f>
        <v>148000000</v>
      </c>
    </row>
    <row r="3810" spans="1:9">
      <c r="A3810" s="4" t="s">
        <v>285</v>
      </c>
      <c r="B3810" s="4" t="s">
        <v>286</v>
      </c>
      <c r="C3810" s="5">
        <v>2001</v>
      </c>
      <c r="D3810" s="4">
        <v>0</v>
      </c>
      <c r="E3810" s="4">
        <v>154000000</v>
      </c>
      <c r="F3810" s="4" t="str">
        <f>_xlfn.LET(_xlpm.r, _xlfn.XLOOKUP(Clean_Data[[#This Row],[Country_Code]], Metadata_Country!$A:$A, Metadata_Country!$B:$B, "Unknown"), IF(OR(_xlpm.r=0, _xlpm.r=""), "Regional Aggregate", _xlpm.r))</f>
        <v>South Asia</v>
      </c>
      <c r="G3810" s="4" t="str">
        <f>_xlfn.LET(_xlpm.ig, _xlfn.XLOOKUP(Clean_Data[[#This Row],[Country_Code]], Metadata_Country!$A:$A, Metadata_Country!$C:$C, "Unknown"), IF(OR(_xlpm.ig=0, _xlpm.ig=""), "Regional Aggregate", _xlpm.ig))</f>
        <v>Upper middle income</v>
      </c>
      <c r="H3810" s="4">
        <f>Clean_Data[[#This Row],[Exports_TIV]] - Clean_Data[[#This Row],[Imports_TIV]]</f>
        <v>-154000000</v>
      </c>
      <c r="I3810" s="4">
        <f>Clean_Data[[#This Row],[Exports_TIV]] + Clean_Data[[#This Row],[Imports_TIV]]</f>
        <v>154000000</v>
      </c>
    </row>
    <row r="3811" spans="1:9">
      <c r="A3811" s="4" t="s">
        <v>443</v>
      </c>
      <c r="B3811" s="4" t="s">
        <v>444</v>
      </c>
      <c r="C3811" s="5">
        <v>2001</v>
      </c>
      <c r="D3811" s="4">
        <v>0</v>
      </c>
      <c r="E3811" s="4">
        <v>459000000</v>
      </c>
      <c r="F3811" s="4" t="str">
        <f>_xlfn.LET(_xlpm.r, _xlfn.XLOOKUP(Clean_Data[[#This Row],[Country_Code]], Metadata_Country!$A:$A, Metadata_Country!$B:$B, "Unknown"), IF(OR(_xlpm.r=0, _xlpm.r=""), "Regional Aggregate", _xlpm.r))</f>
        <v>Regional Aggregate</v>
      </c>
      <c r="G3811" s="4" t="str">
        <f>_xlfn.LET(_xlpm.ig, _xlfn.XLOOKUP(Clean_Data[[#This Row],[Country_Code]], Metadata_Country!$A:$A, Metadata_Country!$C:$C, "Unknown"), IF(OR(_xlpm.ig=0, _xlpm.ig=""), "Regional Aggregate", _xlpm.ig))</f>
        <v>Regional Aggregate</v>
      </c>
      <c r="H3811" s="4">
        <f>Clean_Data[[#This Row],[Exports_TIV]] - Clean_Data[[#This Row],[Imports_TIV]]</f>
        <v>-459000000</v>
      </c>
      <c r="I3811" s="4">
        <f>Clean_Data[[#This Row],[Exports_TIV]] + Clean_Data[[#This Row],[Imports_TIV]]</f>
        <v>459000000</v>
      </c>
    </row>
    <row r="3812" spans="1:9">
      <c r="A3812" s="4" t="s">
        <v>439</v>
      </c>
      <c r="B3812" s="4" t="s">
        <v>440</v>
      </c>
      <c r="C3812" s="5">
        <v>2001</v>
      </c>
      <c r="D3812" s="4">
        <v>0</v>
      </c>
      <c r="E3812" s="4">
        <v>459000000</v>
      </c>
      <c r="F3812" s="4" t="str">
        <f>_xlfn.LET(_xlpm.r, _xlfn.XLOOKUP(Clean_Data[[#This Row],[Country_Code]], Metadata_Country!$A:$A, Metadata_Country!$B:$B, "Unknown"), IF(OR(_xlpm.r=0, _xlpm.r=""), "Regional Aggregate", _xlpm.r))</f>
        <v>Regional Aggregate</v>
      </c>
      <c r="G3812" s="4" t="str">
        <f>_xlfn.LET(_xlpm.ig, _xlfn.XLOOKUP(Clean_Data[[#This Row],[Country_Code]], Metadata_Country!$A:$A, Metadata_Country!$C:$C, "Unknown"), IF(OR(_xlpm.ig=0, _xlpm.ig=""), "Regional Aggregate", _xlpm.ig))</f>
        <v>Regional Aggregate</v>
      </c>
      <c r="H3812" s="4">
        <f>Clean_Data[[#This Row],[Exports_TIV]] - Clean_Data[[#This Row],[Imports_TIV]]</f>
        <v>-459000000</v>
      </c>
      <c r="I3812" s="4">
        <f>Clean_Data[[#This Row],[Exports_TIV]] + Clean_Data[[#This Row],[Imports_TIV]]</f>
        <v>459000000</v>
      </c>
    </row>
    <row r="3813" spans="1:9">
      <c r="A3813" s="4" t="s">
        <v>491</v>
      </c>
      <c r="B3813" s="4" t="s">
        <v>492</v>
      </c>
      <c r="C3813" s="5">
        <v>2001</v>
      </c>
      <c r="D3813" s="4">
        <v>0</v>
      </c>
      <c r="E3813" s="4">
        <v>459000000</v>
      </c>
      <c r="F3813" s="4" t="str">
        <f>_xlfn.LET(_xlpm.r, _xlfn.XLOOKUP(Clean_Data[[#This Row],[Country_Code]], Metadata_Country!$A:$A, Metadata_Country!$B:$B, "Unknown"), IF(OR(_xlpm.r=0, _xlpm.r=""), "Regional Aggregate", _xlpm.r))</f>
        <v>Regional Aggregate</v>
      </c>
      <c r="G3813" s="4" t="str">
        <f>_xlfn.LET(_xlpm.ig, _xlfn.XLOOKUP(Clean_Data[[#This Row],[Country_Code]], Metadata_Country!$A:$A, Metadata_Country!$C:$C, "Unknown"), IF(OR(_xlpm.ig=0, _xlpm.ig=""), "Regional Aggregate", _xlpm.ig))</f>
        <v>Regional Aggregate</v>
      </c>
      <c r="H3813" s="4">
        <f>Clean_Data[[#This Row],[Exports_TIV]] - Clean_Data[[#This Row],[Imports_TIV]]</f>
        <v>-459000000</v>
      </c>
      <c r="I3813" s="4">
        <f>Clean_Data[[#This Row],[Exports_TIV]] + Clean_Data[[#This Row],[Imports_TIV]]</f>
        <v>459000000</v>
      </c>
    </row>
    <row r="3814" spans="1:9">
      <c r="A3814" s="4" t="s">
        <v>421</v>
      </c>
      <c r="B3814" s="4" t="s">
        <v>422</v>
      </c>
      <c r="C3814" s="5">
        <v>2001</v>
      </c>
      <c r="D3814" s="4">
        <v>0</v>
      </c>
      <c r="E3814" s="4">
        <v>106000000</v>
      </c>
      <c r="F3814" s="4" t="str">
        <f>_xlfn.LET(_xlpm.r, _xlfn.XLOOKUP(Clean_Data[[#This Row],[Country_Code]], Metadata_Country!$A:$A, Metadata_Country!$B:$B, "Unknown"), IF(OR(_xlpm.r=0, _xlpm.r=""), "Regional Aggregate", _xlpm.r))</f>
        <v>Sub-Saharan Africa</v>
      </c>
      <c r="G3814" s="4" t="str">
        <f>_xlfn.LET(_xlpm.ig, _xlfn.XLOOKUP(Clean_Data[[#This Row],[Country_Code]], Metadata_Country!$A:$A, Metadata_Country!$C:$C, "Unknown"), IF(OR(_xlpm.ig=0, _xlpm.ig=""), "Regional Aggregate", _xlpm.ig))</f>
        <v>Low income</v>
      </c>
      <c r="H3814" s="4">
        <f>Clean_Data[[#This Row],[Exports_TIV]] - Clean_Data[[#This Row],[Imports_TIV]]</f>
        <v>-106000000</v>
      </c>
      <c r="I3814" s="4">
        <f>Clean_Data[[#This Row],[Exports_TIV]] + Clean_Data[[#This Row],[Imports_TIV]]</f>
        <v>106000000</v>
      </c>
    </row>
    <row r="3815" spans="1:9">
      <c r="A3815" s="4" t="s">
        <v>455</v>
      </c>
      <c r="B3815" s="4" t="s">
        <v>456</v>
      </c>
      <c r="C3815" s="5">
        <v>2001</v>
      </c>
      <c r="D3815" s="4">
        <v>892000000</v>
      </c>
      <c r="E3815" s="4">
        <v>165000000</v>
      </c>
      <c r="F3815" s="4" t="str">
        <f>_xlfn.LET(_xlpm.r, _xlfn.XLOOKUP(Clean_Data[[#This Row],[Country_Code]], Metadata_Country!$A:$A, Metadata_Country!$B:$B, "Unknown"), IF(OR(_xlpm.r=0, _xlpm.r=""), "Regional Aggregate", _xlpm.r))</f>
        <v>Europe &amp; Central Asia</v>
      </c>
      <c r="G3815" s="4" t="str">
        <f>_xlfn.LET(_xlpm.ig, _xlfn.XLOOKUP(Clean_Data[[#This Row],[Country_Code]], Metadata_Country!$A:$A, Metadata_Country!$C:$C, "Unknown"), IF(OR(_xlpm.ig=0, _xlpm.ig=""), "Regional Aggregate", _xlpm.ig))</f>
        <v>High income</v>
      </c>
      <c r="H3815" s="4">
        <f>Clean_Data[[#This Row],[Exports_TIV]] - Clean_Data[[#This Row],[Imports_TIV]]</f>
        <v>727000000</v>
      </c>
      <c r="I3815" s="4">
        <f>Clean_Data[[#This Row],[Exports_TIV]] + Clean_Data[[#This Row],[Imports_TIV]]</f>
        <v>1057000000</v>
      </c>
    </row>
    <row r="3816" spans="1:9">
      <c r="A3816" s="4" t="s">
        <v>83</v>
      </c>
      <c r="B3816" s="4" t="s">
        <v>84</v>
      </c>
      <c r="C3816" s="5">
        <v>2001</v>
      </c>
      <c r="D3816" s="4">
        <v>219000000</v>
      </c>
      <c r="E3816" s="4">
        <v>60000000</v>
      </c>
      <c r="F3816" s="4" t="str">
        <f>_xlfn.LET(_xlpm.r, _xlfn.XLOOKUP(Clean_Data[[#This Row],[Country_Code]], Metadata_Country!$A:$A, Metadata_Country!$B:$B, "Unknown"), IF(OR(_xlpm.r=0, _xlpm.r=""), "Regional Aggregate", _xlpm.r))</f>
        <v>Europe &amp; Central Asia</v>
      </c>
      <c r="G3816" s="4" t="str">
        <f>_xlfn.LET(_xlpm.ig, _xlfn.XLOOKUP(Clean_Data[[#This Row],[Country_Code]], Metadata_Country!$A:$A, Metadata_Country!$C:$C, "Unknown"), IF(OR(_xlpm.ig=0, _xlpm.ig=""), "Regional Aggregate", _xlpm.ig))</f>
        <v>High income</v>
      </c>
      <c r="H3816" s="4">
        <f>Clean_Data[[#This Row],[Exports_TIV]] - Clean_Data[[#This Row],[Imports_TIV]]</f>
        <v>159000000</v>
      </c>
      <c r="I3816" s="4">
        <f>Clean_Data[[#This Row],[Exports_TIV]] + Clean_Data[[#This Row],[Imports_TIV]]</f>
        <v>279000000</v>
      </c>
    </row>
    <row r="3817" spans="1:9">
      <c r="A3817" s="4" t="s">
        <v>463</v>
      </c>
      <c r="B3817" s="4" t="s">
        <v>464</v>
      </c>
      <c r="C3817" s="5">
        <v>2001</v>
      </c>
      <c r="D3817" s="4">
        <v>0</v>
      </c>
      <c r="E3817" s="4">
        <v>23000000</v>
      </c>
      <c r="F3817" s="4" t="str">
        <f>_xlfn.LET(_xlpm.r, _xlfn.XLOOKUP(Clean_Data[[#This Row],[Country_Code]], Metadata_Country!$A:$A, Metadata_Country!$B:$B, "Unknown"), IF(OR(_xlpm.r=0, _xlpm.r=""), "Regional Aggregate", _xlpm.r))</f>
        <v>Middle East &amp; North Africa</v>
      </c>
      <c r="G3817" s="4" t="str">
        <f>_xlfn.LET(_xlpm.ig, _xlfn.XLOOKUP(Clean_Data[[#This Row],[Country_Code]], Metadata_Country!$A:$A, Metadata_Country!$C:$C, "Unknown"), IF(OR(_xlpm.ig=0, _xlpm.ig=""), "Regional Aggregate", _xlpm.ig))</f>
        <v>Low income</v>
      </c>
      <c r="H3817" s="4">
        <f>Clean_Data[[#This Row],[Exports_TIV]] - Clean_Data[[#This Row],[Imports_TIV]]</f>
        <v>-23000000</v>
      </c>
      <c r="I3817" s="4">
        <f>Clean_Data[[#This Row],[Exports_TIV]] + Clean_Data[[#This Row],[Imports_TIV]]</f>
        <v>23000000</v>
      </c>
    </row>
    <row r="3818" spans="1:9">
      <c r="A3818" s="4" t="s">
        <v>475</v>
      </c>
      <c r="B3818" s="4" t="s">
        <v>476</v>
      </c>
      <c r="C3818" s="5">
        <v>2001</v>
      </c>
      <c r="D3818" s="4">
        <v>0</v>
      </c>
      <c r="E3818" s="4">
        <v>109000000</v>
      </c>
      <c r="F3818" s="4" t="str">
        <f>_xlfn.LET(_xlpm.r, _xlfn.XLOOKUP(Clean_Data[[#This Row],[Country_Code]], Metadata_Country!$A:$A, Metadata_Country!$B:$B, "Unknown"), IF(OR(_xlpm.r=0, _xlpm.r=""), "Regional Aggregate", _xlpm.r))</f>
        <v>East Asia &amp; Pacific</v>
      </c>
      <c r="G3818" s="4" t="str">
        <f>_xlfn.LET(_xlpm.ig, _xlfn.XLOOKUP(Clean_Data[[#This Row],[Country_Code]], Metadata_Country!$A:$A, Metadata_Country!$C:$C, "Unknown"), IF(OR(_xlpm.ig=0, _xlpm.ig=""), "Regional Aggregate", _xlpm.ig))</f>
        <v>Upper middle income</v>
      </c>
      <c r="H3818" s="4">
        <f>Clean_Data[[#This Row],[Exports_TIV]] - Clean_Data[[#This Row],[Imports_TIV]]</f>
        <v>-109000000</v>
      </c>
      <c r="I3818" s="4">
        <f>Clean_Data[[#This Row],[Exports_TIV]] + Clean_Data[[#This Row],[Imports_TIV]]</f>
        <v>109000000</v>
      </c>
    </row>
    <row r="3819" spans="1:9">
      <c r="A3819" s="4" t="s">
        <v>493</v>
      </c>
      <c r="B3819" s="4" t="s">
        <v>494</v>
      </c>
      <c r="C3819" s="5">
        <v>2001</v>
      </c>
      <c r="D3819" s="4">
        <v>0</v>
      </c>
      <c r="E3819" s="4">
        <v>0</v>
      </c>
      <c r="F3819" s="4" t="str">
        <f>_xlfn.LET(_xlpm.r, _xlfn.XLOOKUP(Clean_Data[[#This Row],[Country_Code]], Metadata_Country!$A:$A, Metadata_Country!$B:$B, "Unknown"), IF(OR(_xlpm.r=0, _xlpm.r=""), "Regional Aggregate", _xlpm.r))</f>
        <v>Latin America &amp; Caribbean</v>
      </c>
      <c r="G3819" s="4" t="str">
        <f>_xlfn.LET(_xlpm.ig, _xlfn.XLOOKUP(Clean_Data[[#This Row],[Country_Code]], Metadata_Country!$A:$A, Metadata_Country!$C:$C, "Unknown"), IF(OR(_xlpm.ig=0, _xlpm.ig=""), "Regional Aggregate", _xlpm.ig))</f>
        <v>High income</v>
      </c>
      <c r="H3819" s="4">
        <f>Clean_Data[[#This Row],[Exports_TIV]] - Clean_Data[[#This Row],[Imports_TIV]]</f>
        <v>0</v>
      </c>
      <c r="I3819" s="4">
        <f>Clean_Data[[#This Row],[Exports_TIV]] + Clean_Data[[#This Row],[Imports_TIV]]</f>
        <v>0</v>
      </c>
    </row>
    <row r="3820" spans="1:9">
      <c r="A3820" s="4" t="s">
        <v>497</v>
      </c>
      <c r="B3820" s="4" t="s">
        <v>498</v>
      </c>
      <c r="C3820" s="5">
        <v>2001</v>
      </c>
      <c r="D3820" s="4">
        <v>5000000</v>
      </c>
      <c r="E3820" s="4">
        <v>501000000</v>
      </c>
      <c r="F3820" s="4" t="str">
        <f>_xlfn.LET(_xlpm.r, _xlfn.XLOOKUP(Clean_Data[[#This Row],[Country_Code]], Metadata_Country!$A:$A, Metadata_Country!$B:$B, "Unknown"), IF(OR(_xlpm.r=0, _xlpm.r=""), "Regional Aggregate", _xlpm.r))</f>
        <v>Europe &amp; Central Asia</v>
      </c>
      <c r="G3820" s="4" t="str">
        <f>_xlfn.LET(_xlpm.ig, _xlfn.XLOOKUP(Clean_Data[[#This Row],[Country_Code]], Metadata_Country!$A:$A, Metadata_Country!$C:$C, "Unknown"), IF(OR(_xlpm.ig=0, _xlpm.ig=""), "Regional Aggregate", _xlpm.ig))</f>
        <v>Upper middle income</v>
      </c>
      <c r="H3820" s="4">
        <f>Clean_Data[[#This Row],[Exports_TIV]] - Clean_Data[[#This Row],[Imports_TIV]]</f>
        <v>-496000000</v>
      </c>
      <c r="I3820" s="4">
        <f>Clean_Data[[#This Row],[Exports_TIV]] + Clean_Data[[#This Row],[Imports_TIV]]</f>
        <v>506000000</v>
      </c>
    </row>
    <row r="3821" spans="1:9">
      <c r="A3821" s="4" t="s">
        <v>505</v>
      </c>
      <c r="B3821" s="4" t="s">
        <v>506</v>
      </c>
      <c r="C3821" s="5">
        <v>2001</v>
      </c>
      <c r="D3821" s="4">
        <v>555000000</v>
      </c>
      <c r="E3821" s="4">
        <v>0</v>
      </c>
      <c r="F3821" s="4" t="str">
        <f>_xlfn.LET(_xlpm.r, _xlfn.XLOOKUP(Clean_Data[[#This Row],[Country_Code]], Metadata_Country!$A:$A, Metadata_Country!$B:$B, "Unknown"), IF(OR(_xlpm.r=0, _xlpm.r=""), "Regional Aggregate", _xlpm.r))</f>
        <v>Europe &amp; Central Asia</v>
      </c>
      <c r="G3821" s="4" t="str">
        <f>_xlfn.LET(_xlpm.ig, _xlfn.XLOOKUP(Clean_Data[[#This Row],[Country_Code]], Metadata_Country!$A:$A, Metadata_Country!$C:$C, "Unknown"), IF(OR(_xlpm.ig=0, _xlpm.ig=""), "Regional Aggregate", _xlpm.ig))</f>
        <v>Upper middle income</v>
      </c>
      <c r="H3821" s="4">
        <f>Clean_Data[[#This Row],[Exports_TIV]] - Clean_Data[[#This Row],[Imports_TIV]]</f>
        <v>555000000</v>
      </c>
      <c r="I3821" s="4">
        <f>Clean_Data[[#This Row],[Exports_TIV]] + Clean_Data[[#This Row],[Imports_TIV]]</f>
        <v>555000000</v>
      </c>
    </row>
    <row r="3822" spans="1:9">
      <c r="A3822" s="4" t="s">
        <v>25</v>
      </c>
      <c r="B3822" s="4" t="s">
        <v>26</v>
      </c>
      <c r="C3822" s="5">
        <v>2001</v>
      </c>
      <c r="D3822" s="4">
        <v>0</v>
      </c>
      <c r="E3822" s="4">
        <v>186000000</v>
      </c>
      <c r="F3822" s="4" t="str">
        <f>_xlfn.LET(_xlpm.r, _xlfn.XLOOKUP(Clean_Data[[#This Row],[Country_Code]], Metadata_Country!$A:$A, Metadata_Country!$B:$B, "Unknown"), IF(OR(_xlpm.r=0, _xlpm.r=""), "Regional Aggregate", _xlpm.r))</f>
        <v>Middle East &amp; North Africa</v>
      </c>
      <c r="G3822" s="4" t="str">
        <f>_xlfn.LET(_xlpm.ig, _xlfn.XLOOKUP(Clean_Data[[#This Row],[Country_Code]], Metadata_Country!$A:$A, Metadata_Country!$C:$C, "Unknown"), IF(OR(_xlpm.ig=0, _xlpm.ig=""), "Regional Aggregate", _xlpm.ig))</f>
        <v>High income</v>
      </c>
      <c r="H3822" s="4">
        <f>Clean_Data[[#This Row],[Exports_TIV]] - Clean_Data[[#This Row],[Imports_TIV]]</f>
        <v>-186000000</v>
      </c>
      <c r="I3822" s="4">
        <f>Clean_Data[[#This Row],[Exports_TIV]] + Clean_Data[[#This Row],[Imports_TIV]]</f>
        <v>186000000</v>
      </c>
    </row>
    <row r="3823" spans="1:9">
      <c r="A3823" s="4" t="s">
        <v>171</v>
      </c>
      <c r="B3823" s="4" t="s">
        <v>172</v>
      </c>
      <c r="C3823" s="5">
        <v>2001</v>
      </c>
      <c r="D3823" s="4">
        <v>1352000000</v>
      </c>
      <c r="E3823" s="4">
        <v>1287000000</v>
      </c>
      <c r="F3823" s="4" t="str">
        <f>_xlfn.LET(_xlpm.r, _xlfn.XLOOKUP(Clean_Data[[#This Row],[Country_Code]], Metadata_Country!$A:$A, Metadata_Country!$B:$B, "Unknown"), IF(OR(_xlpm.r=0, _xlpm.r=""), "Regional Aggregate", _xlpm.r))</f>
        <v>Europe &amp; Central Asia</v>
      </c>
      <c r="G3823" s="4" t="str">
        <f>_xlfn.LET(_xlpm.ig, _xlfn.XLOOKUP(Clean_Data[[#This Row],[Country_Code]], Metadata_Country!$A:$A, Metadata_Country!$C:$C, "Unknown"), IF(OR(_xlpm.ig=0, _xlpm.ig=""), "Regional Aggregate", _xlpm.ig))</f>
        <v>High income</v>
      </c>
      <c r="H3823" s="4">
        <f>Clean_Data[[#This Row],[Exports_TIV]] - Clean_Data[[#This Row],[Imports_TIV]]</f>
        <v>65000000</v>
      </c>
      <c r="I3823" s="4">
        <f>Clean_Data[[#This Row],[Exports_TIV]] + Clean_Data[[#This Row],[Imports_TIV]]</f>
        <v>2639000000</v>
      </c>
    </row>
    <row r="3824" spans="1:9">
      <c r="A3824" s="4" t="s">
        <v>511</v>
      </c>
      <c r="B3824" s="4" t="s">
        <v>512</v>
      </c>
      <c r="C3824" s="5">
        <v>2001</v>
      </c>
      <c r="D3824" s="4">
        <v>5591000000</v>
      </c>
      <c r="E3824" s="4">
        <v>508000000</v>
      </c>
      <c r="F3824" s="4" t="str">
        <f>_xlfn.LET(_xlpm.r, _xlfn.XLOOKUP(Clean_Data[[#This Row],[Country_Code]], Metadata_Country!$A:$A, Metadata_Country!$B:$B, "Unknown"), IF(OR(_xlpm.r=0, _xlpm.r=""), "Regional Aggregate", _xlpm.r))</f>
        <v>North America</v>
      </c>
      <c r="G3824" s="4" t="str">
        <f>_xlfn.LET(_xlpm.ig, _xlfn.XLOOKUP(Clean_Data[[#This Row],[Country_Code]], Metadata_Country!$A:$A, Metadata_Country!$C:$C, "Unknown"), IF(OR(_xlpm.ig=0, _xlpm.ig=""), "Regional Aggregate", _xlpm.ig))</f>
        <v>High income</v>
      </c>
      <c r="H3824" s="4">
        <f>Clean_Data[[#This Row],[Exports_TIV]] - Clean_Data[[#This Row],[Imports_TIV]]</f>
        <v>5083000000</v>
      </c>
      <c r="I3824" s="4">
        <f>Clean_Data[[#This Row],[Exports_TIV]] + Clean_Data[[#This Row],[Imports_TIV]]</f>
        <v>6099000000</v>
      </c>
    </row>
    <row r="3825" spans="1:9">
      <c r="A3825" s="4" t="s">
        <v>507</v>
      </c>
      <c r="B3825" s="4" t="s">
        <v>508</v>
      </c>
      <c r="C3825" s="5">
        <v>2001</v>
      </c>
      <c r="D3825" s="4">
        <v>0</v>
      </c>
      <c r="E3825" s="4">
        <v>6366000000</v>
      </c>
      <c r="F3825" s="4" t="str">
        <f>_xlfn.LET(_xlpm.r, _xlfn.XLOOKUP(Clean_Data[[#This Row],[Country_Code]], Metadata_Country!$A:$A, Metadata_Country!$B:$B, "Unknown"), IF(OR(_xlpm.r=0, _xlpm.r=""), "Regional Aggregate", _xlpm.r))</f>
        <v>Regional Aggregate</v>
      </c>
      <c r="G3825" s="4" t="str">
        <f>_xlfn.LET(_xlpm.ig, _xlfn.XLOOKUP(Clean_Data[[#This Row],[Country_Code]], Metadata_Country!$A:$A, Metadata_Country!$C:$C, "Unknown"), IF(OR(_xlpm.ig=0, _xlpm.ig=""), "Regional Aggregate", _xlpm.ig))</f>
        <v>Regional Aggregate</v>
      </c>
      <c r="H3825" s="4">
        <f>Clean_Data[[#This Row],[Exports_TIV]] - Clean_Data[[#This Row],[Imports_TIV]]</f>
        <v>-6366000000</v>
      </c>
      <c r="I3825" s="4">
        <f>Clean_Data[[#This Row],[Exports_TIV]] + Clean_Data[[#This Row],[Imports_TIV]]</f>
        <v>6366000000</v>
      </c>
    </row>
    <row r="3826" spans="1:9">
      <c r="A3826" s="4" t="s">
        <v>513</v>
      </c>
      <c r="B3826" s="4" t="s">
        <v>514</v>
      </c>
      <c r="C3826" s="5">
        <v>2001</v>
      </c>
      <c r="D3826" s="4">
        <v>0</v>
      </c>
      <c r="E3826" s="4">
        <v>8000000</v>
      </c>
      <c r="F3826" s="4" t="str">
        <f>_xlfn.LET(_xlpm.r, _xlfn.XLOOKUP(Clean_Data[[#This Row],[Country_Code]], Metadata_Country!$A:$A, Metadata_Country!$B:$B, "Unknown"), IF(OR(_xlpm.r=0, _xlpm.r=""), "Regional Aggregate", _xlpm.r))</f>
        <v>Europe &amp; Central Asia</v>
      </c>
      <c r="G3826" s="4" t="str">
        <f>_xlfn.LET(_xlpm.ig, _xlfn.XLOOKUP(Clean_Data[[#This Row],[Country_Code]], Metadata_Country!$A:$A, Metadata_Country!$C:$C, "Unknown"), IF(OR(_xlpm.ig=0, _xlpm.ig=""), "Regional Aggregate", _xlpm.ig))</f>
        <v>Lower middle income</v>
      </c>
      <c r="H3826" s="4">
        <f>Clean_Data[[#This Row],[Exports_TIV]] - Clean_Data[[#This Row],[Imports_TIV]]</f>
        <v>-8000000</v>
      </c>
      <c r="I3826" s="4">
        <f>Clean_Data[[#This Row],[Exports_TIV]] + Clean_Data[[#This Row],[Imports_TIV]]</f>
        <v>8000000</v>
      </c>
    </row>
    <row r="3827" spans="1:9">
      <c r="A3827" s="4" t="s">
        <v>517</v>
      </c>
      <c r="B3827" s="4" t="s">
        <v>518</v>
      </c>
      <c r="C3827" s="5">
        <v>2001</v>
      </c>
      <c r="D3827" s="4">
        <v>0</v>
      </c>
      <c r="E3827" s="4">
        <v>106000000</v>
      </c>
      <c r="F3827" s="4" t="str">
        <f>_xlfn.LET(_xlpm.r, _xlfn.XLOOKUP(Clean_Data[[#This Row],[Country_Code]], Metadata_Country!$A:$A, Metadata_Country!$B:$B, "Unknown"), IF(OR(_xlpm.r=0, _xlpm.r=""), "Regional Aggregate", _xlpm.r))</f>
        <v>Latin America &amp; Caribbean</v>
      </c>
      <c r="G3827" s="4" t="str">
        <f>_xlfn.LET(_xlpm.ig, _xlfn.XLOOKUP(Clean_Data[[#This Row],[Country_Code]], Metadata_Country!$A:$A, Metadata_Country!$C:$C, "Unknown"), IF(OR(_xlpm.ig=0, _xlpm.ig=""), "Regional Aggregate", _xlpm.ig))</f>
        <v>Lower middle income</v>
      </c>
      <c r="H3827" s="4">
        <f>Clean_Data[[#This Row],[Exports_TIV]] - Clean_Data[[#This Row],[Imports_TIV]]</f>
        <v>-106000000</v>
      </c>
      <c r="I3827" s="4">
        <f>Clean_Data[[#This Row],[Exports_TIV]] + Clean_Data[[#This Row],[Imports_TIV]]</f>
        <v>106000000</v>
      </c>
    </row>
    <row r="3828" spans="1:9">
      <c r="A3828" s="4" t="s">
        <v>523</v>
      </c>
      <c r="B3828" s="4" t="s">
        <v>524</v>
      </c>
      <c r="C3828" s="5">
        <v>2001</v>
      </c>
      <c r="D3828" s="4">
        <v>0</v>
      </c>
      <c r="E3828" s="4">
        <v>97000000</v>
      </c>
      <c r="F3828" s="4" t="str">
        <f>_xlfn.LET(_xlpm.r, _xlfn.XLOOKUP(Clean_Data[[#This Row],[Country_Code]], Metadata_Country!$A:$A, Metadata_Country!$B:$B, "Unknown"), IF(OR(_xlpm.r=0, _xlpm.r=""), "Regional Aggregate", _xlpm.r))</f>
        <v>East Asia &amp; Pacific</v>
      </c>
      <c r="G3828" s="4" t="str">
        <f>_xlfn.LET(_xlpm.ig, _xlfn.XLOOKUP(Clean_Data[[#This Row],[Country_Code]], Metadata_Country!$A:$A, Metadata_Country!$C:$C, "Unknown"), IF(OR(_xlpm.ig=0, _xlpm.ig=""), "Regional Aggregate", _xlpm.ig))</f>
        <v>Upper middle income</v>
      </c>
      <c r="H3828" s="4">
        <f>Clean_Data[[#This Row],[Exports_TIV]] - Clean_Data[[#This Row],[Imports_TIV]]</f>
        <v>-97000000</v>
      </c>
      <c r="I3828" s="4">
        <f>Clean_Data[[#This Row],[Exports_TIV]] + Clean_Data[[#This Row],[Imports_TIV]]</f>
        <v>97000000</v>
      </c>
    </row>
    <row r="3829" spans="1:9">
      <c r="A3829" s="4" t="s">
        <v>527</v>
      </c>
      <c r="B3829" s="4" t="s">
        <v>528</v>
      </c>
      <c r="C3829" s="5">
        <v>2001</v>
      </c>
      <c r="D3829" s="4">
        <v>18495000000</v>
      </c>
      <c r="E3829" s="4">
        <v>18266000000</v>
      </c>
      <c r="F3829" s="4" t="str">
        <f>_xlfn.LET(_xlpm.r, _xlfn.XLOOKUP(Clean_Data[[#This Row],[Country_Code]], Metadata_Country!$A:$A, Metadata_Country!$B:$B, "Unknown"), IF(OR(_xlpm.r=0, _xlpm.r=""), "Regional Aggregate", _xlpm.r))</f>
        <v>Regional Aggregate</v>
      </c>
      <c r="G3829" s="4" t="str">
        <f>_xlfn.LET(_xlpm.ig, _xlfn.XLOOKUP(Clean_Data[[#This Row],[Country_Code]], Metadata_Country!$A:$A, Metadata_Country!$C:$C, "Unknown"), IF(OR(_xlpm.ig=0, _xlpm.ig=""), "Regional Aggregate", _xlpm.ig))</f>
        <v>Regional Aggregate</v>
      </c>
      <c r="H3829" s="4">
        <f>Clean_Data[[#This Row],[Exports_TIV]] - Clean_Data[[#This Row],[Imports_TIV]]</f>
        <v>229000000</v>
      </c>
      <c r="I3829" s="4">
        <f>Clean_Data[[#This Row],[Exports_TIV]] + Clean_Data[[#This Row],[Imports_TIV]]</f>
        <v>36761000000</v>
      </c>
    </row>
    <row r="3830" spans="1:9">
      <c r="A3830" s="4" t="s">
        <v>533</v>
      </c>
      <c r="B3830" s="4" t="s">
        <v>534</v>
      </c>
      <c r="C3830" s="5">
        <v>2001</v>
      </c>
      <c r="D3830" s="4">
        <v>0</v>
      </c>
      <c r="E3830" s="4">
        <v>70000000</v>
      </c>
      <c r="F3830" s="4" t="str">
        <f>_xlfn.LET(_xlpm.r, _xlfn.XLOOKUP(Clean_Data[[#This Row],[Country_Code]], Metadata_Country!$A:$A, Metadata_Country!$B:$B, "Unknown"), IF(OR(_xlpm.r=0, _xlpm.r=""), "Regional Aggregate", _xlpm.r))</f>
        <v>Middle East &amp; North Africa</v>
      </c>
      <c r="G3830" s="4" t="str">
        <f>_xlfn.LET(_xlpm.ig, _xlfn.XLOOKUP(Clean_Data[[#This Row],[Country_Code]], Metadata_Country!$A:$A, Metadata_Country!$C:$C, "Unknown"), IF(OR(_xlpm.ig=0, _xlpm.ig=""), "Regional Aggregate", _xlpm.ig))</f>
        <v>Low income</v>
      </c>
      <c r="H3830" s="4">
        <f>Clean_Data[[#This Row],[Exports_TIV]] - Clean_Data[[#This Row],[Imports_TIV]]</f>
        <v>-70000000</v>
      </c>
      <c r="I3830" s="4">
        <f>Clean_Data[[#This Row],[Exports_TIV]] + Clean_Data[[#This Row],[Imports_TIV]]</f>
        <v>70000000</v>
      </c>
    </row>
    <row r="3831" spans="1:9">
      <c r="A3831" s="4" t="s">
        <v>539</v>
      </c>
      <c r="B3831" s="4" t="s">
        <v>540</v>
      </c>
      <c r="C3831" s="5">
        <v>2001</v>
      </c>
      <c r="D3831" s="4">
        <v>4000000</v>
      </c>
      <c r="E3831" s="4">
        <v>10000000</v>
      </c>
      <c r="F3831" s="4" t="str">
        <f>_xlfn.LET(_xlpm.r, _xlfn.XLOOKUP(Clean_Data[[#This Row],[Country_Code]], Metadata_Country!$A:$A, Metadata_Country!$B:$B, "Unknown"), IF(OR(_xlpm.r=0, _xlpm.r=""), "Regional Aggregate", _xlpm.r))</f>
        <v>Sub-Saharan Africa</v>
      </c>
      <c r="G3831" s="4" t="str">
        <f>_xlfn.LET(_xlpm.ig, _xlfn.XLOOKUP(Clean_Data[[#This Row],[Country_Code]], Metadata_Country!$A:$A, Metadata_Country!$C:$C, "Unknown"), IF(OR(_xlpm.ig=0, _xlpm.ig=""), "Regional Aggregate", _xlpm.ig))</f>
        <v>Lower middle income</v>
      </c>
      <c r="H3831" s="4">
        <f>Clean_Data[[#This Row],[Exports_TIV]] - Clean_Data[[#This Row],[Imports_TIV]]</f>
        <v>-6000000</v>
      </c>
      <c r="I3831" s="4">
        <f>Clean_Data[[#This Row],[Exports_TIV]] + Clean_Data[[#This Row],[Imports_TIV]]</f>
        <v>14000000</v>
      </c>
    </row>
    <row r="3832" spans="1:9">
      <c r="A3832" s="4" t="s">
        <v>11</v>
      </c>
      <c r="B3832" s="4" t="s">
        <v>12</v>
      </c>
      <c r="C3832" s="5">
        <v>2000</v>
      </c>
      <c r="D3832" s="4">
        <v>0</v>
      </c>
      <c r="E3832" s="4">
        <v>522000000</v>
      </c>
      <c r="F3832" s="4" t="str">
        <f>_xlfn.LET(_xlpm.r, _xlfn.XLOOKUP(Clean_Data[[#This Row],[Country_Code]], Metadata_Country!$A:$A, Metadata_Country!$B:$B, "Unknown"), IF(OR(_xlpm.r=0, _xlpm.r=""), "Regional Aggregate", _xlpm.r))</f>
        <v>Regional Aggregate</v>
      </c>
      <c r="G3832" s="4" t="str">
        <f>_xlfn.LET(_xlpm.ig, _xlfn.XLOOKUP(Clean_Data[[#This Row],[Country_Code]], Metadata_Country!$A:$A, Metadata_Country!$C:$C, "Unknown"), IF(OR(_xlpm.ig=0, _xlpm.ig=""), "Regional Aggregate", _xlpm.ig))</f>
        <v>Regional Aggregate</v>
      </c>
      <c r="H3832" s="4">
        <f>Clean_Data[[#This Row],[Exports_TIV]] - Clean_Data[[#This Row],[Imports_TIV]]</f>
        <v>-522000000</v>
      </c>
      <c r="I3832" s="4">
        <f>Clean_Data[[#This Row],[Exports_TIV]] + Clean_Data[[#This Row],[Imports_TIV]]</f>
        <v>522000000</v>
      </c>
    </row>
    <row r="3833" spans="1:9">
      <c r="A3833" s="4" t="s">
        <v>15</v>
      </c>
      <c r="B3833" s="4" t="s">
        <v>16</v>
      </c>
      <c r="C3833" s="5">
        <v>2000</v>
      </c>
      <c r="D3833" s="4">
        <v>0</v>
      </c>
      <c r="E3833" s="4">
        <v>111000000</v>
      </c>
      <c r="F3833" s="4" t="str">
        <f>_xlfn.LET(_xlpm.r, _xlfn.XLOOKUP(Clean_Data[[#This Row],[Country_Code]], Metadata_Country!$A:$A, Metadata_Country!$B:$B, "Unknown"), IF(OR(_xlpm.r=0, _xlpm.r=""), "Regional Aggregate", _xlpm.r))</f>
        <v>Regional Aggregate</v>
      </c>
      <c r="G3833" s="4" t="str">
        <f>_xlfn.LET(_xlpm.ig, _xlfn.XLOOKUP(Clean_Data[[#This Row],[Country_Code]], Metadata_Country!$A:$A, Metadata_Country!$C:$C, "Unknown"), IF(OR(_xlpm.ig=0, _xlpm.ig=""), "Regional Aggregate", _xlpm.ig))</f>
        <v>Regional Aggregate</v>
      </c>
      <c r="H3833" s="4">
        <f>Clean_Data[[#This Row],[Exports_TIV]] - Clean_Data[[#This Row],[Imports_TIV]]</f>
        <v>-111000000</v>
      </c>
      <c r="I3833" s="4">
        <f>Clean_Data[[#This Row],[Exports_TIV]] + Clean_Data[[#This Row],[Imports_TIV]]</f>
        <v>111000000</v>
      </c>
    </row>
    <row r="3834" spans="1:9">
      <c r="A3834" s="4" t="s">
        <v>129</v>
      </c>
      <c r="B3834" s="4" t="s">
        <v>130</v>
      </c>
      <c r="C3834" s="5">
        <v>2000</v>
      </c>
      <c r="D3834" s="4">
        <v>0</v>
      </c>
      <c r="E3834" s="4">
        <v>405000000</v>
      </c>
      <c r="F3834" s="4" t="str">
        <f>_xlfn.LET(_xlpm.r, _xlfn.XLOOKUP(Clean_Data[[#This Row],[Country_Code]], Metadata_Country!$A:$A, Metadata_Country!$B:$B, "Unknown"), IF(OR(_xlpm.r=0, _xlpm.r=""), "Regional Aggregate", _xlpm.r))</f>
        <v>Middle East &amp; North Africa</v>
      </c>
      <c r="G3834" s="4" t="str">
        <f>_xlfn.LET(_xlpm.ig, _xlfn.XLOOKUP(Clean_Data[[#This Row],[Country_Code]], Metadata_Country!$A:$A, Metadata_Country!$C:$C, "Unknown"), IF(OR(_xlpm.ig=0, _xlpm.ig=""), "Regional Aggregate", _xlpm.ig))</f>
        <v>Upper middle income</v>
      </c>
      <c r="H3834" s="4">
        <f>Clean_Data[[#This Row],[Exports_TIV]] - Clean_Data[[#This Row],[Imports_TIV]]</f>
        <v>-405000000</v>
      </c>
      <c r="I3834" s="4">
        <f>Clean_Data[[#This Row],[Exports_TIV]] + Clean_Data[[#This Row],[Imports_TIV]]</f>
        <v>405000000</v>
      </c>
    </row>
    <row r="3835" spans="1:9">
      <c r="A3835" s="4" t="s">
        <v>17</v>
      </c>
      <c r="B3835" s="4" t="s">
        <v>18</v>
      </c>
      <c r="C3835" s="5">
        <v>2000</v>
      </c>
      <c r="D3835" s="4">
        <v>0</v>
      </c>
      <c r="E3835" s="4">
        <v>149000000</v>
      </c>
      <c r="F3835" s="4" t="str">
        <f>_xlfn.LET(_xlpm.r, _xlfn.XLOOKUP(Clean_Data[[#This Row],[Country_Code]], Metadata_Country!$A:$A, Metadata_Country!$B:$B, "Unknown"), IF(OR(_xlpm.r=0, _xlpm.r=""), "Regional Aggregate", _xlpm.r))</f>
        <v>Sub-Saharan Africa</v>
      </c>
      <c r="G3835" s="4" t="str">
        <f>_xlfn.LET(_xlpm.ig, _xlfn.XLOOKUP(Clean_Data[[#This Row],[Country_Code]], Metadata_Country!$A:$A, Metadata_Country!$C:$C, "Unknown"), IF(OR(_xlpm.ig=0, _xlpm.ig=""), "Regional Aggregate", _xlpm.ig))</f>
        <v>Lower middle income</v>
      </c>
      <c r="H3835" s="4">
        <f>Clean_Data[[#This Row],[Exports_TIV]] - Clean_Data[[#This Row],[Imports_TIV]]</f>
        <v>-149000000</v>
      </c>
      <c r="I3835" s="4">
        <f>Clean_Data[[#This Row],[Exports_TIV]] + Clean_Data[[#This Row],[Imports_TIV]]</f>
        <v>149000000</v>
      </c>
    </row>
    <row r="3836" spans="1:9">
      <c r="A3836" s="4" t="s">
        <v>23</v>
      </c>
      <c r="B3836" s="4" t="s">
        <v>24</v>
      </c>
      <c r="C3836" s="5">
        <v>2000</v>
      </c>
      <c r="D3836" s="4">
        <v>0</v>
      </c>
      <c r="E3836" s="4">
        <v>2744000000</v>
      </c>
      <c r="F3836" s="4" t="str">
        <f>_xlfn.LET(_xlpm.r, _xlfn.XLOOKUP(Clean_Data[[#This Row],[Country_Code]], Metadata_Country!$A:$A, Metadata_Country!$B:$B, "Unknown"), IF(OR(_xlpm.r=0, _xlpm.r=""), "Regional Aggregate", _xlpm.r))</f>
        <v>Regional Aggregate</v>
      </c>
      <c r="G3836" s="4" t="str">
        <f>_xlfn.LET(_xlpm.ig, _xlfn.XLOOKUP(Clean_Data[[#This Row],[Country_Code]], Metadata_Country!$A:$A, Metadata_Country!$C:$C, "Unknown"), IF(OR(_xlpm.ig=0, _xlpm.ig=""), "Regional Aggregate", _xlpm.ig))</f>
        <v>Regional Aggregate</v>
      </c>
      <c r="H3836" s="4">
        <f>Clean_Data[[#This Row],[Exports_TIV]] - Clean_Data[[#This Row],[Imports_TIV]]</f>
        <v>-2744000000</v>
      </c>
      <c r="I3836" s="4">
        <f>Clean_Data[[#This Row],[Exports_TIV]] + Clean_Data[[#This Row],[Imports_TIV]]</f>
        <v>2744000000</v>
      </c>
    </row>
    <row r="3837" spans="1:9">
      <c r="A3837" s="4" t="s">
        <v>27</v>
      </c>
      <c r="B3837" s="4" t="s">
        <v>28</v>
      </c>
      <c r="C3837" s="5">
        <v>2000</v>
      </c>
      <c r="D3837" s="4">
        <v>2000000</v>
      </c>
      <c r="E3837" s="4">
        <v>208000000</v>
      </c>
      <c r="F3837" s="4" t="str">
        <f>_xlfn.LET(_xlpm.r, _xlfn.XLOOKUP(Clean_Data[[#This Row],[Country_Code]], Metadata_Country!$A:$A, Metadata_Country!$B:$B, "Unknown"), IF(OR(_xlpm.r=0, _xlpm.r=""), "Regional Aggregate", _xlpm.r))</f>
        <v>Latin America &amp; Caribbean</v>
      </c>
      <c r="G3837" s="4" t="str">
        <f>_xlfn.LET(_xlpm.ig, _xlfn.XLOOKUP(Clean_Data[[#This Row],[Country_Code]], Metadata_Country!$A:$A, Metadata_Country!$C:$C, "Unknown"), IF(OR(_xlpm.ig=0, _xlpm.ig=""), "Regional Aggregate", _xlpm.ig))</f>
        <v>Upper middle income</v>
      </c>
      <c r="H3837" s="4">
        <f>Clean_Data[[#This Row],[Exports_TIV]] - Clean_Data[[#This Row],[Imports_TIV]]</f>
        <v>-206000000</v>
      </c>
      <c r="I3837" s="4">
        <f>Clean_Data[[#This Row],[Exports_TIV]] + Clean_Data[[#This Row],[Imports_TIV]]</f>
        <v>210000000</v>
      </c>
    </row>
    <row r="3838" spans="1:9">
      <c r="A3838" s="4" t="s">
        <v>35</v>
      </c>
      <c r="B3838" s="4" t="s">
        <v>36</v>
      </c>
      <c r="C3838" s="5">
        <v>2000</v>
      </c>
      <c r="D3838" s="4">
        <v>0</v>
      </c>
      <c r="E3838" s="4">
        <v>326000000</v>
      </c>
      <c r="F3838" s="4" t="str">
        <f>_xlfn.LET(_xlpm.r, _xlfn.XLOOKUP(Clean_Data[[#This Row],[Country_Code]], Metadata_Country!$A:$A, Metadata_Country!$B:$B, "Unknown"), IF(OR(_xlpm.r=0, _xlpm.r=""), "Regional Aggregate", _xlpm.r))</f>
        <v>East Asia &amp; Pacific</v>
      </c>
      <c r="G3838" s="4" t="str">
        <f>_xlfn.LET(_xlpm.ig, _xlfn.XLOOKUP(Clean_Data[[#This Row],[Country_Code]], Metadata_Country!$A:$A, Metadata_Country!$C:$C, "Unknown"), IF(OR(_xlpm.ig=0, _xlpm.ig=""), "Regional Aggregate", _xlpm.ig))</f>
        <v>High income</v>
      </c>
      <c r="H3838" s="4">
        <f>Clean_Data[[#This Row],[Exports_TIV]] - Clean_Data[[#This Row],[Imports_TIV]]</f>
        <v>-326000000</v>
      </c>
      <c r="I3838" s="4">
        <f>Clean_Data[[#This Row],[Exports_TIV]] + Clean_Data[[#This Row],[Imports_TIV]]</f>
        <v>326000000</v>
      </c>
    </row>
    <row r="3839" spans="1:9">
      <c r="A3839" s="4" t="s">
        <v>37</v>
      </c>
      <c r="B3839" s="4" t="s">
        <v>38</v>
      </c>
      <c r="C3839" s="5">
        <v>2000</v>
      </c>
      <c r="D3839" s="4">
        <v>23000000</v>
      </c>
      <c r="E3839" s="4">
        <v>25000000</v>
      </c>
      <c r="F3839" s="4" t="str">
        <f>_xlfn.LET(_xlpm.r, _xlfn.XLOOKUP(Clean_Data[[#This Row],[Country_Code]], Metadata_Country!$A:$A, Metadata_Country!$B:$B, "Unknown"), IF(OR(_xlpm.r=0, _xlpm.r=""), "Regional Aggregate", _xlpm.r))</f>
        <v>Europe &amp; Central Asia</v>
      </c>
      <c r="G3839" s="4" t="str">
        <f>_xlfn.LET(_xlpm.ig, _xlfn.XLOOKUP(Clean_Data[[#This Row],[Country_Code]], Metadata_Country!$A:$A, Metadata_Country!$C:$C, "Unknown"), IF(OR(_xlpm.ig=0, _xlpm.ig=""), "Regional Aggregate", _xlpm.ig))</f>
        <v>High income</v>
      </c>
      <c r="H3839" s="4">
        <f>Clean_Data[[#This Row],[Exports_TIV]] - Clean_Data[[#This Row],[Imports_TIV]]</f>
        <v>-2000000</v>
      </c>
      <c r="I3839" s="4">
        <f>Clean_Data[[#This Row],[Exports_TIV]] + Clean_Data[[#This Row],[Imports_TIV]]</f>
        <v>48000000</v>
      </c>
    </row>
    <row r="3840" spans="1:9">
      <c r="A3840" s="4" t="s">
        <v>39</v>
      </c>
      <c r="B3840" s="4" t="s">
        <v>40</v>
      </c>
      <c r="C3840" s="5">
        <v>2000</v>
      </c>
      <c r="D3840" s="4">
        <v>0</v>
      </c>
      <c r="E3840" s="4">
        <v>3000000</v>
      </c>
      <c r="F3840" s="4" t="str">
        <f>_xlfn.LET(_xlpm.r, _xlfn.XLOOKUP(Clean_Data[[#This Row],[Country_Code]], Metadata_Country!$A:$A, Metadata_Country!$B:$B, "Unknown"), IF(OR(_xlpm.r=0, _xlpm.r=""), "Regional Aggregate", _xlpm.r))</f>
        <v>Europe &amp; Central Asia</v>
      </c>
      <c r="G3840" s="4" t="str">
        <f>_xlfn.LET(_xlpm.ig, _xlfn.XLOOKUP(Clean_Data[[#This Row],[Country_Code]], Metadata_Country!$A:$A, Metadata_Country!$C:$C, "Unknown"), IF(OR(_xlpm.ig=0, _xlpm.ig=""), "Regional Aggregate", _xlpm.ig))</f>
        <v>Upper middle income</v>
      </c>
      <c r="H3840" s="4">
        <f>Clean_Data[[#This Row],[Exports_TIV]] - Clean_Data[[#This Row],[Imports_TIV]]</f>
        <v>-3000000</v>
      </c>
      <c r="I3840" s="4">
        <f>Clean_Data[[#This Row],[Exports_TIV]] + Clean_Data[[#This Row],[Imports_TIV]]</f>
        <v>3000000</v>
      </c>
    </row>
    <row r="3841" spans="1:9">
      <c r="A3841" s="4" t="s">
        <v>55</v>
      </c>
      <c r="B3841" s="4" t="s">
        <v>56</v>
      </c>
      <c r="C3841" s="5">
        <v>2000</v>
      </c>
      <c r="D3841" s="4">
        <v>0</v>
      </c>
      <c r="E3841" s="4">
        <v>33000000</v>
      </c>
      <c r="F3841" s="4" t="str">
        <f>_xlfn.LET(_xlpm.r, _xlfn.XLOOKUP(Clean_Data[[#This Row],[Country_Code]], Metadata_Country!$A:$A, Metadata_Country!$B:$B, "Unknown"), IF(OR(_xlpm.r=0, _xlpm.r=""), "Regional Aggregate", _xlpm.r))</f>
        <v>Latin America &amp; Caribbean</v>
      </c>
      <c r="G3841" s="4" t="str">
        <f>_xlfn.LET(_xlpm.ig, _xlfn.XLOOKUP(Clean_Data[[#This Row],[Country_Code]], Metadata_Country!$A:$A, Metadata_Country!$C:$C, "Unknown"), IF(OR(_xlpm.ig=0, _xlpm.ig=""), "Regional Aggregate", _xlpm.ig))</f>
        <v>High income</v>
      </c>
      <c r="H3841" s="4">
        <f>Clean_Data[[#This Row],[Exports_TIV]] - Clean_Data[[#This Row],[Imports_TIV]]</f>
        <v>-33000000</v>
      </c>
      <c r="I3841" s="4">
        <f>Clean_Data[[#This Row],[Exports_TIV]] + Clean_Data[[#This Row],[Imports_TIV]]</f>
        <v>33000000</v>
      </c>
    </row>
    <row r="3842" spans="1:9">
      <c r="A3842" s="4" t="s">
        <v>53</v>
      </c>
      <c r="B3842" s="4" t="s">
        <v>54</v>
      </c>
      <c r="C3842" s="5">
        <v>2000</v>
      </c>
      <c r="D3842" s="4">
        <v>0</v>
      </c>
      <c r="E3842" s="4">
        <v>299000000</v>
      </c>
      <c r="F3842" s="4" t="str">
        <f>_xlfn.LET(_xlpm.r, _xlfn.XLOOKUP(Clean_Data[[#This Row],[Country_Code]], Metadata_Country!$A:$A, Metadata_Country!$B:$B, "Unknown"), IF(OR(_xlpm.r=0, _xlpm.r=""), "Regional Aggregate", _xlpm.r))</f>
        <v>Middle East &amp; North Africa</v>
      </c>
      <c r="G3842" s="4" t="str">
        <f>_xlfn.LET(_xlpm.ig, _xlfn.XLOOKUP(Clean_Data[[#This Row],[Country_Code]], Metadata_Country!$A:$A, Metadata_Country!$C:$C, "Unknown"), IF(OR(_xlpm.ig=0, _xlpm.ig=""), "Regional Aggregate", _xlpm.ig))</f>
        <v>High income</v>
      </c>
      <c r="H3842" s="4">
        <f>Clean_Data[[#This Row],[Exports_TIV]] - Clean_Data[[#This Row],[Imports_TIV]]</f>
        <v>-299000000</v>
      </c>
      <c r="I3842" s="4">
        <f>Clean_Data[[#This Row],[Exports_TIV]] + Clean_Data[[#This Row],[Imports_TIV]]</f>
        <v>299000000</v>
      </c>
    </row>
    <row r="3843" spans="1:9">
      <c r="A3843" s="4" t="s">
        <v>49</v>
      </c>
      <c r="B3843" s="4" t="s">
        <v>50</v>
      </c>
      <c r="C3843" s="5">
        <v>2000</v>
      </c>
      <c r="D3843" s="4">
        <v>0</v>
      </c>
      <c r="E3843" s="4">
        <v>200000000</v>
      </c>
      <c r="F3843" s="4" t="str">
        <f>_xlfn.LET(_xlpm.r, _xlfn.XLOOKUP(Clean_Data[[#This Row],[Country_Code]], Metadata_Country!$A:$A, Metadata_Country!$B:$B, "Unknown"), IF(OR(_xlpm.r=0, _xlpm.r=""), "Regional Aggregate", _xlpm.r))</f>
        <v>South Asia</v>
      </c>
      <c r="G3843" s="4" t="str">
        <f>_xlfn.LET(_xlpm.ig, _xlfn.XLOOKUP(Clean_Data[[#This Row],[Country_Code]], Metadata_Country!$A:$A, Metadata_Country!$C:$C, "Unknown"), IF(OR(_xlpm.ig=0, _xlpm.ig=""), "Regional Aggregate", _xlpm.ig))</f>
        <v>Lower middle income</v>
      </c>
      <c r="H3843" s="4">
        <f>Clean_Data[[#This Row],[Exports_TIV]] - Clean_Data[[#This Row],[Imports_TIV]]</f>
        <v>-200000000</v>
      </c>
      <c r="I3843" s="4">
        <f>Clean_Data[[#This Row],[Exports_TIV]] + Clean_Data[[#This Row],[Imports_TIV]]</f>
        <v>200000000</v>
      </c>
    </row>
    <row r="3844" spans="1:9">
      <c r="A3844" s="4" t="s">
        <v>59</v>
      </c>
      <c r="B3844" s="4" t="s">
        <v>60</v>
      </c>
      <c r="C3844" s="5">
        <v>2000</v>
      </c>
      <c r="D3844" s="4">
        <v>293000000</v>
      </c>
      <c r="E3844" s="4">
        <v>0</v>
      </c>
      <c r="F3844" s="4" t="str">
        <f>_xlfn.LET(_xlpm.r, _xlfn.XLOOKUP(Clean_Data[[#This Row],[Country_Code]], Metadata_Country!$A:$A, Metadata_Country!$B:$B, "Unknown"), IF(OR(_xlpm.r=0, _xlpm.r=""), "Regional Aggregate", _xlpm.r))</f>
        <v>Europe &amp; Central Asia</v>
      </c>
      <c r="G3844" s="4" t="str">
        <f>_xlfn.LET(_xlpm.ig, _xlfn.XLOOKUP(Clean_Data[[#This Row],[Country_Code]], Metadata_Country!$A:$A, Metadata_Country!$C:$C, "Unknown"), IF(OR(_xlpm.ig=0, _xlpm.ig=""), "Regional Aggregate", _xlpm.ig))</f>
        <v>Upper middle income</v>
      </c>
      <c r="H3844" s="4">
        <f>Clean_Data[[#This Row],[Exports_TIV]] - Clean_Data[[#This Row],[Imports_TIV]]</f>
        <v>293000000</v>
      </c>
      <c r="I3844" s="4">
        <f>Clean_Data[[#This Row],[Exports_TIV]] + Clean_Data[[#This Row],[Imports_TIV]]</f>
        <v>293000000</v>
      </c>
    </row>
    <row r="3845" spans="1:9">
      <c r="A3845" s="4" t="s">
        <v>43</v>
      </c>
      <c r="B3845" s="4" t="s">
        <v>44</v>
      </c>
      <c r="C3845" s="5">
        <v>2000</v>
      </c>
      <c r="D3845" s="4">
        <v>46000000</v>
      </c>
      <c r="E3845" s="4">
        <v>36000000</v>
      </c>
      <c r="F3845" s="4" t="str">
        <f>_xlfn.LET(_xlpm.r, _xlfn.XLOOKUP(Clean_Data[[#This Row],[Country_Code]], Metadata_Country!$A:$A, Metadata_Country!$B:$B, "Unknown"), IF(OR(_xlpm.r=0, _xlpm.r=""), "Regional Aggregate", _xlpm.r))</f>
        <v>Europe &amp; Central Asia</v>
      </c>
      <c r="G3845" s="4" t="str">
        <f>_xlfn.LET(_xlpm.ig, _xlfn.XLOOKUP(Clean_Data[[#This Row],[Country_Code]], Metadata_Country!$A:$A, Metadata_Country!$C:$C, "Unknown"), IF(OR(_xlpm.ig=0, _xlpm.ig=""), "Regional Aggregate", _xlpm.ig))</f>
        <v>High income</v>
      </c>
      <c r="H3845" s="4">
        <f>Clean_Data[[#This Row],[Exports_TIV]] - Clean_Data[[#This Row],[Imports_TIV]]</f>
        <v>10000000</v>
      </c>
      <c r="I3845" s="4">
        <f>Clean_Data[[#This Row],[Exports_TIV]] + Clean_Data[[#This Row],[Imports_TIV]]</f>
        <v>82000000</v>
      </c>
    </row>
    <row r="3846" spans="1:9">
      <c r="A3846" s="4" t="s">
        <v>61</v>
      </c>
      <c r="B3846" s="4" t="s">
        <v>62</v>
      </c>
      <c r="C3846" s="5">
        <v>2000</v>
      </c>
      <c r="D3846" s="4">
        <v>0</v>
      </c>
      <c r="E3846" s="4">
        <v>1000000</v>
      </c>
      <c r="F3846" s="4" t="str">
        <f>_xlfn.LET(_xlpm.r, _xlfn.XLOOKUP(Clean_Data[[#This Row],[Country_Code]], Metadata_Country!$A:$A, Metadata_Country!$B:$B, "Unknown"), IF(OR(_xlpm.r=0, _xlpm.r=""), "Regional Aggregate", _xlpm.r))</f>
        <v>Latin America &amp; Caribbean</v>
      </c>
      <c r="G3846" s="4" t="str">
        <f>_xlfn.LET(_xlpm.ig, _xlfn.XLOOKUP(Clean_Data[[#This Row],[Country_Code]], Metadata_Country!$A:$A, Metadata_Country!$C:$C, "Unknown"), IF(OR(_xlpm.ig=0, _xlpm.ig=""), "Regional Aggregate", _xlpm.ig))</f>
        <v>Upper middle income</v>
      </c>
      <c r="H3846" s="4">
        <f>Clean_Data[[#This Row],[Exports_TIV]] - Clean_Data[[#This Row],[Imports_TIV]]</f>
        <v>-1000000</v>
      </c>
      <c r="I3846" s="4">
        <f>Clean_Data[[#This Row],[Exports_TIV]] + Clean_Data[[#This Row],[Imports_TIV]]</f>
        <v>1000000</v>
      </c>
    </row>
    <row r="3847" spans="1:9">
      <c r="A3847" s="4" t="s">
        <v>65</v>
      </c>
      <c r="B3847" s="4" t="s">
        <v>66</v>
      </c>
      <c r="C3847" s="5">
        <v>2000</v>
      </c>
      <c r="D3847" s="4">
        <v>0</v>
      </c>
      <c r="E3847" s="4">
        <v>19000000</v>
      </c>
      <c r="F3847" s="4" t="str">
        <f>_xlfn.LET(_xlpm.r, _xlfn.XLOOKUP(Clean_Data[[#This Row],[Country_Code]], Metadata_Country!$A:$A, Metadata_Country!$B:$B, "Unknown"), IF(OR(_xlpm.r=0, _xlpm.r=""), "Regional Aggregate", _xlpm.r))</f>
        <v>Latin America &amp; Caribbean</v>
      </c>
      <c r="G3847" s="4" t="str">
        <f>_xlfn.LET(_xlpm.ig, _xlfn.XLOOKUP(Clean_Data[[#This Row],[Country_Code]], Metadata_Country!$A:$A, Metadata_Country!$C:$C, "Unknown"), IF(OR(_xlpm.ig=0, _xlpm.ig=""), "Regional Aggregate", _xlpm.ig))</f>
        <v>Lower middle income</v>
      </c>
      <c r="H3847" s="4">
        <f>Clean_Data[[#This Row],[Exports_TIV]] - Clean_Data[[#This Row],[Imports_TIV]]</f>
        <v>-19000000</v>
      </c>
      <c r="I3847" s="4">
        <f>Clean_Data[[#This Row],[Exports_TIV]] + Clean_Data[[#This Row],[Imports_TIV]]</f>
        <v>19000000</v>
      </c>
    </row>
    <row r="3848" spans="1:9">
      <c r="A3848" s="4" t="s">
        <v>75</v>
      </c>
      <c r="B3848" s="4" t="s">
        <v>76</v>
      </c>
      <c r="C3848" s="5">
        <v>2000</v>
      </c>
      <c r="D3848" s="4">
        <v>0</v>
      </c>
      <c r="E3848" s="4">
        <v>54000000</v>
      </c>
      <c r="F3848" s="4" t="str">
        <f>_xlfn.LET(_xlpm.r, _xlfn.XLOOKUP(Clean_Data[[#This Row],[Country_Code]], Metadata_Country!$A:$A, Metadata_Country!$B:$B, "Unknown"), IF(OR(_xlpm.r=0, _xlpm.r=""), "Regional Aggregate", _xlpm.r))</f>
        <v>Sub-Saharan Africa</v>
      </c>
      <c r="G3848" s="4" t="str">
        <f>_xlfn.LET(_xlpm.ig, _xlfn.XLOOKUP(Clean_Data[[#This Row],[Country_Code]], Metadata_Country!$A:$A, Metadata_Country!$C:$C, "Unknown"), IF(OR(_xlpm.ig=0, _xlpm.ig=""), "Regional Aggregate", _xlpm.ig))</f>
        <v>Upper middle income</v>
      </c>
      <c r="H3848" s="4">
        <f>Clean_Data[[#This Row],[Exports_TIV]] - Clean_Data[[#This Row],[Imports_TIV]]</f>
        <v>-54000000</v>
      </c>
      <c r="I3848" s="4">
        <f>Clean_Data[[#This Row],[Exports_TIV]] + Clean_Data[[#This Row],[Imports_TIV]]</f>
        <v>54000000</v>
      </c>
    </row>
    <row r="3849" spans="1:9">
      <c r="A3849" s="4" t="s">
        <v>67</v>
      </c>
      <c r="B3849" s="4" t="s">
        <v>68</v>
      </c>
      <c r="C3849" s="5">
        <v>2000</v>
      </c>
      <c r="D3849" s="4">
        <v>0</v>
      </c>
      <c r="E3849" s="4">
        <v>86000000</v>
      </c>
      <c r="F3849" s="4" t="str">
        <f>_xlfn.LET(_xlpm.r, _xlfn.XLOOKUP(Clean_Data[[#This Row],[Country_Code]], Metadata_Country!$A:$A, Metadata_Country!$B:$B, "Unknown"), IF(OR(_xlpm.r=0, _xlpm.r=""), "Regional Aggregate", _xlpm.r))</f>
        <v>Latin America &amp; Caribbean</v>
      </c>
      <c r="G3849" s="4" t="str">
        <f>_xlfn.LET(_xlpm.ig, _xlfn.XLOOKUP(Clean_Data[[#This Row],[Country_Code]], Metadata_Country!$A:$A, Metadata_Country!$C:$C, "Unknown"), IF(OR(_xlpm.ig=0, _xlpm.ig=""), "Regional Aggregate", _xlpm.ig))</f>
        <v>Upper middle income</v>
      </c>
      <c r="H3849" s="4">
        <f>Clean_Data[[#This Row],[Exports_TIV]] - Clean_Data[[#This Row],[Imports_TIV]]</f>
        <v>-86000000</v>
      </c>
      <c r="I3849" s="4">
        <f>Clean_Data[[#This Row],[Exports_TIV]] + Clean_Data[[#This Row],[Imports_TIV]]</f>
        <v>86000000</v>
      </c>
    </row>
    <row r="3850" spans="1:9">
      <c r="A3850" s="4" t="s">
        <v>51</v>
      </c>
      <c r="B3850" s="4" t="s">
        <v>52</v>
      </c>
      <c r="C3850" s="5">
        <v>2000</v>
      </c>
      <c r="D3850" s="4">
        <v>6000000</v>
      </c>
      <c r="E3850" s="4">
        <v>0</v>
      </c>
      <c r="F3850" s="4" t="str">
        <f>_xlfn.LET(_xlpm.r, _xlfn.XLOOKUP(Clean_Data[[#This Row],[Country_Code]], Metadata_Country!$A:$A, Metadata_Country!$B:$B, "Unknown"), IF(OR(_xlpm.r=0, _xlpm.r=""), "Regional Aggregate", _xlpm.r))</f>
        <v>Europe &amp; Central Asia</v>
      </c>
      <c r="G3850" s="4" t="str">
        <f>_xlfn.LET(_xlpm.ig, _xlfn.XLOOKUP(Clean_Data[[#This Row],[Country_Code]], Metadata_Country!$A:$A, Metadata_Country!$C:$C, "Unknown"), IF(OR(_xlpm.ig=0, _xlpm.ig=""), "Regional Aggregate", _xlpm.ig))</f>
        <v>High income</v>
      </c>
      <c r="H3850" s="4">
        <f>Clean_Data[[#This Row],[Exports_TIV]] - Clean_Data[[#This Row],[Imports_TIV]]</f>
        <v>6000000</v>
      </c>
      <c r="I3850" s="4">
        <f>Clean_Data[[#This Row],[Exports_TIV]] + Clean_Data[[#This Row],[Imports_TIV]]</f>
        <v>6000000</v>
      </c>
    </row>
    <row r="3851" spans="1:9">
      <c r="A3851" s="4" t="s">
        <v>103</v>
      </c>
      <c r="B3851" s="4" t="s">
        <v>104</v>
      </c>
      <c r="C3851" s="5">
        <v>2000</v>
      </c>
      <c r="D3851" s="4">
        <v>0</v>
      </c>
      <c r="E3851" s="4">
        <v>1000000</v>
      </c>
      <c r="F3851" s="4" t="str">
        <f>_xlfn.LET(_xlpm.r, _xlfn.XLOOKUP(Clean_Data[[#This Row],[Country_Code]], Metadata_Country!$A:$A, Metadata_Country!$B:$B, "Unknown"), IF(OR(_xlpm.r=0, _xlpm.r=""), "Regional Aggregate", _xlpm.r))</f>
        <v>Sub-Saharan Africa</v>
      </c>
      <c r="G3851" s="4" t="str">
        <f>_xlfn.LET(_xlpm.ig, _xlfn.XLOOKUP(Clean_Data[[#This Row],[Country_Code]], Metadata_Country!$A:$A, Metadata_Country!$C:$C, "Unknown"), IF(OR(_xlpm.ig=0, _xlpm.ig=""), "Regional Aggregate", _xlpm.ig))</f>
        <v>Upper middle income</v>
      </c>
      <c r="H3851" s="4">
        <f>Clean_Data[[#This Row],[Exports_TIV]] - Clean_Data[[#This Row],[Imports_TIV]]</f>
        <v>-1000000</v>
      </c>
      <c r="I3851" s="4">
        <f>Clean_Data[[#This Row],[Exports_TIV]] + Clean_Data[[#This Row],[Imports_TIV]]</f>
        <v>1000000</v>
      </c>
    </row>
    <row r="3852" spans="1:9">
      <c r="A3852" s="4" t="s">
        <v>255</v>
      </c>
      <c r="B3852" s="4" t="s">
        <v>256</v>
      </c>
      <c r="C3852" s="5">
        <v>2000</v>
      </c>
      <c r="D3852" s="4">
        <v>1000000</v>
      </c>
      <c r="E3852" s="4">
        <v>0</v>
      </c>
      <c r="F3852" s="4" t="str">
        <f>_xlfn.LET(_xlpm.r, _xlfn.XLOOKUP(Clean_Data[[#This Row],[Country_Code]], Metadata_Country!$A:$A, Metadata_Country!$B:$B, "Unknown"), IF(OR(_xlpm.r=0, _xlpm.r=""), "Regional Aggregate", _xlpm.r))</f>
        <v>East Asia &amp; Pacific</v>
      </c>
      <c r="G3852" s="4" t="str">
        <f>_xlfn.LET(_xlpm.ig, _xlfn.XLOOKUP(Clean_Data[[#This Row],[Country_Code]], Metadata_Country!$A:$A, Metadata_Country!$C:$C, "Unknown"), IF(OR(_xlpm.ig=0, _xlpm.ig=""), "Regional Aggregate", _xlpm.ig))</f>
        <v>Lower middle income</v>
      </c>
      <c r="H3852" s="4">
        <f>Clean_Data[[#This Row],[Exports_TIV]] - Clean_Data[[#This Row],[Imports_TIV]]</f>
        <v>1000000</v>
      </c>
      <c r="I3852" s="4">
        <f>Clean_Data[[#This Row],[Exports_TIV]] + Clean_Data[[#This Row],[Imports_TIV]]</f>
        <v>1000000</v>
      </c>
    </row>
    <row r="3853" spans="1:9">
      <c r="A3853" s="4" t="s">
        <v>79</v>
      </c>
      <c r="B3853" s="4" t="s">
        <v>80</v>
      </c>
      <c r="C3853" s="5">
        <v>2000</v>
      </c>
      <c r="D3853" s="4">
        <v>69000000</v>
      </c>
      <c r="E3853" s="4">
        <v>529000000</v>
      </c>
      <c r="F3853" s="4" t="str">
        <f>_xlfn.LET(_xlpm.r, _xlfn.XLOOKUP(Clean_Data[[#This Row],[Country_Code]], Metadata_Country!$A:$A, Metadata_Country!$B:$B, "Unknown"), IF(OR(_xlpm.r=0, _xlpm.r=""), "Regional Aggregate", _xlpm.r))</f>
        <v>North America</v>
      </c>
      <c r="G3853" s="4" t="str">
        <f>_xlfn.LET(_xlpm.ig, _xlfn.XLOOKUP(Clean_Data[[#This Row],[Country_Code]], Metadata_Country!$A:$A, Metadata_Country!$C:$C, "Unknown"), IF(OR(_xlpm.ig=0, _xlpm.ig=""), "Regional Aggregate", _xlpm.ig))</f>
        <v>High income</v>
      </c>
      <c r="H3853" s="4">
        <f>Clean_Data[[#This Row],[Exports_TIV]] - Clean_Data[[#This Row],[Imports_TIV]]</f>
        <v>-460000000</v>
      </c>
      <c r="I3853" s="4">
        <f>Clean_Data[[#This Row],[Exports_TIV]] + Clean_Data[[#This Row],[Imports_TIV]]</f>
        <v>598000000</v>
      </c>
    </row>
    <row r="3854" spans="1:9">
      <c r="A3854" s="4" t="s">
        <v>81</v>
      </c>
      <c r="B3854" s="4" t="s">
        <v>82</v>
      </c>
      <c r="C3854" s="5">
        <v>2000</v>
      </c>
      <c r="D3854" s="4">
        <v>186000000</v>
      </c>
      <c r="E3854" s="4">
        <v>233000000</v>
      </c>
      <c r="F3854" s="4" t="str">
        <f>_xlfn.LET(_xlpm.r, _xlfn.XLOOKUP(Clean_Data[[#This Row],[Country_Code]], Metadata_Country!$A:$A, Metadata_Country!$B:$B, "Unknown"), IF(OR(_xlpm.r=0, _xlpm.r=""), "Regional Aggregate", _xlpm.r))</f>
        <v>Regional Aggregate</v>
      </c>
      <c r="G3854" s="4" t="str">
        <f>_xlfn.LET(_xlpm.ig, _xlfn.XLOOKUP(Clean_Data[[#This Row],[Country_Code]], Metadata_Country!$A:$A, Metadata_Country!$C:$C, "Unknown"), IF(OR(_xlpm.ig=0, _xlpm.ig=""), "Regional Aggregate", _xlpm.ig))</f>
        <v>Regional Aggregate</v>
      </c>
      <c r="H3854" s="4">
        <f>Clean_Data[[#This Row],[Exports_TIV]] - Clean_Data[[#This Row],[Imports_TIV]]</f>
        <v>-47000000</v>
      </c>
      <c r="I3854" s="4">
        <f>Clean_Data[[#This Row],[Exports_TIV]] + Clean_Data[[#This Row],[Imports_TIV]]</f>
        <v>419000000</v>
      </c>
    </row>
    <row r="3855" spans="1:9">
      <c r="A3855" s="4" t="s">
        <v>87</v>
      </c>
      <c r="B3855" s="4" t="s">
        <v>88</v>
      </c>
      <c r="C3855" s="5">
        <v>2000</v>
      </c>
      <c r="D3855" s="4">
        <v>1000000</v>
      </c>
      <c r="E3855" s="4">
        <v>230000000</v>
      </c>
      <c r="F3855" s="4" t="str">
        <f>_xlfn.LET(_xlpm.r, _xlfn.XLOOKUP(Clean_Data[[#This Row],[Country_Code]], Metadata_Country!$A:$A, Metadata_Country!$B:$B, "Unknown"), IF(OR(_xlpm.r=0, _xlpm.r=""), "Regional Aggregate", _xlpm.r))</f>
        <v>Latin America &amp; Caribbean</v>
      </c>
      <c r="G3855" s="4" t="str">
        <f>_xlfn.LET(_xlpm.ig, _xlfn.XLOOKUP(Clean_Data[[#This Row],[Country_Code]], Metadata_Country!$A:$A, Metadata_Country!$C:$C, "Unknown"), IF(OR(_xlpm.ig=0, _xlpm.ig=""), "Regional Aggregate", _xlpm.ig))</f>
        <v>High income</v>
      </c>
      <c r="H3855" s="4">
        <f>Clean_Data[[#This Row],[Exports_TIV]] - Clean_Data[[#This Row],[Imports_TIV]]</f>
        <v>-229000000</v>
      </c>
      <c r="I3855" s="4">
        <f>Clean_Data[[#This Row],[Exports_TIV]] + Clean_Data[[#This Row],[Imports_TIV]]</f>
        <v>231000000</v>
      </c>
    </row>
    <row r="3856" spans="1:9">
      <c r="A3856" s="4" t="s">
        <v>89</v>
      </c>
      <c r="B3856" s="4" t="s">
        <v>90</v>
      </c>
      <c r="C3856" s="5">
        <v>2000</v>
      </c>
      <c r="D3856" s="4">
        <v>309000000</v>
      </c>
      <c r="E3856" s="4">
        <v>2473000000</v>
      </c>
      <c r="F3856" s="4" t="str">
        <f>_xlfn.LET(_xlpm.r, _xlfn.XLOOKUP(Clean_Data[[#This Row],[Country_Code]], Metadata_Country!$A:$A, Metadata_Country!$B:$B, "Unknown"), IF(OR(_xlpm.r=0, _xlpm.r=""), "Regional Aggregate", _xlpm.r))</f>
        <v>East Asia &amp; Pacific</v>
      </c>
      <c r="G3856" s="4" t="str">
        <f>_xlfn.LET(_xlpm.ig, _xlfn.XLOOKUP(Clean_Data[[#This Row],[Country_Code]], Metadata_Country!$A:$A, Metadata_Country!$C:$C, "Unknown"), IF(OR(_xlpm.ig=0, _xlpm.ig=""), "Regional Aggregate", _xlpm.ig))</f>
        <v>Upper middle income</v>
      </c>
      <c r="H3856" s="4">
        <f>Clean_Data[[#This Row],[Exports_TIV]] - Clean_Data[[#This Row],[Imports_TIV]]</f>
        <v>-2164000000</v>
      </c>
      <c r="I3856" s="4">
        <f>Clean_Data[[#This Row],[Exports_TIV]] + Clean_Data[[#This Row],[Imports_TIV]]</f>
        <v>2782000000</v>
      </c>
    </row>
    <row r="3857" spans="1:9">
      <c r="A3857" s="4" t="s">
        <v>99</v>
      </c>
      <c r="B3857" s="4" t="s">
        <v>100</v>
      </c>
      <c r="C3857" s="5">
        <v>2000</v>
      </c>
      <c r="D3857" s="4">
        <v>0</v>
      </c>
      <c r="E3857" s="4">
        <v>68000000</v>
      </c>
      <c r="F3857" s="4" t="str">
        <f>_xlfn.LET(_xlpm.r, _xlfn.XLOOKUP(Clean_Data[[#This Row],[Country_Code]], Metadata_Country!$A:$A, Metadata_Country!$B:$B, "Unknown"), IF(OR(_xlpm.r=0, _xlpm.r=""), "Regional Aggregate", _xlpm.r))</f>
        <v>Latin America &amp; Caribbean</v>
      </c>
      <c r="G3857" s="4" t="str">
        <f>_xlfn.LET(_xlpm.ig, _xlfn.XLOOKUP(Clean_Data[[#This Row],[Country_Code]], Metadata_Country!$A:$A, Metadata_Country!$C:$C, "Unknown"), IF(OR(_xlpm.ig=0, _xlpm.ig=""), "Regional Aggregate", _xlpm.ig))</f>
        <v>Upper middle income</v>
      </c>
      <c r="H3857" s="4">
        <f>Clean_Data[[#This Row],[Exports_TIV]] - Clean_Data[[#This Row],[Imports_TIV]]</f>
        <v>-68000000</v>
      </c>
      <c r="I3857" s="4">
        <f>Clean_Data[[#This Row],[Exports_TIV]] + Clean_Data[[#This Row],[Imports_TIV]]</f>
        <v>68000000</v>
      </c>
    </row>
    <row r="3858" spans="1:9">
      <c r="A3858" s="4" t="s">
        <v>95</v>
      </c>
      <c r="B3858" s="4" t="s">
        <v>96</v>
      </c>
      <c r="C3858" s="5">
        <v>2000</v>
      </c>
      <c r="D3858" s="4">
        <v>0</v>
      </c>
      <c r="E3858" s="4">
        <v>89000000</v>
      </c>
      <c r="F3858" s="4" t="str">
        <f>_xlfn.LET(_xlpm.r, _xlfn.XLOOKUP(Clean_Data[[#This Row],[Country_Code]], Metadata_Country!$A:$A, Metadata_Country!$B:$B, "Unknown"), IF(OR(_xlpm.r=0, _xlpm.r=""), "Regional Aggregate", _xlpm.r))</f>
        <v>Sub-Saharan Africa</v>
      </c>
      <c r="G3858" s="4" t="str">
        <f>_xlfn.LET(_xlpm.ig, _xlfn.XLOOKUP(Clean_Data[[#This Row],[Country_Code]], Metadata_Country!$A:$A, Metadata_Country!$C:$C, "Unknown"), IF(OR(_xlpm.ig=0, _xlpm.ig=""), "Regional Aggregate", _xlpm.ig))</f>
        <v>Low income</v>
      </c>
      <c r="H3858" s="4">
        <f>Clean_Data[[#This Row],[Exports_TIV]] - Clean_Data[[#This Row],[Imports_TIV]]</f>
        <v>-89000000</v>
      </c>
      <c r="I3858" s="4">
        <f>Clean_Data[[#This Row],[Exports_TIV]] + Clean_Data[[#This Row],[Imports_TIV]]</f>
        <v>89000000</v>
      </c>
    </row>
    <row r="3859" spans="1:9">
      <c r="A3859" s="4" t="s">
        <v>97</v>
      </c>
      <c r="B3859" s="4" t="s">
        <v>98</v>
      </c>
      <c r="C3859" s="5">
        <v>2000</v>
      </c>
      <c r="D3859" s="4">
        <v>0</v>
      </c>
      <c r="E3859" s="4">
        <v>0</v>
      </c>
      <c r="F3859" s="4" t="str">
        <f>_xlfn.LET(_xlpm.r, _xlfn.XLOOKUP(Clean_Data[[#This Row],[Country_Code]], Metadata_Country!$A:$A, Metadata_Country!$B:$B, "Unknown"), IF(OR(_xlpm.r=0, _xlpm.r=""), "Regional Aggregate", _xlpm.r))</f>
        <v>Sub-Saharan Africa</v>
      </c>
      <c r="G3859" s="4" t="str">
        <f>_xlfn.LET(_xlpm.ig, _xlfn.XLOOKUP(Clean_Data[[#This Row],[Country_Code]], Metadata_Country!$A:$A, Metadata_Country!$C:$C, "Unknown"), IF(OR(_xlpm.ig=0, _xlpm.ig=""), "Regional Aggregate", _xlpm.ig))</f>
        <v>Lower middle income</v>
      </c>
      <c r="H3859" s="4">
        <f>Clean_Data[[#This Row],[Exports_TIV]] - Clean_Data[[#This Row],[Imports_TIV]]</f>
        <v>0</v>
      </c>
      <c r="I3859" s="4">
        <f>Clean_Data[[#This Row],[Exports_TIV]] + Clean_Data[[#This Row],[Imports_TIV]]</f>
        <v>0</v>
      </c>
    </row>
    <row r="3860" spans="1:9">
      <c r="A3860" s="4" t="s">
        <v>91</v>
      </c>
      <c r="B3860" s="4" t="s">
        <v>92</v>
      </c>
      <c r="C3860" s="5">
        <v>2000</v>
      </c>
      <c r="D3860" s="4">
        <v>0</v>
      </c>
      <c r="E3860" s="4">
        <v>0</v>
      </c>
      <c r="F3860" s="4" t="str">
        <f>_xlfn.LET(_xlpm.r, _xlfn.XLOOKUP(Clean_Data[[#This Row],[Country_Code]], Metadata_Country!$A:$A, Metadata_Country!$B:$B, "Unknown"), IF(OR(_xlpm.r=0, _xlpm.r=""), "Regional Aggregate", _xlpm.r))</f>
        <v>Sub-Saharan Africa</v>
      </c>
      <c r="G3860" s="4" t="str">
        <f>_xlfn.LET(_xlpm.ig, _xlfn.XLOOKUP(Clean_Data[[#This Row],[Country_Code]], Metadata_Country!$A:$A, Metadata_Country!$C:$C, "Unknown"), IF(OR(_xlpm.ig=0, _xlpm.ig=""), "Regional Aggregate", _xlpm.ig))</f>
        <v>Lower middle income</v>
      </c>
      <c r="H3860" s="4">
        <f>Clean_Data[[#This Row],[Exports_TIV]] - Clean_Data[[#This Row],[Imports_TIV]]</f>
        <v>0</v>
      </c>
      <c r="I3860" s="4">
        <f>Clean_Data[[#This Row],[Exports_TIV]] + Clean_Data[[#This Row],[Imports_TIV]]</f>
        <v>0</v>
      </c>
    </row>
    <row r="3861" spans="1:9">
      <c r="A3861" s="4" t="s">
        <v>207</v>
      </c>
      <c r="B3861" s="4" t="s">
        <v>208</v>
      </c>
      <c r="C3861" s="5">
        <v>2000</v>
      </c>
      <c r="D3861" s="4">
        <v>10000000</v>
      </c>
      <c r="E3861" s="4">
        <v>0</v>
      </c>
      <c r="F3861" s="4" t="str">
        <f>_xlfn.LET(_xlpm.r, _xlfn.XLOOKUP(Clean_Data[[#This Row],[Country_Code]], Metadata_Country!$A:$A, Metadata_Country!$B:$B, "Unknown"), IF(OR(_xlpm.r=0, _xlpm.r=""), "Regional Aggregate", _xlpm.r))</f>
        <v>Europe &amp; Central Asia</v>
      </c>
      <c r="G3861" s="4" t="str">
        <f>_xlfn.LET(_xlpm.ig, _xlfn.XLOOKUP(Clean_Data[[#This Row],[Country_Code]], Metadata_Country!$A:$A, Metadata_Country!$C:$C, "Unknown"), IF(OR(_xlpm.ig=0, _xlpm.ig=""), "Regional Aggregate", _xlpm.ig))</f>
        <v>High income</v>
      </c>
      <c r="H3861" s="4">
        <f>Clean_Data[[#This Row],[Exports_TIV]] - Clean_Data[[#This Row],[Imports_TIV]]</f>
        <v>10000000</v>
      </c>
      <c r="I3861" s="4">
        <f>Clean_Data[[#This Row],[Exports_TIV]] + Clean_Data[[#This Row],[Imports_TIV]]</f>
        <v>10000000</v>
      </c>
    </row>
    <row r="3862" spans="1:9">
      <c r="A3862" s="4" t="s">
        <v>115</v>
      </c>
      <c r="B3862" s="4" t="s">
        <v>116</v>
      </c>
      <c r="C3862" s="5">
        <v>2000</v>
      </c>
      <c r="D3862" s="4">
        <v>0</v>
      </c>
      <c r="E3862" s="4">
        <v>4000000</v>
      </c>
      <c r="F3862" s="4" t="str">
        <f>_xlfn.LET(_xlpm.r, _xlfn.XLOOKUP(Clean_Data[[#This Row],[Country_Code]], Metadata_Country!$A:$A, Metadata_Country!$B:$B, "Unknown"), IF(OR(_xlpm.r=0, _xlpm.r=""), "Regional Aggregate", _xlpm.r))</f>
        <v>Europe &amp; Central Asia</v>
      </c>
      <c r="G3862" s="4" t="str">
        <f>_xlfn.LET(_xlpm.ig, _xlfn.XLOOKUP(Clean_Data[[#This Row],[Country_Code]], Metadata_Country!$A:$A, Metadata_Country!$C:$C, "Unknown"), IF(OR(_xlpm.ig=0, _xlpm.ig=""), "Regional Aggregate", _xlpm.ig))</f>
        <v>High income</v>
      </c>
      <c r="H3862" s="4">
        <f>Clean_Data[[#This Row],[Exports_TIV]] - Clean_Data[[#This Row],[Imports_TIV]]</f>
        <v>-4000000</v>
      </c>
      <c r="I3862" s="4">
        <f>Clean_Data[[#This Row],[Exports_TIV]] + Clean_Data[[#This Row],[Imports_TIV]]</f>
        <v>4000000</v>
      </c>
    </row>
    <row r="3863" spans="1:9">
      <c r="A3863" s="4" t="s">
        <v>117</v>
      </c>
      <c r="B3863" s="4" t="s">
        <v>118</v>
      </c>
      <c r="C3863" s="5">
        <v>2000</v>
      </c>
      <c r="D3863" s="4">
        <v>83000000</v>
      </c>
      <c r="E3863" s="4">
        <v>13000000</v>
      </c>
      <c r="F3863" s="4" t="str">
        <f>_xlfn.LET(_xlpm.r, _xlfn.XLOOKUP(Clean_Data[[#This Row],[Country_Code]], Metadata_Country!$A:$A, Metadata_Country!$B:$B, "Unknown"), IF(OR(_xlpm.r=0, _xlpm.r=""), "Regional Aggregate", _xlpm.r))</f>
        <v>Europe &amp; Central Asia</v>
      </c>
      <c r="G3863" s="4" t="str">
        <f>_xlfn.LET(_xlpm.ig, _xlfn.XLOOKUP(Clean_Data[[#This Row],[Country_Code]], Metadata_Country!$A:$A, Metadata_Country!$C:$C, "Unknown"), IF(OR(_xlpm.ig=0, _xlpm.ig=""), "Regional Aggregate", _xlpm.ig))</f>
        <v>High income</v>
      </c>
      <c r="H3863" s="4">
        <f>Clean_Data[[#This Row],[Exports_TIV]] - Clean_Data[[#This Row],[Imports_TIV]]</f>
        <v>70000000</v>
      </c>
      <c r="I3863" s="4">
        <f>Clean_Data[[#This Row],[Exports_TIV]] + Clean_Data[[#This Row],[Imports_TIV]]</f>
        <v>96000000</v>
      </c>
    </row>
    <row r="3864" spans="1:9">
      <c r="A3864" s="4" t="s">
        <v>125</v>
      </c>
      <c r="B3864" s="4" t="s">
        <v>126</v>
      </c>
      <c r="C3864" s="5">
        <v>2000</v>
      </c>
      <c r="D3864" s="4">
        <v>18000000</v>
      </c>
      <c r="E3864" s="4">
        <v>50000000</v>
      </c>
      <c r="F3864" s="4" t="str">
        <f>_xlfn.LET(_xlpm.r, _xlfn.XLOOKUP(Clean_Data[[#This Row],[Country_Code]], Metadata_Country!$A:$A, Metadata_Country!$B:$B, "Unknown"), IF(OR(_xlpm.r=0, _xlpm.r=""), "Regional Aggregate", _xlpm.r))</f>
        <v>Europe &amp; Central Asia</v>
      </c>
      <c r="G3864" s="4" t="str">
        <f>_xlfn.LET(_xlpm.ig, _xlfn.XLOOKUP(Clean_Data[[#This Row],[Country_Code]], Metadata_Country!$A:$A, Metadata_Country!$C:$C, "Unknown"), IF(OR(_xlpm.ig=0, _xlpm.ig=""), "Regional Aggregate", _xlpm.ig))</f>
        <v>High income</v>
      </c>
      <c r="H3864" s="4">
        <f>Clean_Data[[#This Row],[Exports_TIV]] - Clean_Data[[#This Row],[Imports_TIV]]</f>
        <v>-32000000</v>
      </c>
      <c r="I3864" s="4">
        <f>Clean_Data[[#This Row],[Exports_TIV]] + Clean_Data[[#This Row],[Imports_TIV]]</f>
        <v>68000000</v>
      </c>
    </row>
    <row r="3865" spans="1:9">
      <c r="A3865" s="4" t="s">
        <v>121</v>
      </c>
      <c r="B3865" s="4" t="s">
        <v>122</v>
      </c>
      <c r="C3865" s="5">
        <v>2000</v>
      </c>
      <c r="D3865" s="4">
        <v>0</v>
      </c>
      <c r="E3865" s="4">
        <v>1000000</v>
      </c>
      <c r="F3865" s="4" t="str">
        <f>_xlfn.LET(_xlpm.r, _xlfn.XLOOKUP(Clean_Data[[#This Row],[Country_Code]], Metadata_Country!$A:$A, Metadata_Country!$B:$B, "Unknown"), IF(OR(_xlpm.r=0, _xlpm.r=""), "Regional Aggregate", _xlpm.r))</f>
        <v>Middle East &amp; North Africa</v>
      </c>
      <c r="G3865" s="4" t="str">
        <f>_xlfn.LET(_xlpm.ig, _xlfn.XLOOKUP(Clean_Data[[#This Row],[Country_Code]], Metadata_Country!$A:$A, Metadata_Country!$C:$C, "Unknown"), IF(OR(_xlpm.ig=0, _xlpm.ig=""), "Regional Aggregate", _xlpm.ig))</f>
        <v>Lower middle income</v>
      </c>
      <c r="H3865" s="4">
        <f>Clean_Data[[#This Row],[Exports_TIV]] - Clean_Data[[#This Row],[Imports_TIV]]</f>
        <v>-1000000</v>
      </c>
      <c r="I3865" s="4">
        <f>Clean_Data[[#This Row],[Exports_TIV]] + Clean_Data[[#This Row],[Imports_TIV]]</f>
        <v>1000000</v>
      </c>
    </row>
    <row r="3866" spans="1:9">
      <c r="A3866" s="4" t="s">
        <v>127</v>
      </c>
      <c r="B3866" s="4" t="s">
        <v>128</v>
      </c>
      <c r="C3866" s="5">
        <v>2000</v>
      </c>
      <c r="D3866" s="4">
        <v>0</v>
      </c>
      <c r="E3866" s="4">
        <v>13000000</v>
      </c>
      <c r="F3866" s="4" t="str">
        <f>_xlfn.LET(_xlpm.r, _xlfn.XLOOKUP(Clean_Data[[#This Row],[Country_Code]], Metadata_Country!$A:$A, Metadata_Country!$B:$B, "Unknown"), IF(OR(_xlpm.r=0, _xlpm.r=""), "Regional Aggregate", _xlpm.r))</f>
        <v>Latin America &amp; Caribbean</v>
      </c>
      <c r="G3866" s="4" t="str">
        <f>_xlfn.LET(_xlpm.ig, _xlfn.XLOOKUP(Clean_Data[[#This Row],[Country_Code]], Metadata_Country!$A:$A, Metadata_Country!$C:$C, "Unknown"), IF(OR(_xlpm.ig=0, _xlpm.ig=""), "Regional Aggregate", _xlpm.ig))</f>
        <v>Upper middle income</v>
      </c>
      <c r="H3866" s="4">
        <f>Clean_Data[[#This Row],[Exports_TIV]] - Clean_Data[[#This Row],[Imports_TIV]]</f>
        <v>-13000000</v>
      </c>
      <c r="I3866" s="4">
        <f>Clean_Data[[#This Row],[Exports_TIV]] + Clean_Data[[#This Row],[Imports_TIV]]</f>
        <v>13000000</v>
      </c>
    </row>
    <row r="3867" spans="1:9">
      <c r="A3867" s="4" t="s">
        <v>133</v>
      </c>
      <c r="B3867" s="4" t="s">
        <v>134</v>
      </c>
      <c r="C3867" s="5">
        <v>2000</v>
      </c>
      <c r="D3867" s="4">
        <v>0</v>
      </c>
      <c r="E3867" s="4">
        <v>6325000000</v>
      </c>
      <c r="F3867" s="4" t="str">
        <f>_xlfn.LET(_xlpm.r, _xlfn.XLOOKUP(Clean_Data[[#This Row],[Country_Code]], Metadata_Country!$A:$A, Metadata_Country!$B:$B, "Unknown"), IF(OR(_xlpm.r=0, _xlpm.r=""), "Regional Aggregate", _xlpm.r))</f>
        <v>Regional Aggregate</v>
      </c>
      <c r="G3867" s="4" t="str">
        <f>_xlfn.LET(_xlpm.ig, _xlfn.XLOOKUP(Clean_Data[[#This Row],[Country_Code]], Metadata_Country!$A:$A, Metadata_Country!$C:$C, "Unknown"), IF(OR(_xlpm.ig=0, _xlpm.ig=""), "Regional Aggregate", _xlpm.ig))</f>
        <v>Regional Aggregate</v>
      </c>
      <c r="H3867" s="4">
        <f>Clean_Data[[#This Row],[Exports_TIV]] - Clean_Data[[#This Row],[Imports_TIV]]</f>
        <v>-6325000000</v>
      </c>
      <c r="I3867" s="4">
        <f>Clean_Data[[#This Row],[Exports_TIV]] + Clean_Data[[#This Row],[Imports_TIV]]</f>
        <v>6325000000</v>
      </c>
    </row>
    <row r="3868" spans="1:9">
      <c r="A3868" s="4" t="s">
        <v>135</v>
      </c>
      <c r="B3868" s="4" t="s">
        <v>136</v>
      </c>
      <c r="C3868" s="5">
        <v>2000</v>
      </c>
      <c r="D3868" s="4">
        <v>0</v>
      </c>
      <c r="E3868" s="4">
        <v>6434000000</v>
      </c>
      <c r="F3868" s="4" t="str">
        <f>_xlfn.LET(_xlpm.r, _xlfn.XLOOKUP(Clean_Data[[#This Row],[Country_Code]], Metadata_Country!$A:$A, Metadata_Country!$B:$B, "Unknown"), IF(OR(_xlpm.r=0, _xlpm.r=""), "Regional Aggregate", _xlpm.r))</f>
        <v>Regional Aggregate</v>
      </c>
      <c r="G3868" s="4" t="str">
        <f>_xlfn.LET(_xlpm.ig, _xlfn.XLOOKUP(Clean_Data[[#This Row],[Country_Code]], Metadata_Country!$A:$A, Metadata_Country!$C:$C, "Unknown"), IF(OR(_xlpm.ig=0, _xlpm.ig=""), "Regional Aggregate", _xlpm.ig))</f>
        <v>Regional Aggregate</v>
      </c>
      <c r="H3868" s="4">
        <f>Clean_Data[[#This Row],[Exports_TIV]] - Clean_Data[[#This Row],[Imports_TIV]]</f>
        <v>-6434000000</v>
      </c>
      <c r="I3868" s="4">
        <f>Clean_Data[[#This Row],[Exports_TIV]] + Clean_Data[[#This Row],[Imports_TIV]]</f>
        <v>6434000000</v>
      </c>
    </row>
    <row r="3869" spans="1:9">
      <c r="A3869" s="4" t="s">
        <v>131</v>
      </c>
      <c r="B3869" s="4" t="s">
        <v>132</v>
      </c>
      <c r="C3869" s="5">
        <v>2000</v>
      </c>
      <c r="D3869" s="4">
        <v>0</v>
      </c>
      <c r="E3869" s="4">
        <v>2844000000</v>
      </c>
      <c r="F3869" s="4" t="str">
        <f>_xlfn.LET(_xlpm.r, _xlfn.XLOOKUP(Clean_Data[[#This Row],[Country_Code]], Metadata_Country!$A:$A, Metadata_Country!$B:$B, "Unknown"), IF(OR(_xlpm.r=0, _xlpm.r=""), "Regional Aggregate", _xlpm.r))</f>
        <v>Regional Aggregate</v>
      </c>
      <c r="G3869" s="4" t="str">
        <f>_xlfn.LET(_xlpm.ig, _xlfn.XLOOKUP(Clean_Data[[#This Row],[Country_Code]], Metadata_Country!$A:$A, Metadata_Country!$C:$C, "Unknown"), IF(OR(_xlpm.ig=0, _xlpm.ig=""), "Regional Aggregate", _xlpm.ig))</f>
        <v>Regional Aggregate</v>
      </c>
      <c r="H3869" s="4">
        <f>Clean_Data[[#This Row],[Exports_TIV]] - Clean_Data[[#This Row],[Imports_TIV]]</f>
        <v>-2844000000</v>
      </c>
      <c r="I3869" s="4">
        <f>Clean_Data[[#This Row],[Exports_TIV]] + Clean_Data[[#This Row],[Imports_TIV]]</f>
        <v>2844000000</v>
      </c>
    </row>
    <row r="3870" spans="1:9">
      <c r="A3870" s="4" t="s">
        <v>469</v>
      </c>
      <c r="B3870" s="4" t="s">
        <v>470</v>
      </c>
      <c r="C3870" s="5">
        <v>2000</v>
      </c>
      <c r="D3870" s="4">
        <v>0</v>
      </c>
      <c r="E3870" s="4">
        <v>2781000000</v>
      </c>
      <c r="F3870" s="4" t="str">
        <f>_xlfn.LET(_xlpm.r, _xlfn.XLOOKUP(Clean_Data[[#This Row],[Country_Code]], Metadata_Country!$A:$A, Metadata_Country!$B:$B, "Unknown"), IF(OR(_xlpm.r=0, _xlpm.r=""), "Regional Aggregate", _xlpm.r))</f>
        <v>Regional Aggregate</v>
      </c>
      <c r="G3870" s="4" t="str">
        <f>_xlfn.LET(_xlpm.ig, _xlfn.XLOOKUP(Clean_Data[[#This Row],[Country_Code]], Metadata_Country!$A:$A, Metadata_Country!$C:$C, "Unknown"), IF(OR(_xlpm.ig=0, _xlpm.ig=""), "Regional Aggregate", _xlpm.ig))</f>
        <v>Regional Aggregate</v>
      </c>
      <c r="H3870" s="4">
        <f>Clean_Data[[#This Row],[Exports_TIV]] - Clean_Data[[#This Row],[Imports_TIV]]</f>
        <v>-2781000000</v>
      </c>
      <c r="I3870" s="4">
        <f>Clean_Data[[#This Row],[Exports_TIV]] + Clean_Data[[#This Row],[Imports_TIV]]</f>
        <v>2781000000</v>
      </c>
    </row>
    <row r="3871" spans="1:9">
      <c r="A3871" s="4" t="s">
        <v>141</v>
      </c>
      <c r="B3871" s="4" t="s">
        <v>142</v>
      </c>
      <c r="C3871" s="5">
        <v>2000</v>
      </c>
      <c r="D3871" s="4">
        <v>0</v>
      </c>
      <c r="E3871" s="4">
        <v>9000000</v>
      </c>
      <c r="F3871" s="4" t="str">
        <f>_xlfn.LET(_xlpm.r, _xlfn.XLOOKUP(Clean_Data[[#This Row],[Country_Code]], Metadata_Country!$A:$A, Metadata_Country!$B:$B, "Unknown"), IF(OR(_xlpm.r=0, _xlpm.r=""), "Regional Aggregate", _xlpm.r))</f>
        <v>Latin America &amp; Caribbean</v>
      </c>
      <c r="G3871" s="4" t="str">
        <f>_xlfn.LET(_xlpm.ig, _xlfn.XLOOKUP(Clean_Data[[#This Row],[Country_Code]], Metadata_Country!$A:$A, Metadata_Country!$C:$C, "Unknown"), IF(OR(_xlpm.ig=0, _xlpm.ig=""), "Regional Aggregate", _xlpm.ig))</f>
        <v>Upper middle income</v>
      </c>
      <c r="H3871" s="4">
        <f>Clean_Data[[#This Row],[Exports_TIV]] - Clean_Data[[#This Row],[Imports_TIV]]</f>
        <v>-9000000</v>
      </c>
      <c r="I3871" s="4">
        <f>Clean_Data[[#This Row],[Exports_TIV]] + Clean_Data[[#This Row],[Imports_TIV]]</f>
        <v>9000000</v>
      </c>
    </row>
    <row r="3872" spans="1:9">
      <c r="A3872" s="4" t="s">
        <v>143</v>
      </c>
      <c r="B3872" s="4" t="s">
        <v>144</v>
      </c>
      <c r="C3872" s="5">
        <v>2000</v>
      </c>
      <c r="D3872" s="4">
        <v>0</v>
      </c>
      <c r="E3872" s="4">
        <v>833000000</v>
      </c>
      <c r="F3872" s="4" t="str">
        <f>_xlfn.LET(_xlpm.r, _xlfn.XLOOKUP(Clean_Data[[#This Row],[Country_Code]], Metadata_Country!$A:$A, Metadata_Country!$B:$B, "Unknown"), IF(OR(_xlpm.r=0, _xlpm.r=""), "Regional Aggregate", _xlpm.r))</f>
        <v>Middle East &amp; North Africa</v>
      </c>
      <c r="G3872" s="4" t="str">
        <f>_xlfn.LET(_xlpm.ig, _xlfn.XLOOKUP(Clean_Data[[#This Row],[Country_Code]], Metadata_Country!$A:$A, Metadata_Country!$C:$C, "Unknown"), IF(OR(_xlpm.ig=0, _xlpm.ig=""), "Regional Aggregate", _xlpm.ig))</f>
        <v>Lower middle income</v>
      </c>
      <c r="H3872" s="4">
        <f>Clean_Data[[#This Row],[Exports_TIV]] - Clean_Data[[#This Row],[Imports_TIV]]</f>
        <v>-833000000</v>
      </c>
      <c r="I3872" s="4">
        <f>Clean_Data[[#This Row],[Exports_TIV]] + Clean_Data[[#This Row],[Imports_TIV]]</f>
        <v>833000000</v>
      </c>
    </row>
    <row r="3873" spans="1:9">
      <c r="A3873" s="4" t="s">
        <v>147</v>
      </c>
      <c r="B3873" s="4" t="s">
        <v>148</v>
      </c>
      <c r="C3873" s="5">
        <v>2000</v>
      </c>
      <c r="D3873" s="4">
        <v>0</v>
      </c>
      <c r="E3873" s="4">
        <v>20000000</v>
      </c>
      <c r="F3873" s="4" t="str">
        <f>_xlfn.LET(_xlpm.r, _xlfn.XLOOKUP(Clean_Data[[#This Row],[Country_Code]], Metadata_Country!$A:$A, Metadata_Country!$B:$B, "Unknown"), IF(OR(_xlpm.r=0, _xlpm.r=""), "Regional Aggregate", _xlpm.r))</f>
        <v>Sub-Saharan Africa</v>
      </c>
      <c r="G3873" s="4" t="str">
        <f>_xlfn.LET(_xlpm.ig, _xlfn.XLOOKUP(Clean_Data[[#This Row],[Country_Code]], Metadata_Country!$A:$A, Metadata_Country!$C:$C, "Unknown"), IF(OR(_xlpm.ig=0, _xlpm.ig=""), "Regional Aggregate", _xlpm.ig))</f>
        <v>Low income</v>
      </c>
      <c r="H3873" s="4">
        <f>Clean_Data[[#This Row],[Exports_TIV]] - Clean_Data[[#This Row],[Imports_TIV]]</f>
        <v>-20000000</v>
      </c>
      <c r="I3873" s="4">
        <f>Clean_Data[[#This Row],[Exports_TIV]] + Clean_Data[[#This Row],[Imports_TIV]]</f>
        <v>20000000</v>
      </c>
    </row>
    <row r="3874" spans="1:9">
      <c r="A3874" s="4" t="s">
        <v>151</v>
      </c>
      <c r="B3874" s="4" t="s">
        <v>152</v>
      </c>
      <c r="C3874" s="5">
        <v>2000</v>
      </c>
      <c r="D3874" s="4">
        <v>0</v>
      </c>
      <c r="E3874" s="4">
        <v>27000000</v>
      </c>
      <c r="F3874" s="4" t="str">
        <f>_xlfn.LET(_xlpm.r, _xlfn.XLOOKUP(Clean_Data[[#This Row],[Country_Code]], Metadata_Country!$A:$A, Metadata_Country!$B:$B, "Unknown"), IF(OR(_xlpm.r=0, _xlpm.r=""), "Regional Aggregate", _xlpm.r))</f>
        <v>Europe &amp; Central Asia</v>
      </c>
      <c r="G3874" s="4" t="str">
        <f>_xlfn.LET(_xlpm.ig, _xlfn.XLOOKUP(Clean_Data[[#This Row],[Country_Code]], Metadata_Country!$A:$A, Metadata_Country!$C:$C, "Unknown"), IF(OR(_xlpm.ig=0, _xlpm.ig=""), "Regional Aggregate", _xlpm.ig))</f>
        <v>High income</v>
      </c>
      <c r="H3874" s="4">
        <f>Clean_Data[[#This Row],[Exports_TIV]] - Clean_Data[[#This Row],[Imports_TIV]]</f>
        <v>-27000000</v>
      </c>
      <c r="I3874" s="4">
        <f>Clean_Data[[#This Row],[Exports_TIV]] + Clean_Data[[#This Row],[Imports_TIV]]</f>
        <v>27000000</v>
      </c>
    </row>
    <row r="3875" spans="1:9">
      <c r="A3875" s="4" t="s">
        <v>457</v>
      </c>
      <c r="B3875" s="4" t="s">
        <v>458</v>
      </c>
      <c r="C3875" s="5">
        <v>2000</v>
      </c>
      <c r="D3875" s="4">
        <v>0</v>
      </c>
      <c r="E3875" s="4">
        <v>1000000</v>
      </c>
      <c r="F3875" s="4" t="str">
        <f>_xlfn.LET(_xlpm.r, _xlfn.XLOOKUP(Clean_Data[[#This Row],[Country_Code]], Metadata_Country!$A:$A, Metadata_Country!$B:$B, "Unknown"), IF(OR(_xlpm.r=0, _xlpm.r=""), "Regional Aggregate", _xlpm.r))</f>
        <v>Sub-Saharan Africa</v>
      </c>
      <c r="G3875" s="4" t="str">
        <f>_xlfn.LET(_xlpm.ig, _xlfn.XLOOKUP(Clean_Data[[#This Row],[Country_Code]], Metadata_Country!$A:$A, Metadata_Country!$C:$C, "Unknown"), IF(OR(_xlpm.ig=0, _xlpm.ig=""), "Regional Aggregate", _xlpm.ig))</f>
        <v>Lower middle income</v>
      </c>
      <c r="H3875" s="4">
        <f>Clean_Data[[#This Row],[Exports_TIV]] - Clean_Data[[#This Row],[Imports_TIV]]</f>
        <v>-1000000</v>
      </c>
      <c r="I3875" s="4">
        <f>Clean_Data[[#This Row],[Exports_TIV]] + Clean_Data[[#This Row],[Imports_TIV]]</f>
        <v>1000000</v>
      </c>
    </row>
    <row r="3876" spans="1:9">
      <c r="A3876" s="4" t="s">
        <v>153</v>
      </c>
      <c r="B3876" s="4" t="s">
        <v>154</v>
      </c>
      <c r="C3876" s="5">
        <v>2000</v>
      </c>
      <c r="D3876" s="4">
        <v>0</v>
      </c>
      <c r="E3876" s="4">
        <v>114000000</v>
      </c>
      <c r="F3876" s="4" t="str">
        <f>_xlfn.LET(_xlpm.r, _xlfn.XLOOKUP(Clean_Data[[#This Row],[Country_Code]], Metadata_Country!$A:$A, Metadata_Country!$B:$B, "Unknown"), IF(OR(_xlpm.r=0, _xlpm.r=""), "Regional Aggregate", _xlpm.r))</f>
        <v>Sub-Saharan Africa</v>
      </c>
      <c r="G3876" s="4" t="str">
        <f>_xlfn.LET(_xlpm.ig, _xlfn.XLOOKUP(Clean_Data[[#This Row],[Country_Code]], Metadata_Country!$A:$A, Metadata_Country!$C:$C, "Unknown"), IF(OR(_xlpm.ig=0, _xlpm.ig=""), "Regional Aggregate", _xlpm.ig))</f>
        <v>Low income</v>
      </c>
      <c r="H3876" s="4">
        <f>Clean_Data[[#This Row],[Exports_TIV]] - Clean_Data[[#This Row],[Imports_TIV]]</f>
        <v>-114000000</v>
      </c>
      <c r="I3876" s="4">
        <f>Clean_Data[[#This Row],[Exports_TIV]] + Clean_Data[[#This Row],[Imports_TIV]]</f>
        <v>114000000</v>
      </c>
    </row>
    <row r="3877" spans="1:9">
      <c r="A3877" s="4" t="s">
        <v>145</v>
      </c>
      <c r="B3877" s="4" t="s">
        <v>146</v>
      </c>
      <c r="C3877" s="5">
        <v>2000</v>
      </c>
      <c r="D3877" s="4">
        <v>3307000000</v>
      </c>
      <c r="E3877" s="4">
        <v>2236000000</v>
      </c>
      <c r="F3877" s="4" t="str">
        <f>_xlfn.LET(_xlpm.r, _xlfn.XLOOKUP(Clean_Data[[#This Row],[Country_Code]], Metadata_Country!$A:$A, Metadata_Country!$B:$B, "Unknown"), IF(OR(_xlpm.r=0, _xlpm.r=""), "Regional Aggregate", _xlpm.r))</f>
        <v>Regional Aggregate</v>
      </c>
      <c r="G3877" s="4" t="str">
        <f>_xlfn.LET(_xlpm.ig, _xlfn.XLOOKUP(Clean_Data[[#This Row],[Country_Code]], Metadata_Country!$A:$A, Metadata_Country!$C:$C, "Unknown"), IF(OR(_xlpm.ig=0, _xlpm.ig=""), "Regional Aggregate", _xlpm.ig))</f>
        <v>Regional Aggregate</v>
      </c>
      <c r="H3877" s="4">
        <f>Clean_Data[[#This Row],[Exports_TIV]] - Clean_Data[[#This Row],[Imports_TIV]]</f>
        <v>1071000000</v>
      </c>
      <c r="I3877" s="4">
        <f>Clean_Data[[#This Row],[Exports_TIV]] + Clean_Data[[#This Row],[Imports_TIV]]</f>
        <v>5543000000</v>
      </c>
    </row>
    <row r="3878" spans="1:9">
      <c r="A3878" s="4" t="s">
        <v>139</v>
      </c>
      <c r="B3878" s="4" t="s">
        <v>140</v>
      </c>
      <c r="C3878" s="5">
        <v>2000</v>
      </c>
      <c r="D3878" s="4">
        <v>11901000000</v>
      </c>
      <c r="E3878" s="4">
        <v>6338000000</v>
      </c>
      <c r="F3878" s="4" t="str">
        <f>_xlfn.LET(_xlpm.r, _xlfn.XLOOKUP(Clean_Data[[#This Row],[Country_Code]], Metadata_Country!$A:$A, Metadata_Country!$B:$B, "Unknown"), IF(OR(_xlpm.r=0, _xlpm.r=""), "Regional Aggregate", _xlpm.r))</f>
        <v>Regional Aggregate</v>
      </c>
      <c r="G3878" s="4" t="str">
        <f>_xlfn.LET(_xlpm.ig, _xlfn.XLOOKUP(Clean_Data[[#This Row],[Country_Code]], Metadata_Country!$A:$A, Metadata_Country!$C:$C, "Unknown"), IF(OR(_xlpm.ig=0, _xlpm.ig=""), "Regional Aggregate", _xlpm.ig))</f>
        <v>Regional Aggregate</v>
      </c>
      <c r="H3878" s="4">
        <f>Clean_Data[[#This Row],[Exports_TIV]] - Clean_Data[[#This Row],[Imports_TIV]]</f>
        <v>5563000000</v>
      </c>
      <c r="I3878" s="4">
        <f>Clean_Data[[#This Row],[Exports_TIV]] + Clean_Data[[#This Row],[Imports_TIV]]</f>
        <v>18239000000</v>
      </c>
    </row>
    <row r="3879" spans="1:9">
      <c r="A3879" s="4" t="s">
        <v>137</v>
      </c>
      <c r="B3879" s="4" t="s">
        <v>138</v>
      </c>
      <c r="C3879" s="5">
        <v>2000</v>
      </c>
      <c r="D3879" s="4">
        <v>1831000000</v>
      </c>
      <c r="E3879" s="4">
        <v>1329000000</v>
      </c>
      <c r="F3879" s="4" t="str">
        <f>_xlfn.LET(_xlpm.r, _xlfn.XLOOKUP(Clean_Data[[#This Row],[Country_Code]], Metadata_Country!$A:$A, Metadata_Country!$B:$B, "Unknown"), IF(OR(_xlpm.r=0, _xlpm.r=""), "Regional Aggregate", _xlpm.r))</f>
        <v>Regional Aggregate</v>
      </c>
      <c r="G3879" s="4" t="str">
        <f>_xlfn.LET(_xlpm.ig, _xlfn.XLOOKUP(Clean_Data[[#This Row],[Country_Code]], Metadata_Country!$A:$A, Metadata_Country!$C:$C, "Unknown"), IF(OR(_xlpm.ig=0, _xlpm.ig=""), "Regional Aggregate", _xlpm.ig))</f>
        <v>Regional Aggregate</v>
      </c>
      <c r="H3879" s="4">
        <f>Clean_Data[[#This Row],[Exports_TIV]] - Clean_Data[[#This Row],[Imports_TIV]]</f>
        <v>502000000</v>
      </c>
      <c r="I3879" s="4">
        <f>Clean_Data[[#This Row],[Exports_TIV]] + Clean_Data[[#This Row],[Imports_TIV]]</f>
        <v>3160000000</v>
      </c>
    </row>
    <row r="3880" spans="1:9">
      <c r="A3880" s="4" t="s">
        <v>471</v>
      </c>
      <c r="B3880" s="4" t="s">
        <v>472</v>
      </c>
      <c r="C3880" s="5">
        <v>2000</v>
      </c>
      <c r="D3880" s="4">
        <v>6393000000</v>
      </c>
      <c r="E3880" s="4">
        <v>2643000000</v>
      </c>
      <c r="F3880" s="4" t="str">
        <f>_xlfn.LET(_xlpm.r, _xlfn.XLOOKUP(Clean_Data[[#This Row],[Country_Code]], Metadata_Country!$A:$A, Metadata_Country!$B:$B, "Unknown"), IF(OR(_xlpm.r=0, _xlpm.r=""), "Regional Aggregate", _xlpm.r))</f>
        <v>Regional Aggregate</v>
      </c>
      <c r="G3880" s="4" t="str">
        <f>_xlfn.LET(_xlpm.ig, _xlfn.XLOOKUP(Clean_Data[[#This Row],[Country_Code]], Metadata_Country!$A:$A, Metadata_Country!$C:$C, "Unknown"), IF(OR(_xlpm.ig=0, _xlpm.ig=""), "Regional Aggregate", _xlpm.ig))</f>
        <v>Regional Aggregate</v>
      </c>
      <c r="H3880" s="4">
        <f>Clean_Data[[#This Row],[Exports_TIV]] - Clean_Data[[#This Row],[Imports_TIV]]</f>
        <v>3750000000</v>
      </c>
      <c r="I3880" s="4">
        <f>Clean_Data[[#This Row],[Exports_TIV]] + Clean_Data[[#This Row],[Imports_TIV]]</f>
        <v>9036000000</v>
      </c>
    </row>
    <row r="3881" spans="1:9">
      <c r="A3881" s="4" t="s">
        <v>155</v>
      </c>
      <c r="B3881" s="4" t="s">
        <v>156</v>
      </c>
      <c r="C3881" s="5">
        <v>2000</v>
      </c>
      <c r="D3881" s="4">
        <v>3813000000</v>
      </c>
      <c r="E3881" s="4">
        <v>2676000000</v>
      </c>
      <c r="F3881" s="4" t="str">
        <f>_xlfn.LET(_xlpm.r, _xlfn.XLOOKUP(Clean_Data[[#This Row],[Country_Code]], Metadata_Country!$A:$A, Metadata_Country!$B:$B, "Unknown"), IF(OR(_xlpm.r=0, _xlpm.r=""), "Regional Aggregate", _xlpm.r))</f>
        <v>Regional Aggregate</v>
      </c>
      <c r="G3881" s="4" t="str">
        <f>_xlfn.LET(_xlpm.ig, _xlfn.XLOOKUP(Clean_Data[[#This Row],[Country_Code]], Metadata_Country!$A:$A, Metadata_Country!$C:$C, "Unknown"), IF(OR(_xlpm.ig=0, _xlpm.ig=""), "Regional Aggregate", _xlpm.ig))</f>
        <v>Regional Aggregate</v>
      </c>
      <c r="H3881" s="4">
        <f>Clean_Data[[#This Row],[Exports_TIV]] - Clean_Data[[#This Row],[Imports_TIV]]</f>
        <v>1137000000</v>
      </c>
      <c r="I3881" s="4">
        <f>Clean_Data[[#This Row],[Exports_TIV]] + Clean_Data[[#This Row],[Imports_TIV]]</f>
        <v>6489000000</v>
      </c>
    </row>
    <row r="3882" spans="1:9">
      <c r="A3882" s="4" t="s">
        <v>159</v>
      </c>
      <c r="B3882" s="4" t="s">
        <v>160</v>
      </c>
      <c r="C3882" s="5">
        <v>2000</v>
      </c>
      <c r="D3882" s="4">
        <v>12000000</v>
      </c>
      <c r="E3882" s="4">
        <v>472000000</v>
      </c>
      <c r="F3882" s="4" t="str">
        <f>_xlfn.LET(_xlpm.r, _xlfn.XLOOKUP(Clean_Data[[#This Row],[Country_Code]], Metadata_Country!$A:$A, Metadata_Country!$B:$B, "Unknown"), IF(OR(_xlpm.r=0, _xlpm.r=""), "Regional Aggregate", _xlpm.r))</f>
        <v>Europe &amp; Central Asia</v>
      </c>
      <c r="G3882" s="4" t="str">
        <f>_xlfn.LET(_xlpm.ig, _xlfn.XLOOKUP(Clean_Data[[#This Row],[Country_Code]], Metadata_Country!$A:$A, Metadata_Country!$C:$C, "Unknown"), IF(OR(_xlpm.ig=0, _xlpm.ig=""), "Regional Aggregate", _xlpm.ig))</f>
        <v>High income</v>
      </c>
      <c r="H3882" s="4">
        <f>Clean_Data[[#This Row],[Exports_TIV]] - Clean_Data[[#This Row],[Imports_TIV]]</f>
        <v>-460000000</v>
      </c>
      <c r="I3882" s="4">
        <f>Clean_Data[[#This Row],[Exports_TIV]] + Clean_Data[[#This Row],[Imports_TIV]]</f>
        <v>484000000</v>
      </c>
    </row>
    <row r="3883" spans="1:9">
      <c r="A3883" s="4" t="s">
        <v>157</v>
      </c>
      <c r="B3883" s="4" t="s">
        <v>158</v>
      </c>
      <c r="C3883" s="5">
        <v>2000</v>
      </c>
      <c r="D3883" s="4">
        <v>1424000000</v>
      </c>
      <c r="E3883" s="4">
        <v>0</v>
      </c>
      <c r="F3883" s="4" t="str">
        <f>_xlfn.LET(_xlpm.r, _xlfn.XLOOKUP(Clean_Data[[#This Row],[Country_Code]], Metadata_Country!$A:$A, Metadata_Country!$B:$B, "Unknown"), IF(OR(_xlpm.r=0, _xlpm.r=""), "Regional Aggregate", _xlpm.r))</f>
        <v>Regional Aggregate</v>
      </c>
      <c r="G3883" s="4" t="str">
        <f>_xlfn.LET(_xlpm.ig, _xlfn.XLOOKUP(Clean_Data[[#This Row],[Country_Code]], Metadata_Country!$A:$A, Metadata_Country!$C:$C, "Unknown"), IF(OR(_xlpm.ig=0, _xlpm.ig=""), "Regional Aggregate", _xlpm.ig))</f>
        <v>Regional Aggregate</v>
      </c>
      <c r="H3883" s="4">
        <f>Clean_Data[[#This Row],[Exports_TIV]] - Clean_Data[[#This Row],[Imports_TIV]]</f>
        <v>1424000000</v>
      </c>
      <c r="I3883" s="4">
        <f>Clean_Data[[#This Row],[Exports_TIV]] + Clean_Data[[#This Row],[Imports_TIV]]</f>
        <v>1424000000</v>
      </c>
    </row>
    <row r="3884" spans="1:9">
      <c r="A3884" s="4" t="s">
        <v>163</v>
      </c>
      <c r="B3884" s="4" t="s">
        <v>164</v>
      </c>
      <c r="C3884" s="5">
        <v>2000</v>
      </c>
      <c r="D3884" s="4">
        <v>966000000</v>
      </c>
      <c r="E3884" s="4">
        <v>98000000</v>
      </c>
      <c r="F3884" s="4" t="str">
        <f>_xlfn.LET(_xlpm.r, _xlfn.XLOOKUP(Clean_Data[[#This Row],[Country_Code]], Metadata_Country!$A:$A, Metadata_Country!$B:$B, "Unknown"), IF(OR(_xlpm.r=0, _xlpm.r=""), "Regional Aggregate", _xlpm.r))</f>
        <v>Europe &amp; Central Asia</v>
      </c>
      <c r="G3884" s="4" t="str">
        <f>_xlfn.LET(_xlpm.ig, _xlfn.XLOOKUP(Clean_Data[[#This Row],[Country_Code]], Metadata_Country!$A:$A, Metadata_Country!$C:$C, "Unknown"), IF(OR(_xlpm.ig=0, _xlpm.ig=""), "Regional Aggregate", _xlpm.ig))</f>
        <v>High income</v>
      </c>
      <c r="H3884" s="4">
        <f>Clean_Data[[#This Row],[Exports_TIV]] - Clean_Data[[#This Row],[Imports_TIV]]</f>
        <v>868000000</v>
      </c>
      <c r="I3884" s="4">
        <f>Clean_Data[[#This Row],[Exports_TIV]] + Clean_Data[[#This Row],[Imports_TIV]]</f>
        <v>1064000000</v>
      </c>
    </row>
    <row r="3885" spans="1:9">
      <c r="A3885" s="4" t="s">
        <v>173</v>
      </c>
      <c r="B3885" s="4" t="s">
        <v>174</v>
      </c>
      <c r="C3885" s="5">
        <v>2000</v>
      </c>
      <c r="D3885" s="4">
        <v>69000000</v>
      </c>
      <c r="E3885" s="4">
        <v>6000000</v>
      </c>
      <c r="F3885" s="4" t="str">
        <f>_xlfn.LET(_xlpm.r, _xlfn.XLOOKUP(Clean_Data[[#This Row],[Country_Code]], Metadata_Country!$A:$A, Metadata_Country!$B:$B, "Unknown"), IF(OR(_xlpm.r=0, _xlpm.r=""), "Regional Aggregate", _xlpm.r))</f>
        <v>Europe &amp; Central Asia</v>
      </c>
      <c r="G3885" s="4" t="str">
        <f>_xlfn.LET(_xlpm.ig, _xlfn.XLOOKUP(Clean_Data[[#This Row],[Country_Code]], Metadata_Country!$A:$A, Metadata_Country!$C:$C, "Unknown"), IF(OR(_xlpm.ig=0, _xlpm.ig=""), "Regional Aggregate", _xlpm.ig))</f>
        <v>Upper middle income</v>
      </c>
      <c r="H3885" s="4">
        <f>Clean_Data[[#This Row],[Exports_TIV]] - Clean_Data[[#This Row],[Imports_TIV]]</f>
        <v>63000000</v>
      </c>
      <c r="I3885" s="4">
        <f>Clean_Data[[#This Row],[Exports_TIV]] + Clean_Data[[#This Row],[Imports_TIV]]</f>
        <v>75000000</v>
      </c>
    </row>
    <row r="3886" spans="1:9">
      <c r="A3886" s="4" t="s">
        <v>119</v>
      </c>
      <c r="B3886" s="4" t="s">
        <v>120</v>
      </c>
      <c r="C3886" s="5">
        <v>2000</v>
      </c>
      <c r="D3886" s="4">
        <v>1672000000</v>
      </c>
      <c r="E3886" s="4">
        <v>113000000</v>
      </c>
      <c r="F3886" s="4" t="str">
        <f>_xlfn.LET(_xlpm.r, _xlfn.XLOOKUP(Clean_Data[[#This Row],[Country_Code]], Metadata_Country!$A:$A, Metadata_Country!$B:$B, "Unknown"), IF(OR(_xlpm.r=0, _xlpm.r=""), "Regional Aggregate", _xlpm.r))</f>
        <v>Europe &amp; Central Asia</v>
      </c>
      <c r="G3886" s="4" t="str">
        <f>_xlfn.LET(_xlpm.ig, _xlfn.XLOOKUP(Clean_Data[[#This Row],[Country_Code]], Metadata_Country!$A:$A, Metadata_Country!$C:$C, "Unknown"), IF(OR(_xlpm.ig=0, _xlpm.ig=""), "Regional Aggregate", _xlpm.ig))</f>
        <v>High income</v>
      </c>
      <c r="H3886" s="4">
        <f>Clean_Data[[#This Row],[Exports_TIV]] - Clean_Data[[#This Row],[Imports_TIV]]</f>
        <v>1559000000</v>
      </c>
      <c r="I3886" s="4">
        <f>Clean_Data[[#This Row],[Exports_TIV]] + Clean_Data[[#This Row],[Imports_TIV]]</f>
        <v>1785000000</v>
      </c>
    </row>
    <row r="3887" spans="1:9">
      <c r="A3887" s="4" t="s">
        <v>175</v>
      </c>
      <c r="B3887" s="4" t="s">
        <v>176</v>
      </c>
      <c r="C3887" s="5">
        <v>2000</v>
      </c>
      <c r="D3887" s="4">
        <v>0</v>
      </c>
      <c r="E3887" s="4">
        <v>1000000</v>
      </c>
      <c r="F3887" s="4" t="str">
        <f>_xlfn.LET(_xlpm.r, _xlfn.XLOOKUP(Clean_Data[[#This Row],[Country_Code]], Metadata_Country!$A:$A, Metadata_Country!$B:$B, "Unknown"), IF(OR(_xlpm.r=0, _xlpm.r=""), "Regional Aggregate", _xlpm.r))</f>
        <v>Sub-Saharan Africa</v>
      </c>
      <c r="G3887" s="4" t="str">
        <f>_xlfn.LET(_xlpm.ig, _xlfn.XLOOKUP(Clean_Data[[#This Row],[Country_Code]], Metadata_Country!$A:$A, Metadata_Country!$C:$C, "Unknown"), IF(OR(_xlpm.ig=0, _xlpm.ig=""), "Regional Aggregate", _xlpm.ig))</f>
        <v>Lower middle income</v>
      </c>
      <c r="H3887" s="4">
        <f>Clean_Data[[#This Row],[Exports_TIV]] - Clean_Data[[#This Row],[Imports_TIV]]</f>
        <v>-1000000</v>
      </c>
      <c r="I3887" s="4">
        <f>Clean_Data[[#This Row],[Exports_TIV]] + Clean_Data[[#This Row],[Imports_TIV]]</f>
        <v>1000000</v>
      </c>
    </row>
    <row r="3888" spans="1:9">
      <c r="A3888" s="4" t="s">
        <v>187</v>
      </c>
      <c r="B3888" s="4" t="s">
        <v>188</v>
      </c>
      <c r="C3888" s="5">
        <v>2000</v>
      </c>
      <c r="D3888" s="4">
        <v>2000000</v>
      </c>
      <c r="E3888" s="4">
        <v>731000000</v>
      </c>
      <c r="F3888" s="4" t="str">
        <f>_xlfn.LET(_xlpm.r, _xlfn.XLOOKUP(Clean_Data[[#This Row],[Country_Code]], Metadata_Country!$A:$A, Metadata_Country!$B:$B, "Unknown"), IF(OR(_xlpm.r=0, _xlpm.r=""), "Regional Aggregate", _xlpm.r))</f>
        <v>Europe &amp; Central Asia</v>
      </c>
      <c r="G3888" s="4" t="str">
        <f>_xlfn.LET(_xlpm.ig, _xlfn.XLOOKUP(Clean_Data[[#This Row],[Country_Code]], Metadata_Country!$A:$A, Metadata_Country!$C:$C, "Unknown"), IF(OR(_xlpm.ig=0, _xlpm.ig=""), "Regional Aggregate", _xlpm.ig))</f>
        <v>High income</v>
      </c>
      <c r="H3888" s="4">
        <f>Clean_Data[[#This Row],[Exports_TIV]] - Clean_Data[[#This Row],[Imports_TIV]]</f>
        <v>-729000000</v>
      </c>
      <c r="I3888" s="4">
        <f>Clean_Data[[#This Row],[Exports_TIV]] + Clean_Data[[#This Row],[Imports_TIV]]</f>
        <v>733000000</v>
      </c>
    </row>
    <row r="3889" spans="1:9">
      <c r="A3889" s="4" t="s">
        <v>179</v>
      </c>
      <c r="B3889" s="4" t="s">
        <v>180</v>
      </c>
      <c r="C3889" s="5">
        <v>2000</v>
      </c>
      <c r="D3889" s="4">
        <v>0</v>
      </c>
      <c r="E3889" s="4">
        <v>26000000</v>
      </c>
      <c r="F3889" s="4" t="str">
        <f>_xlfn.LET(_xlpm.r, _xlfn.XLOOKUP(Clean_Data[[#This Row],[Country_Code]], Metadata_Country!$A:$A, Metadata_Country!$B:$B, "Unknown"), IF(OR(_xlpm.r=0, _xlpm.r=""), "Regional Aggregate", _xlpm.r))</f>
        <v>Sub-Saharan Africa</v>
      </c>
      <c r="G3889" s="4" t="str">
        <f>_xlfn.LET(_xlpm.ig, _xlfn.XLOOKUP(Clean_Data[[#This Row],[Country_Code]], Metadata_Country!$A:$A, Metadata_Country!$C:$C, "Unknown"), IF(OR(_xlpm.ig=0, _xlpm.ig=""), "Regional Aggregate", _xlpm.ig))</f>
        <v>Lower middle income</v>
      </c>
      <c r="H3889" s="4">
        <f>Clean_Data[[#This Row],[Exports_TIV]] - Clean_Data[[#This Row],[Imports_TIV]]</f>
        <v>-26000000</v>
      </c>
      <c r="I3889" s="4">
        <f>Clean_Data[[#This Row],[Exports_TIV]] + Clean_Data[[#This Row],[Imports_TIV]]</f>
        <v>26000000</v>
      </c>
    </row>
    <row r="3890" spans="1:9">
      <c r="A3890" s="4" t="s">
        <v>199</v>
      </c>
      <c r="B3890" s="4" t="s">
        <v>200</v>
      </c>
      <c r="C3890" s="5">
        <v>2000</v>
      </c>
      <c r="D3890" s="4">
        <v>18275000000</v>
      </c>
      <c r="E3890" s="4">
        <v>11125000000</v>
      </c>
      <c r="F3890" s="4" t="str">
        <f>_xlfn.LET(_xlpm.r, _xlfn.XLOOKUP(Clean_Data[[#This Row],[Country_Code]], Metadata_Country!$A:$A, Metadata_Country!$B:$B, "Unknown"), IF(OR(_xlpm.r=0, _xlpm.r=""), "Regional Aggregate", _xlpm.r))</f>
        <v>Regional Aggregate</v>
      </c>
      <c r="G3890" s="4" t="str">
        <f>_xlfn.LET(_xlpm.ig, _xlfn.XLOOKUP(Clean_Data[[#This Row],[Country_Code]], Metadata_Country!$A:$A, Metadata_Country!$C:$C, "Unknown"), IF(OR(_xlpm.ig=0, _xlpm.ig=""), "Regional Aggregate", _xlpm.ig))</f>
        <v>Regional Aggregate</v>
      </c>
      <c r="H3890" s="4">
        <f>Clean_Data[[#This Row],[Exports_TIV]] - Clean_Data[[#This Row],[Imports_TIV]]</f>
        <v>7150000000</v>
      </c>
      <c r="I3890" s="4">
        <f>Clean_Data[[#This Row],[Exports_TIV]] + Clean_Data[[#This Row],[Imports_TIV]]</f>
        <v>29400000000</v>
      </c>
    </row>
    <row r="3891" spans="1:9">
      <c r="A3891" s="4" t="s">
        <v>211</v>
      </c>
      <c r="B3891" s="4" t="s">
        <v>212</v>
      </c>
      <c r="C3891" s="5">
        <v>2000</v>
      </c>
      <c r="D3891" s="4">
        <v>0</v>
      </c>
      <c r="E3891" s="4">
        <v>14000000</v>
      </c>
      <c r="F3891" s="4" t="str">
        <f>_xlfn.LET(_xlpm.r, _xlfn.XLOOKUP(Clean_Data[[#This Row],[Country_Code]], Metadata_Country!$A:$A, Metadata_Country!$B:$B, "Unknown"), IF(OR(_xlpm.r=0, _xlpm.r=""), "Regional Aggregate", _xlpm.r))</f>
        <v>Europe &amp; Central Asia</v>
      </c>
      <c r="G3891" s="4" t="str">
        <f>_xlfn.LET(_xlpm.ig, _xlfn.XLOOKUP(Clean_Data[[#This Row],[Country_Code]], Metadata_Country!$A:$A, Metadata_Country!$C:$C, "Unknown"), IF(OR(_xlpm.ig=0, _xlpm.ig=""), "Regional Aggregate", _xlpm.ig))</f>
        <v>High income</v>
      </c>
      <c r="H3891" s="4">
        <f>Clean_Data[[#This Row],[Exports_TIV]] - Clean_Data[[#This Row],[Imports_TIV]]</f>
        <v>-14000000</v>
      </c>
      <c r="I3891" s="4">
        <f>Clean_Data[[#This Row],[Exports_TIV]] + Clean_Data[[#This Row],[Imports_TIV]]</f>
        <v>14000000</v>
      </c>
    </row>
    <row r="3892" spans="1:9">
      <c r="A3892" s="4" t="s">
        <v>213</v>
      </c>
      <c r="B3892" s="4" t="s">
        <v>214</v>
      </c>
      <c r="C3892" s="5">
        <v>2000</v>
      </c>
      <c r="D3892" s="4">
        <v>0</v>
      </c>
      <c r="E3892" s="4">
        <v>9512000000</v>
      </c>
      <c r="F3892" s="4" t="str">
        <f>_xlfn.LET(_xlpm.r, _xlfn.XLOOKUP(Clean_Data[[#This Row],[Country_Code]], Metadata_Country!$A:$A, Metadata_Country!$B:$B, "Unknown"), IF(OR(_xlpm.r=0, _xlpm.r=""), "Regional Aggregate", _xlpm.r))</f>
        <v>Regional Aggregate</v>
      </c>
      <c r="G3892" s="4" t="str">
        <f>_xlfn.LET(_xlpm.ig, _xlfn.XLOOKUP(Clean_Data[[#This Row],[Country_Code]], Metadata_Country!$A:$A, Metadata_Country!$C:$C, "Unknown"), IF(OR(_xlpm.ig=0, _xlpm.ig=""), "Regional Aggregate", _xlpm.ig))</f>
        <v>Regional Aggregate</v>
      </c>
      <c r="H3892" s="4">
        <f>Clean_Data[[#This Row],[Exports_TIV]] - Clean_Data[[#This Row],[Imports_TIV]]</f>
        <v>-9512000000</v>
      </c>
      <c r="I3892" s="4">
        <f>Clean_Data[[#This Row],[Exports_TIV]] + Clean_Data[[#This Row],[Imports_TIV]]</f>
        <v>9512000000</v>
      </c>
    </row>
    <row r="3893" spans="1:9">
      <c r="A3893" s="4" t="s">
        <v>215</v>
      </c>
      <c r="B3893" s="4" t="s">
        <v>216</v>
      </c>
      <c r="C3893" s="5">
        <v>2000</v>
      </c>
      <c r="D3893" s="4">
        <v>0</v>
      </c>
      <c r="E3893" s="4">
        <v>10839000000</v>
      </c>
      <c r="F3893" s="4" t="str">
        <f>_xlfn.LET(_xlpm.r, _xlfn.XLOOKUP(Clean_Data[[#This Row],[Country_Code]], Metadata_Country!$A:$A, Metadata_Country!$B:$B, "Unknown"), IF(OR(_xlpm.r=0, _xlpm.r=""), "Regional Aggregate", _xlpm.r))</f>
        <v>Regional Aggregate</v>
      </c>
      <c r="G3893" s="4" t="str">
        <f>_xlfn.LET(_xlpm.ig, _xlfn.XLOOKUP(Clean_Data[[#This Row],[Country_Code]], Metadata_Country!$A:$A, Metadata_Country!$C:$C, "Unknown"), IF(OR(_xlpm.ig=0, _xlpm.ig=""), "Regional Aggregate", _xlpm.ig))</f>
        <v>Regional Aggregate</v>
      </c>
      <c r="H3893" s="4">
        <f>Clean_Data[[#This Row],[Exports_TIV]] - Clean_Data[[#This Row],[Imports_TIV]]</f>
        <v>-10839000000</v>
      </c>
      <c r="I3893" s="4">
        <f>Clean_Data[[#This Row],[Exports_TIV]] + Clean_Data[[#This Row],[Imports_TIV]]</f>
        <v>10839000000</v>
      </c>
    </row>
    <row r="3894" spans="1:9">
      <c r="A3894" s="4" t="s">
        <v>219</v>
      </c>
      <c r="B3894" s="4" t="s">
        <v>220</v>
      </c>
      <c r="C3894" s="5">
        <v>2000</v>
      </c>
      <c r="D3894" s="4">
        <v>4000000</v>
      </c>
      <c r="E3894" s="4">
        <v>239000000</v>
      </c>
      <c r="F3894" s="4" t="str">
        <f>_xlfn.LET(_xlpm.r, _xlfn.XLOOKUP(Clean_Data[[#This Row],[Country_Code]], Metadata_Country!$A:$A, Metadata_Country!$B:$B, "Unknown"), IF(OR(_xlpm.r=0, _xlpm.r=""), "Regional Aggregate", _xlpm.r))</f>
        <v>Regional Aggregate</v>
      </c>
      <c r="G3894" s="4" t="str">
        <f>_xlfn.LET(_xlpm.ig, _xlfn.XLOOKUP(Clean_Data[[#This Row],[Country_Code]], Metadata_Country!$A:$A, Metadata_Country!$C:$C, "Unknown"), IF(OR(_xlpm.ig=0, _xlpm.ig=""), "Regional Aggregate", _xlpm.ig))</f>
        <v>Regional Aggregate</v>
      </c>
      <c r="H3894" s="4">
        <f>Clean_Data[[#This Row],[Exports_TIV]] - Clean_Data[[#This Row],[Imports_TIV]]</f>
        <v>-235000000</v>
      </c>
      <c r="I3894" s="4">
        <f>Clean_Data[[#This Row],[Exports_TIV]] + Clean_Data[[#This Row],[Imports_TIV]]</f>
        <v>243000000</v>
      </c>
    </row>
    <row r="3895" spans="1:9">
      <c r="A3895" s="4" t="s">
        <v>217</v>
      </c>
      <c r="B3895" s="4" t="s">
        <v>218</v>
      </c>
      <c r="C3895" s="5">
        <v>2000</v>
      </c>
      <c r="D3895" s="4">
        <v>0</v>
      </c>
      <c r="E3895" s="4">
        <v>1327000000</v>
      </c>
      <c r="F3895" s="4" t="str">
        <f>_xlfn.LET(_xlpm.r, _xlfn.XLOOKUP(Clean_Data[[#This Row],[Country_Code]], Metadata_Country!$A:$A, Metadata_Country!$B:$B, "Unknown"), IF(OR(_xlpm.r=0, _xlpm.r=""), "Regional Aggregate", _xlpm.r))</f>
        <v>Regional Aggregate</v>
      </c>
      <c r="G3895" s="4" t="str">
        <f>_xlfn.LET(_xlpm.ig, _xlfn.XLOOKUP(Clean_Data[[#This Row],[Country_Code]], Metadata_Country!$A:$A, Metadata_Country!$C:$C, "Unknown"), IF(OR(_xlpm.ig=0, _xlpm.ig=""), "Regional Aggregate", _xlpm.ig))</f>
        <v>Regional Aggregate</v>
      </c>
      <c r="H3895" s="4">
        <f>Clean_Data[[#This Row],[Exports_TIV]] - Clean_Data[[#This Row],[Imports_TIV]]</f>
        <v>-1327000000</v>
      </c>
      <c r="I3895" s="4">
        <f>Clean_Data[[#This Row],[Exports_TIV]] + Clean_Data[[#This Row],[Imports_TIV]]</f>
        <v>1327000000</v>
      </c>
    </row>
    <row r="3896" spans="1:9">
      <c r="A3896" s="4" t="s">
        <v>227</v>
      </c>
      <c r="B3896" s="4" t="s">
        <v>228</v>
      </c>
      <c r="C3896" s="5">
        <v>2000</v>
      </c>
      <c r="D3896" s="4">
        <v>21000000</v>
      </c>
      <c r="E3896" s="4">
        <v>988000000</v>
      </c>
      <c r="F3896" s="4" t="str">
        <f>_xlfn.LET(_xlpm.r, _xlfn.XLOOKUP(Clean_Data[[#This Row],[Country_Code]], Metadata_Country!$A:$A, Metadata_Country!$B:$B, "Unknown"), IF(OR(_xlpm.r=0, _xlpm.r=""), "Regional Aggregate", _xlpm.r))</f>
        <v>South Asia</v>
      </c>
      <c r="G3896" s="4" t="str">
        <f>_xlfn.LET(_xlpm.ig, _xlfn.XLOOKUP(Clean_Data[[#This Row],[Country_Code]], Metadata_Country!$A:$A, Metadata_Country!$C:$C, "Unknown"), IF(OR(_xlpm.ig=0, _xlpm.ig=""), "Regional Aggregate", _xlpm.ig))</f>
        <v>Lower middle income</v>
      </c>
      <c r="H3896" s="4">
        <f>Clean_Data[[#This Row],[Exports_TIV]] - Clean_Data[[#This Row],[Imports_TIV]]</f>
        <v>-967000000</v>
      </c>
      <c r="I3896" s="4">
        <f>Clean_Data[[#This Row],[Exports_TIV]] + Clean_Data[[#This Row],[Imports_TIV]]</f>
        <v>1009000000</v>
      </c>
    </row>
    <row r="3897" spans="1:9">
      <c r="A3897" s="4" t="s">
        <v>221</v>
      </c>
      <c r="B3897" s="4" t="s">
        <v>222</v>
      </c>
      <c r="C3897" s="5">
        <v>2000</v>
      </c>
      <c r="D3897" s="4">
        <v>0</v>
      </c>
      <c r="E3897" s="4">
        <v>171000000</v>
      </c>
      <c r="F3897" s="4" t="str">
        <f>_xlfn.LET(_xlpm.r, _xlfn.XLOOKUP(Clean_Data[[#This Row],[Country_Code]], Metadata_Country!$A:$A, Metadata_Country!$B:$B, "Unknown"), IF(OR(_xlpm.r=0, _xlpm.r=""), "Regional Aggregate", _xlpm.r))</f>
        <v>East Asia &amp; Pacific</v>
      </c>
      <c r="G3897" s="4" t="str">
        <f>_xlfn.LET(_xlpm.ig, _xlfn.XLOOKUP(Clean_Data[[#This Row],[Country_Code]], Metadata_Country!$A:$A, Metadata_Country!$C:$C, "Unknown"), IF(OR(_xlpm.ig=0, _xlpm.ig=""), "Regional Aggregate", _xlpm.ig))</f>
        <v>Upper middle income</v>
      </c>
      <c r="H3897" s="4">
        <f>Clean_Data[[#This Row],[Exports_TIV]] - Clean_Data[[#This Row],[Imports_TIV]]</f>
        <v>-171000000</v>
      </c>
      <c r="I3897" s="4">
        <f>Clean_Data[[#This Row],[Exports_TIV]] + Clean_Data[[#This Row],[Imports_TIV]]</f>
        <v>171000000</v>
      </c>
    </row>
    <row r="3898" spans="1:9">
      <c r="A3898" s="4" t="s">
        <v>233</v>
      </c>
      <c r="B3898" s="4" t="s">
        <v>234</v>
      </c>
      <c r="C3898" s="5">
        <v>2000</v>
      </c>
      <c r="D3898" s="4">
        <v>0</v>
      </c>
      <c r="E3898" s="4">
        <v>417000000</v>
      </c>
      <c r="F3898" s="4" t="str">
        <f>_xlfn.LET(_xlpm.r, _xlfn.XLOOKUP(Clean_Data[[#This Row],[Country_Code]], Metadata_Country!$A:$A, Metadata_Country!$B:$B, "Unknown"), IF(OR(_xlpm.r=0, _xlpm.r=""), "Regional Aggregate", _xlpm.r))</f>
        <v>Middle East &amp; North Africa</v>
      </c>
      <c r="G3898" s="4" t="str">
        <f>_xlfn.LET(_xlpm.ig, _xlfn.XLOOKUP(Clean_Data[[#This Row],[Country_Code]], Metadata_Country!$A:$A, Metadata_Country!$C:$C, "Unknown"), IF(OR(_xlpm.ig=0, _xlpm.ig=""), "Regional Aggregate", _xlpm.ig))</f>
        <v>Upper middle income</v>
      </c>
      <c r="H3898" s="4">
        <f>Clean_Data[[#This Row],[Exports_TIV]] - Clean_Data[[#This Row],[Imports_TIV]]</f>
        <v>-417000000</v>
      </c>
      <c r="I3898" s="4">
        <f>Clean_Data[[#This Row],[Exports_TIV]] + Clean_Data[[#This Row],[Imports_TIV]]</f>
        <v>417000000</v>
      </c>
    </row>
    <row r="3899" spans="1:9">
      <c r="A3899" s="4" t="s">
        <v>231</v>
      </c>
      <c r="B3899" s="4" t="s">
        <v>232</v>
      </c>
      <c r="C3899" s="5">
        <v>2000</v>
      </c>
      <c r="D3899" s="4">
        <v>0</v>
      </c>
      <c r="E3899" s="4">
        <v>0</v>
      </c>
      <c r="F3899" s="4" t="str">
        <f>_xlfn.LET(_xlpm.r, _xlfn.XLOOKUP(Clean_Data[[#This Row],[Country_Code]], Metadata_Country!$A:$A, Metadata_Country!$B:$B, "Unknown"), IF(OR(_xlpm.r=0, _xlpm.r=""), "Regional Aggregate", _xlpm.r))</f>
        <v>Europe &amp; Central Asia</v>
      </c>
      <c r="G3899" s="4" t="str">
        <f>_xlfn.LET(_xlpm.ig, _xlfn.XLOOKUP(Clean_Data[[#This Row],[Country_Code]], Metadata_Country!$A:$A, Metadata_Country!$C:$C, "Unknown"), IF(OR(_xlpm.ig=0, _xlpm.ig=""), "Regional Aggregate", _xlpm.ig))</f>
        <v>High income</v>
      </c>
      <c r="H3899" s="4">
        <f>Clean_Data[[#This Row],[Exports_TIV]] - Clean_Data[[#This Row],[Imports_TIV]]</f>
        <v>0</v>
      </c>
      <c r="I3899" s="4">
        <f>Clean_Data[[#This Row],[Exports_TIV]] + Clean_Data[[#This Row],[Imports_TIV]]</f>
        <v>0</v>
      </c>
    </row>
    <row r="3900" spans="1:9">
      <c r="A3900" s="4" t="s">
        <v>239</v>
      </c>
      <c r="B3900" s="4" t="s">
        <v>240</v>
      </c>
      <c r="C3900" s="5">
        <v>2000</v>
      </c>
      <c r="D3900" s="4">
        <v>407000000</v>
      </c>
      <c r="E3900" s="4">
        <v>389000000</v>
      </c>
      <c r="F3900" s="4" t="str">
        <f>_xlfn.LET(_xlpm.r, _xlfn.XLOOKUP(Clean_Data[[#This Row],[Country_Code]], Metadata_Country!$A:$A, Metadata_Country!$B:$B, "Unknown"), IF(OR(_xlpm.r=0, _xlpm.r=""), "Regional Aggregate", _xlpm.r))</f>
        <v>Middle East &amp; North Africa</v>
      </c>
      <c r="G3900" s="4" t="str">
        <f>_xlfn.LET(_xlpm.ig, _xlfn.XLOOKUP(Clean_Data[[#This Row],[Country_Code]], Metadata_Country!$A:$A, Metadata_Country!$C:$C, "Unknown"), IF(OR(_xlpm.ig=0, _xlpm.ig=""), "Regional Aggregate", _xlpm.ig))</f>
        <v>High income</v>
      </c>
      <c r="H3900" s="4">
        <f>Clean_Data[[#This Row],[Exports_TIV]] - Clean_Data[[#This Row],[Imports_TIV]]</f>
        <v>18000000</v>
      </c>
      <c r="I3900" s="4">
        <f>Clean_Data[[#This Row],[Exports_TIV]] + Clean_Data[[#This Row],[Imports_TIV]]</f>
        <v>796000000</v>
      </c>
    </row>
    <row r="3901" spans="1:9">
      <c r="A3901" s="4" t="s">
        <v>241</v>
      </c>
      <c r="B3901" s="4" t="s">
        <v>242</v>
      </c>
      <c r="C3901" s="5">
        <v>2000</v>
      </c>
      <c r="D3901" s="4">
        <v>205000000</v>
      </c>
      <c r="E3901" s="4">
        <v>278000000</v>
      </c>
      <c r="F3901" s="4" t="str">
        <f>_xlfn.LET(_xlpm.r, _xlfn.XLOOKUP(Clean_Data[[#This Row],[Country_Code]], Metadata_Country!$A:$A, Metadata_Country!$B:$B, "Unknown"), IF(OR(_xlpm.r=0, _xlpm.r=""), "Regional Aggregate", _xlpm.r))</f>
        <v>Europe &amp; Central Asia</v>
      </c>
      <c r="G3901" s="4" t="str">
        <f>_xlfn.LET(_xlpm.ig, _xlfn.XLOOKUP(Clean_Data[[#This Row],[Country_Code]], Metadata_Country!$A:$A, Metadata_Country!$C:$C, "Unknown"), IF(OR(_xlpm.ig=0, _xlpm.ig=""), "Regional Aggregate", _xlpm.ig))</f>
        <v>High income</v>
      </c>
      <c r="H3901" s="4">
        <f>Clean_Data[[#This Row],[Exports_TIV]] - Clean_Data[[#This Row],[Imports_TIV]]</f>
        <v>-73000000</v>
      </c>
      <c r="I3901" s="4">
        <f>Clean_Data[[#This Row],[Exports_TIV]] + Clean_Data[[#This Row],[Imports_TIV]]</f>
        <v>483000000</v>
      </c>
    </row>
    <row r="3902" spans="1:9">
      <c r="A3902" s="4" t="s">
        <v>247</v>
      </c>
      <c r="B3902" s="4" t="s">
        <v>248</v>
      </c>
      <c r="C3902" s="5">
        <v>2000</v>
      </c>
      <c r="D3902" s="4">
        <v>0</v>
      </c>
      <c r="E3902" s="4">
        <v>497000000</v>
      </c>
      <c r="F3902" s="4" t="str">
        <f>_xlfn.LET(_xlpm.r, _xlfn.XLOOKUP(Clean_Data[[#This Row],[Country_Code]], Metadata_Country!$A:$A, Metadata_Country!$B:$B, "Unknown"), IF(OR(_xlpm.r=0, _xlpm.r=""), "Regional Aggregate", _xlpm.r))</f>
        <v>East Asia &amp; Pacific</v>
      </c>
      <c r="G3902" s="4" t="str">
        <f>_xlfn.LET(_xlpm.ig, _xlfn.XLOOKUP(Clean_Data[[#This Row],[Country_Code]], Metadata_Country!$A:$A, Metadata_Country!$C:$C, "Unknown"), IF(OR(_xlpm.ig=0, _xlpm.ig=""), "Regional Aggregate", _xlpm.ig))</f>
        <v>High income</v>
      </c>
      <c r="H3902" s="4">
        <f>Clean_Data[[#This Row],[Exports_TIV]] - Clean_Data[[#This Row],[Imports_TIV]]</f>
        <v>-497000000</v>
      </c>
      <c r="I3902" s="4">
        <f>Clean_Data[[#This Row],[Exports_TIV]] + Clean_Data[[#This Row],[Imports_TIV]]</f>
        <v>497000000</v>
      </c>
    </row>
    <row r="3903" spans="1:9">
      <c r="A3903" s="4" t="s">
        <v>245</v>
      </c>
      <c r="B3903" s="4" t="s">
        <v>246</v>
      </c>
      <c r="C3903" s="5">
        <v>2000</v>
      </c>
      <c r="D3903" s="4">
        <v>0</v>
      </c>
      <c r="E3903" s="4">
        <v>139000000</v>
      </c>
      <c r="F3903" s="4" t="str">
        <f>_xlfn.LET(_xlpm.r, _xlfn.XLOOKUP(Clean_Data[[#This Row],[Country_Code]], Metadata_Country!$A:$A, Metadata_Country!$B:$B, "Unknown"), IF(OR(_xlpm.r=0, _xlpm.r=""), "Regional Aggregate", _xlpm.r))</f>
        <v>Middle East &amp; North Africa</v>
      </c>
      <c r="G3903" s="4" t="str">
        <f>_xlfn.LET(_xlpm.ig, _xlfn.XLOOKUP(Clean_Data[[#This Row],[Country_Code]], Metadata_Country!$A:$A, Metadata_Country!$C:$C, "Unknown"), IF(OR(_xlpm.ig=0, _xlpm.ig=""), "Regional Aggregate", _xlpm.ig))</f>
        <v>Upper middle income</v>
      </c>
      <c r="H3903" s="4">
        <f>Clean_Data[[#This Row],[Exports_TIV]] - Clean_Data[[#This Row],[Imports_TIV]]</f>
        <v>-139000000</v>
      </c>
      <c r="I3903" s="4">
        <f>Clean_Data[[#This Row],[Exports_TIV]] + Clean_Data[[#This Row],[Imports_TIV]]</f>
        <v>139000000</v>
      </c>
    </row>
    <row r="3904" spans="1:9">
      <c r="A3904" s="4" t="s">
        <v>249</v>
      </c>
      <c r="B3904" s="4" t="s">
        <v>250</v>
      </c>
      <c r="C3904" s="5">
        <v>2000</v>
      </c>
      <c r="D3904" s="4">
        <v>19000000</v>
      </c>
      <c r="E3904" s="4">
        <v>121000000</v>
      </c>
      <c r="F3904" s="4" t="str">
        <f>_xlfn.LET(_xlpm.r, _xlfn.XLOOKUP(Clean_Data[[#This Row],[Country_Code]], Metadata_Country!$A:$A, Metadata_Country!$B:$B, "Unknown"), IF(OR(_xlpm.r=0, _xlpm.r=""), "Regional Aggregate", _xlpm.r))</f>
        <v>Europe &amp; Central Asia</v>
      </c>
      <c r="G3904" s="4" t="str">
        <f>_xlfn.LET(_xlpm.ig, _xlfn.XLOOKUP(Clean_Data[[#This Row],[Country_Code]], Metadata_Country!$A:$A, Metadata_Country!$C:$C, "Unknown"), IF(OR(_xlpm.ig=0, _xlpm.ig=""), "Regional Aggregate", _xlpm.ig))</f>
        <v>Upper middle income</v>
      </c>
      <c r="H3904" s="4">
        <f>Clean_Data[[#This Row],[Exports_TIV]] - Clean_Data[[#This Row],[Imports_TIV]]</f>
        <v>-102000000</v>
      </c>
      <c r="I3904" s="4">
        <f>Clean_Data[[#This Row],[Exports_TIV]] + Clean_Data[[#This Row],[Imports_TIV]]</f>
        <v>140000000</v>
      </c>
    </row>
    <row r="3905" spans="1:9">
      <c r="A3905" s="4" t="s">
        <v>251</v>
      </c>
      <c r="B3905" s="4" t="s">
        <v>252</v>
      </c>
      <c r="C3905" s="5">
        <v>2000</v>
      </c>
      <c r="D3905" s="4">
        <v>0</v>
      </c>
      <c r="E3905" s="4">
        <v>15000000</v>
      </c>
      <c r="F3905" s="4" t="str">
        <f>_xlfn.LET(_xlpm.r, _xlfn.XLOOKUP(Clean_Data[[#This Row],[Country_Code]], Metadata_Country!$A:$A, Metadata_Country!$B:$B, "Unknown"), IF(OR(_xlpm.r=0, _xlpm.r=""), "Regional Aggregate", _xlpm.r))</f>
        <v>Sub-Saharan Africa</v>
      </c>
      <c r="G3905" s="4" t="str">
        <f>_xlfn.LET(_xlpm.ig, _xlfn.XLOOKUP(Clean_Data[[#This Row],[Country_Code]], Metadata_Country!$A:$A, Metadata_Country!$C:$C, "Unknown"), IF(OR(_xlpm.ig=0, _xlpm.ig=""), "Regional Aggregate", _xlpm.ig))</f>
        <v>Lower middle income</v>
      </c>
      <c r="H3905" s="4">
        <f>Clean_Data[[#This Row],[Exports_TIV]] - Clean_Data[[#This Row],[Imports_TIV]]</f>
        <v>-15000000</v>
      </c>
      <c r="I3905" s="4">
        <f>Clean_Data[[#This Row],[Exports_TIV]] + Clean_Data[[#This Row],[Imports_TIV]]</f>
        <v>15000000</v>
      </c>
    </row>
    <row r="3906" spans="1:9">
      <c r="A3906" s="4" t="s">
        <v>395</v>
      </c>
      <c r="B3906" s="4" t="s">
        <v>396</v>
      </c>
      <c r="C3906" s="5">
        <v>2000</v>
      </c>
      <c r="D3906" s="4">
        <v>40000000</v>
      </c>
      <c r="E3906" s="4">
        <v>63000000</v>
      </c>
      <c r="F3906" s="4" t="str">
        <f>_xlfn.LET(_xlpm.r, _xlfn.XLOOKUP(Clean_Data[[#This Row],[Country_Code]], Metadata_Country!$A:$A, Metadata_Country!$B:$B, "Unknown"), IF(OR(_xlpm.r=0, _xlpm.r=""), "Regional Aggregate", _xlpm.r))</f>
        <v>East Asia &amp; Pacific</v>
      </c>
      <c r="G3906" s="4" t="str">
        <f>_xlfn.LET(_xlpm.ig, _xlfn.XLOOKUP(Clean_Data[[#This Row],[Country_Code]], Metadata_Country!$A:$A, Metadata_Country!$C:$C, "Unknown"), IF(OR(_xlpm.ig=0, _xlpm.ig=""), "Regional Aggregate", _xlpm.ig))</f>
        <v>Low income</v>
      </c>
      <c r="H3906" s="4">
        <f>Clean_Data[[#This Row],[Exports_TIV]] - Clean_Data[[#This Row],[Imports_TIV]]</f>
        <v>-23000000</v>
      </c>
      <c r="I3906" s="4">
        <f>Clean_Data[[#This Row],[Exports_TIV]] + Clean_Data[[#This Row],[Imports_TIV]]</f>
        <v>103000000</v>
      </c>
    </row>
    <row r="3907" spans="1:9">
      <c r="A3907" s="4" t="s">
        <v>261</v>
      </c>
      <c r="B3907" s="4" t="s">
        <v>262</v>
      </c>
      <c r="C3907" s="5">
        <v>2000</v>
      </c>
      <c r="D3907" s="4">
        <v>36000000</v>
      </c>
      <c r="E3907" s="4">
        <v>1393000000</v>
      </c>
      <c r="F3907" s="4" t="str">
        <f>_xlfn.LET(_xlpm.r, _xlfn.XLOOKUP(Clean_Data[[#This Row],[Country_Code]], Metadata_Country!$A:$A, Metadata_Country!$B:$B, "Unknown"), IF(OR(_xlpm.r=0, _xlpm.r=""), "Regional Aggregate", _xlpm.r))</f>
        <v>East Asia &amp; Pacific</v>
      </c>
      <c r="G3907" s="4" t="str">
        <f>_xlfn.LET(_xlpm.ig, _xlfn.XLOOKUP(Clean_Data[[#This Row],[Country_Code]], Metadata_Country!$A:$A, Metadata_Country!$C:$C, "Unknown"), IF(OR(_xlpm.ig=0, _xlpm.ig=""), "Regional Aggregate", _xlpm.ig))</f>
        <v>High income</v>
      </c>
      <c r="H3907" s="4">
        <f>Clean_Data[[#This Row],[Exports_TIV]] - Clean_Data[[#This Row],[Imports_TIV]]</f>
        <v>-1357000000</v>
      </c>
      <c r="I3907" s="4">
        <f>Clean_Data[[#This Row],[Exports_TIV]] + Clean_Data[[#This Row],[Imports_TIV]]</f>
        <v>1429000000</v>
      </c>
    </row>
    <row r="3908" spans="1:9">
      <c r="A3908" s="4" t="s">
        <v>263</v>
      </c>
      <c r="B3908" s="4" t="s">
        <v>264</v>
      </c>
      <c r="C3908" s="5">
        <v>2000</v>
      </c>
      <c r="D3908" s="4">
        <v>0</v>
      </c>
      <c r="E3908" s="4">
        <v>226000000</v>
      </c>
      <c r="F3908" s="4" t="str">
        <f>_xlfn.LET(_xlpm.r, _xlfn.XLOOKUP(Clean_Data[[#This Row],[Country_Code]], Metadata_Country!$A:$A, Metadata_Country!$B:$B, "Unknown"), IF(OR(_xlpm.r=0, _xlpm.r=""), "Regional Aggregate", _xlpm.r))</f>
        <v>Middle East &amp; North Africa</v>
      </c>
      <c r="G3908" s="4" t="str">
        <f>_xlfn.LET(_xlpm.ig, _xlfn.XLOOKUP(Clean_Data[[#This Row],[Country_Code]], Metadata_Country!$A:$A, Metadata_Country!$C:$C, "Unknown"), IF(OR(_xlpm.ig=0, _xlpm.ig=""), "Regional Aggregate", _xlpm.ig))</f>
        <v>High income</v>
      </c>
      <c r="H3908" s="4">
        <f>Clean_Data[[#This Row],[Exports_TIV]] - Clean_Data[[#This Row],[Imports_TIV]]</f>
        <v>-226000000</v>
      </c>
      <c r="I3908" s="4">
        <f>Clean_Data[[#This Row],[Exports_TIV]] + Clean_Data[[#This Row],[Imports_TIV]]</f>
        <v>226000000</v>
      </c>
    </row>
    <row r="3909" spans="1:9">
      <c r="A3909" s="4" t="s">
        <v>267</v>
      </c>
      <c r="B3909" s="4" t="s">
        <v>268</v>
      </c>
      <c r="C3909" s="5">
        <v>2000</v>
      </c>
      <c r="D3909" s="4">
        <v>0</v>
      </c>
      <c r="E3909" s="4">
        <v>7000000</v>
      </c>
      <c r="F3909" s="4" t="str">
        <f>_xlfn.LET(_xlpm.r, _xlfn.XLOOKUP(Clean_Data[[#This Row],[Country_Code]], Metadata_Country!$A:$A, Metadata_Country!$B:$B, "Unknown"), IF(OR(_xlpm.r=0, _xlpm.r=""), "Regional Aggregate", _xlpm.r))</f>
        <v>East Asia &amp; Pacific</v>
      </c>
      <c r="G3909" s="4" t="str">
        <f>_xlfn.LET(_xlpm.ig, _xlfn.XLOOKUP(Clean_Data[[#This Row],[Country_Code]], Metadata_Country!$A:$A, Metadata_Country!$C:$C, "Unknown"), IF(OR(_xlpm.ig=0, _xlpm.ig=""), "Regional Aggregate", _xlpm.ig))</f>
        <v>Lower middle income</v>
      </c>
      <c r="H3909" s="4">
        <f>Clean_Data[[#This Row],[Exports_TIV]] - Clean_Data[[#This Row],[Imports_TIV]]</f>
        <v>-7000000</v>
      </c>
      <c r="I3909" s="4">
        <f>Clean_Data[[#This Row],[Exports_TIV]] + Clean_Data[[#This Row],[Imports_TIV]]</f>
        <v>7000000</v>
      </c>
    </row>
    <row r="3910" spans="1:9">
      <c r="A3910" s="4" t="s">
        <v>293</v>
      </c>
      <c r="B3910" s="4" t="s">
        <v>294</v>
      </c>
      <c r="C3910" s="5">
        <v>2000</v>
      </c>
      <c r="D3910" s="4">
        <v>0</v>
      </c>
      <c r="E3910" s="4">
        <v>5598000000</v>
      </c>
      <c r="F3910" s="4" t="str">
        <f>_xlfn.LET(_xlpm.r, _xlfn.XLOOKUP(Clean_Data[[#This Row],[Country_Code]], Metadata_Country!$A:$A, Metadata_Country!$B:$B, "Unknown"), IF(OR(_xlpm.r=0, _xlpm.r=""), "Regional Aggregate", _xlpm.r))</f>
        <v>Regional Aggregate</v>
      </c>
      <c r="G3910" s="4" t="str">
        <f>_xlfn.LET(_xlpm.ig, _xlfn.XLOOKUP(Clean_Data[[#This Row],[Country_Code]], Metadata_Country!$A:$A, Metadata_Country!$C:$C, "Unknown"), IF(OR(_xlpm.ig=0, _xlpm.ig=""), "Regional Aggregate", _xlpm.ig))</f>
        <v>Regional Aggregate</v>
      </c>
      <c r="H3910" s="4">
        <f>Clean_Data[[#This Row],[Exports_TIV]] - Clean_Data[[#This Row],[Imports_TIV]]</f>
        <v>-5598000000</v>
      </c>
      <c r="I3910" s="4">
        <f>Clean_Data[[#This Row],[Exports_TIV]] + Clean_Data[[#This Row],[Imports_TIV]]</f>
        <v>5598000000</v>
      </c>
    </row>
    <row r="3911" spans="1:9">
      <c r="A3911" s="4" t="s">
        <v>277</v>
      </c>
      <c r="B3911" s="4" t="s">
        <v>278</v>
      </c>
      <c r="C3911" s="5">
        <v>2000</v>
      </c>
      <c r="D3911" s="4">
        <v>0</v>
      </c>
      <c r="E3911" s="4">
        <v>1025000000</v>
      </c>
      <c r="F3911" s="4" t="str">
        <f>_xlfn.LET(_xlpm.r, _xlfn.XLOOKUP(Clean_Data[[#This Row],[Country_Code]], Metadata_Country!$A:$A, Metadata_Country!$B:$B, "Unknown"), IF(OR(_xlpm.r=0, _xlpm.r=""), "Regional Aggregate", _xlpm.r))</f>
        <v>Regional Aggregate</v>
      </c>
      <c r="G3911" s="4" t="str">
        <f>_xlfn.LET(_xlpm.ig, _xlfn.XLOOKUP(Clean_Data[[#This Row],[Country_Code]], Metadata_Country!$A:$A, Metadata_Country!$C:$C, "Unknown"), IF(OR(_xlpm.ig=0, _xlpm.ig=""), "Regional Aggregate", _xlpm.ig))</f>
        <v>Regional Aggregate</v>
      </c>
      <c r="H3911" s="4">
        <f>Clean_Data[[#This Row],[Exports_TIV]] - Clean_Data[[#This Row],[Imports_TIV]]</f>
        <v>-1025000000</v>
      </c>
      <c r="I3911" s="4">
        <f>Clean_Data[[#This Row],[Exports_TIV]] + Clean_Data[[#This Row],[Imports_TIV]]</f>
        <v>1025000000</v>
      </c>
    </row>
    <row r="3912" spans="1:9">
      <c r="A3912" s="4" t="s">
        <v>265</v>
      </c>
      <c r="B3912" s="4" t="s">
        <v>266</v>
      </c>
      <c r="C3912" s="5">
        <v>2000</v>
      </c>
      <c r="D3912" s="4">
        <v>0</v>
      </c>
      <c r="E3912" s="4">
        <v>747000000</v>
      </c>
      <c r="F3912" s="4" t="str">
        <f>_xlfn.LET(_xlpm.r, _xlfn.XLOOKUP(Clean_Data[[#This Row],[Country_Code]], Metadata_Country!$A:$A, Metadata_Country!$B:$B, "Unknown"), IF(OR(_xlpm.r=0, _xlpm.r=""), "Regional Aggregate", _xlpm.r))</f>
        <v>Regional Aggregate</v>
      </c>
      <c r="G3912" s="4" t="str">
        <f>_xlfn.LET(_xlpm.ig, _xlfn.XLOOKUP(Clean_Data[[#This Row],[Country_Code]], Metadata_Country!$A:$A, Metadata_Country!$C:$C, "Unknown"), IF(OR(_xlpm.ig=0, _xlpm.ig=""), "Regional Aggregate", _xlpm.ig))</f>
        <v>Regional Aggregate</v>
      </c>
      <c r="H3912" s="4">
        <f>Clean_Data[[#This Row],[Exports_TIV]] - Clean_Data[[#This Row],[Imports_TIV]]</f>
        <v>-747000000</v>
      </c>
      <c r="I3912" s="4">
        <f>Clean_Data[[#This Row],[Exports_TIV]] + Clean_Data[[#This Row],[Imports_TIV]]</f>
        <v>747000000</v>
      </c>
    </row>
    <row r="3913" spans="1:9">
      <c r="A3913" s="4" t="s">
        <v>481</v>
      </c>
      <c r="B3913" s="4" t="s">
        <v>482</v>
      </c>
      <c r="C3913" s="5">
        <v>2000</v>
      </c>
      <c r="D3913" s="4">
        <v>0</v>
      </c>
      <c r="E3913" s="4">
        <v>992000000</v>
      </c>
      <c r="F3913" s="4" t="str">
        <f>_xlfn.LET(_xlpm.r, _xlfn.XLOOKUP(Clean_Data[[#This Row],[Country_Code]], Metadata_Country!$A:$A, Metadata_Country!$B:$B, "Unknown"), IF(OR(_xlpm.r=0, _xlpm.r=""), "Regional Aggregate", _xlpm.r))</f>
        <v>Regional Aggregate</v>
      </c>
      <c r="G3913" s="4" t="str">
        <f>_xlfn.LET(_xlpm.ig, _xlfn.XLOOKUP(Clean_Data[[#This Row],[Country_Code]], Metadata_Country!$A:$A, Metadata_Country!$C:$C, "Unknown"), IF(OR(_xlpm.ig=0, _xlpm.ig=""), "Regional Aggregate", _xlpm.ig))</f>
        <v>Regional Aggregate</v>
      </c>
      <c r="H3913" s="4">
        <f>Clean_Data[[#This Row],[Exports_TIV]] - Clean_Data[[#This Row],[Imports_TIV]]</f>
        <v>-992000000</v>
      </c>
      <c r="I3913" s="4">
        <f>Clean_Data[[#This Row],[Exports_TIV]] + Clean_Data[[#This Row],[Imports_TIV]]</f>
        <v>992000000</v>
      </c>
    </row>
    <row r="3914" spans="1:9">
      <c r="A3914" s="4" t="s">
        <v>299</v>
      </c>
      <c r="B3914" s="4" t="s">
        <v>300</v>
      </c>
      <c r="C3914" s="5">
        <v>2000</v>
      </c>
      <c r="D3914" s="4">
        <v>0</v>
      </c>
      <c r="E3914" s="4">
        <v>3000000</v>
      </c>
      <c r="F3914" s="4" t="str">
        <f>_xlfn.LET(_xlpm.r, _xlfn.XLOOKUP(Clean_Data[[#This Row],[Country_Code]], Metadata_Country!$A:$A, Metadata_Country!$B:$B, "Unknown"), IF(OR(_xlpm.r=0, _xlpm.r=""), "Regional Aggregate", _xlpm.r))</f>
        <v>Europe &amp; Central Asia</v>
      </c>
      <c r="G3914" s="4" t="str">
        <f>_xlfn.LET(_xlpm.ig, _xlfn.XLOOKUP(Clean_Data[[#This Row],[Country_Code]], Metadata_Country!$A:$A, Metadata_Country!$C:$C, "Unknown"), IF(OR(_xlpm.ig=0, _xlpm.ig=""), "Regional Aggregate", _xlpm.ig))</f>
        <v>High income</v>
      </c>
      <c r="H3914" s="4">
        <f>Clean_Data[[#This Row],[Exports_TIV]] - Clean_Data[[#This Row],[Imports_TIV]]</f>
        <v>-3000000</v>
      </c>
      <c r="I3914" s="4">
        <f>Clean_Data[[#This Row],[Exports_TIV]] + Clean_Data[[#This Row],[Imports_TIV]]</f>
        <v>3000000</v>
      </c>
    </row>
    <row r="3915" spans="1:9">
      <c r="A3915" s="4" t="s">
        <v>269</v>
      </c>
      <c r="B3915" s="4" t="s">
        <v>270</v>
      </c>
      <c r="C3915" s="5">
        <v>2000</v>
      </c>
      <c r="D3915" s="4">
        <v>0</v>
      </c>
      <c r="E3915" s="4">
        <v>4000000</v>
      </c>
      <c r="F3915" s="4" t="str">
        <f>_xlfn.LET(_xlpm.r, _xlfn.XLOOKUP(Clean_Data[[#This Row],[Country_Code]], Metadata_Country!$A:$A, Metadata_Country!$B:$B, "Unknown"), IF(OR(_xlpm.r=0, _xlpm.r=""), "Regional Aggregate", _xlpm.r))</f>
        <v>Middle East &amp; North Africa</v>
      </c>
      <c r="G3915" s="4" t="str">
        <f>_xlfn.LET(_xlpm.ig, _xlfn.XLOOKUP(Clean_Data[[#This Row],[Country_Code]], Metadata_Country!$A:$A, Metadata_Country!$C:$C, "Unknown"), IF(OR(_xlpm.ig=0, _xlpm.ig=""), "Regional Aggregate", _xlpm.ig))</f>
        <v>Lower middle income</v>
      </c>
      <c r="H3915" s="4">
        <f>Clean_Data[[#This Row],[Exports_TIV]] - Clean_Data[[#This Row],[Imports_TIV]]</f>
        <v>-4000000</v>
      </c>
      <c r="I3915" s="4">
        <f>Clean_Data[[#This Row],[Exports_TIV]] + Clean_Data[[#This Row],[Imports_TIV]]</f>
        <v>4000000</v>
      </c>
    </row>
    <row r="3916" spans="1:9">
      <c r="A3916" s="4" t="s">
        <v>271</v>
      </c>
      <c r="B3916" s="4" t="s">
        <v>272</v>
      </c>
      <c r="C3916" s="5">
        <v>2000</v>
      </c>
      <c r="D3916" s="4">
        <v>0</v>
      </c>
      <c r="E3916" s="4">
        <v>9000000</v>
      </c>
      <c r="F3916" s="4" t="str">
        <f>_xlfn.LET(_xlpm.r, _xlfn.XLOOKUP(Clean_Data[[#This Row],[Country_Code]], Metadata_Country!$A:$A, Metadata_Country!$B:$B, "Unknown"), IF(OR(_xlpm.r=0, _xlpm.r=""), "Regional Aggregate", _xlpm.r))</f>
        <v>Sub-Saharan Africa</v>
      </c>
      <c r="G3916" s="4" t="str">
        <f>_xlfn.LET(_xlpm.ig, _xlfn.XLOOKUP(Clean_Data[[#This Row],[Country_Code]], Metadata_Country!$A:$A, Metadata_Country!$C:$C, "Unknown"), IF(OR(_xlpm.ig=0, _xlpm.ig=""), "Regional Aggregate", _xlpm.ig))</f>
        <v>Low income</v>
      </c>
      <c r="H3916" s="4">
        <f>Clean_Data[[#This Row],[Exports_TIV]] - Clean_Data[[#This Row],[Imports_TIV]]</f>
        <v>-9000000</v>
      </c>
      <c r="I3916" s="4">
        <f>Clean_Data[[#This Row],[Exports_TIV]] + Clean_Data[[#This Row],[Imports_TIV]]</f>
        <v>9000000</v>
      </c>
    </row>
    <row r="3917" spans="1:9">
      <c r="A3917" s="4" t="s">
        <v>295</v>
      </c>
      <c r="B3917" s="4" t="s">
        <v>296</v>
      </c>
      <c r="C3917" s="5">
        <v>2000</v>
      </c>
      <c r="D3917" s="4">
        <v>0</v>
      </c>
      <c r="E3917" s="4">
        <v>6000000</v>
      </c>
      <c r="F3917" s="4" t="str">
        <f>_xlfn.LET(_xlpm.r, _xlfn.XLOOKUP(Clean_Data[[#This Row],[Country_Code]], Metadata_Country!$A:$A, Metadata_Country!$B:$B, "Unknown"), IF(OR(_xlpm.r=0, _xlpm.r=""), "Regional Aggregate", _xlpm.r))</f>
        <v>Europe &amp; Central Asia</v>
      </c>
      <c r="G3917" s="4" t="str">
        <f>_xlfn.LET(_xlpm.ig, _xlfn.XLOOKUP(Clean_Data[[#This Row],[Country_Code]], Metadata_Country!$A:$A, Metadata_Country!$C:$C, "Unknown"), IF(OR(_xlpm.ig=0, _xlpm.ig=""), "Regional Aggregate", _xlpm.ig))</f>
        <v>High income</v>
      </c>
      <c r="H3917" s="4">
        <f>Clean_Data[[#This Row],[Exports_TIV]] - Clean_Data[[#This Row],[Imports_TIV]]</f>
        <v>-6000000</v>
      </c>
      <c r="I3917" s="4">
        <f>Clean_Data[[#This Row],[Exports_TIV]] + Clean_Data[[#This Row],[Imports_TIV]]</f>
        <v>6000000</v>
      </c>
    </row>
    <row r="3918" spans="1:9">
      <c r="A3918" s="4" t="s">
        <v>289</v>
      </c>
      <c r="B3918" s="4" t="s">
        <v>290</v>
      </c>
      <c r="C3918" s="5">
        <v>2000</v>
      </c>
      <c r="D3918" s="4">
        <v>0</v>
      </c>
      <c r="E3918" s="4">
        <v>9343000000</v>
      </c>
      <c r="F3918" s="4" t="str">
        <f>_xlfn.LET(_xlpm.r, _xlfn.XLOOKUP(Clean_Data[[#This Row],[Country_Code]], Metadata_Country!$A:$A, Metadata_Country!$B:$B, "Unknown"), IF(OR(_xlpm.r=0, _xlpm.r=""), "Regional Aggregate", _xlpm.r))</f>
        <v>Regional Aggregate</v>
      </c>
      <c r="G3918" s="4" t="str">
        <f>_xlfn.LET(_xlpm.ig, _xlfn.XLOOKUP(Clean_Data[[#This Row],[Country_Code]], Metadata_Country!$A:$A, Metadata_Country!$C:$C, "Unknown"), IF(OR(_xlpm.ig=0, _xlpm.ig=""), "Regional Aggregate", _xlpm.ig))</f>
        <v>Regional Aggregate</v>
      </c>
      <c r="H3918" s="4">
        <f>Clean_Data[[#This Row],[Exports_TIV]] - Clean_Data[[#This Row],[Imports_TIV]]</f>
        <v>-9343000000</v>
      </c>
      <c r="I3918" s="4">
        <f>Clean_Data[[#This Row],[Exports_TIV]] + Clean_Data[[#This Row],[Imports_TIV]]</f>
        <v>9343000000</v>
      </c>
    </row>
    <row r="3919" spans="1:9">
      <c r="A3919" s="4" t="s">
        <v>281</v>
      </c>
      <c r="B3919" s="4" t="s">
        <v>282</v>
      </c>
      <c r="C3919" s="5">
        <v>2000</v>
      </c>
      <c r="D3919" s="4">
        <v>0</v>
      </c>
      <c r="E3919" s="4">
        <v>530000000</v>
      </c>
      <c r="F3919" s="4" t="str">
        <f>_xlfn.LET(_xlpm.r, _xlfn.XLOOKUP(Clean_Data[[#This Row],[Country_Code]], Metadata_Country!$A:$A, Metadata_Country!$B:$B, "Unknown"), IF(OR(_xlpm.r=0, _xlpm.r=""), "Regional Aggregate", _xlpm.r))</f>
        <v>Regional Aggregate</v>
      </c>
      <c r="G3919" s="4" t="str">
        <f>_xlfn.LET(_xlpm.ig, _xlfn.XLOOKUP(Clean_Data[[#This Row],[Country_Code]], Metadata_Country!$A:$A, Metadata_Country!$C:$C, "Unknown"), IF(OR(_xlpm.ig=0, _xlpm.ig=""), "Regional Aggregate", _xlpm.ig))</f>
        <v>Regional Aggregate</v>
      </c>
      <c r="H3919" s="4">
        <f>Clean_Data[[#This Row],[Exports_TIV]] - Clean_Data[[#This Row],[Imports_TIV]]</f>
        <v>-530000000</v>
      </c>
      <c r="I3919" s="4">
        <f>Clean_Data[[#This Row],[Exports_TIV]] + Clean_Data[[#This Row],[Imports_TIV]]</f>
        <v>530000000</v>
      </c>
    </row>
    <row r="3920" spans="1:9">
      <c r="A3920" s="4" t="s">
        <v>287</v>
      </c>
      <c r="B3920" s="4" t="s">
        <v>288</v>
      </c>
      <c r="C3920" s="5">
        <v>2000</v>
      </c>
      <c r="D3920" s="4">
        <v>0</v>
      </c>
      <c r="E3920" s="4">
        <v>2790000000</v>
      </c>
      <c r="F3920" s="4" t="str">
        <f>_xlfn.LET(_xlpm.r, _xlfn.XLOOKUP(Clean_Data[[#This Row],[Country_Code]], Metadata_Country!$A:$A, Metadata_Country!$B:$B, "Unknown"), IF(OR(_xlpm.r=0, _xlpm.r=""), "Regional Aggregate", _xlpm.r))</f>
        <v>Regional Aggregate</v>
      </c>
      <c r="G3920" s="4" t="str">
        <f>_xlfn.LET(_xlpm.ig, _xlfn.XLOOKUP(Clean_Data[[#This Row],[Country_Code]], Metadata_Country!$A:$A, Metadata_Country!$C:$C, "Unknown"), IF(OR(_xlpm.ig=0, _xlpm.ig=""), "Regional Aggregate", _xlpm.ig))</f>
        <v>Regional Aggregate</v>
      </c>
      <c r="H3920" s="4">
        <f>Clean_Data[[#This Row],[Exports_TIV]] - Clean_Data[[#This Row],[Imports_TIV]]</f>
        <v>-2790000000</v>
      </c>
      <c r="I3920" s="4">
        <f>Clean_Data[[#This Row],[Exports_TIV]] + Clean_Data[[#This Row],[Imports_TIV]]</f>
        <v>2790000000</v>
      </c>
    </row>
    <row r="3921" spans="1:9">
      <c r="A3921" s="4" t="s">
        <v>345</v>
      </c>
      <c r="B3921" s="4" t="s">
        <v>346</v>
      </c>
      <c r="C3921" s="5">
        <v>2000</v>
      </c>
      <c r="D3921" s="4">
        <v>1000000</v>
      </c>
      <c r="E3921" s="4">
        <v>0</v>
      </c>
      <c r="F3921" s="4" t="str">
        <f>_xlfn.LET(_xlpm.r, _xlfn.XLOOKUP(Clean_Data[[#This Row],[Country_Code]], Metadata_Country!$A:$A, Metadata_Country!$B:$B, "Unknown"), IF(OR(_xlpm.r=0, _xlpm.r=""), "Regional Aggregate", _xlpm.r))</f>
        <v>Sub-Saharan Africa</v>
      </c>
      <c r="G3921" s="4" t="str">
        <f>_xlfn.LET(_xlpm.ig, _xlfn.XLOOKUP(Clean_Data[[#This Row],[Country_Code]], Metadata_Country!$A:$A, Metadata_Country!$C:$C, "Unknown"), IF(OR(_xlpm.ig=0, _xlpm.ig=""), "Regional Aggregate", _xlpm.ig))</f>
        <v>Low income</v>
      </c>
      <c r="H3921" s="4">
        <f>Clean_Data[[#This Row],[Exports_TIV]] - Clean_Data[[#This Row],[Imports_TIV]]</f>
        <v>1000000</v>
      </c>
      <c r="I3921" s="4">
        <f>Clean_Data[[#This Row],[Exports_TIV]] + Clean_Data[[#This Row],[Imports_TIV]]</f>
        <v>1000000</v>
      </c>
    </row>
    <row r="3922" spans="1:9">
      <c r="A3922" s="4" t="s">
        <v>347</v>
      </c>
      <c r="B3922" s="4" t="s">
        <v>348</v>
      </c>
      <c r="C3922" s="5">
        <v>2000</v>
      </c>
      <c r="D3922" s="4">
        <v>0</v>
      </c>
      <c r="E3922" s="4">
        <v>26000000</v>
      </c>
      <c r="F3922" s="4" t="str">
        <f>_xlfn.LET(_xlpm.r, _xlfn.XLOOKUP(Clean_Data[[#This Row],[Country_Code]], Metadata_Country!$A:$A, Metadata_Country!$B:$B, "Unknown"), IF(OR(_xlpm.r=0, _xlpm.r=""), "Regional Aggregate", _xlpm.r))</f>
        <v>East Asia &amp; Pacific</v>
      </c>
      <c r="G3922" s="4" t="str">
        <f>_xlfn.LET(_xlpm.ig, _xlfn.XLOOKUP(Clean_Data[[#This Row],[Country_Code]], Metadata_Country!$A:$A, Metadata_Country!$C:$C, "Unknown"), IF(OR(_xlpm.ig=0, _xlpm.ig=""), "Regional Aggregate", _xlpm.ig))</f>
        <v>Upper middle income</v>
      </c>
      <c r="H3922" s="4">
        <f>Clean_Data[[#This Row],[Exports_TIV]] - Clean_Data[[#This Row],[Imports_TIV]]</f>
        <v>-26000000</v>
      </c>
      <c r="I3922" s="4">
        <f>Clean_Data[[#This Row],[Exports_TIV]] + Clean_Data[[#This Row],[Imports_TIV]]</f>
        <v>26000000</v>
      </c>
    </row>
    <row r="3923" spans="1:9">
      <c r="A3923" s="4" t="s">
        <v>325</v>
      </c>
      <c r="B3923" s="4" t="s">
        <v>326</v>
      </c>
      <c r="C3923" s="5">
        <v>2000</v>
      </c>
      <c r="D3923" s="4">
        <v>0</v>
      </c>
      <c r="E3923" s="4">
        <v>7000000</v>
      </c>
      <c r="F3923" s="4" t="str">
        <f>_xlfn.LET(_xlpm.r, _xlfn.XLOOKUP(Clean_Data[[#This Row],[Country_Code]], Metadata_Country!$A:$A, Metadata_Country!$B:$B, "Unknown"), IF(OR(_xlpm.r=0, _xlpm.r=""), "Regional Aggregate", _xlpm.r))</f>
        <v>Sub-Saharan Africa</v>
      </c>
      <c r="G3923" s="4" t="str">
        <f>_xlfn.LET(_xlpm.ig, _xlfn.XLOOKUP(Clean_Data[[#This Row],[Country_Code]], Metadata_Country!$A:$A, Metadata_Country!$C:$C, "Unknown"), IF(OR(_xlpm.ig=0, _xlpm.ig=""), "Regional Aggregate", _xlpm.ig))</f>
        <v>Low income</v>
      </c>
      <c r="H3923" s="4">
        <f>Clean_Data[[#This Row],[Exports_TIV]] - Clean_Data[[#This Row],[Imports_TIV]]</f>
        <v>-7000000</v>
      </c>
      <c r="I3923" s="4">
        <f>Clean_Data[[#This Row],[Exports_TIV]] + Clean_Data[[#This Row],[Imports_TIV]]</f>
        <v>7000000</v>
      </c>
    </row>
    <row r="3924" spans="1:9">
      <c r="A3924" s="4" t="s">
        <v>327</v>
      </c>
      <c r="B3924" s="4" t="s">
        <v>328</v>
      </c>
      <c r="C3924" s="5">
        <v>2000</v>
      </c>
      <c r="D3924" s="4">
        <v>0</v>
      </c>
      <c r="E3924" s="4">
        <v>0</v>
      </c>
      <c r="F3924" s="4" t="str">
        <f>_xlfn.LET(_xlpm.r, _xlfn.XLOOKUP(Clean_Data[[#This Row],[Country_Code]], Metadata_Country!$A:$A, Metadata_Country!$B:$B, "Unknown"), IF(OR(_xlpm.r=0, _xlpm.r=""), "Regional Aggregate", _xlpm.r))</f>
        <v>Middle East &amp; North Africa</v>
      </c>
      <c r="G3924" s="4" t="str">
        <f>_xlfn.LET(_xlpm.ig, _xlfn.XLOOKUP(Clean_Data[[#This Row],[Country_Code]], Metadata_Country!$A:$A, Metadata_Country!$C:$C, "Unknown"), IF(OR(_xlpm.ig=0, _xlpm.ig=""), "Regional Aggregate", _xlpm.ig))</f>
        <v>High income</v>
      </c>
      <c r="H3924" s="4">
        <f>Clean_Data[[#This Row],[Exports_TIV]] - Clean_Data[[#This Row],[Imports_TIV]]</f>
        <v>0</v>
      </c>
      <c r="I3924" s="4">
        <f>Clean_Data[[#This Row],[Exports_TIV]] + Clean_Data[[#This Row],[Imports_TIV]]</f>
        <v>0</v>
      </c>
    </row>
    <row r="3925" spans="1:9">
      <c r="A3925" s="4" t="s">
        <v>341</v>
      </c>
      <c r="B3925" s="4" t="s">
        <v>342</v>
      </c>
      <c r="C3925" s="5">
        <v>2000</v>
      </c>
      <c r="D3925" s="4">
        <v>0</v>
      </c>
      <c r="E3925" s="4">
        <v>31000000</v>
      </c>
      <c r="F3925" s="4" t="str">
        <f>_xlfn.LET(_xlpm.r, _xlfn.XLOOKUP(Clean_Data[[#This Row],[Country_Code]], Metadata_Country!$A:$A, Metadata_Country!$B:$B, "Unknown"), IF(OR(_xlpm.r=0, _xlpm.r=""), "Regional Aggregate", _xlpm.r))</f>
        <v>Sub-Saharan Africa</v>
      </c>
      <c r="G3925" s="4" t="str">
        <f>_xlfn.LET(_xlpm.ig, _xlfn.XLOOKUP(Clean_Data[[#This Row],[Country_Code]], Metadata_Country!$A:$A, Metadata_Country!$C:$C, "Unknown"), IF(OR(_xlpm.ig=0, _xlpm.ig=""), "Regional Aggregate", _xlpm.ig))</f>
        <v>Lower middle income</v>
      </c>
      <c r="H3925" s="4">
        <f>Clean_Data[[#This Row],[Exports_TIV]] - Clean_Data[[#This Row],[Imports_TIV]]</f>
        <v>-31000000</v>
      </c>
      <c r="I3925" s="4">
        <f>Clean_Data[[#This Row],[Exports_TIV]] + Clean_Data[[#This Row],[Imports_TIV]]</f>
        <v>31000000</v>
      </c>
    </row>
    <row r="3926" spans="1:9">
      <c r="A3926" s="4" t="s">
        <v>317</v>
      </c>
      <c r="B3926" s="4" t="s">
        <v>318</v>
      </c>
      <c r="C3926" s="5">
        <v>2000</v>
      </c>
      <c r="D3926" s="4">
        <v>0</v>
      </c>
      <c r="E3926" s="4">
        <v>215000000</v>
      </c>
      <c r="F3926" s="4" t="str">
        <f>_xlfn.LET(_xlpm.r, _xlfn.XLOOKUP(Clean_Data[[#This Row],[Country_Code]], Metadata_Country!$A:$A, Metadata_Country!$B:$B, "Unknown"), IF(OR(_xlpm.r=0, _xlpm.r=""), "Regional Aggregate", _xlpm.r))</f>
        <v>Latin America &amp; Caribbean</v>
      </c>
      <c r="G3926" s="4" t="str">
        <f>_xlfn.LET(_xlpm.ig, _xlfn.XLOOKUP(Clean_Data[[#This Row],[Country_Code]], Metadata_Country!$A:$A, Metadata_Country!$C:$C, "Unknown"), IF(OR(_xlpm.ig=0, _xlpm.ig=""), "Regional Aggregate", _xlpm.ig))</f>
        <v>Upper middle income</v>
      </c>
      <c r="H3926" s="4">
        <f>Clean_Data[[#This Row],[Exports_TIV]] - Clean_Data[[#This Row],[Imports_TIV]]</f>
        <v>-215000000</v>
      </c>
      <c r="I3926" s="4">
        <f>Clean_Data[[#This Row],[Exports_TIV]] + Clean_Data[[#This Row],[Imports_TIV]]</f>
        <v>215000000</v>
      </c>
    </row>
    <row r="3927" spans="1:9">
      <c r="A3927" s="4" t="s">
        <v>315</v>
      </c>
      <c r="B3927" s="4" t="s">
        <v>316</v>
      </c>
      <c r="C3927" s="5">
        <v>2000</v>
      </c>
      <c r="D3927" s="4">
        <v>0</v>
      </c>
      <c r="E3927" s="4">
        <v>3694000000</v>
      </c>
      <c r="F3927" s="4" t="str">
        <f>_xlfn.LET(_xlpm.r, _xlfn.XLOOKUP(Clean_Data[[#This Row],[Country_Code]], Metadata_Country!$A:$A, Metadata_Country!$B:$B, "Unknown"), IF(OR(_xlpm.r=0, _xlpm.r=""), "Regional Aggregate", _xlpm.r))</f>
        <v>Regional Aggregate</v>
      </c>
      <c r="G3927" s="4" t="str">
        <f>_xlfn.LET(_xlpm.ig, _xlfn.XLOOKUP(Clean_Data[[#This Row],[Country_Code]], Metadata_Country!$A:$A, Metadata_Country!$C:$C, "Unknown"), IF(OR(_xlpm.ig=0, _xlpm.ig=""), "Regional Aggregate", _xlpm.ig))</f>
        <v>Regional Aggregate</v>
      </c>
      <c r="H3927" s="4">
        <f>Clean_Data[[#This Row],[Exports_TIV]] - Clean_Data[[#This Row],[Imports_TIV]]</f>
        <v>-3694000000</v>
      </c>
      <c r="I3927" s="4">
        <f>Clean_Data[[#This Row],[Exports_TIV]] + Clean_Data[[#This Row],[Imports_TIV]]</f>
        <v>3694000000</v>
      </c>
    </row>
    <row r="3928" spans="1:9">
      <c r="A3928" s="4" t="s">
        <v>331</v>
      </c>
      <c r="B3928" s="4" t="s">
        <v>332</v>
      </c>
      <c r="C3928" s="5">
        <v>2000</v>
      </c>
      <c r="D3928" s="4">
        <v>0</v>
      </c>
      <c r="E3928" s="4">
        <v>2308000000</v>
      </c>
      <c r="F3928" s="4" t="str">
        <f>_xlfn.LET(_xlpm.r, _xlfn.XLOOKUP(Clean_Data[[#This Row],[Country_Code]], Metadata_Country!$A:$A, Metadata_Country!$B:$B, "Unknown"), IF(OR(_xlpm.r=0, _xlpm.r=""), "Regional Aggregate", _xlpm.r))</f>
        <v>Regional Aggregate</v>
      </c>
      <c r="G3928" s="4" t="str">
        <f>_xlfn.LET(_xlpm.ig, _xlfn.XLOOKUP(Clean_Data[[#This Row],[Country_Code]], Metadata_Country!$A:$A, Metadata_Country!$C:$C, "Unknown"), IF(OR(_xlpm.ig=0, _xlpm.ig=""), "Regional Aggregate", _xlpm.ig))</f>
        <v>Regional Aggregate</v>
      </c>
      <c r="H3928" s="4">
        <f>Clean_Data[[#This Row],[Exports_TIV]] - Clean_Data[[#This Row],[Imports_TIV]]</f>
        <v>-2308000000</v>
      </c>
      <c r="I3928" s="4">
        <f>Clean_Data[[#This Row],[Exports_TIV]] + Clean_Data[[#This Row],[Imports_TIV]]</f>
        <v>2308000000</v>
      </c>
    </row>
    <row r="3929" spans="1:9">
      <c r="A3929" s="4" t="s">
        <v>485</v>
      </c>
      <c r="B3929" s="4" t="s">
        <v>486</v>
      </c>
      <c r="C3929" s="5">
        <v>2000</v>
      </c>
      <c r="D3929" s="4">
        <v>0</v>
      </c>
      <c r="E3929" s="4">
        <v>2308000000</v>
      </c>
      <c r="F3929" s="4" t="str">
        <f>_xlfn.LET(_xlpm.r, _xlfn.XLOOKUP(Clean_Data[[#This Row],[Country_Code]], Metadata_Country!$A:$A, Metadata_Country!$B:$B, "Unknown"), IF(OR(_xlpm.r=0, _xlpm.r=""), "Regional Aggregate", _xlpm.r))</f>
        <v>Regional Aggregate</v>
      </c>
      <c r="G3929" s="4" t="str">
        <f>_xlfn.LET(_xlpm.ig, _xlfn.XLOOKUP(Clean_Data[[#This Row],[Country_Code]], Metadata_Country!$A:$A, Metadata_Country!$C:$C, "Unknown"), IF(OR(_xlpm.ig=0, _xlpm.ig=""), "Regional Aggregate", _xlpm.ig))</f>
        <v>Regional Aggregate</v>
      </c>
      <c r="H3929" s="4">
        <f>Clean_Data[[#This Row],[Exports_TIV]] - Clean_Data[[#This Row],[Imports_TIV]]</f>
        <v>-2308000000</v>
      </c>
      <c r="I3929" s="4">
        <f>Clean_Data[[#This Row],[Exports_TIV]] + Clean_Data[[#This Row],[Imports_TIV]]</f>
        <v>2308000000</v>
      </c>
    </row>
    <row r="3930" spans="1:9">
      <c r="A3930" s="4" t="s">
        <v>321</v>
      </c>
      <c r="B3930" s="4" t="s">
        <v>322</v>
      </c>
      <c r="C3930" s="5">
        <v>2000</v>
      </c>
      <c r="D3930" s="4">
        <v>0</v>
      </c>
      <c r="E3930" s="4">
        <v>8813000000</v>
      </c>
      <c r="F3930" s="4" t="str">
        <f>_xlfn.LET(_xlpm.r, _xlfn.XLOOKUP(Clean_Data[[#This Row],[Country_Code]], Metadata_Country!$A:$A, Metadata_Country!$B:$B, "Unknown"), IF(OR(_xlpm.r=0, _xlpm.r=""), "Regional Aggregate", _xlpm.r))</f>
        <v>Regional Aggregate</v>
      </c>
      <c r="G3930" s="4" t="str">
        <f>_xlfn.LET(_xlpm.ig, _xlfn.XLOOKUP(Clean_Data[[#This Row],[Country_Code]], Metadata_Country!$A:$A, Metadata_Country!$C:$C, "Unknown"), IF(OR(_xlpm.ig=0, _xlpm.ig=""), "Regional Aggregate", _xlpm.ig))</f>
        <v>Regional Aggregate</v>
      </c>
      <c r="H3930" s="4">
        <f>Clean_Data[[#This Row],[Exports_TIV]] - Clean_Data[[#This Row],[Imports_TIV]]</f>
        <v>-8813000000</v>
      </c>
      <c r="I3930" s="4">
        <f>Clean_Data[[#This Row],[Exports_TIV]] + Clean_Data[[#This Row],[Imports_TIV]]</f>
        <v>8813000000</v>
      </c>
    </row>
    <row r="3931" spans="1:9">
      <c r="A3931" s="4" t="s">
        <v>309</v>
      </c>
      <c r="B3931" s="4" t="s">
        <v>310</v>
      </c>
      <c r="C3931" s="5">
        <v>2000</v>
      </c>
      <c r="D3931" s="4">
        <v>5000000</v>
      </c>
      <c r="E3931" s="4">
        <v>0</v>
      </c>
      <c r="F3931" s="4" t="str">
        <f>_xlfn.LET(_xlpm.r, _xlfn.XLOOKUP(Clean_Data[[#This Row],[Country_Code]], Metadata_Country!$A:$A, Metadata_Country!$B:$B, "Unknown"), IF(OR(_xlpm.r=0, _xlpm.r=""), "Regional Aggregate", _xlpm.r))</f>
        <v>Europe &amp; Central Asia</v>
      </c>
      <c r="G3931" s="4" t="str">
        <f>_xlfn.LET(_xlpm.ig, _xlfn.XLOOKUP(Clean_Data[[#This Row],[Country_Code]], Metadata_Country!$A:$A, Metadata_Country!$C:$C, "Unknown"), IF(OR(_xlpm.ig=0, _xlpm.ig=""), "Regional Aggregate", _xlpm.ig))</f>
        <v>Upper middle income</v>
      </c>
      <c r="H3931" s="4">
        <f>Clean_Data[[#This Row],[Exports_TIV]] - Clean_Data[[#This Row],[Imports_TIV]]</f>
        <v>5000000</v>
      </c>
      <c r="I3931" s="4">
        <f>Clean_Data[[#This Row],[Exports_TIV]] + Clean_Data[[#This Row],[Imports_TIV]]</f>
        <v>5000000</v>
      </c>
    </row>
    <row r="3932" spans="1:9">
      <c r="A3932" s="4" t="s">
        <v>305</v>
      </c>
      <c r="B3932" s="4" t="s">
        <v>306</v>
      </c>
      <c r="C3932" s="5">
        <v>2000</v>
      </c>
      <c r="D3932" s="4">
        <v>0</v>
      </c>
      <c r="E3932" s="4">
        <v>127000000</v>
      </c>
      <c r="F3932" s="4" t="str">
        <f>_xlfn.LET(_xlpm.r, _xlfn.XLOOKUP(Clean_Data[[#This Row],[Country_Code]], Metadata_Country!$A:$A, Metadata_Country!$B:$B, "Unknown"), IF(OR(_xlpm.r=0, _xlpm.r=""), "Regional Aggregate", _xlpm.r))</f>
        <v>Middle East &amp; North Africa</v>
      </c>
      <c r="G3932" s="4" t="str">
        <f>_xlfn.LET(_xlpm.ig, _xlfn.XLOOKUP(Clean_Data[[#This Row],[Country_Code]], Metadata_Country!$A:$A, Metadata_Country!$C:$C, "Unknown"), IF(OR(_xlpm.ig=0, _xlpm.ig=""), "Regional Aggregate", _xlpm.ig))</f>
        <v>Lower middle income</v>
      </c>
      <c r="H3932" s="4">
        <f>Clean_Data[[#This Row],[Exports_TIV]] - Clean_Data[[#This Row],[Imports_TIV]]</f>
        <v>-127000000</v>
      </c>
      <c r="I3932" s="4">
        <f>Clean_Data[[#This Row],[Exports_TIV]] + Clean_Data[[#This Row],[Imports_TIV]]</f>
        <v>127000000</v>
      </c>
    </row>
    <row r="3933" spans="1:9">
      <c r="A3933" s="4" t="s">
        <v>329</v>
      </c>
      <c r="B3933" s="4" t="s">
        <v>330</v>
      </c>
      <c r="C3933" s="5">
        <v>2000</v>
      </c>
      <c r="D3933" s="4">
        <v>0</v>
      </c>
      <c r="E3933" s="4">
        <v>16000000</v>
      </c>
      <c r="F3933" s="4" t="str">
        <f>_xlfn.LET(_xlpm.r, _xlfn.XLOOKUP(Clean_Data[[#This Row],[Country_Code]], Metadata_Country!$A:$A, Metadata_Country!$B:$B, "Unknown"), IF(OR(_xlpm.r=0, _xlpm.r=""), "Regional Aggregate", _xlpm.r))</f>
        <v>East Asia &amp; Pacific</v>
      </c>
      <c r="G3933" s="4" t="str">
        <f>_xlfn.LET(_xlpm.ig, _xlfn.XLOOKUP(Clean_Data[[#This Row],[Country_Code]], Metadata_Country!$A:$A, Metadata_Country!$C:$C, "Unknown"), IF(OR(_xlpm.ig=0, _xlpm.ig=""), "Regional Aggregate", _xlpm.ig))</f>
        <v>Lower middle income</v>
      </c>
      <c r="H3933" s="4">
        <f>Clean_Data[[#This Row],[Exports_TIV]] - Clean_Data[[#This Row],[Imports_TIV]]</f>
        <v>-16000000</v>
      </c>
      <c r="I3933" s="4">
        <f>Clean_Data[[#This Row],[Exports_TIV]] + Clean_Data[[#This Row],[Imports_TIV]]</f>
        <v>16000000</v>
      </c>
    </row>
    <row r="3934" spans="1:9">
      <c r="A3934" s="4" t="s">
        <v>361</v>
      </c>
      <c r="B3934" s="4" t="s">
        <v>362</v>
      </c>
      <c r="C3934" s="5">
        <v>2000</v>
      </c>
      <c r="D3934" s="4">
        <v>281000000</v>
      </c>
      <c r="E3934" s="4">
        <v>123000000</v>
      </c>
      <c r="F3934" s="4" t="str">
        <f>_xlfn.LET(_xlpm.r, _xlfn.XLOOKUP(Clean_Data[[#This Row],[Country_Code]], Metadata_Country!$A:$A, Metadata_Country!$B:$B, "Unknown"), IF(OR(_xlpm.r=0, _xlpm.r=""), "Regional Aggregate", _xlpm.r))</f>
        <v>Europe &amp; Central Asia</v>
      </c>
      <c r="G3934" s="4" t="str">
        <f>_xlfn.LET(_xlpm.ig, _xlfn.XLOOKUP(Clean_Data[[#This Row],[Country_Code]], Metadata_Country!$A:$A, Metadata_Country!$C:$C, "Unknown"), IF(OR(_xlpm.ig=0, _xlpm.ig=""), "Regional Aggregate", _xlpm.ig))</f>
        <v>High income</v>
      </c>
      <c r="H3934" s="4">
        <f>Clean_Data[[#This Row],[Exports_TIV]] - Clean_Data[[#This Row],[Imports_TIV]]</f>
        <v>158000000</v>
      </c>
      <c r="I3934" s="4">
        <f>Clean_Data[[#This Row],[Exports_TIV]] + Clean_Data[[#This Row],[Imports_TIV]]</f>
        <v>404000000</v>
      </c>
    </row>
    <row r="3935" spans="1:9">
      <c r="A3935" s="4" t="s">
        <v>369</v>
      </c>
      <c r="B3935" s="4" t="s">
        <v>370</v>
      </c>
      <c r="C3935" s="5">
        <v>2000</v>
      </c>
      <c r="D3935" s="4">
        <v>1000000</v>
      </c>
      <c r="E3935" s="4">
        <v>0</v>
      </c>
      <c r="F3935" s="4" t="str">
        <f>_xlfn.LET(_xlpm.r, _xlfn.XLOOKUP(Clean_Data[[#This Row],[Country_Code]], Metadata_Country!$A:$A, Metadata_Country!$B:$B, "Unknown"), IF(OR(_xlpm.r=0, _xlpm.r=""), "Regional Aggregate", _xlpm.r))</f>
        <v>East Asia &amp; Pacific</v>
      </c>
      <c r="G3935" s="4" t="str">
        <f>_xlfn.LET(_xlpm.ig, _xlfn.XLOOKUP(Clean_Data[[#This Row],[Country_Code]], Metadata_Country!$A:$A, Metadata_Country!$C:$C, "Unknown"), IF(OR(_xlpm.ig=0, _xlpm.ig=""), "Regional Aggregate", _xlpm.ig))</f>
        <v>High income</v>
      </c>
      <c r="H3935" s="4">
        <f>Clean_Data[[#This Row],[Exports_TIV]] - Clean_Data[[#This Row],[Imports_TIV]]</f>
        <v>1000000</v>
      </c>
      <c r="I3935" s="4">
        <f>Clean_Data[[#This Row],[Exports_TIV]] + Clean_Data[[#This Row],[Imports_TIV]]</f>
        <v>1000000</v>
      </c>
    </row>
    <row r="3936" spans="1:9">
      <c r="A3936" s="4" t="s">
        <v>357</v>
      </c>
      <c r="B3936" s="4" t="s">
        <v>358</v>
      </c>
      <c r="C3936" s="5">
        <v>2000</v>
      </c>
      <c r="D3936" s="4">
        <v>0</v>
      </c>
      <c r="E3936" s="4">
        <v>36000000</v>
      </c>
      <c r="F3936" s="4" t="str">
        <f>_xlfn.LET(_xlpm.r, _xlfn.XLOOKUP(Clean_Data[[#This Row],[Country_Code]], Metadata_Country!$A:$A, Metadata_Country!$B:$B, "Unknown"), IF(OR(_xlpm.r=0, _xlpm.r=""), "Regional Aggregate", _xlpm.r))</f>
        <v>Sub-Saharan Africa</v>
      </c>
      <c r="G3936" s="4" t="str">
        <f>_xlfn.LET(_xlpm.ig, _xlfn.XLOOKUP(Clean_Data[[#This Row],[Country_Code]], Metadata_Country!$A:$A, Metadata_Country!$C:$C, "Unknown"), IF(OR(_xlpm.ig=0, _xlpm.ig=""), "Regional Aggregate", _xlpm.ig))</f>
        <v>Lower middle income</v>
      </c>
      <c r="H3936" s="4">
        <f>Clean_Data[[#This Row],[Exports_TIV]] - Clean_Data[[#This Row],[Imports_TIV]]</f>
        <v>-36000000</v>
      </c>
      <c r="I3936" s="4">
        <f>Clean_Data[[#This Row],[Exports_TIV]] + Clean_Data[[#This Row],[Imports_TIV]]</f>
        <v>36000000</v>
      </c>
    </row>
    <row r="3937" spans="1:9">
      <c r="A3937" s="4" t="s">
        <v>349</v>
      </c>
      <c r="B3937" s="4" t="s">
        <v>350</v>
      </c>
      <c r="C3937" s="5">
        <v>2000</v>
      </c>
      <c r="D3937" s="4">
        <v>7747000000</v>
      </c>
      <c r="E3937" s="4">
        <v>862000000</v>
      </c>
      <c r="F3937" s="4" t="str">
        <f>_xlfn.LET(_xlpm.r, _xlfn.XLOOKUP(Clean_Data[[#This Row],[Country_Code]], Metadata_Country!$A:$A, Metadata_Country!$B:$B, "Unknown"), IF(OR(_xlpm.r=0, _xlpm.r=""), "Regional Aggregate", _xlpm.r))</f>
        <v>Regional Aggregate</v>
      </c>
      <c r="G3937" s="4" t="str">
        <f>_xlfn.LET(_xlpm.ig, _xlfn.XLOOKUP(Clean_Data[[#This Row],[Country_Code]], Metadata_Country!$A:$A, Metadata_Country!$C:$C, "Unknown"), IF(OR(_xlpm.ig=0, _xlpm.ig=""), "Regional Aggregate", _xlpm.ig))</f>
        <v>Regional Aggregate</v>
      </c>
      <c r="H3937" s="4">
        <f>Clean_Data[[#This Row],[Exports_TIV]] - Clean_Data[[#This Row],[Imports_TIV]]</f>
        <v>6885000000</v>
      </c>
      <c r="I3937" s="4">
        <f>Clean_Data[[#This Row],[Exports_TIV]] + Clean_Data[[#This Row],[Imports_TIV]]</f>
        <v>8609000000</v>
      </c>
    </row>
    <row r="3938" spans="1:9">
      <c r="A3938" s="4" t="s">
        <v>323</v>
      </c>
      <c r="B3938" s="4" t="s">
        <v>324</v>
      </c>
      <c r="C3938" s="5">
        <v>2000</v>
      </c>
      <c r="D3938" s="4">
        <v>0</v>
      </c>
      <c r="E3938" s="4">
        <v>17000000</v>
      </c>
      <c r="F3938" s="4" t="str">
        <f>_xlfn.LET(_xlpm.r, _xlfn.XLOOKUP(Clean_Data[[#This Row],[Country_Code]], Metadata_Country!$A:$A, Metadata_Country!$B:$B, "Unknown"), IF(OR(_xlpm.r=0, _xlpm.r=""), "Regional Aggregate", _xlpm.r))</f>
        <v>Europe &amp; Central Asia</v>
      </c>
      <c r="G3938" s="4" t="str">
        <f>_xlfn.LET(_xlpm.ig, _xlfn.XLOOKUP(Clean_Data[[#This Row],[Country_Code]], Metadata_Country!$A:$A, Metadata_Country!$C:$C, "Unknown"), IF(OR(_xlpm.ig=0, _xlpm.ig=""), "Regional Aggregate", _xlpm.ig))</f>
        <v>Upper middle income</v>
      </c>
      <c r="H3938" s="4">
        <f>Clean_Data[[#This Row],[Exports_TIV]] - Clean_Data[[#This Row],[Imports_TIV]]</f>
        <v>-17000000</v>
      </c>
      <c r="I3938" s="4">
        <f>Clean_Data[[#This Row],[Exports_TIV]] + Clean_Data[[#This Row],[Imports_TIV]]</f>
        <v>17000000</v>
      </c>
    </row>
    <row r="3939" spans="1:9">
      <c r="A3939" s="4" t="s">
        <v>363</v>
      </c>
      <c r="B3939" s="4" t="s">
        <v>364</v>
      </c>
      <c r="C3939" s="5">
        <v>2000</v>
      </c>
      <c r="D3939" s="4">
        <v>2000000</v>
      </c>
      <c r="E3939" s="4">
        <v>234000000</v>
      </c>
      <c r="F3939" s="4" t="str">
        <f>_xlfn.LET(_xlpm.r, _xlfn.XLOOKUP(Clean_Data[[#This Row],[Country_Code]], Metadata_Country!$A:$A, Metadata_Country!$B:$B, "Unknown"), IF(OR(_xlpm.r=0, _xlpm.r=""), "Regional Aggregate", _xlpm.r))</f>
        <v>Europe &amp; Central Asia</v>
      </c>
      <c r="G3939" s="4" t="str">
        <f>_xlfn.LET(_xlpm.ig, _xlfn.XLOOKUP(Clean_Data[[#This Row],[Country_Code]], Metadata_Country!$A:$A, Metadata_Country!$C:$C, "Unknown"), IF(OR(_xlpm.ig=0, _xlpm.ig=""), "Regional Aggregate", _xlpm.ig))</f>
        <v>High income</v>
      </c>
      <c r="H3939" s="4">
        <f>Clean_Data[[#This Row],[Exports_TIV]] - Clean_Data[[#This Row],[Imports_TIV]]</f>
        <v>-232000000</v>
      </c>
      <c r="I3939" s="4">
        <f>Clean_Data[[#This Row],[Exports_TIV]] + Clean_Data[[#This Row],[Imports_TIV]]</f>
        <v>236000000</v>
      </c>
    </row>
    <row r="3940" spans="1:9">
      <c r="A3940" s="4" t="s">
        <v>371</v>
      </c>
      <c r="B3940" s="4" t="s">
        <v>372</v>
      </c>
      <c r="C3940" s="5">
        <v>2000</v>
      </c>
      <c r="D3940" s="4">
        <v>13768000000</v>
      </c>
      <c r="E3940" s="4">
        <v>8998000000</v>
      </c>
      <c r="F3940" s="4" t="str">
        <f>_xlfn.LET(_xlpm.r, _xlfn.XLOOKUP(Clean_Data[[#This Row],[Country_Code]], Metadata_Country!$A:$A, Metadata_Country!$B:$B, "Unknown"), IF(OR(_xlpm.r=0, _xlpm.r=""), "Regional Aggregate", _xlpm.r))</f>
        <v>Regional Aggregate</v>
      </c>
      <c r="G3940" s="4" t="str">
        <f>_xlfn.LET(_xlpm.ig, _xlfn.XLOOKUP(Clean_Data[[#This Row],[Country_Code]], Metadata_Country!$A:$A, Metadata_Country!$C:$C, "Unknown"), IF(OR(_xlpm.ig=0, _xlpm.ig=""), "Regional Aggregate", _xlpm.ig))</f>
        <v>Regional Aggregate</v>
      </c>
      <c r="H3940" s="4">
        <f>Clean_Data[[#This Row],[Exports_TIV]] - Clean_Data[[#This Row],[Imports_TIV]]</f>
        <v>4770000000</v>
      </c>
      <c r="I3940" s="4">
        <f>Clean_Data[[#This Row],[Exports_TIV]] + Clean_Data[[#This Row],[Imports_TIV]]</f>
        <v>22766000000</v>
      </c>
    </row>
    <row r="3941" spans="1:9">
      <c r="A3941" s="4" t="s">
        <v>373</v>
      </c>
      <c r="B3941" s="4" t="s">
        <v>374</v>
      </c>
      <c r="C3941" s="5">
        <v>2000</v>
      </c>
      <c r="D3941" s="4">
        <v>0</v>
      </c>
      <c r="E3941" s="4">
        <v>121000000</v>
      </c>
      <c r="F3941" s="4" t="str">
        <f>_xlfn.LET(_xlpm.r, _xlfn.XLOOKUP(Clean_Data[[#This Row],[Country_Code]], Metadata_Country!$A:$A, Metadata_Country!$B:$B, "Unknown"), IF(OR(_xlpm.r=0, _xlpm.r=""), "Regional Aggregate", _xlpm.r))</f>
        <v>Middle East &amp; North Africa</v>
      </c>
      <c r="G3941" s="4" t="str">
        <f>_xlfn.LET(_xlpm.ig, _xlfn.XLOOKUP(Clean_Data[[#This Row],[Country_Code]], Metadata_Country!$A:$A, Metadata_Country!$C:$C, "Unknown"), IF(OR(_xlpm.ig=0, _xlpm.ig=""), "Regional Aggregate", _xlpm.ig))</f>
        <v>High income</v>
      </c>
      <c r="H3941" s="4">
        <f>Clean_Data[[#This Row],[Exports_TIV]] - Clean_Data[[#This Row],[Imports_TIV]]</f>
        <v>-121000000</v>
      </c>
      <c r="I3941" s="4">
        <f>Clean_Data[[#This Row],[Exports_TIV]] + Clean_Data[[#This Row],[Imports_TIV]]</f>
        <v>121000000</v>
      </c>
    </row>
    <row r="3942" spans="1:9">
      <c r="A3942" s="4" t="s">
        <v>375</v>
      </c>
      <c r="B3942" s="4" t="s">
        <v>376</v>
      </c>
      <c r="C3942" s="5">
        <v>2000</v>
      </c>
      <c r="D3942" s="4">
        <v>0</v>
      </c>
      <c r="E3942" s="4">
        <v>34000000</v>
      </c>
      <c r="F3942" s="4" t="str">
        <f>_xlfn.LET(_xlpm.r, _xlfn.XLOOKUP(Clean_Data[[#This Row],[Country_Code]], Metadata_Country!$A:$A, Metadata_Country!$B:$B, "Unknown"), IF(OR(_xlpm.r=0, _xlpm.r=""), "Regional Aggregate", _xlpm.r))</f>
        <v>Regional Aggregate</v>
      </c>
      <c r="G3942" s="4" t="str">
        <f>_xlfn.LET(_xlpm.ig, _xlfn.XLOOKUP(Clean_Data[[#This Row],[Country_Code]], Metadata_Country!$A:$A, Metadata_Country!$C:$C, "Unknown"), IF(OR(_xlpm.ig=0, _xlpm.ig=""), "Regional Aggregate", _xlpm.ig))</f>
        <v>Regional Aggregate</v>
      </c>
      <c r="H3942" s="4">
        <f>Clean_Data[[#This Row],[Exports_TIV]] - Clean_Data[[#This Row],[Imports_TIV]]</f>
        <v>-34000000</v>
      </c>
      <c r="I3942" s="4">
        <f>Clean_Data[[#This Row],[Exports_TIV]] + Clean_Data[[#This Row],[Imports_TIV]]</f>
        <v>34000000</v>
      </c>
    </row>
    <row r="3943" spans="1:9">
      <c r="A3943" s="4" t="s">
        <v>377</v>
      </c>
      <c r="B3943" s="4" t="s">
        <v>378</v>
      </c>
      <c r="C3943" s="5">
        <v>2000</v>
      </c>
      <c r="D3943" s="4">
        <v>4000000</v>
      </c>
      <c r="E3943" s="4">
        <v>175000000</v>
      </c>
      <c r="F3943" s="4" t="str">
        <f>_xlfn.LET(_xlpm.r, _xlfn.XLOOKUP(Clean_Data[[#This Row],[Country_Code]], Metadata_Country!$A:$A, Metadata_Country!$B:$B, "Unknown"), IF(OR(_xlpm.r=0, _xlpm.r=""), "Regional Aggregate", _xlpm.r))</f>
        <v>Middle East &amp; North Africa</v>
      </c>
      <c r="G3943" s="4" t="str">
        <f>_xlfn.LET(_xlpm.ig, _xlfn.XLOOKUP(Clean_Data[[#This Row],[Country_Code]], Metadata_Country!$A:$A, Metadata_Country!$C:$C, "Unknown"), IF(OR(_xlpm.ig=0, _xlpm.ig=""), "Regional Aggregate", _xlpm.ig))</f>
        <v>Lower middle income</v>
      </c>
      <c r="H3943" s="4">
        <f>Clean_Data[[#This Row],[Exports_TIV]] - Clean_Data[[#This Row],[Imports_TIV]]</f>
        <v>-171000000</v>
      </c>
      <c r="I3943" s="4">
        <f>Clean_Data[[#This Row],[Exports_TIV]] + Clean_Data[[#This Row],[Imports_TIV]]</f>
        <v>179000000</v>
      </c>
    </row>
    <row r="3944" spans="1:9">
      <c r="A3944" s="4" t="s">
        <v>381</v>
      </c>
      <c r="B3944" s="4" t="s">
        <v>382</v>
      </c>
      <c r="C3944" s="5">
        <v>2000</v>
      </c>
      <c r="D3944" s="4">
        <v>0</v>
      </c>
      <c r="E3944" s="4">
        <v>18000000</v>
      </c>
      <c r="F3944" s="4" t="str">
        <f>_xlfn.LET(_xlpm.r, _xlfn.XLOOKUP(Clean_Data[[#This Row],[Country_Code]], Metadata_Country!$A:$A, Metadata_Country!$B:$B, "Unknown"), IF(OR(_xlpm.r=0, _xlpm.r=""), "Regional Aggregate", _xlpm.r))</f>
        <v>Latin America &amp; Caribbean</v>
      </c>
      <c r="G3944" s="4" t="str">
        <f>_xlfn.LET(_xlpm.ig, _xlfn.XLOOKUP(Clean_Data[[#This Row],[Country_Code]], Metadata_Country!$A:$A, Metadata_Country!$C:$C, "Unknown"), IF(OR(_xlpm.ig=0, _xlpm.ig=""), "Regional Aggregate", _xlpm.ig))</f>
        <v>Upper middle income</v>
      </c>
      <c r="H3944" s="4">
        <f>Clean_Data[[#This Row],[Exports_TIV]] - Clean_Data[[#This Row],[Imports_TIV]]</f>
        <v>-18000000</v>
      </c>
      <c r="I3944" s="4">
        <f>Clean_Data[[#This Row],[Exports_TIV]] + Clean_Data[[#This Row],[Imports_TIV]]</f>
        <v>18000000</v>
      </c>
    </row>
    <row r="3945" spans="1:9">
      <c r="A3945" s="4" t="s">
        <v>389</v>
      </c>
      <c r="B3945" s="4" t="s">
        <v>390</v>
      </c>
      <c r="C3945" s="5">
        <v>2000</v>
      </c>
      <c r="D3945" s="4">
        <v>47000000</v>
      </c>
      <c r="E3945" s="4">
        <v>146000000</v>
      </c>
      <c r="F3945" s="4" t="str">
        <f>_xlfn.LET(_xlpm.r, _xlfn.XLOOKUP(Clean_Data[[#This Row],[Country_Code]], Metadata_Country!$A:$A, Metadata_Country!$B:$B, "Unknown"), IF(OR(_xlpm.r=0, _xlpm.r=""), "Regional Aggregate", _xlpm.r))</f>
        <v>Europe &amp; Central Asia</v>
      </c>
      <c r="G3945" s="4" t="str">
        <f>_xlfn.LET(_xlpm.ig, _xlfn.XLOOKUP(Clean_Data[[#This Row],[Country_Code]], Metadata_Country!$A:$A, Metadata_Country!$C:$C, "Unknown"), IF(OR(_xlpm.ig=0, _xlpm.ig=""), "Regional Aggregate", _xlpm.ig))</f>
        <v>High income</v>
      </c>
      <c r="H3945" s="4">
        <f>Clean_Data[[#This Row],[Exports_TIV]] - Clean_Data[[#This Row],[Imports_TIV]]</f>
        <v>-99000000</v>
      </c>
      <c r="I3945" s="4">
        <f>Clean_Data[[#This Row],[Exports_TIV]] + Clean_Data[[#This Row],[Imports_TIV]]</f>
        <v>193000000</v>
      </c>
    </row>
    <row r="3946" spans="1:9">
      <c r="A3946" s="4" t="s">
        <v>397</v>
      </c>
      <c r="B3946" s="4" t="s">
        <v>398</v>
      </c>
      <c r="C3946" s="5">
        <v>2000</v>
      </c>
      <c r="D3946" s="4">
        <v>0</v>
      </c>
      <c r="E3946" s="4">
        <v>2000000</v>
      </c>
      <c r="F3946" s="4" t="str">
        <f>_xlfn.LET(_xlpm.r, _xlfn.XLOOKUP(Clean_Data[[#This Row],[Country_Code]], Metadata_Country!$A:$A, Metadata_Country!$B:$B, "Unknown"), IF(OR(_xlpm.r=0, _xlpm.r=""), "Regional Aggregate", _xlpm.r))</f>
        <v>Europe &amp; Central Asia</v>
      </c>
      <c r="G3946" s="4" t="str">
        <f>_xlfn.LET(_xlpm.ig, _xlfn.XLOOKUP(Clean_Data[[#This Row],[Country_Code]], Metadata_Country!$A:$A, Metadata_Country!$C:$C, "Unknown"), IF(OR(_xlpm.ig=0, _xlpm.ig=""), "Regional Aggregate", _xlpm.ig))</f>
        <v>High income</v>
      </c>
      <c r="H3946" s="4">
        <f>Clean_Data[[#This Row],[Exports_TIV]] - Clean_Data[[#This Row],[Imports_TIV]]</f>
        <v>-2000000</v>
      </c>
      <c r="I3946" s="4">
        <f>Clean_Data[[#This Row],[Exports_TIV]] + Clean_Data[[#This Row],[Imports_TIV]]</f>
        <v>2000000</v>
      </c>
    </row>
    <row r="3947" spans="1:9">
      <c r="A3947" s="4" t="s">
        <v>405</v>
      </c>
      <c r="B3947" s="4" t="s">
        <v>406</v>
      </c>
      <c r="C3947" s="5">
        <v>2000</v>
      </c>
      <c r="D3947" s="4">
        <v>15000000000</v>
      </c>
      <c r="E3947" s="4">
        <v>7520000000</v>
      </c>
      <c r="F3947" s="4" t="str">
        <f>_xlfn.LET(_xlpm.r, _xlfn.XLOOKUP(Clean_Data[[#This Row],[Country_Code]], Metadata_Country!$A:$A, Metadata_Country!$B:$B, "Unknown"), IF(OR(_xlpm.r=0, _xlpm.r=""), "Regional Aggregate", _xlpm.r))</f>
        <v>Regional Aggregate</v>
      </c>
      <c r="G3947" s="4" t="str">
        <f>_xlfn.LET(_xlpm.ig, _xlfn.XLOOKUP(Clean_Data[[#This Row],[Country_Code]], Metadata_Country!$A:$A, Metadata_Country!$C:$C, "Unknown"), IF(OR(_xlpm.ig=0, _xlpm.ig=""), "Regional Aggregate", _xlpm.ig))</f>
        <v>Regional Aggregate</v>
      </c>
      <c r="H3947" s="4">
        <f>Clean_Data[[#This Row],[Exports_TIV]] - Clean_Data[[#This Row],[Imports_TIV]]</f>
        <v>7480000000</v>
      </c>
      <c r="I3947" s="4">
        <f>Clean_Data[[#This Row],[Exports_TIV]] + Clean_Data[[#This Row],[Imports_TIV]]</f>
        <v>22520000000</v>
      </c>
    </row>
    <row r="3948" spans="1:9">
      <c r="A3948" s="4" t="s">
        <v>391</v>
      </c>
      <c r="B3948" s="4" t="s">
        <v>392</v>
      </c>
      <c r="C3948" s="5">
        <v>2000</v>
      </c>
      <c r="D3948" s="4">
        <v>0</v>
      </c>
      <c r="E3948" s="4">
        <v>433000000</v>
      </c>
      <c r="F3948" s="4" t="str">
        <f>_xlfn.LET(_xlpm.r, _xlfn.XLOOKUP(Clean_Data[[#This Row],[Country_Code]], Metadata_Country!$A:$A, Metadata_Country!$B:$B, "Unknown"), IF(OR(_xlpm.r=0, _xlpm.r=""), "Regional Aggregate", _xlpm.r))</f>
        <v>Regional Aggregate</v>
      </c>
      <c r="G3948" s="4" t="str">
        <f>_xlfn.LET(_xlpm.ig, _xlfn.XLOOKUP(Clean_Data[[#This Row],[Country_Code]], Metadata_Country!$A:$A, Metadata_Country!$C:$C, "Unknown"), IF(OR(_xlpm.ig=0, _xlpm.ig=""), "Regional Aggregate", _xlpm.ig))</f>
        <v>Regional Aggregate</v>
      </c>
      <c r="H3948" s="4">
        <f>Clean_Data[[#This Row],[Exports_TIV]] - Clean_Data[[#This Row],[Imports_TIV]]</f>
        <v>-433000000</v>
      </c>
      <c r="I3948" s="4">
        <f>Clean_Data[[#This Row],[Exports_TIV]] + Clean_Data[[#This Row],[Imports_TIV]]</f>
        <v>433000000</v>
      </c>
    </row>
    <row r="3949" spans="1:9">
      <c r="A3949" s="4" t="s">
        <v>409</v>
      </c>
      <c r="B3949" s="4" t="s">
        <v>410</v>
      </c>
      <c r="C3949" s="5">
        <v>2000</v>
      </c>
      <c r="D3949" s="4">
        <v>0</v>
      </c>
      <c r="E3949" s="4">
        <v>3000000</v>
      </c>
      <c r="F3949" s="4" t="str">
        <f>_xlfn.LET(_xlpm.r, _xlfn.XLOOKUP(Clean_Data[[#This Row],[Country_Code]], Metadata_Country!$A:$A, Metadata_Country!$B:$B, "Unknown"), IF(OR(_xlpm.r=0, _xlpm.r=""), "Regional Aggregate", _xlpm.r))</f>
        <v>Middle East &amp; North Africa</v>
      </c>
      <c r="G3949" s="4" t="str">
        <f>_xlfn.LET(_xlpm.ig, _xlfn.XLOOKUP(Clean_Data[[#This Row],[Country_Code]], Metadata_Country!$A:$A, Metadata_Country!$C:$C, "Unknown"), IF(OR(_xlpm.ig=0, _xlpm.ig=""), "Regional Aggregate", _xlpm.ig))</f>
        <v>High income</v>
      </c>
      <c r="H3949" s="4">
        <f>Clean_Data[[#This Row],[Exports_TIV]] - Clean_Data[[#This Row],[Imports_TIV]]</f>
        <v>-3000000</v>
      </c>
      <c r="I3949" s="4">
        <f>Clean_Data[[#This Row],[Exports_TIV]] + Clean_Data[[#This Row],[Imports_TIV]]</f>
        <v>3000000</v>
      </c>
    </row>
    <row r="3950" spans="1:9">
      <c r="A3950" s="4" t="s">
        <v>411</v>
      </c>
      <c r="B3950" s="4" t="s">
        <v>412</v>
      </c>
      <c r="C3950" s="5">
        <v>2000</v>
      </c>
      <c r="D3950" s="4">
        <v>3000000</v>
      </c>
      <c r="E3950" s="4">
        <v>21000000</v>
      </c>
      <c r="F3950" s="4" t="str">
        <f>_xlfn.LET(_xlpm.r, _xlfn.XLOOKUP(Clean_Data[[#This Row],[Country_Code]], Metadata_Country!$A:$A, Metadata_Country!$B:$B, "Unknown"), IF(OR(_xlpm.r=0, _xlpm.r=""), "Regional Aggregate", _xlpm.r))</f>
        <v>Europe &amp; Central Asia</v>
      </c>
      <c r="G3950" s="4" t="str">
        <f>_xlfn.LET(_xlpm.ig, _xlfn.XLOOKUP(Clean_Data[[#This Row],[Country_Code]], Metadata_Country!$A:$A, Metadata_Country!$C:$C, "Unknown"), IF(OR(_xlpm.ig=0, _xlpm.ig=""), "Regional Aggregate", _xlpm.ig))</f>
        <v>High income</v>
      </c>
      <c r="H3950" s="4">
        <f>Clean_Data[[#This Row],[Exports_TIV]] - Clean_Data[[#This Row],[Imports_TIV]]</f>
        <v>-18000000</v>
      </c>
      <c r="I3950" s="4">
        <f>Clean_Data[[#This Row],[Exports_TIV]] + Clean_Data[[#This Row],[Imports_TIV]]</f>
        <v>24000000</v>
      </c>
    </row>
    <row r="3951" spans="1:9">
      <c r="A3951" s="4" t="s">
        <v>413</v>
      </c>
      <c r="B3951" s="4" t="s">
        <v>414</v>
      </c>
      <c r="C3951" s="5">
        <v>2000</v>
      </c>
      <c r="D3951" s="4">
        <v>4496000000</v>
      </c>
      <c r="E3951" s="4">
        <v>1147000000</v>
      </c>
      <c r="F3951" s="4" t="str">
        <f>_xlfn.LET(_xlpm.r, _xlfn.XLOOKUP(Clean_Data[[#This Row],[Country_Code]], Metadata_Country!$A:$A, Metadata_Country!$B:$B, "Unknown"), IF(OR(_xlpm.r=0, _xlpm.r=""), "Regional Aggregate", _xlpm.r))</f>
        <v>Europe &amp; Central Asia</v>
      </c>
      <c r="G3951" s="4" t="str">
        <f>_xlfn.LET(_xlpm.ig, _xlfn.XLOOKUP(Clean_Data[[#This Row],[Country_Code]], Metadata_Country!$A:$A, Metadata_Country!$C:$C, "Unknown"), IF(OR(_xlpm.ig=0, _xlpm.ig=""), "Regional Aggregate", _xlpm.ig))</f>
        <v>High income</v>
      </c>
      <c r="H3951" s="4">
        <f>Clean_Data[[#This Row],[Exports_TIV]] - Clean_Data[[#This Row],[Imports_TIV]]</f>
        <v>3349000000</v>
      </c>
      <c r="I3951" s="4">
        <f>Clean_Data[[#This Row],[Exports_TIV]] + Clean_Data[[#This Row],[Imports_TIV]]</f>
        <v>5643000000</v>
      </c>
    </row>
    <row r="3952" spans="1:9">
      <c r="A3952" s="4" t="s">
        <v>415</v>
      </c>
      <c r="B3952" s="4" t="s">
        <v>416</v>
      </c>
      <c r="C3952" s="5">
        <v>2000</v>
      </c>
      <c r="D3952" s="4">
        <v>0</v>
      </c>
      <c r="E3952" s="4">
        <v>15000000</v>
      </c>
      <c r="F3952" s="4" t="str">
        <f>_xlfn.LET(_xlpm.r, _xlfn.XLOOKUP(Clean_Data[[#This Row],[Country_Code]], Metadata_Country!$A:$A, Metadata_Country!$B:$B, "Unknown"), IF(OR(_xlpm.r=0, _xlpm.r=""), "Regional Aggregate", _xlpm.r))</f>
        <v>Sub-Saharan Africa</v>
      </c>
      <c r="G3952" s="4" t="str">
        <f>_xlfn.LET(_xlpm.ig, _xlfn.XLOOKUP(Clean_Data[[#This Row],[Country_Code]], Metadata_Country!$A:$A, Metadata_Country!$C:$C, "Unknown"), IF(OR(_xlpm.ig=0, _xlpm.ig=""), "Regional Aggregate", _xlpm.ig))</f>
        <v>Low income</v>
      </c>
      <c r="H3952" s="4">
        <f>Clean_Data[[#This Row],[Exports_TIV]] - Clean_Data[[#This Row],[Imports_TIV]]</f>
        <v>-15000000</v>
      </c>
      <c r="I3952" s="4">
        <f>Clean_Data[[#This Row],[Exports_TIV]] + Clean_Data[[#This Row],[Imports_TIV]]</f>
        <v>15000000</v>
      </c>
    </row>
    <row r="3953" spans="1:9">
      <c r="A3953" s="4" t="s">
        <v>419</v>
      </c>
      <c r="B3953" s="4" t="s">
        <v>420</v>
      </c>
      <c r="C3953" s="5">
        <v>2000</v>
      </c>
      <c r="D3953" s="4">
        <v>0</v>
      </c>
      <c r="E3953" s="4">
        <v>104000000</v>
      </c>
      <c r="F3953" s="4" t="str">
        <f>_xlfn.LET(_xlpm.r, _xlfn.XLOOKUP(Clean_Data[[#This Row],[Country_Code]], Metadata_Country!$A:$A, Metadata_Country!$B:$B, "Unknown"), IF(OR(_xlpm.r=0, _xlpm.r=""), "Regional Aggregate", _xlpm.r))</f>
        <v>Middle East &amp; North Africa</v>
      </c>
      <c r="G3953" s="4" t="str">
        <f>_xlfn.LET(_xlpm.ig, _xlfn.XLOOKUP(Clean_Data[[#This Row],[Country_Code]], Metadata_Country!$A:$A, Metadata_Country!$C:$C, "Unknown"), IF(OR(_xlpm.ig=0, _xlpm.ig=""), "Regional Aggregate", _xlpm.ig))</f>
        <v>High income</v>
      </c>
      <c r="H3953" s="4">
        <f>Clean_Data[[#This Row],[Exports_TIV]] - Clean_Data[[#This Row],[Imports_TIV]]</f>
        <v>-104000000</v>
      </c>
      <c r="I3953" s="4">
        <f>Clean_Data[[#This Row],[Exports_TIV]] + Clean_Data[[#This Row],[Imports_TIV]]</f>
        <v>104000000</v>
      </c>
    </row>
    <row r="3954" spans="1:9">
      <c r="A3954" s="4" t="s">
        <v>437</v>
      </c>
      <c r="B3954" s="4" t="s">
        <v>438</v>
      </c>
      <c r="C3954" s="5">
        <v>2000</v>
      </c>
      <c r="D3954" s="4">
        <v>0</v>
      </c>
      <c r="E3954" s="4">
        <v>1000000</v>
      </c>
      <c r="F3954" s="4" t="str">
        <f>_xlfn.LET(_xlpm.r, _xlfn.XLOOKUP(Clean_Data[[#This Row],[Country_Code]], Metadata_Country!$A:$A, Metadata_Country!$B:$B, "Unknown"), IF(OR(_xlpm.r=0, _xlpm.r=""), "Regional Aggregate", _xlpm.r))</f>
        <v>Europe &amp; Central Asia</v>
      </c>
      <c r="G3954" s="4" t="str">
        <f>_xlfn.LET(_xlpm.ig, _xlfn.XLOOKUP(Clean_Data[[#This Row],[Country_Code]], Metadata_Country!$A:$A, Metadata_Country!$C:$C, "Unknown"), IF(OR(_xlpm.ig=0, _xlpm.ig=""), "Regional Aggregate", _xlpm.ig))</f>
        <v>Upper middle income</v>
      </c>
      <c r="H3954" s="4">
        <f>Clean_Data[[#This Row],[Exports_TIV]] - Clean_Data[[#This Row],[Imports_TIV]]</f>
        <v>-1000000</v>
      </c>
      <c r="I3954" s="4">
        <f>Clean_Data[[#This Row],[Exports_TIV]] + Clean_Data[[#This Row],[Imports_TIV]]</f>
        <v>1000000</v>
      </c>
    </row>
    <row r="3955" spans="1:9">
      <c r="A3955" s="4" t="s">
        <v>425</v>
      </c>
      <c r="B3955" s="4" t="s">
        <v>426</v>
      </c>
      <c r="C3955" s="5">
        <v>2000</v>
      </c>
      <c r="D3955" s="4">
        <v>12000000</v>
      </c>
      <c r="E3955" s="4">
        <v>782000000</v>
      </c>
      <c r="F3955" s="4" t="str">
        <f>_xlfn.LET(_xlpm.r, _xlfn.XLOOKUP(Clean_Data[[#This Row],[Country_Code]], Metadata_Country!$A:$A, Metadata_Country!$B:$B, "Unknown"), IF(OR(_xlpm.r=0, _xlpm.r=""), "Regional Aggregate", _xlpm.r))</f>
        <v>East Asia &amp; Pacific</v>
      </c>
      <c r="G3955" s="4" t="str">
        <f>_xlfn.LET(_xlpm.ig, _xlfn.XLOOKUP(Clean_Data[[#This Row],[Country_Code]], Metadata_Country!$A:$A, Metadata_Country!$C:$C, "Unknown"), IF(OR(_xlpm.ig=0, _xlpm.ig=""), "Regional Aggregate", _xlpm.ig))</f>
        <v>High income</v>
      </c>
      <c r="H3955" s="4">
        <f>Clean_Data[[#This Row],[Exports_TIV]] - Clean_Data[[#This Row],[Imports_TIV]]</f>
        <v>-770000000</v>
      </c>
      <c r="I3955" s="4">
        <f>Clean_Data[[#This Row],[Exports_TIV]] + Clean_Data[[#This Row],[Imports_TIV]]</f>
        <v>794000000</v>
      </c>
    </row>
    <row r="3956" spans="1:9">
      <c r="A3956" s="4" t="s">
        <v>451</v>
      </c>
      <c r="B3956" s="4" t="s">
        <v>452</v>
      </c>
      <c r="C3956" s="5">
        <v>2000</v>
      </c>
      <c r="D3956" s="4">
        <v>37000000</v>
      </c>
      <c r="E3956" s="4">
        <v>1000000</v>
      </c>
      <c r="F3956" s="4" t="str">
        <f>_xlfn.LET(_xlpm.r, _xlfn.XLOOKUP(Clean_Data[[#This Row],[Country_Code]], Metadata_Country!$A:$A, Metadata_Country!$B:$B, "Unknown"), IF(OR(_xlpm.r=0, _xlpm.r=""), "Regional Aggregate", _xlpm.r))</f>
        <v>Europe &amp; Central Asia</v>
      </c>
      <c r="G3956" s="4" t="str">
        <f>_xlfn.LET(_xlpm.ig, _xlfn.XLOOKUP(Clean_Data[[#This Row],[Country_Code]], Metadata_Country!$A:$A, Metadata_Country!$C:$C, "Unknown"), IF(OR(_xlpm.ig=0, _xlpm.ig=""), "Regional Aggregate", _xlpm.ig))</f>
        <v>High income</v>
      </c>
      <c r="H3956" s="4">
        <f>Clean_Data[[#This Row],[Exports_TIV]] - Clean_Data[[#This Row],[Imports_TIV]]</f>
        <v>36000000</v>
      </c>
      <c r="I3956" s="4">
        <f>Clean_Data[[#This Row],[Exports_TIV]] + Clean_Data[[#This Row],[Imports_TIV]]</f>
        <v>38000000</v>
      </c>
    </row>
    <row r="3957" spans="1:9">
      <c r="A3957" s="4" t="s">
        <v>453</v>
      </c>
      <c r="B3957" s="4" t="s">
        <v>454</v>
      </c>
      <c r="C3957" s="5">
        <v>2000</v>
      </c>
      <c r="D3957" s="4">
        <v>0</v>
      </c>
      <c r="E3957" s="4">
        <v>2000000</v>
      </c>
      <c r="F3957" s="4" t="str">
        <f>_xlfn.LET(_xlpm.r, _xlfn.XLOOKUP(Clean_Data[[#This Row],[Country_Code]], Metadata_Country!$A:$A, Metadata_Country!$B:$B, "Unknown"), IF(OR(_xlpm.r=0, _xlpm.r=""), "Regional Aggregate", _xlpm.r))</f>
        <v>Europe &amp; Central Asia</v>
      </c>
      <c r="G3957" s="4" t="str">
        <f>_xlfn.LET(_xlpm.ig, _xlfn.XLOOKUP(Clean_Data[[#This Row],[Country_Code]], Metadata_Country!$A:$A, Metadata_Country!$C:$C, "Unknown"), IF(OR(_xlpm.ig=0, _xlpm.ig=""), "Regional Aggregate", _xlpm.ig))</f>
        <v>High income</v>
      </c>
      <c r="H3957" s="4">
        <f>Clean_Data[[#This Row],[Exports_TIV]] - Clean_Data[[#This Row],[Imports_TIV]]</f>
        <v>-2000000</v>
      </c>
      <c r="I3957" s="4">
        <f>Clean_Data[[#This Row],[Exports_TIV]] + Clean_Data[[#This Row],[Imports_TIV]]</f>
        <v>2000000</v>
      </c>
    </row>
    <row r="3958" spans="1:9">
      <c r="A3958" s="4" t="s">
        <v>535</v>
      </c>
      <c r="B3958" s="4" t="s">
        <v>536</v>
      </c>
      <c r="C3958" s="5">
        <v>2000</v>
      </c>
      <c r="D3958" s="4">
        <v>21000000</v>
      </c>
      <c r="E3958" s="4">
        <v>6000000</v>
      </c>
      <c r="F3958" s="4" t="str">
        <f>_xlfn.LET(_xlpm.r, _xlfn.XLOOKUP(Clean_Data[[#This Row],[Country_Code]], Metadata_Country!$A:$A, Metadata_Country!$B:$B, "Unknown"), IF(OR(_xlpm.r=0, _xlpm.r=""), "Regional Aggregate", _xlpm.r))</f>
        <v>Sub-Saharan Africa</v>
      </c>
      <c r="G3958" s="4" t="str">
        <f>_xlfn.LET(_xlpm.ig, _xlfn.XLOOKUP(Clean_Data[[#This Row],[Country_Code]], Metadata_Country!$A:$A, Metadata_Country!$C:$C, "Unknown"), IF(OR(_xlpm.ig=0, _xlpm.ig=""), "Regional Aggregate", _xlpm.ig))</f>
        <v>Upper middle income</v>
      </c>
      <c r="H3958" s="4">
        <f>Clean_Data[[#This Row],[Exports_TIV]] - Clean_Data[[#This Row],[Imports_TIV]]</f>
        <v>15000000</v>
      </c>
      <c r="I3958" s="4">
        <f>Clean_Data[[#This Row],[Exports_TIV]] + Clean_Data[[#This Row],[Imports_TIV]]</f>
        <v>27000000</v>
      </c>
    </row>
    <row r="3959" spans="1:9">
      <c r="A3959" s="4" t="s">
        <v>417</v>
      </c>
      <c r="B3959" s="4" t="s">
        <v>418</v>
      </c>
      <c r="C3959" s="5">
        <v>2000</v>
      </c>
      <c r="D3959" s="4">
        <v>21000000</v>
      </c>
      <c r="E3959" s="4">
        <v>1482000000</v>
      </c>
      <c r="F3959" s="4" t="str">
        <f>_xlfn.LET(_xlpm.r, _xlfn.XLOOKUP(Clean_Data[[#This Row],[Country_Code]], Metadata_Country!$A:$A, Metadata_Country!$B:$B, "Unknown"), IF(OR(_xlpm.r=0, _xlpm.r=""), "Regional Aggregate", _xlpm.r))</f>
        <v>Regional Aggregate</v>
      </c>
      <c r="G3959" s="4" t="str">
        <f>_xlfn.LET(_xlpm.ig, _xlfn.XLOOKUP(Clean_Data[[#This Row],[Country_Code]], Metadata_Country!$A:$A, Metadata_Country!$C:$C, "Unknown"), IF(OR(_xlpm.ig=0, _xlpm.ig=""), "Regional Aggregate", _xlpm.ig))</f>
        <v>Regional Aggregate</v>
      </c>
      <c r="H3959" s="4">
        <f>Clean_Data[[#This Row],[Exports_TIV]] - Clean_Data[[#This Row],[Imports_TIV]]</f>
        <v>-1461000000</v>
      </c>
      <c r="I3959" s="4">
        <f>Clean_Data[[#This Row],[Exports_TIV]] + Clean_Data[[#This Row],[Imports_TIV]]</f>
        <v>1503000000</v>
      </c>
    </row>
    <row r="3960" spans="1:9">
      <c r="A3960" s="4" t="s">
        <v>489</v>
      </c>
      <c r="B3960" s="4" t="s">
        <v>490</v>
      </c>
      <c r="C3960" s="5">
        <v>2000</v>
      </c>
      <c r="D3960" s="4">
        <v>21000000</v>
      </c>
      <c r="E3960" s="4">
        <v>1482000000</v>
      </c>
      <c r="F3960" s="4" t="str">
        <f>_xlfn.LET(_xlpm.r, _xlfn.XLOOKUP(Clean_Data[[#This Row],[Country_Code]], Metadata_Country!$A:$A, Metadata_Country!$B:$B, "Unknown"), IF(OR(_xlpm.r=0, _xlpm.r=""), "Regional Aggregate", _xlpm.r))</f>
        <v>Regional Aggregate</v>
      </c>
      <c r="G3960" s="4" t="str">
        <f>_xlfn.LET(_xlpm.ig, _xlfn.XLOOKUP(Clean_Data[[#This Row],[Country_Code]], Metadata_Country!$A:$A, Metadata_Country!$C:$C, "Unknown"), IF(OR(_xlpm.ig=0, _xlpm.ig=""), "Regional Aggregate", _xlpm.ig))</f>
        <v>Regional Aggregate</v>
      </c>
      <c r="H3960" s="4">
        <f>Clean_Data[[#This Row],[Exports_TIV]] - Clean_Data[[#This Row],[Imports_TIV]]</f>
        <v>-1461000000</v>
      </c>
      <c r="I3960" s="4">
        <f>Clean_Data[[#This Row],[Exports_TIV]] + Clean_Data[[#This Row],[Imports_TIV]]</f>
        <v>1503000000</v>
      </c>
    </row>
    <row r="3961" spans="1:9">
      <c r="A3961" s="4" t="s">
        <v>149</v>
      </c>
      <c r="B3961" s="4" t="s">
        <v>150</v>
      </c>
      <c r="C3961" s="5">
        <v>2000</v>
      </c>
      <c r="D3961" s="4">
        <v>47000000</v>
      </c>
      <c r="E3961" s="4">
        <v>315000000</v>
      </c>
      <c r="F3961" s="4" t="str">
        <f>_xlfn.LET(_xlpm.r, _xlfn.XLOOKUP(Clean_Data[[#This Row],[Country_Code]], Metadata_Country!$A:$A, Metadata_Country!$B:$B, "Unknown"), IF(OR(_xlpm.r=0, _xlpm.r=""), "Regional Aggregate", _xlpm.r))</f>
        <v>Europe &amp; Central Asia</v>
      </c>
      <c r="G3961" s="4" t="str">
        <f>_xlfn.LET(_xlpm.ig, _xlfn.XLOOKUP(Clean_Data[[#This Row],[Country_Code]], Metadata_Country!$A:$A, Metadata_Country!$C:$C, "Unknown"), IF(OR(_xlpm.ig=0, _xlpm.ig=""), "Regional Aggregate", _xlpm.ig))</f>
        <v>High income</v>
      </c>
      <c r="H3961" s="4">
        <f>Clean_Data[[#This Row],[Exports_TIV]] - Clean_Data[[#This Row],[Imports_TIV]]</f>
        <v>-268000000</v>
      </c>
      <c r="I3961" s="4">
        <f>Clean_Data[[#This Row],[Exports_TIV]] + Clean_Data[[#This Row],[Imports_TIV]]</f>
        <v>362000000</v>
      </c>
    </row>
    <row r="3962" spans="1:9">
      <c r="A3962" s="4" t="s">
        <v>285</v>
      </c>
      <c r="B3962" s="4" t="s">
        <v>286</v>
      </c>
      <c r="C3962" s="5">
        <v>2000</v>
      </c>
      <c r="D3962" s="4">
        <v>0</v>
      </c>
      <c r="E3962" s="4">
        <v>294000000</v>
      </c>
      <c r="F3962" s="4" t="str">
        <f>_xlfn.LET(_xlpm.r, _xlfn.XLOOKUP(Clean_Data[[#This Row],[Country_Code]], Metadata_Country!$A:$A, Metadata_Country!$B:$B, "Unknown"), IF(OR(_xlpm.r=0, _xlpm.r=""), "Regional Aggregate", _xlpm.r))</f>
        <v>South Asia</v>
      </c>
      <c r="G3962" s="4" t="str">
        <f>_xlfn.LET(_xlpm.ig, _xlfn.XLOOKUP(Clean_Data[[#This Row],[Country_Code]], Metadata_Country!$A:$A, Metadata_Country!$C:$C, "Unknown"), IF(OR(_xlpm.ig=0, _xlpm.ig=""), "Regional Aggregate", _xlpm.ig))</f>
        <v>Upper middle income</v>
      </c>
      <c r="H3962" s="4">
        <f>Clean_Data[[#This Row],[Exports_TIV]] - Clean_Data[[#This Row],[Imports_TIV]]</f>
        <v>-294000000</v>
      </c>
      <c r="I3962" s="4">
        <f>Clean_Data[[#This Row],[Exports_TIV]] + Clean_Data[[#This Row],[Imports_TIV]]</f>
        <v>294000000</v>
      </c>
    </row>
    <row r="3963" spans="1:9">
      <c r="A3963" s="4" t="s">
        <v>443</v>
      </c>
      <c r="B3963" s="4" t="s">
        <v>444</v>
      </c>
      <c r="C3963" s="5">
        <v>2000</v>
      </c>
      <c r="D3963" s="4">
        <v>0</v>
      </c>
      <c r="E3963" s="4">
        <v>633000000</v>
      </c>
      <c r="F3963" s="4" t="str">
        <f>_xlfn.LET(_xlpm.r, _xlfn.XLOOKUP(Clean_Data[[#This Row],[Country_Code]], Metadata_Country!$A:$A, Metadata_Country!$B:$B, "Unknown"), IF(OR(_xlpm.r=0, _xlpm.r=""), "Regional Aggregate", _xlpm.r))</f>
        <v>Regional Aggregate</v>
      </c>
      <c r="G3963" s="4" t="str">
        <f>_xlfn.LET(_xlpm.ig, _xlfn.XLOOKUP(Clean_Data[[#This Row],[Country_Code]], Metadata_Country!$A:$A, Metadata_Country!$C:$C, "Unknown"), IF(OR(_xlpm.ig=0, _xlpm.ig=""), "Regional Aggregate", _xlpm.ig))</f>
        <v>Regional Aggregate</v>
      </c>
      <c r="H3963" s="4">
        <f>Clean_Data[[#This Row],[Exports_TIV]] - Clean_Data[[#This Row],[Imports_TIV]]</f>
        <v>-633000000</v>
      </c>
      <c r="I3963" s="4">
        <f>Clean_Data[[#This Row],[Exports_TIV]] + Clean_Data[[#This Row],[Imports_TIV]]</f>
        <v>633000000</v>
      </c>
    </row>
    <row r="3964" spans="1:9">
      <c r="A3964" s="4" t="s">
        <v>439</v>
      </c>
      <c r="B3964" s="4" t="s">
        <v>440</v>
      </c>
      <c r="C3964" s="5">
        <v>2000</v>
      </c>
      <c r="D3964" s="4">
        <v>0</v>
      </c>
      <c r="E3964" s="4">
        <v>633000000</v>
      </c>
      <c r="F3964" s="4" t="str">
        <f>_xlfn.LET(_xlpm.r, _xlfn.XLOOKUP(Clean_Data[[#This Row],[Country_Code]], Metadata_Country!$A:$A, Metadata_Country!$B:$B, "Unknown"), IF(OR(_xlpm.r=0, _xlpm.r=""), "Regional Aggregate", _xlpm.r))</f>
        <v>Regional Aggregate</v>
      </c>
      <c r="G3964" s="4" t="str">
        <f>_xlfn.LET(_xlpm.ig, _xlfn.XLOOKUP(Clean_Data[[#This Row],[Country_Code]], Metadata_Country!$A:$A, Metadata_Country!$C:$C, "Unknown"), IF(OR(_xlpm.ig=0, _xlpm.ig=""), "Regional Aggregate", _xlpm.ig))</f>
        <v>Regional Aggregate</v>
      </c>
      <c r="H3964" s="4">
        <f>Clean_Data[[#This Row],[Exports_TIV]] - Clean_Data[[#This Row],[Imports_TIV]]</f>
        <v>-633000000</v>
      </c>
      <c r="I3964" s="4">
        <f>Clean_Data[[#This Row],[Exports_TIV]] + Clean_Data[[#This Row],[Imports_TIV]]</f>
        <v>633000000</v>
      </c>
    </row>
    <row r="3965" spans="1:9">
      <c r="A3965" s="4" t="s">
        <v>491</v>
      </c>
      <c r="B3965" s="4" t="s">
        <v>492</v>
      </c>
      <c r="C3965" s="5">
        <v>2000</v>
      </c>
      <c r="D3965" s="4">
        <v>0</v>
      </c>
      <c r="E3965" s="4">
        <v>633000000</v>
      </c>
      <c r="F3965" s="4" t="str">
        <f>_xlfn.LET(_xlpm.r, _xlfn.XLOOKUP(Clean_Data[[#This Row],[Country_Code]], Metadata_Country!$A:$A, Metadata_Country!$B:$B, "Unknown"), IF(OR(_xlpm.r=0, _xlpm.r=""), "Regional Aggregate", _xlpm.r))</f>
        <v>Regional Aggregate</v>
      </c>
      <c r="G3965" s="4" t="str">
        <f>_xlfn.LET(_xlpm.ig, _xlfn.XLOOKUP(Clean_Data[[#This Row],[Country_Code]], Metadata_Country!$A:$A, Metadata_Country!$C:$C, "Unknown"), IF(OR(_xlpm.ig=0, _xlpm.ig=""), "Regional Aggregate", _xlpm.ig))</f>
        <v>Regional Aggregate</v>
      </c>
      <c r="H3965" s="4">
        <f>Clean_Data[[#This Row],[Exports_TIV]] - Clean_Data[[#This Row],[Imports_TIV]]</f>
        <v>-633000000</v>
      </c>
      <c r="I3965" s="4">
        <f>Clean_Data[[#This Row],[Exports_TIV]] + Clean_Data[[#This Row],[Imports_TIV]]</f>
        <v>633000000</v>
      </c>
    </row>
    <row r="3966" spans="1:9">
      <c r="A3966" s="4" t="s">
        <v>449</v>
      </c>
      <c r="B3966" s="4" t="s">
        <v>450</v>
      </c>
      <c r="C3966" s="5">
        <v>2000</v>
      </c>
      <c r="D3966" s="4">
        <v>0</v>
      </c>
      <c r="E3966" s="4">
        <v>2000000</v>
      </c>
      <c r="F3966" s="4" t="str">
        <f>_xlfn.LET(_xlpm.r, _xlfn.XLOOKUP(Clean_Data[[#This Row],[Country_Code]], Metadata_Country!$A:$A, Metadata_Country!$B:$B, "Unknown"), IF(OR(_xlpm.r=0, _xlpm.r=""), "Regional Aggregate", _xlpm.r))</f>
        <v>Latin America &amp; Caribbean</v>
      </c>
      <c r="G3966" s="4" t="str">
        <f>_xlfn.LET(_xlpm.ig, _xlfn.XLOOKUP(Clean_Data[[#This Row],[Country_Code]], Metadata_Country!$A:$A, Metadata_Country!$C:$C, "Unknown"), IF(OR(_xlpm.ig=0, _xlpm.ig=""), "Regional Aggregate", _xlpm.ig))</f>
        <v>Upper middle income</v>
      </c>
      <c r="H3966" s="4">
        <f>Clean_Data[[#This Row],[Exports_TIV]] - Clean_Data[[#This Row],[Imports_TIV]]</f>
        <v>-2000000</v>
      </c>
      <c r="I3966" s="4">
        <f>Clean_Data[[#This Row],[Exports_TIV]] + Clean_Data[[#This Row],[Imports_TIV]]</f>
        <v>2000000</v>
      </c>
    </row>
    <row r="3967" spans="1:9">
      <c r="A3967" s="4" t="s">
        <v>455</v>
      </c>
      <c r="B3967" s="4" t="s">
        <v>456</v>
      </c>
      <c r="C3967" s="5">
        <v>2000</v>
      </c>
      <c r="D3967" s="4">
        <v>355000000</v>
      </c>
      <c r="E3967" s="4">
        <v>196000000</v>
      </c>
      <c r="F3967" s="4" t="str">
        <f>_xlfn.LET(_xlpm.r, _xlfn.XLOOKUP(Clean_Data[[#This Row],[Country_Code]], Metadata_Country!$A:$A, Metadata_Country!$B:$B, "Unknown"), IF(OR(_xlpm.r=0, _xlpm.r=""), "Regional Aggregate", _xlpm.r))</f>
        <v>Europe &amp; Central Asia</v>
      </c>
      <c r="G3967" s="4" t="str">
        <f>_xlfn.LET(_xlpm.ig, _xlfn.XLOOKUP(Clean_Data[[#This Row],[Country_Code]], Metadata_Country!$A:$A, Metadata_Country!$C:$C, "Unknown"), IF(OR(_xlpm.ig=0, _xlpm.ig=""), "Regional Aggregate", _xlpm.ig))</f>
        <v>High income</v>
      </c>
      <c r="H3967" s="4">
        <f>Clean_Data[[#This Row],[Exports_TIV]] - Clean_Data[[#This Row],[Imports_TIV]]</f>
        <v>159000000</v>
      </c>
      <c r="I3967" s="4">
        <f>Clean_Data[[#This Row],[Exports_TIV]] + Clean_Data[[#This Row],[Imports_TIV]]</f>
        <v>551000000</v>
      </c>
    </row>
    <row r="3968" spans="1:9">
      <c r="A3968" s="4" t="s">
        <v>83</v>
      </c>
      <c r="B3968" s="4" t="s">
        <v>84</v>
      </c>
      <c r="C3968" s="5">
        <v>2000</v>
      </c>
      <c r="D3968" s="4">
        <v>140000000</v>
      </c>
      <c r="E3968" s="4">
        <v>15000000</v>
      </c>
      <c r="F3968" s="4" t="str">
        <f>_xlfn.LET(_xlpm.r, _xlfn.XLOOKUP(Clean_Data[[#This Row],[Country_Code]], Metadata_Country!$A:$A, Metadata_Country!$B:$B, "Unknown"), IF(OR(_xlpm.r=0, _xlpm.r=""), "Regional Aggregate", _xlpm.r))</f>
        <v>Europe &amp; Central Asia</v>
      </c>
      <c r="G3968" s="4" t="str">
        <f>_xlfn.LET(_xlpm.ig, _xlfn.XLOOKUP(Clean_Data[[#This Row],[Country_Code]], Metadata_Country!$A:$A, Metadata_Country!$C:$C, "Unknown"), IF(OR(_xlpm.ig=0, _xlpm.ig=""), "Regional Aggregate", _xlpm.ig))</f>
        <v>High income</v>
      </c>
      <c r="H3968" s="4">
        <f>Clean_Data[[#This Row],[Exports_TIV]] - Clean_Data[[#This Row],[Imports_TIV]]</f>
        <v>125000000</v>
      </c>
      <c r="I3968" s="4">
        <f>Clean_Data[[#This Row],[Exports_TIV]] + Clean_Data[[#This Row],[Imports_TIV]]</f>
        <v>155000000</v>
      </c>
    </row>
    <row r="3969" spans="1:9">
      <c r="A3969" s="4" t="s">
        <v>463</v>
      </c>
      <c r="B3969" s="4" t="s">
        <v>464</v>
      </c>
      <c r="C3969" s="5">
        <v>2000</v>
      </c>
      <c r="D3969" s="4">
        <v>0</v>
      </c>
      <c r="E3969" s="4">
        <v>49000000</v>
      </c>
      <c r="F3969" s="4" t="str">
        <f>_xlfn.LET(_xlpm.r, _xlfn.XLOOKUP(Clean_Data[[#This Row],[Country_Code]], Metadata_Country!$A:$A, Metadata_Country!$B:$B, "Unknown"), IF(OR(_xlpm.r=0, _xlpm.r=""), "Regional Aggregate", _xlpm.r))</f>
        <v>Middle East &amp; North Africa</v>
      </c>
      <c r="G3969" s="4" t="str">
        <f>_xlfn.LET(_xlpm.ig, _xlfn.XLOOKUP(Clean_Data[[#This Row],[Country_Code]], Metadata_Country!$A:$A, Metadata_Country!$C:$C, "Unknown"), IF(OR(_xlpm.ig=0, _xlpm.ig=""), "Regional Aggregate", _xlpm.ig))</f>
        <v>Low income</v>
      </c>
      <c r="H3969" s="4">
        <f>Clean_Data[[#This Row],[Exports_TIV]] - Clean_Data[[#This Row],[Imports_TIV]]</f>
        <v>-49000000</v>
      </c>
      <c r="I3969" s="4">
        <f>Clean_Data[[#This Row],[Exports_TIV]] + Clean_Data[[#This Row],[Imports_TIV]]</f>
        <v>49000000</v>
      </c>
    </row>
    <row r="3970" spans="1:9">
      <c r="A3970" s="4" t="s">
        <v>501</v>
      </c>
      <c r="B3970" s="4" t="s">
        <v>502</v>
      </c>
      <c r="C3970" s="5">
        <v>2000</v>
      </c>
      <c r="D3970" s="4">
        <v>0</v>
      </c>
      <c r="E3970" s="4">
        <v>2000000</v>
      </c>
      <c r="F3970" s="4" t="str">
        <f>_xlfn.LET(_xlpm.r, _xlfn.XLOOKUP(Clean_Data[[#This Row],[Country_Code]], Metadata_Country!$A:$A, Metadata_Country!$B:$B, "Unknown"), IF(OR(_xlpm.r=0, _xlpm.r=""), "Regional Aggregate", _xlpm.r))</f>
        <v>Sub-Saharan Africa</v>
      </c>
      <c r="G3970" s="4" t="str">
        <f>_xlfn.LET(_xlpm.ig, _xlfn.XLOOKUP(Clean_Data[[#This Row],[Country_Code]], Metadata_Country!$A:$A, Metadata_Country!$C:$C, "Unknown"), IF(OR(_xlpm.ig=0, _xlpm.ig=""), "Regional Aggregate", _xlpm.ig))</f>
        <v>Lower middle income</v>
      </c>
      <c r="H3970" s="4">
        <f>Clean_Data[[#This Row],[Exports_TIV]] - Clean_Data[[#This Row],[Imports_TIV]]</f>
        <v>-2000000</v>
      </c>
      <c r="I3970" s="4">
        <f>Clean_Data[[#This Row],[Exports_TIV]] + Clean_Data[[#This Row],[Imports_TIV]]</f>
        <v>2000000</v>
      </c>
    </row>
    <row r="3971" spans="1:9">
      <c r="A3971" s="4" t="s">
        <v>475</v>
      </c>
      <c r="B3971" s="4" t="s">
        <v>476</v>
      </c>
      <c r="C3971" s="5">
        <v>2000</v>
      </c>
      <c r="D3971" s="4">
        <v>0</v>
      </c>
      <c r="E3971" s="4">
        <v>77000000</v>
      </c>
      <c r="F3971" s="4" t="str">
        <f>_xlfn.LET(_xlpm.r, _xlfn.XLOOKUP(Clean_Data[[#This Row],[Country_Code]], Metadata_Country!$A:$A, Metadata_Country!$B:$B, "Unknown"), IF(OR(_xlpm.r=0, _xlpm.r=""), "Regional Aggregate", _xlpm.r))</f>
        <v>East Asia &amp; Pacific</v>
      </c>
      <c r="G3971" s="4" t="str">
        <f>_xlfn.LET(_xlpm.ig, _xlfn.XLOOKUP(Clean_Data[[#This Row],[Country_Code]], Metadata_Country!$A:$A, Metadata_Country!$C:$C, "Unknown"), IF(OR(_xlpm.ig=0, _xlpm.ig=""), "Regional Aggregate", _xlpm.ig))</f>
        <v>Upper middle income</v>
      </c>
      <c r="H3971" s="4">
        <f>Clean_Data[[#This Row],[Exports_TIV]] - Clean_Data[[#This Row],[Imports_TIV]]</f>
        <v>-77000000</v>
      </c>
      <c r="I3971" s="4">
        <f>Clean_Data[[#This Row],[Exports_TIV]] + Clean_Data[[#This Row],[Imports_TIV]]</f>
        <v>77000000</v>
      </c>
    </row>
    <row r="3972" spans="1:9">
      <c r="A3972" s="4" t="s">
        <v>493</v>
      </c>
      <c r="B3972" s="4" t="s">
        <v>494</v>
      </c>
      <c r="C3972" s="5">
        <v>2000</v>
      </c>
      <c r="D3972" s="4">
        <v>0</v>
      </c>
      <c r="E3972" s="4">
        <v>11000000</v>
      </c>
      <c r="F3972" s="4" t="str">
        <f>_xlfn.LET(_xlpm.r, _xlfn.XLOOKUP(Clean_Data[[#This Row],[Country_Code]], Metadata_Country!$A:$A, Metadata_Country!$B:$B, "Unknown"), IF(OR(_xlpm.r=0, _xlpm.r=""), "Regional Aggregate", _xlpm.r))</f>
        <v>Latin America &amp; Caribbean</v>
      </c>
      <c r="G3972" s="4" t="str">
        <f>_xlfn.LET(_xlpm.ig, _xlfn.XLOOKUP(Clean_Data[[#This Row],[Country_Code]], Metadata_Country!$A:$A, Metadata_Country!$C:$C, "Unknown"), IF(OR(_xlpm.ig=0, _xlpm.ig=""), "Regional Aggregate", _xlpm.ig))</f>
        <v>High income</v>
      </c>
      <c r="H3972" s="4">
        <f>Clean_Data[[#This Row],[Exports_TIV]] - Clean_Data[[#This Row],[Imports_TIV]]</f>
        <v>-11000000</v>
      </c>
      <c r="I3972" s="4">
        <f>Clean_Data[[#This Row],[Exports_TIV]] + Clean_Data[[#This Row],[Imports_TIV]]</f>
        <v>11000000</v>
      </c>
    </row>
    <row r="3973" spans="1:9">
      <c r="A3973" s="4" t="s">
        <v>497</v>
      </c>
      <c r="B3973" s="4" t="s">
        <v>498</v>
      </c>
      <c r="C3973" s="5">
        <v>2000</v>
      </c>
      <c r="D3973" s="4">
        <v>21000000</v>
      </c>
      <c r="E3973" s="4">
        <v>1181000000</v>
      </c>
      <c r="F3973" s="4" t="str">
        <f>_xlfn.LET(_xlpm.r, _xlfn.XLOOKUP(Clean_Data[[#This Row],[Country_Code]], Metadata_Country!$A:$A, Metadata_Country!$B:$B, "Unknown"), IF(OR(_xlpm.r=0, _xlpm.r=""), "Regional Aggregate", _xlpm.r))</f>
        <v>Europe &amp; Central Asia</v>
      </c>
      <c r="G3973" s="4" t="str">
        <f>_xlfn.LET(_xlpm.ig, _xlfn.XLOOKUP(Clean_Data[[#This Row],[Country_Code]], Metadata_Country!$A:$A, Metadata_Country!$C:$C, "Unknown"), IF(OR(_xlpm.ig=0, _xlpm.ig=""), "Regional Aggregate", _xlpm.ig))</f>
        <v>Upper middle income</v>
      </c>
      <c r="H3973" s="4">
        <f>Clean_Data[[#This Row],[Exports_TIV]] - Clean_Data[[#This Row],[Imports_TIV]]</f>
        <v>-1160000000</v>
      </c>
      <c r="I3973" s="4">
        <f>Clean_Data[[#This Row],[Exports_TIV]] + Clean_Data[[#This Row],[Imports_TIV]]</f>
        <v>1202000000</v>
      </c>
    </row>
    <row r="3974" spans="1:9">
      <c r="A3974" s="4" t="s">
        <v>503</v>
      </c>
      <c r="B3974" s="4" t="s">
        <v>504</v>
      </c>
      <c r="C3974" s="5">
        <v>2000</v>
      </c>
      <c r="D3974" s="4">
        <v>0</v>
      </c>
      <c r="E3974" s="4">
        <v>6000000</v>
      </c>
      <c r="F3974" s="4" t="str">
        <f>_xlfn.LET(_xlpm.r, _xlfn.XLOOKUP(Clean_Data[[#This Row],[Country_Code]], Metadata_Country!$A:$A, Metadata_Country!$B:$B, "Unknown"), IF(OR(_xlpm.r=0, _xlpm.r=""), "Regional Aggregate", _xlpm.r))</f>
        <v>Sub-Saharan Africa</v>
      </c>
      <c r="G3974" s="4" t="str">
        <f>_xlfn.LET(_xlpm.ig, _xlfn.XLOOKUP(Clean_Data[[#This Row],[Country_Code]], Metadata_Country!$A:$A, Metadata_Country!$C:$C, "Unknown"), IF(OR(_xlpm.ig=0, _xlpm.ig=""), "Regional Aggregate", _xlpm.ig))</f>
        <v>Low income</v>
      </c>
      <c r="H3974" s="4">
        <f>Clean_Data[[#This Row],[Exports_TIV]] - Clean_Data[[#This Row],[Imports_TIV]]</f>
        <v>-6000000</v>
      </c>
      <c r="I3974" s="4">
        <f>Clean_Data[[#This Row],[Exports_TIV]] + Clean_Data[[#This Row],[Imports_TIV]]</f>
        <v>6000000</v>
      </c>
    </row>
    <row r="3975" spans="1:9">
      <c r="A3975" s="4" t="s">
        <v>505</v>
      </c>
      <c r="B3975" s="4" t="s">
        <v>506</v>
      </c>
      <c r="C3975" s="5">
        <v>2000</v>
      </c>
      <c r="D3975" s="4">
        <v>1424000000</v>
      </c>
      <c r="E3975" s="4">
        <v>0</v>
      </c>
      <c r="F3975" s="4" t="str">
        <f>_xlfn.LET(_xlpm.r, _xlfn.XLOOKUP(Clean_Data[[#This Row],[Country_Code]], Metadata_Country!$A:$A, Metadata_Country!$B:$B, "Unknown"), IF(OR(_xlpm.r=0, _xlpm.r=""), "Regional Aggregate", _xlpm.r))</f>
        <v>Europe &amp; Central Asia</v>
      </c>
      <c r="G3975" s="4" t="str">
        <f>_xlfn.LET(_xlpm.ig, _xlfn.XLOOKUP(Clean_Data[[#This Row],[Country_Code]], Metadata_Country!$A:$A, Metadata_Country!$C:$C, "Unknown"), IF(OR(_xlpm.ig=0, _xlpm.ig=""), "Regional Aggregate", _xlpm.ig))</f>
        <v>Upper middle income</v>
      </c>
      <c r="H3975" s="4">
        <f>Clean_Data[[#This Row],[Exports_TIV]] - Clean_Data[[#This Row],[Imports_TIV]]</f>
        <v>1424000000</v>
      </c>
      <c r="I3975" s="4">
        <f>Clean_Data[[#This Row],[Exports_TIV]] + Clean_Data[[#This Row],[Imports_TIV]]</f>
        <v>1424000000</v>
      </c>
    </row>
    <row r="3976" spans="1:9">
      <c r="A3976" s="4" t="s">
        <v>25</v>
      </c>
      <c r="B3976" s="4" t="s">
        <v>26</v>
      </c>
      <c r="C3976" s="5">
        <v>2000</v>
      </c>
      <c r="D3976" s="4">
        <v>0</v>
      </c>
      <c r="E3976" s="4">
        <v>244000000</v>
      </c>
      <c r="F3976" s="4" t="str">
        <f>_xlfn.LET(_xlpm.r, _xlfn.XLOOKUP(Clean_Data[[#This Row],[Country_Code]], Metadata_Country!$A:$A, Metadata_Country!$B:$B, "Unknown"), IF(OR(_xlpm.r=0, _xlpm.r=""), "Regional Aggregate", _xlpm.r))</f>
        <v>Middle East &amp; North Africa</v>
      </c>
      <c r="G3976" s="4" t="str">
        <f>_xlfn.LET(_xlpm.ig, _xlfn.XLOOKUP(Clean_Data[[#This Row],[Country_Code]], Metadata_Country!$A:$A, Metadata_Country!$C:$C, "Unknown"), IF(OR(_xlpm.ig=0, _xlpm.ig=""), "Regional Aggregate", _xlpm.ig))</f>
        <v>High income</v>
      </c>
      <c r="H3976" s="4">
        <f>Clean_Data[[#This Row],[Exports_TIV]] - Clean_Data[[#This Row],[Imports_TIV]]</f>
        <v>-244000000</v>
      </c>
      <c r="I3976" s="4">
        <f>Clean_Data[[#This Row],[Exports_TIV]] + Clean_Data[[#This Row],[Imports_TIV]]</f>
        <v>244000000</v>
      </c>
    </row>
    <row r="3977" spans="1:9">
      <c r="A3977" s="4" t="s">
        <v>171</v>
      </c>
      <c r="B3977" s="4" t="s">
        <v>172</v>
      </c>
      <c r="C3977" s="5">
        <v>2000</v>
      </c>
      <c r="D3977" s="4">
        <v>1619000000</v>
      </c>
      <c r="E3977" s="4">
        <v>937000000</v>
      </c>
      <c r="F3977" s="4" t="str">
        <f>_xlfn.LET(_xlpm.r, _xlfn.XLOOKUP(Clean_Data[[#This Row],[Country_Code]], Metadata_Country!$A:$A, Metadata_Country!$B:$B, "Unknown"), IF(OR(_xlpm.r=0, _xlpm.r=""), "Regional Aggregate", _xlpm.r))</f>
        <v>Europe &amp; Central Asia</v>
      </c>
      <c r="G3977" s="4" t="str">
        <f>_xlfn.LET(_xlpm.ig, _xlfn.XLOOKUP(Clean_Data[[#This Row],[Country_Code]], Metadata_Country!$A:$A, Metadata_Country!$C:$C, "Unknown"), IF(OR(_xlpm.ig=0, _xlpm.ig=""), "Regional Aggregate", _xlpm.ig))</f>
        <v>High income</v>
      </c>
      <c r="H3977" s="4">
        <f>Clean_Data[[#This Row],[Exports_TIV]] - Clean_Data[[#This Row],[Imports_TIV]]</f>
        <v>682000000</v>
      </c>
      <c r="I3977" s="4">
        <f>Clean_Data[[#This Row],[Exports_TIV]] + Clean_Data[[#This Row],[Imports_TIV]]</f>
        <v>2556000000</v>
      </c>
    </row>
    <row r="3978" spans="1:9">
      <c r="A3978" s="4" t="s">
        <v>511</v>
      </c>
      <c r="B3978" s="4" t="s">
        <v>512</v>
      </c>
      <c r="C3978" s="5">
        <v>2000</v>
      </c>
      <c r="D3978" s="4">
        <v>7678000000</v>
      </c>
      <c r="E3978" s="4">
        <v>333000000</v>
      </c>
      <c r="F3978" s="4" t="str">
        <f>_xlfn.LET(_xlpm.r, _xlfn.XLOOKUP(Clean_Data[[#This Row],[Country_Code]], Metadata_Country!$A:$A, Metadata_Country!$B:$B, "Unknown"), IF(OR(_xlpm.r=0, _xlpm.r=""), "Regional Aggregate", _xlpm.r))</f>
        <v>North America</v>
      </c>
      <c r="G3978" s="4" t="str">
        <f>_xlfn.LET(_xlpm.ig, _xlfn.XLOOKUP(Clean_Data[[#This Row],[Country_Code]], Metadata_Country!$A:$A, Metadata_Country!$C:$C, "Unknown"), IF(OR(_xlpm.ig=0, _xlpm.ig=""), "Regional Aggregate", _xlpm.ig))</f>
        <v>High income</v>
      </c>
      <c r="H3978" s="4">
        <f>Clean_Data[[#This Row],[Exports_TIV]] - Clean_Data[[#This Row],[Imports_TIV]]</f>
        <v>7345000000</v>
      </c>
      <c r="I3978" s="4">
        <f>Clean_Data[[#This Row],[Exports_TIV]] + Clean_Data[[#This Row],[Imports_TIV]]</f>
        <v>8011000000</v>
      </c>
    </row>
    <row r="3979" spans="1:9">
      <c r="A3979" s="4" t="s">
        <v>507</v>
      </c>
      <c r="B3979" s="4" t="s">
        <v>508</v>
      </c>
      <c r="C3979" s="5">
        <v>2000</v>
      </c>
      <c r="D3979" s="4">
        <v>0</v>
      </c>
      <c r="E3979" s="4">
        <v>6023000000</v>
      </c>
      <c r="F3979" s="4" t="str">
        <f>_xlfn.LET(_xlpm.r, _xlfn.XLOOKUP(Clean_Data[[#This Row],[Country_Code]], Metadata_Country!$A:$A, Metadata_Country!$B:$B, "Unknown"), IF(OR(_xlpm.r=0, _xlpm.r=""), "Regional Aggregate", _xlpm.r))</f>
        <v>Regional Aggregate</v>
      </c>
      <c r="G3979" s="4" t="str">
        <f>_xlfn.LET(_xlpm.ig, _xlfn.XLOOKUP(Clean_Data[[#This Row],[Country_Code]], Metadata_Country!$A:$A, Metadata_Country!$C:$C, "Unknown"), IF(OR(_xlpm.ig=0, _xlpm.ig=""), "Regional Aggregate", _xlpm.ig))</f>
        <v>Regional Aggregate</v>
      </c>
      <c r="H3979" s="4">
        <f>Clean_Data[[#This Row],[Exports_TIV]] - Clean_Data[[#This Row],[Imports_TIV]]</f>
        <v>-6023000000</v>
      </c>
      <c r="I3979" s="4">
        <f>Clean_Data[[#This Row],[Exports_TIV]] + Clean_Data[[#This Row],[Imports_TIV]]</f>
        <v>6023000000</v>
      </c>
    </row>
    <row r="3980" spans="1:9">
      <c r="A3980" s="4" t="s">
        <v>509</v>
      </c>
      <c r="B3980" s="4" t="s">
        <v>510</v>
      </c>
      <c r="C3980" s="5">
        <v>2000</v>
      </c>
      <c r="D3980" s="4">
        <v>1000000</v>
      </c>
      <c r="E3980" s="4">
        <v>4000000</v>
      </c>
      <c r="F3980" s="4" t="str">
        <f>_xlfn.LET(_xlpm.r, _xlfn.XLOOKUP(Clean_Data[[#This Row],[Country_Code]], Metadata_Country!$A:$A, Metadata_Country!$B:$B, "Unknown"), IF(OR(_xlpm.r=0, _xlpm.r=""), "Regional Aggregate", _xlpm.r))</f>
        <v>Latin America &amp; Caribbean</v>
      </c>
      <c r="G3980" s="4" t="str">
        <f>_xlfn.LET(_xlpm.ig, _xlfn.XLOOKUP(Clean_Data[[#This Row],[Country_Code]], Metadata_Country!$A:$A, Metadata_Country!$C:$C, "Unknown"), IF(OR(_xlpm.ig=0, _xlpm.ig=""), "Regional Aggregate", _xlpm.ig))</f>
        <v>High income</v>
      </c>
      <c r="H3980" s="4">
        <f>Clean_Data[[#This Row],[Exports_TIV]] - Clean_Data[[#This Row],[Imports_TIV]]</f>
        <v>-3000000</v>
      </c>
      <c r="I3980" s="4">
        <f>Clean_Data[[#This Row],[Exports_TIV]] + Clean_Data[[#This Row],[Imports_TIV]]</f>
        <v>5000000</v>
      </c>
    </row>
    <row r="3981" spans="1:9">
      <c r="A3981" s="4" t="s">
        <v>517</v>
      </c>
      <c r="B3981" s="4" t="s">
        <v>518</v>
      </c>
      <c r="C3981" s="5">
        <v>2000</v>
      </c>
      <c r="D3981" s="4">
        <v>0</v>
      </c>
      <c r="E3981" s="4">
        <v>108000000</v>
      </c>
      <c r="F3981" s="4" t="str">
        <f>_xlfn.LET(_xlpm.r, _xlfn.XLOOKUP(Clean_Data[[#This Row],[Country_Code]], Metadata_Country!$A:$A, Metadata_Country!$B:$B, "Unknown"), IF(OR(_xlpm.r=0, _xlpm.r=""), "Regional Aggregate", _xlpm.r))</f>
        <v>Latin America &amp; Caribbean</v>
      </c>
      <c r="G3981" s="4" t="str">
        <f>_xlfn.LET(_xlpm.ig, _xlfn.XLOOKUP(Clean_Data[[#This Row],[Country_Code]], Metadata_Country!$A:$A, Metadata_Country!$C:$C, "Unknown"), IF(OR(_xlpm.ig=0, _xlpm.ig=""), "Regional Aggregate", _xlpm.ig))</f>
        <v>Lower middle income</v>
      </c>
      <c r="H3981" s="4">
        <f>Clean_Data[[#This Row],[Exports_TIV]] - Clean_Data[[#This Row],[Imports_TIV]]</f>
        <v>-108000000</v>
      </c>
      <c r="I3981" s="4">
        <f>Clean_Data[[#This Row],[Exports_TIV]] + Clean_Data[[#This Row],[Imports_TIV]]</f>
        <v>108000000</v>
      </c>
    </row>
    <row r="3982" spans="1:9">
      <c r="A3982" s="4" t="s">
        <v>523</v>
      </c>
      <c r="B3982" s="4" t="s">
        <v>524</v>
      </c>
      <c r="C3982" s="5">
        <v>2000</v>
      </c>
      <c r="D3982" s="4">
        <v>0</v>
      </c>
      <c r="E3982" s="4">
        <v>11000000</v>
      </c>
      <c r="F3982" s="4" t="str">
        <f>_xlfn.LET(_xlpm.r, _xlfn.XLOOKUP(Clean_Data[[#This Row],[Country_Code]], Metadata_Country!$A:$A, Metadata_Country!$B:$B, "Unknown"), IF(OR(_xlpm.r=0, _xlpm.r=""), "Regional Aggregate", _xlpm.r))</f>
        <v>East Asia &amp; Pacific</v>
      </c>
      <c r="G3982" s="4" t="str">
        <f>_xlfn.LET(_xlpm.ig, _xlfn.XLOOKUP(Clean_Data[[#This Row],[Country_Code]], Metadata_Country!$A:$A, Metadata_Country!$C:$C, "Unknown"), IF(OR(_xlpm.ig=0, _xlpm.ig=""), "Regional Aggregate", _xlpm.ig))</f>
        <v>Upper middle income</v>
      </c>
      <c r="H3982" s="4">
        <f>Clean_Data[[#This Row],[Exports_TIV]] - Clean_Data[[#This Row],[Imports_TIV]]</f>
        <v>-11000000</v>
      </c>
      <c r="I3982" s="4">
        <f>Clean_Data[[#This Row],[Exports_TIV]] + Clean_Data[[#This Row],[Imports_TIV]]</f>
        <v>11000000</v>
      </c>
    </row>
    <row r="3983" spans="1:9">
      <c r="A3983" s="4" t="s">
        <v>527</v>
      </c>
      <c r="B3983" s="4" t="s">
        <v>528</v>
      </c>
      <c r="C3983" s="5">
        <v>2000</v>
      </c>
      <c r="D3983" s="4">
        <v>20518000000</v>
      </c>
      <c r="E3983" s="4">
        <v>20468000000</v>
      </c>
      <c r="F3983" s="4" t="str">
        <f>_xlfn.LET(_xlpm.r, _xlfn.XLOOKUP(Clean_Data[[#This Row],[Country_Code]], Metadata_Country!$A:$A, Metadata_Country!$B:$B, "Unknown"), IF(OR(_xlpm.r=0, _xlpm.r=""), "Regional Aggregate", _xlpm.r))</f>
        <v>Regional Aggregate</v>
      </c>
      <c r="G3983" s="4" t="str">
        <f>_xlfn.LET(_xlpm.ig, _xlfn.XLOOKUP(Clean_Data[[#This Row],[Country_Code]], Metadata_Country!$A:$A, Metadata_Country!$C:$C, "Unknown"), IF(OR(_xlpm.ig=0, _xlpm.ig=""), "Regional Aggregate", _xlpm.ig))</f>
        <v>Regional Aggregate</v>
      </c>
      <c r="H3983" s="4">
        <f>Clean_Data[[#This Row],[Exports_TIV]] - Clean_Data[[#This Row],[Imports_TIV]]</f>
        <v>50000000</v>
      </c>
      <c r="I3983" s="4">
        <f>Clean_Data[[#This Row],[Exports_TIV]] + Clean_Data[[#This Row],[Imports_TIV]]</f>
        <v>40986000000</v>
      </c>
    </row>
    <row r="3984" spans="1:9">
      <c r="A3984" s="4" t="s">
        <v>533</v>
      </c>
      <c r="B3984" s="4" t="s">
        <v>534</v>
      </c>
      <c r="C3984" s="5">
        <v>2000</v>
      </c>
      <c r="D3984" s="4">
        <v>0</v>
      </c>
      <c r="E3984" s="4">
        <v>158000000</v>
      </c>
      <c r="F3984" s="4" t="str">
        <f>_xlfn.LET(_xlpm.r, _xlfn.XLOOKUP(Clean_Data[[#This Row],[Country_Code]], Metadata_Country!$A:$A, Metadata_Country!$B:$B, "Unknown"), IF(OR(_xlpm.r=0, _xlpm.r=""), "Regional Aggregate", _xlpm.r))</f>
        <v>Middle East &amp; North Africa</v>
      </c>
      <c r="G3984" s="4" t="str">
        <f>_xlfn.LET(_xlpm.ig, _xlfn.XLOOKUP(Clean_Data[[#This Row],[Country_Code]], Metadata_Country!$A:$A, Metadata_Country!$C:$C, "Unknown"), IF(OR(_xlpm.ig=0, _xlpm.ig=""), "Regional Aggregate", _xlpm.ig))</f>
        <v>Low income</v>
      </c>
      <c r="H3984" s="4">
        <f>Clean_Data[[#This Row],[Exports_TIV]] - Clean_Data[[#This Row],[Imports_TIV]]</f>
        <v>-158000000</v>
      </c>
      <c r="I3984" s="4">
        <f>Clean_Data[[#This Row],[Exports_TIV]] + Clean_Data[[#This Row],[Imports_TIV]]</f>
        <v>158000000</v>
      </c>
    </row>
    <row r="3985" spans="1:9">
      <c r="A3985" s="4" t="s">
        <v>537</v>
      </c>
      <c r="B3985" s="4" t="s">
        <v>538</v>
      </c>
      <c r="C3985" s="5">
        <v>2000</v>
      </c>
      <c r="D3985" s="4">
        <v>0</v>
      </c>
      <c r="E3985" s="4">
        <v>43000000</v>
      </c>
      <c r="F3985" s="4" t="str">
        <f>_xlfn.LET(_xlpm.r, _xlfn.XLOOKUP(Clean_Data[[#This Row],[Country_Code]], Metadata_Country!$A:$A, Metadata_Country!$B:$B, "Unknown"), IF(OR(_xlpm.r=0, _xlpm.r=""), "Regional Aggregate", _xlpm.r))</f>
        <v>Sub-Saharan Africa</v>
      </c>
      <c r="G3985" s="4" t="str">
        <f>_xlfn.LET(_xlpm.ig, _xlfn.XLOOKUP(Clean_Data[[#This Row],[Country_Code]], Metadata_Country!$A:$A, Metadata_Country!$C:$C, "Unknown"), IF(OR(_xlpm.ig=0, _xlpm.ig=""), "Regional Aggregate", _xlpm.ig))</f>
        <v>Lower middle income</v>
      </c>
      <c r="H3985" s="4">
        <f>Clean_Data[[#This Row],[Exports_TIV]] - Clean_Data[[#This Row],[Imports_TIV]]</f>
        <v>-43000000</v>
      </c>
      <c r="I3985" s="4">
        <f>Clean_Data[[#This Row],[Exports_TIV]] + Clean_Data[[#This Row],[Imports_TIV]]</f>
        <v>43000000</v>
      </c>
    </row>
    <row r="3986" spans="1:9">
      <c r="A3986" s="4" t="s">
        <v>539</v>
      </c>
      <c r="B3986" s="4" t="s">
        <v>540</v>
      </c>
      <c r="C3986" s="5">
        <v>2000</v>
      </c>
      <c r="D3986" s="4">
        <v>0</v>
      </c>
      <c r="E3986" s="4">
        <v>8000000</v>
      </c>
      <c r="F3986" s="4" t="str">
        <f>_xlfn.LET(_xlpm.r, _xlfn.XLOOKUP(Clean_Data[[#This Row],[Country_Code]], Metadata_Country!$A:$A, Metadata_Country!$B:$B, "Unknown"), IF(OR(_xlpm.r=0, _xlpm.r=""), "Regional Aggregate", _xlpm.r))</f>
        <v>Sub-Saharan Africa</v>
      </c>
      <c r="G3986" s="4" t="str">
        <f>_xlfn.LET(_xlpm.ig, _xlfn.XLOOKUP(Clean_Data[[#This Row],[Country_Code]], Metadata_Country!$A:$A, Metadata_Country!$C:$C, "Unknown"), IF(OR(_xlpm.ig=0, _xlpm.ig=""), "Regional Aggregate", _xlpm.ig))</f>
        <v>Lower middle income</v>
      </c>
      <c r="H3986" s="4">
        <f>Clean_Data[[#This Row],[Exports_TIV]] - Clean_Data[[#This Row],[Imports_TIV]]</f>
        <v>-8000000</v>
      </c>
      <c r="I3986" s="4">
        <f>Clean_Data[[#This Row],[Exports_TIV]] + Clean_Data[[#This Row],[Imports_TIV]]</f>
        <v>8000000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5B24-5CB1-4465-9ABB-B19915F9A649}">
  <dimension ref="B2:O59"/>
  <sheetViews>
    <sheetView showGridLines="0" zoomScale="70" zoomScaleNormal="70" workbookViewId="0">
      <selection activeCell="E20" activeCellId="1" sqref="B20:B27 E20:E27"/>
    </sheetView>
  </sheetViews>
  <sheetFormatPr defaultRowHeight="14.4"/>
  <cols>
    <col min="2" max="2" width="86.109375" bestFit="1" customWidth="1"/>
    <col min="3" max="3" width="19.109375" bestFit="1" customWidth="1"/>
    <col min="4" max="4" width="18.6640625" bestFit="1" customWidth="1"/>
    <col min="5" max="5" width="19.21875" bestFit="1" customWidth="1"/>
    <col min="6" max="6" width="21.77734375" bestFit="1" customWidth="1"/>
    <col min="7" max="7" width="17.77734375" bestFit="1" customWidth="1"/>
    <col min="8" max="8" width="21.6640625" style="9" bestFit="1" customWidth="1"/>
    <col min="9" max="9" width="15" style="10" bestFit="1" customWidth="1"/>
    <col min="11" max="11" width="5.109375" bestFit="1" customWidth="1"/>
    <col min="12" max="12" width="18" bestFit="1" customWidth="1"/>
    <col min="13" max="13" width="5.6640625" bestFit="1" customWidth="1"/>
    <col min="14" max="14" width="23.33203125" style="9" bestFit="1" customWidth="1"/>
    <col min="15" max="15" width="15" style="10" bestFit="1" customWidth="1"/>
  </cols>
  <sheetData>
    <row r="2" spans="2:15" ht="21">
      <c r="B2" s="7" t="s">
        <v>753</v>
      </c>
    </row>
    <row r="3" spans="2:15">
      <c r="B3" s="8" t="s">
        <v>754</v>
      </c>
    </row>
    <row r="5" spans="2:15">
      <c r="B5" s="6" t="s">
        <v>755</v>
      </c>
      <c r="C5" s="6" t="s">
        <v>762</v>
      </c>
      <c r="E5" s="6" t="s">
        <v>763</v>
      </c>
      <c r="F5" s="6" t="s">
        <v>764</v>
      </c>
      <c r="G5" s="6" t="s">
        <v>765</v>
      </c>
      <c r="H5" s="6" t="s">
        <v>766</v>
      </c>
      <c r="I5" s="6" t="s">
        <v>767</v>
      </c>
      <c r="K5" s="6" t="s">
        <v>763</v>
      </c>
      <c r="L5" s="6" t="s">
        <v>768</v>
      </c>
      <c r="M5" s="6" t="s">
        <v>765</v>
      </c>
      <c r="N5" s="11" t="s">
        <v>769</v>
      </c>
      <c r="O5" s="12" t="s">
        <v>767</v>
      </c>
    </row>
    <row r="6" spans="2:15">
      <c r="B6" t="s">
        <v>756</v>
      </c>
      <c r="C6" s="4">
        <f>SUMIFS(Clean_Data[Total_Volume_TIV], Clean_Data[Region], "&lt;&gt;Regional Aggregate")</f>
        <v>1282812000000</v>
      </c>
      <c r="E6" cm="1">
        <f t="array" ref="E6:E15">_xlfn.SEQUENCE(10)</f>
        <v>1</v>
      </c>
      <c r="F6" t="str" cm="1">
        <f t="array" ref="F6:H15">_xlfn.LET(
    _xlpm.countries, _xlfn.UNIQUE(_xlfn._xlws.FILTER(Clean_Data[Country_Name], Clean_Data[Region]&lt;&gt;"Regional Aggregate")),
    _xlpm.exports, _xlfn.MAP(_xlpm.countries, _xlfn.LAMBDA(_xlpm.c, SUMIFS(Clean_Data[Exports_TIV], Clean_Data[Country_Name], _xlpm.c))),
    _xlpm.codes, _xlfn.MAP(_xlpm.countries, _xlfn.LAMBDA(_xlpm.c, _xlfn.XLOOKUP(_xlpm.c, Clean_Data[Country_Name], Clean_Data[Country_Code]))),
    _xlpm.table, _xlfn.HSTACK(_xlpm.countries, _xlpm.codes, _xlpm.exports),
    _xlfn.TAKE(_xlfn._xlws.SORT(_xlpm.table, 3, -1), 10)
)</f>
        <v>United States</v>
      </c>
      <c r="G6" t="str">
        <v>USA</v>
      </c>
      <c r="H6" s="9">
        <v>222364000000</v>
      </c>
      <c r="I6" s="13" cm="1">
        <f t="array" ref="I6:I15">INDEX(_xlfn.ANCHORARRAY(F6), , 3) / $C$7</f>
        <v>0.3440388405994424</v>
      </c>
      <c r="K6" cm="1">
        <f t="array" ref="K6:K15">_xlfn.SEQUENCE(10)</f>
        <v>1</v>
      </c>
      <c r="L6" t="str" cm="1">
        <f t="array" ref="L6:N15">_xlfn.LET(
    _xlpm.countries, _xlfn.UNIQUE(_xlfn._xlws.FILTER(Clean_Data[Country_Name], Clean_Data[Region]&lt;&gt;"Regional Aggregate")),
    _xlpm.imports, _xlfn.MAP(_xlpm.countries, _xlfn.LAMBDA(_xlpm.c, SUMIFS(Clean_Data[Imports_TIV], Clean_Data[Country_Name], _xlpm.c))),
    _xlpm.codes, _xlfn.MAP(_xlpm.countries, _xlfn.LAMBDA(_xlpm.c, _xlfn.XLOOKUP(_xlpm.c, Clean_Data[Country_Name], Clean_Data[Country_Code]))),
    _xlpm.table, _xlfn.HSTACK(_xlpm.countries, _xlpm.codes, _xlpm.imports),
    _xlfn.TAKE(_xlfn._xlws.SORT(_xlpm.table, 3, -1), 10)
)</f>
        <v>India</v>
      </c>
      <c r="M6" t="str">
        <v>IND</v>
      </c>
      <c r="N6" s="9">
        <v>62908000000</v>
      </c>
      <c r="O6" s="13" cm="1">
        <f t="array" ref="O6:O15">INDEX(_xlfn.ANCHORARRAY(L6), , 3) / $C$8</f>
        <v>9.8837666030876167E-2</v>
      </c>
    </row>
    <row r="7" spans="2:15">
      <c r="B7" t="s">
        <v>757</v>
      </c>
      <c r="C7" s="4">
        <f>SUMIFS(Clean_Data[Exports_TIV], Clean_Data[Region], "&lt;&gt;Regional Aggregate")</f>
        <v>646334000000</v>
      </c>
      <c r="E7">
        <v>2</v>
      </c>
      <c r="F7" t="str">
        <v>Russian Federation</v>
      </c>
      <c r="G7" t="str">
        <v>RUS</v>
      </c>
      <c r="H7" s="9">
        <v>134441000000</v>
      </c>
      <c r="I7" s="13">
        <v>0.20800545847812432</v>
      </c>
      <c r="K7">
        <v>2</v>
      </c>
      <c r="L7" t="str">
        <v>China</v>
      </c>
      <c r="M7" t="str">
        <v>CHN</v>
      </c>
      <c r="N7" s="9">
        <v>40927000000</v>
      </c>
      <c r="O7" s="13">
        <v>6.4302301100745043E-2</v>
      </c>
    </row>
    <row r="8" spans="2:15">
      <c r="B8" t="s">
        <v>758</v>
      </c>
      <c r="C8" s="4">
        <f>SUMIFS(Clean_Data[Imports_TIV], Clean_Data[Region], "&lt;&gt;Regional Aggregate")</f>
        <v>636478000000</v>
      </c>
      <c r="E8">
        <v>3</v>
      </c>
      <c r="F8" t="str">
        <v>France</v>
      </c>
      <c r="G8" t="str">
        <v>FRA</v>
      </c>
      <c r="H8" s="9">
        <v>50421000000</v>
      </c>
      <c r="I8" s="13">
        <v>7.8010749859979509E-2</v>
      </c>
      <c r="K8">
        <v>3</v>
      </c>
      <c r="L8" t="str">
        <v>Saudi Arabia</v>
      </c>
      <c r="M8" t="str">
        <v>SAU</v>
      </c>
      <c r="N8" s="9">
        <v>37196000000</v>
      </c>
      <c r="O8" s="13">
        <v>5.8440354576277574E-2</v>
      </c>
    </row>
    <row r="9" spans="2:15">
      <c r="B9" t="s">
        <v>759</v>
      </c>
      <c r="C9" s="4">
        <f>C7 - C8</f>
        <v>9856000000</v>
      </c>
      <c r="E9">
        <v>4</v>
      </c>
      <c r="F9" t="str">
        <v>Germany</v>
      </c>
      <c r="G9" t="str">
        <v>DEU</v>
      </c>
      <c r="H9" s="9">
        <v>41813000000</v>
      </c>
      <c r="I9" s="13">
        <v>6.4692558336711364E-2</v>
      </c>
      <c r="K9">
        <v>4</v>
      </c>
      <c r="L9" t="str">
        <v>Korea, Rep.</v>
      </c>
      <c r="M9" t="str">
        <v>KOR</v>
      </c>
      <c r="N9" s="9">
        <v>24721000000</v>
      </c>
      <c r="O9" s="13">
        <v>3.88403055565157E-2</v>
      </c>
    </row>
    <row r="10" spans="2:15">
      <c r="B10" t="s">
        <v>760</v>
      </c>
      <c r="C10" s="4" cm="1">
        <f t="array" ref="C10">COUNTA(_xlfn.UNIQUE(_xlfn._xlws.FILTER(Clean_Data[Country_Code], Clean_Data[Region]&lt;&gt;"Regional Aggregate")))</f>
        <v>181</v>
      </c>
      <c r="E10">
        <v>5</v>
      </c>
      <c r="F10" t="str">
        <v>China</v>
      </c>
      <c r="G10" t="str">
        <v>CHN</v>
      </c>
      <c r="H10" s="9">
        <v>30914000000</v>
      </c>
      <c r="I10" s="13">
        <v>4.7829759845528785E-2</v>
      </c>
      <c r="K10">
        <v>5</v>
      </c>
      <c r="L10" t="str">
        <v>United Arab Emirates</v>
      </c>
      <c r="M10" t="str">
        <v>ARE</v>
      </c>
      <c r="N10" s="9">
        <v>24693000000</v>
      </c>
      <c r="O10" s="13">
        <v>3.8796313462523449E-2</v>
      </c>
    </row>
    <row r="11" spans="2:15">
      <c r="B11" t="s">
        <v>761</v>
      </c>
      <c r="C11" s="3" t="str">
        <f>MIN(Clean_Data[Year]) &amp; " – " &amp; MAX(Clean_Data[Year])</f>
        <v>2000 – 2024</v>
      </c>
      <c r="E11">
        <v>6</v>
      </c>
      <c r="F11" t="str">
        <v>United Kingdom</v>
      </c>
      <c r="G11" t="str">
        <v>GBR</v>
      </c>
      <c r="H11" s="9">
        <v>27483000000</v>
      </c>
      <c r="I11" s="13">
        <v>4.252135892588043E-2</v>
      </c>
      <c r="K11">
        <v>6</v>
      </c>
      <c r="L11" t="str">
        <v>Australia</v>
      </c>
      <c r="M11" t="str">
        <v>AUS</v>
      </c>
      <c r="N11" s="9">
        <v>23363000000</v>
      </c>
      <c r="O11" s="13">
        <v>3.6706688997891521E-2</v>
      </c>
    </row>
    <row r="12" spans="2:15">
      <c r="E12">
        <v>7</v>
      </c>
      <c r="F12" t="str">
        <v>Italy</v>
      </c>
      <c r="G12" t="str">
        <v>ITA</v>
      </c>
      <c r="H12" s="9">
        <v>18116000000</v>
      </c>
      <c r="I12" s="13">
        <v>2.8028851955799943E-2</v>
      </c>
      <c r="K12">
        <v>7</v>
      </c>
      <c r="L12" t="str">
        <v>Pakistan</v>
      </c>
      <c r="M12" t="str">
        <v>PAK</v>
      </c>
      <c r="N12" s="9">
        <v>22867000000</v>
      </c>
      <c r="O12" s="13">
        <v>3.5927400475743075E-2</v>
      </c>
    </row>
    <row r="13" spans="2:15">
      <c r="E13">
        <v>8</v>
      </c>
      <c r="F13" t="str">
        <v>Israel</v>
      </c>
      <c r="G13" t="str">
        <v>ISR</v>
      </c>
      <c r="H13" s="9">
        <v>16890000000</v>
      </c>
      <c r="I13" s="13">
        <v>2.6131999863847486E-2</v>
      </c>
      <c r="K13">
        <v>8</v>
      </c>
      <c r="L13" t="str">
        <v>Egypt, Arab Rep.</v>
      </c>
      <c r="M13" t="str">
        <v>EGY</v>
      </c>
      <c r="N13" s="9">
        <v>22095000000</v>
      </c>
      <c r="O13" s="13">
        <v>3.4714475598528152E-2</v>
      </c>
    </row>
    <row r="14" spans="2:15">
      <c r="E14">
        <v>9</v>
      </c>
      <c r="F14" t="str">
        <v>Spain</v>
      </c>
      <c r="G14" t="str">
        <v>ESP</v>
      </c>
      <c r="H14" s="9">
        <v>13942000000</v>
      </c>
      <c r="I14" s="13">
        <v>2.157089059217061E-2</v>
      </c>
      <c r="K14">
        <v>9</v>
      </c>
      <c r="L14" t="str">
        <v>United States</v>
      </c>
      <c r="M14" t="str">
        <v>USA</v>
      </c>
      <c r="N14" s="9">
        <v>18178000000</v>
      </c>
      <c r="O14" s="13">
        <v>2.8560295878255024E-2</v>
      </c>
    </row>
    <row r="15" spans="2:15">
      <c r="E15">
        <v>10</v>
      </c>
      <c r="F15" t="str">
        <v>Netherlands</v>
      </c>
      <c r="G15" t="str">
        <v>NLD</v>
      </c>
      <c r="H15" s="9">
        <v>12579000000</v>
      </c>
      <c r="I15" s="13">
        <v>1.9462073788474688E-2</v>
      </c>
      <c r="K15">
        <v>10</v>
      </c>
      <c r="L15" t="str">
        <v>Algeria</v>
      </c>
      <c r="M15" t="str">
        <v>DZA</v>
      </c>
      <c r="N15" s="9">
        <v>17187000000</v>
      </c>
      <c r="O15" s="13">
        <v>2.7003289980172134E-2</v>
      </c>
    </row>
    <row r="20" spans="2:6">
      <c r="B20" s="6" t="s">
        <v>543</v>
      </c>
      <c r="C20" s="6" t="s">
        <v>770</v>
      </c>
      <c r="D20" s="6" t="s">
        <v>771</v>
      </c>
      <c r="E20" s="6" t="s">
        <v>772</v>
      </c>
      <c r="F20" s="6" t="s">
        <v>773</v>
      </c>
    </row>
    <row r="21" spans="2:6">
      <c r="B21" t="str" cm="1">
        <f t="array" ref="B21:B27">_xlfn.LET(
    _xlpm.regs, _xlfn._xlws.SORT(_xlfn.UNIQUE(_xlfn._xlws.FILTER(Clean_Data[Region], (Clean_Data[Region]&lt;&gt;"Regional Aggregate")*(Clean_Data[Region]&lt;&gt;"Unknown")*(Clean_Data[Region]&lt;&gt;"")))),
    _xlpm.regs
)</f>
        <v>East Asia &amp; Pacific</v>
      </c>
      <c r="C21" s="9" cm="1">
        <f t="array" ref="C21:C27">_xlfn.MAP(_xlfn.ANCHORARRAY(B21), _xlfn.LAMBDA(_xlpm.r, SUMIFS(Clean_Data[Exports_TIV], Clean_Data[Region], _xlpm.r)))</f>
        <v>44039000000</v>
      </c>
      <c r="D21" s="9" cm="1">
        <f t="array" ref="D21:D27">_xlfn.MAP(_xlfn.ANCHORARRAY(B21), _xlfn.LAMBDA(_xlpm.r, SUMIFS(Clean_Data[Imports_TIV], Clean_Data[Region], _xlpm.r)))</f>
        <v>154429000000</v>
      </c>
      <c r="E21" s="9" cm="1">
        <f t="array" ref="E21:E27">_xlfn.ANCHORARRAY(C21) -_xlfn.ANCHORARRAY( D21)</f>
        <v>-110390000000</v>
      </c>
      <c r="F21" t="str" cm="1">
        <f t="array" ref="F21:F27">_xlfn.MAP(_xlfn.ANCHORARRAY(E21), _xlfn.LAMBDA(_xlpm.val, IF(_xlpm.val &gt; 0, "Net Exporter (Supplier)", "Net Importer (Dependent)")))</f>
        <v>Net Importer (Dependent)</v>
      </c>
    </row>
    <row r="22" spans="2:6">
      <c r="B22" t="str">
        <v>Europe &amp; Central Asia</v>
      </c>
      <c r="C22" s="9">
        <v>348368000000</v>
      </c>
      <c r="D22" s="9">
        <v>140914000000</v>
      </c>
      <c r="E22" s="9">
        <v>207454000000</v>
      </c>
      <c r="F22" t="str">
        <v>Net Exporter (Supplier)</v>
      </c>
    </row>
    <row r="23" spans="2:6">
      <c r="B23" t="str">
        <v>Latin America &amp; Caribbean</v>
      </c>
      <c r="C23" s="9">
        <v>1604000000</v>
      </c>
      <c r="D23" s="9">
        <v>27613000000</v>
      </c>
      <c r="E23" s="9">
        <v>-26009000000</v>
      </c>
      <c r="F23" t="str">
        <v>Net Importer (Dependent)</v>
      </c>
    </row>
    <row r="24" spans="2:6">
      <c r="B24" t="str">
        <v>Middle East &amp; North Africa</v>
      </c>
      <c r="C24" s="9">
        <v>21385000000</v>
      </c>
      <c r="D24" s="9">
        <v>199652000000</v>
      </c>
      <c r="E24" s="9">
        <v>-178267000000</v>
      </c>
      <c r="F24" t="str">
        <v>Net Importer (Dependent)</v>
      </c>
    </row>
    <row r="25" spans="2:6">
      <c r="B25" t="str">
        <v>North America</v>
      </c>
      <c r="C25" s="9">
        <v>227402000000</v>
      </c>
      <c r="D25" s="9">
        <v>25127000000</v>
      </c>
      <c r="E25" s="9">
        <v>202275000000</v>
      </c>
      <c r="F25" t="str">
        <v>Net Exporter (Supplier)</v>
      </c>
    </row>
    <row r="26" spans="2:6">
      <c r="B26" t="str">
        <v>South Asia</v>
      </c>
      <c r="C26" s="9">
        <v>804000000</v>
      </c>
      <c r="D26" s="9">
        <v>69341000000</v>
      </c>
      <c r="E26" s="9">
        <v>-68537000000</v>
      </c>
      <c r="F26" t="str">
        <v>Net Importer (Dependent)</v>
      </c>
    </row>
    <row r="27" spans="2:6">
      <c r="B27" t="str">
        <v>Sub-Saharan Africa</v>
      </c>
      <c r="C27" s="9">
        <v>2732000000</v>
      </c>
      <c r="D27" s="9">
        <v>19402000000</v>
      </c>
      <c r="E27" s="9">
        <v>-16670000000</v>
      </c>
      <c r="F27" t="str">
        <v>Net Importer (Dependent)</v>
      </c>
    </row>
    <row r="32" spans="2:6" ht="15.6">
      <c r="B32" s="14" t="s">
        <v>774</v>
      </c>
    </row>
    <row r="34" spans="2:8">
      <c r="B34" s="6" t="s">
        <v>681</v>
      </c>
      <c r="C34" s="6" t="s">
        <v>511</v>
      </c>
      <c r="D34" s="6" t="s">
        <v>413</v>
      </c>
      <c r="E34" s="6" t="s">
        <v>163</v>
      </c>
      <c r="F34" s="6" t="s">
        <v>119</v>
      </c>
      <c r="G34" s="6" t="s">
        <v>89</v>
      </c>
      <c r="H34" s="6" t="s">
        <v>775</v>
      </c>
    </row>
    <row r="35" spans="2:8">
      <c r="B35" cm="1">
        <f t="array" ref="B35:B59">_xlfn.SEQUENCE(25, 1, 2000, 1)</f>
        <v>2000</v>
      </c>
      <c r="C35" s="9" cm="1">
        <f t="array" ref="C35:C59">_xlfn.MAP(_xlfn.ANCHORARRAY(B35), _xlfn.LAMBDA(_xlpm.y, SUMIFS(Clean_Data[Exports_TIV], Clean_Data[Country_Code], "USA", Clean_Data[Year], _xlpm.y)))</f>
        <v>7678000000</v>
      </c>
      <c r="D35" s="9" cm="1">
        <f t="array" ref="D35:D59">_xlfn.MAP(_xlfn.ANCHORARRAY(B35), _xlfn.LAMBDA(_xlpm.y, SUMIFS(Clean_Data[Exports_TIV], Clean_Data[Country_Code], "RUS", Clean_Data[Year], _xlpm.y)))</f>
        <v>4496000000</v>
      </c>
      <c r="E35" s="9" cm="1">
        <f t="array" ref="E35:E59">_xlfn.MAP(_xlfn.ANCHORARRAY(B35), _xlfn.LAMBDA(_xlpm.y, SUMIFS(Clean_Data[Exports_TIV], Clean_Data[Country_Code], "FRA", Clean_Data[Year], _xlpm.y)))</f>
        <v>966000000</v>
      </c>
      <c r="F35" s="9" cm="1">
        <f t="array" ref="F35:F59">_xlfn.MAP(_xlfn.ANCHORARRAY(B35), _xlfn.LAMBDA(_xlpm.y, SUMIFS(Clean_Data[Exports_TIV], Clean_Data[Country_Code], "DEU", Clean_Data[Year], _xlpm.y)))</f>
        <v>1672000000</v>
      </c>
      <c r="G35" s="9" cm="1">
        <f t="array" ref="G35:G59">_xlfn.MAP(_xlfn.ANCHORARRAY(B35), _xlfn.LAMBDA(_xlpm.y, SUMIFS(Clean_Data[Exports_TIV], Clean_Data[Country_Code], "CHN", Clean_Data[Year], _xlpm.y)))</f>
        <v>309000000</v>
      </c>
      <c r="H35" s="9" cm="1">
        <f t="array" ref="H35:H59">_xlfn.BYROW(_xlfn.HSTACK(_xlfn.ANCHORARRAY(C35),_xlfn.ANCHORARRAY( D35),_xlfn.ANCHORARRAY( E35),_xlfn.ANCHORARRAY( F35),_xlfn.ANCHORARRAY( G35)), _xlfn.LAMBDA(_xlpm.r, SUM(_xlpm.r)))</f>
        <v>15121000000</v>
      </c>
    </row>
    <row r="36" spans="2:8">
      <c r="B36">
        <v>2001</v>
      </c>
      <c r="C36" s="9">
        <v>5591000000</v>
      </c>
      <c r="D36" s="9">
        <v>5250000000</v>
      </c>
      <c r="E36" s="9">
        <v>1311000000</v>
      </c>
      <c r="F36" s="9">
        <v>851000000</v>
      </c>
      <c r="G36" s="9">
        <v>510000000</v>
      </c>
      <c r="H36" s="9">
        <v>13513000000</v>
      </c>
    </row>
    <row r="37" spans="2:8">
      <c r="B37">
        <v>2002</v>
      </c>
      <c r="C37" s="9">
        <v>4872000000</v>
      </c>
      <c r="D37" s="9">
        <v>5735000000</v>
      </c>
      <c r="E37" s="9">
        <v>1375000000</v>
      </c>
      <c r="F37" s="9">
        <v>889000000</v>
      </c>
      <c r="G37" s="9">
        <v>524000000</v>
      </c>
      <c r="H37" s="9">
        <v>13395000000</v>
      </c>
    </row>
    <row r="38" spans="2:8">
      <c r="B38">
        <v>2003</v>
      </c>
      <c r="C38" s="9">
        <v>5684000000</v>
      </c>
      <c r="D38" s="9">
        <v>5266000000</v>
      </c>
      <c r="E38" s="9">
        <v>1348000000</v>
      </c>
      <c r="F38" s="9">
        <v>1632000000</v>
      </c>
      <c r="G38" s="9">
        <v>701000000</v>
      </c>
      <c r="H38" s="9">
        <v>14631000000</v>
      </c>
    </row>
    <row r="39" spans="2:8">
      <c r="B39">
        <v>2004</v>
      </c>
      <c r="C39" s="9">
        <v>6869000000</v>
      </c>
      <c r="D39" s="9">
        <v>6353000000</v>
      </c>
      <c r="E39" s="9">
        <v>2117000000</v>
      </c>
      <c r="F39" s="9">
        <v>1090000000</v>
      </c>
      <c r="G39" s="9">
        <v>408000000</v>
      </c>
      <c r="H39" s="9">
        <v>16837000000</v>
      </c>
    </row>
    <row r="40" spans="2:8">
      <c r="B40">
        <v>2005</v>
      </c>
      <c r="C40" s="9">
        <v>6724000000</v>
      </c>
      <c r="D40" s="9">
        <v>5199000000</v>
      </c>
      <c r="E40" s="9">
        <v>1645000000</v>
      </c>
      <c r="F40" s="9">
        <v>2083000000</v>
      </c>
      <c r="G40" s="9">
        <v>341000000</v>
      </c>
      <c r="H40" s="9">
        <v>15992000000</v>
      </c>
    </row>
    <row r="41" spans="2:8">
      <c r="B41">
        <v>2006</v>
      </c>
      <c r="C41" s="9">
        <v>7497000000</v>
      </c>
      <c r="D41" s="9">
        <v>5182000000</v>
      </c>
      <c r="E41" s="9">
        <v>1484000000</v>
      </c>
      <c r="F41" s="9">
        <v>2482000000</v>
      </c>
      <c r="G41" s="9">
        <v>769000000</v>
      </c>
      <c r="H41" s="9">
        <v>17414000000</v>
      </c>
    </row>
    <row r="42" spans="2:8">
      <c r="B42">
        <v>2007</v>
      </c>
      <c r="C42" s="9">
        <v>7870000000</v>
      </c>
      <c r="D42" s="9">
        <v>5596000000</v>
      </c>
      <c r="E42" s="9">
        <v>2145000000</v>
      </c>
      <c r="F42" s="9">
        <v>3291000000</v>
      </c>
      <c r="G42" s="9">
        <v>520000000</v>
      </c>
      <c r="H42" s="9">
        <v>19422000000</v>
      </c>
    </row>
    <row r="43" spans="2:8">
      <c r="B43">
        <v>2008</v>
      </c>
      <c r="C43" s="9">
        <v>7089000000</v>
      </c>
      <c r="D43" s="9">
        <v>5998000000</v>
      </c>
      <c r="E43" s="9">
        <v>1872000000</v>
      </c>
      <c r="F43" s="9">
        <v>2378000000</v>
      </c>
      <c r="G43" s="9">
        <v>598000000</v>
      </c>
      <c r="H43" s="9">
        <v>17935000000</v>
      </c>
    </row>
    <row r="44" spans="2:8">
      <c r="B44">
        <v>2009</v>
      </c>
      <c r="C44" s="9">
        <v>7151000000</v>
      </c>
      <c r="D44" s="9">
        <v>5126000000</v>
      </c>
      <c r="E44" s="9">
        <v>1845000000</v>
      </c>
      <c r="F44" s="9">
        <v>2207000000</v>
      </c>
      <c r="G44" s="9">
        <v>1138000000</v>
      </c>
      <c r="H44" s="9">
        <v>17467000000</v>
      </c>
    </row>
    <row r="45" spans="2:8">
      <c r="B45">
        <v>2010</v>
      </c>
      <c r="C45" s="9">
        <v>8354000000</v>
      </c>
      <c r="D45" s="9">
        <v>6227000000</v>
      </c>
      <c r="E45" s="9">
        <v>888000000</v>
      </c>
      <c r="F45" s="9">
        <v>2364000000</v>
      </c>
      <c r="G45" s="9">
        <v>1531000000</v>
      </c>
      <c r="H45" s="9">
        <v>19364000000</v>
      </c>
    </row>
    <row r="46" spans="2:8">
      <c r="B46">
        <v>2011</v>
      </c>
      <c r="C46" s="9">
        <v>9041000000</v>
      </c>
      <c r="D46" s="9">
        <v>8793000000</v>
      </c>
      <c r="E46" s="9">
        <v>2079000000</v>
      </c>
      <c r="F46" s="9">
        <v>1203000000</v>
      </c>
      <c r="G46" s="9">
        <v>1308000000</v>
      </c>
      <c r="H46" s="9">
        <v>22424000000</v>
      </c>
    </row>
    <row r="47" spans="2:8">
      <c r="B47">
        <v>2012</v>
      </c>
      <c r="C47" s="9">
        <v>8965000000</v>
      </c>
      <c r="D47" s="9">
        <v>8335000000</v>
      </c>
      <c r="E47" s="9">
        <v>1338000000</v>
      </c>
      <c r="F47" s="9">
        <v>715000000</v>
      </c>
      <c r="G47" s="9">
        <v>1499000000</v>
      </c>
      <c r="H47" s="9">
        <v>20852000000</v>
      </c>
    </row>
    <row r="48" spans="2:8">
      <c r="B48">
        <v>2013</v>
      </c>
      <c r="C48" s="9">
        <v>7770000000</v>
      </c>
      <c r="D48" s="9">
        <v>7887000000</v>
      </c>
      <c r="E48" s="9">
        <v>1870000000</v>
      </c>
      <c r="F48" s="9">
        <v>721000000</v>
      </c>
      <c r="G48" s="9">
        <v>2100000000</v>
      </c>
      <c r="H48" s="9">
        <v>20348000000</v>
      </c>
    </row>
    <row r="49" spans="2:8">
      <c r="B49">
        <v>2014</v>
      </c>
      <c r="C49" s="9">
        <v>9455000000</v>
      </c>
      <c r="D49" s="9">
        <v>5404000000</v>
      </c>
      <c r="E49" s="9">
        <v>1763000000</v>
      </c>
      <c r="F49" s="9">
        <v>1830000000</v>
      </c>
      <c r="G49" s="9">
        <v>1353000000</v>
      </c>
      <c r="H49" s="9">
        <v>19805000000</v>
      </c>
    </row>
    <row r="50" spans="2:8">
      <c r="B50">
        <v>2015</v>
      </c>
      <c r="C50" s="9">
        <v>10314000000</v>
      </c>
      <c r="D50" s="9">
        <v>5799000000</v>
      </c>
      <c r="E50" s="9">
        <v>2229000000</v>
      </c>
      <c r="F50" s="9">
        <v>1823000000</v>
      </c>
      <c r="G50" s="9">
        <v>1841000000</v>
      </c>
      <c r="H50" s="9">
        <v>22006000000</v>
      </c>
    </row>
    <row r="51" spans="2:8">
      <c r="B51">
        <v>2016</v>
      </c>
      <c r="C51" s="9">
        <v>9890000000</v>
      </c>
      <c r="D51" s="9">
        <v>6751000000</v>
      </c>
      <c r="E51" s="9">
        <v>2193000000</v>
      </c>
      <c r="F51" s="9">
        <v>2512000000</v>
      </c>
      <c r="G51" s="9">
        <v>2480000000</v>
      </c>
      <c r="H51" s="9">
        <v>23826000000</v>
      </c>
    </row>
    <row r="52" spans="2:8">
      <c r="B52">
        <v>2017</v>
      </c>
      <c r="C52" s="9">
        <v>11381000000</v>
      </c>
      <c r="D52" s="9">
        <v>6395000000</v>
      </c>
      <c r="E52" s="9">
        <v>2336000000</v>
      </c>
      <c r="F52" s="9">
        <v>1826000000</v>
      </c>
      <c r="G52" s="9">
        <v>1643000000</v>
      </c>
      <c r="H52" s="9">
        <v>23581000000</v>
      </c>
    </row>
    <row r="53" spans="2:8">
      <c r="B53">
        <v>2018</v>
      </c>
      <c r="C53" s="9">
        <v>9264000000</v>
      </c>
      <c r="D53" s="9">
        <v>7145000000</v>
      </c>
      <c r="E53" s="9">
        <v>1867000000</v>
      </c>
      <c r="F53" s="9">
        <v>1098000000</v>
      </c>
      <c r="G53" s="9">
        <v>1391000000</v>
      </c>
      <c r="H53" s="9">
        <v>20765000000</v>
      </c>
    </row>
    <row r="54" spans="2:8">
      <c r="B54">
        <v>2019</v>
      </c>
      <c r="C54" s="9">
        <v>10498000000</v>
      </c>
      <c r="D54" s="9">
        <v>5374000000</v>
      </c>
      <c r="E54" s="9">
        <v>3753000000</v>
      </c>
      <c r="F54" s="9">
        <v>978000000</v>
      </c>
      <c r="G54" s="9">
        <v>1601000000</v>
      </c>
      <c r="H54" s="9">
        <v>22204000000</v>
      </c>
    </row>
    <row r="55" spans="2:8">
      <c r="B55">
        <v>2020</v>
      </c>
      <c r="C55" s="9">
        <v>9730000000</v>
      </c>
      <c r="D55" s="9">
        <v>3660000000</v>
      </c>
      <c r="E55" s="9">
        <v>2290000000</v>
      </c>
      <c r="F55" s="9">
        <v>1153000000</v>
      </c>
      <c r="G55" s="9">
        <v>645000000</v>
      </c>
      <c r="H55" s="9">
        <v>17478000000</v>
      </c>
    </row>
    <row r="56" spans="2:8">
      <c r="B56">
        <v>2021</v>
      </c>
      <c r="C56" s="9">
        <v>11601000000</v>
      </c>
      <c r="D56" s="9">
        <v>2397000000</v>
      </c>
      <c r="E56" s="9">
        <v>3904000000</v>
      </c>
      <c r="F56" s="9">
        <v>852000000</v>
      </c>
      <c r="G56" s="9">
        <v>1342000000</v>
      </c>
      <c r="H56" s="9">
        <v>20096000000</v>
      </c>
    </row>
    <row r="57" spans="2:8">
      <c r="B57">
        <v>2022</v>
      </c>
      <c r="C57" s="9">
        <v>14505000000</v>
      </c>
      <c r="D57" s="9">
        <v>2566000000</v>
      </c>
      <c r="E57" s="9">
        <v>3156000000</v>
      </c>
      <c r="F57" s="9">
        <v>1508000000</v>
      </c>
      <c r="G57" s="9">
        <v>2323000000</v>
      </c>
      <c r="H57" s="9">
        <v>24058000000</v>
      </c>
    </row>
    <row r="58" spans="2:8">
      <c r="B58">
        <v>2023</v>
      </c>
      <c r="C58" s="9">
        <v>10920000000</v>
      </c>
      <c r="D58" s="9">
        <v>1513000000</v>
      </c>
      <c r="E58" s="9">
        <v>2175000000</v>
      </c>
      <c r="F58" s="9">
        <v>2547000000</v>
      </c>
      <c r="G58" s="9">
        <v>2745000000</v>
      </c>
      <c r="H58" s="9">
        <v>19900000000</v>
      </c>
    </row>
    <row r="59" spans="2:8">
      <c r="B59">
        <v>2024</v>
      </c>
      <c r="C59" s="9">
        <v>13651000000</v>
      </c>
      <c r="D59" s="9">
        <v>1994000000</v>
      </c>
      <c r="E59" s="9">
        <v>2472000000</v>
      </c>
      <c r="F59" s="9">
        <v>2108000000</v>
      </c>
      <c r="G59" s="9">
        <v>1294000000</v>
      </c>
      <c r="H59" s="9">
        <v>21519000000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7A997-A5E8-4B7E-BB76-05D86845633F}">
  <dimension ref="B2:K4"/>
  <sheetViews>
    <sheetView showGridLines="0" topLeftCell="A15" zoomScale="55" zoomScaleNormal="55" workbookViewId="0">
      <selection activeCell="O4" sqref="O4"/>
    </sheetView>
  </sheetViews>
  <sheetFormatPr defaultRowHeight="14.4"/>
  <sheetData>
    <row r="2" spans="2:11" ht="21">
      <c r="B2" s="18" t="s">
        <v>776</v>
      </c>
      <c r="C2" s="15"/>
      <c r="D2" s="15"/>
      <c r="E2" s="15"/>
      <c r="F2" s="15"/>
      <c r="G2" s="15"/>
      <c r="H2" s="15"/>
      <c r="I2" s="15"/>
      <c r="J2" s="15"/>
      <c r="K2" s="15"/>
    </row>
    <row r="3" spans="2:11">
      <c r="B3" s="19" t="s">
        <v>777</v>
      </c>
      <c r="C3" s="15"/>
      <c r="D3" s="15"/>
      <c r="E3" s="15"/>
      <c r="F3" s="15"/>
      <c r="G3" s="15"/>
      <c r="H3" s="15"/>
      <c r="I3" s="15"/>
      <c r="J3" s="15"/>
      <c r="K3" s="15"/>
    </row>
    <row r="4" spans="2:11">
      <c r="B4" s="20"/>
      <c r="C4" s="20"/>
      <c r="D4" s="20"/>
      <c r="E4" s="20"/>
      <c r="F4" s="20"/>
      <c r="G4" s="20"/>
      <c r="H4" s="20"/>
      <c r="I4" s="20"/>
      <c r="J4" s="20"/>
      <c r="K4" s="2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8FD3-5D0D-4FB7-BF0A-0B7C09F0FA01}">
  <dimension ref="A1:BA10"/>
  <sheetViews>
    <sheetView zoomScale="85" zoomScaleNormal="85" workbookViewId="0">
      <selection activeCell="C5" sqref="C5"/>
    </sheetView>
  </sheetViews>
  <sheetFormatPr defaultRowHeight="14.4"/>
  <cols>
    <col min="1" max="1" width="19.33203125" bestFit="1" customWidth="1"/>
    <col min="2" max="2" width="17.109375" bestFit="1" customWidth="1"/>
    <col min="3" max="3" width="16.44140625" bestFit="1" customWidth="1"/>
    <col min="4" max="4" width="13.6640625" bestFit="1" customWidth="1"/>
    <col min="5" max="5" width="16.44140625" bestFit="1" customWidth="1"/>
    <col min="6" max="6" width="13.6640625" bestFit="1" customWidth="1"/>
    <col min="7" max="7" width="16.44140625" bestFit="1" customWidth="1"/>
    <col min="8" max="8" width="13.6640625" bestFit="1" customWidth="1"/>
    <col min="9" max="9" width="16.44140625" bestFit="1" customWidth="1"/>
    <col min="10" max="10" width="13.6640625" bestFit="1" customWidth="1"/>
    <col min="11" max="11" width="16.44140625" bestFit="1" customWidth="1"/>
    <col min="12" max="12" width="14.109375" bestFit="1" customWidth="1"/>
    <col min="13" max="13" width="16.44140625" bestFit="1" customWidth="1"/>
    <col min="14" max="14" width="13.6640625" bestFit="1" customWidth="1"/>
    <col min="15" max="15" width="16.44140625" bestFit="1" customWidth="1"/>
    <col min="16" max="16" width="14.109375" bestFit="1" customWidth="1"/>
    <col min="17" max="17" width="16.44140625" bestFit="1" customWidth="1"/>
    <col min="18" max="18" width="13.6640625" bestFit="1" customWidth="1"/>
    <col min="19" max="19" width="16.44140625" bestFit="1" customWidth="1"/>
    <col min="20" max="20" width="13.6640625" bestFit="1" customWidth="1"/>
    <col min="21" max="21" width="16.44140625" bestFit="1" customWidth="1"/>
    <col min="22" max="22" width="14.109375" bestFit="1" customWidth="1"/>
    <col min="23" max="23" width="16.44140625" bestFit="1" customWidth="1"/>
    <col min="24" max="24" width="14.109375" bestFit="1" customWidth="1"/>
    <col min="25" max="25" width="16.44140625" bestFit="1" customWidth="1"/>
    <col min="26" max="26" width="14.109375" bestFit="1" customWidth="1"/>
    <col min="27" max="27" width="16.44140625" bestFit="1" customWidth="1"/>
    <col min="28" max="28" width="14.109375" bestFit="1" customWidth="1"/>
    <col min="29" max="29" width="16.44140625" bestFit="1" customWidth="1"/>
    <col min="30" max="30" width="14.109375" bestFit="1" customWidth="1"/>
    <col min="31" max="31" width="16.44140625" bestFit="1" customWidth="1"/>
    <col min="32" max="32" width="14.109375" bestFit="1" customWidth="1"/>
    <col min="33" max="33" width="16.44140625" bestFit="1" customWidth="1"/>
    <col min="34" max="34" width="14.109375" bestFit="1" customWidth="1"/>
    <col min="35" max="35" width="16.44140625" bestFit="1" customWidth="1"/>
    <col min="36" max="36" width="14.109375" bestFit="1" customWidth="1"/>
    <col min="37" max="37" width="16.44140625" bestFit="1" customWidth="1"/>
    <col min="38" max="38" width="14.109375" bestFit="1" customWidth="1"/>
    <col min="39" max="39" width="16.44140625" bestFit="1" customWidth="1"/>
    <col min="40" max="40" width="14.109375" bestFit="1" customWidth="1"/>
    <col min="41" max="41" width="16.44140625" bestFit="1" customWidth="1"/>
    <col min="42" max="42" width="13.6640625" bestFit="1" customWidth="1"/>
    <col min="43" max="43" width="16.44140625" bestFit="1" customWidth="1"/>
    <col min="44" max="44" width="13.6640625" bestFit="1" customWidth="1"/>
    <col min="45" max="45" width="16.44140625" bestFit="1" customWidth="1"/>
    <col min="46" max="46" width="14.109375" bestFit="1" customWidth="1"/>
    <col min="47" max="47" width="16.44140625" bestFit="1" customWidth="1"/>
    <col min="48" max="48" width="14.109375" bestFit="1" customWidth="1"/>
    <col min="49" max="49" width="16.44140625" bestFit="1" customWidth="1"/>
    <col min="50" max="50" width="14.109375" bestFit="1" customWidth="1"/>
    <col min="51" max="51" width="16.44140625" bestFit="1" customWidth="1"/>
    <col min="52" max="52" width="18.109375" bestFit="1" customWidth="1"/>
    <col min="53" max="53" width="21.109375" bestFit="1" customWidth="1"/>
  </cols>
  <sheetData>
    <row r="1" spans="1:53">
      <c r="A1" s="16" t="s">
        <v>543</v>
      </c>
      <c r="B1" t="s">
        <v>781</v>
      </c>
    </row>
    <row r="3" spans="1:53">
      <c r="B3" s="16" t="s">
        <v>780</v>
      </c>
    </row>
    <row r="4" spans="1:53">
      <c r="B4">
        <v>2000</v>
      </c>
      <c r="D4">
        <v>2001</v>
      </c>
      <c r="F4">
        <v>2002</v>
      </c>
      <c r="H4">
        <v>2003</v>
      </c>
      <c r="J4">
        <v>2004</v>
      </c>
      <c r="L4">
        <v>2005</v>
      </c>
      <c r="N4">
        <v>2006</v>
      </c>
      <c r="P4">
        <v>2007</v>
      </c>
      <c r="R4">
        <v>2008</v>
      </c>
      <c r="T4">
        <v>2009</v>
      </c>
      <c r="V4">
        <v>2010</v>
      </c>
      <c r="X4">
        <v>2011</v>
      </c>
      <c r="Z4">
        <v>2012</v>
      </c>
      <c r="AB4">
        <v>2013</v>
      </c>
      <c r="AD4">
        <v>2014</v>
      </c>
      <c r="AF4">
        <v>2015</v>
      </c>
      <c r="AH4">
        <v>2016</v>
      </c>
      <c r="AJ4">
        <v>2017</v>
      </c>
      <c r="AL4">
        <v>2018</v>
      </c>
      <c r="AN4">
        <v>2019</v>
      </c>
      <c r="AP4">
        <v>2020</v>
      </c>
      <c r="AR4">
        <v>2021</v>
      </c>
      <c r="AT4">
        <v>2022</v>
      </c>
      <c r="AV4">
        <v>2023</v>
      </c>
      <c r="AX4">
        <v>2024</v>
      </c>
      <c r="AZ4" t="s">
        <v>782</v>
      </c>
      <c r="BA4" t="s">
        <v>783</v>
      </c>
    </row>
    <row r="5" spans="1:53">
      <c r="A5" s="16" t="s">
        <v>778</v>
      </c>
      <c r="B5" t="s">
        <v>772</v>
      </c>
      <c r="C5" t="s">
        <v>784</v>
      </c>
      <c r="D5" t="s">
        <v>772</v>
      </c>
      <c r="E5" t="s">
        <v>784</v>
      </c>
      <c r="F5" t="s">
        <v>772</v>
      </c>
      <c r="G5" t="s">
        <v>784</v>
      </c>
      <c r="H5" t="s">
        <v>772</v>
      </c>
      <c r="I5" t="s">
        <v>784</v>
      </c>
      <c r="J5" t="s">
        <v>772</v>
      </c>
      <c r="K5" t="s">
        <v>784</v>
      </c>
      <c r="L5" t="s">
        <v>772</v>
      </c>
      <c r="M5" t="s">
        <v>784</v>
      </c>
      <c r="N5" t="s">
        <v>772</v>
      </c>
      <c r="O5" t="s">
        <v>784</v>
      </c>
      <c r="P5" t="s">
        <v>772</v>
      </c>
      <c r="Q5" t="s">
        <v>784</v>
      </c>
      <c r="R5" t="s">
        <v>772</v>
      </c>
      <c r="S5" t="s">
        <v>784</v>
      </c>
      <c r="T5" t="s">
        <v>772</v>
      </c>
      <c r="U5" t="s">
        <v>784</v>
      </c>
      <c r="V5" t="s">
        <v>772</v>
      </c>
      <c r="W5" t="s">
        <v>784</v>
      </c>
      <c r="X5" t="s">
        <v>772</v>
      </c>
      <c r="Y5" t="s">
        <v>784</v>
      </c>
      <c r="Z5" t="s">
        <v>772</v>
      </c>
      <c r="AA5" t="s">
        <v>784</v>
      </c>
      <c r="AB5" t="s">
        <v>772</v>
      </c>
      <c r="AC5" t="s">
        <v>784</v>
      </c>
      <c r="AD5" t="s">
        <v>772</v>
      </c>
      <c r="AE5" t="s">
        <v>784</v>
      </c>
      <c r="AF5" t="s">
        <v>772</v>
      </c>
      <c r="AG5" t="s">
        <v>784</v>
      </c>
      <c r="AH5" t="s">
        <v>772</v>
      </c>
      <c r="AI5" t="s">
        <v>784</v>
      </c>
      <c r="AJ5" t="s">
        <v>772</v>
      </c>
      <c r="AK5" t="s">
        <v>784</v>
      </c>
      <c r="AL5" t="s">
        <v>772</v>
      </c>
      <c r="AM5" t="s">
        <v>784</v>
      </c>
      <c r="AN5" t="s">
        <v>772</v>
      </c>
      <c r="AO5" t="s">
        <v>784</v>
      </c>
      <c r="AP5" t="s">
        <v>772</v>
      </c>
      <c r="AQ5" t="s">
        <v>784</v>
      </c>
      <c r="AR5" t="s">
        <v>772</v>
      </c>
      <c r="AS5" t="s">
        <v>784</v>
      </c>
      <c r="AT5" t="s">
        <v>772</v>
      </c>
      <c r="AU5" t="s">
        <v>784</v>
      </c>
      <c r="AV5" t="s">
        <v>772</v>
      </c>
      <c r="AW5" t="s">
        <v>784</v>
      </c>
      <c r="AX5" t="s">
        <v>772</v>
      </c>
      <c r="AY5" t="s">
        <v>784</v>
      </c>
    </row>
    <row r="6" spans="1:53">
      <c r="A6" s="17" t="s">
        <v>199</v>
      </c>
      <c r="B6" s="4">
        <v>7742000000</v>
      </c>
      <c r="C6" s="4">
        <v>28808000000</v>
      </c>
      <c r="D6" s="4">
        <v>9033000000</v>
      </c>
      <c r="E6" s="4">
        <v>25279000000</v>
      </c>
      <c r="F6" s="4">
        <v>9266000000</v>
      </c>
      <c r="G6" s="4">
        <v>23212000000</v>
      </c>
      <c r="H6" s="4">
        <v>7991000000</v>
      </c>
      <c r="I6" s="4">
        <v>26887000000</v>
      </c>
      <c r="J6" s="4">
        <v>9505000000</v>
      </c>
      <c r="K6" s="4">
        <v>30663000000</v>
      </c>
      <c r="L6" s="4">
        <v>10137000000</v>
      </c>
      <c r="M6" s="4">
        <v>30527000000</v>
      </c>
      <c r="N6" s="4">
        <v>9311000000</v>
      </c>
      <c r="O6" s="4">
        <v>35683000000</v>
      </c>
      <c r="P6" s="4">
        <v>10509000000</v>
      </c>
      <c r="Q6" s="4">
        <v>39193000000</v>
      </c>
      <c r="R6" s="4">
        <v>9794000000</v>
      </c>
      <c r="S6" s="4">
        <v>34748000000</v>
      </c>
      <c r="T6" s="4">
        <v>9939000000</v>
      </c>
      <c r="U6" s="4">
        <v>34175000000</v>
      </c>
      <c r="V6" s="4">
        <v>10486000000</v>
      </c>
      <c r="W6" s="4">
        <v>34746000000</v>
      </c>
      <c r="X6" s="4">
        <v>15641000000</v>
      </c>
      <c r="Y6" s="4">
        <v>39193000000</v>
      </c>
      <c r="Z6" s="4">
        <v>14943000000</v>
      </c>
      <c r="AA6" s="4">
        <v>33821000000</v>
      </c>
      <c r="AB6" s="4">
        <v>14100000000</v>
      </c>
      <c r="AC6" s="4">
        <v>33816000000</v>
      </c>
      <c r="AD6" s="4">
        <v>13898000000</v>
      </c>
      <c r="AE6" s="4">
        <v>35108000000</v>
      </c>
      <c r="AF6" s="4">
        <v>12937000000</v>
      </c>
      <c r="AG6" s="4">
        <v>38779000000</v>
      </c>
      <c r="AH6" s="4">
        <v>14752000000</v>
      </c>
      <c r="AI6" s="4">
        <v>40272000000</v>
      </c>
      <c r="AJ6" s="4">
        <v>14665000000</v>
      </c>
      <c r="AK6" s="4">
        <v>42479000000</v>
      </c>
      <c r="AL6" s="4">
        <v>12502000000</v>
      </c>
      <c r="AM6" s="4">
        <v>37456000000</v>
      </c>
      <c r="AN6" s="4">
        <v>10140000000</v>
      </c>
      <c r="AO6" s="4">
        <v>38946000000</v>
      </c>
      <c r="AP6" s="4">
        <v>8858000000</v>
      </c>
      <c r="AQ6" s="4">
        <v>35850000000</v>
      </c>
      <c r="AR6" s="4">
        <v>8942000000</v>
      </c>
      <c r="AS6" s="4">
        <v>39802000000</v>
      </c>
      <c r="AT6" s="4">
        <v>10138000000</v>
      </c>
      <c r="AU6" s="4">
        <v>49484000000</v>
      </c>
      <c r="AV6" s="4">
        <v>10556000000</v>
      </c>
      <c r="AW6" s="4">
        <v>40174000000</v>
      </c>
      <c r="AX6" s="4">
        <v>10386000000</v>
      </c>
      <c r="AY6" s="4">
        <v>45516000000</v>
      </c>
      <c r="AZ6" s="4">
        <v>276171000000</v>
      </c>
      <c r="BA6" s="4">
        <v>894617000000</v>
      </c>
    </row>
    <row r="7" spans="1:53">
      <c r="A7" s="17" t="s">
        <v>281</v>
      </c>
      <c r="B7" s="4">
        <v>-489000000</v>
      </c>
      <c r="C7" s="4">
        <v>571000000</v>
      </c>
      <c r="D7" s="4">
        <v>-304000000</v>
      </c>
      <c r="E7" s="4">
        <v>410000000</v>
      </c>
      <c r="F7" s="4">
        <v>-706000000</v>
      </c>
      <c r="G7" s="4">
        <v>1006000000</v>
      </c>
      <c r="H7" s="4">
        <v>-434000000</v>
      </c>
      <c r="I7" s="4">
        <v>692000000</v>
      </c>
      <c r="J7" s="4">
        <v>-893000000</v>
      </c>
      <c r="K7" s="4">
        <v>977000000</v>
      </c>
      <c r="L7" s="4">
        <v>-642000000</v>
      </c>
      <c r="M7" s="4">
        <v>672000000</v>
      </c>
      <c r="N7" s="4">
        <v>-307000000</v>
      </c>
      <c r="O7" s="4">
        <v>343000000</v>
      </c>
      <c r="P7" s="4">
        <v>-272000000</v>
      </c>
      <c r="Q7" s="4">
        <v>302000000</v>
      </c>
      <c r="R7" s="4">
        <v>-812000000</v>
      </c>
      <c r="S7" s="4">
        <v>842000000</v>
      </c>
      <c r="T7" s="4">
        <v>-777000000</v>
      </c>
      <c r="U7" s="4">
        <v>889000000</v>
      </c>
      <c r="V7" s="4">
        <v>-1504000000</v>
      </c>
      <c r="W7" s="4">
        <v>1578000000</v>
      </c>
      <c r="X7" s="4">
        <v>-1990000000</v>
      </c>
      <c r="Y7" s="4">
        <v>1990000000</v>
      </c>
      <c r="Z7" s="4">
        <v>-1657000000</v>
      </c>
      <c r="AA7" s="4">
        <v>1657000000</v>
      </c>
      <c r="AB7" s="4">
        <v>-1215000000</v>
      </c>
      <c r="AC7" s="4">
        <v>1237000000</v>
      </c>
      <c r="AD7" s="4">
        <v>-576000000</v>
      </c>
      <c r="AE7" s="4">
        <v>578000000</v>
      </c>
      <c r="AF7" s="4">
        <v>-411000000</v>
      </c>
      <c r="AG7" s="4">
        <v>411000000</v>
      </c>
      <c r="AH7" s="4">
        <v>-492000000</v>
      </c>
      <c r="AI7" s="4">
        <v>500000000</v>
      </c>
      <c r="AJ7" s="4">
        <v>-485000000</v>
      </c>
      <c r="AK7" s="4">
        <v>485000000</v>
      </c>
      <c r="AL7" s="4">
        <v>-649000000</v>
      </c>
      <c r="AM7" s="4">
        <v>649000000</v>
      </c>
      <c r="AN7" s="4">
        <v>-670000000</v>
      </c>
      <c r="AO7" s="4">
        <v>670000000</v>
      </c>
      <c r="AP7" s="4">
        <v>-504000000</v>
      </c>
      <c r="AQ7" s="4">
        <v>504000000</v>
      </c>
      <c r="AR7" s="4">
        <v>-362000000</v>
      </c>
      <c r="AS7" s="4">
        <v>362000000</v>
      </c>
      <c r="AT7" s="4">
        <v>-283000000</v>
      </c>
      <c r="AU7" s="4">
        <v>283000000</v>
      </c>
      <c r="AV7" s="4">
        <v>-295000000</v>
      </c>
      <c r="AW7" s="4">
        <v>313000000</v>
      </c>
      <c r="AX7" s="4">
        <v>-10000000</v>
      </c>
      <c r="AY7" s="4">
        <v>432000000</v>
      </c>
      <c r="AZ7" s="4">
        <v>-16739000000</v>
      </c>
      <c r="BA7" s="4">
        <v>18353000000</v>
      </c>
    </row>
    <row r="8" spans="1:53">
      <c r="A8" s="17" t="s">
        <v>287</v>
      </c>
      <c r="B8" s="4">
        <v>-2764000000</v>
      </c>
      <c r="C8" s="4">
        <v>2816000000</v>
      </c>
      <c r="D8" s="4">
        <v>-3072000000</v>
      </c>
      <c r="E8" s="4">
        <v>3084000000</v>
      </c>
      <c r="F8" s="4">
        <v>-3829000000</v>
      </c>
      <c r="G8" s="4">
        <v>3947000000</v>
      </c>
      <c r="H8" s="4">
        <v>-4146000000</v>
      </c>
      <c r="I8" s="4">
        <v>4858000000</v>
      </c>
      <c r="J8" s="4">
        <v>-3607000000</v>
      </c>
      <c r="K8" s="4">
        <v>3941000000</v>
      </c>
      <c r="L8" s="4">
        <v>-2995000000</v>
      </c>
      <c r="M8" s="4">
        <v>3131000000</v>
      </c>
      <c r="N8" s="4">
        <v>-3523000000</v>
      </c>
      <c r="O8" s="4">
        <v>3647000000</v>
      </c>
      <c r="P8" s="4">
        <v>-4875000000</v>
      </c>
      <c r="Q8" s="4">
        <v>4957000000</v>
      </c>
      <c r="R8" s="4">
        <v>-4004000000</v>
      </c>
      <c r="S8" s="4">
        <v>4070000000</v>
      </c>
      <c r="T8" s="4">
        <v>-3774000000</v>
      </c>
      <c r="U8" s="4">
        <v>4326000000</v>
      </c>
      <c r="V8" s="4">
        <v>-6812000000</v>
      </c>
      <c r="W8" s="4">
        <v>7240000000</v>
      </c>
      <c r="X8" s="4">
        <v>-8267000000</v>
      </c>
      <c r="Y8" s="4">
        <v>8691000000</v>
      </c>
      <c r="Z8" s="4">
        <v>-8764000000</v>
      </c>
      <c r="AA8" s="4">
        <v>8764000000</v>
      </c>
      <c r="AB8" s="4">
        <v>-9697000000</v>
      </c>
      <c r="AC8" s="4">
        <v>9733000000</v>
      </c>
      <c r="AD8" s="4">
        <v>-6250000000</v>
      </c>
      <c r="AE8" s="4">
        <v>6344000000</v>
      </c>
      <c r="AF8" s="4">
        <v>-6492000000</v>
      </c>
      <c r="AG8" s="4">
        <v>6694000000</v>
      </c>
      <c r="AH8" s="4">
        <v>-6895000000</v>
      </c>
      <c r="AI8" s="4">
        <v>7141000000</v>
      </c>
      <c r="AJ8" s="4">
        <v>-7654000000</v>
      </c>
      <c r="AK8" s="4">
        <v>7782000000</v>
      </c>
      <c r="AL8" s="4">
        <v>-6201000000</v>
      </c>
      <c r="AM8" s="4">
        <v>6301000000</v>
      </c>
      <c r="AN8" s="4">
        <v>-6564000000</v>
      </c>
      <c r="AO8" s="4">
        <v>6622000000</v>
      </c>
      <c r="AP8" s="4">
        <v>-5383000000</v>
      </c>
      <c r="AQ8" s="4">
        <v>5689000000</v>
      </c>
      <c r="AR8" s="4">
        <v>-6862000000</v>
      </c>
      <c r="AS8" s="4">
        <v>7202000000</v>
      </c>
      <c r="AT8" s="4">
        <v>-6382000000</v>
      </c>
      <c r="AU8" s="4">
        <v>6530000000</v>
      </c>
      <c r="AV8" s="4">
        <v>-6191000000</v>
      </c>
      <c r="AW8" s="4">
        <v>6385000000</v>
      </c>
      <c r="AX8" s="4">
        <v>-3638000000</v>
      </c>
      <c r="AY8" s="4">
        <v>3962000000</v>
      </c>
      <c r="AZ8" s="4">
        <v>-138641000000</v>
      </c>
      <c r="BA8" s="4">
        <v>143857000000</v>
      </c>
    </row>
    <row r="9" spans="1:53">
      <c r="A9" s="17" t="s">
        <v>507</v>
      </c>
      <c r="B9" s="4">
        <v>-3860000000</v>
      </c>
      <c r="C9" s="4">
        <v>8186000000</v>
      </c>
      <c r="D9" s="4">
        <v>-5108000000</v>
      </c>
      <c r="E9" s="4">
        <v>7624000000</v>
      </c>
      <c r="F9" s="4">
        <v>-4444000000</v>
      </c>
      <c r="G9" s="4">
        <v>6876000000</v>
      </c>
      <c r="H9" s="4">
        <v>-3308000000</v>
      </c>
      <c r="I9" s="4">
        <v>5732000000</v>
      </c>
      <c r="J9" s="4">
        <v>-4702000000</v>
      </c>
      <c r="K9" s="4">
        <v>6640000000</v>
      </c>
      <c r="L9" s="4">
        <v>-5801000000</v>
      </c>
      <c r="M9" s="4">
        <v>7645000000</v>
      </c>
      <c r="N9" s="4">
        <v>-4849000000</v>
      </c>
      <c r="O9" s="4">
        <v>8741000000</v>
      </c>
      <c r="P9" s="4">
        <v>-5351000000</v>
      </c>
      <c r="Q9" s="4">
        <v>8561000000</v>
      </c>
      <c r="R9" s="4">
        <v>-4985000000</v>
      </c>
      <c r="S9" s="4">
        <v>8513000000</v>
      </c>
      <c r="T9" s="4">
        <v>-4924000000</v>
      </c>
      <c r="U9" s="4">
        <v>8988000000</v>
      </c>
      <c r="V9" s="4">
        <v>-2097000000</v>
      </c>
      <c r="W9" s="4">
        <v>7965000000</v>
      </c>
      <c r="X9" s="4">
        <v>-5216000000</v>
      </c>
      <c r="Y9" s="4">
        <v>9798000000</v>
      </c>
      <c r="Z9" s="4">
        <v>-4106000000</v>
      </c>
      <c r="AA9" s="4">
        <v>11184000000</v>
      </c>
      <c r="AB9" s="4">
        <v>-2545000000</v>
      </c>
      <c r="AC9" s="4">
        <v>9361000000</v>
      </c>
      <c r="AD9" s="4">
        <v>-5921000000</v>
      </c>
      <c r="AE9" s="4">
        <v>11023000000</v>
      </c>
      <c r="AF9" s="4">
        <v>-5462000000</v>
      </c>
      <c r="AG9" s="4">
        <v>10958000000</v>
      </c>
      <c r="AH9" s="4">
        <v>-7195000000</v>
      </c>
      <c r="AI9" s="4">
        <v>14847000000</v>
      </c>
      <c r="AJ9" s="4">
        <v>-5991000000</v>
      </c>
      <c r="AK9" s="4">
        <v>11263000000</v>
      </c>
      <c r="AL9" s="4">
        <v>-5502000000</v>
      </c>
      <c r="AM9" s="4">
        <v>10164000000</v>
      </c>
      <c r="AN9" s="4">
        <v>-2721000000</v>
      </c>
      <c r="AO9" s="4">
        <v>7621000000</v>
      </c>
      <c r="AP9" s="4">
        <v>-2173000000</v>
      </c>
      <c r="AQ9" s="4">
        <v>5259000000</v>
      </c>
      <c r="AR9" s="4">
        <v>-1348000000</v>
      </c>
      <c r="AS9" s="4">
        <v>6368000000</v>
      </c>
      <c r="AT9" s="4">
        <v>-3087000000</v>
      </c>
      <c r="AU9" s="4">
        <v>9831000000</v>
      </c>
      <c r="AV9" s="4">
        <v>-3975000000</v>
      </c>
      <c r="AW9" s="4">
        <v>11825000000</v>
      </c>
      <c r="AX9" s="4">
        <v>-6264000000</v>
      </c>
      <c r="AY9" s="4">
        <v>11012000000</v>
      </c>
      <c r="AZ9" s="4">
        <v>-110935000000</v>
      </c>
      <c r="BA9" s="4">
        <v>225985000000</v>
      </c>
    </row>
    <row r="10" spans="1:53">
      <c r="A10" s="17" t="s">
        <v>779</v>
      </c>
      <c r="B10" s="4">
        <v>629000000</v>
      </c>
      <c r="C10" s="4">
        <v>40381000000</v>
      </c>
      <c r="D10" s="4">
        <v>549000000</v>
      </c>
      <c r="E10" s="4">
        <v>36397000000</v>
      </c>
      <c r="F10" s="4">
        <v>287000000</v>
      </c>
      <c r="G10" s="4">
        <v>35041000000</v>
      </c>
      <c r="H10" s="4">
        <v>103000000</v>
      </c>
      <c r="I10" s="4">
        <v>38169000000</v>
      </c>
      <c r="J10" s="4">
        <v>303000000</v>
      </c>
      <c r="K10" s="4">
        <v>42221000000</v>
      </c>
      <c r="L10" s="4">
        <v>699000000</v>
      </c>
      <c r="M10" s="4">
        <v>41975000000</v>
      </c>
      <c r="N10" s="4">
        <v>632000000</v>
      </c>
      <c r="O10" s="4">
        <v>48414000000</v>
      </c>
      <c r="P10" s="4">
        <v>11000000</v>
      </c>
      <c r="Q10" s="4">
        <v>53013000000</v>
      </c>
      <c r="R10" s="4">
        <v>-7000000</v>
      </c>
      <c r="S10" s="4">
        <v>48173000000</v>
      </c>
      <c r="T10" s="4">
        <v>464000000</v>
      </c>
      <c r="U10" s="4">
        <v>48378000000</v>
      </c>
      <c r="V10" s="4">
        <v>73000000</v>
      </c>
      <c r="W10" s="4">
        <v>51529000000</v>
      </c>
      <c r="X10" s="4">
        <v>168000000</v>
      </c>
      <c r="Y10" s="4">
        <v>59672000000</v>
      </c>
      <c r="Z10" s="4">
        <v>416000000</v>
      </c>
      <c r="AA10" s="4">
        <v>55426000000</v>
      </c>
      <c r="AB10" s="4">
        <v>643000000</v>
      </c>
      <c r="AC10" s="4">
        <v>54147000000</v>
      </c>
      <c r="AD10" s="4">
        <v>1151000000</v>
      </c>
      <c r="AE10" s="4">
        <v>53053000000</v>
      </c>
      <c r="AF10" s="4">
        <v>572000000</v>
      </c>
      <c r="AG10" s="4">
        <v>56842000000</v>
      </c>
      <c r="AH10" s="4">
        <v>170000000</v>
      </c>
      <c r="AI10" s="4">
        <v>62760000000</v>
      </c>
      <c r="AJ10" s="4">
        <v>535000000</v>
      </c>
      <c r="AK10" s="4">
        <v>62009000000</v>
      </c>
      <c r="AL10" s="4">
        <v>150000000</v>
      </c>
      <c r="AM10" s="4">
        <v>54570000000</v>
      </c>
      <c r="AN10" s="4">
        <v>185000000</v>
      </c>
      <c r="AO10" s="4">
        <v>53859000000</v>
      </c>
      <c r="AP10" s="4">
        <v>798000000</v>
      </c>
      <c r="AQ10" s="4">
        <v>47302000000</v>
      </c>
      <c r="AR10" s="4">
        <v>370000000</v>
      </c>
      <c r="AS10" s="4">
        <v>53734000000</v>
      </c>
      <c r="AT10" s="4">
        <v>386000000</v>
      </c>
      <c r="AU10" s="4">
        <v>66128000000</v>
      </c>
      <c r="AV10" s="4">
        <v>95000000</v>
      </c>
      <c r="AW10" s="4">
        <v>58697000000</v>
      </c>
      <c r="AX10" s="4">
        <v>474000000</v>
      </c>
      <c r="AY10" s="4">
        <v>60922000000</v>
      </c>
      <c r="AZ10" s="4">
        <v>9856000000</v>
      </c>
      <c r="BA10" s="4">
        <v>1282812000000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58A4-096B-47F1-B911-5A1F638DF788}">
  <dimension ref="B2:E17"/>
  <sheetViews>
    <sheetView showGridLines="0" tabSelected="1" zoomScale="85" zoomScaleNormal="85" workbookViewId="0">
      <selection activeCell="E20" activeCellId="1" sqref="E9 E20"/>
    </sheetView>
  </sheetViews>
  <sheetFormatPr defaultRowHeight="14.4"/>
  <cols>
    <col min="2" max="2" width="57.33203125" bestFit="1" customWidth="1"/>
    <col min="3" max="3" width="20.5546875" bestFit="1" customWidth="1"/>
    <col min="4" max="4" width="30.44140625" bestFit="1" customWidth="1"/>
    <col min="5" max="5" width="61.33203125" bestFit="1" customWidth="1"/>
  </cols>
  <sheetData>
    <row r="2" spans="2:5">
      <c r="B2" s="6" t="s">
        <v>803</v>
      </c>
      <c r="C2" s="20"/>
      <c r="D2" s="20"/>
    </row>
    <row r="5" spans="2:5">
      <c r="B5" s="6" t="s">
        <v>804</v>
      </c>
      <c r="C5" s="6" t="s">
        <v>805</v>
      </c>
      <c r="D5" s="6" t="s">
        <v>6</v>
      </c>
      <c r="E5" s="6" t="s">
        <v>806</v>
      </c>
    </row>
    <row r="6" spans="2:5">
      <c r="B6" t="s">
        <v>807</v>
      </c>
      <c r="C6" t="s">
        <v>788</v>
      </c>
      <c r="D6" t="s">
        <v>542</v>
      </c>
      <c r="E6" s="23" t="str">
        <f>HYPERLINK("https://data.worldbank.org/indicator/MS.MIL.XPRT.KD", "World Bank: Arms Exports (TIV)")</f>
        <v>World Bank: Arms Exports (TIV)</v>
      </c>
    </row>
    <row r="7" spans="2:5">
      <c r="B7" t="s">
        <v>808</v>
      </c>
      <c r="C7" t="s">
        <v>788</v>
      </c>
      <c r="D7" t="s">
        <v>10</v>
      </c>
      <c r="E7" s="23" t="str">
        <f>HYPERLINK("https://data.worldbank.org/indicator/MS.MIL.MPRT.KD", "World Bank: Arms Imports (TIV)")</f>
        <v>World Bank: Arms Imports (TIV)</v>
      </c>
    </row>
    <row r="8" spans="2:5">
      <c r="B8" t="s">
        <v>809</v>
      </c>
      <c r="C8" t="s">
        <v>810</v>
      </c>
      <c r="D8" t="s">
        <v>811</v>
      </c>
      <c r="E8" s="23" t="str">
        <f>HYPERLINK("https://www.sipri.org/databases/armstransfers/sources-and-methods", "SIPRI: Sources &amp; Methods")</f>
        <v>SIPRI: Sources &amp; Methods</v>
      </c>
    </row>
    <row r="9" spans="2:5">
      <c r="B9" t="s">
        <v>812</v>
      </c>
      <c r="C9" t="s">
        <v>813</v>
      </c>
      <c r="D9" t="s">
        <v>814</v>
      </c>
      <c r="E9" s="23" t="str">
        <f>HYPERLINK("https://datahelpdesk.worldbank.org/knowledgebase/articles/906519", "World Bank: Classification Metadata")</f>
        <v>World Bank: Classification Metadata</v>
      </c>
    </row>
    <row r="17" spans="2:5">
      <c r="B17" s="24"/>
      <c r="C17" s="24"/>
      <c r="D17" s="24"/>
      <c r="E17" s="2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11589-9CC8-4D3E-A1B4-4422C24E54DA}">
  <dimension ref="A1:E266"/>
  <sheetViews>
    <sheetView zoomScale="70" zoomScaleNormal="70" workbookViewId="0">
      <selection activeCell="J4" sqref="J4"/>
    </sheetView>
  </sheetViews>
  <sheetFormatPr defaultRowHeight="14.4"/>
  <cols>
    <col min="4" max="4" width="255.77734375" bestFit="1" customWidth="1"/>
  </cols>
  <sheetData>
    <row r="1" spans="1:5">
      <c r="A1" t="s">
        <v>4</v>
      </c>
      <c r="B1" t="s">
        <v>543</v>
      </c>
      <c r="C1" t="s">
        <v>544</v>
      </c>
      <c r="D1" t="s">
        <v>545</v>
      </c>
      <c r="E1" t="s">
        <v>546</v>
      </c>
    </row>
    <row r="2" spans="1:5">
      <c r="A2" t="s">
        <v>8</v>
      </c>
      <c r="B2" t="s">
        <v>277</v>
      </c>
      <c r="C2" t="s">
        <v>199</v>
      </c>
      <c r="E2" t="s">
        <v>7</v>
      </c>
    </row>
    <row r="3" spans="1:5">
      <c r="A3" t="s">
        <v>12</v>
      </c>
      <c r="D3" t="s">
        <v>547</v>
      </c>
      <c r="E3" t="s">
        <v>11</v>
      </c>
    </row>
    <row r="4" spans="1:5" ht="409.6">
      <c r="A4" t="s">
        <v>14</v>
      </c>
      <c r="B4" t="s">
        <v>548</v>
      </c>
      <c r="C4" t="s">
        <v>281</v>
      </c>
      <c r="D4" s="2" t="s">
        <v>549</v>
      </c>
      <c r="E4" t="s">
        <v>13</v>
      </c>
    </row>
    <row r="5" spans="1:5">
      <c r="A5" t="s">
        <v>16</v>
      </c>
      <c r="D5" t="s">
        <v>550</v>
      </c>
      <c r="E5" t="s">
        <v>15</v>
      </c>
    </row>
    <row r="6" spans="1:5">
      <c r="A6" t="s">
        <v>18</v>
      </c>
      <c r="B6" t="s">
        <v>443</v>
      </c>
      <c r="C6" t="s">
        <v>287</v>
      </c>
      <c r="D6" t="s">
        <v>551</v>
      </c>
      <c r="E6" t="s">
        <v>17</v>
      </c>
    </row>
    <row r="7" spans="1:5">
      <c r="A7" t="s">
        <v>20</v>
      </c>
      <c r="B7" t="s">
        <v>139</v>
      </c>
      <c r="C7" t="s">
        <v>507</v>
      </c>
      <c r="E7" t="s">
        <v>19</v>
      </c>
    </row>
    <row r="8" spans="1:5">
      <c r="A8" t="s">
        <v>22</v>
      </c>
      <c r="B8" t="s">
        <v>139</v>
      </c>
      <c r="C8" t="s">
        <v>199</v>
      </c>
      <c r="E8" t="s">
        <v>21</v>
      </c>
    </row>
    <row r="9" spans="1:5">
      <c r="A9" t="s">
        <v>24</v>
      </c>
      <c r="D9" t="s">
        <v>552</v>
      </c>
      <c r="E9" t="s">
        <v>23</v>
      </c>
    </row>
    <row r="10" spans="1:5">
      <c r="A10" t="s">
        <v>26</v>
      </c>
      <c r="B10" t="s">
        <v>548</v>
      </c>
      <c r="C10" t="s">
        <v>199</v>
      </c>
      <c r="E10" t="s">
        <v>25</v>
      </c>
    </row>
    <row r="11" spans="1:5" ht="409.6">
      <c r="A11" t="s">
        <v>28</v>
      </c>
      <c r="B11" t="s">
        <v>277</v>
      </c>
      <c r="C11" t="s">
        <v>507</v>
      </c>
      <c r="D11" s="2" t="s">
        <v>553</v>
      </c>
      <c r="E11" t="s">
        <v>27</v>
      </c>
    </row>
    <row r="12" spans="1:5">
      <c r="A12" t="s">
        <v>30</v>
      </c>
      <c r="B12" t="s">
        <v>139</v>
      </c>
      <c r="C12" t="s">
        <v>507</v>
      </c>
      <c r="E12" t="s">
        <v>29</v>
      </c>
    </row>
    <row r="13" spans="1:5">
      <c r="A13" t="s">
        <v>32</v>
      </c>
      <c r="B13" t="s">
        <v>135</v>
      </c>
      <c r="C13" t="s">
        <v>199</v>
      </c>
      <c r="E13" t="s">
        <v>31</v>
      </c>
    </row>
    <row r="14" spans="1:5">
      <c r="A14" t="s">
        <v>34</v>
      </c>
      <c r="B14" t="s">
        <v>277</v>
      </c>
      <c r="C14" t="s">
        <v>199</v>
      </c>
      <c r="E14" t="s">
        <v>33</v>
      </c>
    </row>
    <row r="15" spans="1:5">
      <c r="A15" t="s">
        <v>36</v>
      </c>
      <c r="B15" t="s">
        <v>135</v>
      </c>
      <c r="C15" t="s">
        <v>199</v>
      </c>
      <c r="D15" t="s">
        <v>554</v>
      </c>
      <c r="E15" t="s">
        <v>35</v>
      </c>
    </row>
    <row r="16" spans="1:5">
      <c r="A16" t="s">
        <v>38</v>
      </c>
      <c r="B16" t="s">
        <v>139</v>
      </c>
      <c r="C16" t="s">
        <v>199</v>
      </c>
      <c r="D16" t="s">
        <v>555</v>
      </c>
      <c r="E16" t="s">
        <v>37</v>
      </c>
    </row>
    <row r="17" spans="1:5">
      <c r="A17" t="s">
        <v>40</v>
      </c>
      <c r="B17" t="s">
        <v>139</v>
      </c>
      <c r="C17" t="s">
        <v>507</v>
      </c>
      <c r="E17" t="s">
        <v>39</v>
      </c>
    </row>
    <row r="18" spans="1:5">
      <c r="A18" t="s">
        <v>42</v>
      </c>
      <c r="B18" t="s">
        <v>443</v>
      </c>
      <c r="C18" t="s">
        <v>281</v>
      </c>
      <c r="D18" t="s">
        <v>556</v>
      </c>
      <c r="E18" t="s">
        <v>41</v>
      </c>
    </row>
    <row r="19" spans="1:5">
      <c r="A19" t="s">
        <v>44</v>
      </c>
      <c r="B19" t="s">
        <v>139</v>
      </c>
      <c r="C19" t="s">
        <v>199</v>
      </c>
      <c r="D19" t="s">
        <v>557</v>
      </c>
      <c r="E19" t="s">
        <v>43</v>
      </c>
    </row>
    <row r="20" spans="1:5">
      <c r="A20" t="s">
        <v>46</v>
      </c>
      <c r="B20" t="s">
        <v>443</v>
      </c>
      <c r="C20" t="s">
        <v>287</v>
      </c>
      <c r="E20" t="s">
        <v>45</v>
      </c>
    </row>
    <row r="21" spans="1:5">
      <c r="A21" t="s">
        <v>48</v>
      </c>
      <c r="B21" t="s">
        <v>443</v>
      </c>
      <c r="C21" t="s">
        <v>281</v>
      </c>
      <c r="E21" t="s">
        <v>47</v>
      </c>
    </row>
    <row r="22" spans="1:5">
      <c r="A22" t="s">
        <v>50</v>
      </c>
      <c r="B22" t="s">
        <v>417</v>
      </c>
      <c r="C22" t="s">
        <v>287</v>
      </c>
      <c r="D22" t="s">
        <v>554</v>
      </c>
      <c r="E22" t="s">
        <v>49</v>
      </c>
    </row>
    <row r="23" spans="1:5">
      <c r="A23" t="s">
        <v>52</v>
      </c>
      <c r="B23" t="s">
        <v>139</v>
      </c>
      <c r="C23" t="s">
        <v>199</v>
      </c>
      <c r="D23" t="s">
        <v>558</v>
      </c>
      <c r="E23" t="s">
        <v>51</v>
      </c>
    </row>
    <row r="24" spans="1:5">
      <c r="A24" t="s">
        <v>54</v>
      </c>
      <c r="B24" t="s">
        <v>548</v>
      </c>
      <c r="C24" t="s">
        <v>199</v>
      </c>
      <c r="E24" t="s">
        <v>53</v>
      </c>
    </row>
    <row r="25" spans="1:5">
      <c r="A25" t="s">
        <v>56</v>
      </c>
      <c r="B25" t="s">
        <v>277</v>
      </c>
      <c r="C25" t="s">
        <v>199</v>
      </c>
      <c r="E25" t="s">
        <v>55</v>
      </c>
    </row>
    <row r="26" spans="1:5">
      <c r="A26" t="s">
        <v>58</v>
      </c>
      <c r="B26" t="s">
        <v>139</v>
      </c>
      <c r="C26" t="s">
        <v>507</v>
      </c>
      <c r="E26" t="s">
        <v>57</v>
      </c>
    </row>
    <row r="27" spans="1:5">
      <c r="A27" t="s">
        <v>60</v>
      </c>
      <c r="B27" t="s">
        <v>139</v>
      </c>
      <c r="C27" t="s">
        <v>507</v>
      </c>
      <c r="D27" t="s">
        <v>559</v>
      </c>
      <c r="E27" t="s">
        <v>59</v>
      </c>
    </row>
    <row r="28" spans="1:5">
      <c r="A28" t="s">
        <v>62</v>
      </c>
      <c r="B28" t="s">
        <v>277</v>
      </c>
      <c r="C28" t="s">
        <v>507</v>
      </c>
      <c r="E28" t="s">
        <v>61</v>
      </c>
    </row>
    <row r="29" spans="1:5">
      <c r="A29" t="s">
        <v>64</v>
      </c>
      <c r="B29" t="s">
        <v>349</v>
      </c>
      <c r="C29" t="s">
        <v>199</v>
      </c>
      <c r="E29" t="s">
        <v>63</v>
      </c>
    </row>
    <row r="30" spans="1:5">
      <c r="A30" t="s">
        <v>66</v>
      </c>
      <c r="B30" t="s">
        <v>277</v>
      </c>
      <c r="C30" t="s">
        <v>287</v>
      </c>
      <c r="E30" t="s">
        <v>65</v>
      </c>
    </row>
    <row r="31" spans="1:5">
      <c r="A31" t="s">
        <v>68</v>
      </c>
      <c r="B31" t="s">
        <v>277</v>
      </c>
      <c r="C31" t="s">
        <v>507</v>
      </c>
      <c r="E31" t="s">
        <v>67</v>
      </c>
    </row>
    <row r="32" spans="1:5">
      <c r="A32" t="s">
        <v>70</v>
      </c>
      <c r="B32" t="s">
        <v>277</v>
      </c>
      <c r="C32" t="s">
        <v>199</v>
      </c>
      <c r="E32" t="s">
        <v>69</v>
      </c>
    </row>
    <row r="33" spans="1:5">
      <c r="A33" t="s">
        <v>72</v>
      </c>
      <c r="B33" t="s">
        <v>135</v>
      </c>
      <c r="C33" t="s">
        <v>199</v>
      </c>
      <c r="E33" t="s">
        <v>71</v>
      </c>
    </row>
    <row r="34" spans="1:5">
      <c r="A34" t="s">
        <v>74</v>
      </c>
      <c r="B34" t="s">
        <v>417</v>
      </c>
      <c r="C34" t="s">
        <v>287</v>
      </c>
      <c r="E34" t="s">
        <v>73</v>
      </c>
    </row>
    <row r="35" spans="1:5">
      <c r="A35" t="s">
        <v>76</v>
      </c>
      <c r="B35" t="s">
        <v>443</v>
      </c>
      <c r="C35" t="s">
        <v>507</v>
      </c>
      <c r="E35" t="s">
        <v>75</v>
      </c>
    </row>
    <row r="36" spans="1:5">
      <c r="A36" t="s">
        <v>78</v>
      </c>
      <c r="B36" t="s">
        <v>443</v>
      </c>
      <c r="C36" t="s">
        <v>281</v>
      </c>
      <c r="E36" t="s">
        <v>77</v>
      </c>
    </row>
    <row r="37" spans="1:5">
      <c r="A37" t="s">
        <v>80</v>
      </c>
      <c r="B37" t="s">
        <v>349</v>
      </c>
      <c r="C37" t="s">
        <v>199</v>
      </c>
      <c r="D37" t="s">
        <v>560</v>
      </c>
      <c r="E37" t="s">
        <v>79</v>
      </c>
    </row>
    <row r="38" spans="1:5">
      <c r="A38" t="s">
        <v>82</v>
      </c>
      <c r="D38" t="s">
        <v>561</v>
      </c>
      <c r="E38" t="s">
        <v>81</v>
      </c>
    </row>
    <row r="39" spans="1:5">
      <c r="A39" t="s">
        <v>84</v>
      </c>
      <c r="B39" t="s">
        <v>139</v>
      </c>
      <c r="C39" t="s">
        <v>199</v>
      </c>
      <c r="E39" t="s">
        <v>83</v>
      </c>
    </row>
    <row r="40" spans="1:5">
      <c r="A40" t="s">
        <v>86</v>
      </c>
      <c r="B40" t="s">
        <v>139</v>
      </c>
      <c r="C40" t="s">
        <v>199</v>
      </c>
      <c r="E40" t="s">
        <v>85</v>
      </c>
    </row>
    <row r="41" spans="1:5">
      <c r="A41" t="s">
        <v>88</v>
      </c>
      <c r="B41" t="s">
        <v>277</v>
      </c>
      <c r="C41" t="s">
        <v>199</v>
      </c>
      <c r="E41" t="s">
        <v>87</v>
      </c>
    </row>
    <row r="42" spans="1:5" ht="409.6">
      <c r="A42" t="s">
        <v>90</v>
      </c>
      <c r="B42" t="s">
        <v>135</v>
      </c>
      <c r="C42" t="s">
        <v>507</v>
      </c>
      <c r="D42" s="2" t="s">
        <v>562</v>
      </c>
      <c r="E42" t="s">
        <v>89</v>
      </c>
    </row>
    <row r="43" spans="1:5">
      <c r="A43" t="s">
        <v>92</v>
      </c>
      <c r="B43" t="s">
        <v>443</v>
      </c>
      <c r="C43" t="s">
        <v>287</v>
      </c>
      <c r="E43" t="s">
        <v>563</v>
      </c>
    </row>
    <row r="44" spans="1:5">
      <c r="A44" t="s">
        <v>94</v>
      </c>
      <c r="B44" t="s">
        <v>443</v>
      </c>
      <c r="C44" t="s">
        <v>287</v>
      </c>
      <c r="E44" t="s">
        <v>93</v>
      </c>
    </row>
    <row r="45" spans="1:5">
      <c r="A45" t="s">
        <v>96</v>
      </c>
      <c r="B45" t="s">
        <v>443</v>
      </c>
      <c r="C45" t="s">
        <v>281</v>
      </c>
      <c r="D45" t="s">
        <v>564</v>
      </c>
      <c r="E45" t="s">
        <v>95</v>
      </c>
    </row>
    <row r="46" spans="1:5">
      <c r="A46" t="s">
        <v>98</v>
      </c>
      <c r="B46" t="s">
        <v>443</v>
      </c>
      <c r="C46" t="s">
        <v>287</v>
      </c>
      <c r="E46" t="s">
        <v>97</v>
      </c>
    </row>
    <row r="47" spans="1:5">
      <c r="A47" t="s">
        <v>100</v>
      </c>
      <c r="B47" t="s">
        <v>277</v>
      </c>
      <c r="C47" t="s">
        <v>507</v>
      </c>
      <c r="E47" t="s">
        <v>99</v>
      </c>
    </row>
    <row r="48" spans="1:5">
      <c r="A48" t="s">
        <v>102</v>
      </c>
      <c r="B48" t="s">
        <v>443</v>
      </c>
      <c r="C48" t="s">
        <v>287</v>
      </c>
      <c r="E48" t="s">
        <v>101</v>
      </c>
    </row>
    <row r="49" spans="1:5">
      <c r="A49" t="s">
        <v>104</v>
      </c>
      <c r="B49" t="s">
        <v>443</v>
      </c>
      <c r="C49" t="s">
        <v>507</v>
      </c>
      <c r="E49" t="s">
        <v>103</v>
      </c>
    </row>
    <row r="50" spans="1:5">
      <c r="A50" t="s">
        <v>106</v>
      </c>
      <c r="B50" t="s">
        <v>277</v>
      </c>
      <c r="C50" t="s">
        <v>199</v>
      </c>
      <c r="E50" t="s">
        <v>105</v>
      </c>
    </row>
    <row r="51" spans="1:5">
      <c r="A51" t="s">
        <v>108</v>
      </c>
      <c r="D51" t="s">
        <v>565</v>
      </c>
      <c r="E51" t="s">
        <v>107</v>
      </c>
    </row>
    <row r="52" spans="1:5">
      <c r="A52" t="s">
        <v>110</v>
      </c>
      <c r="B52" t="s">
        <v>277</v>
      </c>
      <c r="C52" t="s">
        <v>507</v>
      </c>
      <c r="E52" t="s">
        <v>109</v>
      </c>
    </row>
    <row r="53" spans="1:5">
      <c r="A53" t="s">
        <v>112</v>
      </c>
      <c r="B53" t="s">
        <v>277</v>
      </c>
      <c r="C53" t="s">
        <v>199</v>
      </c>
      <c r="E53" t="s">
        <v>566</v>
      </c>
    </row>
    <row r="54" spans="1:5">
      <c r="A54" t="s">
        <v>114</v>
      </c>
      <c r="B54" t="s">
        <v>277</v>
      </c>
      <c r="C54" t="s">
        <v>199</v>
      </c>
      <c r="E54" t="s">
        <v>113</v>
      </c>
    </row>
    <row r="55" spans="1:5">
      <c r="A55" t="s">
        <v>116</v>
      </c>
      <c r="B55" t="s">
        <v>139</v>
      </c>
      <c r="C55" t="s">
        <v>199</v>
      </c>
      <c r="D55" t="s">
        <v>567</v>
      </c>
      <c r="E55" t="s">
        <v>115</v>
      </c>
    </row>
    <row r="56" spans="1:5">
      <c r="A56" t="s">
        <v>118</v>
      </c>
      <c r="B56" t="s">
        <v>139</v>
      </c>
      <c r="C56" t="s">
        <v>199</v>
      </c>
      <c r="E56" t="s">
        <v>117</v>
      </c>
    </row>
    <row r="57" spans="1:5">
      <c r="A57" t="s">
        <v>120</v>
      </c>
      <c r="B57" t="s">
        <v>139</v>
      </c>
      <c r="C57" t="s">
        <v>199</v>
      </c>
      <c r="D57" t="s">
        <v>568</v>
      </c>
      <c r="E57" t="s">
        <v>119</v>
      </c>
    </row>
    <row r="58" spans="1:5">
      <c r="A58" t="s">
        <v>122</v>
      </c>
      <c r="B58" t="s">
        <v>548</v>
      </c>
      <c r="C58" t="s">
        <v>287</v>
      </c>
      <c r="E58" t="s">
        <v>121</v>
      </c>
    </row>
    <row r="59" spans="1:5">
      <c r="A59" t="s">
        <v>124</v>
      </c>
      <c r="B59" t="s">
        <v>277</v>
      </c>
      <c r="C59" t="s">
        <v>507</v>
      </c>
      <c r="E59" t="s">
        <v>123</v>
      </c>
    </row>
    <row r="60" spans="1:5">
      <c r="A60" t="s">
        <v>126</v>
      </c>
      <c r="B60" t="s">
        <v>139</v>
      </c>
      <c r="C60" t="s">
        <v>199</v>
      </c>
      <c r="E60" t="s">
        <v>125</v>
      </c>
    </row>
    <row r="61" spans="1:5">
      <c r="A61" t="s">
        <v>128</v>
      </c>
      <c r="B61" t="s">
        <v>277</v>
      </c>
      <c r="C61" t="s">
        <v>507</v>
      </c>
      <c r="E61" t="s">
        <v>127</v>
      </c>
    </row>
    <row r="62" spans="1:5">
      <c r="A62" t="s">
        <v>130</v>
      </c>
      <c r="B62" t="s">
        <v>548</v>
      </c>
      <c r="C62" t="s">
        <v>507</v>
      </c>
      <c r="E62" t="s">
        <v>129</v>
      </c>
    </row>
    <row r="63" spans="1:5">
      <c r="A63" t="s">
        <v>132</v>
      </c>
      <c r="E63" t="s">
        <v>131</v>
      </c>
    </row>
    <row r="64" spans="1:5">
      <c r="A64" t="s">
        <v>134</v>
      </c>
      <c r="D64" t="s">
        <v>569</v>
      </c>
      <c r="E64" t="s">
        <v>133</v>
      </c>
    </row>
    <row r="65" spans="1:5">
      <c r="A65" t="s">
        <v>136</v>
      </c>
      <c r="D65" t="s">
        <v>570</v>
      </c>
      <c r="E65" t="s">
        <v>135</v>
      </c>
    </row>
    <row r="66" spans="1:5">
      <c r="A66" t="s">
        <v>138</v>
      </c>
      <c r="E66" t="s">
        <v>137</v>
      </c>
    </row>
    <row r="67" spans="1:5">
      <c r="A67" t="s">
        <v>140</v>
      </c>
      <c r="D67" t="s">
        <v>571</v>
      </c>
      <c r="E67" t="s">
        <v>139</v>
      </c>
    </row>
    <row r="68" spans="1:5">
      <c r="A68" t="s">
        <v>142</v>
      </c>
      <c r="B68" t="s">
        <v>277</v>
      </c>
      <c r="C68" t="s">
        <v>507</v>
      </c>
      <c r="E68" t="s">
        <v>141</v>
      </c>
    </row>
    <row r="69" spans="1:5" ht="409.6">
      <c r="A69" t="s">
        <v>144</v>
      </c>
      <c r="B69" t="s">
        <v>548</v>
      </c>
      <c r="C69" t="s">
        <v>287</v>
      </c>
      <c r="D69" s="2" t="s">
        <v>572</v>
      </c>
      <c r="E69" t="s">
        <v>143</v>
      </c>
    </row>
    <row r="70" spans="1:5">
      <c r="A70" t="s">
        <v>146</v>
      </c>
      <c r="D70" t="s">
        <v>573</v>
      </c>
      <c r="E70" t="s">
        <v>145</v>
      </c>
    </row>
    <row r="71" spans="1:5">
      <c r="A71" t="s">
        <v>148</v>
      </c>
      <c r="B71" t="s">
        <v>443</v>
      </c>
      <c r="C71" t="s">
        <v>281</v>
      </c>
      <c r="D71" t="s">
        <v>574</v>
      </c>
      <c r="E71" t="s">
        <v>147</v>
      </c>
    </row>
    <row r="72" spans="1:5">
      <c r="A72" t="s">
        <v>150</v>
      </c>
      <c r="B72" t="s">
        <v>139</v>
      </c>
      <c r="C72" t="s">
        <v>199</v>
      </c>
      <c r="D72" t="s">
        <v>575</v>
      </c>
      <c r="E72" t="s">
        <v>149</v>
      </c>
    </row>
    <row r="73" spans="1:5">
      <c r="A73" t="s">
        <v>152</v>
      </c>
      <c r="B73" t="s">
        <v>139</v>
      </c>
      <c r="C73" t="s">
        <v>199</v>
      </c>
      <c r="D73" t="s">
        <v>576</v>
      </c>
      <c r="E73" t="s">
        <v>151</v>
      </c>
    </row>
    <row r="74" spans="1:5">
      <c r="A74" t="s">
        <v>154</v>
      </c>
      <c r="B74" t="s">
        <v>443</v>
      </c>
      <c r="C74" t="s">
        <v>281</v>
      </c>
      <c r="D74" t="s">
        <v>577</v>
      </c>
      <c r="E74" t="s">
        <v>153</v>
      </c>
    </row>
    <row r="75" spans="1:5">
      <c r="A75" t="s">
        <v>156</v>
      </c>
      <c r="D75" t="s">
        <v>578</v>
      </c>
      <c r="E75" t="s">
        <v>155</v>
      </c>
    </row>
    <row r="76" spans="1:5">
      <c r="A76" t="s">
        <v>158</v>
      </c>
      <c r="D76" t="s">
        <v>579</v>
      </c>
      <c r="E76" t="s">
        <v>157</v>
      </c>
    </row>
    <row r="77" spans="1:5">
      <c r="A77" t="s">
        <v>160</v>
      </c>
      <c r="B77" t="s">
        <v>139</v>
      </c>
      <c r="C77" t="s">
        <v>199</v>
      </c>
      <c r="D77" t="s">
        <v>580</v>
      </c>
      <c r="E77" t="s">
        <v>159</v>
      </c>
    </row>
    <row r="78" spans="1:5">
      <c r="A78" t="s">
        <v>162</v>
      </c>
      <c r="B78" t="s">
        <v>135</v>
      </c>
      <c r="C78" t="s">
        <v>507</v>
      </c>
      <c r="E78" t="s">
        <v>161</v>
      </c>
    </row>
    <row r="79" spans="1:5">
      <c r="A79" t="s">
        <v>164</v>
      </c>
      <c r="B79" t="s">
        <v>139</v>
      </c>
      <c r="C79" t="s">
        <v>199</v>
      </c>
      <c r="D79" t="s">
        <v>581</v>
      </c>
      <c r="E79" t="s">
        <v>163</v>
      </c>
    </row>
    <row r="80" spans="1:5">
      <c r="A80" t="s">
        <v>166</v>
      </c>
      <c r="B80" t="s">
        <v>139</v>
      </c>
      <c r="C80" t="s">
        <v>199</v>
      </c>
      <c r="E80" t="s">
        <v>165</v>
      </c>
    </row>
    <row r="81" spans="1:5">
      <c r="A81" t="s">
        <v>168</v>
      </c>
      <c r="B81" t="s">
        <v>135</v>
      </c>
      <c r="C81" t="s">
        <v>507</v>
      </c>
      <c r="D81" t="s">
        <v>582</v>
      </c>
      <c r="E81" t="s">
        <v>167</v>
      </c>
    </row>
    <row r="82" spans="1:5">
      <c r="A82" t="s">
        <v>170</v>
      </c>
      <c r="B82" t="s">
        <v>443</v>
      </c>
      <c r="C82" t="s">
        <v>507</v>
      </c>
      <c r="E82" t="s">
        <v>169</v>
      </c>
    </row>
    <row r="83" spans="1:5">
      <c r="A83" t="s">
        <v>172</v>
      </c>
      <c r="B83" t="s">
        <v>139</v>
      </c>
      <c r="C83" t="s">
        <v>199</v>
      </c>
      <c r="E83" t="s">
        <v>171</v>
      </c>
    </row>
    <row r="84" spans="1:5">
      <c r="A84" t="s">
        <v>174</v>
      </c>
      <c r="B84" t="s">
        <v>139</v>
      </c>
      <c r="C84" t="s">
        <v>507</v>
      </c>
      <c r="D84" t="s">
        <v>583</v>
      </c>
      <c r="E84" t="s">
        <v>173</v>
      </c>
    </row>
    <row r="85" spans="1:5">
      <c r="A85" t="s">
        <v>176</v>
      </c>
      <c r="B85" t="s">
        <v>443</v>
      </c>
      <c r="C85" t="s">
        <v>287</v>
      </c>
      <c r="D85" t="s">
        <v>584</v>
      </c>
      <c r="E85" t="s">
        <v>175</v>
      </c>
    </row>
    <row r="86" spans="1:5">
      <c r="A86" t="s">
        <v>178</v>
      </c>
      <c r="B86" t="s">
        <v>139</v>
      </c>
      <c r="C86" t="s">
        <v>199</v>
      </c>
      <c r="D86" t="s">
        <v>585</v>
      </c>
      <c r="E86" t="s">
        <v>177</v>
      </c>
    </row>
    <row r="87" spans="1:5">
      <c r="A87" t="s">
        <v>180</v>
      </c>
      <c r="B87" t="s">
        <v>443</v>
      </c>
      <c r="C87" t="s">
        <v>287</v>
      </c>
      <c r="E87" t="s">
        <v>179</v>
      </c>
    </row>
    <row r="88" spans="1:5">
      <c r="A88" t="s">
        <v>182</v>
      </c>
      <c r="B88" t="s">
        <v>443</v>
      </c>
      <c r="C88" t="s">
        <v>281</v>
      </c>
      <c r="E88" t="s">
        <v>181</v>
      </c>
    </row>
    <row r="89" spans="1:5">
      <c r="A89" t="s">
        <v>184</v>
      </c>
      <c r="B89" t="s">
        <v>443</v>
      </c>
      <c r="C89" t="s">
        <v>281</v>
      </c>
      <c r="E89" t="s">
        <v>183</v>
      </c>
    </row>
    <row r="90" spans="1:5">
      <c r="A90" t="s">
        <v>186</v>
      </c>
      <c r="B90" t="s">
        <v>443</v>
      </c>
      <c r="C90" t="s">
        <v>507</v>
      </c>
      <c r="E90" t="s">
        <v>185</v>
      </c>
    </row>
    <row r="91" spans="1:5">
      <c r="A91" t="s">
        <v>188</v>
      </c>
      <c r="B91" t="s">
        <v>139</v>
      </c>
      <c r="C91" t="s">
        <v>199</v>
      </c>
      <c r="D91" t="s">
        <v>586</v>
      </c>
      <c r="E91" t="s">
        <v>187</v>
      </c>
    </row>
    <row r="92" spans="1:5">
      <c r="A92" t="s">
        <v>190</v>
      </c>
      <c r="B92" t="s">
        <v>277</v>
      </c>
      <c r="C92" t="s">
        <v>507</v>
      </c>
      <c r="E92" t="s">
        <v>189</v>
      </c>
    </row>
    <row r="93" spans="1:5">
      <c r="A93" t="s">
        <v>192</v>
      </c>
      <c r="B93" t="s">
        <v>139</v>
      </c>
      <c r="C93" t="s">
        <v>199</v>
      </c>
      <c r="E93" t="s">
        <v>191</v>
      </c>
    </row>
    <row r="94" spans="1:5">
      <c r="A94" t="s">
        <v>194</v>
      </c>
      <c r="B94" t="s">
        <v>277</v>
      </c>
      <c r="C94" t="s">
        <v>507</v>
      </c>
      <c r="D94" t="s">
        <v>587</v>
      </c>
      <c r="E94" t="s">
        <v>193</v>
      </c>
    </row>
    <row r="95" spans="1:5">
      <c r="A95" t="s">
        <v>196</v>
      </c>
      <c r="B95" t="s">
        <v>135</v>
      </c>
      <c r="C95" t="s">
        <v>199</v>
      </c>
      <c r="E95" t="s">
        <v>195</v>
      </c>
    </row>
    <row r="96" spans="1:5">
      <c r="A96" t="s">
        <v>198</v>
      </c>
      <c r="B96" t="s">
        <v>277</v>
      </c>
      <c r="C96" t="s">
        <v>199</v>
      </c>
      <c r="E96" t="s">
        <v>197</v>
      </c>
    </row>
    <row r="97" spans="1:5" ht="409.6">
      <c r="A97" t="s">
        <v>200</v>
      </c>
      <c r="D97" s="2" t="s">
        <v>588</v>
      </c>
      <c r="E97" t="s">
        <v>199</v>
      </c>
    </row>
    <row r="98" spans="1:5">
      <c r="A98" t="s">
        <v>202</v>
      </c>
      <c r="B98" t="s">
        <v>135</v>
      </c>
      <c r="C98" t="s">
        <v>199</v>
      </c>
      <c r="D98" t="s">
        <v>589</v>
      </c>
      <c r="E98" t="s">
        <v>201</v>
      </c>
    </row>
    <row r="99" spans="1:5">
      <c r="A99" t="s">
        <v>204</v>
      </c>
      <c r="B99" t="s">
        <v>277</v>
      </c>
      <c r="C99" t="s">
        <v>287</v>
      </c>
      <c r="D99" t="s">
        <v>590</v>
      </c>
      <c r="E99" t="s">
        <v>203</v>
      </c>
    </row>
    <row r="100" spans="1:5">
      <c r="A100" t="s">
        <v>206</v>
      </c>
      <c r="D100" t="s">
        <v>591</v>
      </c>
      <c r="E100" t="s">
        <v>205</v>
      </c>
    </row>
    <row r="101" spans="1:5">
      <c r="A101" t="s">
        <v>208</v>
      </c>
      <c r="B101" t="s">
        <v>139</v>
      </c>
      <c r="C101" t="s">
        <v>199</v>
      </c>
      <c r="D101" t="s">
        <v>592</v>
      </c>
      <c r="E101" t="s">
        <v>207</v>
      </c>
    </row>
    <row r="102" spans="1:5">
      <c r="A102" t="s">
        <v>210</v>
      </c>
      <c r="B102" t="s">
        <v>277</v>
      </c>
      <c r="C102" t="s">
        <v>287</v>
      </c>
      <c r="D102" t="s">
        <v>593</v>
      </c>
      <c r="E102" t="s">
        <v>209</v>
      </c>
    </row>
    <row r="103" spans="1:5">
      <c r="A103" t="s">
        <v>212</v>
      </c>
      <c r="B103" t="s">
        <v>139</v>
      </c>
      <c r="C103" t="s">
        <v>199</v>
      </c>
      <c r="E103" t="s">
        <v>211</v>
      </c>
    </row>
    <row r="104" spans="1:5">
      <c r="A104" t="s">
        <v>214</v>
      </c>
      <c r="D104" t="s">
        <v>594</v>
      </c>
      <c r="E104" t="s">
        <v>213</v>
      </c>
    </row>
    <row r="105" spans="1:5">
      <c r="A105" t="s">
        <v>216</v>
      </c>
      <c r="D105" t="s">
        <v>595</v>
      </c>
      <c r="E105" t="s">
        <v>215</v>
      </c>
    </row>
    <row r="106" spans="1:5">
      <c r="A106" t="s">
        <v>218</v>
      </c>
      <c r="D106" t="s">
        <v>596</v>
      </c>
      <c r="E106" t="s">
        <v>217</v>
      </c>
    </row>
    <row r="107" spans="1:5">
      <c r="A107" t="s">
        <v>220</v>
      </c>
      <c r="D107" t="s">
        <v>597</v>
      </c>
      <c r="E107" t="s">
        <v>219</v>
      </c>
    </row>
    <row r="108" spans="1:5">
      <c r="A108" t="s">
        <v>222</v>
      </c>
      <c r="B108" t="s">
        <v>135</v>
      </c>
      <c r="C108" t="s">
        <v>507</v>
      </c>
      <c r="D108" t="s">
        <v>598</v>
      </c>
      <c r="E108" t="s">
        <v>221</v>
      </c>
    </row>
    <row r="109" spans="1:5">
      <c r="A109" t="s">
        <v>224</v>
      </c>
      <c r="D109" t="s">
        <v>599</v>
      </c>
      <c r="E109" t="s">
        <v>223</v>
      </c>
    </row>
    <row r="110" spans="1:5">
      <c r="A110" t="s">
        <v>226</v>
      </c>
      <c r="B110" t="s">
        <v>139</v>
      </c>
      <c r="C110" t="s">
        <v>199</v>
      </c>
      <c r="D110" t="s">
        <v>600</v>
      </c>
      <c r="E110" t="s">
        <v>225</v>
      </c>
    </row>
    <row r="111" spans="1:5">
      <c r="A111" t="s">
        <v>228</v>
      </c>
      <c r="B111" t="s">
        <v>417</v>
      </c>
      <c r="C111" t="s">
        <v>287</v>
      </c>
      <c r="D111" t="s">
        <v>601</v>
      </c>
      <c r="E111" t="s">
        <v>227</v>
      </c>
    </row>
    <row r="112" spans="1:5">
      <c r="A112" t="s">
        <v>232</v>
      </c>
      <c r="B112" t="s">
        <v>139</v>
      </c>
      <c r="C112" t="s">
        <v>199</v>
      </c>
      <c r="D112" t="s">
        <v>602</v>
      </c>
      <c r="E112" t="s">
        <v>231</v>
      </c>
    </row>
    <row r="113" spans="1:5">
      <c r="A113" t="s">
        <v>234</v>
      </c>
      <c r="B113" t="s">
        <v>548</v>
      </c>
      <c r="C113" t="s">
        <v>507</v>
      </c>
      <c r="D113" t="s">
        <v>603</v>
      </c>
      <c r="E113" t="s">
        <v>233</v>
      </c>
    </row>
    <row r="114" spans="1:5">
      <c r="A114" t="s">
        <v>236</v>
      </c>
      <c r="B114" t="s">
        <v>548</v>
      </c>
      <c r="C114" t="s">
        <v>507</v>
      </c>
      <c r="E114" t="s">
        <v>235</v>
      </c>
    </row>
    <row r="115" spans="1:5">
      <c r="A115" t="s">
        <v>238</v>
      </c>
      <c r="B115" t="s">
        <v>139</v>
      </c>
      <c r="C115" t="s">
        <v>199</v>
      </c>
      <c r="E115" t="s">
        <v>237</v>
      </c>
    </row>
    <row r="116" spans="1:5">
      <c r="A116" t="s">
        <v>240</v>
      </c>
      <c r="B116" t="s">
        <v>548</v>
      </c>
      <c r="C116" t="s">
        <v>199</v>
      </c>
      <c r="E116" t="s">
        <v>239</v>
      </c>
    </row>
    <row r="117" spans="1:5">
      <c r="A117" t="s">
        <v>242</v>
      </c>
      <c r="B117" t="s">
        <v>139</v>
      </c>
      <c r="C117" t="s">
        <v>199</v>
      </c>
      <c r="D117" t="s">
        <v>604</v>
      </c>
      <c r="E117" t="s">
        <v>241</v>
      </c>
    </row>
    <row r="118" spans="1:5">
      <c r="A118" t="s">
        <v>244</v>
      </c>
      <c r="B118" t="s">
        <v>277</v>
      </c>
      <c r="C118" t="s">
        <v>507</v>
      </c>
      <c r="E118" t="s">
        <v>243</v>
      </c>
    </row>
    <row r="119" spans="1:5">
      <c r="A119" t="s">
        <v>246</v>
      </c>
      <c r="B119" t="s">
        <v>548</v>
      </c>
      <c r="C119" t="s">
        <v>507</v>
      </c>
      <c r="E119" t="s">
        <v>245</v>
      </c>
    </row>
    <row r="120" spans="1:5">
      <c r="A120" t="s">
        <v>248</v>
      </c>
      <c r="B120" t="s">
        <v>135</v>
      </c>
      <c r="C120" t="s">
        <v>199</v>
      </c>
      <c r="D120" t="s">
        <v>560</v>
      </c>
      <c r="E120" t="s">
        <v>247</v>
      </c>
    </row>
    <row r="121" spans="1:5">
      <c r="A121" t="s">
        <v>250</v>
      </c>
      <c r="B121" t="s">
        <v>139</v>
      </c>
      <c r="C121" t="s">
        <v>507</v>
      </c>
      <c r="E121" t="s">
        <v>249</v>
      </c>
    </row>
    <row r="122" spans="1:5">
      <c r="A122" t="s">
        <v>252</v>
      </c>
      <c r="B122" t="s">
        <v>443</v>
      </c>
      <c r="C122" t="s">
        <v>287</v>
      </c>
      <c r="D122" t="s">
        <v>605</v>
      </c>
      <c r="E122" t="s">
        <v>251</v>
      </c>
    </row>
    <row r="123" spans="1:5">
      <c r="A123" t="s">
        <v>254</v>
      </c>
      <c r="B123" t="s">
        <v>139</v>
      </c>
      <c r="C123" t="s">
        <v>287</v>
      </c>
      <c r="E123" t="s">
        <v>253</v>
      </c>
    </row>
    <row r="124" spans="1:5">
      <c r="A124" t="s">
        <v>256</v>
      </c>
      <c r="B124" t="s">
        <v>135</v>
      </c>
      <c r="C124" t="s">
        <v>287</v>
      </c>
      <c r="D124" t="s">
        <v>606</v>
      </c>
      <c r="E124" t="s">
        <v>255</v>
      </c>
    </row>
    <row r="125" spans="1:5">
      <c r="A125" t="s">
        <v>258</v>
      </c>
      <c r="B125" t="s">
        <v>135</v>
      </c>
      <c r="C125" t="s">
        <v>287</v>
      </c>
      <c r="E125" t="s">
        <v>257</v>
      </c>
    </row>
    <row r="126" spans="1:5">
      <c r="A126" t="s">
        <v>260</v>
      </c>
      <c r="B126" t="s">
        <v>277</v>
      </c>
      <c r="C126" t="s">
        <v>199</v>
      </c>
      <c r="E126" t="s">
        <v>259</v>
      </c>
    </row>
    <row r="127" spans="1:5">
      <c r="A127" t="s">
        <v>262</v>
      </c>
      <c r="B127" t="s">
        <v>135</v>
      </c>
      <c r="C127" t="s">
        <v>199</v>
      </c>
      <c r="E127" t="s">
        <v>261</v>
      </c>
    </row>
    <row r="128" spans="1:5">
      <c r="A128" t="s">
        <v>264</v>
      </c>
      <c r="B128" t="s">
        <v>548</v>
      </c>
      <c r="C128" t="s">
        <v>199</v>
      </c>
      <c r="E128" t="s">
        <v>263</v>
      </c>
    </row>
    <row r="129" spans="1:5">
      <c r="A129" t="s">
        <v>266</v>
      </c>
      <c r="E129" t="s">
        <v>265</v>
      </c>
    </row>
    <row r="130" spans="1:5">
      <c r="A130" t="s">
        <v>268</v>
      </c>
      <c r="B130" t="s">
        <v>135</v>
      </c>
      <c r="C130" t="s">
        <v>287</v>
      </c>
      <c r="D130" t="s">
        <v>607</v>
      </c>
      <c r="E130" t="s">
        <v>267</v>
      </c>
    </row>
    <row r="131" spans="1:5">
      <c r="A131" t="s">
        <v>270</v>
      </c>
      <c r="B131" t="s">
        <v>548</v>
      </c>
      <c r="C131" t="s">
        <v>287</v>
      </c>
      <c r="D131" t="s">
        <v>608</v>
      </c>
      <c r="E131" t="s">
        <v>269</v>
      </c>
    </row>
    <row r="132" spans="1:5">
      <c r="A132" t="s">
        <v>272</v>
      </c>
      <c r="B132" t="s">
        <v>443</v>
      </c>
      <c r="C132" t="s">
        <v>281</v>
      </c>
      <c r="D132" t="s">
        <v>609</v>
      </c>
      <c r="E132" t="s">
        <v>271</v>
      </c>
    </row>
    <row r="133" spans="1:5">
      <c r="A133" t="s">
        <v>274</v>
      </c>
      <c r="B133" t="s">
        <v>548</v>
      </c>
      <c r="C133" t="s">
        <v>507</v>
      </c>
      <c r="E133" t="s">
        <v>273</v>
      </c>
    </row>
    <row r="134" spans="1:5">
      <c r="A134" t="s">
        <v>276</v>
      </c>
      <c r="B134" t="s">
        <v>277</v>
      </c>
      <c r="C134" t="s">
        <v>507</v>
      </c>
      <c r="E134" t="s">
        <v>275</v>
      </c>
    </row>
    <row r="135" spans="1:5">
      <c r="A135" t="s">
        <v>278</v>
      </c>
      <c r="E135" t="s">
        <v>277</v>
      </c>
    </row>
    <row r="136" spans="1:5">
      <c r="A136" t="s">
        <v>280</v>
      </c>
      <c r="E136" t="s">
        <v>279</v>
      </c>
    </row>
    <row r="137" spans="1:5" ht="409.6">
      <c r="A137" t="s">
        <v>282</v>
      </c>
      <c r="D137" s="2" t="s">
        <v>588</v>
      </c>
      <c r="E137" t="s">
        <v>281</v>
      </c>
    </row>
    <row r="138" spans="1:5">
      <c r="A138" t="s">
        <v>284</v>
      </c>
      <c r="B138" t="s">
        <v>139</v>
      </c>
      <c r="C138" t="s">
        <v>199</v>
      </c>
      <c r="E138" t="s">
        <v>283</v>
      </c>
    </row>
    <row r="139" spans="1:5">
      <c r="A139" t="s">
        <v>286</v>
      </c>
      <c r="B139" t="s">
        <v>417</v>
      </c>
      <c r="C139" t="s">
        <v>507</v>
      </c>
      <c r="E139" t="s">
        <v>285</v>
      </c>
    </row>
    <row r="140" spans="1:5" ht="409.6">
      <c r="A140" t="s">
        <v>288</v>
      </c>
      <c r="D140" s="2" t="s">
        <v>588</v>
      </c>
      <c r="E140" t="s">
        <v>287</v>
      </c>
    </row>
    <row r="141" spans="1:5" ht="409.6">
      <c r="A141" t="s">
        <v>290</v>
      </c>
      <c r="D141" s="2" t="s">
        <v>588</v>
      </c>
      <c r="E141" t="s">
        <v>289</v>
      </c>
    </row>
    <row r="142" spans="1:5">
      <c r="A142" t="s">
        <v>292</v>
      </c>
      <c r="B142" t="s">
        <v>443</v>
      </c>
      <c r="C142" t="s">
        <v>287</v>
      </c>
      <c r="D142" t="s">
        <v>560</v>
      </c>
      <c r="E142" t="s">
        <v>291</v>
      </c>
    </row>
    <row r="143" spans="1:5">
      <c r="A143" t="s">
        <v>294</v>
      </c>
      <c r="D143" t="s">
        <v>610</v>
      </c>
      <c r="E143" t="s">
        <v>293</v>
      </c>
    </row>
    <row r="144" spans="1:5">
      <c r="A144" t="s">
        <v>296</v>
      </c>
      <c r="B144" t="s">
        <v>139</v>
      </c>
      <c r="C144" t="s">
        <v>199</v>
      </c>
      <c r="D144" t="s">
        <v>611</v>
      </c>
      <c r="E144" t="s">
        <v>295</v>
      </c>
    </row>
    <row r="145" spans="1:5">
      <c r="A145" t="s">
        <v>298</v>
      </c>
      <c r="B145" t="s">
        <v>139</v>
      </c>
      <c r="C145" t="s">
        <v>199</v>
      </c>
      <c r="D145" t="s">
        <v>612</v>
      </c>
      <c r="E145" t="s">
        <v>297</v>
      </c>
    </row>
    <row r="146" spans="1:5">
      <c r="A146" t="s">
        <v>300</v>
      </c>
      <c r="B146" t="s">
        <v>139</v>
      </c>
      <c r="C146" t="s">
        <v>199</v>
      </c>
      <c r="D146" t="s">
        <v>613</v>
      </c>
      <c r="E146" t="s">
        <v>299</v>
      </c>
    </row>
    <row r="147" spans="1:5">
      <c r="A147" t="s">
        <v>302</v>
      </c>
      <c r="B147" t="s">
        <v>135</v>
      </c>
      <c r="C147" t="s">
        <v>199</v>
      </c>
      <c r="D147" t="s">
        <v>614</v>
      </c>
      <c r="E147" t="s">
        <v>301</v>
      </c>
    </row>
    <row r="148" spans="1:5">
      <c r="A148" t="s">
        <v>304</v>
      </c>
      <c r="B148" t="s">
        <v>277</v>
      </c>
      <c r="C148" t="s">
        <v>199</v>
      </c>
      <c r="E148" t="s">
        <v>303</v>
      </c>
    </row>
    <row r="149" spans="1:5">
      <c r="A149" t="s">
        <v>306</v>
      </c>
      <c r="B149" t="s">
        <v>548</v>
      </c>
      <c r="C149" t="s">
        <v>287</v>
      </c>
      <c r="E149" t="s">
        <v>305</v>
      </c>
    </row>
    <row r="150" spans="1:5">
      <c r="A150" t="s">
        <v>308</v>
      </c>
      <c r="B150" t="s">
        <v>139</v>
      </c>
      <c r="C150" t="s">
        <v>199</v>
      </c>
      <c r="E150" t="s">
        <v>307</v>
      </c>
    </row>
    <row r="151" spans="1:5">
      <c r="A151" t="s">
        <v>310</v>
      </c>
      <c r="B151" t="s">
        <v>139</v>
      </c>
      <c r="C151" t="s">
        <v>507</v>
      </c>
      <c r="D151" t="s">
        <v>615</v>
      </c>
      <c r="E151" t="s">
        <v>309</v>
      </c>
    </row>
    <row r="152" spans="1:5">
      <c r="A152" t="s">
        <v>312</v>
      </c>
      <c r="B152" t="s">
        <v>443</v>
      </c>
      <c r="C152" t="s">
        <v>281</v>
      </c>
      <c r="E152" t="s">
        <v>311</v>
      </c>
    </row>
    <row r="153" spans="1:5">
      <c r="A153" t="s">
        <v>314</v>
      </c>
      <c r="B153" t="s">
        <v>417</v>
      </c>
      <c r="C153" t="s">
        <v>507</v>
      </c>
      <c r="E153" t="s">
        <v>313</v>
      </c>
    </row>
    <row r="154" spans="1:5">
      <c r="A154" t="s">
        <v>316</v>
      </c>
      <c r="D154" t="s">
        <v>616</v>
      </c>
      <c r="E154" t="s">
        <v>315</v>
      </c>
    </row>
    <row r="155" spans="1:5">
      <c r="A155" t="s">
        <v>318</v>
      </c>
      <c r="B155" t="s">
        <v>277</v>
      </c>
      <c r="C155" t="s">
        <v>507</v>
      </c>
      <c r="E155" t="s">
        <v>317</v>
      </c>
    </row>
    <row r="156" spans="1:5">
      <c r="A156" t="s">
        <v>320</v>
      </c>
      <c r="B156" t="s">
        <v>135</v>
      </c>
      <c r="C156" t="s">
        <v>507</v>
      </c>
      <c r="D156" t="s">
        <v>617</v>
      </c>
      <c r="E156" t="s">
        <v>319</v>
      </c>
    </row>
    <row r="157" spans="1:5" ht="409.6">
      <c r="A157" t="s">
        <v>322</v>
      </c>
      <c r="D157" s="2" t="s">
        <v>588</v>
      </c>
      <c r="E157" t="s">
        <v>321</v>
      </c>
    </row>
    <row r="158" spans="1:5">
      <c r="A158" t="s">
        <v>324</v>
      </c>
      <c r="B158" t="s">
        <v>139</v>
      </c>
      <c r="C158" t="s">
        <v>507</v>
      </c>
      <c r="E158" t="s">
        <v>323</v>
      </c>
    </row>
    <row r="159" spans="1:5">
      <c r="A159" t="s">
        <v>326</v>
      </c>
      <c r="B159" t="s">
        <v>443</v>
      </c>
      <c r="C159" t="s">
        <v>281</v>
      </c>
      <c r="E159" t="s">
        <v>325</v>
      </c>
    </row>
    <row r="160" spans="1:5">
      <c r="A160" t="s">
        <v>328</v>
      </c>
      <c r="B160" t="s">
        <v>548</v>
      </c>
      <c r="C160" t="s">
        <v>199</v>
      </c>
      <c r="D160" t="s">
        <v>618</v>
      </c>
      <c r="E160" t="s">
        <v>327</v>
      </c>
    </row>
    <row r="161" spans="1:5" ht="409.6">
      <c r="A161" t="s">
        <v>330</v>
      </c>
      <c r="B161" t="s">
        <v>135</v>
      </c>
      <c r="C161" t="s">
        <v>287</v>
      </c>
      <c r="D161" s="2" t="s">
        <v>619</v>
      </c>
      <c r="E161" t="s">
        <v>329</v>
      </c>
    </row>
    <row r="162" spans="1:5">
      <c r="A162" t="s">
        <v>332</v>
      </c>
      <c r="D162" t="s">
        <v>620</v>
      </c>
      <c r="E162" t="s">
        <v>331</v>
      </c>
    </row>
    <row r="163" spans="1:5">
      <c r="A163" t="s">
        <v>334</v>
      </c>
      <c r="B163" t="s">
        <v>139</v>
      </c>
      <c r="C163" t="s">
        <v>507</v>
      </c>
      <c r="D163" t="s">
        <v>621</v>
      </c>
      <c r="E163" t="s">
        <v>333</v>
      </c>
    </row>
    <row r="164" spans="1:5">
      <c r="A164" t="s">
        <v>336</v>
      </c>
      <c r="B164" t="s">
        <v>135</v>
      </c>
      <c r="C164" t="s">
        <v>507</v>
      </c>
      <c r="D164" t="s">
        <v>622</v>
      </c>
      <c r="E164" t="s">
        <v>335</v>
      </c>
    </row>
    <row r="165" spans="1:5">
      <c r="A165" t="s">
        <v>338</v>
      </c>
      <c r="B165" t="s">
        <v>135</v>
      </c>
      <c r="C165" t="s">
        <v>199</v>
      </c>
      <c r="E165" t="s">
        <v>337</v>
      </c>
    </row>
    <row r="166" spans="1:5">
      <c r="A166" t="s">
        <v>340</v>
      </c>
      <c r="B166" t="s">
        <v>443</v>
      </c>
      <c r="C166" t="s">
        <v>281</v>
      </c>
      <c r="E166" t="s">
        <v>339</v>
      </c>
    </row>
    <row r="167" spans="1:5">
      <c r="A167" t="s">
        <v>342</v>
      </c>
      <c r="B167" t="s">
        <v>443</v>
      </c>
      <c r="C167" t="s">
        <v>287</v>
      </c>
      <c r="D167" t="s">
        <v>623</v>
      </c>
      <c r="E167" t="s">
        <v>341</v>
      </c>
    </row>
    <row r="168" spans="1:5">
      <c r="A168" t="s">
        <v>344</v>
      </c>
      <c r="B168" t="s">
        <v>443</v>
      </c>
      <c r="C168" t="s">
        <v>507</v>
      </c>
      <c r="E168" t="s">
        <v>343</v>
      </c>
    </row>
    <row r="169" spans="1:5">
      <c r="A169" t="s">
        <v>346</v>
      </c>
      <c r="B169" t="s">
        <v>443</v>
      </c>
      <c r="C169" t="s">
        <v>281</v>
      </c>
      <c r="E169" t="s">
        <v>345</v>
      </c>
    </row>
    <row r="170" spans="1:5">
      <c r="A170" t="s">
        <v>348</v>
      </c>
      <c r="B170" t="s">
        <v>135</v>
      </c>
      <c r="C170" t="s">
        <v>507</v>
      </c>
      <c r="E170" t="s">
        <v>347</v>
      </c>
    </row>
    <row r="171" spans="1:5">
      <c r="A171" t="s">
        <v>350</v>
      </c>
      <c r="D171" t="s">
        <v>624</v>
      </c>
      <c r="E171" t="s">
        <v>349</v>
      </c>
    </row>
    <row r="172" spans="1:5">
      <c r="A172" t="s">
        <v>352</v>
      </c>
      <c r="B172" t="s">
        <v>443</v>
      </c>
      <c r="C172" t="s">
        <v>287</v>
      </c>
      <c r="D172" t="s">
        <v>560</v>
      </c>
      <c r="E172" t="s">
        <v>351</v>
      </c>
    </row>
    <row r="173" spans="1:5">
      <c r="A173" t="s">
        <v>354</v>
      </c>
      <c r="B173" t="s">
        <v>135</v>
      </c>
      <c r="C173" t="s">
        <v>199</v>
      </c>
      <c r="E173" t="s">
        <v>353</v>
      </c>
    </row>
    <row r="174" spans="1:5">
      <c r="A174" t="s">
        <v>356</v>
      </c>
      <c r="B174" t="s">
        <v>443</v>
      </c>
      <c r="C174" t="s">
        <v>281</v>
      </c>
      <c r="E174" t="s">
        <v>355</v>
      </c>
    </row>
    <row r="175" spans="1:5">
      <c r="A175" t="s">
        <v>358</v>
      </c>
      <c r="B175" t="s">
        <v>443</v>
      </c>
      <c r="C175" t="s">
        <v>287</v>
      </c>
      <c r="D175" t="s">
        <v>625</v>
      </c>
      <c r="E175" t="s">
        <v>357</v>
      </c>
    </row>
    <row r="176" spans="1:5">
      <c r="A176" t="s">
        <v>360</v>
      </c>
      <c r="B176" t="s">
        <v>277</v>
      </c>
      <c r="C176" t="s">
        <v>287</v>
      </c>
      <c r="D176" t="s">
        <v>626</v>
      </c>
      <c r="E176" t="s">
        <v>359</v>
      </c>
    </row>
    <row r="177" spans="1:5">
      <c r="A177" t="s">
        <v>362</v>
      </c>
      <c r="B177" t="s">
        <v>139</v>
      </c>
      <c r="C177" t="s">
        <v>199</v>
      </c>
      <c r="D177" t="s">
        <v>627</v>
      </c>
      <c r="E177" t="s">
        <v>361</v>
      </c>
    </row>
    <row r="178" spans="1:5">
      <c r="A178" t="s">
        <v>364</v>
      </c>
      <c r="B178" t="s">
        <v>139</v>
      </c>
      <c r="C178" t="s">
        <v>199</v>
      </c>
      <c r="E178" t="s">
        <v>363</v>
      </c>
    </row>
    <row r="179" spans="1:5">
      <c r="A179" t="s">
        <v>366</v>
      </c>
      <c r="B179" t="s">
        <v>417</v>
      </c>
      <c r="C179" t="s">
        <v>287</v>
      </c>
      <c r="D179" t="s">
        <v>628</v>
      </c>
      <c r="E179" t="s">
        <v>365</v>
      </c>
    </row>
    <row r="180" spans="1:5">
      <c r="A180" t="s">
        <v>368</v>
      </c>
      <c r="B180" t="s">
        <v>135</v>
      </c>
      <c r="C180" t="s">
        <v>199</v>
      </c>
      <c r="D180" t="s">
        <v>554</v>
      </c>
      <c r="E180" t="s">
        <v>367</v>
      </c>
    </row>
    <row r="181" spans="1:5">
      <c r="A181" t="s">
        <v>370</v>
      </c>
      <c r="B181" t="s">
        <v>135</v>
      </c>
      <c r="C181" t="s">
        <v>199</v>
      </c>
      <c r="D181" t="s">
        <v>560</v>
      </c>
      <c r="E181" t="s">
        <v>369</v>
      </c>
    </row>
    <row r="182" spans="1:5">
      <c r="A182" t="s">
        <v>372</v>
      </c>
      <c r="E182" t="s">
        <v>371</v>
      </c>
    </row>
    <row r="183" spans="1:5">
      <c r="A183" t="s">
        <v>374</v>
      </c>
      <c r="B183" t="s">
        <v>548</v>
      </c>
      <c r="C183" t="s">
        <v>199</v>
      </c>
      <c r="E183" t="s">
        <v>373</v>
      </c>
    </row>
    <row r="184" spans="1:5">
      <c r="A184" t="s">
        <v>376</v>
      </c>
      <c r="D184" t="s">
        <v>629</v>
      </c>
      <c r="E184" t="s">
        <v>375</v>
      </c>
    </row>
    <row r="185" spans="1:5">
      <c r="A185" t="s">
        <v>378</v>
      </c>
      <c r="B185" t="s">
        <v>548</v>
      </c>
      <c r="C185" t="s">
        <v>287</v>
      </c>
      <c r="D185" t="s">
        <v>554</v>
      </c>
      <c r="E185" t="s">
        <v>377</v>
      </c>
    </row>
    <row r="186" spans="1:5">
      <c r="A186" t="s">
        <v>380</v>
      </c>
      <c r="B186" t="s">
        <v>277</v>
      </c>
      <c r="C186" t="s">
        <v>199</v>
      </c>
      <c r="E186" t="s">
        <v>379</v>
      </c>
    </row>
    <row r="187" spans="1:5">
      <c r="A187" t="s">
        <v>382</v>
      </c>
      <c r="B187" t="s">
        <v>277</v>
      </c>
      <c r="C187" t="s">
        <v>507</v>
      </c>
      <c r="D187" t="s">
        <v>630</v>
      </c>
      <c r="E187" t="s">
        <v>381</v>
      </c>
    </row>
    <row r="188" spans="1:5">
      <c r="A188" t="s">
        <v>384</v>
      </c>
      <c r="B188" t="s">
        <v>135</v>
      </c>
      <c r="C188" t="s">
        <v>507</v>
      </c>
      <c r="E188" t="s">
        <v>383</v>
      </c>
    </row>
    <row r="189" spans="1:5">
      <c r="A189" t="s">
        <v>386</v>
      </c>
      <c r="B189" t="s">
        <v>135</v>
      </c>
      <c r="C189" t="s">
        <v>199</v>
      </c>
      <c r="D189" t="s">
        <v>617</v>
      </c>
      <c r="E189" t="s">
        <v>385</v>
      </c>
    </row>
    <row r="190" spans="1:5">
      <c r="A190" t="s">
        <v>388</v>
      </c>
      <c r="B190" t="s">
        <v>135</v>
      </c>
      <c r="C190" t="s">
        <v>287</v>
      </c>
      <c r="E190" t="s">
        <v>387</v>
      </c>
    </row>
    <row r="191" spans="1:5">
      <c r="A191" t="s">
        <v>390</v>
      </c>
      <c r="B191" t="s">
        <v>139</v>
      </c>
      <c r="C191" t="s">
        <v>199</v>
      </c>
      <c r="E191" t="s">
        <v>389</v>
      </c>
    </row>
    <row r="192" spans="1:5">
      <c r="A192" t="s">
        <v>392</v>
      </c>
      <c r="D192" t="s">
        <v>631</v>
      </c>
      <c r="E192" t="s">
        <v>391</v>
      </c>
    </row>
    <row r="193" spans="1:5">
      <c r="A193" t="s">
        <v>394</v>
      </c>
      <c r="B193" t="s">
        <v>277</v>
      </c>
      <c r="C193" t="s">
        <v>199</v>
      </c>
      <c r="D193" t="s">
        <v>632</v>
      </c>
      <c r="E193" t="s">
        <v>393</v>
      </c>
    </row>
    <row r="194" spans="1:5">
      <c r="A194" t="s">
        <v>396</v>
      </c>
      <c r="B194" t="s">
        <v>135</v>
      </c>
      <c r="C194" t="s">
        <v>281</v>
      </c>
      <c r="E194" t="s">
        <v>395</v>
      </c>
    </row>
    <row r="195" spans="1:5">
      <c r="A195" t="s">
        <v>398</v>
      </c>
      <c r="B195" t="s">
        <v>139</v>
      </c>
      <c r="C195" t="s">
        <v>199</v>
      </c>
      <c r="D195" t="s">
        <v>633</v>
      </c>
      <c r="E195" t="s">
        <v>397</v>
      </c>
    </row>
    <row r="196" spans="1:5">
      <c r="A196" t="s">
        <v>400</v>
      </c>
      <c r="B196" t="s">
        <v>277</v>
      </c>
      <c r="C196" t="s">
        <v>507</v>
      </c>
      <c r="D196" t="s">
        <v>634</v>
      </c>
      <c r="E196" t="s">
        <v>399</v>
      </c>
    </row>
    <row r="197" spans="1:5">
      <c r="A197" t="s">
        <v>402</v>
      </c>
      <c r="B197" t="s">
        <v>548</v>
      </c>
      <c r="C197" t="s">
        <v>287</v>
      </c>
      <c r="D197" t="s">
        <v>609</v>
      </c>
      <c r="E197" t="s">
        <v>401</v>
      </c>
    </row>
    <row r="198" spans="1:5">
      <c r="A198" t="s">
        <v>404</v>
      </c>
      <c r="D198" t="s">
        <v>635</v>
      </c>
      <c r="E198" t="s">
        <v>403</v>
      </c>
    </row>
    <row r="199" spans="1:5">
      <c r="A199" t="s">
        <v>406</v>
      </c>
      <c r="D199" t="s">
        <v>636</v>
      </c>
      <c r="E199" t="s">
        <v>405</v>
      </c>
    </row>
    <row r="200" spans="1:5">
      <c r="A200" t="s">
        <v>408</v>
      </c>
      <c r="B200" t="s">
        <v>135</v>
      </c>
      <c r="C200" t="s">
        <v>199</v>
      </c>
      <c r="E200" t="s">
        <v>407</v>
      </c>
    </row>
    <row r="201" spans="1:5">
      <c r="A201" t="s">
        <v>410</v>
      </c>
      <c r="B201" t="s">
        <v>548</v>
      </c>
      <c r="C201" t="s">
        <v>199</v>
      </c>
      <c r="E201" t="s">
        <v>409</v>
      </c>
    </row>
    <row r="202" spans="1:5">
      <c r="A202" t="s">
        <v>412</v>
      </c>
      <c r="B202" t="s">
        <v>139</v>
      </c>
      <c r="C202" t="s">
        <v>199</v>
      </c>
      <c r="D202" t="s">
        <v>637</v>
      </c>
      <c r="E202" t="s">
        <v>411</v>
      </c>
    </row>
    <row r="203" spans="1:5">
      <c r="A203" t="s">
        <v>414</v>
      </c>
      <c r="B203" t="s">
        <v>139</v>
      </c>
      <c r="C203" t="s">
        <v>199</v>
      </c>
      <c r="E203" t="s">
        <v>413</v>
      </c>
    </row>
    <row r="204" spans="1:5">
      <c r="A204" t="s">
        <v>416</v>
      </c>
      <c r="B204" t="s">
        <v>443</v>
      </c>
      <c r="C204" t="s">
        <v>281</v>
      </c>
      <c r="E204" t="s">
        <v>415</v>
      </c>
    </row>
    <row r="205" spans="1:5">
      <c r="A205" t="s">
        <v>418</v>
      </c>
      <c r="D205" t="s">
        <v>638</v>
      </c>
      <c r="E205" t="s">
        <v>417</v>
      </c>
    </row>
    <row r="206" spans="1:5">
      <c r="A206" t="s">
        <v>420</v>
      </c>
      <c r="B206" t="s">
        <v>548</v>
      </c>
      <c r="C206" t="s">
        <v>199</v>
      </c>
      <c r="E206" t="s">
        <v>419</v>
      </c>
    </row>
    <row r="207" spans="1:5">
      <c r="A207" t="s">
        <v>422</v>
      </c>
      <c r="B207" t="s">
        <v>443</v>
      </c>
      <c r="C207" t="s">
        <v>281</v>
      </c>
      <c r="D207" t="s">
        <v>639</v>
      </c>
      <c r="E207" t="s">
        <v>421</v>
      </c>
    </row>
    <row r="208" spans="1:5">
      <c r="A208" t="s">
        <v>424</v>
      </c>
      <c r="B208" t="s">
        <v>443</v>
      </c>
      <c r="C208" t="s">
        <v>287</v>
      </c>
      <c r="E208" t="s">
        <v>423</v>
      </c>
    </row>
    <row r="209" spans="1:5">
      <c r="A209" t="s">
        <v>426</v>
      </c>
      <c r="B209" t="s">
        <v>135</v>
      </c>
      <c r="C209" t="s">
        <v>199</v>
      </c>
      <c r="D209" t="s">
        <v>560</v>
      </c>
      <c r="E209" t="s">
        <v>425</v>
      </c>
    </row>
    <row r="210" spans="1:5">
      <c r="A210" t="s">
        <v>428</v>
      </c>
      <c r="B210" t="s">
        <v>135</v>
      </c>
      <c r="C210" t="s">
        <v>287</v>
      </c>
      <c r="E210" t="s">
        <v>427</v>
      </c>
    </row>
    <row r="211" spans="1:5">
      <c r="A211" t="s">
        <v>430</v>
      </c>
      <c r="B211" t="s">
        <v>443</v>
      </c>
      <c r="C211" t="s">
        <v>281</v>
      </c>
      <c r="E211" t="s">
        <v>429</v>
      </c>
    </row>
    <row r="212" spans="1:5">
      <c r="A212" t="s">
        <v>432</v>
      </c>
      <c r="B212" t="s">
        <v>277</v>
      </c>
      <c r="C212" t="s">
        <v>507</v>
      </c>
      <c r="E212" t="s">
        <v>431</v>
      </c>
    </row>
    <row r="213" spans="1:5">
      <c r="A213" t="s">
        <v>434</v>
      </c>
      <c r="B213" t="s">
        <v>139</v>
      </c>
      <c r="C213" t="s">
        <v>199</v>
      </c>
      <c r="E213" t="s">
        <v>433</v>
      </c>
    </row>
    <row r="214" spans="1:5">
      <c r="A214" t="s">
        <v>436</v>
      </c>
      <c r="B214" t="s">
        <v>443</v>
      </c>
      <c r="C214" t="s">
        <v>281</v>
      </c>
      <c r="D214" t="s">
        <v>640</v>
      </c>
      <c r="E214" t="s">
        <v>435</v>
      </c>
    </row>
    <row r="215" spans="1:5">
      <c r="A215" t="s">
        <v>438</v>
      </c>
      <c r="B215" t="s">
        <v>139</v>
      </c>
      <c r="C215" t="s">
        <v>507</v>
      </c>
      <c r="D215" t="s">
        <v>641</v>
      </c>
      <c r="E215" t="s">
        <v>437</v>
      </c>
    </row>
    <row r="216" spans="1:5">
      <c r="A216" t="s">
        <v>440</v>
      </c>
      <c r="E216" t="s">
        <v>439</v>
      </c>
    </row>
    <row r="217" spans="1:5">
      <c r="A217" t="s">
        <v>442</v>
      </c>
      <c r="B217" t="s">
        <v>443</v>
      </c>
      <c r="C217" t="s">
        <v>281</v>
      </c>
      <c r="D217" t="s">
        <v>554</v>
      </c>
      <c r="E217" t="s">
        <v>441</v>
      </c>
    </row>
    <row r="218" spans="1:5">
      <c r="A218" t="s">
        <v>444</v>
      </c>
      <c r="D218" t="s">
        <v>642</v>
      </c>
      <c r="E218" t="s">
        <v>443</v>
      </c>
    </row>
    <row r="219" spans="1:5">
      <c r="A219" t="s">
        <v>446</v>
      </c>
      <c r="D219" t="s">
        <v>643</v>
      </c>
      <c r="E219" t="s">
        <v>445</v>
      </c>
    </row>
    <row r="220" spans="1:5">
      <c r="A220" t="s">
        <v>448</v>
      </c>
      <c r="B220" t="s">
        <v>443</v>
      </c>
      <c r="C220" t="s">
        <v>287</v>
      </c>
      <c r="D220" t="s">
        <v>644</v>
      </c>
      <c r="E220" t="s">
        <v>645</v>
      </c>
    </row>
    <row r="221" spans="1:5">
      <c r="A221" t="s">
        <v>450</v>
      </c>
      <c r="B221" t="s">
        <v>277</v>
      </c>
      <c r="C221" t="s">
        <v>507</v>
      </c>
      <c r="D221" t="s">
        <v>646</v>
      </c>
      <c r="E221" t="s">
        <v>449</v>
      </c>
    </row>
    <row r="222" spans="1:5">
      <c r="A222" t="s">
        <v>452</v>
      </c>
      <c r="B222" t="s">
        <v>139</v>
      </c>
      <c r="C222" t="s">
        <v>199</v>
      </c>
      <c r="D222" t="s">
        <v>647</v>
      </c>
      <c r="E222" t="s">
        <v>451</v>
      </c>
    </row>
    <row r="223" spans="1:5">
      <c r="A223" t="s">
        <v>454</v>
      </c>
      <c r="B223" t="s">
        <v>139</v>
      </c>
      <c r="C223" t="s">
        <v>199</v>
      </c>
      <c r="D223" t="s">
        <v>648</v>
      </c>
      <c r="E223" t="s">
        <v>453</v>
      </c>
    </row>
    <row r="224" spans="1:5">
      <c r="A224" t="s">
        <v>456</v>
      </c>
      <c r="B224" t="s">
        <v>139</v>
      </c>
      <c r="C224" t="s">
        <v>199</v>
      </c>
      <c r="D224" t="s">
        <v>605</v>
      </c>
      <c r="E224" t="s">
        <v>455</v>
      </c>
    </row>
    <row r="225" spans="1:5">
      <c r="A225" t="s">
        <v>458</v>
      </c>
      <c r="B225" t="s">
        <v>443</v>
      </c>
      <c r="C225" t="s">
        <v>287</v>
      </c>
      <c r="D225" t="s">
        <v>649</v>
      </c>
      <c r="E225" t="s">
        <v>457</v>
      </c>
    </row>
    <row r="226" spans="1:5">
      <c r="A226" t="s">
        <v>460</v>
      </c>
      <c r="B226" t="s">
        <v>277</v>
      </c>
      <c r="C226" t="s">
        <v>199</v>
      </c>
      <c r="E226" t="s">
        <v>459</v>
      </c>
    </row>
    <row r="227" spans="1:5">
      <c r="A227" t="s">
        <v>462</v>
      </c>
      <c r="B227" t="s">
        <v>443</v>
      </c>
      <c r="C227" t="s">
        <v>199</v>
      </c>
      <c r="E227" t="s">
        <v>461</v>
      </c>
    </row>
    <row r="228" spans="1:5">
      <c r="A228" t="s">
        <v>464</v>
      </c>
      <c r="B228" t="s">
        <v>548</v>
      </c>
      <c r="C228" t="s">
        <v>281</v>
      </c>
      <c r="D228" t="s">
        <v>650</v>
      </c>
      <c r="E228" t="s">
        <v>463</v>
      </c>
    </row>
    <row r="229" spans="1:5">
      <c r="A229" t="s">
        <v>466</v>
      </c>
      <c r="B229" t="s">
        <v>277</v>
      </c>
      <c r="C229" t="s">
        <v>199</v>
      </c>
      <c r="E229" t="s">
        <v>465</v>
      </c>
    </row>
    <row r="230" spans="1:5">
      <c r="A230" t="s">
        <v>468</v>
      </c>
      <c r="B230" t="s">
        <v>443</v>
      </c>
      <c r="C230" t="s">
        <v>281</v>
      </c>
      <c r="E230" t="s">
        <v>467</v>
      </c>
    </row>
    <row r="231" spans="1:5">
      <c r="A231" t="s">
        <v>470</v>
      </c>
      <c r="D231" t="s">
        <v>651</v>
      </c>
      <c r="E231" t="s">
        <v>652</v>
      </c>
    </row>
    <row r="232" spans="1:5">
      <c r="A232" t="s">
        <v>472</v>
      </c>
      <c r="D232" t="s">
        <v>653</v>
      </c>
      <c r="E232" t="s">
        <v>654</v>
      </c>
    </row>
    <row r="233" spans="1:5">
      <c r="A233" t="s">
        <v>474</v>
      </c>
      <c r="B233" t="s">
        <v>443</v>
      </c>
      <c r="C233" t="s">
        <v>287</v>
      </c>
      <c r="E233" t="s">
        <v>473</v>
      </c>
    </row>
    <row r="234" spans="1:5">
      <c r="A234" t="s">
        <v>476</v>
      </c>
      <c r="B234" t="s">
        <v>135</v>
      </c>
      <c r="C234" t="s">
        <v>507</v>
      </c>
      <c r="D234" t="s">
        <v>655</v>
      </c>
      <c r="E234" t="s">
        <v>475</v>
      </c>
    </row>
    <row r="235" spans="1:5">
      <c r="A235" t="s">
        <v>478</v>
      </c>
      <c r="B235" t="s">
        <v>139</v>
      </c>
      <c r="C235" t="s">
        <v>287</v>
      </c>
      <c r="E235" t="s">
        <v>477</v>
      </c>
    </row>
    <row r="236" spans="1:5">
      <c r="A236" t="s">
        <v>480</v>
      </c>
      <c r="B236" t="s">
        <v>139</v>
      </c>
      <c r="C236" t="s">
        <v>507</v>
      </c>
      <c r="D236" t="s">
        <v>656</v>
      </c>
      <c r="E236" t="s">
        <v>479</v>
      </c>
    </row>
    <row r="237" spans="1:5">
      <c r="A237" t="s">
        <v>482</v>
      </c>
      <c r="D237" t="s">
        <v>657</v>
      </c>
      <c r="E237" t="s">
        <v>658</v>
      </c>
    </row>
    <row r="238" spans="1:5">
      <c r="A238" t="s">
        <v>484</v>
      </c>
      <c r="B238" t="s">
        <v>135</v>
      </c>
      <c r="C238" t="s">
        <v>287</v>
      </c>
      <c r="E238" t="s">
        <v>483</v>
      </c>
    </row>
    <row r="239" spans="1:5">
      <c r="A239" t="s">
        <v>486</v>
      </c>
      <c r="D239" t="s">
        <v>659</v>
      </c>
      <c r="E239" t="s">
        <v>485</v>
      </c>
    </row>
    <row r="240" spans="1:5">
      <c r="A240" t="s">
        <v>488</v>
      </c>
      <c r="B240" t="s">
        <v>135</v>
      </c>
      <c r="C240" t="s">
        <v>507</v>
      </c>
      <c r="D240" t="s">
        <v>554</v>
      </c>
      <c r="E240" t="s">
        <v>487</v>
      </c>
    </row>
    <row r="241" spans="1:5">
      <c r="A241" t="s">
        <v>490</v>
      </c>
      <c r="D241" t="s">
        <v>660</v>
      </c>
      <c r="E241" t="s">
        <v>489</v>
      </c>
    </row>
    <row r="242" spans="1:5">
      <c r="A242" t="s">
        <v>492</v>
      </c>
      <c r="D242" t="s">
        <v>661</v>
      </c>
      <c r="E242" t="s">
        <v>662</v>
      </c>
    </row>
    <row r="243" spans="1:5">
      <c r="A243" t="s">
        <v>494</v>
      </c>
      <c r="B243" t="s">
        <v>277</v>
      </c>
      <c r="C243" t="s">
        <v>199</v>
      </c>
      <c r="E243" t="s">
        <v>493</v>
      </c>
    </row>
    <row r="244" spans="1:5">
      <c r="A244" t="s">
        <v>496</v>
      </c>
      <c r="B244" t="s">
        <v>548</v>
      </c>
      <c r="C244" t="s">
        <v>287</v>
      </c>
      <c r="E244" t="s">
        <v>495</v>
      </c>
    </row>
    <row r="245" spans="1:5">
      <c r="A245" t="s">
        <v>498</v>
      </c>
      <c r="B245" t="s">
        <v>139</v>
      </c>
      <c r="C245" t="s">
        <v>507</v>
      </c>
      <c r="D245" t="s">
        <v>663</v>
      </c>
      <c r="E245" t="s">
        <v>664</v>
      </c>
    </row>
    <row r="246" spans="1:5">
      <c r="A246" t="s">
        <v>500</v>
      </c>
      <c r="B246" t="s">
        <v>135</v>
      </c>
      <c r="C246" t="s">
        <v>507</v>
      </c>
      <c r="E246" t="s">
        <v>499</v>
      </c>
    </row>
    <row r="247" spans="1:5">
      <c r="A247" t="s">
        <v>502</v>
      </c>
      <c r="B247" t="s">
        <v>443</v>
      </c>
      <c r="C247" t="s">
        <v>287</v>
      </c>
      <c r="E247" t="s">
        <v>501</v>
      </c>
    </row>
    <row r="248" spans="1:5">
      <c r="A248" t="s">
        <v>504</v>
      </c>
      <c r="B248" t="s">
        <v>443</v>
      </c>
      <c r="C248" t="s">
        <v>281</v>
      </c>
      <c r="D248" t="s">
        <v>665</v>
      </c>
      <c r="E248" t="s">
        <v>503</v>
      </c>
    </row>
    <row r="249" spans="1:5">
      <c r="A249" t="s">
        <v>506</v>
      </c>
      <c r="B249" t="s">
        <v>139</v>
      </c>
      <c r="C249" t="s">
        <v>507</v>
      </c>
      <c r="E249" t="s">
        <v>505</v>
      </c>
    </row>
    <row r="250" spans="1:5" ht="409.6">
      <c r="A250" t="s">
        <v>508</v>
      </c>
      <c r="D250" s="2" t="s">
        <v>588</v>
      </c>
      <c r="E250" t="s">
        <v>507</v>
      </c>
    </row>
    <row r="251" spans="1:5">
      <c r="A251" t="s">
        <v>510</v>
      </c>
      <c r="B251" t="s">
        <v>277</v>
      </c>
      <c r="C251" t="s">
        <v>199</v>
      </c>
      <c r="D251" t="s">
        <v>666</v>
      </c>
      <c r="E251" t="s">
        <v>509</v>
      </c>
    </row>
    <row r="252" spans="1:5">
      <c r="A252" t="s">
        <v>512</v>
      </c>
      <c r="B252" t="s">
        <v>349</v>
      </c>
      <c r="C252" t="s">
        <v>199</v>
      </c>
      <c r="E252" t="s">
        <v>511</v>
      </c>
    </row>
    <row r="253" spans="1:5">
      <c r="A253" t="s">
        <v>514</v>
      </c>
      <c r="B253" t="s">
        <v>139</v>
      </c>
      <c r="C253" t="s">
        <v>287</v>
      </c>
      <c r="E253" t="s">
        <v>513</v>
      </c>
    </row>
    <row r="254" spans="1:5">
      <c r="A254" t="s">
        <v>516</v>
      </c>
      <c r="B254" t="s">
        <v>277</v>
      </c>
      <c r="C254" t="s">
        <v>507</v>
      </c>
      <c r="E254" t="s">
        <v>515</v>
      </c>
    </row>
    <row r="255" spans="1:5">
      <c r="A255" t="s">
        <v>518</v>
      </c>
      <c r="B255" t="s">
        <v>277</v>
      </c>
      <c r="C255" t="s">
        <v>287</v>
      </c>
      <c r="D255" t="s">
        <v>667</v>
      </c>
      <c r="E255" t="s">
        <v>517</v>
      </c>
    </row>
    <row r="256" spans="1:5">
      <c r="A256" t="s">
        <v>520</v>
      </c>
      <c r="B256" t="s">
        <v>277</v>
      </c>
      <c r="C256" t="s">
        <v>199</v>
      </c>
      <c r="E256" t="s">
        <v>519</v>
      </c>
    </row>
    <row r="257" spans="1:5">
      <c r="A257" t="s">
        <v>522</v>
      </c>
      <c r="B257" t="s">
        <v>277</v>
      </c>
      <c r="C257" t="s">
        <v>199</v>
      </c>
      <c r="E257" t="s">
        <v>668</v>
      </c>
    </row>
    <row r="258" spans="1:5">
      <c r="A258" t="s">
        <v>524</v>
      </c>
      <c r="B258" t="s">
        <v>135</v>
      </c>
      <c r="C258" t="s">
        <v>507</v>
      </c>
      <c r="E258" t="s">
        <v>523</v>
      </c>
    </row>
    <row r="259" spans="1:5">
      <c r="A259" t="s">
        <v>526</v>
      </c>
      <c r="B259" t="s">
        <v>135</v>
      </c>
      <c r="C259" t="s">
        <v>287</v>
      </c>
      <c r="E259" t="s">
        <v>525</v>
      </c>
    </row>
    <row r="260" spans="1:5">
      <c r="A260" t="s">
        <v>528</v>
      </c>
      <c r="E260" t="s">
        <v>527</v>
      </c>
    </row>
    <row r="261" spans="1:5">
      <c r="A261" t="s">
        <v>530</v>
      </c>
      <c r="B261" t="s">
        <v>135</v>
      </c>
      <c r="C261" t="s">
        <v>507</v>
      </c>
      <c r="D261" t="s">
        <v>554</v>
      </c>
      <c r="E261" t="s">
        <v>529</v>
      </c>
    </row>
    <row r="262" spans="1:5">
      <c r="A262" t="s">
        <v>532</v>
      </c>
      <c r="B262" t="s">
        <v>139</v>
      </c>
      <c r="C262" t="s">
        <v>507</v>
      </c>
      <c r="E262" t="s">
        <v>531</v>
      </c>
    </row>
    <row r="263" spans="1:5">
      <c r="A263" t="s">
        <v>534</v>
      </c>
      <c r="B263" t="s">
        <v>548</v>
      </c>
      <c r="C263" t="s">
        <v>281</v>
      </c>
      <c r="D263" t="s">
        <v>669</v>
      </c>
      <c r="E263" t="s">
        <v>533</v>
      </c>
    </row>
    <row r="264" spans="1:5">
      <c r="A264" t="s">
        <v>536</v>
      </c>
      <c r="B264" t="s">
        <v>443</v>
      </c>
      <c r="C264" t="s">
        <v>507</v>
      </c>
      <c r="D264" t="s">
        <v>560</v>
      </c>
      <c r="E264" t="s">
        <v>535</v>
      </c>
    </row>
    <row r="265" spans="1:5">
      <c r="A265" t="s">
        <v>538</v>
      </c>
      <c r="B265" t="s">
        <v>443</v>
      </c>
      <c r="C265" t="s">
        <v>287</v>
      </c>
      <c r="D265" t="s">
        <v>670</v>
      </c>
      <c r="E265" t="s">
        <v>537</v>
      </c>
    </row>
    <row r="266" spans="1:5" ht="409.6">
      <c r="A266" t="s">
        <v>540</v>
      </c>
      <c r="B266" t="s">
        <v>443</v>
      </c>
      <c r="C266" t="s">
        <v>287</v>
      </c>
      <c r="D266" s="2" t="s">
        <v>671</v>
      </c>
      <c r="E266" t="s">
        <v>539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800B2-E547-4B70-AB83-7745EE40F982}">
  <dimension ref="A1:D2"/>
  <sheetViews>
    <sheetView topLeftCell="C1" workbookViewId="0">
      <selection activeCell="C8" sqref="C8"/>
    </sheetView>
  </sheetViews>
  <sheetFormatPr defaultRowHeight="14.4"/>
  <cols>
    <col min="1" max="1" width="15.77734375" bestFit="1" customWidth="1"/>
    <col min="2" max="2" width="35.33203125" bestFit="1" customWidth="1"/>
  </cols>
  <sheetData>
    <row r="1" spans="1:4">
      <c r="A1" t="s">
        <v>672</v>
      </c>
      <c r="B1" t="s">
        <v>673</v>
      </c>
      <c r="C1" t="s">
        <v>674</v>
      </c>
      <c r="D1" t="s">
        <v>675</v>
      </c>
    </row>
    <row r="2" spans="1:4">
      <c r="A2" t="s">
        <v>10</v>
      </c>
      <c r="B2" t="s">
        <v>9</v>
      </c>
      <c r="C2" t="s">
        <v>676</v>
      </c>
      <c r="D2" t="s">
        <v>677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29AC87-C120-4D0D-BF74-0C331399AE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Imports_Raw</vt:lpstr>
      <vt:lpstr>Exports_Raw</vt:lpstr>
      <vt:lpstr>Imports_Clean</vt:lpstr>
      <vt:lpstr>Clean_Data</vt:lpstr>
      <vt:lpstr>Analysis</vt:lpstr>
      <vt:lpstr>Dashboard</vt:lpstr>
      <vt:lpstr>Pivot_Table</vt:lpstr>
      <vt:lpstr>Data_Dictionary</vt:lpstr>
      <vt:lpstr>Metadata_Country</vt:lpstr>
      <vt:lpstr>Metadata_Indicator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Suhail Alam</dc:creator>
  <cp:lastModifiedBy>Suhail Alam</cp:lastModifiedBy>
  <dcterms:created xsi:type="dcterms:W3CDTF">2026-10-18T08:18:03Z</dcterms:created>
  <dcterms:modified xsi:type="dcterms:W3CDTF">2026-10-18T11:12:18Z</dcterms:modified>
</cp:coreProperties>
</file>